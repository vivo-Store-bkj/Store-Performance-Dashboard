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/>
  <mc:AlternateContent xmlns:mc="http://schemas.openxmlformats.org/markup-compatibility/2006">
    <mc:Choice Requires="x15">
      <x15ac:absPath xmlns:x15ac="http://schemas.microsoft.com/office/spreadsheetml/2010/11/ac" url="/Users/michael/Desktop/05 Store Operations/"/>
    </mc:Choice>
  </mc:AlternateContent>
  <xr:revisionPtr revIDLastSave="0" documentId="13_ncr:1_{D1BA898F-D1C0-C64D-83AC-D6323B3C1F6A}" xr6:coauthVersionLast="47" xr6:coauthVersionMax="47" xr10:uidLastSave="{00000000-0000-0000-0000-000000000000}"/>
  <bookViews>
    <workbookView xWindow="0" yWindow="600" windowWidth="32740" windowHeight="15440" xr2:uid="{00000000-000D-0000-FFFF-FFFF00000000}"/>
  </bookViews>
  <sheets>
    <sheet name="Sheet1" sheetId="1" r:id="rId1"/>
    <sheet name="SALES VALUE PER TYPE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BO47" i="1"/>
  <c r="BL47" i="1"/>
  <c r="BI47" i="1"/>
  <c r="BF47" i="1"/>
  <c r="BC47" i="1"/>
  <c r="AY47" i="1"/>
  <c r="H47" i="1"/>
  <c r="G47" i="1"/>
  <c r="BO46" i="1"/>
  <c r="BL46" i="1"/>
  <c r="BI46" i="1"/>
  <c r="BF46" i="1"/>
  <c r="BC46" i="1"/>
  <c r="AY46" i="1"/>
  <c r="H46" i="1"/>
  <c r="G46" i="1"/>
  <c r="BO45" i="1"/>
  <c r="BL45" i="1"/>
  <c r="BI45" i="1"/>
  <c r="BF45" i="1"/>
  <c r="BC45" i="1"/>
  <c r="AY45" i="1"/>
  <c r="H45" i="1"/>
  <c r="G45" i="1"/>
  <c r="BO44" i="1"/>
  <c r="BL44" i="1"/>
  <c r="BI44" i="1"/>
  <c r="BF44" i="1"/>
  <c r="BC44" i="1"/>
  <c r="AY44" i="1"/>
  <c r="H44" i="1"/>
  <c r="G44" i="1"/>
  <c r="BO43" i="1"/>
  <c r="BL43" i="1"/>
  <c r="BI43" i="1"/>
  <c r="BF43" i="1"/>
  <c r="BC43" i="1"/>
  <c r="AY43" i="1"/>
  <c r="H43" i="1"/>
  <c r="G43" i="1"/>
  <c r="BO42" i="1"/>
  <c r="BL42" i="1"/>
  <c r="BI42" i="1"/>
  <c r="BF42" i="1"/>
  <c r="BC42" i="1"/>
  <c r="AY42" i="1"/>
  <c r="H42" i="1"/>
  <c r="G42" i="1"/>
  <c r="BO41" i="1"/>
  <c r="BL41" i="1"/>
  <c r="BI41" i="1"/>
  <c r="BF41" i="1"/>
  <c r="BC41" i="1"/>
  <c r="AY41" i="1"/>
  <c r="H41" i="1"/>
  <c r="G41" i="1"/>
  <c r="BO40" i="1"/>
  <c r="BL40" i="1"/>
  <c r="BI40" i="1"/>
  <c r="BF40" i="1"/>
  <c r="BC40" i="1"/>
  <c r="AY40" i="1"/>
  <c r="H40" i="1"/>
  <c r="G40" i="1"/>
  <c r="BO39" i="1"/>
  <c r="BL39" i="1"/>
  <c r="BI39" i="1"/>
  <c r="BF39" i="1"/>
  <c r="BC39" i="1"/>
  <c r="AY39" i="1"/>
  <c r="H39" i="1"/>
  <c r="G39" i="1"/>
  <c r="BO38" i="1"/>
  <c r="BL38" i="1"/>
  <c r="BI38" i="1"/>
  <c r="BF38" i="1"/>
  <c r="BC38" i="1"/>
  <c r="AY38" i="1"/>
  <c r="H38" i="1"/>
  <c r="G38" i="1"/>
  <c r="BO37" i="1"/>
  <c r="BL37" i="1"/>
  <c r="BI37" i="1"/>
  <c r="BF37" i="1"/>
  <c r="BC37" i="1"/>
  <c r="AY37" i="1"/>
  <c r="H37" i="1"/>
  <c r="G37" i="1"/>
  <c r="BO36" i="1"/>
  <c r="BL36" i="1"/>
  <c r="BI36" i="1"/>
  <c r="BF36" i="1"/>
  <c r="BC36" i="1"/>
  <c r="AY36" i="1"/>
  <c r="H36" i="1"/>
  <c r="G36" i="1"/>
  <c r="BO35" i="1"/>
  <c r="BL35" i="1"/>
  <c r="BI35" i="1"/>
  <c r="BF35" i="1"/>
  <c r="BC35" i="1"/>
  <c r="AY35" i="1"/>
  <c r="H35" i="1"/>
  <c r="G35" i="1"/>
  <c r="BO34" i="1"/>
  <c r="BL34" i="1"/>
  <c r="BI34" i="1"/>
  <c r="BF34" i="1"/>
  <c r="BC34" i="1"/>
  <c r="AY34" i="1"/>
  <c r="H34" i="1"/>
  <c r="G34" i="1"/>
  <c r="BO33" i="1"/>
  <c r="BL33" i="1"/>
  <c r="BI33" i="1"/>
  <c r="BF33" i="1"/>
  <c r="BC33" i="1"/>
  <c r="AY33" i="1"/>
  <c r="H33" i="1"/>
  <c r="G33" i="1"/>
  <c r="BO32" i="1"/>
  <c r="BL32" i="1"/>
  <c r="BI32" i="1"/>
  <c r="BF32" i="1"/>
  <c r="BC32" i="1"/>
  <c r="AY32" i="1"/>
  <c r="H32" i="1"/>
  <c r="G32" i="1"/>
  <c r="BO31" i="1"/>
  <c r="BL31" i="1"/>
  <c r="BI31" i="1"/>
  <c r="BF31" i="1"/>
  <c r="BC31" i="1"/>
  <c r="AY31" i="1"/>
  <c r="H31" i="1"/>
  <c r="G31" i="1"/>
  <c r="BO30" i="1"/>
  <c r="BL30" i="1"/>
  <c r="BI30" i="1"/>
  <c r="BF30" i="1"/>
  <c r="BC30" i="1"/>
  <c r="AY30" i="1"/>
  <c r="H30" i="1"/>
  <c r="G30" i="1"/>
  <c r="BO29" i="1"/>
  <c r="BL29" i="1"/>
  <c r="BI29" i="1"/>
  <c r="BF29" i="1"/>
  <c r="BC29" i="1"/>
  <c r="AY29" i="1"/>
  <c r="H29" i="1"/>
  <c r="G29" i="1"/>
  <c r="BO28" i="1"/>
  <c r="BL28" i="1"/>
  <c r="BI28" i="1"/>
  <c r="BF28" i="1"/>
  <c r="BC28" i="1"/>
  <c r="AY28" i="1"/>
  <c r="H28" i="1"/>
  <c r="G28" i="1"/>
  <c r="BO27" i="1"/>
  <c r="BL27" i="1"/>
  <c r="BI27" i="1"/>
  <c r="BF27" i="1"/>
  <c r="BC27" i="1"/>
  <c r="AY27" i="1"/>
  <c r="H27" i="1"/>
  <c r="G27" i="1"/>
  <c r="BO26" i="1"/>
  <c r="BL26" i="1"/>
  <c r="BI26" i="1"/>
  <c r="BF26" i="1"/>
  <c r="BC26" i="1"/>
  <c r="AY26" i="1"/>
  <c r="H26" i="1"/>
  <c r="G26" i="1"/>
  <c r="BO25" i="1"/>
  <c r="BL25" i="1"/>
  <c r="BI25" i="1"/>
  <c r="BF25" i="1"/>
  <c r="BC25" i="1"/>
  <c r="AY25" i="1"/>
  <c r="H25" i="1"/>
  <c r="G25" i="1"/>
  <c r="BO24" i="1"/>
  <c r="BL24" i="1"/>
  <c r="BI24" i="1"/>
  <c r="BF24" i="1"/>
  <c r="BC24" i="1"/>
  <c r="AY24" i="1"/>
  <c r="H24" i="1"/>
  <c r="G24" i="1"/>
  <c r="BO23" i="1"/>
  <c r="BL23" i="1"/>
  <c r="BI23" i="1"/>
  <c r="BF23" i="1"/>
  <c r="BC23" i="1"/>
  <c r="AY23" i="1"/>
  <c r="H23" i="1"/>
  <c r="G23" i="1"/>
  <c r="BO22" i="1"/>
  <c r="BL22" i="1"/>
  <c r="BI22" i="1"/>
  <c r="BF22" i="1"/>
  <c r="BC22" i="1"/>
  <c r="AY22" i="1"/>
  <c r="H22" i="1"/>
  <c r="G22" i="1"/>
  <c r="BO21" i="1"/>
  <c r="BL21" i="1"/>
  <c r="BI21" i="1"/>
  <c r="BF21" i="1"/>
  <c r="BC21" i="1"/>
  <c r="AY21" i="1"/>
  <c r="H21" i="1"/>
  <c r="G21" i="1"/>
  <c r="BO20" i="1"/>
  <c r="BL20" i="1"/>
  <c r="BI20" i="1"/>
  <c r="BF20" i="1"/>
  <c r="BC20" i="1"/>
  <c r="AY20" i="1"/>
  <c r="H20" i="1"/>
  <c r="G20" i="1"/>
  <c r="BO19" i="1"/>
  <c r="BL19" i="1"/>
  <c r="BI19" i="1"/>
  <c r="BF19" i="1"/>
  <c r="BC19" i="1"/>
  <c r="AY19" i="1"/>
  <c r="H19" i="1"/>
  <c r="G19" i="1"/>
  <c r="BO18" i="1"/>
  <c r="BL18" i="1"/>
  <c r="BI18" i="1"/>
  <c r="BF18" i="1"/>
  <c r="BC18" i="1"/>
  <c r="AY18" i="1"/>
  <c r="H18" i="1"/>
  <c r="G18" i="1"/>
  <c r="BO17" i="1"/>
  <c r="BL17" i="1"/>
  <c r="BI17" i="1"/>
  <c r="BF17" i="1"/>
  <c r="BC17" i="1"/>
  <c r="AY17" i="1"/>
  <c r="H17" i="1"/>
  <c r="G17" i="1"/>
  <c r="BO16" i="1"/>
  <c r="BL16" i="1"/>
  <c r="BI16" i="1"/>
  <c r="BF16" i="1"/>
  <c r="BC16" i="1"/>
  <c r="AY16" i="1"/>
  <c r="H16" i="1"/>
  <c r="G16" i="1"/>
  <c r="BO15" i="1"/>
  <c r="BL15" i="1"/>
  <c r="BI15" i="1"/>
  <c r="BF15" i="1"/>
  <c r="BC15" i="1"/>
  <c r="AY15" i="1"/>
  <c r="H15" i="1"/>
  <c r="G15" i="1"/>
  <c r="BO14" i="1"/>
  <c r="BL14" i="1"/>
  <c r="BI14" i="1"/>
  <c r="BF14" i="1"/>
  <c r="BC14" i="1"/>
  <c r="AY14" i="1"/>
  <c r="H14" i="1"/>
  <c r="G14" i="1"/>
  <c r="BO13" i="1"/>
  <c r="BL13" i="1"/>
  <c r="BI13" i="1"/>
  <c r="BF13" i="1"/>
  <c r="BC13" i="1"/>
  <c r="AY13" i="1"/>
  <c r="H13" i="1"/>
  <c r="G13" i="1"/>
  <c r="BO12" i="1"/>
  <c r="BL12" i="1"/>
  <c r="BI12" i="1"/>
  <c r="BF12" i="1"/>
  <c r="BC12" i="1"/>
  <c r="AY12" i="1"/>
  <c r="H12" i="1"/>
  <c r="G12" i="1"/>
  <c r="BO11" i="1"/>
  <c r="BL11" i="1"/>
  <c r="BI11" i="1"/>
  <c r="BF11" i="1"/>
  <c r="BC11" i="1"/>
  <c r="AY11" i="1"/>
  <c r="H11" i="1"/>
  <c r="G11" i="1"/>
  <c r="BO10" i="1"/>
  <c r="BL10" i="1"/>
  <c r="BI10" i="1"/>
  <c r="BF10" i="1"/>
  <c r="BC10" i="1"/>
  <c r="AY10" i="1"/>
  <c r="H10" i="1"/>
  <c r="G10" i="1"/>
  <c r="BO9" i="1"/>
  <c r="BL9" i="1"/>
  <c r="BI9" i="1"/>
  <c r="BF9" i="1"/>
  <c r="BC9" i="1"/>
  <c r="AY9" i="1"/>
  <c r="H9" i="1"/>
  <c r="G9" i="1"/>
  <c r="BO8" i="1"/>
  <c r="BL8" i="1"/>
  <c r="BI8" i="1"/>
  <c r="BF8" i="1"/>
  <c r="BC8" i="1"/>
  <c r="AY8" i="1"/>
  <c r="H8" i="1"/>
  <c r="G8" i="1"/>
  <c r="BO7" i="1"/>
  <c r="BL7" i="1"/>
  <c r="BI7" i="1"/>
  <c r="BF7" i="1"/>
  <c r="BC7" i="1"/>
  <c r="AY7" i="1"/>
  <c r="H7" i="1"/>
  <c r="G7" i="1"/>
  <c r="BO6" i="1"/>
  <c r="BL6" i="1"/>
  <c r="BI6" i="1"/>
  <c r="BF6" i="1"/>
  <c r="BC6" i="1"/>
  <c r="AY6" i="1"/>
  <c r="H6" i="1"/>
  <c r="G6" i="1"/>
  <c r="BO5" i="1"/>
  <c r="BL5" i="1"/>
  <c r="BI5" i="1"/>
  <c r="BF5" i="1"/>
  <c r="BC5" i="1"/>
  <c r="BC48" i="1" s="1"/>
  <c r="AY5" i="1"/>
  <c r="H5" i="1"/>
  <c r="G5" i="1"/>
  <c r="F2" i="1"/>
  <c r="EW48" i="3"/>
  <c r="ET48" i="3"/>
  <c r="EQ48" i="3"/>
  <c r="EN48" i="3"/>
  <c r="EK48" i="3"/>
  <c r="EH48" i="3"/>
  <c r="EE48" i="3"/>
  <c r="EB48" i="3"/>
  <c r="DY48" i="3"/>
  <c r="DV48" i="3"/>
  <c r="DS48" i="3"/>
  <c r="DP48" i="3"/>
  <c r="DM48" i="3"/>
  <c r="DJ48" i="3"/>
  <c r="DG48" i="3"/>
  <c r="DD48" i="3"/>
  <c r="E47" i="3"/>
  <c r="D47" i="3"/>
  <c r="C47" i="3"/>
  <c r="EL47" i="3" s="1" a="1"/>
  <c r="EL47" i="3" s="1"/>
  <c r="EM47" i="3" s="1"/>
  <c r="B47" i="3"/>
  <c r="A47" i="3"/>
  <c r="EU46" i="3"/>
  <c r="EV46" i="3" s="1"/>
  <c r="ER46" i="3" a="1"/>
  <c r="ER46" i="3" s="1"/>
  <c r="ES46" i="3" s="1"/>
  <c r="EO46" i="3"/>
  <c r="EP46" i="3" s="1"/>
  <c r="EM46" i="3"/>
  <c r="EJ46" i="3"/>
  <c r="EI46" i="3"/>
  <c r="EG46" i="3"/>
  <c r="EF46" i="3" a="1"/>
  <c r="EF46" i="3" s="1"/>
  <c r="EC46" i="3"/>
  <c r="ED46" i="3" s="1"/>
  <c r="DZ46" i="3" a="1"/>
  <c r="DZ46" i="3" s="1"/>
  <c r="EA46" i="3" s="1"/>
  <c r="DU46" i="3"/>
  <c r="DT46" i="3" a="1"/>
  <c r="DT46" i="3" s="1"/>
  <c r="DQ46" i="3"/>
  <c r="DR46" i="3" s="1"/>
  <c r="DN46" i="3" a="1"/>
  <c r="DN46" i="3" s="1"/>
  <c r="DO46" i="3" s="1"/>
  <c r="DK46" i="3"/>
  <c r="DL46" i="3" s="1"/>
  <c r="DH46" i="3" a="1"/>
  <c r="DH46" i="3" s="1"/>
  <c r="DI46" i="3" s="1"/>
  <c r="DE46" i="3"/>
  <c r="DF46" i="3" s="1"/>
  <c r="DA46" i="3"/>
  <c r="CY46" i="3"/>
  <c r="CX46" i="3"/>
  <c r="CZ46" i="3" s="1"/>
  <c r="CV46" i="3" a="1"/>
  <c r="CV46" i="3" s="1"/>
  <c r="CU46" i="3"/>
  <c r="CT46" i="3"/>
  <c r="CS46" i="3"/>
  <c r="CR46" i="3"/>
  <c r="CP46" i="3" a="1"/>
  <c r="CP46" i="3" s="1"/>
  <c r="CO46" i="3"/>
  <c r="CM46" i="3"/>
  <c r="CJ46" i="3" a="1"/>
  <c r="CJ46" i="3" s="1"/>
  <c r="CK46" i="3" s="1"/>
  <c r="CI46" i="3"/>
  <c r="CF46" i="3"/>
  <c r="CE46" i="3"/>
  <c r="CD46" i="3" a="1"/>
  <c r="CD46" i="3" s="1"/>
  <c r="CC46" i="3"/>
  <c r="CA46" i="3"/>
  <c r="BZ46" i="3"/>
  <c r="BX46" i="3" a="1"/>
  <c r="BX46" i="3" s="1"/>
  <c r="BU46" i="3"/>
  <c r="BV46" i="3" s="1"/>
  <c r="BT46" i="3"/>
  <c r="BQ46" i="3"/>
  <c r="BO46" i="3"/>
  <c r="BP46" i="3" s="1"/>
  <c r="BN46" i="3"/>
  <c r="BL46" i="3" a="1"/>
  <c r="BL46" i="3" s="1"/>
  <c r="BK46" i="3"/>
  <c r="BM46" i="3" s="1"/>
  <c r="BI46" i="3"/>
  <c r="BJ46" i="3" s="1"/>
  <c r="BH46" i="3"/>
  <c r="BF46" i="3"/>
  <c r="BF46" i="3" a="1"/>
  <c r="BE46" i="3"/>
  <c r="BC46" i="3"/>
  <c r="AZ46" i="3"/>
  <c r="AZ46" i="3" a="1"/>
  <c r="AY46" i="3"/>
  <c r="AV46" i="3"/>
  <c r="AT46" i="3" a="1"/>
  <c r="AT46" i="3" s="1"/>
  <c r="AS46" i="3"/>
  <c r="AQ46" i="3" a="1"/>
  <c r="AQ46" i="3" s="1"/>
  <c r="AP46" i="3"/>
  <c r="AM46" i="3"/>
  <c r="AK46" i="3"/>
  <c r="AL46" i="3" s="1"/>
  <c r="AJ46" i="3"/>
  <c r="AH46" i="3" a="1"/>
  <c r="AH46" i="3" s="1"/>
  <c r="AG46" i="3"/>
  <c r="AI46" i="3" s="1"/>
  <c r="AE46" i="3"/>
  <c r="AF46" i="3" s="1"/>
  <c r="AD46" i="3"/>
  <c r="AB46" i="3" a="1"/>
  <c r="AB46" i="3" s="1"/>
  <c r="AA46" i="3"/>
  <c r="Y46" i="3"/>
  <c r="V46" i="3"/>
  <c r="V46" i="3" a="1"/>
  <c r="U46" i="3"/>
  <c r="R46" i="3"/>
  <c r="P46" i="3" a="1"/>
  <c r="P46" i="3" s="1"/>
  <c r="O46" i="3"/>
  <c r="M46" i="3"/>
  <c r="L46" i="3"/>
  <c r="N46" i="3" s="1"/>
  <c r="J46" i="3"/>
  <c r="J46" i="3" a="1"/>
  <c r="G46" i="3"/>
  <c r="F46" i="3"/>
  <c r="E46" i="3"/>
  <c r="D46" i="3"/>
  <c r="C46" i="3"/>
  <c r="EL46" i="3" s="1" a="1"/>
  <c r="EL46" i="3" s="1"/>
  <c r="B46" i="3"/>
  <c r="A46" i="3"/>
  <c r="DE45" i="3"/>
  <c r="DF45" i="3" s="1"/>
  <c r="CM45" i="3"/>
  <c r="AG45" i="3"/>
  <c r="R45" i="3"/>
  <c r="E45" i="3"/>
  <c r="D45" i="3"/>
  <c r="C45" i="3"/>
  <c r="B45" i="3"/>
  <c r="A45" i="3"/>
  <c r="EU44" i="3"/>
  <c r="EV44" i="3" s="1"/>
  <c r="EI44" i="3"/>
  <c r="EJ44" i="3" s="1"/>
  <c r="DL44" i="3"/>
  <c r="DK44" i="3"/>
  <c r="CP44" i="3" a="1"/>
  <c r="CP44" i="3" s="1"/>
  <c r="CI44" i="3"/>
  <c r="CG44" i="3"/>
  <c r="BW44" i="3"/>
  <c r="BN44" i="3"/>
  <c r="AZ44" i="3" a="1"/>
  <c r="AZ44" i="3" s="1"/>
  <c r="AT44" i="3" a="1"/>
  <c r="AT44" i="3" s="1"/>
  <c r="AD44" i="3"/>
  <c r="AB44" i="3" a="1"/>
  <c r="AB44" i="3" s="1"/>
  <c r="E44" i="3"/>
  <c r="D44" i="3"/>
  <c r="C44" i="3"/>
  <c r="B44" i="3"/>
  <c r="A44" i="3"/>
  <c r="EX43" i="3" a="1"/>
  <c r="EX43" i="3" s="1"/>
  <c r="EY43" i="3" s="1"/>
  <c r="ER43" i="3"/>
  <c r="ES43" i="3" s="1"/>
  <c r="ER43" i="3" a="1"/>
  <c r="EO43" i="3"/>
  <c r="EP43" i="3" s="1"/>
  <c r="EL43" i="3" a="1"/>
  <c r="EL43" i="3" s="1"/>
  <c r="EM43" i="3" s="1"/>
  <c r="EJ43" i="3"/>
  <c r="EI43" i="3"/>
  <c r="EF43" i="3" a="1"/>
  <c r="EF43" i="3" s="1"/>
  <c r="EG43" i="3" s="1"/>
  <c r="EC43" i="3"/>
  <c r="ED43" i="3" s="1"/>
  <c r="DW43" i="3"/>
  <c r="DX43" i="3" s="1"/>
  <c r="DT43" i="3" a="1"/>
  <c r="DT43" i="3" s="1"/>
  <c r="DU43" i="3" s="1"/>
  <c r="DQ43" i="3"/>
  <c r="DR43" i="3" s="1"/>
  <c r="DI43" i="3"/>
  <c r="DH43" i="3"/>
  <c r="DH43" i="3" a="1"/>
  <c r="DB43" i="3"/>
  <c r="DB43" i="3" a="1"/>
  <c r="DA43" i="3"/>
  <c r="CY43" i="3"/>
  <c r="CV43" i="3" a="1"/>
  <c r="CV43" i="3" s="1"/>
  <c r="CU43" i="3"/>
  <c r="CW43" i="3" s="1"/>
  <c r="CR43" i="3"/>
  <c r="CP43" i="3"/>
  <c r="CP43" i="3" a="1"/>
  <c r="CO43" i="3"/>
  <c r="CQ43" i="3" s="1"/>
  <c r="CM43" i="3"/>
  <c r="CL43" i="3"/>
  <c r="CJ43" i="3" a="1"/>
  <c r="CJ43" i="3" s="1"/>
  <c r="CG43" i="3"/>
  <c r="CF43" i="3"/>
  <c r="CH43" i="3" s="1"/>
  <c r="CC43" i="3"/>
  <c r="CB43" i="3"/>
  <c r="CA43" i="3"/>
  <c r="BZ43" i="3"/>
  <c r="BX43" i="3" a="1"/>
  <c r="BX43" i="3" s="1"/>
  <c r="BW43" i="3"/>
  <c r="BU43" i="3"/>
  <c r="BT43" i="3"/>
  <c r="BV43" i="3" s="1"/>
  <c r="BR43" i="3" a="1"/>
  <c r="BR43" i="3" s="1"/>
  <c r="BQ43" i="3"/>
  <c r="BO43" i="3"/>
  <c r="BM43" i="3"/>
  <c r="BL43" i="3" a="1"/>
  <c r="BL43" i="3" s="1"/>
  <c r="BK43" i="3"/>
  <c r="BI43" i="3"/>
  <c r="BJ43" i="3" s="1"/>
  <c r="BH43" i="3"/>
  <c r="BF43" i="3"/>
  <c r="BF43" i="3" a="1"/>
  <c r="BE43" i="3"/>
  <c r="BC43" i="3"/>
  <c r="AZ43" i="3"/>
  <c r="AZ43" i="3" a="1"/>
  <c r="AY43" i="3"/>
  <c r="AV43" i="3"/>
  <c r="AT43" i="3"/>
  <c r="AT43" i="3" a="1"/>
  <c r="AS43" i="3"/>
  <c r="AQ43" i="3"/>
  <c r="AQ43" i="3" a="1"/>
  <c r="AP43" i="3"/>
  <c r="AM43" i="3"/>
  <c r="AL43" i="3"/>
  <c r="AK43" i="3"/>
  <c r="AJ43" i="3"/>
  <c r="AH43" i="3" a="1"/>
  <c r="AH43" i="3" s="1"/>
  <c r="AG43" i="3"/>
  <c r="AI43" i="3" s="1"/>
  <c r="AF43" i="3"/>
  <c r="AE43" i="3"/>
  <c r="AD43" i="3"/>
  <c r="AB43" i="3"/>
  <c r="AB43" i="3" a="1"/>
  <c r="AA43" i="3"/>
  <c r="AC43" i="3" s="1"/>
  <c r="Y43" i="3"/>
  <c r="V43" i="3"/>
  <c r="V43" i="3" a="1"/>
  <c r="U43" i="3"/>
  <c r="W43" i="3" s="1"/>
  <c r="R43" i="3"/>
  <c r="P43" i="3"/>
  <c r="P43" i="3" a="1"/>
  <c r="O43" i="3"/>
  <c r="M43" i="3"/>
  <c r="L43" i="3"/>
  <c r="J43" i="3"/>
  <c r="J43" i="3" a="1"/>
  <c r="G43" i="3"/>
  <c r="F43" i="3"/>
  <c r="H43" i="3" s="1"/>
  <c r="E43" i="3"/>
  <c r="D43" i="3"/>
  <c r="C43" i="3"/>
  <c r="B43" i="3"/>
  <c r="A43" i="3"/>
  <c r="EU42" i="3"/>
  <c r="EV42" i="3" s="1"/>
  <c r="ER42" i="3" a="1"/>
  <c r="ER42" i="3" s="1"/>
  <c r="ES42" i="3" s="1"/>
  <c r="EL42" i="3" a="1"/>
  <c r="EL42" i="3" s="1"/>
  <c r="EM42" i="3" s="1"/>
  <c r="EI42" i="3"/>
  <c r="EJ42" i="3" s="1"/>
  <c r="ED42" i="3"/>
  <c r="EC42" i="3"/>
  <c r="EA42" i="3"/>
  <c r="DZ42" i="3" a="1"/>
  <c r="DZ42" i="3" s="1"/>
  <c r="DQ42" i="3"/>
  <c r="DR42" i="3" s="1"/>
  <c r="DO42" i="3"/>
  <c r="DN42" i="3" a="1"/>
  <c r="DN42" i="3" s="1"/>
  <c r="DK42" i="3"/>
  <c r="DL42" i="3" s="1"/>
  <c r="DH42" i="3" a="1"/>
  <c r="DH42" i="3" s="1"/>
  <c r="DI42" i="3" s="1"/>
  <c r="DB42" i="3" a="1"/>
  <c r="DB42" i="3" s="1"/>
  <c r="DC42" i="3" s="1"/>
  <c r="DA42" i="3"/>
  <c r="CW42" i="3"/>
  <c r="CV42" i="3"/>
  <c r="CV42" i="3" a="1"/>
  <c r="CU42" i="3"/>
  <c r="CS42" i="3"/>
  <c r="CP42" i="3"/>
  <c r="CP42" i="3" a="1"/>
  <c r="CM42" i="3"/>
  <c r="CJ42" i="3" a="1"/>
  <c r="CJ42" i="3" s="1"/>
  <c r="CI42" i="3"/>
  <c r="CK42" i="3" s="1"/>
  <c r="CF42" i="3"/>
  <c r="CD42" i="3" a="1"/>
  <c r="CD42" i="3" s="1"/>
  <c r="CC42" i="3"/>
  <c r="CA42" i="3"/>
  <c r="BZ42" i="3"/>
  <c r="CB42" i="3" s="1"/>
  <c r="BX42" i="3" a="1"/>
  <c r="BX42" i="3" s="1"/>
  <c r="BV42" i="3"/>
  <c r="BU42" i="3"/>
  <c r="BT42" i="3"/>
  <c r="BQ42" i="3"/>
  <c r="BP42" i="3"/>
  <c r="BO42" i="3"/>
  <c r="BN42" i="3"/>
  <c r="BL42" i="3" a="1"/>
  <c r="BL42" i="3" s="1"/>
  <c r="BK42" i="3"/>
  <c r="BM42" i="3" s="1"/>
  <c r="BI42" i="3"/>
  <c r="BH42" i="3"/>
  <c r="BJ42" i="3" s="1"/>
  <c r="BF42" i="3"/>
  <c r="BF42" i="3" a="1"/>
  <c r="BE42" i="3"/>
  <c r="BG42" i="3" s="1"/>
  <c r="BC42" i="3"/>
  <c r="BA42" i="3"/>
  <c r="AZ42" i="3"/>
  <c r="AZ42" i="3" a="1"/>
  <c r="AY42" i="3"/>
  <c r="AV42" i="3"/>
  <c r="AU42" i="3"/>
  <c r="AT42" i="3"/>
  <c r="AT42" i="3" a="1"/>
  <c r="AS42" i="3"/>
  <c r="AQ42" i="3" a="1"/>
  <c r="AQ42" i="3" s="1"/>
  <c r="AP42" i="3"/>
  <c r="AM42" i="3"/>
  <c r="AL42" i="3"/>
  <c r="AK42" i="3"/>
  <c r="AJ42" i="3"/>
  <c r="AH42" i="3" a="1"/>
  <c r="AH42" i="3" s="1"/>
  <c r="AG42" i="3"/>
  <c r="AI42" i="3" s="1"/>
  <c r="AF42" i="3"/>
  <c r="AE42" i="3"/>
  <c r="AD42" i="3"/>
  <c r="AB42" i="3" a="1"/>
  <c r="AB42" i="3" s="1"/>
  <c r="AA42" i="3"/>
  <c r="AC42" i="3" s="1"/>
  <c r="Y42" i="3"/>
  <c r="W42" i="3"/>
  <c r="V42" i="3" a="1"/>
  <c r="V42" i="3" s="1"/>
  <c r="U42" i="3"/>
  <c r="R42" i="3"/>
  <c r="Q42" i="3"/>
  <c r="P42" i="3" a="1"/>
  <c r="P42" i="3" s="1"/>
  <c r="O42" i="3"/>
  <c r="M42" i="3"/>
  <c r="L42" i="3"/>
  <c r="N42" i="3" s="1"/>
  <c r="J42" i="3" a="1"/>
  <c r="J42" i="3" s="1"/>
  <c r="H42" i="3"/>
  <c r="G42" i="3"/>
  <c r="F42" i="3"/>
  <c r="E42" i="3"/>
  <c r="D42" i="3"/>
  <c r="C42" i="3"/>
  <c r="B42" i="3"/>
  <c r="A42" i="3"/>
  <c r="EF41" i="3" a="1"/>
  <c r="EF41" i="3" s="1"/>
  <c r="EG41" i="3" s="1"/>
  <c r="DQ41" i="3"/>
  <c r="DR41" i="3" s="1"/>
  <c r="DB41" i="3" a="1"/>
  <c r="DB41" i="3" s="1"/>
  <c r="DA41" i="3"/>
  <c r="CU41" i="3"/>
  <c r="CS41" i="3"/>
  <c r="CP41" i="3" a="1"/>
  <c r="CP41" i="3" s="1"/>
  <c r="CL41" i="3"/>
  <c r="CI41" i="3"/>
  <c r="CG41" i="3"/>
  <c r="CA41" i="3"/>
  <c r="BZ41" i="3"/>
  <c r="BW41" i="3"/>
  <c r="BT41" i="3"/>
  <c r="BR41" i="3" a="1"/>
  <c r="BR41" i="3" s="1"/>
  <c r="BL41" i="3" a="1"/>
  <c r="BL41" i="3" s="1"/>
  <c r="BK41" i="3"/>
  <c r="BM41" i="3" s="1"/>
  <c r="BB41" i="3"/>
  <c r="AV41" i="3"/>
  <c r="AP41" i="3"/>
  <c r="AN41" i="3" a="1"/>
  <c r="AN41" i="3" s="1"/>
  <c r="AM41" i="3"/>
  <c r="AG41" i="3"/>
  <c r="AA41" i="3"/>
  <c r="X41" i="3"/>
  <c r="R41" i="3"/>
  <c r="I41" i="3"/>
  <c r="G41" i="3"/>
  <c r="E41" i="3"/>
  <c r="D41" i="3"/>
  <c r="C41" i="3"/>
  <c r="B41" i="3"/>
  <c r="A41" i="3"/>
  <c r="EO40" i="3"/>
  <c r="EP40" i="3" s="1"/>
  <c r="DW40" i="3"/>
  <c r="DX40" i="3" s="1"/>
  <c r="DT40" i="3" a="1"/>
  <c r="DT40" i="3" s="1"/>
  <c r="DU40" i="3" s="1"/>
  <c r="DK40" i="3"/>
  <c r="DL40" i="3" s="1"/>
  <c r="DE40" i="3"/>
  <c r="DF40" i="3" s="1"/>
  <c r="CX40" i="3"/>
  <c r="CS40" i="3"/>
  <c r="CR40" i="3"/>
  <c r="CT40" i="3" s="1"/>
  <c r="CL40" i="3"/>
  <c r="CJ40" i="3" a="1"/>
  <c r="CJ40" i="3" s="1"/>
  <c r="CI40" i="3"/>
  <c r="CK40" i="3" s="1"/>
  <c r="BW40" i="3"/>
  <c r="BT40" i="3"/>
  <c r="BN40" i="3"/>
  <c r="BC40" i="3"/>
  <c r="AY40" i="3"/>
  <c r="AP40" i="3"/>
  <c r="AA40" i="3"/>
  <c r="U40" i="3"/>
  <c r="S40" i="3"/>
  <c r="J40" i="3" a="1"/>
  <c r="J40" i="3" s="1"/>
  <c r="E40" i="3"/>
  <c r="D40" i="3"/>
  <c r="C40" i="3"/>
  <c r="B40" i="3"/>
  <c r="A40" i="3"/>
  <c r="ER39" i="3"/>
  <c r="ES39" i="3" s="1"/>
  <c r="ER39" i="3" a="1"/>
  <c r="EP39" i="3"/>
  <c r="EO39" i="3"/>
  <c r="EJ39" i="3"/>
  <c r="EI39" i="3"/>
  <c r="ED39" i="3"/>
  <c r="EC39" i="3"/>
  <c r="DW39" i="3"/>
  <c r="DX39" i="3" s="1"/>
  <c r="DT39" i="3"/>
  <c r="DU39" i="3" s="1"/>
  <c r="DT39" i="3" a="1"/>
  <c r="DN39" i="3"/>
  <c r="DO39" i="3" s="1"/>
  <c r="DN39" i="3" a="1"/>
  <c r="DH39" i="3"/>
  <c r="DI39" i="3" s="1"/>
  <c r="DH39" i="3" a="1"/>
  <c r="DE39" i="3"/>
  <c r="DF39" i="3" s="1"/>
  <c r="DB39" i="3" a="1"/>
  <c r="DB39" i="3" s="1"/>
  <c r="DA39" i="3"/>
  <c r="CY39" i="3"/>
  <c r="CV39" i="3" a="1"/>
  <c r="CV39" i="3" s="1"/>
  <c r="CU39" i="3"/>
  <c r="CO39" i="3"/>
  <c r="CL39" i="3"/>
  <c r="CJ39" i="3"/>
  <c r="CJ39" i="3" a="1"/>
  <c r="CF39" i="3"/>
  <c r="CA39" i="3"/>
  <c r="BW39" i="3"/>
  <c r="BU39" i="3"/>
  <c r="BT39" i="3"/>
  <c r="BV39" i="3" s="1"/>
  <c r="BQ39" i="3"/>
  <c r="BO39" i="3"/>
  <c r="BL39" i="3"/>
  <c r="BL39" i="3" a="1"/>
  <c r="BG39" i="3"/>
  <c r="BF39" i="3"/>
  <c r="BF39" i="3" a="1"/>
  <c r="BE39" i="3"/>
  <c r="AZ39" i="3" a="1"/>
  <c r="AZ39" i="3" s="1"/>
  <c r="AW39" i="3"/>
  <c r="AV39" i="3"/>
  <c r="AX39" i="3" s="1"/>
  <c r="AQ39" i="3"/>
  <c r="AQ39" i="3" a="1"/>
  <c r="AP39" i="3"/>
  <c r="AM39" i="3"/>
  <c r="AK39" i="3"/>
  <c r="AH39" i="3"/>
  <c r="AH39" i="3" a="1"/>
  <c r="AB39" i="3"/>
  <c r="AB39" i="3" a="1"/>
  <c r="AA39" i="3"/>
  <c r="AC39" i="3" s="1"/>
  <c r="V39" i="3"/>
  <c r="V39" i="3" a="1"/>
  <c r="S39" i="3"/>
  <c r="R39" i="3"/>
  <c r="N39" i="3"/>
  <c r="M39" i="3"/>
  <c r="L39" i="3"/>
  <c r="G39" i="3"/>
  <c r="F39" i="3"/>
  <c r="E39" i="3"/>
  <c r="D39" i="3"/>
  <c r="C39" i="3"/>
  <c r="B39" i="3"/>
  <c r="A39" i="3"/>
  <c r="EU38" i="3"/>
  <c r="EV38" i="3" s="1"/>
  <c r="DZ38" i="3"/>
  <c r="EA38" i="3" s="1"/>
  <c r="DZ38" i="3" a="1"/>
  <c r="DW38" i="3"/>
  <c r="DX38" i="3" s="1"/>
  <c r="DQ38" i="3"/>
  <c r="DR38" i="3" s="1"/>
  <c r="DE38" i="3"/>
  <c r="DF38" i="3" s="1"/>
  <c r="DB38" i="3"/>
  <c r="DB38" i="3" a="1"/>
  <c r="CS38" i="3"/>
  <c r="CM38" i="3"/>
  <c r="CN38" i="3" s="1"/>
  <c r="CL38" i="3"/>
  <c r="CI38" i="3"/>
  <c r="CD38" i="3" a="1"/>
  <c r="CD38" i="3" s="1"/>
  <c r="BW38" i="3"/>
  <c r="BR38" i="3"/>
  <c r="BR38" i="3" a="1"/>
  <c r="BO38" i="3"/>
  <c r="BI38" i="3"/>
  <c r="BH38" i="3"/>
  <c r="BJ38" i="3" s="1"/>
  <c r="BC38" i="3"/>
  <c r="BB38" i="3"/>
  <c r="AZ38" i="3" a="1"/>
  <c r="AZ38" i="3" s="1"/>
  <c r="AY38" i="3"/>
  <c r="AW38" i="3"/>
  <c r="AT38" i="3" a="1"/>
  <c r="AT38" i="3" s="1"/>
  <c r="AS38" i="3"/>
  <c r="AK38" i="3"/>
  <c r="AJ38" i="3"/>
  <c r="AE38" i="3"/>
  <c r="Y38" i="3"/>
  <c r="X38" i="3"/>
  <c r="Z38" i="3" s="1"/>
  <c r="V38" i="3" a="1"/>
  <c r="V38" i="3" s="1"/>
  <c r="S38" i="3"/>
  <c r="P38" i="3"/>
  <c r="P38" i="3" a="1"/>
  <c r="O38" i="3"/>
  <c r="J38" i="3" a="1"/>
  <c r="J38" i="3" s="1"/>
  <c r="I38" i="3"/>
  <c r="F38" i="3"/>
  <c r="E38" i="3"/>
  <c r="D38" i="3"/>
  <c r="C38" i="3"/>
  <c r="B38" i="3"/>
  <c r="A38" i="3"/>
  <c r="ER37" i="3" a="1"/>
  <c r="ER37" i="3" s="1"/>
  <c r="ES37" i="3" s="1"/>
  <c r="EL37" i="3" a="1"/>
  <c r="EL37" i="3" s="1"/>
  <c r="EM37" i="3" s="1"/>
  <c r="DT37" i="3"/>
  <c r="DU37" i="3" s="1"/>
  <c r="DT37" i="3" a="1"/>
  <c r="DH37" i="3" a="1"/>
  <c r="DH37" i="3" s="1"/>
  <c r="DI37" i="3" s="1"/>
  <c r="CP37" i="3"/>
  <c r="CP37" i="3" a="1"/>
  <c r="CO37" i="3"/>
  <c r="BO37" i="3"/>
  <c r="BF37" i="3"/>
  <c r="BF37" i="3" a="1"/>
  <c r="AQ37" i="3"/>
  <c r="AQ37" i="3" a="1"/>
  <c r="AK37" i="3"/>
  <c r="Y37" i="3"/>
  <c r="X37" i="3"/>
  <c r="M37" i="3"/>
  <c r="L37" i="3"/>
  <c r="G37" i="3"/>
  <c r="E37" i="3"/>
  <c r="D37" i="3"/>
  <c r="C37" i="3"/>
  <c r="B37" i="3"/>
  <c r="A37" i="3"/>
  <c r="EX36" i="3" a="1"/>
  <c r="EX36" i="3" s="1"/>
  <c r="EY36" i="3" s="1"/>
  <c r="EU36" i="3"/>
  <c r="EV36" i="3" s="1"/>
  <c r="ES36" i="3"/>
  <c r="ER36" i="3" a="1"/>
  <c r="ER36" i="3" s="1"/>
  <c r="EO36" i="3"/>
  <c r="EP36" i="3" s="1"/>
  <c r="EJ36" i="3"/>
  <c r="EI36" i="3"/>
  <c r="EF36" i="3" a="1"/>
  <c r="EF36" i="3" s="1"/>
  <c r="EG36" i="3" s="1"/>
  <c r="EC36" i="3"/>
  <c r="ED36" i="3" s="1"/>
  <c r="EA36" i="3"/>
  <c r="DZ36" i="3"/>
  <c r="DZ36" i="3" a="1"/>
  <c r="DU36" i="3"/>
  <c r="DT36" i="3"/>
  <c r="DT36" i="3" a="1"/>
  <c r="DR36" i="3"/>
  <c r="DQ36" i="3"/>
  <c r="DN36" i="3" a="1"/>
  <c r="DN36" i="3" s="1"/>
  <c r="DO36" i="3" s="1"/>
  <c r="DL36" i="3"/>
  <c r="DK36" i="3"/>
  <c r="DI36" i="3"/>
  <c r="DH36" i="3" a="1"/>
  <c r="DH36" i="3" s="1"/>
  <c r="DE36" i="3"/>
  <c r="DF36" i="3" s="1"/>
  <c r="DA36" i="3"/>
  <c r="CY36" i="3"/>
  <c r="CX36" i="3"/>
  <c r="CW36" i="3"/>
  <c r="CV36" i="3" a="1"/>
  <c r="CV36" i="3" s="1"/>
  <c r="CU36" i="3"/>
  <c r="CS36" i="3"/>
  <c r="CR36" i="3"/>
  <c r="CP36" i="3" a="1"/>
  <c r="CP36" i="3" s="1"/>
  <c r="CO36" i="3"/>
  <c r="CM36" i="3"/>
  <c r="CK36" i="3"/>
  <c r="CJ36" i="3"/>
  <c r="CJ36" i="3" a="1"/>
  <c r="CI36" i="3"/>
  <c r="CF36" i="3"/>
  <c r="CD36" i="3"/>
  <c r="CE36" i="3" s="1"/>
  <c r="CD36" i="3" a="1"/>
  <c r="CC36" i="3"/>
  <c r="CA36" i="3"/>
  <c r="BZ36" i="3"/>
  <c r="CB36" i="3" s="1"/>
  <c r="BX36" i="3" a="1"/>
  <c r="BX36" i="3" s="1"/>
  <c r="BU36" i="3"/>
  <c r="BT36" i="3"/>
  <c r="BV36" i="3" s="1"/>
  <c r="BQ36" i="3"/>
  <c r="BO36" i="3"/>
  <c r="BN36" i="3"/>
  <c r="BP36" i="3" s="1"/>
  <c r="BM36" i="3"/>
  <c r="BL36" i="3" a="1"/>
  <c r="BL36" i="3" s="1"/>
  <c r="BK36" i="3"/>
  <c r="BI36" i="3"/>
  <c r="BH36" i="3"/>
  <c r="BJ36" i="3" s="1"/>
  <c r="BF36" i="3" a="1"/>
  <c r="BF36" i="3" s="1"/>
  <c r="BE36" i="3"/>
  <c r="BC36" i="3"/>
  <c r="AZ36" i="3"/>
  <c r="AZ36" i="3" a="1"/>
  <c r="AY36" i="3"/>
  <c r="BA36" i="3" s="1"/>
  <c r="AV36" i="3"/>
  <c r="AT36" i="3"/>
  <c r="AT36" i="3" a="1"/>
  <c r="AS36" i="3"/>
  <c r="AU36" i="3" s="1"/>
  <c r="AQ36" i="3"/>
  <c r="AQ36" i="3" a="1"/>
  <c r="AP36" i="3"/>
  <c r="AR36" i="3" s="1"/>
  <c r="AM36" i="3"/>
  <c r="AK36" i="3"/>
  <c r="AJ36" i="3"/>
  <c r="AL36" i="3" s="1"/>
  <c r="AH36" i="3" a="1"/>
  <c r="AH36" i="3" s="1"/>
  <c r="AG36" i="3"/>
  <c r="AE36" i="3"/>
  <c r="AD36" i="3"/>
  <c r="AF36" i="3" s="1"/>
  <c r="AB36" i="3"/>
  <c r="AB36" i="3" a="1"/>
  <c r="AA36" i="3"/>
  <c r="AC36" i="3" s="1"/>
  <c r="Y36" i="3"/>
  <c r="V36" i="3"/>
  <c r="W36" i="3" s="1"/>
  <c r="V36" i="3" a="1"/>
  <c r="U36" i="3"/>
  <c r="R36" i="3"/>
  <c r="P36" i="3" a="1"/>
  <c r="P36" i="3" s="1"/>
  <c r="Q36" i="3" s="1"/>
  <c r="O36" i="3"/>
  <c r="M36" i="3"/>
  <c r="L36" i="3"/>
  <c r="J36" i="3" a="1"/>
  <c r="J36" i="3" s="1"/>
  <c r="H36" i="3"/>
  <c r="G36" i="3"/>
  <c r="F36" i="3"/>
  <c r="E36" i="3"/>
  <c r="D36" i="3"/>
  <c r="C36" i="3"/>
  <c r="EL36" i="3" s="1" a="1"/>
  <c r="EL36" i="3" s="1"/>
  <c r="EM36" i="3" s="1"/>
  <c r="B36" i="3"/>
  <c r="A36" i="3"/>
  <c r="DN35" i="3" a="1"/>
  <c r="DN35" i="3" s="1"/>
  <c r="DO35" i="3" s="1"/>
  <c r="CV35" i="3" a="1"/>
  <c r="CV35" i="3" s="1"/>
  <c r="CI35" i="3"/>
  <c r="CC35" i="3"/>
  <c r="BQ35" i="3"/>
  <c r="AG35" i="3"/>
  <c r="AB35" i="3" a="1"/>
  <c r="AB35" i="3" s="1"/>
  <c r="S35" i="3"/>
  <c r="R35" i="3"/>
  <c r="T35" i="3" s="1"/>
  <c r="I35" i="3"/>
  <c r="E35" i="3"/>
  <c r="D35" i="3"/>
  <c r="C35" i="3"/>
  <c r="DB35" i="3" s="1" a="1"/>
  <c r="DB35" i="3" s="1"/>
  <c r="B35" i="3"/>
  <c r="A35" i="3"/>
  <c r="EX34" i="3" a="1"/>
  <c r="EX34" i="3" s="1"/>
  <c r="EY34" i="3" s="1"/>
  <c r="EV34" i="3"/>
  <c r="EU34" i="3"/>
  <c r="ES34" i="3"/>
  <c r="EO34" i="3"/>
  <c r="EP34" i="3" s="1"/>
  <c r="EI34" i="3"/>
  <c r="EJ34" i="3" s="1"/>
  <c r="EF34" i="3"/>
  <c r="EG34" i="3" s="1"/>
  <c r="EF34" i="3" a="1"/>
  <c r="EA34" i="3"/>
  <c r="DZ34" i="3"/>
  <c r="DZ34" i="3" a="1"/>
  <c r="DT34" i="3"/>
  <c r="DU34" i="3" s="1"/>
  <c r="DT34" i="3" a="1"/>
  <c r="DR34" i="3"/>
  <c r="DQ34" i="3"/>
  <c r="DN34" i="3" a="1"/>
  <c r="DN34" i="3" s="1"/>
  <c r="DO34" i="3" s="1"/>
  <c r="DK34" i="3"/>
  <c r="DL34" i="3" s="1"/>
  <c r="DF34" i="3"/>
  <c r="DE34" i="3"/>
  <c r="CY34" i="3"/>
  <c r="CX34" i="3"/>
  <c r="CZ34" i="3" s="1"/>
  <c r="CU34" i="3"/>
  <c r="CT34" i="3"/>
  <c r="CS34" i="3"/>
  <c r="CR34" i="3"/>
  <c r="CP34" i="3" a="1"/>
  <c r="CP34" i="3" s="1"/>
  <c r="CO34" i="3"/>
  <c r="CM34" i="3"/>
  <c r="CJ34" i="3"/>
  <c r="CJ34" i="3" a="1"/>
  <c r="CI34" i="3"/>
  <c r="CD34" i="3"/>
  <c r="CD34" i="3" a="1"/>
  <c r="CC34" i="3"/>
  <c r="BZ34" i="3"/>
  <c r="BX34" i="3" a="1"/>
  <c r="BX34" i="3" s="1"/>
  <c r="BU34" i="3"/>
  <c r="BT34" i="3"/>
  <c r="BV34" i="3" s="1"/>
  <c r="BO34" i="3"/>
  <c r="BN34" i="3"/>
  <c r="BK34" i="3"/>
  <c r="BI34" i="3"/>
  <c r="BH34" i="3"/>
  <c r="BJ34" i="3" s="1"/>
  <c r="BF34" i="3" a="1"/>
  <c r="BF34" i="3" s="1"/>
  <c r="BE34" i="3"/>
  <c r="BC34" i="3"/>
  <c r="AZ34" i="3" a="1"/>
  <c r="AZ34" i="3" s="1"/>
  <c r="AY34" i="3"/>
  <c r="AT34" i="3"/>
  <c r="AT34" i="3" a="1"/>
  <c r="AS34" i="3"/>
  <c r="AU34" i="3" s="1"/>
  <c r="AQ34" i="3" a="1"/>
  <c r="AQ34" i="3" s="1"/>
  <c r="AP34" i="3"/>
  <c r="AR34" i="3" s="1"/>
  <c r="AK34" i="3"/>
  <c r="AJ34" i="3"/>
  <c r="AG34" i="3"/>
  <c r="AE34" i="3"/>
  <c r="AD34" i="3"/>
  <c r="AF34" i="3" s="1"/>
  <c r="AB34" i="3" a="1"/>
  <c r="AB34" i="3" s="1"/>
  <c r="AA34" i="3"/>
  <c r="Y34" i="3"/>
  <c r="V34" i="3" a="1"/>
  <c r="V34" i="3" s="1"/>
  <c r="U34" i="3"/>
  <c r="P34" i="3"/>
  <c r="P34" i="3" a="1"/>
  <c r="O34" i="3"/>
  <c r="Q34" i="3" s="1"/>
  <c r="L34" i="3"/>
  <c r="J34" i="3"/>
  <c r="J34" i="3" a="1"/>
  <c r="G34" i="3"/>
  <c r="F34" i="3"/>
  <c r="H34" i="3" s="1"/>
  <c r="E34" i="3"/>
  <c r="D34" i="3"/>
  <c r="C34" i="3"/>
  <c r="ER34" i="3" s="1" a="1"/>
  <c r="ER34" i="3" s="1"/>
  <c r="B34" i="3"/>
  <c r="A34" i="3"/>
  <c r="EX33" i="3" a="1"/>
  <c r="EX33" i="3" s="1"/>
  <c r="EY33" i="3" s="1"/>
  <c r="ER33" i="3"/>
  <c r="ES33" i="3" s="1"/>
  <c r="ER33" i="3" a="1"/>
  <c r="EL33" i="3" a="1"/>
  <c r="EL33" i="3" s="1"/>
  <c r="EM33" i="3" s="1"/>
  <c r="EI33" i="3"/>
  <c r="EJ33" i="3" s="1"/>
  <c r="EF33" i="3" a="1"/>
  <c r="EF33" i="3" s="1"/>
  <c r="EG33" i="3" s="1"/>
  <c r="DX33" i="3"/>
  <c r="DW33" i="3"/>
  <c r="DN33" i="3" a="1"/>
  <c r="DN33" i="3" s="1"/>
  <c r="DO33" i="3" s="1"/>
  <c r="DB33" i="3" a="1"/>
  <c r="DB33" i="3" s="1"/>
  <c r="DA33" i="3"/>
  <c r="CV33" i="3"/>
  <c r="CV33" i="3" a="1"/>
  <c r="CU33" i="3"/>
  <c r="CR33" i="3"/>
  <c r="CP33" i="3" a="1"/>
  <c r="CP33" i="3" s="1"/>
  <c r="CM33" i="3"/>
  <c r="CL33" i="3"/>
  <c r="CN33" i="3" s="1"/>
  <c r="CG33" i="3"/>
  <c r="CF33" i="3"/>
  <c r="CC33" i="3"/>
  <c r="BZ33" i="3"/>
  <c r="BX33" i="3" a="1"/>
  <c r="BX33" i="3" s="1"/>
  <c r="BW33" i="3"/>
  <c r="BU33" i="3"/>
  <c r="BR33" i="3" a="1"/>
  <c r="BR33" i="3" s="1"/>
  <c r="BQ33" i="3"/>
  <c r="BS33" i="3" s="1"/>
  <c r="BK33" i="3"/>
  <c r="BH33" i="3"/>
  <c r="BF33" i="3"/>
  <c r="BF33" i="3" a="1"/>
  <c r="BB33" i="3"/>
  <c r="AW33" i="3"/>
  <c r="AS33" i="3"/>
  <c r="AQ33" i="3"/>
  <c r="AQ33" i="3" a="1"/>
  <c r="AN33" i="3" a="1"/>
  <c r="AN33" i="3" s="1"/>
  <c r="AM33" i="3"/>
  <c r="AG33" i="3"/>
  <c r="AD33" i="3"/>
  <c r="AB33" i="3"/>
  <c r="AB33" i="3" a="1"/>
  <c r="X33" i="3"/>
  <c r="S33" i="3"/>
  <c r="O33" i="3"/>
  <c r="N33" i="3"/>
  <c r="M33" i="3"/>
  <c r="L33" i="3"/>
  <c r="I33" i="3"/>
  <c r="G33" i="3"/>
  <c r="E33" i="3"/>
  <c r="D33" i="3"/>
  <c r="C33" i="3"/>
  <c r="B33" i="3"/>
  <c r="A33" i="3"/>
  <c r="EX32" i="3" a="1"/>
  <c r="EX32" i="3" s="1"/>
  <c r="EY32" i="3" s="1"/>
  <c r="EV32" i="3"/>
  <c r="EU32" i="3"/>
  <c r="EP32" i="3"/>
  <c r="EO32" i="3"/>
  <c r="EI32" i="3"/>
  <c r="EJ32" i="3" s="1"/>
  <c r="EG32" i="3"/>
  <c r="EF32" i="3"/>
  <c r="EF32" i="3" a="1"/>
  <c r="DZ32" i="3"/>
  <c r="EA32" i="3" s="1"/>
  <c r="DZ32" i="3" a="1"/>
  <c r="DT32" i="3"/>
  <c r="DU32" i="3" s="1"/>
  <c r="DT32" i="3" a="1"/>
  <c r="DQ32" i="3"/>
  <c r="DR32" i="3" s="1"/>
  <c r="DN32" i="3" a="1"/>
  <c r="DN32" i="3" s="1"/>
  <c r="DO32" i="3" s="1"/>
  <c r="DL32" i="3"/>
  <c r="DK32" i="3"/>
  <c r="DF32" i="3"/>
  <c r="DE32" i="3"/>
  <c r="CY32" i="3"/>
  <c r="CX32" i="3"/>
  <c r="CZ32" i="3" s="1"/>
  <c r="CU32" i="3"/>
  <c r="CT32" i="3"/>
  <c r="CS32" i="3"/>
  <c r="CR32" i="3"/>
  <c r="CP32" i="3" a="1"/>
  <c r="CP32" i="3" s="1"/>
  <c r="CO32" i="3"/>
  <c r="CQ32" i="3" s="1"/>
  <c r="CM32" i="3"/>
  <c r="CJ32" i="3"/>
  <c r="CJ32" i="3" a="1"/>
  <c r="CI32" i="3"/>
  <c r="CK32" i="3" s="1"/>
  <c r="CD32" i="3"/>
  <c r="CE32" i="3" s="1"/>
  <c r="CD32" i="3" a="1"/>
  <c r="CC32" i="3"/>
  <c r="BZ32" i="3"/>
  <c r="BX32" i="3" a="1"/>
  <c r="BX32" i="3" s="1"/>
  <c r="BU32" i="3"/>
  <c r="BT32" i="3"/>
  <c r="BO32" i="3"/>
  <c r="BP32" i="3" s="1"/>
  <c r="BN32" i="3"/>
  <c r="BK32" i="3"/>
  <c r="BI32" i="3"/>
  <c r="BH32" i="3"/>
  <c r="BJ32" i="3" s="1"/>
  <c r="BF32" i="3" a="1"/>
  <c r="BF32" i="3" s="1"/>
  <c r="BE32" i="3"/>
  <c r="BC32" i="3"/>
  <c r="AZ32" i="3"/>
  <c r="AZ32" i="3" a="1"/>
  <c r="AY32" i="3"/>
  <c r="AT32" i="3"/>
  <c r="AT32" i="3" a="1"/>
  <c r="AS32" i="3"/>
  <c r="AU32" i="3" s="1"/>
  <c r="AQ32" i="3" a="1"/>
  <c r="AQ32" i="3" s="1"/>
  <c r="AP32" i="3"/>
  <c r="AK32" i="3"/>
  <c r="AL32" i="3" s="1"/>
  <c r="AJ32" i="3"/>
  <c r="AG32" i="3"/>
  <c r="AF32" i="3"/>
  <c r="AE32" i="3"/>
  <c r="AD32" i="3"/>
  <c r="AB32" i="3" a="1"/>
  <c r="AB32" i="3" s="1"/>
  <c r="AA32" i="3"/>
  <c r="Y32" i="3"/>
  <c r="V32" i="3"/>
  <c r="V32" i="3" a="1"/>
  <c r="U32" i="3"/>
  <c r="P32" i="3"/>
  <c r="Q32" i="3" s="1"/>
  <c r="P32" i="3" a="1"/>
  <c r="O32" i="3"/>
  <c r="L32" i="3"/>
  <c r="J32" i="3"/>
  <c r="J32" i="3" a="1"/>
  <c r="G32" i="3"/>
  <c r="F32" i="3"/>
  <c r="E32" i="3"/>
  <c r="D32" i="3"/>
  <c r="C32" i="3"/>
  <c r="ER32" i="3" s="1" a="1"/>
  <c r="ER32" i="3" s="1"/>
  <c r="ES32" i="3" s="1"/>
  <c r="B32" i="3"/>
  <c r="A32" i="3"/>
  <c r="E31" i="3"/>
  <c r="D31" i="3"/>
  <c r="C31" i="3"/>
  <c r="EX31" i="3" s="1" a="1"/>
  <c r="EX31" i="3" s="1"/>
  <c r="EY31" i="3" s="1"/>
  <c r="B31" i="3"/>
  <c r="A31" i="3"/>
  <c r="EX30" i="3" a="1"/>
  <c r="EX30" i="3" s="1"/>
  <c r="EY30" i="3" s="1"/>
  <c r="EV30" i="3"/>
  <c r="EU30" i="3"/>
  <c r="EP30" i="3"/>
  <c r="EO30" i="3"/>
  <c r="EI30" i="3"/>
  <c r="EJ30" i="3" s="1"/>
  <c r="EG30" i="3"/>
  <c r="EF30" i="3"/>
  <c r="EF30" i="3" a="1"/>
  <c r="EA30" i="3"/>
  <c r="DZ30" i="3"/>
  <c r="DZ30" i="3" a="1"/>
  <c r="DT30" i="3"/>
  <c r="DU30" i="3" s="1"/>
  <c r="DT30" i="3" a="1"/>
  <c r="DR30" i="3"/>
  <c r="DQ30" i="3"/>
  <c r="DN30" i="3" a="1"/>
  <c r="DN30" i="3" s="1"/>
  <c r="DO30" i="3" s="1"/>
  <c r="DL30" i="3"/>
  <c r="DK30" i="3"/>
  <c r="DF30" i="3"/>
  <c r="DE30" i="3"/>
  <c r="CZ30" i="3"/>
  <c r="CY30" i="3"/>
  <c r="CX30" i="3"/>
  <c r="CU30" i="3"/>
  <c r="CT30" i="3"/>
  <c r="CS30" i="3"/>
  <c r="CR30" i="3"/>
  <c r="CP30" i="3" a="1"/>
  <c r="CP30" i="3" s="1"/>
  <c r="CO30" i="3"/>
  <c r="CM30" i="3"/>
  <c r="CJ30" i="3"/>
  <c r="CJ30" i="3" a="1"/>
  <c r="CI30" i="3"/>
  <c r="CD30" i="3"/>
  <c r="CD30" i="3" a="1"/>
  <c r="CC30" i="3"/>
  <c r="BZ30" i="3"/>
  <c r="BX30" i="3" a="1"/>
  <c r="BX30" i="3" s="1"/>
  <c r="BU30" i="3"/>
  <c r="BT30" i="3"/>
  <c r="BO30" i="3"/>
  <c r="BN30" i="3"/>
  <c r="BP30" i="3" s="1"/>
  <c r="BK30" i="3"/>
  <c r="BI30" i="3"/>
  <c r="BH30" i="3"/>
  <c r="BJ30" i="3" s="1"/>
  <c r="BF30" i="3" a="1"/>
  <c r="BF30" i="3" s="1"/>
  <c r="BE30" i="3"/>
  <c r="BG30" i="3" s="1"/>
  <c r="BC30" i="3"/>
  <c r="AZ30" i="3" a="1"/>
  <c r="AZ30" i="3" s="1"/>
  <c r="AY30" i="3"/>
  <c r="AU30" i="3"/>
  <c r="AT30" i="3"/>
  <c r="AT30" i="3" a="1"/>
  <c r="AS30" i="3"/>
  <c r="AQ30" i="3" a="1"/>
  <c r="AQ30" i="3" s="1"/>
  <c r="AP30" i="3"/>
  <c r="AK30" i="3"/>
  <c r="AJ30" i="3"/>
  <c r="AG30" i="3"/>
  <c r="AE30" i="3"/>
  <c r="AD30" i="3"/>
  <c r="AF30" i="3" s="1"/>
  <c r="AB30" i="3" a="1"/>
  <c r="AB30" i="3" s="1"/>
  <c r="AA30" i="3"/>
  <c r="Y30" i="3"/>
  <c r="V30" i="3" a="1"/>
  <c r="V30" i="3" s="1"/>
  <c r="U30" i="3"/>
  <c r="W30" i="3" s="1"/>
  <c r="Q30" i="3"/>
  <c r="P30" i="3"/>
  <c r="P30" i="3" a="1"/>
  <c r="O30" i="3"/>
  <c r="L30" i="3"/>
  <c r="J30" i="3"/>
  <c r="J30" i="3" a="1"/>
  <c r="G30" i="3"/>
  <c r="F30" i="3"/>
  <c r="H30" i="3" s="1"/>
  <c r="E30" i="3"/>
  <c r="D30" i="3"/>
  <c r="C30" i="3"/>
  <c r="ER30" i="3" s="1" a="1"/>
  <c r="ER30" i="3" s="1"/>
  <c r="ES30" i="3" s="1"/>
  <c r="B30" i="3"/>
  <c r="A30" i="3"/>
  <c r="EX29" i="3" a="1"/>
  <c r="EX29" i="3" s="1"/>
  <c r="EY29" i="3" s="1"/>
  <c r="ER29" i="3" a="1"/>
  <c r="ER29" i="3" s="1"/>
  <c r="ES29" i="3" s="1"/>
  <c r="EL29" i="3" a="1"/>
  <c r="EL29" i="3" s="1"/>
  <c r="EM29" i="3" s="1"/>
  <c r="EJ29" i="3"/>
  <c r="EI29" i="3"/>
  <c r="EF29" i="3" a="1"/>
  <c r="EF29" i="3" s="1"/>
  <c r="EG29" i="3" s="1"/>
  <c r="DX29" i="3"/>
  <c r="DW29" i="3"/>
  <c r="DO29" i="3"/>
  <c r="DN29" i="3"/>
  <c r="DN29" i="3" a="1"/>
  <c r="DB29" i="3"/>
  <c r="DB29" i="3" a="1"/>
  <c r="DA29" i="3"/>
  <c r="CV29" i="3" a="1"/>
  <c r="CV29" i="3" s="1"/>
  <c r="CU29" i="3"/>
  <c r="CR29" i="3"/>
  <c r="CP29" i="3" a="1"/>
  <c r="CP29" i="3" s="1"/>
  <c r="CM29" i="3"/>
  <c r="CL29" i="3"/>
  <c r="CG29" i="3"/>
  <c r="CF29" i="3"/>
  <c r="CC29" i="3"/>
  <c r="BZ29" i="3"/>
  <c r="BX29" i="3" a="1"/>
  <c r="BX29" i="3" s="1"/>
  <c r="BW29" i="3"/>
  <c r="BY29" i="3" s="1"/>
  <c r="BU29" i="3"/>
  <c r="BR29" i="3" a="1"/>
  <c r="BR29" i="3" s="1"/>
  <c r="BQ29" i="3"/>
  <c r="BK29" i="3"/>
  <c r="BH29" i="3"/>
  <c r="BF29" i="3"/>
  <c r="BF29" i="3" a="1"/>
  <c r="BB29" i="3"/>
  <c r="AW29" i="3"/>
  <c r="AS29" i="3"/>
  <c r="AQ29" i="3"/>
  <c r="AQ29" i="3" a="1"/>
  <c r="AN29" i="3" a="1"/>
  <c r="AN29" i="3" s="1"/>
  <c r="AM29" i="3"/>
  <c r="AO29" i="3" s="1"/>
  <c r="AG29" i="3"/>
  <c r="AD29" i="3"/>
  <c r="AB29" i="3"/>
  <c r="AB29" i="3" a="1"/>
  <c r="X29" i="3"/>
  <c r="S29" i="3"/>
  <c r="O29" i="3"/>
  <c r="N29" i="3"/>
  <c r="M29" i="3"/>
  <c r="L29" i="3"/>
  <c r="I29" i="3"/>
  <c r="G29" i="3"/>
  <c r="E29" i="3"/>
  <c r="D29" i="3"/>
  <c r="C29" i="3"/>
  <c r="B29" i="3"/>
  <c r="A29" i="3"/>
  <c r="EX28" i="3" a="1"/>
  <c r="EX28" i="3" s="1"/>
  <c r="EY28" i="3" s="1"/>
  <c r="EU28" i="3"/>
  <c r="EV28" i="3" s="1"/>
  <c r="EP28" i="3"/>
  <c r="EO28" i="3"/>
  <c r="EI28" i="3"/>
  <c r="EJ28" i="3" s="1"/>
  <c r="EG28" i="3"/>
  <c r="EF28" i="3"/>
  <c r="EF28" i="3" a="1"/>
  <c r="DZ28" i="3" a="1"/>
  <c r="DZ28" i="3" s="1"/>
  <c r="EA28" i="3" s="1"/>
  <c r="DT28" i="3"/>
  <c r="DU28" i="3" s="1"/>
  <c r="DT28" i="3" a="1"/>
  <c r="DR28" i="3"/>
  <c r="DQ28" i="3"/>
  <c r="DN28" i="3" a="1"/>
  <c r="DN28" i="3" s="1"/>
  <c r="DO28" i="3" s="1"/>
  <c r="DL28" i="3"/>
  <c r="DK28" i="3"/>
  <c r="DF28" i="3"/>
  <c r="DE28" i="3"/>
  <c r="CY28" i="3"/>
  <c r="CX28" i="3"/>
  <c r="CZ28" i="3" s="1"/>
  <c r="CU28" i="3"/>
  <c r="CT28" i="3"/>
  <c r="CS28" i="3"/>
  <c r="CR28" i="3"/>
  <c r="CP28" i="3" a="1"/>
  <c r="CP28" i="3" s="1"/>
  <c r="CO28" i="3"/>
  <c r="CM28" i="3"/>
  <c r="CJ28" i="3"/>
  <c r="CJ28" i="3" a="1"/>
  <c r="CI28" i="3"/>
  <c r="CK28" i="3" s="1"/>
  <c r="CE28" i="3"/>
  <c r="CD28" i="3"/>
  <c r="CD28" i="3" a="1"/>
  <c r="CC28" i="3"/>
  <c r="BZ28" i="3"/>
  <c r="BX28" i="3"/>
  <c r="BX28" i="3" a="1"/>
  <c r="BU28" i="3"/>
  <c r="BT28" i="3"/>
  <c r="BP28" i="3"/>
  <c r="BO28" i="3"/>
  <c r="BN28" i="3"/>
  <c r="BK28" i="3"/>
  <c r="BJ28" i="3"/>
  <c r="BI28" i="3"/>
  <c r="BH28" i="3"/>
  <c r="BF28" i="3" a="1"/>
  <c r="BF28" i="3" s="1"/>
  <c r="BE28" i="3"/>
  <c r="BC28" i="3"/>
  <c r="AZ28" i="3"/>
  <c r="AZ28" i="3" a="1"/>
  <c r="AY28" i="3"/>
  <c r="AU28" i="3"/>
  <c r="AT28" i="3"/>
  <c r="AT28" i="3" a="1"/>
  <c r="AS28" i="3"/>
  <c r="AQ28" i="3" a="1"/>
  <c r="AQ28" i="3" s="1"/>
  <c r="AP28" i="3"/>
  <c r="AL28" i="3"/>
  <c r="AK28" i="3"/>
  <c r="AJ28" i="3"/>
  <c r="AG28" i="3"/>
  <c r="AF28" i="3"/>
  <c r="AE28" i="3"/>
  <c r="AD28" i="3"/>
  <c r="AB28" i="3" a="1"/>
  <c r="AB28" i="3" s="1"/>
  <c r="AA28" i="3"/>
  <c r="Y28" i="3"/>
  <c r="V28" i="3"/>
  <c r="V28" i="3" a="1"/>
  <c r="U28" i="3"/>
  <c r="P28" i="3" a="1"/>
  <c r="P28" i="3" s="1"/>
  <c r="O28" i="3"/>
  <c r="Q28" i="3" s="1"/>
  <c r="L28" i="3"/>
  <c r="J28" i="3"/>
  <c r="J28" i="3" a="1"/>
  <c r="G28" i="3"/>
  <c r="F28" i="3"/>
  <c r="E28" i="3"/>
  <c r="D28" i="3"/>
  <c r="C28" i="3"/>
  <c r="ER28" i="3" s="1" a="1"/>
  <c r="ER28" i="3" s="1"/>
  <c r="ES28" i="3" s="1"/>
  <c r="B28" i="3"/>
  <c r="A28" i="3"/>
  <c r="E27" i="3"/>
  <c r="D27" i="3"/>
  <c r="C27" i="3"/>
  <c r="CG27" i="3" s="1"/>
  <c r="B27" i="3"/>
  <c r="A27" i="3"/>
  <c r="EX26" i="3" a="1"/>
  <c r="EX26" i="3" s="1"/>
  <c r="EY26" i="3" s="1"/>
  <c r="EO26" i="3"/>
  <c r="EP26" i="3" s="1"/>
  <c r="DT26" i="3"/>
  <c r="DU26" i="3" s="1"/>
  <c r="DT26" i="3" a="1"/>
  <c r="CT26" i="3"/>
  <c r="CS26" i="3"/>
  <c r="CR26" i="3"/>
  <c r="CP26" i="3" a="1"/>
  <c r="CP26" i="3" s="1"/>
  <c r="CJ26" i="3" a="1"/>
  <c r="CJ26" i="3" s="1"/>
  <c r="CI26" i="3"/>
  <c r="CK26" i="3" s="1"/>
  <c r="CD26" i="3"/>
  <c r="CD26" i="3" a="1"/>
  <c r="BX26" i="3" a="1"/>
  <c r="BX26" i="3" s="1"/>
  <c r="BW26" i="3"/>
  <c r="BR26" i="3" a="1"/>
  <c r="BR26" i="3" s="1"/>
  <c r="BQ26" i="3"/>
  <c r="BN26" i="3"/>
  <c r="BI26" i="3"/>
  <c r="BH26" i="3"/>
  <c r="BJ26" i="3" s="1"/>
  <c r="BB26" i="3"/>
  <c r="AY26" i="3"/>
  <c r="AT26" i="3" a="1"/>
  <c r="AT26" i="3" s="1"/>
  <c r="AS26" i="3"/>
  <c r="AN26" i="3" a="1"/>
  <c r="AN26" i="3" s="1"/>
  <c r="AM26" i="3"/>
  <c r="AO26" i="3" s="1"/>
  <c r="AJ26" i="3"/>
  <c r="AE26" i="3"/>
  <c r="AD26" i="3"/>
  <c r="AF26" i="3" s="1"/>
  <c r="X26" i="3"/>
  <c r="U26" i="3"/>
  <c r="P26" i="3" a="1"/>
  <c r="P26" i="3" s="1"/>
  <c r="O26" i="3"/>
  <c r="Q26" i="3" s="1"/>
  <c r="M26" i="3"/>
  <c r="I26" i="3"/>
  <c r="E26" i="3"/>
  <c r="D26" i="3"/>
  <c r="C26" i="3"/>
  <c r="B26" i="3"/>
  <c r="A26" i="3"/>
  <c r="EX25" i="3" a="1"/>
  <c r="EX25" i="3" s="1"/>
  <c r="EY25" i="3" s="1"/>
  <c r="EV25" i="3"/>
  <c r="EU25" i="3"/>
  <c r="ER25" i="3" a="1"/>
  <c r="ER25" i="3" s="1"/>
  <c r="ES25" i="3" s="1"/>
  <c r="EP25" i="3"/>
  <c r="EO25" i="3"/>
  <c r="EJ25" i="3"/>
  <c r="EI25" i="3"/>
  <c r="EG25" i="3"/>
  <c r="EF25" i="3"/>
  <c r="EF25" i="3" a="1"/>
  <c r="EC25" i="3"/>
  <c r="ED25" i="3" s="1"/>
  <c r="DZ25" i="3" a="1"/>
  <c r="DZ25" i="3" s="1"/>
  <c r="EA25" i="3" s="1"/>
  <c r="DT25" i="3" a="1"/>
  <c r="DT25" i="3" s="1"/>
  <c r="DU25" i="3" s="1"/>
  <c r="DR25" i="3"/>
  <c r="DQ25" i="3"/>
  <c r="DN25" i="3"/>
  <c r="DO25" i="3" s="1"/>
  <c r="DN25" i="3" a="1"/>
  <c r="DK25" i="3"/>
  <c r="DL25" i="3" s="1"/>
  <c r="DH25" i="3" a="1"/>
  <c r="DH25" i="3" s="1"/>
  <c r="DI25" i="3" s="1"/>
  <c r="DE25" i="3"/>
  <c r="DF25" i="3" s="1"/>
  <c r="DA25" i="3"/>
  <c r="CY25" i="3"/>
  <c r="CX25" i="3"/>
  <c r="CZ25" i="3" s="1"/>
  <c r="CV25" i="3" a="1"/>
  <c r="CV25" i="3" s="1"/>
  <c r="CU25" i="3"/>
  <c r="CS25" i="3"/>
  <c r="CT25" i="3" s="1"/>
  <c r="CR25" i="3"/>
  <c r="CP25" i="3" a="1"/>
  <c r="CP25" i="3" s="1"/>
  <c r="CO25" i="3"/>
  <c r="CM25" i="3"/>
  <c r="CJ25" i="3" a="1"/>
  <c r="CJ25" i="3" s="1"/>
  <c r="CK25" i="3" s="1"/>
  <c r="CI25" i="3"/>
  <c r="CF25" i="3"/>
  <c r="CE25" i="3"/>
  <c r="CD25" i="3"/>
  <c r="CD25" i="3" a="1"/>
  <c r="CC25" i="3"/>
  <c r="CA25" i="3"/>
  <c r="BZ25" i="3"/>
  <c r="CB25" i="3" s="1"/>
  <c r="BX25" i="3"/>
  <c r="BX25" i="3" a="1"/>
  <c r="BU25" i="3"/>
  <c r="BT25" i="3"/>
  <c r="BV25" i="3" s="1"/>
  <c r="BQ25" i="3"/>
  <c r="BO25" i="3"/>
  <c r="BN25" i="3"/>
  <c r="BP25" i="3" s="1"/>
  <c r="BL25" i="3" a="1"/>
  <c r="BL25" i="3" s="1"/>
  <c r="BK25" i="3"/>
  <c r="BM25" i="3" s="1"/>
  <c r="BI25" i="3"/>
  <c r="BH25" i="3"/>
  <c r="BJ25" i="3" s="1"/>
  <c r="BF25" i="3" a="1"/>
  <c r="BF25" i="3" s="1"/>
  <c r="BE25" i="3"/>
  <c r="BC25" i="3"/>
  <c r="AZ25" i="3" a="1"/>
  <c r="AZ25" i="3" s="1"/>
  <c r="AY25" i="3"/>
  <c r="AV25" i="3"/>
  <c r="AU25" i="3"/>
  <c r="AT25" i="3"/>
  <c r="AT25" i="3" a="1"/>
  <c r="AS25" i="3"/>
  <c r="AQ25" i="3"/>
  <c r="AQ25" i="3" a="1"/>
  <c r="AP25" i="3"/>
  <c r="AR25" i="3" s="1"/>
  <c r="AM25" i="3"/>
  <c r="AK25" i="3"/>
  <c r="AJ25" i="3"/>
  <c r="AL25" i="3" s="1"/>
  <c r="AI25" i="3"/>
  <c r="AH25" i="3" a="1"/>
  <c r="AH25" i="3" s="1"/>
  <c r="AG25" i="3"/>
  <c r="AE25" i="3"/>
  <c r="AD25" i="3"/>
  <c r="AF25" i="3" s="1"/>
  <c r="AB25" i="3" a="1"/>
  <c r="AB25" i="3" s="1"/>
  <c r="AA25" i="3"/>
  <c r="Y25" i="3"/>
  <c r="V25" i="3" a="1"/>
  <c r="V25" i="3" s="1"/>
  <c r="U25" i="3"/>
  <c r="R25" i="3"/>
  <c r="P25" i="3" a="1"/>
  <c r="P25" i="3" s="1"/>
  <c r="O25" i="3"/>
  <c r="M25" i="3"/>
  <c r="L25" i="3"/>
  <c r="J25" i="3" a="1"/>
  <c r="J25" i="3" s="1"/>
  <c r="H25" i="3"/>
  <c r="G25" i="3"/>
  <c r="F25" i="3"/>
  <c r="E25" i="3"/>
  <c r="D25" i="3"/>
  <c r="C25" i="3"/>
  <c r="EL25" i="3" s="1" a="1"/>
  <c r="EL25" i="3" s="1"/>
  <c r="EM25" i="3" s="1"/>
  <c r="B25" i="3"/>
  <c r="A25" i="3"/>
  <c r="E24" i="3"/>
  <c r="D24" i="3"/>
  <c r="C24" i="3"/>
  <c r="EU24" i="3" s="1"/>
  <c r="EV24" i="3" s="1"/>
  <c r="B24" i="3"/>
  <c r="A24" i="3"/>
  <c r="EX23" i="3"/>
  <c r="EY23" i="3" s="1"/>
  <c r="EX23" i="3" a="1"/>
  <c r="EU23" i="3"/>
  <c r="EV23" i="3" s="1"/>
  <c r="ER23" i="3" a="1"/>
  <c r="ER23" i="3" s="1"/>
  <c r="ES23" i="3" s="1"/>
  <c r="EP23" i="3"/>
  <c r="EO23" i="3"/>
  <c r="EL23" i="3"/>
  <c r="EM23" i="3" s="1"/>
  <c r="EJ23" i="3"/>
  <c r="EI23" i="3"/>
  <c r="EG23" i="3"/>
  <c r="EF23" i="3"/>
  <c r="EF23" i="3" a="1"/>
  <c r="EC23" i="3"/>
  <c r="ED23" i="3" s="1"/>
  <c r="DZ23" i="3" a="1"/>
  <c r="DZ23" i="3" s="1"/>
  <c r="EA23" i="3" s="1"/>
  <c r="DT23" i="3" a="1"/>
  <c r="DT23" i="3" s="1"/>
  <c r="DU23" i="3" s="1"/>
  <c r="DR23" i="3"/>
  <c r="DQ23" i="3"/>
  <c r="DN23" i="3" a="1"/>
  <c r="DN23" i="3" s="1"/>
  <c r="DO23" i="3" s="1"/>
  <c r="DK23" i="3"/>
  <c r="DL23" i="3" s="1"/>
  <c r="DH23" i="3" a="1"/>
  <c r="DH23" i="3" s="1"/>
  <c r="DI23" i="3" s="1"/>
  <c r="DE23" i="3"/>
  <c r="DF23" i="3" s="1"/>
  <c r="DA23" i="3"/>
  <c r="CZ23" i="3"/>
  <c r="CY23" i="3"/>
  <c r="CX23" i="3"/>
  <c r="CV23" i="3" a="1"/>
  <c r="CV23" i="3" s="1"/>
  <c r="CU23" i="3"/>
  <c r="CW23" i="3" s="1"/>
  <c r="CT23" i="3"/>
  <c r="CS23" i="3"/>
  <c r="CR23" i="3"/>
  <c r="CP23" i="3" a="1"/>
  <c r="CP23" i="3" s="1"/>
  <c r="CO23" i="3"/>
  <c r="CM23" i="3"/>
  <c r="CJ23" i="3"/>
  <c r="CJ23" i="3" a="1"/>
  <c r="CI23" i="3"/>
  <c r="CK23" i="3" s="1"/>
  <c r="CF23" i="3"/>
  <c r="CD23" i="3"/>
  <c r="CD23" i="3" a="1"/>
  <c r="CC23" i="3"/>
  <c r="CA23" i="3"/>
  <c r="BZ23" i="3"/>
  <c r="BX23" i="3" a="1"/>
  <c r="BX23" i="3" s="1"/>
  <c r="BV23" i="3"/>
  <c r="BU23" i="3"/>
  <c r="BT23" i="3"/>
  <c r="BQ23" i="3"/>
  <c r="BP23" i="3"/>
  <c r="BO23" i="3"/>
  <c r="BN23" i="3"/>
  <c r="BL23" i="3" a="1"/>
  <c r="BL23" i="3" s="1"/>
  <c r="BK23" i="3"/>
  <c r="BM23" i="3" s="1"/>
  <c r="BI23" i="3"/>
  <c r="BJ23" i="3" s="1"/>
  <c r="BH23" i="3"/>
  <c r="BF23" i="3" a="1"/>
  <c r="BF23" i="3" s="1"/>
  <c r="BE23" i="3"/>
  <c r="BG23" i="3" s="1"/>
  <c r="BC23" i="3"/>
  <c r="AZ23" i="3" a="1"/>
  <c r="AZ23" i="3" s="1"/>
  <c r="AY23" i="3"/>
  <c r="AV23" i="3"/>
  <c r="AT23" i="3" a="1"/>
  <c r="AT23" i="3" s="1"/>
  <c r="AS23" i="3"/>
  <c r="AQ23" i="3"/>
  <c r="AQ23" i="3" a="1"/>
  <c r="AP23" i="3"/>
  <c r="AM23" i="3"/>
  <c r="AK23" i="3"/>
  <c r="AL23" i="3" s="1"/>
  <c r="AJ23" i="3"/>
  <c r="AH23" i="3" a="1"/>
  <c r="AH23" i="3" s="1"/>
  <c r="AG23" i="3"/>
  <c r="AI23" i="3" s="1"/>
  <c r="AF23" i="3"/>
  <c r="AE23" i="3"/>
  <c r="AD23" i="3"/>
  <c r="AB23" i="3" a="1"/>
  <c r="AB23" i="3" s="1"/>
  <c r="AA23" i="3"/>
  <c r="Y23" i="3"/>
  <c r="V23" i="3" a="1"/>
  <c r="V23" i="3" s="1"/>
  <c r="U23" i="3"/>
  <c r="W23" i="3" s="1"/>
  <c r="R23" i="3"/>
  <c r="P23" i="3" a="1"/>
  <c r="P23" i="3" s="1"/>
  <c r="O23" i="3"/>
  <c r="Q23" i="3" s="1"/>
  <c r="M23" i="3"/>
  <c r="L23" i="3"/>
  <c r="N23" i="3" s="1"/>
  <c r="J23" i="3" a="1"/>
  <c r="J23" i="3" s="1"/>
  <c r="G23" i="3"/>
  <c r="F23" i="3"/>
  <c r="H23" i="3" s="1"/>
  <c r="E23" i="3"/>
  <c r="D23" i="3"/>
  <c r="C23" i="3"/>
  <c r="EL23" i="3" s="1" a="1"/>
  <c r="B23" i="3"/>
  <c r="A23" i="3"/>
  <c r="EY22" i="3"/>
  <c r="EX22" i="3"/>
  <c r="EX22" i="3" a="1"/>
  <c r="ER22" i="3" a="1"/>
  <c r="ER22" i="3" s="1"/>
  <c r="ES22" i="3" s="1"/>
  <c r="EL22" i="3" a="1"/>
  <c r="EL22" i="3" s="1"/>
  <c r="EM22" i="3" s="1"/>
  <c r="EI22" i="3"/>
  <c r="EJ22" i="3" s="1"/>
  <c r="EF22" i="3"/>
  <c r="EG22" i="3" s="1"/>
  <c r="EF22" i="3" a="1"/>
  <c r="EC22" i="3"/>
  <c r="ED22" i="3" s="1"/>
  <c r="DZ22" i="3" a="1"/>
  <c r="DZ22" i="3" s="1"/>
  <c r="EA22" i="3" s="1"/>
  <c r="DX22" i="3"/>
  <c r="DW22" i="3"/>
  <c r="DR22" i="3"/>
  <c r="DQ22" i="3"/>
  <c r="DK22" i="3"/>
  <c r="DL22" i="3" s="1"/>
  <c r="DH22" i="3"/>
  <c r="DI22" i="3" s="1"/>
  <c r="DH22" i="3" a="1"/>
  <c r="DB22" i="3" a="1"/>
  <c r="DB22" i="3" s="1"/>
  <c r="DA22" i="3"/>
  <c r="CX22" i="3"/>
  <c r="CV22" i="3"/>
  <c r="CV22" i="3" a="1"/>
  <c r="CU22" i="3"/>
  <c r="CW22" i="3" s="1"/>
  <c r="CS22" i="3"/>
  <c r="CR22" i="3"/>
  <c r="CP22" i="3"/>
  <c r="CP22" i="3" a="1"/>
  <c r="CM22" i="3"/>
  <c r="CN22" i="3" s="1"/>
  <c r="CL22" i="3"/>
  <c r="CI22" i="3"/>
  <c r="CH22" i="3"/>
  <c r="CG22" i="3"/>
  <c r="CF22" i="3"/>
  <c r="CD22" i="3" a="1"/>
  <c r="CD22" i="3" s="1"/>
  <c r="CC22" i="3"/>
  <c r="CB22" i="3"/>
  <c r="CA22" i="3"/>
  <c r="BZ22" i="3"/>
  <c r="BX22" i="3" a="1"/>
  <c r="BX22" i="3" s="1"/>
  <c r="BW22" i="3"/>
  <c r="BY22" i="3" s="1"/>
  <c r="BU22" i="3"/>
  <c r="BR22" i="3" a="1"/>
  <c r="BR22" i="3" s="1"/>
  <c r="BQ22" i="3"/>
  <c r="BN22" i="3"/>
  <c r="BL22" i="3" a="1"/>
  <c r="BL22" i="3" s="1"/>
  <c r="BK22" i="3"/>
  <c r="BM22" i="3" s="1"/>
  <c r="BI22" i="3"/>
  <c r="BH22" i="3"/>
  <c r="BF22" i="3" a="1"/>
  <c r="BF22" i="3" s="1"/>
  <c r="BD22" i="3"/>
  <c r="BC22" i="3"/>
  <c r="BB22" i="3"/>
  <c r="AY22" i="3"/>
  <c r="AW22" i="3"/>
  <c r="AV22" i="3"/>
  <c r="AX22" i="3" s="1"/>
  <c r="AS22" i="3"/>
  <c r="AQ22" i="3"/>
  <c r="AQ22" i="3" a="1"/>
  <c r="AN22" i="3" a="1"/>
  <c r="AN22" i="3" s="1"/>
  <c r="AM22" i="3"/>
  <c r="AO22" i="3" s="1"/>
  <c r="AJ22" i="3"/>
  <c r="AH22" i="3" a="1"/>
  <c r="AH22" i="3" s="1"/>
  <c r="AG22" i="3"/>
  <c r="AE22" i="3"/>
  <c r="AD22" i="3"/>
  <c r="AF22" i="3" s="1"/>
  <c r="AB22" i="3" a="1"/>
  <c r="AB22" i="3" s="1"/>
  <c r="Z22" i="3"/>
  <c r="Y22" i="3"/>
  <c r="X22" i="3"/>
  <c r="U22" i="3"/>
  <c r="T22" i="3"/>
  <c r="S22" i="3"/>
  <c r="R22" i="3"/>
  <c r="O22" i="3"/>
  <c r="M22" i="3"/>
  <c r="L22" i="3"/>
  <c r="N22" i="3" s="1"/>
  <c r="I22" i="3"/>
  <c r="G22" i="3"/>
  <c r="E22" i="3"/>
  <c r="D22" i="3"/>
  <c r="C22" i="3"/>
  <c r="B22" i="3"/>
  <c r="A22" i="3"/>
  <c r="EX21" i="3"/>
  <c r="EY21" i="3" s="1"/>
  <c r="EX21" i="3" a="1"/>
  <c r="ER21" i="3" a="1"/>
  <c r="ER21" i="3" s="1"/>
  <c r="ES21" i="3" s="1"/>
  <c r="EO21" i="3"/>
  <c r="EP21" i="3" s="1"/>
  <c r="EI21" i="3"/>
  <c r="EJ21" i="3" s="1"/>
  <c r="EG21" i="3"/>
  <c r="EF21" i="3"/>
  <c r="EF21" i="3" a="1"/>
  <c r="DZ21" i="3" a="1"/>
  <c r="DZ21" i="3" s="1"/>
  <c r="EA21" i="3" s="1"/>
  <c r="DR21" i="3"/>
  <c r="DQ21" i="3"/>
  <c r="DN21" i="3" a="1"/>
  <c r="DN21" i="3" s="1"/>
  <c r="DO21" i="3" s="1"/>
  <c r="DI21" i="3"/>
  <c r="DH21" i="3" a="1"/>
  <c r="DH21" i="3" s="1"/>
  <c r="DF21" i="3"/>
  <c r="DE21" i="3"/>
  <c r="DA21" i="3"/>
  <c r="CZ21" i="3"/>
  <c r="CY21" i="3"/>
  <c r="CX21" i="3"/>
  <c r="CU21" i="3"/>
  <c r="CS21" i="3"/>
  <c r="CR21" i="3"/>
  <c r="CT21" i="3" s="1"/>
  <c r="CO21" i="3"/>
  <c r="CM21" i="3"/>
  <c r="CI21" i="3"/>
  <c r="CF21" i="3"/>
  <c r="CC21" i="3"/>
  <c r="CA21" i="3"/>
  <c r="BZ21" i="3"/>
  <c r="CB21" i="3" s="1"/>
  <c r="BV21" i="3"/>
  <c r="BU21" i="3"/>
  <c r="BT21" i="3"/>
  <c r="BO21" i="3"/>
  <c r="BN21" i="3"/>
  <c r="BP21" i="3" s="1"/>
  <c r="BI21" i="3"/>
  <c r="BH21" i="3"/>
  <c r="BJ21" i="3" s="1"/>
  <c r="BC21" i="3"/>
  <c r="AV21" i="3"/>
  <c r="AQ21" i="3"/>
  <c r="AQ21" i="3" a="1"/>
  <c r="AP21" i="3"/>
  <c r="AR21" i="3" s="1"/>
  <c r="AL21" i="3"/>
  <c r="AK21" i="3"/>
  <c r="AJ21" i="3"/>
  <c r="AG21" i="3"/>
  <c r="AF21" i="3"/>
  <c r="AE21" i="3"/>
  <c r="AD21" i="3"/>
  <c r="AB21" i="3" a="1"/>
  <c r="AB21" i="3" s="1"/>
  <c r="AA21" i="3"/>
  <c r="Y21" i="3"/>
  <c r="V21" i="3"/>
  <c r="V21" i="3" a="1"/>
  <c r="U21" i="3"/>
  <c r="P21" i="3"/>
  <c r="P21" i="3" a="1"/>
  <c r="O21" i="3"/>
  <c r="Q21" i="3" s="1"/>
  <c r="L21" i="3"/>
  <c r="J21" i="3" a="1"/>
  <c r="J21" i="3" s="1"/>
  <c r="G21" i="3"/>
  <c r="F21" i="3"/>
  <c r="E21" i="3"/>
  <c r="D21" i="3"/>
  <c r="C21" i="3"/>
  <c r="B21" i="3"/>
  <c r="A21" i="3"/>
  <c r="BF20" i="3" a="1"/>
  <c r="BF20" i="3" s="1"/>
  <c r="AW20" i="3"/>
  <c r="AQ20" i="3" a="1"/>
  <c r="AQ20" i="3" s="1"/>
  <c r="AB20" i="3" a="1"/>
  <c r="AB20" i="3" s="1"/>
  <c r="S20" i="3"/>
  <c r="L20" i="3"/>
  <c r="E20" i="3"/>
  <c r="D20" i="3"/>
  <c r="C20" i="3"/>
  <c r="EX20" i="3" s="1" a="1"/>
  <c r="EX20" i="3" s="1"/>
  <c r="EY20" i="3" s="1"/>
  <c r="B20" i="3"/>
  <c r="A20" i="3"/>
  <c r="EX19" i="3" a="1"/>
  <c r="EX19" i="3" s="1"/>
  <c r="EY19" i="3" s="1"/>
  <c r="EV19" i="3"/>
  <c r="EU19" i="3"/>
  <c r="EP19" i="3"/>
  <c r="EO19" i="3"/>
  <c r="EI19" i="3"/>
  <c r="EJ19" i="3" s="1"/>
  <c r="EF19" i="3"/>
  <c r="EG19" i="3" s="1"/>
  <c r="EF19" i="3" a="1"/>
  <c r="EA19" i="3"/>
  <c r="DZ19" i="3"/>
  <c r="DZ19" i="3" a="1"/>
  <c r="DT19" i="3"/>
  <c r="DU19" i="3" s="1"/>
  <c r="DT19" i="3" a="1"/>
  <c r="DR19" i="3"/>
  <c r="DQ19" i="3"/>
  <c r="DN19" i="3" a="1"/>
  <c r="DN19" i="3" s="1"/>
  <c r="DO19" i="3" s="1"/>
  <c r="DK19" i="3"/>
  <c r="DL19" i="3" s="1"/>
  <c r="DF19" i="3"/>
  <c r="DE19" i="3"/>
  <c r="CZ19" i="3"/>
  <c r="CY19" i="3"/>
  <c r="CX19" i="3"/>
  <c r="CU19" i="3"/>
  <c r="CS19" i="3"/>
  <c r="CR19" i="3"/>
  <c r="CT19" i="3" s="1"/>
  <c r="CP19" i="3" a="1"/>
  <c r="CP19" i="3" s="1"/>
  <c r="CO19" i="3"/>
  <c r="CM19" i="3"/>
  <c r="CJ19" i="3"/>
  <c r="CJ19" i="3" a="1"/>
  <c r="CI19" i="3"/>
  <c r="CD19" i="3" a="1"/>
  <c r="CD19" i="3" s="1"/>
  <c r="CC19" i="3"/>
  <c r="CE19" i="3" s="1"/>
  <c r="BZ19" i="3"/>
  <c r="BX19" i="3" a="1"/>
  <c r="BX19" i="3" s="1"/>
  <c r="BU19" i="3"/>
  <c r="BT19" i="3"/>
  <c r="BO19" i="3"/>
  <c r="BN19" i="3"/>
  <c r="BP19" i="3" s="1"/>
  <c r="BK19" i="3"/>
  <c r="BI19" i="3"/>
  <c r="BH19" i="3"/>
  <c r="BJ19" i="3" s="1"/>
  <c r="BF19" i="3" a="1"/>
  <c r="BF19" i="3" s="1"/>
  <c r="BE19" i="3"/>
  <c r="BC19" i="3"/>
  <c r="AZ19" i="3" a="1"/>
  <c r="AZ19" i="3" s="1"/>
  <c r="AY19" i="3"/>
  <c r="AU19" i="3"/>
  <c r="AT19" i="3"/>
  <c r="AT19" i="3" a="1"/>
  <c r="AS19" i="3"/>
  <c r="AQ19" i="3" a="1"/>
  <c r="AQ19" i="3" s="1"/>
  <c r="AP19" i="3"/>
  <c r="AK19" i="3"/>
  <c r="AJ19" i="3"/>
  <c r="AL19" i="3" s="1"/>
  <c r="AG19" i="3"/>
  <c r="AE19" i="3"/>
  <c r="AD19" i="3"/>
  <c r="AF19" i="3" s="1"/>
  <c r="AB19" i="3" a="1"/>
  <c r="AB19" i="3" s="1"/>
  <c r="AA19" i="3"/>
  <c r="Y19" i="3"/>
  <c r="V19" i="3" a="1"/>
  <c r="V19" i="3" s="1"/>
  <c r="U19" i="3"/>
  <c r="Q19" i="3"/>
  <c r="P19" i="3"/>
  <c r="P19" i="3" a="1"/>
  <c r="O19" i="3"/>
  <c r="L19" i="3"/>
  <c r="J19" i="3"/>
  <c r="J19" i="3" a="1"/>
  <c r="G19" i="3"/>
  <c r="F19" i="3"/>
  <c r="H19" i="3" s="1"/>
  <c r="E19" i="3"/>
  <c r="D19" i="3"/>
  <c r="C19" i="3"/>
  <c r="ER19" i="3" s="1" a="1"/>
  <c r="ER19" i="3" s="1"/>
  <c r="ES19" i="3" s="1"/>
  <c r="B19" i="3"/>
  <c r="A19" i="3"/>
  <c r="EX18" i="3" a="1"/>
  <c r="EX18" i="3" s="1"/>
  <c r="EY18" i="3" s="1"/>
  <c r="ES18" i="3"/>
  <c r="ER18" i="3"/>
  <c r="ER18" i="3" a="1"/>
  <c r="EL18" i="3" a="1"/>
  <c r="EL18" i="3" s="1"/>
  <c r="EM18" i="3" s="1"/>
  <c r="EJ18" i="3"/>
  <c r="EI18" i="3"/>
  <c r="EF18" i="3" a="1"/>
  <c r="EF18" i="3" s="1"/>
  <c r="EG18" i="3" s="1"/>
  <c r="DX18" i="3"/>
  <c r="DW18" i="3"/>
  <c r="DN18" i="3"/>
  <c r="DO18" i="3" s="1"/>
  <c r="DN18" i="3" a="1"/>
  <c r="DB18" i="3"/>
  <c r="DB18" i="3" a="1"/>
  <c r="DA18" i="3"/>
  <c r="CV18" i="3" a="1"/>
  <c r="CV18" i="3" s="1"/>
  <c r="CU18" i="3"/>
  <c r="CR18" i="3"/>
  <c r="CP18" i="3" a="1"/>
  <c r="CP18" i="3" s="1"/>
  <c r="CM18" i="3"/>
  <c r="CL18" i="3"/>
  <c r="CG18" i="3"/>
  <c r="CF18" i="3"/>
  <c r="CH18" i="3" s="1"/>
  <c r="CC18" i="3"/>
  <c r="BZ18" i="3"/>
  <c r="BX18" i="3" a="1"/>
  <c r="BX18" i="3" s="1"/>
  <c r="BW18" i="3"/>
  <c r="BU18" i="3"/>
  <c r="BR18" i="3" a="1"/>
  <c r="BR18" i="3" s="1"/>
  <c r="BQ18" i="3"/>
  <c r="BK18" i="3"/>
  <c r="BH18" i="3"/>
  <c r="BF18" i="3"/>
  <c r="BF18" i="3" a="1"/>
  <c r="BB18" i="3"/>
  <c r="AW18" i="3"/>
  <c r="AS18" i="3"/>
  <c r="AQ18" i="3"/>
  <c r="AQ18" i="3" a="1"/>
  <c r="AN18" i="3" a="1"/>
  <c r="AN18" i="3" s="1"/>
  <c r="AM18" i="3"/>
  <c r="AG18" i="3"/>
  <c r="AD18" i="3"/>
  <c r="AB18" i="3"/>
  <c r="AB18" i="3" a="1"/>
  <c r="X18" i="3"/>
  <c r="S18" i="3"/>
  <c r="O18" i="3"/>
  <c r="N18" i="3"/>
  <c r="M18" i="3"/>
  <c r="L18" i="3"/>
  <c r="I18" i="3"/>
  <c r="G18" i="3"/>
  <c r="E18" i="3"/>
  <c r="D18" i="3"/>
  <c r="C18" i="3"/>
  <c r="B18" i="3"/>
  <c r="A18" i="3"/>
  <c r="EX17" i="3" a="1"/>
  <c r="EX17" i="3" s="1"/>
  <c r="EY17" i="3" s="1"/>
  <c r="EU17" i="3"/>
  <c r="EV17" i="3" s="1"/>
  <c r="ES17" i="3"/>
  <c r="EP17" i="3"/>
  <c r="EO17" i="3"/>
  <c r="EI17" i="3"/>
  <c r="EJ17" i="3" s="1"/>
  <c r="EG17" i="3"/>
  <c r="EF17" i="3"/>
  <c r="EF17" i="3" a="1"/>
  <c r="DZ17" i="3" a="1"/>
  <c r="DZ17" i="3" s="1"/>
  <c r="EA17" i="3" s="1"/>
  <c r="DT17" i="3"/>
  <c r="DU17" i="3" s="1"/>
  <c r="DT17" i="3" a="1"/>
  <c r="DQ17" i="3"/>
  <c r="DR17" i="3" s="1"/>
  <c r="DN17" i="3" a="1"/>
  <c r="DN17" i="3" s="1"/>
  <c r="DO17" i="3" s="1"/>
  <c r="DL17" i="3"/>
  <c r="DK17" i="3"/>
  <c r="DE17" i="3"/>
  <c r="DF17" i="3" s="1"/>
  <c r="CY17" i="3"/>
  <c r="CX17" i="3"/>
  <c r="CZ17" i="3" s="1"/>
  <c r="CU17" i="3"/>
  <c r="CT17" i="3"/>
  <c r="CS17" i="3"/>
  <c r="CR17" i="3"/>
  <c r="CP17" i="3" a="1"/>
  <c r="CP17" i="3" s="1"/>
  <c r="CO17" i="3"/>
  <c r="CQ17" i="3" s="1"/>
  <c r="CM17" i="3"/>
  <c r="CJ17" i="3"/>
  <c r="CJ17" i="3" a="1"/>
  <c r="CI17" i="3"/>
  <c r="CK17" i="3" s="1"/>
  <c r="CE17" i="3"/>
  <c r="CD17" i="3"/>
  <c r="CD17" i="3" a="1"/>
  <c r="CC17" i="3"/>
  <c r="BZ17" i="3"/>
  <c r="BX17" i="3"/>
  <c r="BX17" i="3" a="1"/>
  <c r="BU17" i="3"/>
  <c r="BT17" i="3"/>
  <c r="BP17" i="3"/>
  <c r="BO17" i="3"/>
  <c r="BN17" i="3"/>
  <c r="BK17" i="3"/>
  <c r="BI17" i="3"/>
  <c r="BJ17" i="3" s="1"/>
  <c r="BH17" i="3"/>
  <c r="BF17" i="3" a="1"/>
  <c r="BF17" i="3" s="1"/>
  <c r="BE17" i="3"/>
  <c r="BC17" i="3"/>
  <c r="AZ17" i="3"/>
  <c r="AZ17" i="3" a="1"/>
  <c r="AY17" i="3"/>
  <c r="AT17" i="3" a="1"/>
  <c r="AT17" i="3" s="1"/>
  <c r="AS17" i="3"/>
  <c r="AU17" i="3" s="1"/>
  <c r="AQ17" i="3" a="1"/>
  <c r="AQ17" i="3" s="1"/>
  <c r="AP17" i="3"/>
  <c r="AL17" i="3"/>
  <c r="AK17" i="3"/>
  <c r="AJ17" i="3"/>
  <c r="AG17" i="3"/>
  <c r="AE17" i="3"/>
  <c r="AD17" i="3"/>
  <c r="AF17" i="3" s="1"/>
  <c r="AB17" i="3" a="1"/>
  <c r="AB17" i="3" s="1"/>
  <c r="AA17" i="3"/>
  <c r="Y17" i="3"/>
  <c r="V17" i="3"/>
  <c r="V17" i="3" a="1"/>
  <c r="U17" i="3"/>
  <c r="P17" i="3" a="1"/>
  <c r="P17" i="3" s="1"/>
  <c r="O17" i="3"/>
  <c r="L17" i="3"/>
  <c r="J17" i="3" a="1"/>
  <c r="J17" i="3" s="1"/>
  <c r="G17" i="3"/>
  <c r="F17" i="3"/>
  <c r="E17" i="3"/>
  <c r="D17" i="3"/>
  <c r="C17" i="3"/>
  <c r="ER17" i="3" s="1" a="1"/>
  <c r="ER17" i="3" s="1"/>
  <c r="B17" i="3"/>
  <c r="A17" i="3"/>
  <c r="E16" i="3"/>
  <c r="D16" i="3"/>
  <c r="C16" i="3"/>
  <c r="EX16" i="3" s="1" a="1"/>
  <c r="EX16" i="3" s="1"/>
  <c r="EY16" i="3" s="1"/>
  <c r="B16" i="3"/>
  <c r="A16" i="3"/>
  <c r="EX15" i="3" a="1"/>
  <c r="EX15" i="3" s="1"/>
  <c r="EY15" i="3" s="1"/>
  <c r="EV15" i="3"/>
  <c r="EU15" i="3"/>
  <c r="ES15" i="3"/>
  <c r="EO15" i="3"/>
  <c r="EP15" i="3" s="1"/>
  <c r="EI15" i="3"/>
  <c r="EJ15" i="3" s="1"/>
  <c r="EF15" i="3" a="1"/>
  <c r="EF15" i="3" s="1"/>
  <c r="EG15" i="3" s="1"/>
  <c r="EA15" i="3"/>
  <c r="DZ15" i="3"/>
  <c r="DZ15" i="3" a="1"/>
  <c r="DT15" i="3" a="1"/>
  <c r="DT15" i="3" s="1"/>
  <c r="DU15" i="3" s="1"/>
  <c r="DR15" i="3"/>
  <c r="DQ15" i="3"/>
  <c r="DN15" i="3" a="1"/>
  <c r="DN15" i="3" s="1"/>
  <c r="DO15" i="3" s="1"/>
  <c r="DK15" i="3"/>
  <c r="DL15" i="3" s="1"/>
  <c r="DF15" i="3"/>
  <c r="DE15" i="3"/>
  <c r="CY15" i="3"/>
  <c r="CX15" i="3"/>
  <c r="CZ15" i="3" s="1"/>
  <c r="CU15" i="3"/>
  <c r="CS15" i="3"/>
  <c r="CR15" i="3"/>
  <c r="CT15" i="3" s="1"/>
  <c r="CP15" i="3" a="1"/>
  <c r="CP15" i="3" s="1"/>
  <c r="CO15" i="3"/>
  <c r="CM15" i="3"/>
  <c r="CJ15" i="3" a="1"/>
  <c r="CJ15" i="3" s="1"/>
  <c r="CI15" i="3"/>
  <c r="CD15" i="3" a="1"/>
  <c r="CD15" i="3" s="1"/>
  <c r="CC15" i="3"/>
  <c r="CE15" i="3" s="1"/>
  <c r="CA15" i="3"/>
  <c r="BZ15" i="3"/>
  <c r="CB15" i="3" s="1"/>
  <c r="BX15" i="3" a="1"/>
  <c r="BX15" i="3" s="1"/>
  <c r="BU15" i="3"/>
  <c r="BT15" i="3"/>
  <c r="BQ15" i="3"/>
  <c r="BO15" i="3"/>
  <c r="BN15" i="3"/>
  <c r="BP15" i="3" s="1"/>
  <c r="BL15" i="3" a="1"/>
  <c r="BL15" i="3" s="1"/>
  <c r="BK15" i="3"/>
  <c r="BM15" i="3" s="1"/>
  <c r="BI15" i="3"/>
  <c r="BH15" i="3"/>
  <c r="BJ15" i="3" s="1"/>
  <c r="BF15" i="3" a="1"/>
  <c r="BF15" i="3" s="1"/>
  <c r="BE15" i="3"/>
  <c r="BC15" i="3"/>
  <c r="AZ15" i="3"/>
  <c r="AZ15" i="3" a="1"/>
  <c r="AY15" i="3"/>
  <c r="AV15" i="3"/>
  <c r="AT15" i="3"/>
  <c r="AU15" i="3" s="1"/>
  <c r="AT15" i="3" a="1"/>
  <c r="AS15" i="3"/>
  <c r="AQ15" i="3" a="1"/>
  <c r="AQ15" i="3" s="1"/>
  <c r="AP15" i="3"/>
  <c r="AR15" i="3" s="1"/>
  <c r="AM15" i="3"/>
  <c r="AK15" i="3"/>
  <c r="AJ15" i="3"/>
  <c r="AL15" i="3" s="1"/>
  <c r="AH15" i="3" a="1"/>
  <c r="AH15" i="3" s="1"/>
  <c r="AG15" i="3"/>
  <c r="AI15" i="3" s="1"/>
  <c r="AE15" i="3"/>
  <c r="AD15" i="3"/>
  <c r="AF15" i="3" s="1"/>
  <c r="AB15" i="3" a="1"/>
  <c r="AB15" i="3" s="1"/>
  <c r="AA15" i="3"/>
  <c r="AC15" i="3" s="1"/>
  <c r="Y15" i="3"/>
  <c r="V15" i="3" a="1"/>
  <c r="V15" i="3" s="1"/>
  <c r="U15" i="3"/>
  <c r="R15" i="3"/>
  <c r="P15" i="3" a="1"/>
  <c r="P15" i="3" s="1"/>
  <c r="O15" i="3"/>
  <c r="M15" i="3"/>
  <c r="L15" i="3"/>
  <c r="N15" i="3" s="1"/>
  <c r="J15" i="3" a="1"/>
  <c r="J15" i="3" s="1"/>
  <c r="G15" i="3"/>
  <c r="F15" i="3"/>
  <c r="E15" i="3"/>
  <c r="D15" i="3"/>
  <c r="C15" i="3"/>
  <c r="ER15" i="3" s="1" a="1"/>
  <c r="ER15" i="3" s="1"/>
  <c r="B15" i="3"/>
  <c r="A15" i="3"/>
  <c r="EX14" i="3" a="1"/>
  <c r="EX14" i="3" s="1"/>
  <c r="EY14" i="3" s="1"/>
  <c r="EL14" i="3" a="1"/>
  <c r="EL14" i="3" s="1"/>
  <c r="EM14" i="3" s="1"/>
  <c r="CV14" i="3"/>
  <c r="CV14" i="3" a="1"/>
  <c r="CP14" i="3" a="1"/>
  <c r="CP14" i="3" s="1"/>
  <c r="CM14" i="3"/>
  <c r="CG14" i="3"/>
  <c r="CF14" i="3"/>
  <c r="CH14" i="3" s="1"/>
  <c r="BZ14" i="3"/>
  <c r="BX14" i="3" a="1"/>
  <c r="BX14" i="3" s="1"/>
  <c r="BR14" i="3" a="1"/>
  <c r="BR14" i="3" s="1"/>
  <c r="BQ14" i="3"/>
  <c r="BS14" i="3" s="1"/>
  <c r="BK14" i="3"/>
  <c r="BH14" i="3"/>
  <c r="BB14" i="3"/>
  <c r="AS14" i="3"/>
  <c r="AN14" i="3" a="1"/>
  <c r="AN14" i="3" s="1"/>
  <c r="AM14" i="3"/>
  <c r="AO14" i="3" s="1"/>
  <c r="AG14" i="3"/>
  <c r="AD14" i="3"/>
  <c r="X14" i="3"/>
  <c r="O14" i="3"/>
  <c r="I14" i="3"/>
  <c r="E14" i="3"/>
  <c r="D14" i="3"/>
  <c r="C14" i="3"/>
  <c r="EI14" i="3" s="1"/>
  <c r="EJ14" i="3" s="1"/>
  <c r="B14" i="3"/>
  <c r="A14" i="3"/>
  <c r="EX13" i="3" a="1"/>
  <c r="EX13" i="3" s="1"/>
  <c r="EY13" i="3" s="1"/>
  <c r="EV13" i="3"/>
  <c r="EU13" i="3"/>
  <c r="ER13" i="3" a="1"/>
  <c r="ER13" i="3" s="1"/>
  <c r="ES13" i="3" s="1"/>
  <c r="EO13" i="3"/>
  <c r="EP13" i="3" s="1"/>
  <c r="EI13" i="3"/>
  <c r="EJ13" i="3" s="1"/>
  <c r="EF13" i="3" a="1"/>
  <c r="EF13" i="3" s="1"/>
  <c r="EG13" i="3" s="1"/>
  <c r="EC13" i="3"/>
  <c r="ED13" i="3" s="1"/>
  <c r="DZ13" i="3" a="1"/>
  <c r="DZ13" i="3" s="1"/>
  <c r="EA13" i="3" s="1"/>
  <c r="DT13" i="3"/>
  <c r="DU13" i="3" s="1"/>
  <c r="DT13" i="3" a="1"/>
  <c r="DR13" i="3"/>
  <c r="DQ13" i="3"/>
  <c r="DN13" i="3" a="1"/>
  <c r="DN13" i="3" s="1"/>
  <c r="DO13" i="3" s="1"/>
  <c r="DK13" i="3"/>
  <c r="DL13" i="3" s="1"/>
  <c r="DI13" i="3"/>
  <c r="DH13" i="3" a="1"/>
  <c r="DH13" i="3" s="1"/>
  <c r="DE13" i="3"/>
  <c r="DF13" i="3" s="1"/>
  <c r="DA13" i="3"/>
  <c r="CY13" i="3"/>
  <c r="CX13" i="3"/>
  <c r="CZ13" i="3" s="1"/>
  <c r="CV13" i="3" a="1"/>
  <c r="CV13" i="3" s="1"/>
  <c r="CU13" i="3"/>
  <c r="CS13" i="3"/>
  <c r="CR13" i="3"/>
  <c r="CT13" i="3" s="1"/>
  <c r="CP13" i="3" a="1"/>
  <c r="CP13" i="3" s="1"/>
  <c r="CO13" i="3"/>
  <c r="CQ13" i="3" s="1"/>
  <c r="CM13" i="3"/>
  <c r="CJ13" i="3" a="1"/>
  <c r="CJ13" i="3" s="1"/>
  <c r="CI13" i="3"/>
  <c r="CF13" i="3"/>
  <c r="CD13" i="3" a="1"/>
  <c r="CD13" i="3" s="1"/>
  <c r="CC13" i="3"/>
  <c r="CA13" i="3"/>
  <c r="BZ13" i="3"/>
  <c r="CB13" i="3" s="1"/>
  <c r="BX13" i="3" a="1"/>
  <c r="BX13" i="3" s="1"/>
  <c r="BU13" i="3"/>
  <c r="BT13" i="3"/>
  <c r="BV13" i="3" s="1"/>
  <c r="BQ13" i="3"/>
  <c r="BO13" i="3"/>
  <c r="BN13" i="3"/>
  <c r="BP13" i="3" s="1"/>
  <c r="BM13" i="3"/>
  <c r="BL13" i="3" a="1"/>
  <c r="BL13" i="3" s="1"/>
  <c r="BK13" i="3"/>
  <c r="BI13" i="3"/>
  <c r="BH13" i="3"/>
  <c r="BJ13" i="3" s="1"/>
  <c r="BF13" i="3" a="1"/>
  <c r="BF13" i="3" s="1"/>
  <c r="BE13" i="3"/>
  <c r="BC13" i="3"/>
  <c r="AZ13" i="3" a="1"/>
  <c r="AZ13" i="3" s="1"/>
  <c r="AY13" i="3"/>
  <c r="BA13" i="3" s="1"/>
  <c r="AV13" i="3"/>
  <c r="AT13" i="3" a="1"/>
  <c r="AT13" i="3" s="1"/>
  <c r="AS13" i="3"/>
  <c r="AU13" i="3" s="1"/>
  <c r="AQ13" i="3" a="1"/>
  <c r="AQ13" i="3" s="1"/>
  <c r="AP13" i="3"/>
  <c r="AM13" i="3"/>
  <c r="AL13" i="3"/>
  <c r="AK13" i="3"/>
  <c r="AJ13" i="3"/>
  <c r="AH13" i="3" a="1"/>
  <c r="AH13" i="3" s="1"/>
  <c r="AG13" i="3"/>
  <c r="AI13" i="3" s="1"/>
  <c r="AF13" i="3"/>
  <c r="AE13" i="3"/>
  <c r="AD13" i="3"/>
  <c r="AB13" i="3" a="1"/>
  <c r="AB13" i="3" s="1"/>
  <c r="AA13" i="3"/>
  <c r="AC13" i="3" s="1"/>
  <c r="Y13" i="3"/>
  <c r="V13" i="3"/>
  <c r="V13" i="3" a="1"/>
  <c r="U13" i="3"/>
  <c r="W13" i="3" s="1"/>
  <c r="R13" i="3"/>
  <c r="Q13" i="3"/>
  <c r="P13" i="3"/>
  <c r="P13" i="3" a="1"/>
  <c r="O13" i="3"/>
  <c r="M13" i="3"/>
  <c r="L13" i="3"/>
  <c r="N13" i="3" s="1"/>
  <c r="J13" i="3"/>
  <c r="J13" i="3" a="1"/>
  <c r="G13" i="3"/>
  <c r="F13" i="3"/>
  <c r="H13" i="3" s="1"/>
  <c r="E13" i="3"/>
  <c r="D13" i="3"/>
  <c r="C13" i="3"/>
  <c r="EL13" i="3" s="1" a="1"/>
  <c r="EL13" i="3" s="1"/>
  <c r="EM13" i="3" s="1"/>
  <c r="B13" i="3"/>
  <c r="A13" i="3"/>
  <c r="EX12" i="3" a="1"/>
  <c r="EX12" i="3" s="1"/>
  <c r="EY12" i="3" s="1"/>
  <c r="EL12" i="3" a="1"/>
  <c r="EL12" i="3" s="1"/>
  <c r="EM12" i="3" s="1"/>
  <c r="EJ12" i="3"/>
  <c r="EI12" i="3"/>
  <c r="DW12" i="3"/>
  <c r="DX12" i="3" s="1"/>
  <c r="DN12" i="3" a="1"/>
  <c r="DN12" i="3" s="1"/>
  <c r="DO12" i="3" s="1"/>
  <c r="DB12" i="3"/>
  <c r="DB12" i="3" a="1"/>
  <c r="CV12" i="3" a="1"/>
  <c r="CV12" i="3" s="1"/>
  <c r="CU12" i="3"/>
  <c r="CW12" i="3" s="1"/>
  <c r="CP12" i="3" a="1"/>
  <c r="CP12" i="3" s="1"/>
  <c r="CM12" i="3"/>
  <c r="CL12" i="3"/>
  <c r="CN12" i="3" s="1"/>
  <c r="CG12" i="3"/>
  <c r="CF12" i="3"/>
  <c r="CH12" i="3" s="1"/>
  <c r="BZ12" i="3"/>
  <c r="BX12" i="3" a="1"/>
  <c r="BX12" i="3" s="1"/>
  <c r="BW12" i="3"/>
  <c r="BY12" i="3" s="1"/>
  <c r="BR12" i="3" a="1"/>
  <c r="BR12" i="3" s="1"/>
  <c r="BQ12" i="3"/>
  <c r="BK12" i="3"/>
  <c r="BH12" i="3"/>
  <c r="BB12" i="3"/>
  <c r="AS12" i="3"/>
  <c r="AN12" i="3" a="1"/>
  <c r="AN12" i="3" s="1"/>
  <c r="AM12" i="3"/>
  <c r="AG12" i="3"/>
  <c r="AD12" i="3"/>
  <c r="X12" i="3"/>
  <c r="R12" i="3"/>
  <c r="O12" i="3"/>
  <c r="I12" i="3"/>
  <c r="G12" i="3"/>
  <c r="E12" i="3"/>
  <c r="D12" i="3"/>
  <c r="C12" i="3"/>
  <c r="ER12" i="3" s="1" a="1"/>
  <c r="ER12" i="3" s="1"/>
  <c r="ES12" i="3" s="1"/>
  <c r="B12" i="3"/>
  <c r="A12" i="3"/>
  <c r="EX11" i="3" a="1"/>
  <c r="EX11" i="3" s="1"/>
  <c r="EY11" i="3" s="1"/>
  <c r="EU11" i="3"/>
  <c r="EV11" i="3" s="1"/>
  <c r="ES11" i="3"/>
  <c r="ER11" i="3" a="1"/>
  <c r="ER11" i="3" s="1"/>
  <c r="EO11" i="3"/>
  <c r="EP11" i="3" s="1"/>
  <c r="EL11" i="3"/>
  <c r="EM11" i="3" s="1"/>
  <c r="EI11" i="3"/>
  <c r="EJ11" i="3" s="1"/>
  <c r="EF11" i="3" a="1"/>
  <c r="EF11" i="3" s="1"/>
  <c r="EG11" i="3" s="1"/>
  <c r="EC11" i="3"/>
  <c r="ED11" i="3" s="1"/>
  <c r="EA11" i="3"/>
  <c r="DZ11" i="3"/>
  <c r="DZ11" i="3" a="1"/>
  <c r="DT11" i="3" a="1"/>
  <c r="DT11" i="3" s="1"/>
  <c r="DU11" i="3" s="1"/>
  <c r="DR11" i="3"/>
  <c r="DQ11" i="3"/>
  <c r="DN11" i="3" a="1"/>
  <c r="DN11" i="3" s="1"/>
  <c r="DO11" i="3" s="1"/>
  <c r="DK11" i="3"/>
  <c r="DL11" i="3" s="1"/>
  <c r="DH11" i="3" a="1"/>
  <c r="DH11" i="3" s="1"/>
  <c r="DI11" i="3" s="1"/>
  <c r="DF11" i="3"/>
  <c r="DE11" i="3"/>
  <c r="DA11" i="3"/>
  <c r="CZ11" i="3"/>
  <c r="CY11" i="3"/>
  <c r="CX11" i="3"/>
  <c r="CV11" i="3" a="1"/>
  <c r="CV11" i="3" s="1"/>
  <c r="CU11" i="3"/>
  <c r="CW11" i="3" s="1"/>
  <c r="CT11" i="3"/>
  <c r="CS11" i="3"/>
  <c r="CR11" i="3"/>
  <c r="CP11" i="3" a="1"/>
  <c r="CP11" i="3" s="1"/>
  <c r="CO11" i="3"/>
  <c r="CQ11" i="3" s="1"/>
  <c r="CM11" i="3"/>
  <c r="CJ11" i="3"/>
  <c r="CJ11" i="3" a="1"/>
  <c r="CI11" i="3"/>
  <c r="CK11" i="3" s="1"/>
  <c r="CF11" i="3"/>
  <c r="CE11" i="3"/>
  <c r="CD11" i="3"/>
  <c r="CD11" i="3" a="1"/>
  <c r="CC11" i="3"/>
  <c r="CA11" i="3"/>
  <c r="BZ11" i="3"/>
  <c r="CB11" i="3" s="1"/>
  <c r="BX11" i="3"/>
  <c r="BX11" i="3" a="1"/>
  <c r="BU11" i="3"/>
  <c r="BT11" i="3"/>
  <c r="BV11" i="3" s="1"/>
  <c r="BQ11" i="3"/>
  <c r="BO11" i="3"/>
  <c r="BN11" i="3"/>
  <c r="BP11" i="3" s="1"/>
  <c r="BL11" i="3" a="1"/>
  <c r="BL11" i="3" s="1"/>
  <c r="BM11" i="3" s="1"/>
  <c r="BK11" i="3"/>
  <c r="BI11" i="3"/>
  <c r="BH11" i="3"/>
  <c r="BJ11" i="3" s="1"/>
  <c r="BF11" i="3" a="1"/>
  <c r="BF11" i="3" s="1"/>
  <c r="BE11" i="3"/>
  <c r="BG11" i="3" s="1"/>
  <c r="BC11" i="3"/>
  <c r="AZ11" i="3" a="1"/>
  <c r="AZ11" i="3" s="1"/>
  <c r="AY11" i="3"/>
  <c r="AV11" i="3"/>
  <c r="AT11" i="3" a="1"/>
  <c r="AT11" i="3" s="1"/>
  <c r="AS11" i="3"/>
  <c r="AU11" i="3" s="1"/>
  <c r="AQ11" i="3" a="1"/>
  <c r="AQ11" i="3" s="1"/>
  <c r="AP11" i="3"/>
  <c r="AM11" i="3"/>
  <c r="AK11" i="3"/>
  <c r="AL11" i="3" s="1"/>
  <c r="AJ11" i="3"/>
  <c r="AH11" i="3" a="1"/>
  <c r="AH11" i="3" s="1"/>
  <c r="AG11" i="3"/>
  <c r="AI11" i="3" s="1"/>
  <c r="AE11" i="3"/>
  <c r="AF11" i="3" s="1"/>
  <c r="AD11" i="3"/>
  <c r="AB11" i="3" a="1"/>
  <c r="AB11" i="3" s="1"/>
  <c r="AA11" i="3"/>
  <c r="AC11" i="3" s="1"/>
  <c r="Y11" i="3"/>
  <c r="V11" i="3"/>
  <c r="V11" i="3" a="1"/>
  <c r="U11" i="3"/>
  <c r="R11" i="3"/>
  <c r="Q11" i="3"/>
  <c r="P11" i="3"/>
  <c r="P11" i="3" a="1"/>
  <c r="O11" i="3"/>
  <c r="M11" i="3"/>
  <c r="L11" i="3"/>
  <c r="N11" i="3" s="1"/>
  <c r="J11" i="3"/>
  <c r="J11" i="3" a="1"/>
  <c r="G11" i="3"/>
  <c r="F11" i="3"/>
  <c r="H11" i="3" s="1"/>
  <c r="E11" i="3"/>
  <c r="D11" i="3"/>
  <c r="C11" i="3"/>
  <c r="EL11" i="3" s="1" a="1"/>
  <c r="B11" i="3"/>
  <c r="A11" i="3"/>
  <c r="EX10" i="3" a="1"/>
  <c r="EX10" i="3" s="1"/>
  <c r="EY10" i="3" s="1"/>
  <c r="ER10" i="3" a="1"/>
  <c r="ER10" i="3" s="1"/>
  <c r="ES10" i="3" s="1"/>
  <c r="EL10" i="3" a="1"/>
  <c r="EL10" i="3" s="1"/>
  <c r="EM10" i="3" s="1"/>
  <c r="EI10" i="3"/>
  <c r="EJ10" i="3" s="1"/>
  <c r="EF10" i="3" a="1"/>
  <c r="EF10" i="3" s="1"/>
  <c r="EG10" i="3" s="1"/>
  <c r="DW10" i="3"/>
  <c r="DX10" i="3" s="1"/>
  <c r="DN10" i="3" a="1"/>
  <c r="DN10" i="3" s="1"/>
  <c r="DO10" i="3" s="1"/>
  <c r="DB10" i="3" a="1"/>
  <c r="DB10" i="3" s="1"/>
  <c r="DA10" i="3"/>
  <c r="DC10" i="3" s="1"/>
  <c r="CV10" i="3" a="1"/>
  <c r="CV10" i="3" s="1"/>
  <c r="CU10" i="3"/>
  <c r="CR10" i="3"/>
  <c r="CP10" i="3" a="1"/>
  <c r="CP10" i="3" s="1"/>
  <c r="CM10" i="3"/>
  <c r="CL10" i="3"/>
  <c r="CN10" i="3" s="1"/>
  <c r="CG10" i="3"/>
  <c r="CF10" i="3"/>
  <c r="CH10" i="3" s="1"/>
  <c r="CC10" i="3"/>
  <c r="BZ10" i="3"/>
  <c r="BX10" i="3" a="1"/>
  <c r="BX10" i="3" s="1"/>
  <c r="BW10" i="3"/>
  <c r="BY10" i="3" s="1"/>
  <c r="BU10" i="3"/>
  <c r="BR10" i="3" a="1"/>
  <c r="BR10" i="3" s="1"/>
  <c r="BQ10" i="3"/>
  <c r="BK10" i="3"/>
  <c r="BH10" i="3"/>
  <c r="BF10" i="3"/>
  <c r="BF10" i="3" a="1"/>
  <c r="BB10" i="3"/>
  <c r="AW10" i="3"/>
  <c r="AS10" i="3"/>
  <c r="AQ10" i="3"/>
  <c r="AQ10" i="3" a="1"/>
  <c r="AN10" i="3" a="1"/>
  <c r="AN10" i="3" s="1"/>
  <c r="AM10" i="3"/>
  <c r="AG10" i="3"/>
  <c r="AD10" i="3"/>
  <c r="AB10" i="3"/>
  <c r="AB10" i="3" a="1"/>
  <c r="X10" i="3"/>
  <c r="S10" i="3"/>
  <c r="O10" i="3"/>
  <c r="N10" i="3"/>
  <c r="M10" i="3"/>
  <c r="L10" i="3"/>
  <c r="I10" i="3"/>
  <c r="G10" i="3"/>
  <c r="E10" i="3"/>
  <c r="D10" i="3"/>
  <c r="C10" i="3"/>
  <c r="B10" i="3"/>
  <c r="A10" i="3"/>
  <c r="EX9" i="3" a="1"/>
  <c r="EX9" i="3" s="1"/>
  <c r="EY9" i="3" s="1"/>
  <c r="EU9" i="3"/>
  <c r="EV9" i="3" s="1"/>
  <c r="ES9" i="3"/>
  <c r="ER9" i="3" a="1"/>
  <c r="ER9" i="3" s="1"/>
  <c r="EO9" i="3"/>
  <c r="EP9" i="3" s="1"/>
  <c r="EL9" i="3"/>
  <c r="EM9" i="3" s="1"/>
  <c r="EI9" i="3"/>
  <c r="EJ9" i="3" s="1"/>
  <c r="EF9" i="3" a="1"/>
  <c r="EF9" i="3" s="1"/>
  <c r="EG9" i="3" s="1"/>
  <c r="EC9" i="3"/>
  <c r="ED9" i="3" s="1"/>
  <c r="DZ9" i="3"/>
  <c r="EA9" i="3" s="1"/>
  <c r="DZ9" i="3" a="1"/>
  <c r="DT9" i="3" a="1"/>
  <c r="DT9" i="3" s="1"/>
  <c r="DU9" i="3" s="1"/>
  <c r="DR9" i="3"/>
  <c r="DQ9" i="3"/>
  <c r="DN9" i="3" a="1"/>
  <c r="DN9" i="3" s="1"/>
  <c r="DO9" i="3" s="1"/>
  <c r="DK9" i="3"/>
  <c r="DL9" i="3" s="1"/>
  <c r="DH9" i="3" a="1"/>
  <c r="DH9" i="3" s="1"/>
  <c r="DI9" i="3" s="1"/>
  <c r="DF9" i="3"/>
  <c r="DE9" i="3"/>
  <c r="DA9" i="3"/>
  <c r="CY9" i="3"/>
  <c r="CZ9" i="3" s="1"/>
  <c r="CX9" i="3"/>
  <c r="CV9" i="3" a="1"/>
  <c r="CV9" i="3" s="1"/>
  <c r="CU9" i="3"/>
  <c r="CW9" i="3" s="1"/>
  <c r="CS9" i="3"/>
  <c r="CT9" i="3" s="1"/>
  <c r="CR9" i="3"/>
  <c r="CP9" i="3" a="1"/>
  <c r="CP9" i="3" s="1"/>
  <c r="CO9" i="3"/>
  <c r="CQ9" i="3" s="1"/>
  <c r="CM9" i="3"/>
  <c r="CJ9" i="3"/>
  <c r="CJ9" i="3" a="1"/>
  <c r="CI9" i="3"/>
  <c r="CF9" i="3"/>
  <c r="CE9" i="3"/>
  <c r="CD9" i="3"/>
  <c r="CD9" i="3" a="1"/>
  <c r="CC9" i="3"/>
  <c r="CA9" i="3"/>
  <c r="BZ9" i="3"/>
  <c r="CB9" i="3" s="1"/>
  <c r="BX9" i="3"/>
  <c r="BX9" i="3" a="1"/>
  <c r="BU9" i="3"/>
  <c r="BT9" i="3"/>
  <c r="BV9" i="3" s="1"/>
  <c r="BQ9" i="3"/>
  <c r="BO9" i="3"/>
  <c r="BN9" i="3"/>
  <c r="BP9" i="3" s="1"/>
  <c r="BL9" i="3" a="1"/>
  <c r="BL9" i="3" s="1"/>
  <c r="BK9" i="3"/>
  <c r="BM9" i="3" s="1"/>
  <c r="BI9" i="3"/>
  <c r="BH9" i="3"/>
  <c r="BJ9" i="3" s="1"/>
  <c r="BF9" i="3" a="1"/>
  <c r="BF9" i="3" s="1"/>
  <c r="BE9" i="3"/>
  <c r="BG9" i="3" s="1"/>
  <c r="BC9" i="3"/>
  <c r="AZ9" i="3" a="1"/>
  <c r="AZ9" i="3" s="1"/>
  <c r="AY9" i="3"/>
  <c r="AV9" i="3"/>
  <c r="AT9" i="3" a="1"/>
  <c r="AT9" i="3" s="1"/>
  <c r="AS9" i="3"/>
  <c r="AU9" i="3" s="1"/>
  <c r="AQ9" i="3" a="1"/>
  <c r="AQ9" i="3" s="1"/>
  <c r="AP9" i="3"/>
  <c r="AR9" i="3" s="1"/>
  <c r="AM9" i="3"/>
  <c r="AK9" i="3"/>
  <c r="AJ9" i="3"/>
  <c r="AL9" i="3" s="1"/>
  <c r="AH9" i="3" a="1"/>
  <c r="AH9" i="3" s="1"/>
  <c r="AG9" i="3"/>
  <c r="AI9" i="3" s="1"/>
  <c r="AE9" i="3"/>
  <c r="AD9" i="3"/>
  <c r="AB9" i="3" a="1"/>
  <c r="AB9" i="3" s="1"/>
  <c r="AA9" i="3"/>
  <c r="Y9" i="3"/>
  <c r="V9" i="3" a="1"/>
  <c r="V9" i="3" s="1"/>
  <c r="U9" i="3"/>
  <c r="R9" i="3"/>
  <c r="P9" i="3" a="1"/>
  <c r="P9" i="3" s="1"/>
  <c r="Q9" i="3" s="1"/>
  <c r="O9" i="3"/>
  <c r="M9" i="3"/>
  <c r="L9" i="3"/>
  <c r="N9" i="3" s="1"/>
  <c r="J9" i="3" a="1"/>
  <c r="J9" i="3" s="1"/>
  <c r="G9" i="3"/>
  <c r="F9" i="3"/>
  <c r="E9" i="3"/>
  <c r="D9" i="3"/>
  <c r="C9" i="3"/>
  <c r="EL9" i="3" s="1" a="1"/>
  <c r="B9" i="3"/>
  <c r="A9" i="3"/>
  <c r="ER8" i="3" a="1"/>
  <c r="ER8" i="3" s="1"/>
  <c r="ES8" i="3" s="1"/>
  <c r="EI8" i="3"/>
  <c r="EJ8" i="3" s="1"/>
  <c r="EF8" i="3" a="1"/>
  <c r="EF8" i="3" s="1"/>
  <c r="EG8" i="3" s="1"/>
  <c r="DW8" i="3"/>
  <c r="DX8" i="3" s="1"/>
  <c r="DN8" i="3" a="1"/>
  <c r="DN8" i="3" s="1"/>
  <c r="DO8" i="3" s="1"/>
  <c r="DB8" i="3" a="1"/>
  <c r="DB8" i="3" s="1"/>
  <c r="DA8" i="3"/>
  <c r="CV8" i="3" a="1"/>
  <c r="CV8" i="3" s="1"/>
  <c r="CU8" i="3"/>
  <c r="CW8" i="3" s="1"/>
  <c r="CR8" i="3"/>
  <c r="CM8" i="3"/>
  <c r="CL8" i="3"/>
  <c r="CN8" i="3" s="1"/>
  <c r="CF8" i="3"/>
  <c r="CC8" i="3"/>
  <c r="BX8" i="3" a="1"/>
  <c r="BX8" i="3" s="1"/>
  <c r="BW8" i="3"/>
  <c r="BY8" i="3" s="1"/>
  <c r="BU8" i="3"/>
  <c r="BQ8" i="3"/>
  <c r="BH8" i="3"/>
  <c r="BF8" i="3" a="1"/>
  <c r="BF8" i="3" s="1"/>
  <c r="AW8" i="3"/>
  <c r="AS8" i="3"/>
  <c r="AQ8" i="3" a="1"/>
  <c r="AQ8" i="3" s="1"/>
  <c r="AM8" i="3"/>
  <c r="AD8" i="3"/>
  <c r="AB8" i="3" a="1"/>
  <c r="AB8" i="3" s="1"/>
  <c r="S8" i="3"/>
  <c r="O8" i="3"/>
  <c r="M8" i="3"/>
  <c r="L8" i="3"/>
  <c r="N8" i="3" s="1"/>
  <c r="G8" i="3"/>
  <c r="E8" i="3"/>
  <c r="D8" i="3"/>
  <c r="C8" i="3"/>
  <c r="B8" i="3"/>
  <c r="A8" i="3"/>
  <c r="EX7" i="3" a="1"/>
  <c r="EX7" i="3" s="1"/>
  <c r="EY7" i="3" s="1"/>
  <c r="EU7" i="3"/>
  <c r="EV7" i="3" s="1"/>
  <c r="ER7" i="3" a="1"/>
  <c r="ER7" i="3" s="1"/>
  <c r="ES7" i="3" s="1"/>
  <c r="EP7" i="3"/>
  <c r="EO7" i="3"/>
  <c r="EI7" i="3"/>
  <c r="EJ7" i="3" s="1"/>
  <c r="EG7" i="3"/>
  <c r="EF7" i="3"/>
  <c r="EF7" i="3" a="1"/>
  <c r="EC7" i="3"/>
  <c r="ED7" i="3" s="1"/>
  <c r="DZ7" i="3" a="1"/>
  <c r="DZ7" i="3" s="1"/>
  <c r="EA7" i="3" s="1"/>
  <c r="DT7" i="3" a="1"/>
  <c r="DT7" i="3" s="1"/>
  <c r="DU7" i="3" s="1"/>
  <c r="DQ7" i="3"/>
  <c r="DR7" i="3" s="1"/>
  <c r="DN7" i="3" a="1"/>
  <c r="DN7" i="3" s="1"/>
  <c r="DO7" i="3" s="1"/>
  <c r="DL7" i="3"/>
  <c r="DK7" i="3"/>
  <c r="DH7" i="3" a="1"/>
  <c r="DH7" i="3" s="1"/>
  <c r="DI7" i="3" s="1"/>
  <c r="DF7" i="3"/>
  <c r="DE7" i="3"/>
  <c r="DA7" i="3"/>
  <c r="CY7" i="3"/>
  <c r="CX7" i="3"/>
  <c r="CZ7" i="3" s="1"/>
  <c r="CV7" i="3" a="1"/>
  <c r="CV7" i="3" s="1"/>
  <c r="CU7" i="3"/>
  <c r="CW7" i="3" s="1"/>
  <c r="CS7" i="3"/>
  <c r="CR7" i="3"/>
  <c r="CT7" i="3" s="1"/>
  <c r="CP7" i="3" a="1"/>
  <c r="CP7" i="3" s="1"/>
  <c r="CO7" i="3"/>
  <c r="CM7" i="3"/>
  <c r="CJ7" i="3" a="1"/>
  <c r="CJ7" i="3" s="1"/>
  <c r="CI7" i="3"/>
  <c r="CF7" i="3"/>
  <c r="CD7" i="3" a="1"/>
  <c r="CD7" i="3" s="1"/>
  <c r="CE7" i="3" s="1"/>
  <c r="CC7" i="3"/>
  <c r="CA7" i="3"/>
  <c r="BZ7" i="3"/>
  <c r="CB7" i="3" s="1"/>
  <c r="BX7" i="3" a="1"/>
  <c r="BX7" i="3" s="1"/>
  <c r="BU7" i="3"/>
  <c r="BT7" i="3"/>
  <c r="BQ7" i="3"/>
  <c r="BP7" i="3"/>
  <c r="BO7" i="3"/>
  <c r="BN7" i="3"/>
  <c r="BL7" i="3" a="1"/>
  <c r="BL7" i="3" s="1"/>
  <c r="BK7" i="3"/>
  <c r="BM7" i="3" s="1"/>
  <c r="BJ7" i="3"/>
  <c r="BI7" i="3"/>
  <c r="BH7" i="3"/>
  <c r="BF7" i="3" a="1"/>
  <c r="BF7" i="3" s="1"/>
  <c r="BE7" i="3"/>
  <c r="BG7" i="3" s="1"/>
  <c r="BC7" i="3"/>
  <c r="AZ7" i="3"/>
  <c r="AZ7" i="3" a="1"/>
  <c r="AY7" i="3"/>
  <c r="BA7" i="3" s="1"/>
  <c r="AV7" i="3"/>
  <c r="AU7" i="3"/>
  <c r="AT7" i="3"/>
  <c r="AT7" i="3" a="1"/>
  <c r="AS7" i="3"/>
  <c r="AQ7" i="3" a="1"/>
  <c r="AQ7" i="3" s="1"/>
  <c r="AP7" i="3"/>
  <c r="AR7" i="3" s="1"/>
  <c r="AM7" i="3"/>
  <c r="AK7" i="3"/>
  <c r="AJ7" i="3"/>
  <c r="AL7" i="3" s="1"/>
  <c r="AI7" i="3"/>
  <c r="AH7" i="3" a="1"/>
  <c r="AH7" i="3" s="1"/>
  <c r="AG7" i="3"/>
  <c r="AE7" i="3"/>
  <c r="AD7" i="3"/>
  <c r="AF7" i="3" s="1"/>
  <c r="AB7" i="3" a="1"/>
  <c r="AB7" i="3" s="1"/>
  <c r="AA7" i="3"/>
  <c r="Y7" i="3"/>
  <c r="V7" i="3"/>
  <c r="V7" i="3" a="1"/>
  <c r="U7" i="3"/>
  <c r="W7" i="3" s="1"/>
  <c r="R7" i="3"/>
  <c r="P7" i="3" a="1"/>
  <c r="P7" i="3" s="1"/>
  <c r="O7" i="3"/>
  <c r="M7" i="3"/>
  <c r="L7" i="3"/>
  <c r="N7" i="3" s="1"/>
  <c r="J7" i="3" a="1"/>
  <c r="J7" i="3" s="1"/>
  <c r="G7" i="3"/>
  <c r="F7" i="3"/>
  <c r="E7" i="3"/>
  <c r="D7" i="3"/>
  <c r="C7" i="3"/>
  <c r="EL7" i="3" s="1" a="1"/>
  <c r="EL7" i="3" s="1"/>
  <c r="EM7" i="3" s="1"/>
  <c r="B7" i="3"/>
  <c r="A7" i="3"/>
  <c r="ER6" i="3" a="1"/>
  <c r="ER6" i="3" s="1"/>
  <c r="ES6" i="3" s="1"/>
  <c r="DQ6" i="3"/>
  <c r="DR6" i="3" s="1"/>
  <c r="DA6" i="3"/>
  <c r="BU6" i="3"/>
  <c r="BF6" i="3" a="1"/>
  <c r="BF6" i="3" s="1"/>
  <c r="BC6" i="3"/>
  <c r="AQ6" i="3" a="1"/>
  <c r="AQ6" i="3" s="1"/>
  <c r="AB6" i="3" a="1"/>
  <c r="AB6" i="3" s="1"/>
  <c r="Y6" i="3"/>
  <c r="M6" i="3"/>
  <c r="L6" i="3"/>
  <c r="N6" i="3" s="1"/>
  <c r="J6" i="3" a="1"/>
  <c r="J6" i="3" s="1"/>
  <c r="E6" i="3"/>
  <c r="D6" i="3"/>
  <c r="C6" i="3"/>
  <c r="B6" i="3"/>
  <c r="A6" i="3"/>
  <c r="EX5" i="3" a="1"/>
  <c r="EX5" i="3" s="1"/>
  <c r="EU5" i="3"/>
  <c r="ER5" i="3" a="1"/>
  <c r="ER5" i="3" s="1"/>
  <c r="EP5" i="3"/>
  <c r="EO5" i="3"/>
  <c r="EI5" i="3"/>
  <c r="EF5" i="3"/>
  <c r="EF5" i="3" a="1"/>
  <c r="EC5" i="3"/>
  <c r="ED5" i="3" s="1"/>
  <c r="DZ5" i="3" a="1"/>
  <c r="DZ5" i="3" s="1"/>
  <c r="DT5" i="3"/>
  <c r="DT5" i="3" a="1"/>
  <c r="DQ5" i="3"/>
  <c r="DN5" i="3" a="1"/>
  <c r="DN5" i="3" s="1"/>
  <c r="DL5" i="3"/>
  <c r="DK5" i="3"/>
  <c r="DH5" i="3" a="1"/>
  <c r="DH5" i="3" s="1"/>
  <c r="DF5" i="3"/>
  <c r="DE5" i="3"/>
  <c r="DA5" i="3"/>
  <c r="CY5" i="3"/>
  <c r="CX5" i="3"/>
  <c r="CW5" i="3"/>
  <c r="CV5" i="3" a="1"/>
  <c r="CV5" i="3" s="1"/>
  <c r="CU5" i="3"/>
  <c r="CS5" i="3"/>
  <c r="CR5" i="3"/>
  <c r="CP5" i="3" a="1"/>
  <c r="CP5" i="3" s="1"/>
  <c r="CO5" i="3"/>
  <c r="CM5" i="3"/>
  <c r="CJ5" i="3" a="1"/>
  <c r="CJ5" i="3" s="1"/>
  <c r="CI5" i="3"/>
  <c r="CF5" i="3"/>
  <c r="CD5" i="3"/>
  <c r="CD5" i="3" a="1"/>
  <c r="CC5" i="3"/>
  <c r="CA5" i="3"/>
  <c r="BZ5" i="3"/>
  <c r="BX5" i="3" a="1"/>
  <c r="BX5" i="3" s="1"/>
  <c r="BU5" i="3"/>
  <c r="BT5" i="3"/>
  <c r="BQ5" i="3"/>
  <c r="BO5" i="3"/>
  <c r="BN5" i="3"/>
  <c r="BL5" i="3" a="1"/>
  <c r="BL5" i="3" s="1"/>
  <c r="BK5" i="3"/>
  <c r="BI5" i="3"/>
  <c r="BH5" i="3"/>
  <c r="BF5" i="3" a="1"/>
  <c r="BF5" i="3" s="1"/>
  <c r="BE5" i="3"/>
  <c r="BC5" i="3"/>
  <c r="AZ5" i="3"/>
  <c r="AZ5" i="3" a="1"/>
  <c r="AY5" i="3"/>
  <c r="AV5" i="3"/>
  <c r="AT5" i="3"/>
  <c r="AT5" i="3" a="1"/>
  <c r="AS5" i="3"/>
  <c r="AQ5" i="3" a="1"/>
  <c r="AQ5" i="3" s="1"/>
  <c r="AP5" i="3"/>
  <c r="AM5" i="3"/>
  <c r="AK5" i="3"/>
  <c r="AJ5" i="3"/>
  <c r="AI5" i="3"/>
  <c r="AH5" i="3" a="1"/>
  <c r="AH5" i="3" s="1"/>
  <c r="AG5" i="3"/>
  <c r="AE5" i="3"/>
  <c r="AD5" i="3"/>
  <c r="AB5" i="3" a="1"/>
  <c r="AB5" i="3" s="1"/>
  <c r="AA5" i="3"/>
  <c r="Y5" i="3"/>
  <c r="V5" i="3" a="1"/>
  <c r="V5" i="3" s="1"/>
  <c r="U5" i="3"/>
  <c r="R5" i="3"/>
  <c r="P5" i="3" a="1"/>
  <c r="P5" i="3" s="1"/>
  <c r="O5" i="3"/>
  <c r="M5" i="3"/>
  <c r="L5" i="3"/>
  <c r="J5" i="3" a="1"/>
  <c r="J5" i="3" s="1"/>
  <c r="G5" i="3"/>
  <c r="F5" i="3"/>
  <c r="E5" i="3"/>
  <c r="D5" i="3"/>
  <c r="C5" i="3"/>
  <c r="EL5" i="3" s="1" a="1"/>
  <c r="EL5" i="3" s="1"/>
  <c r="B5" i="3"/>
  <c r="A5" i="3"/>
  <c r="FG2" i="3"/>
  <c r="AQ47" i="1"/>
  <c r="AE47" i="1"/>
  <c r="M47" i="1"/>
  <c r="AQ45" i="1"/>
  <c r="AE45" i="1"/>
  <c r="BP47" i="1"/>
  <c r="BJ47" i="1"/>
  <c r="BD47" i="1"/>
  <c r="AF47" i="1"/>
  <c r="BM46" i="1"/>
  <c r="BG46" i="1"/>
  <c r="AU46" i="1"/>
  <c r="AI46" i="1"/>
  <c r="BP45" i="1"/>
  <c r="BJ45" i="1"/>
  <c r="BD45" i="1"/>
  <c r="AF45" i="1"/>
  <c r="BM44" i="1"/>
  <c r="BG44" i="1"/>
  <c r="AU44" i="1"/>
  <c r="AI44" i="1"/>
  <c r="BP43" i="1"/>
  <c r="BJ43" i="1"/>
  <c r="BD43" i="1"/>
  <c r="AF43" i="1"/>
  <c r="BM42" i="1"/>
  <c r="BG42" i="1"/>
  <c r="AU42" i="1"/>
  <c r="AI42" i="1"/>
  <c r="BP41" i="1"/>
  <c r="BJ41" i="1"/>
  <c r="BD41" i="1"/>
  <c r="AF41" i="1"/>
  <c r="BM40" i="1"/>
  <c r="BG40" i="1"/>
  <c r="AU40" i="1"/>
  <c r="AI40" i="1"/>
  <c r="BP39" i="1"/>
  <c r="BJ39" i="1"/>
  <c r="BD39" i="1"/>
  <c r="AF39" i="1"/>
  <c r="AU47" i="1"/>
  <c r="AM47" i="1"/>
  <c r="BP46" i="1"/>
  <c r="R46" i="1"/>
  <c r="I45" i="1"/>
  <c r="O44" i="1"/>
  <c r="AI43" i="1"/>
  <c r="M43" i="1"/>
  <c r="BD42" i="1"/>
  <c r="M42" i="1"/>
  <c r="AU41" i="1"/>
  <c r="R41" i="1"/>
  <c r="BP40" i="1"/>
  <c r="AM40" i="1"/>
  <c r="AF40" i="1"/>
  <c r="R40" i="1"/>
  <c r="BG39" i="1"/>
  <c r="R39" i="1"/>
  <c r="L39" i="1"/>
  <c r="AM38" i="1"/>
  <c r="O38" i="1"/>
  <c r="I38" i="1"/>
  <c r="R37" i="1"/>
  <c r="L37" i="1"/>
  <c r="L47" i="1"/>
  <c r="BJ46" i="1"/>
  <c r="I46" i="1"/>
  <c r="BM45" i="1"/>
  <c r="AE44" i="1"/>
  <c r="I44" i="1"/>
  <c r="BM43" i="1"/>
  <c r="AQ43" i="1"/>
  <c r="O43" i="1"/>
  <c r="BG47" i="1"/>
  <c r="AI47" i="1"/>
  <c r="I47" i="1"/>
  <c r="BG45" i="1"/>
  <c r="M45" i="1"/>
  <c r="BP44" i="1"/>
  <c r="L43" i="1"/>
  <c r="R42" i="1"/>
  <c r="I42" i="1"/>
  <c r="AM41" i="1"/>
  <c r="M41" i="1"/>
  <c r="I40" i="1"/>
  <c r="AU39" i="1"/>
  <c r="AM39" i="1"/>
  <c r="O39" i="1"/>
  <c r="BD38" i="1"/>
  <c r="AQ38" i="1"/>
  <c r="BD37" i="1"/>
  <c r="M37" i="1"/>
  <c r="BP36" i="1"/>
  <c r="BJ36" i="1"/>
  <c r="BD36" i="1"/>
  <c r="AF36" i="1"/>
  <c r="BM35" i="1"/>
  <c r="BG35" i="1"/>
  <c r="AU35" i="1"/>
  <c r="AI35" i="1"/>
  <c r="BP34" i="1"/>
  <c r="BJ34" i="1"/>
  <c r="BD34" i="1"/>
  <c r="AF34" i="1"/>
  <c r="BM33" i="1"/>
  <c r="BG33" i="1"/>
  <c r="AU33" i="1"/>
  <c r="AI33" i="1"/>
  <c r="BP32" i="1"/>
  <c r="BJ32" i="1"/>
  <c r="BD32" i="1"/>
  <c r="AF32" i="1"/>
  <c r="BM31" i="1"/>
  <c r="BG31" i="1"/>
  <c r="AU31" i="1"/>
  <c r="AI31" i="1"/>
  <c r="BP30" i="1"/>
  <c r="BJ30" i="1"/>
  <c r="BD30" i="1"/>
  <c r="AF30" i="1"/>
  <c r="BM29" i="1"/>
  <c r="BG29" i="1"/>
  <c r="AU29" i="1"/>
  <c r="AI29" i="1"/>
  <c r="BP28" i="1"/>
  <c r="BJ28" i="1"/>
  <c r="BD28" i="1"/>
  <c r="AF28" i="1"/>
  <c r="BM27" i="1"/>
  <c r="BG27" i="1"/>
  <c r="AU27" i="1"/>
  <c r="AI27" i="1"/>
  <c r="BP26" i="1"/>
  <c r="BJ26" i="1"/>
  <c r="BD26" i="1"/>
  <c r="AF26" i="1"/>
  <c r="BM25" i="1"/>
  <c r="BG25" i="1"/>
  <c r="AU25" i="1"/>
  <c r="AI25" i="1"/>
  <c r="BP24" i="1"/>
  <c r="BD46" i="1"/>
  <c r="AQ46" i="1"/>
  <c r="AE46" i="1"/>
  <c r="O46" i="1"/>
  <c r="AM45" i="1"/>
  <c r="O45" i="1"/>
  <c r="AF44" i="1"/>
  <c r="AU43" i="1"/>
  <c r="BJ42" i="1"/>
  <c r="BM41" i="1"/>
  <c r="AE41" i="1"/>
  <c r="O41" i="1"/>
  <c r="BJ40" i="1"/>
  <c r="L40" i="1"/>
  <c r="BM39" i="1"/>
  <c r="AE39" i="1"/>
  <c r="I39" i="1"/>
  <c r="BM38" i="1"/>
  <c r="AQ37" i="1"/>
  <c r="AI37" i="1"/>
  <c r="AM36" i="1"/>
  <c r="O36" i="1"/>
  <c r="I36" i="1"/>
  <c r="R35" i="1"/>
  <c r="L35" i="1"/>
  <c r="AM34" i="1"/>
  <c r="O34" i="1"/>
  <c r="I34" i="1"/>
  <c r="R33" i="1"/>
  <c r="L33" i="1"/>
  <c r="AM32" i="1"/>
  <c r="O32" i="1"/>
  <c r="I32" i="1"/>
  <c r="R31" i="1"/>
  <c r="L31" i="1"/>
  <c r="AM30" i="1"/>
  <c r="O30" i="1"/>
  <c r="I30" i="1"/>
  <c r="R29" i="1"/>
  <c r="L29" i="1"/>
  <c r="AM28" i="1"/>
  <c r="O28" i="1"/>
  <c r="I28" i="1"/>
  <c r="R27" i="1"/>
  <c r="L27" i="1"/>
  <c r="AM26" i="1"/>
  <c r="O26" i="1"/>
  <c r="I26" i="1"/>
  <c r="AU45" i="1"/>
  <c r="L45" i="1"/>
  <c r="AQ44" i="1"/>
  <c r="L44" i="1"/>
  <c r="I43" i="1"/>
  <c r="AM42" i="1"/>
  <c r="AQ41" i="1"/>
  <c r="M40" i="1"/>
  <c r="L38" i="1"/>
  <c r="BP37" i="1"/>
  <c r="BG37" i="1"/>
  <c r="AU37" i="1"/>
  <c r="AQ36" i="1"/>
  <c r="AI36" i="1"/>
  <c r="I35" i="1"/>
  <c r="AU34" i="1"/>
  <c r="AM33" i="1"/>
  <c r="AE33" i="1"/>
  <c r="M33" i="1"/>
  <c r="AE32" i="1"/>
  <c r="M32" i="1"/>
  <c r="AQ31" i="1"/>
  <c r="O31" i="1"/>
  <c r="AQ30" i="1"/>
  <c r="AI30" i="1"/>
  <c r="I29" i="1"/>
  <c r="AU28" i="1"/>
  <c r="AM27" i="1"/>
  <c r="AE27" i="1"/>
  <c r="M27" i="1"/>
  <c r="AE26" i="1"/>
  <c r="M26" i="1"/>
  <c r="AQ25" i="1"/>
  <c r="I25" i="1"/>
  <c r="BM24" i="1"/>
  <c r="BG24" i="1"/>
  <c r="AU24" i="1"/>
  <c r="AI24" i="1"/>
  <c r="BP23" i="1"/>
  <c r="BJ23" i="1"/>
  <c r="BD23" i="1"/>
  <c r="AF23" i="1"/>
  <c r="BM22" i="1"/>
  <c r="BG22" i="1"/>
  <c r="AU22" i="1"/>
  <c r="AI22" i="1"/>
  <c r="BP21" i="1"/>
  <c r="BJ21" i="1"/>
  <c r="BD21" i="1"/>
  <c r="AF21" i="1"/>
  <c r="BM20" i="1"/>
  <c r="BG20" i="1"/>
  <c r="AU20" i="1"/>
  <c r="AI20" i="1"/>
  <c r="BP19" i="1"/>
  <c r="BJ19" i="1"/>
  <c r="BD19" i="1"/>
  <c r="AF19" i="1"/>
  <c r="BM18" i="1"/>
  <c r="BG18" i="1"/>
  <c r="AU18" i="1"/>
  <c r="AI18" i="1"/>
  <c r="BP17" i="1"/>
  <c r="O47" i="1"/>
  <c r="AF46" i="1"/>
  <c r="L46" i="1"/>
  <c r="R45" i="1"/>
  <c r="BD44" i="1"/>
  <c r="M44" i="1"/>
  <c r="O42" i="1"/>
  <c r="BJ38" i="1"/>
  <c r="AU38" i="1"/>
  <c r="AI38" i="1"/>
  <c r="M38" i="1"/>
  <c r="AM37" i="1"/>
  <c r="R36" i="1"/>
  <c r="BD35" i="1"/>
  <c r="BM34" i="1"/>
  <c r="L34" i="1"/>
  <c r="BP33" i="1"/>
  <c r="AF33" i="1"/>
  <c r="BG32" i="1"/>
  <c r="BJ31" i="1"/>
  <c r="R30" i="1"/>
  <c r="BD29" i="1"/>
  <c r="BM28" i="1"/>
  <c r="L28" i="1"/>
  <c r="BP27" i="1"/>
  <c r="AF27" i="1"/>
  <c r="BG26" i="1"/>
  <c r="BJ25" i="1"/>
  <c r="R25" i="1"/>
  <c r="R24" i="1"/>
  <c r="L24" i="1"/>
  <c r="AM23" i="1"/>
  <c r="O23" i="1"/>
  <c r="I23" i="1"/>
  <c r="R22" i="1"/>
  <c r="L22" i="1"/>
  <c r="AM43" i="1"/>
  <c r="AQ40" i="1"/>
  <c r="AI39" i="1"/>
  <c r="AF38" i="1"/>
  <c r="R38" i="1"/>
  <c r="BM36" i="1"/>
  <c r="M36" i="1"/>
  <c r="BP35" i="1"/>
  <c r="AF35" i="1"/>
  <c r="R34" i="1"/>
  <c r="AU30" i="1"/>
  <c r="AE30" i="1"/>
  <c r="AQ26" i="1"/>
  <c r="BP25" i="1"/>
  <c r="AF25" i="1"/>
  <c r="BJ24" i="1"/>
  <c r="R23" i="1"/>
  <c r="BD22" i="1"/>
  <c r="BM21" i="1"/>
  <c r="L21" i="1"/>
  <c r="BJ20" i="1"/>
  <c r="L20" i="1"/>
  <c r="AM19" i="1"/>
  <c r="AE19" i="1"/>
  <c r="AE18" i="1"/>
  <c r="I18" i="1"/>
  <c r="BM17" i="1"/>
  <c r="BG17" i="1"/>
  <c r="AU17" i="1"/>
  <c r="AI17" i="1"/>
  <c r="BP16" i="1"/>
  <c r="BJ16" i="1"/>
  <c r="BD16" i="1"/>
  <c r="AF16" i="1"/>
  <c r="BM15" i="1"/>
  <c r="BG15" i="1"/>
  <c r="AU15" i="1"/>
  <c r="AI15" i="1"/>
  <c r="BP14" i="1"/>
  <c r="BJ14" i="1"/>
  <c r="BD14" i="1"/>
  <c r="AF14" i="1"/>
  <c r="BM13" i="1"/>
  <c r="BG13" i="1"/>
  <c r="AU13" i="1"/>
  <c r="AI13" i="1"/>
  <c r="BP12" i="1"/>
  <c r="BJ12" i="1"/>
  <c r="BD12" i="1"/>
  <c r="AF12" i="1"/>
  <c r="BM11" i="1"/>
  <c r="BG11" i="1"/>
  <c r="AU11" i="1"/>
  <c r="AI11" i="1"/>
  <c r="BP10" i="1"/>
  <c r="BJ10" i="1"/>
  <c r="BD10" i="1"/>
  <c r="AF10" i="1"/>
  <c r="BM9" i="1"/>
  <c r="BG9" i="1"/>
  <c r="AU9" i="1"/>
  <c r="AI9" i="1"/>
  <c r="BP8" i="1"/>
  <c r="BJ8" i="1"/>
  <c r="BD8" i="1"/>
  <c r="AF8" i="1"/>
  <c r="BM7" i="1"/>
  <c r="BG7" i="1"/>
  <c r="AU7" i="1"/>
  <c r="AI7" i="1"/>
  <c r="BP6" i="1"/>
  <c r="BJ6" i="1"/>
  <c r="BD6" i="1"/>
  <c r="AF6" i="1"/>
  <c r="BM5" i="1"/>
  <c r="BG5" i="1"/>
  <c r="AU5" i="1"/>
  <c r="AI5" i="1"/>
  <c r="AF42" i="1"/>
  <c r="L42" i="1"/>
  <c r="AI41" i="1"/>
  <c r="L41" i="1"/>
  <c r="BD40" i="1"/>
  <c r="BP38" i="1"/>
  <c r="BG38" i="1"/>
  <c r="AE38" i="1"/>
  <c r="BM37" i="1"/>
  <c r="I37" i="1"/>
  <c r="L36" i="1"/>
  <c r="AQ35" i="1"/>
  <c r="AE35" i="1"/>
  <c r="O35" i="1"/>
  <c r="AQ34" i="1"/>
  <c r="AE34" i="1"/>
  <c r="AM31" i="1"/>
  <c r="M31" i="1"/>
  <c r="BG28" i="1"/>
  <c r="AI28" i="1"/>
  <c r="BJ27" i="1"/>
  <c r="I27" i="1"/>
  <c r="L26" i="1"/>
  <c r="BD25" i="1"/>
  <c r="AE25" i="1"/>
  <c r="AQ24" i="1"/>
  <c r="O24" i="1"/>
  <c r="AQ23" i="1"/>
  <c r="AI23" i="1"/>
  <c r="I22" i="1"/>
  <c r="AU21" i="1"/>
  <c r="R21" i="1"/>
  <c r="BP20" i="1"/>
  <c r="AM20" i="1"/>
  <c r="AF20" i="1"/>
  <c r="R20" i="1"/>
  <c r="BG19" i="1"/>
  <c r="I19" i="1"/>
  <c r="BM47" i="1"/>
  <c r="AI45" i="1"/>
  <c r="BJ44" i="1"/>
  <c r="BG43" i="1"/>
  <c r="R43" i="1"/>
  <c r="AE37" i="1"/>
  <c r="BG34" i="1"/>
  <c r="AI34" i="1"/>
  <c r="BJ33" i="1"/>
  <c r="I33" i="1"/>
  <c r="L32" i="1"/>
  <c r="BD31" i="1"/>
  <c r="AE31" i="1"/>
  <c r="BG30" i="1"/>
  <c r="BJ29" i="1"/>
  <c r="AM29" i="1"/>
  <c r="M29" i="1"/>
  <c r="M28" i="1"/>
  <c r="AQ27" i="1"/>
  <c r="O27" i="1"/>
  <c r="BM26" i="1"/>
  <c r="R26" i="1"/>
  <c r="L25" i="1"/>
  <c r="I24" i="1"/>
  <c r="AU23" i="1"/>
  <c r="AM22" i="1"/>
  <c r="AE22" i="1"/>
  <c r="M22" i="1"/>
  <c r="AI21" i="1"/>
  <c r="M21" i="1"/>
  <c r="BD20" i="1"/>
  <c r="M20" i="1"/>
  <c r="AU19" i="1"/>
  <c r="R19" i="1"/>
  <c r="BP18" i="1"/>
  <c r="AM18" i="1"/>
  <c r="AF18" i="1"/>
  <c r="R18" i="1"/>
  <c r="R17" i="1"/>
  <c r="L17" i="1"/>
  <c r="AM16" i="1"/>
  <c r="O16" i="1"/>
  <c r="I16" i="1"/>
  <c r="R15" i="1"/>
  <c r="L15" i="1"/>
  <c r="BP42" i="1"/>
  <c r="AE42" i="1"/>
  <c r="AF37" i="1"/>
  <c r="AE36" i="1"/>
  <c r="M34" i="1"/>
  <c r="AI32" i="1"/>
  <c r="BM30" i="1"/>
  <c r="AQ28" i="1"/>
  <c r="AE23" i="1"/>
  <c r="M23" i="1"/>
  <c r="AM21" i="1"/>
  <c r="I20" i="1"/>
  <c r="AI19" i="1"/>
  <c r="AM17" i="1"/>
  <c r="AE17" i="1"/>
  <c r="M17" i="1"/>
  <c r="AE16" i="1"/>
  <c r="M16" i="1"/>
  <c r="AQ15" i="1"/>
  <c r="O15" i="1"/>
  <c r="I14" i="1"/>
  <c r="O13" i="1"/>
  <c r="AI12" i="1"/>
  <c r="M12" i="1"/>
  <c r="BD11" i="1"/>
  <c r="M11" i="1"/>
  <c r="R44" i="1"/>
  <c r="AE43" i="1"/>
  <c r="I41" i="1"/>
  <c r="BM32" i="1"/>
  <c r="BP29" i="1"/>
  <c r="AF29" i="1"/>
  <c r="AU26" i="1"/>
  <c r="BD24" i="1"/>
  <c r="L23" i="1"/>
  <c r="O22" i="1"/>
  <c r="I21" i="1"/>
  <c r="M18" i="1"/>
  <c r="BD17" i="1"/>
  <c r="BM16" i="1"/>
  <c r="L16" i="1"/>
  <c r="BP15" i="1"/>
  <c r="AF15" i="1"/>
  <c r="BG14" i="1"/>
  <c r="AQ14" i="1"/>
  <c r="O14" i="1"/>
  <c r="AQ13" i="1"/>
  <c r="R47" i="1"/>
  <c r="AM46" i="1"/>
  <c r="AM44" i="1"/>
  <c r="AE40" i="1"/>
  <c r="BD33" i="1"/>
  <c r="AU32" i="1"/>
  <c r="M30" i="1"/>
  <c r="AE28" i="1"/>
  <c r="M25" i="1"/>
  <c r="M24" i="1"/>
  <c r="AE21" i="1"/>
  <c r="O21" i="1"/>
  <c r="O19" i="1"/>
  <c r="BD18" i="1"/>
  <c r="AF17" i="1"/>
  <c r="R16" i="1"/>
  <c r="I15" i="1"/>
  <c r="AE14" i="1"/>
  <c r="BD13" i="1"/>
  <c r="R13" i="1"/>
  <c r="I13" i="1"/>
  <c r="BM12" i="1"/>
  <c r="AE12" i="1"/>
  <c r="O12" i="1"/>
  <c r="BJ11" i="1"/>
  <c r="BM10" i="1"/>
  <c r="AQ10" i="1"/>
  <c r="O10" i="1"/>
  <c r="AQ9" i="1"/>
  <c r="L8" i="1"/>
  <c r="BJ7" i="1"/>
  <c r="L7" i="1"/>
  <c r="AM6" i="1"/>
  <c r="AE6" i="1"/>
  <c r="AE5" i="1"/>
  <c r="I5" i="1"/>
  <c r="BJ18" i="1"/>
  <c r="BD15" i="1"/>
  <c r="BP11" i="1"/>
  <c r="AQ11" i="1"/>
  <c r="L10" i="1"/>
  <c r="L9" i="1"/>
  <c r="AM8" i="1"/>
  <c r="AE7" i="1"/>
  <c r="I7" i="1"/>
  <c r="AQ6" i="1"/>
  <c r="O6" i="1"/>
  <c r="BG41" i="1"/>
  <c r="M35" i="1"/>
  <c r="AF31" i="1"/>
  <c r="L30" i="1"/>
  <c r="AQ29" i="1"/>
  <c r="AM25" i="1"/>
  <c r="AF24" i="1"/>
  <c r="M19" i="1"/>
  <c r="AQ17" i="1"/>
  <c r="O17" i="1"/>
  <c r="AQ16" i="1"/>
  <c r="R14" i="1"/>
  <c r="AU12" i="1"/>
  <c r="AM12" i="1"/>
  <c r="L12" i="1"/>
  <c r="R11" i="1"/>
  <c r="I11" i="1"/>
  <c r="AI10" i="1"/>
  <c r="M10" i="1"/>
  <c r="BD9" i="1"/>
  <c r="M9" i="1"/>
  <c r="AU8" i="1"/>
  <c r="R8" i="1"/>
  <c r="BP7" i="1"/>
  <c r="AM7" i="1"/>
  <c r="AF7" i="1"/>
  <c r="R7" i="1"/>
  <c r="BG6" i="1"/>
  <c r="I6" i="1"/>
  <c r="O5" i="1"/>
  <c r="AE15" i="1"/>
  <c r="AM14" i="1"/>
  <c r="BJ9" i="1"/>
  <c r="AE8" i="1"/>
  <c r="BM6" i="1"/>
  <c r="AQ5" i="1"/>
  <c r="M46" i="1"/>
  <c r="O40" i="1"/>
  <c r="AQ39" i="1"/>
  <c r="BJ37" i="1"/>
  <c r="BJ35" i="1"/>
  <c r="O33" i="1"/>
  <c r="AQ32" i="1"/>
  <c r="AE29" i="1"/>
  <c r="R28" i="1"/>
  <c r="AE24" i="1"/>
  <c r="BG23" i="1"/>
  <c r="BJ22" i="1"/>
  <c r="L19" i="1"/>
  <c r="O18" i="1"/>
  <c r="BJ13" i="1"/>
  <c r="AM35" i="1"/>
  <c r="BP31" i="1"/>
  <c r="AQ22" i="1"/>
  <c r="AQ20" i="1"/>
  <c r="BM19" i="1"/>
  <c r="L18" i="1"/>
  <c r="I17" i="1"/>
  <c r="AU14" i="1"/>
  <c r="AI14" i="1"/>
  <c r="M14" i="1"/>
  <c r="AF13" i="1"/>
  <c r="M13" i="1"/>
  <c r="R12" i="1"/>
  <c r="O11" i="1"/>
  <c r="AU10" i="1"/>
  <c r="M39" i="1"/>
  <c r="AU36" i="1"/>
  <c r="AQ33" i="1"/>
  <c r="I31" i="1"/>
  <c r="BD27" i="1"/>
  <c r="O25" i="1"/>
  <c r="BG21" i="1"/>
  <c r="AQ21" i="1"/>
  <c r="O20" i="1"/>
  <c r="AQ19" i="1"/>
  <c r="BJ17" i="1"/>
  <c r="BG16" i="1"/>
  <c r="BJ15" i="1"/>
  <c r="AM15" i="1"/>
  <c r="M15" i="1"/>
  <c r="L14" i="1"/>
  <c r="BP13" i="1"/>
  <c r="AE13" i="1"/>
  <c r="L13" i="1"/>
  <c r="AQ12" i="1"/>
  <c r="I12" i="1"/>
  <c r="AM11" i="1"/>
  <c r="AE11" i="1"/>
  <c r="AM10" i="1"/>
  <c r="AE10" i="1"/>
  <c r="AQ42" i="1"/>
  <c r="O37" i="1"/>
  <c r="BG36" i="1"/>
  <c r="R32" i="1"/>
  <c r="O29" i="1"/>
  <c r="AI26" i="1"/>
  <c r="AM24" i="1"/>
  <c r="BM23" i="1"/>
  <c r="BP22" i="1"/>
  <c r="AF22" i="1"/>
  <c r="AE20" i="1"/>
  <c r="AQ18" i="1"/>
  <c r="AU16" i="1"/>
  <c r="AI16" i="1"/>
  <c r="BM14" i="1"/>
  <c r="AM13" i="1"/>
  <c r="BG12" i="1"/>
  <c r="L11" i="1"/>
  <c r="BG10" i="1"/>
  <c r="I10" i="1"/>
  <c r="O9" i="1"/>
  <c r="R10" i="1"/>
  <c r="AE9" i="1"/>
  <c r="I9" i="1"/>
  <c r="BJ5" i="1"/>
  <c r="AM5" i="1"/>
  <c r="R6" i="1"/>
  <c r="AF11" i="1"/>
  <c r="AI8" i="1"/>
  <c r="AU6" i="1"/>
  <c r="BG8" i="1"/>
  <c r="O7" i="1"/>
  <c r="M6" i="1"/>
  <c r="BP5" i="1"/>
  <c r="AM9" i="1"/>
  <c r="R9" i="1"/>
  <c r="AQ8" i="1"/>
  <c r="O8" i="1"/>
  <c r="BD7" i="1"/>
  <c r="AQ7" i="1"/>
  <c r="L6" i="1"/>
  <c r="BD5" i="1"/>
  <c r="AF5" i="1"/>
  <c r="R5" i="1"/>
  <c r="M5" i="1"/>
  <c r="BP9" i="1"/>
  <c r="M8" i="1"/>
  <c r="M7" i="1"/>
  <c r="AF9" i="1"/>
  <c r="BM8" i="1"/>
  <c r="I8" i="1"/>
  <c r="AI6" i="1"/>
  <c r="L5" i="1"/>
  <c r="L48" i="1" l="1"/>
  <c r="J8" i="1"/>
  <c r="K8" i="1"/>
  <c r="AJ8" i="1"/>
  <c r="AK8" i="1" s="1"/>
  <c r="AL8" i="1" s="1"/>
  <c r="U8" i="1"/>
  <c r="BN8" i="1"/>
  <c r="AG9" i="1"/>
  <c r="AH9" i="1" s="1"/>
  <c r="Q7" i="1"/>
  <c r="X7" i="1"/>
  <c r="Y7" i="1" s="1"/>
  <c r="AR7" i="1"/>
  <c r="AS7" i="1" s="1"/>
  <c r="AT7" i="1" s="1"/>
  <c r="N7" i="1"/>
  <c r="AR8" i="1"/>
  <c r="AS8" i="1" s="1"/>
  <c r="AT8" i="1" s="1"/>
  <c r="N8" i="1"/>
  <c r="X8" i="1"/>
  <c r="Y8" i="1" s="1"/>
  <c r="Q8" i="1"/>
  <c r="BQ9" i="1"/>
  <c r="M48" i="1"/>
  <c r="Q5" i="1"/>
  <c r="X5" i="1"/>
  <c r="AR5" i="1"/>
  <c r="N5" i="1"/>
  <c r="R48" i="1"/>
  <c r="T5" i="1"/>
  <c r="AV5" i="1"/>
  <c r="S5" i="1"/>
  <c r="Z5" i="1"/>
  <c r="AF48" i="1"/>
  <c r="AG5" i="1"/>
  <c r="AH5" i="1" s="1"/>
  <c r="BD48" i="1"/>
  <c r="BE48" i="1" s="1"/>
  <c r="BE5" i="1"/>
  <c r="BE7" i="1"/>
  <c r="P8" i="1"/>
  <c r="Z9" i="1"/>
  <c r="S9" i="1"/>
  <c r="T9" i="1"/>
  <c r="AV9" i="1"/>
  <c r="AW9" i="1" s="1"/>
  <c r="AX9" i="1" s="1"/>
  <c r="BP48" i="1"/>
  <c r="BQ5" i="1"/>
  <c r="AR6" i="1"/>
  <c r="AS6" i="1" s="1"/>
  <c r="AT6" i="1" s="1"/>
  <c r="N6" i="1"/>
  <c r="X6" i="1"/>
  <c r="Y6" i="1" s="1"/>
  <c r="Q6" i="1"/>
  <c r="P7" i="1"/>
  <c r="BH8" i="1"/>
  <c r="AG11" i="1"/>
  <c r="AH11" i="1" s="1"/>
  <c r="Z6" i="1"/>
  <c r="T6" i="1"/>
  <c r="AD6" i="1"/>
  <c r="AV6" i="1"/>
  <c r="AW6" i="1" s="1"/>
  <c r="AX6" i="1" s="1"/>
  <c r="S6" i="1"/>
  <c r="AM48" i="1"/>
  <c r="BJ48" i="1"/>
  <c r="BK48" i="1" s="1"/>
  <c r="BK5" i="1"/>
  <c r="K9" i="1"/>
  <c r="AJ9" i="1"/>
  <c r="AK9" i="1" s="1"/>
  <c r="AL9" i="1" s="1"/>
  <c r="U9" i="1"/>
  <c r="J9" i="1"/>
  <c r="Z10" i="1"/>
  <c r="T10" i="1"/>
  <c r="AV10" i="1"/>
  <c r="AW10" i="1" s="1"/>
  <c r="AX10" i="1" s="1"/>
  <c r="S10" i="1"/>
  <c r="AD10" i="1"/>
  <c r="P9" i="1"/>
  <c r="AJ10" i="1"/>
  <c r="AK10" i="1" s="1"/>
  <c r="AL10" i="1" s="1"/>
  <c r="U10" i="1"/>
  <c r="J10" i="1"/>
  <c r="K10" i="1"/>
  <c r="BH10" i="1"/>
  <c r="BH12" i="1"/>
  <c r="BN14" i="1"/>
  <c r="AG22" i="1"/>
  <c r="AH22" i="1" s="1"/>
  <c r="BQ22" i="1"/>
  <c r="BN23" i="1"/>
  <c r="P29" i="1"/>
  <c r="Z32" i="1"/>
  <c r="T32" i="1"/>
  <c r="AV32" i="1"/>
  <c r="AW32" i="1" s="1"/>
  <c r="AX32" i="1" s="1"/>
  <c r="AD32" i="1"/>
  <c r="S32" i="1"/>
  <c r="BH36" i="1"/>
  <c r="P37" i="1"/>
  <c r="U12" i="1"/>
  <c r="AC12" i="1"/>
  <c r="K12" i="1"/>
  <c r="AJ12" i="1"/>
  <c r="AK12" i="1" s="1"/>
  <c r="AL12" i="1" s="1"/>
  <c r="J12" i="1"/>
  <c r="BQ13" i="1"/>
  <c r="Q15" i="1"/>
  <c r="X15" i="1"/>
  <c r="Y15" i="1" s="1"/>
  <c r="N15" i="1"/>
  <c r="AR15" i="1"/>
  <c r="AS15" i="1" s="1"/>
  <c r="AT15" i="1" s="1"/>
  <c r="BK15" i="1"/>
  <c r="BH16" i="1"/>
  <c r="BK17" i="1"/>
  <c r="P20" i="1"/>
  <c r="BH21" i="1"/>
  <c r="P25" i="1"/>
  <c r="BE27" i="1"/>
  <c r="K31" i="1"/>
  <c r="AJ31" i="1"/>
  <c r="AK31" i="1" s="1"/>
  <c r="AL31" i="1" s="1"/>
  <c r="J31" i="1"/>
  <c r="U31" i="1"/>
  <c r="AR39" i="1"/>
  <c r="AS39" i="1" s="1"/>
  <c r="AT39" i="1" s="1"/>
  <c r="X39" i="1"/>
  <c r="Y39" i="1" s="1"/>
  <c r="Q39" i="1"/>
  <c r="N39" i="1"/>
  <c r="P11" i="1"/>
  <c r="Z12" i="1"/>
  <c r="T12" i="1"/>
  <c r="AV12" i="1"/>
  <c r="AW12" i="1" s="1"/>
  <c r="AX12" i="1" s="1"/>
  <c r="AD12" i="1"/>
  <c r="S12" i="1"/>
  <c r="Q13" i="1"/>
  <c r="AR13" i="1"/>
  <c r="AS13" i="1" s="1"/>
  <c r="AT13" i="1" s="1"/>
  <c r="N13" i="1"/>
  <c r="X13" i="1"/>
  <c r="Y13" i="1" s="1"/>
  <c r="AG13" i="1"/>
  <c r="AH13" i="1" s="1"/>
  <c r="AR14" i="1"/>
  <c r="AS14" i="1" s="1"/>
  <c r="AT14" i="1" s="1"/>
  <c r="N14" i="1"/>
  <c r="Q14" i="1"/>
  <c r="X14" i="1"/>
  <c r="Y14" i="1" s="1"/>
  <c r="K17" i="1"/>
  <c r="AJ17" i="1"/>
  <c r="AK17" i="1" s="1"/>
  <c r="AL17" i="1" s="1"/>
  <c r="U17" i="1"/>
  <c r="J17" i="1"/>
  <c r="BN19" i="1"/>
  <c r="BQ31" i="1"/>
  <c r="BK13" i="1"/>
  <c r="P18" i="1"/>
  <c r="BK22" i="1"/>
  <c r="BH23" i="1"/>
  <c r="Z28" i="1"/>
  <c r="T28" i="1"/>
  <c r="S28" i="1"/>
  <c r="AV28" i="1"/>
  <c r="AW28" i="1" s="1"/>
  <c r="AX28" i="1" s="1"/>
  <c r="AD28" i="1"/>
  <c r="P33" i="1"/>
  <c r="BK35" i="1"/>
  <c r="BK37" i="1"/>
  <c r="P40" i="1"/>
  <c r="Q46" i="1"/>
  <c r="AR46" i="1"/>
  <c r="AS46" i="1" s="1"/>
  <c r="AT46" i="1" s="1"/>
  <c r="N46" i="1"/>
  <c r="X46" i="1"/>
  <c r="Y46" i="1" s="1"/>
  <c r="AQ48" i="1"/>
  <c r="BN6" i="1"/>
  <c r="BK9" i="1"/>
  <c r="O48" i="1"/>
  <c r="P5" i="1"/>
  <c r="J6" i="1"/>
  <c r="AJ6" i="1"/>
  <c r="AK6" i="1" s="1"/>
  <c r="AL6" i="1" s="1"/>
  <c r="K6" i="1"/>
  <c r="U6" i="1"/>
  <c r="BH6" i="1"/>
  <c r="AV7" i="1"/>
  <c r="AW7" i="1" s="1"/>
  <c r="AX7" i="1" s="1"/>
  <c r="Z7" i="1"/>
  <c r="S7" i="1"/>
  <c r="T7" i="1"/>
  <c r="AG7" i="1"/>
  <c r="AH7" i="1" s="1"/>
  <c r="BQ7" i="1"/>
  <c r="Z8" i="1"/>
  <c r="T8" i="1"/>
  <c r="AV8" i="1"/>
  <c r="AW8" i="1" s="1"/>
  <c r="AX8" i="1" s="1"/>
  <c r="S8" i="1"/>
  <c r="AD8" i="1"/>
  <c r="Q9" i="1"/>
  <c r="N9" i="1"/>
  <c r="AR9" i="1"/>
  <c r="AS9" i="1" s="1"/>
  <c r="AT9" i="1" s="1"/>
  <c r="X9" i="1"/>
  <c r="Y9" i="1" s="1"/>
  <c r="BE9" i="1"/>
  <c r="AR10" i="1"/>
  <c r="AS10" i="1" s="1"/>
  <c r="AT10" i="1" s="1"/>
  <c r="N10" i="1"/>
  <c r="X10" i="1"/>
  <c r="Y10" i="1" s="1"/>
  <c r="Q10" i="1"/>
  <c r="K11" i="1"/>
  <c r="J11" i="1"/>
  <c r="AJ11" i="1"/>
  <c r="AK11" i="1" s="1"/>
  <c r="AL11" i="1" s="1"/>
  <c r="U11" i="1"/>
  <c r="T11" i="1"/>
  <c r="S11" i="1"/>
  <c r="Z11" i="1"/>
  <c r="AV11" i="1"/>
  <c r="AW11" i="1" s="1"/>
  <c r="AX11" i="1" s="1"/>
  <c r="AD11" i="1"/>
  <c r="Z14" i="1"/>
  <c r="T14" i="1"/>
  <c r="AD14" i="1"/>
  <c r="S14" i="1"/>
  <c r="AV14" i="1"/>
  <c r="AW14" i="1" s="1"/>
  <c r="AX14" i="1" s="1"/>
  <c r="P17" i="1"/>
  <c r="AR19" i="1"/>
  <c r="AS19" i="1" s="1"/>
  <c r="AT19" i="1" s="1"/>
  <c r="N19" i="1"/>
  <c r="X19" i="1"/>
  <c r="Y19" i="1" s="1"/>
  <c r="Q19" i="1"/>
  <c r="AG24" i="1"/>
  <c r="AH24" i="1" s="1"/>
  <c r="AG31" i="1"/>
  <c r="AH31" i="1" s="1"/>
  <c r="Q35" i="1"/>
  <c r="X35" i="1"/>
  <c r="Y35" i="1" s="1"/>
  <c r="AR35" i="1"/>
  <c r="AS35" i="1" s="1"/>
  <c r="AT35" i="1" s="1"/>
  <c r="N35" i="1"/>
  <c r="BH41" i="1"/>
  <c r="P6" i="1"/>
  <c r="K7" i="1"/>
  <c r="J7" i="1"/>
  <c r="AJ7" i="1"/>
  <c r="AK7" i="1" s="1"/>
  <c r="AL7" i="1" s="1"/>
  <c r="U7" i="1"/>
  <c r="BQ11" i="1"/>
  <c r="BE15" i="1"/>
  <c r="BK18" i="1"/>
  <c r="I48" i="1"/>
  <c r="K5" i="1"/>
  <c r="AJ5" i="1"/>
  <c r="U5" i="1"/>
  <c r="J5" i="1"/>
  <c r="AE48" i="1"/>
  <c r="BK7" i="1"/>
  <c r="P10" i="1"/>
  <c r="BN10" i="1"/>
  <c r="BK11" i="1"/>
  <c r="P12" i="1"/>
  <c r="BN12" i="1"/>
  <c r="K13" i="1"/>
  <c r="AJ13" i="1"/>
  <c r="AK13" i="1" s="1"/>
  <c r="AL13" i="1" s="1"/>
  <c r="U13" i="1"/>
  <c r="J13" i="1"/>
  <c r="AV13" i="1"/>
  <c r="AW13" i="1" s="1"/>
  <c r="AX13" i="1" s="1"/>
  <c r="Z13" i="1"/>
  <c r="T13" i="1"/>
  <c r="S13" i="1"/>
  <c r="BE13" i="1"/>
  <c r="K15" i="1"/>
  <c r="AJ15" i="1"/>
  <c r="AK15" i="1" s="1"/>
  <c r="AL15" i="1" s="1"/>
  <c r="U15" i="1"/>
  <c r="J15" i="1"/>
  <c r="Z16" i="1"/>
  <c r="T16" i="1"/>
  <c r="AV16" i="1"/>
  <c r="AW16" i="1" s="1"/>
  <c r="AX16" i="1" s="1"/>
  <c r="AD16" i="1"/>
  <c r="S16" i="1"/>
  <c r="AG17" i="1"/>
  <c r="AH17" i="1" s="1"/>
  <c r="BE18" i="1"/>
  <c r="P19" i="1"/>
  <c r="P21" i="1"/>
  <c r="Q24" i="1"/>
  <c r="X24" i="1"/>
  <c r="Y24" i="1" s="1"/>
  <c r="AR24" i="1"/>
  <c r="AS24" i="1" s="1"/>
  <c r="AT24" i="1" s="1"/>
  <c r="N24" i="1"/>
  <c r="Q25" i="1"/>
  <c r="X25" i="1"/>
  <c r="Y25" i="1" s="1"/>
  <c r="AR25" i="1"/>
  <c r="AS25" i="1" s="1"/>
  <c r="AT25" i="1" s="1"/>
  <c r="N25" i="1"/>
  <c r="AR30" i="1"/>
  <c r="AS30" i="1" s="1"/>
  <c r="AT30" i="1" s="1"/>
  <c r="N30" i="1"/>
  <c r="Q30" i="1"/>
  <c r="X30" i="1"/>
  <c r="Y30" i="1" s="1"/>
  <c r="BE33" i="1"/>
  <c r="S47" i="1"/>
  <c r="Z47" i="1"/>
  <c r="T47" i="1"/>
  <c r="AV47" i="1"/>
  <c r="AW47" i="1" s="1"/>
  <c r="AX47" i="1" s="1"/>
  <c r="AD47" i="1"/>
  <c r="P14" i="1"/>
  <c r="BH14" i="1"/>
  <c r="AG15" i="1"/>
  <c r="AH15" i="1" s="1"/>
  <c r="BQ15" i="1"/>
  <c r="BN16" i="1"/>
  <c r="BE17" i="1"/>
  <c r="Q18" i="1"/>
  <c r="X18" i="1"/>
  <c r="Y18" i="1" s="1"/>
  <c r="N18" i="1"/>
  <c r="AR18" i="1"/>
  <c r="AS18" i="1" s="1"/>
  <c r="AT18" i="1" s="1"/>
  <c r="K21" i="1"/>
  <c r="U21" i="1"/>
  <c r="J21" i="1"/>
  <c r="AC21" i="1"/>
  <c r="AJ21" i="1"/>
  <c r="AK21" i="1" s="1"/>
  <c r="AL21" i="1" s="1"/>
  <c r="P22" i="1"/>
  <c r="BE24" i="1"/>
  <c r="AG29" i="1"/>
  <c r="AH29" i="1" s="1"/>
  <c r="BQ29" i="1"/>
  <c r="BN32" i="1"/>
  <c r="K41" i="1"/>
  <c r="AC41" i="1"/>
  <c r="AJ41" i="1"/>
  <c r="AK41" i="1" s="1"/>
  <c r="AL41" i="1" s="1"/>
  <c r="U41" i="1"/>
  <c r="J41" i="1"/>
  <c r="S44" i="1"/>
  <c r="T44" i="1"/>
  <c r="Z44" i="1"/>
  <c r="AV44" i="1"/>
  <c r="AW44" i="1" s="1"/>
  <c r="AX44" i="1" s="1"/>
  <c r="Q11" i="1"/>
  <c r="AR11" i="1"/>
  <c r="AS11" i="1" s="1"/>
  <c r="AT11" i="1" s="1"/>
  <c r="X11" i="1"/>
  <c r="Y11" i="1" s="1"/>
  <c r="N11" i="1"/>
  <c r="BE11" i="1"/>
  <c r="AR12" i="1"/>
  <c r="AS12" i="1" s="1"/>
  <c r="AT12" i="1" s="1"/>
  <c r="N12" i="1"/>
  <c r="Q12" i="1"/>
  <c r="X12" i="1"/>
  <c r="Y12" i="1" s="1"/>
  <c r="P13" i="1"/>
  <c r="AJ14" i="1"/>
  <c r="AK14" i="1" s="1"/>
  <c r="AL14" i="1" s="1"/>
  <c r="J14" i="1"/>
  <c r="U14" i="1"/>
  <c r="K14" i="1"/>
  <c r="P15" i="1"/>
  <c r="AR16" i="1"/>
  <c r="AS16" i="1" s="1"/>
  <c r="AT16" i="1" s="1"/>
  <c r="N16" i="1"/>
  <c r="Q16" i="1"/>
  <c r="X16" i="1"/>
  <c r="Y16" i="1" s="1"/>
  <c r="Q17" i="1"/>
  <c r="X17" i="1"/>
  <c r="Y17" i="1" s="1"/>
  <c r="AR17" i="1"/>
  <c r="AS17" i="1" s="1"/>
  <c r="AT17" i="1" s="1"/>
  <c r="N17" i="1"/>
  <c r="K20" i="1"/>
  <c r="J20" i="1"/>
  <c r="U20" i="1"/>
  <c r="AJ20" i="1"/>
  <c r="AK20" i="1" s="1"/>
  <c r="AL20" i="1" s="1"/>
  <c r="AR23" i="1"/>
  <c r="AS23" i="1" s="1"/>
  <c r="AT23" i="1" s="1"/>
  <c r="N23" i="1"/>
  <c r="Q23" i="1"/>
  <c r="X23" i="1"/>
  <c r="Y23" i="1" s="1"/>
  <c r="BN30" i="1"/>
  <c r="AR34" i="1"/>
  <c r="AS34" i="1" s="1"/>
  <c r="AT34" i="1" s="1"/>
  <c r="N34" i="1"/>
  <c r="Q34" i="1"/>
  <c r="X34" i="1"/>
  <c r="Y34" i="1" s="1"/>
  <c r="AG37" i="1"/>
  <c r="AH37" i="1" s="1"/>
  <c r="BQ42" i="1"/>
  <c r="AV15" i="1"/>
  <c r="AW15" i="1" s="1"/>
  <c r="AX15" i="1" s="1"/>
  <c r="S15" i="1"/>
  <c r="T15" i="1"/>
  <c r="Z15" i="1"/>
  <c r="U16" i="1"/>
  <c r="AC16" i="1"/>
  <c r="K16" i="1"/>
  <c r="AJ16" i="1"/>
  <c r="AK16" i="1" s="1"/>
  <c r="AL16" i="1" s="1"/>
  <c r="J16" i="1"/>
  <c r="P16" i="1"/>
  <c r="AV17" i="1"/>
  <c r="AW17" i="1" s="1"/>
  <c r="AX17" i="1" s="1"/>
  <c r="T17" i="1"/>
  <c r="Z17" i="1"/>
  <c r="S17" i="1"/>
  <c r="Z18" i="1"/>
  <c r="T18" i="1"/>
  <c r="S18" i="1"/>
  <c r="AV18" i="1"/>
  <c r="AW18" i="1" s="1"/>
  <c r="AX18" i="1" s="1"/>
  <c r="AG18" i="1"/>
  <c r="AH18" i="1" s="1"/>
  <c r="BQ18" i="1"/>
  <c r="Z19" i="1"/>
  <c r="T19" i="1"/>
  <c r="AD19" i="1"/>
  <c r="AV19" i="1"/>
  <c r="AW19" i="1" s="1"/>
  <c r="AX19" i="1" s="1"/>
  <c r="S19" i="1"/>
  <c r="Q20" i="1"/>
  <c r="X20" i="1"/>
  <c r="Y20" i="1" s="1"/>
  <c r="AR20" i="1"/>
  <c r="AS20" i="1" s="1"/>
  <c r="AT20" i="1" s="1"/>
  <c r="N20" i="1"/>
  <c r="BE20" i="1"/>
  <c r="AR21" i="1"/>
  <c r="AS21" i="1" s="1"/>
  <c r="AT21" i="1" s="1"/>
  <c r="N21" i="1"/>
  <c r="X21" i="1"/>
  <c r="Y21" i="1" s="1"/>
  <c r="Q21" i="1"/>
  <c r="Q22" i="1"/>
  <c r="X22" i="1"/>
  <c r="Y22" i="1" s="1"/>
  <c r="AR22" i="1"/>
  <c r="AS22" i="1" s="1"/>
  <c r="AT22" i="1" s="1"/>
  <c r="N22" i="1"/>
  <c r="K24" i="1"/>
  <c r="AJ24" i="1"/>
  <c r="AK24" i="1" s="1"/>
  <c r="AL24" i="1" s="1"/>
  <c r="J24" i="1"/>
  <c r="U24" i="1"/>
  <c r="Z26" i="1"/>
  <c r="T26" i="1"/>
  <c r="AD26" i="1"/>
  <c r="AV26" i="1"/>
  <c r="AW26" i="1" s="1"/>
  <c r="AX26" i="1" s="1"/>
  <c r="S26" i="1"/>
  <c r="BN26" i="1"/>
  <c r="P27" i="1"/>
  <c r="AR28" i="1"/>
  <c r="AS28" i="1" s="1"/>
  <c r="AT28" i="1" s="1"/>
  <c r="N28" i="1"/>
  <c r="X28" i="1"/>
  <c r="Y28" i="1" s="1"/>
  <c r="Q28" i="1"/>
  <c r="Q29" i="1"/>
  <c r="X29" i="1"/>
  <c r="Y29" i="1" s="1"/>
  <c r="N29" i="1"/>
  <c r="AR29" i="1"/>
  <c r="AS29" i="1" s="1"/>
  <c r="AT29" i="1" s="1"/>
  <c r="BK29" i="1"/>
  <c r="BH30" i="1"/>
  <c r="BE31" i="1"/>
  <c r="K33" i="1"/>
  <c r="AJ33" i="1"/>
  <c r="AK33" i="1" s="1"/>
  <c r="AL33" i="1" s="1"/>
  <c r="U33" i="1"/>
  <c r="J33" i="1"/>
  <c r="BK33" i="1"/>
  <c r="BH34" i="1"/>
  <c r="Z43" i="1"/>
  <c r="T43" i="1"/>
  <c r="AV43" i="1"/>
  <c r="AW43" i="1" s="1"/>
  <c r="AX43" i="1" s="1"/>
  <c r="AD43" i="1"/>
  <c r="S43" i="1"/>
  <c r="BH43" i="1"/>
  <c r="BK44" i="1"/>
  <c r="BN47" i="1"/>
  <c r="J19" i="1"/>
  <c r="K19" i="1"/>
  <c r="U19" i="1"/>
  <c r="AC19" i="1"/>
  <c r="AJ19" i="1"/>
  <c r="AK19" i="1" s="1"/>
  <c r="AL19" i="1" s="1"/>
  <c r="BH19" i="1"/>
  <c r="AV20" i="1"/>
  <c r="AW20" i="1" s="1"/>
  <c r="AX20" i="1" s="1"/>
  <c r="Z20" i="1"/>
  <c r="S20" i="1"/>
  <c r="T20" i="1"/>
  <c r="AD20" i="1"/>
  <c r="AG20" i="1"/>
  <c r="AH20" i="1" s="1"/>
  <c r="BQ20" i="1"/>
  <c r="Z21" i="1"/>
  <c r="T21" i="1"/>
  <c r="AV21" i="1"/>
  <c r="AW21" i="1" s="1"/>
  <c r="AX21" i="1" s="1"/>
  <c r="S21" i="1"/>
  <c r="AD21" i="1"/>
  <c r="K22" i="1"/>
  <c r="AJ22" i="1"/>
  <c r="AK22" i="1" s="1"/>
  <c r="AL22" i="1" s="1"/>
  <c r="J22" i="1"/>
  <c r="U22" i="1"/>
  <c r="P24" i="1"/>
  <c r="BE25" i="1"/>
  <c r="K27" i="1"/>
  <c r="AJ27" i="1"/>
  <c r="AK27" i="1" s="1"/>
  <c r="AL27" i="1" s="1"/>
  <c r="U27" i="1"/>
  <c r="J27" i="1"/>
  <c r="BK27" i="1"/>
  <c r="BH28" i="1"/>
  <c r="Q31" i="1"/>
  <c r="X31" i="1"/>
  <c r="Y31" i="1" s="1"/>
  <c r="AR31" i="1"/>
  <c r="AS31" i="1" s="1"/>
  <c r="AT31" i="1" s="1"/>
  <c r="N31" i="1"/>
  <c r="P35" i="1"/>
  <c r="AJ37" i="1"/>
  <c r="AK37" i="1" s="1"/>
  <c r="AL37" i="1" s="1"/>
  <c r="U37" i="1"/>
  <c r="AC37" i="1"/>
  <c r="J37" i="1"/>
  <c r="K37" i="1"/>
  <c r="BN37" i="1"/>
  <c r="BH38" i="1"/>
  <c r="BQ38" i="1"/>
  <c r="BE40" i="1"/>
  <c r="AG42" i="1"/>
  <c r="AH42" i="1" s="1"/>
  <c r="AI48" i="1"/>
  <c r="AU48" i="1"/>
  <c r="AY48" i="1" s="1"/>
  <c r="BG48" i="1"/>
  <c r="BH48" i="1" s="1"/>
  <c r="BH5" i="1"/>
  <c r="BM48" i="1"/>
  <c r="BN5" i="1"/>
  <c r="AG6" i="1"/>
  <c r="AH6" i="1" s="1"/>
  <c r="BE6" i="1"/>
  <c r="BK6" i="1"/>
  <c r="BQ6" i="1"/>
  <c r="BH7" i="1"/>
  <c r="BN7" i="1"/>
  <c r="AG8" i="1"/>
  <c r="AH8" i="1" s="1"/>
  <c r="BE8" i="1"/>
  <c r="BK8" i="1"/>
  <c r="BQ8" i="1"/>
  <c r="BH9" i="1"/>
  <c r="BN9" i="1"/>
  <c r="AG10" i="1"/>
  <c r="AH10" i="1" s="1"/>
  <c r="BE10" i="1"/>
  <c r="BK10" i="1"/>
  <c r="BQ10" i="1"/>
  <c r="BH11" i="1"/>
  <c r="BN11" i="1"/>
  <c r="AG12" i="1"/>
  <c r="AH12" i="1" s="1"/>
  <c r="BE12" i="1"/>
  <c r="BK12" i="1"/>
  <c r="BQ12" i="1"/>
  <c r="BH13" i="1"/>
  <c r="BN13" i="1"/>
  <c r="AG14" i="1"/>
  <c r="AH14" i="1" s="1"/>
  <c r="BE14" i="1"/>
  <c r="BK14" i="1"/>
  <c r="BQ14" i="1"/>
  <c r="BH15" i="1"/>
  <c r="BN15" i="1"/>
  <c r="AG16" i="1"/>
  <c r="AH16" i="1" s="1"/>
  <c r="BE16" i="1"/>
  <c r="BK16" i="1"/>
  <c r="BQ16" i="1"/>
  <c r="BH17" i="1"/>
  <c r="BN17" i="1"/>
  <c r="K18" i="1"/>
  <c r="J18" i="1"/>
  <c r="AJ18" i="1"/>
  <c r="AK18" i="1" s="1"/>
  <c r="AL18" i="1" s="1"/>
  <c r="U18" i="1"/>
  <c r="BK20" i="1"/>
  <c r="BN21" i="1"/>
  <c r="BE22" i="1"/>
  <c r="Z23" i="1"/>
  <c r="T23" i="1"/>
  <c r="S23" i="1"/>
  <c r="AV23" i="1"/>
  <c r="AW23" i="1" s="1"/>
  <c r="AX23" i="1" s="1"/>
  <c r="AD23" i="1"/>
  <c r="BK24" i="1"/>
  <c r="AG25" i="1"/>
  <c r="AH25" i="1" s="1"/>
  <c r="BQ25" i="1"/>
  <c r="Z34" i="1"/>
  <c r="T34" i="1"/>
  <c r="S34" i="1"/>
  <c r="AV34" i="1"/>
  <c r="AW34" i="1" s="1"/>
  <c r="AX34" i="1" s="1"/>
  <c r="AD34" i="1"/>
  <c r="AG35" i="1"/>
  <c r="AH35" i="1" s="1"/>
  <c r="BQ35" i="1"/>
  <c r="AR36" i="1"/>
  <c r="AS36" i="1" s="1"/>
  <c r="AT36" i="1" s="1"/>
  <c r="N36" i="1"/>
  <c r="Q36" i="1"/>
  <c r="X36" i="1"/>
  <c r="Y36" i="1" s="1"/>
  <c r="BN36" i="1"/>
  <c r="AV38" i="1"/>
  <c r="AW38" i="1" s="1"/>
  <c r="AX38" i="1" s="1"/>
  <c r="S38" i="1"/>
  <c r="Z38" i="1"/>
  <c r="T38" i="1"/>
  <c r="AG38" i="1"/>
  <c r="AH38" i="1" s="1"/>
  <c r="AV22" i="1"/>
  <c r="AW22" i="1" s="1"/>
  <c r="AX22" i="1" s="1"/>
  <c r="T22" i="1"/>
  <c r="S22" i="1"/>
  <c r="Z22" i="1"/>
  <c r="U23" i="1"/>
  <c r="AJ23" i="1"/>
  <c r="AK23" i="1" s="1"/>
  <c r="AL23" i="1" s="1"/>
  <c r="J23" i="1"/>
  <c r="K23" i="1"/>
  <c r="P23" i="1"/>
  <c r="AV24" i="1"/>
  <c r="AW24" i="1" s="1"/>
  <c r="AX24" i="1" s="1"/>
  <c r="Z24" i="1"/>
  <c r="S24" i="1"/>
  <c r="T24" i="1"/>
  <c r="AV25" i="1"/>
  <c r="AW25" i="1" s="1"/>
  <c r="AX25" i="1" s="1"/>
  <c r="Z25" i="1"/>
  <c r="T25" i="1"/>
  <c r="S25" i="1"/>
  <c r="BK25" i="1"/>
  <c r="BH26" i="1"/>
  <c r="AG27" i="1"/>
  <c r="AH27" i="1" s="1"/>
  <c r="BQ27" i="1"/>
  <c r="BN28" i="1"/>
  <c r="BE29" i="1"/>
  <c r="Z30" i="1"/>
  <c r="T30" i="1"/>
  <c r="S30" i="1"/>
  <c r="AD30" i="1"/>
  <c r="AV30" i="1"/>
  <c r="AW30" i="1" s="1"/>
  <c r="AX30" i="1" s="1"/>
  <c r="BK31" i="1"/>
  <c r="BH32" i="1"/>
  <c r="AG33" i="1"/>
  <c r="AH33" i="1" s="1"/>
  <c r="BQ33" i="1"/>
  <c r="BN34" i="1"/>
  <c r="BE35" i="1"/>
  <c r="Z36" i="1"/>
  <c r="T36" i="1"/>
  <c r="AD36" i="1"/>
  <c r="S36" i="1"/>
  <c r="AV36" i="1"/>
  <c r="AW36" i="1" s="1"/>
  <c r="AX36" i="1" s="1"/>
  <c r="N38" i="1"/>
  <c r="AR38" i="1"/>
  <c r="AS38" i="1" s="1"/>
  <c r="AT38" i="1" s="1"/>
  <c r="X38" i="1"/>
  <c r="Y38" i="1" s="1"/>
  <c r="Q38" i="1"/>
  <c r="BK38" i="1"/>
  <c r="P42" i="1"/>
  <c r="Q44" i="1"/>
  <c r="AR44" i="1"/>
  <c r="AS44" i="1" s="1"/>
  <c r="AT44" i="1" s="1"/>
  <c r="X44" i="1"/>
  <c r="Y44" i="1" s="1"/>
  <c r="N44" i="1"/>
  <c r="BE44" i="1"/>
  <c r="Z45" i="1"/>
  <c r="T45" i="1"/>
  <c r="AV45" i="1"/>
  <c r="AW45" i="1" s="1"/>
  <c r="AX45" i="1" s="1"/>
  <c r="AD45" i="1"/>
  <c r="S45" i="1"/>
  <c r="AG46" i="1"/>
  <c r="AH46" i="1" s="1"/>
  <c r="P47" i="1"/>
  <c r="BQ17" i="1"/>
  <c r="BH18" i="1"/>
  <c r="BN18" i="1"/>
  <c r="AG19" i="1"/>
  <c r="AH19" i="1" s="1"/>
  <c r="BE19" i="1"/>
  <c r="BK19" i="1"/>
  <c r="BQ19" i="1"/>
  <c r="BH20" i="1"/>
  <c r="BN20" i="1"/>
  <c r="AG21" i="1"/>
  <c r="AH21" i="1" s="1"/>
  <c r="BE21" i="1"/>
  <c r="BK21" i="1"/>
  <c r="BQ21" i="1"/>
  <c r="BH22" i="1"/>
  <c r="BN22" i="1"/>
  <c r="AG23" i="1"/>
  <c r="AH23" i="1" s="1"/>
  <c r="BE23" i="1"/>
  <c r="BK23" i="1"/>
  <c r="BQ23" i="1"/>
  <c r="BH24" i="1"/>
  <c r="BN24" i="1"/>
  <c r="K25" i="1"/>
  <c r="AJ25" i="1"/>
  <c r="AK25" i="1" s="1"/>
  <c r="AL25" i="1" s="1"/>
  <c r="J25" i="1"/>
  <c r="U25" i="1"/>
  <c r="AR26" i="1"/>
  <c r="AS26" i="1" s="1"/>
  <c r="AT26" i="1" s="1"/>
  <c r="N26" i="1"/>
  <c r="X26" i="1"/>
  <c r="Y26" i="1" s="1"/>
  <c r="Q26" i="1"/>
  <c r="Q27" i="1"/>
  <c r="X27" i="1"/>
  <c r="Y27" i="1" s="1"/>
  <c r="N27" i="1"/>
  <c r="AR27" i="1"/>
  <c r="AS27" i="1" s="1"/>
  <c r="AT27" i="1" s="1"/>
  <c r="K29" i="1"/>
  <c r="AJ29" i="1"/>
  <c r="AK29" i="1" s="1"/>
  <c r="AL29" i="1" s="1"/>
  <c r="J29" i="1"/>
  <c r="U29" i="1"/>
  <c r="P31" i="1"/>
  <c r="AR32" i="1"/>
  <c r="AS32" i="1" s="1"/>
  <c r="AT32" i="1" s="1"/>
  <c r="N32" i="1"/>
  <c r="X32" i="1"/>
  <c r="Y32" i="1" s="1"/>
  <c r="Q32" i="1"/>
  <c r="Q33" i="1"/>
  <c r="X33" i="1"/>
  <c r="Y33" i="1" s="1"/>
  <c r="N33" i="1"/>
  <c r="AR33" i="1"/>
  <c r="AS33" i="1" s="1"/>
  <c r="AT33" i="1" s="1"/>
  <c r="K35" i="1"/>
  <c r="AJ35" i="1"/>
  <c r="AK35" i="1" s="1"/>
  <c r="AL35" i="1" s="1"/>
  <c r="J35" i="1"/>
  <c r="U35" i="1"/>
  <c r="BH37" i="1"/>
  <c r="BQ37" i="1"/>
  <c r="Q40" i="1"/>
  <c r="AR40" i="1"/>
  <c r="AS40" i="1" s="1"/>
  <c r="AT40" i="1" s="1"/>
  <c r="X40" i="1"/>
  <c r="Y40" i="1" s="1"/>
  <c r="N40" i="1"/>
  <c r="U43" i="1"/>
  <c r="AJ43" i="1"/>
  <c r="AK43" i="1" s="1"/>
  <c r="AL43" i="1" s="1"/>
  <c r="AC43" i="1"/>
  <c r="J43" i="1"/>
  <c r="K43" i="1"/>
  <c r="U26" i="1"/>
  <c r="AC26" i="1"/>
  <c r="K26" i="1"/>
  <c r="J26" i="1"/>
  <c r="AJ26" i="1"/>
  <c r="AK26" i="1" s="1"/>
  <c r="AL26" i="1" s="1"/>
  <c r="P26" i="1"/>
  <c r="AV27" i="1"/>
  <c r="AW27" i="1" s="1"/>
  <c r="AX27" i="1" s="1"/>
  <c r="Z27" i="1"/>
  <c r="T27" i="1"/>
  <c r="S27" i="1"/>
  <c r="U28" i="1"/>
  <c r="K28" i="1"/>
  <c r="AJ28" i="1"/>
  <c r="AK28" i="1" s="1"/>
  <c r="AL28" i="1" s="1"/>
  <c r="J28" i="1"/>
  <c r="P28" i="1"/>
  <c r="AV29" i="1"/>
  <c r="AW29" i="1" s="1"/>
  <c r="AX29" i="1" s="1"/>
  <c r="S29" i="1"/>
  <c r="T29" i="1"/>
  <c r="Z29" i="1"/>
  <c r="U30" i="1"/>
  <c r="AJ30" i="1"/>
  <c r="AK30" i="1" s="1"/>
  <c r="AL30" i="1" s="1"/>
  <c r="J30" i="1"/>
  <c r="K30" i="1"/>
  <c r="AC30" i="1"/>
  <c r="P30" i="1"/>
  <c r="AV31" i="1"/>
  <c r="AW31" i="1" s="1"/>
  <c r="AX31" i="1" s="1"/>
  <c r="Z31" i="1"/>
  <c r="S31" i="1"/>
  <c r="T31" i="1"/>
  <c r="U32" i="1"/>
  <c r="K32" i="1"/>
  <c r="AJ32" i="1"/>
  <c r="AK32" i="1" s="1"/>
  <c r="AL32" i="1" s="1"/>
  <c r="J32" i="1"/>
  <c r="AC32" i="1"/>
  <c r="P32" i="1"/>
  <c r="AV33" i="1"/>
  <c r="AW33" i="1" s="1"/>
  <c r="AX33" i="1" s="1"/>
  <c r="T33" i="1"/>
  <c r="S33" i="1"/>
  <c r="Z33" i="1"/>
  <c r="U34" i="1"/>
  <c r="K34" i="1"/>
  <c r="AJ34" i="1"/>
  <c r="AK34" i="1" s="1"/>
  <c r="AL34" i="1" s="1"/>
  <c r="J34" i="1"/>
  <c r="P34" i="1"/>
  <c r="AV35" i="1"/>
  <c r="AW35" i="1" s="1"/>
  <c r="AX35" i="1" s="1"/>
  <c r="S35" i="1"/>
  <c r="T35" i="1"/>
  <c r="Z35" i="1"/>
  <c r="U36" i="1"/>
  <c r="AJ36" i="1"/>
  <c r="AK36" i="1" s="1"/>
  <c r="AL36" i="1" s="1"/>
  <c r="J36" i="1"/>
  <c r="K36" i="1"/>
  <c r="P36" i="1"/>
  <c r="BN38" i="1"/>
  <c r="AJ39" i="1"/>
  <c r="AK39" i="1" s="1"/>
  <c r="AL39" i="1" s="1"/>
  <c r="U39" i="1"/>
  <c r="J39" i="1"/>
  <c r="K39" i="1"/>
  <c r="BN39" i="1"/>
  <c r="BK40" i="1"/>
  <c r="P41" i="1"/>
  <c r="BN41" i="1"/>
  <c r="BK42" i="1"/>
  <c r="AG44" i="1"/>
  <c r="AH44" i="1" s="1"/>
  <c r="P45" i="1"/>
  <c r="P46" i="1"/>
  <c r="BE46" i="1"/>
  <c r="BQ24" i="1"/>
  <c r="BH25" i="1"/>
  <c r="BN25" i="1"/>
  <c r="AG26" i="1"/>
  <c r="AH26" i="1" s="1"/>
  <c r="BE26" i="1"/>
  <c r="BK26" i="1"/>
  <c r="BQ26" i="1"/>
  <c r="BH27" i="1"/>
  <c r="BN27" i="1"/>
  <c r="AG28" i="1"/>
  <c r="AH28" i="1" s="1"/>
  <c r="BE28" i="1"/>
  <c r="BK28" i="1"/>
  <c r="BQ28" i="1"/>
  <c r="BH29" i="1"/>
  <c r="BN29" i="1"/>
  <c r="AG30" i="1"/>
  <c r="AH30" i="1" s="1"/>
  <c r="BE30" i="1"/>
  <c r="BK30" i="1"/>
  <c r="BQ30" i="1"/>
  <c r="BH31" i="1"/>
  <c r="BN31" i="1"/>
  <c r="AG32" i="1"/>
  <c r="AH32" i="1" s="1"/>
  <c r="BE32" i="1"/>
  <c r="BK32" i="1"/>
  <c r="BQ32" i="1"/>
  <c r="BH33" i="1"/>
  <c r="BN33" i="1"/>
  <c r="AG34" i="1"/>
  <c r="AH34" i="1" s="1"/>
  <c r="BE34" i="1"/>
  <c r="BK34" i="1"/>
  <c r="BQ34" i="1"/>
  <c r="BH35" i="1"/>
  <c r="BN35" i="1"/>
  <c r="AG36" i="1"/>
  <c r="AH36" i="1" s="1"/>
  <c r="BE36" i="1"/>
  <c r="BK36" i="1"/>
  <c r="BQ36" i="1"/>
  <c r="X37" i="1"/>
  <c r="Y37" i="1" s="1"/>
  <c r="N37" i="1"/>
  <c r="Q37" i="1"/>
  <c r="AR37" i="1"/>
  <c r="AS37" i="1" s="1"/>
  <c r="AT37" i="1" s="1"/>
  <c r="BE37" i="1"/>
  <c r="BE38" i="1"/>
  <c r="P39" i="1"/>
  <c r="K40" i="1"/>
  <c r="J40" i="1"/>
  <c r="AJ40" i="1"/>
  <c r="AK40" i="1" s="1"/>
  <c r="AL40" i="1" s="1"/>
  <c r="U40" i="1"/>
  <c r="AR41" i="1"/>
  <c r="AS41" i="1" s="1"/>
  <c r="AT41" i="1" s="1"/>
  <c r="N41" i="1"/>
  <c r="Q41" i="1"/>
  <c r="X41" i="1"/>
  <c r="Y41" i="1" s="1"/>
  <c r="K42" i="1"/>
  <c r="AJ42" i="1"/>
  <c r="AK42" i="1" s="1"/>
  <c r="AL42" i="1" s="1"/>
  <c r="J42" i="1"/>
  <c r="U42" i="1"/>
  <c r="T42" i="1"/>
  <c r="Z42" i="1"/>
  <c r="S42" i="1"/>
  <c r="AV42" i="1"/>
  <c r="AW42" i="1" s="1"/>
  <c r="AX42" i="1" s="1"/>
  <c r="BQ44" i="1"/>
  <c r="AR45" i="1"/>
  <c r="AS45" i="1" s="1"/>
  <c r="AT45" i="1" s="1"/>
  <c r="N45" i="1"/>
  <c r="X45" i="1"/>
  <c r="Y45" i="1" s="1"/>
  <c r="Q45" i="1"/>
  <c r="BH45" i="1"/>
  <c r="AC47" i="1"/>
  <c r="U47" i="1"/>
  <c r="K47" i="1"/>
  <c r="AJ47" i="1"/>
  <c r="AK47" i="1" s="1"/>
  <c r="AL47" i="1" s="1"/>
  <c r="J47" i="1"/>
  <c r="BH47" i="1"/>
  <c r="P43" i="1"/>
  <c r="BN43" i="1"/>
  <c r="K44" i="1"/>
  <c r="J44" i="1"/>
  <c r="U44" i="1"/>
  <c r="AJ44" i="1"/>
  <c r="AK44" i="1" s="1"/>
  <c r="AL44" i="1" s="1"/>
  <c r="BN45" i="1"/>
  <c r="J46" i="1"/>
  <c r="K46" i="1"/>
  <c r="AJ46" i="1"/>
  <c r="AK46" i="1" s="1"/>
  <c r="AL46" i="1" s="1"/>
  <c r="U46" i="1"/>
  <c r="BK46" i="1"/>
  <c r="AV37" i="1"/>
  <c r="AW37" i="1" s="1"/>
  <c r="AX37" i="1" s="1"/>
  <c r="T37" i="1"/>
  <c r="Z37" i="1"/>
  <c r="S37" i="1"/>
  <c r="U38" i="1"/>
  <c r="AJ38" i="1"/>
  <c r="AK38" i="1" s="1"/>
  <c r="AL38" i="1" s="1"/>
  <c r="K38" i="1"/>
  <c r="J38" i="1"/>
  <c r="P38" i="1"/>
  <c r="AV39" i="1"/>
  <c r="AW39" i="1" s="1"/>
  <c r="AX39" i="1" s="1"/>
  <c r="S39" i="1"/>
  <c r="T39" i="1"/>
  <c r="Z39" i="1"/>
  <c r="BH39" i="1"/>
  <c r="S40" i="1"/>
  <c r="T40" i="1"/>
  <c r="Z40" i="1"/>
  <c r="AV40" i="1"/>
  <c r="AW40" i="1" s="1"/>
  <c r="AX40" i="1" s="1"/>
  <c r="AG40" i="1"/>
  <c r="AH40" i="1" s="1"/>
  <c r="BQ40" i="1"/>
  <c r="Z41" i="1"/>
  <c r="T41" i="1"/>
  <c r="AV41" i="1"/>
  <c r="AW41" i="1" s="1"/>
  <c r="AX41" i="1" s="1"/>
  <c r="AD41" i="1"/>
  <c r="S41" i="1"/>
  <c r="Q42" i="1"/>
  <c r="AR42" i="1"/>
  <c r="AS42" i="1" s="1"/>
  <c r="AT42" i="1" s="1"/>
  <c r="N42" i="1"/>
  <c r="X42" i="1"/>
  <c r="Y42" i="1" s="1"/>
  <c r="BE42" i="1"/>
  <c r="AR43" i="1"/>
  <c r="AS43" i="1" s="1"/>
  <c r="AT43" i="1" s="1"/>
  <c r="N43" i="1"/>
  <c r="X43" i="1"/>
  <c r="Y43" i="1" s="1"/>
  <c r="Q43" i="1"/>
  <c r="P44" i="1"/>
  <c r="J45" i="1"/>
  <c r="AJ45" i="1"/>
  <c r="AK45" i="1" s="1"/>
  <c r="AL45" i="1" s="1"/>
  <c r="K45" i="1"/>
  <c r="U45" i="1"/>
  <c r="Z46" i="1"/>
  <c r="S46" i="1"/>
  <c r="AD46" i="1"/>
  <c r="AV46" i="1"/>
  <c r="AW46" i="1" s="1"/>
  <c r="AX46" i="1" s="1"/>
  <c r="T46" i="1"/>
  <c r="BQ46" i="1"/>
  <c r="AG39" i="1"/>
  <c r="AH39" i="1" s="1"/>
  <c r="BE39" i="1"/>
  <c r="BK39" i="1"/>
  <c r="BQ39" i="1"/>
  <c r="BH40" i="1"/>
  <c r="BN40" i="1"/>
  <c r="AG41" i="1"/>
  <c r="AH41" i="1" s="1"/>
  <c r="BE41" i="1"/>
  <c r="BK41" i="1"/>
  <c r="BQ41" i="1"/>
  <c r="BH42" i="1"/>
  <c r="BN42" i="1"/>
  <c r="AG43" i="1"/>
  <c r="AH43" i="1" s="1"/>
  <c r="BE43" i="1"/>
  <c r="BK43" i="1"/>
  <c r="BQ43" i="1"/>
  <c r="BH44" i="1"/>
  <c r="BN44" i="1"/>
  <c r="AG45" i="1"/>
  <c r="AH45" i="1" s="1"/>
  <c r="BE45" i="1"/>
  <c r="BK45" i="1"/>
  <c r="BQ45" i="1"/>
  <c r="BH46" i="1"/>
  <c r="BN46" i="1"/>
  <c r="AG47" i="1"/>
  <c r="AH47" i="1" s="1"/>
  <c r="BE47" i="1"/>
  <c r="BK47" i="1"/>
  <c r="BQ47" i="1"/>
  <c r="AR47" i="1"/>
  <c r="AS47" i="1" s="1"/>
  <c r="AT47" i="1" s="1"/>
  <c r="N47" i="1"/>
  <c r="X47" i="1"/>
  <c r="Y47" i="1" s="1"/>
  <c r="Q47" i="1"/>
  <c r="AD7" i="1"/>
  <c r="AC8" i="1"/>
  <c r="AC10" i="1"/>
  <c r="AD9" i="1"/>
  <c r="BI48" i="1"/>
  <c r="AC6" i="1"/>
  <c r="AC7" i="1"/>
  <c r="AC17" i="1"/>
  <c r="AC18" i="1"/>
  <c r="AC22" i="1"/>
  <c r="AD17" i="1"/>
  <c r="AD18" i="1"/>
  <c r="AD22" i="1"/>
  <c r="AC28" i="1"/>
  <c r="AD38" i="1"/>
  <c r="AC45" i="1"/>
  <c r="AC11" i="1"/>
  <c r="AC23" i="1"/>
  <c r="AD40" i="1"/>
  <c r="AC42" i="1"/>
  <c r="BL48" i="1"/>
  <c r="AC13" i="1"/>
  <c r="H48" i="1"/>
  <c r="AD5" i="1"/>
  <c r="BF48" i="1"/>
  <c r="AD13" i="1"/>
  <c r="AD15" i="1"/>
  <c r="AC20" i="1"/>
  <c r="AC27" i="1"/>
  <c r="AD42" i="1"/>
  <c r="G48" i="1"/>
  <c r="AC5" i="1"/>
  <c r="AC14" i="1"/>
  <c r="BO48" i="1"/>
  <c r="AC9" i="1"/>
  <c r="AD27" i="1"/>
  <c r="AC15" i="1"/>
  <c r="AD35" i="1"/>
  <c r="AC36" i="1"/>
  <c r="AC35" i="1"/>
  <c r="AC38" i="1"/>
  <c r="AC40" i="1"/>
  <c r="AC44" i="1"/>
  <c r="AC24" i="1"/>
  <c r="AC25" i="1"/>
  <c r="AC29" i="1"/>
  <c r="AC33" i="1"/>
  <c r="AD24" i="1"/>
  <c r="AD25" i="1"/>
  <c r="AD29" i="1"/>
  <c r="AD33" i="1"/>
  <c r="AC34" i="1"/>
  <c r="AC46" i="1"/>
  <c r="AD31" i="1"/>
  <c r="AD37" i="1"/>
  <c r="AC31" i="1"/>
  <c r="AC39" i="1"/>
  <c r="AD39" i="1"/>
  <c r="AD44" i="1"/>
  <c r="EA5" i="3"/>
  <c r="Q14" i="3"/>
  <c r="AL5" i="3"/>
  <c r="CZ5" i="3"/>
  <c r="EM5" i="3"/>
  <c r="W5" i="3"/>
  <c r="BP5" i="3"/>
  <c r="CT5" i="3"/>
  <c r="CS6" i="3"/>
  <c r="CI6" i="3"/>
  <c r="CK6" i="3" s="1"/>
  <c r="BI6" i="3"/>
  <c r="AY6" i="3"/>
  <c r="AE6" i="3"/>
  <c r="U6" i="3"/>
  <c r="EO6" i="3"/>
  <c r="EP6" i="3" s="1"/>
  <c r="DT6" i="3" a="1"/>
  <c r="DT6" i="3" s="1"/>
  <c r="DU6" i="3" s="1"/>
  <c r="DE6" i="3"/>
  <c r="DF6" i="3" s="1"/>
  <c r="CY6" i="3"/>
  <c r="CO6" i="3"/>
  <c r="CJ6" i="3" a="1"/>
  <c r="CJ6" i="3" s="1"/>
  <c r="BT6" i="3"/>
  <c r="BV6" i="3" s="1"/>
  <c r="BO6" i="3"/>
  <c r="BO48" i="3" s="1"/>
  <c r="BE6" i="3"/>
  <c r="BG6" i="3" s="1"/>
  <c r="AZ6" i="3" a="1"/>
  <c r="AZ6" i="3" s="1"/>
  <c r="AZ48" i="3" s="1"/>
  <c r="AP6" i="3"/>
  <c r="AR6" i="3" s="1"/>
  <c r="AK6" i="3"/>
  <c r="AA6" i="3"/>
  <c r="AC6" i="3" s="1"/>
  <c r="V6" i="3" a="1"/>
  <c r="V6" i="3" s="1"/>
  <c r="FD6" i="3" s="1"/>
  <c r="F6" i="3"/>
  <c r="EU6" i="3"/>
  <c r="EV6" i="3" s="1"/>
  <c r="DZ6" i="3" a="1"/>
  <c r="DZ6" i="3" s="1"/>
  <c r="EA6" i="3" s="1"/>
  <c r="DK6" i="3"/>
  <c r="DL6" i="3" s="1"/>
  <c r="CX6" i="3"/>
  <c r="CX48" i="3" s="1"/>
  <c r="CD6" i="3" a="1"/>
  <c r="CD6" i="3" s="1"/>
  <c r="CD48" i="3" s="1"/>
  <c r="BN6" i="3"/>
  <c r="BP6" i="3" s="1"/>
  <c r="AT6" i="3" a="1"/>
  <c r="AT6" i="3" s="1"/>
  <c r="AT48" i="3" s="1"/>
  <c r="AJ6" i="3"/>
  <c r="AL6" i="3" s="1"/>
  <c r="P6" i="3" a="1"/>
  <c r="P6" i="3" s="1"/>
  <c r="CV6" i="3" a="1"/>
  <c r="CV6" i="3" s="1"/>
  <c r="CM6" i="3"/>
  <c r="CM48" i="3" s="1"/>
  <c r="CF6" i="3"/>
  <c r="BX6" i="3" a="1"/>
  <c r="BX6" i="3" s="1"/>
  <c r="BX48" i="3" s="1"/>
  <c r="BQ6" i="3"/>
  <c r="BH6" i="3"/>
  <c r="AS6" i="3"/>
  <c r="AM6" i="3"/>
  <c r="AD6" i="3"/>
  <c r="AF6" i="3" s="1"/>
  <c r="O6" i="3"/>
  <c r="Q6" i="3" s="1"/>
  <c r="EI6" i="3"/>
  <c r="EJ6" i="3" s="1"/>
  <c r="DW6" i="3"/>
  <c r="DX6" i="3" s="1"/>
  <c r="DN6" i="3" a="1"/>
  <c r="DN6" i="3" s="1"/>
  <c r="DO6" i="3" s="1"/>
  <c r="CU6" i="3"/>
  <c r="CW6" i="3" s="1"/>
  <c r="BW6" i="3"/>
  <c r="G6" i="3"/>
  <c r="DB6" i="3" a="1"/>
  <c r="DB6" i="3" s="1"/>
  <c r="DC6" i="3" s="1"/>
  <c r="EX6" i="3" a="1"/>
  <c r="EX6" i="3" s="1"/>
  <c r="EY6" i="3" s="1"/>
  <c r="EL6" i="3" a="1"/>
  <c r="EL6" i="3" s="1"/>
  <c r="EM6" i="3" s="1"/>
  <c r="CP6" i="3" a="1"/>
  <c r="CP6" i="3" s="1"/>
  <c r="CG6" i="3"/>
  <c r="BZ6" i="3"/>
  <c r="CB6" i="3" s="1"/>
  <c r="BR6" i="3" a="1"/>
  <c r="BR6" i="3" s="1"/>
  <c r="BK6" i="3"/>
  <c r="BM6" i="3" s="1"/>
  <c r="BB6" i="3"/>
  <c r="BD6" i="3" s="1"/>
  <c r="AN6" i="3" a="1"/>
  <c r="AN6" i="3" s="1"/>
  <c r="AG6" i="3"/>
  <c r="X6" i="3"/>
  <c r="Z6" i="3" s="1"/>
  <c r="I6" i="3"/>
  <c r="CL6" i="3"/>
  <c r="BL6" i="3" a="1"/>
  <c r="BL6" i="3" s="1"/>
  <c r="T12" i="3"/>
  <c r="H5" i="3"/>
  <c r="AC5" i="3"/>
  <c r="AR5" i="3"/>
  <c r="DR5" i="3"/>
  <c r="CC6" i="3"/>
  <c r="CE6" i="3" s="1"/>
  <c r="CR6" i="3"/>
  <c r="CT6" i="3" s="1"/>
  <c r="EF6" i="3" a="1"/>
  <c r="EF6" i="3" s="1"/>
  <c r="EG6" i="3" s="1"/>
  <c r="Q7" i="3"/>
  <c r="DC8" i="3"/>
  <c r="AF9" i="3"/>
  <c r="AO12" i="3"/>
  <c r="BD14" i="3"/>
  <c r="H15" i="3"/>
  <c r="CW18" i="3"/>
  <c r="CB10" i="3"/>
  <c r="Q25" i="3"/>
  <c r="BA25" i="3"/>
  <c r="CK5" i="3"/>
  <c r="AF5" i="3"/>
  <c r="ES5" i="3"/>
  <c r="EG5" i="3"/>
  <c r="BJ5" i="3"/>
  <c r="EJ5" i="3"/>
  <c r="R6" i="3"/>
  <c r="AH6" i="3" a="1"/>
  <c r="AH6" i="3" s="1"/>
  <c r="AH48" i="3" s="1"/>
  <c r="AV6" i="3"/>
  <c r="CA6" i="3"/>
  <c r="DH6" i="3" a="1"/>
  <c r="DH6" i="3" s="1"/>
  <c r="DI6" i="3" s="1"/>
  <c r="EC6" i="3"/>
  <c r="ED6" i="3" s="1"/>
  <c r="AI12" i="3"/>
  <c r="Q5" i="3"/>
  <c r="AU5" i="3"/>
  <c r="BM5" i="3"/>
  <c r="CE5" i="3"/>
  <c r="DO5" i="3"/>
  <c r="S6" i="3"/>
  <c r="AW6" i="3"/>
  <c r="CW10" i="3"/>
  <c r="BA11" i="3"/>
  <c r="BS12" i="3"/>
  <c r="CE13" i="3"/>
  <c r="CW13" i="3"/>
  <c r="Q15" i="3"/>
  <c r="Q17" i="3"/>
  <c r="W25" i="3"/>
  <c r="AO10" i="3"/>
  <c r="BS10" i="3"/>
  <c r="J14" i="3" a="1"/>
  <c r="J14" i="3" s="1"/>
  <c r="K14" i="3" s="1"/>
  <c r="Y14" i="3"/>
  <c r="Z14" i="3" s="1"/>
  <c r="AV14" i="3"/>
  <c r="AX14" i="3" s="1"/>
  <c r="BL14" i="3" a="1"/>
  <c r="BL14" i="3" s="1"/>
  <c r="BM14" i="3" s="1"/>
  <c r="DQ14" i="3"/>
  <c r="DR14" i="3" s="1"/>
  <c r="AB16" i="3" a="1"/>
  <c r="AB16" i="3" s="1"/>
  <c r="AQ16" i="3" a="1"/>
  <c r="AQ16" i="3" s="1"/>
  <c r="AW16" i="3"/>
  <c r="BU16" i="3"/>
  <c r="AO18" i="3"/>
  <c r="BJ8" i="3"/>
  <c r="K10" i="3"/>
  <c r="J12" i="3" a="1"/>
  <c r="J12" i="3" s="1"/>
  <c r="Y12" i="3"/>
  <c r="BC12" i="3"/>
  <c r="DH12" i="3" a="1"/>
  <c r="DH12" i="3" s="1"/>
  <c r="DI12" i="3" s="1"/>
  <c r="EC12" i="3"/>
  <c r="ED12" i="3" s="1"/>
  <c r="L14" i="3"/>
  <c r="AB14" i="3" a="1"/>
  <c r="AB14" i="3" s="1"/>
  <c r="AW14" i="3"/>
  <c r="CC16" i="3"/>
  <c r="CR16" i="3"/>
  <c r="CT16" i="3" s="1"/>
  <c r="DA16" i="3"/>
  <c r="DC16" i="3" s="1"/>
  <c r="EF16" i="3" a="1"/>
  <c r="EF16" i="3" s="1"/>
  <c r="EG16" i="3" s="1"/>
  <c r="M20" i="3"/>
  <c r="N20" i="3" s="1"/>
  <c r="CC20" i="3"/>
  <c r="DA20" i="3"/>
  <c r="DC20" i="3" s="1"/>
  <c r="ER20" i="3" a="1"/>
  <c r="ER20" i="3" s="1"/>
  <c r="ES20" i="3" s="1"/>
  <c r="N5" i="3"/>
  <c r="BV5" i="3"/>
  <c r="CQ5" i="3"/>
  <c r="DU5" i="3"/>
  <c r="EY5" i="3"/>
  <c r="H7" i="3"/>
  <c r="AC7" i="3"/>
  <c r="CK7" i="3"/>
  <c r="EU8" i="3"/>
  <c r="EV8" i="3" s="1"/>
  <c r="DZ8" i="3" a="1"/>
  <c r="DZ8" i="3" s="1"/>
  <c r="EA8" i="3" s="1"/>
  <c r="DK8" i="3"/>
  <c r="DL8" i="3" s="1"/>
  <c r="CX8" i="3"/>
  <c r="CS8" i="3"/>
  <c r="CS48" i="3" s="1"/>
  <c r="CI8" i="3"/>
  <c r="CK8" i="3" s="1"/>
  <c r="CD8" i="3" a="1"/>
  <c r="CD8" i="3" s="1"/>
  <c r="CE8" i="3" s="1"/>
  <c r="BN8" i="3"/>
  <c r="BI8" i="3"/>
  <c r="AY8" i="3"/>
  <c r="AT8" i="3" a="1"/>
  <c r="AT8" i="3" s="1"/>
  <c r="AU8" i="3" s="1"/>
  <c r="AJ8" i="3"/>
  <c r="AL8" i="3" s="1"/>
  <c r="AE8" i="3"/>
  <c r="FA8" i="3" s="1"/>
  <c r="U8" i="3"/>
  <c r="P8" i="3" a="1"/>
  <c r="P8" i="3" s="1"/>
  <c r="Q8" i="3" s="1"/>
  <c r="EO8" i="3"/>
  <c r="EP8" i="3" s="1"/>
  <c r="DT8" i="3" a="1"/>
  <c r="DT8" i="3" s="1"/>
  <c r="DU8" i="3" s="1"/>
  <c r="DE8" i="3"/>
  <c r="DF8" i="3" s="1"/>
  <c r="CY8" i="3"/>
  <c r="CY48" i="3" s="1"/>
  <c r="CO8" i="3"/>
  <c r="CJ8" i="3" a="1"/>
  <c r="CJ8" i="3" s="1"/>
  <c r="BT8" i="3"/>
  <c r="BV8" i="3" s="1"/>
  <c r="BO8" i="3"/>
  <c r="BE8" i="3"/>
  <c r="BG8" i="3" s="1"/>
  <c r="AZ8" i="3" a="1"/>
  <c r="AZ8" i="3" s="1"/>
  <c r="AP8" i="3"/>
  <c r="AR8" i="3" s="1"/>
  <c r="AK8" i="3"/>
  <c r="AA8" i="3"/>
  <c r="AC8" i="3" s="1"/>
  <c r="V8" i="3" a="1"/>
  <c r="V8" i="3" s="1"/>
  <c r="V48" i="3" s="1"/>
  <c r="F8" i="3"/>
  <c r="J8" i="3" a="1"/>
  <c r="J8" i="3" s="1"/>
  <c r="R8" i="3"/>
  <c r="T8" i="3" s="1"/>
  <c r="Y8" i="3"/>
  <c r="AH8" i="3" a="1"/>
  <c r="AH8" i="3" s="1"/>
  <c r="AV8" i="3"/>
  <c r="AX8" i="3" s="1"/>
  <c r="BC8" i="3"/>
  <c r="BC48" i="3" s="1"/>
  <c r="BL8" i="3" a="1"/>
  <c r="BL8" i="3" s="1"/>
  <c r="BL48" i="3" s="1"/>
  <c r="CA8" i="3"/>
  <c r="DH8" i="3" a="1"/>
  <c r="DH8" i="3" s="1"/>
  <c r="DI8" i="3" s="1"/>
  <c r="DQ8" i="3"/>
  <c r="DR8" i="3" s="1"/>
  <c r="EC8" i="3"/>
  <c r="ED8" i="3" s="1"/>
  <c r="W9" i="3"/>
  <c r="AR11" i="3"/>
  <c r="M12" i="3"/>
  <c r="CC12" i="3"/>
  <c r="CR12" i="3"/>
  <c r="DA12" i="3"/>
  <c r="DC12" i="3" s="1"/>
  <c r="EF12" i="3" a="1"/>
  <c r="EF12" i="3" s="1"/>
  <c r="EG12" i="3" s="1"/>
  <c r="BG13" i="3"/>
  <c r="G14" i="3"/>
  <c r="BW14" i="3"/>
  <c r="BY14" i="3" s="1"/>
  <c r="CL14" i="3"/>
  <c r="CN14" i="3" s="1"/>
  <c r="CU14" i="3"/>
  <c r="CW14" i="3" s="1"/>
  <c r="DB14" i="3" a="1"/>
  <c r="DB14" i="3" s="1"/>
  <c r="DN14" i="3" a="1"/>
  <c r="DN14" i="3" s="1"/>
  <c r="DO14" i="3" s="1"/>
  <c r="DW14" i="3"/>
  <c r="DX14" i="3" s="1"/>
  <c r="BA15" i="3"/>
  <c r="CQ15" i="3"/>
  <c r="O16" i="3"/>
  <c r="O48" i="3" s="1"/>
  <c r="AD16" i="3"/>
  <c r="AF16" i="3" s="1"/>
  <c r="AM16" i="3"/>
  <c r="AS16" i="3"/>
  <c r="BH16" i="3"/>
  <c r="BH48" i="3" s="1"/>
  <c r="BQ16" i="3"/>
  <c r="BS16" i="3" s="1"/>
  <c r="BX16" i="3" a="1"/>
  <c r="BX16" i="3" s="1"/>
  <c r="CF16" i="3"/>
  <c r="CH16" i="3" s="1"/>
  <c r="CM16" i="3"/>
  <c r="CV16" i="3" a="1"/>
  <c r="CV16" i="3" s="1"/>
  <c r="N17" i="3"/>
  <c r="W17" i="3"/>
  <c r="BA17" i="3"/>
  <c r="CQ19" i="3"/>
  <c r="O20" i="3"/>
  <c r="AD20" i="3"/>
  <c r="AM20" i="3"/>
  <c r="AS20" i="3"/>
  <c r="BH20" i="3"/>
  <c r="BJ20" i="3" s="1"/>
  <c r="BQ20" i="3"/>
  <c r="BS20" i="3" s="1"/>
  <c r="BX20" i="3" a="1"/>
  <c r="BX20" i="3" s="1"/>
  <c r="CF20" i="3"/>
  <c r="CM20" i="3"/>
  <c r="CV20" i="3" a="1"/>
  <c r="CV20" i="3" s="1"/>
  <c r="W21" i="3"/>
  <c r="BA23" i="3"/>
  <c r="I24" i="3"/>
  <c r="AB24" i="3" a="1"/>
  <c r="AB24" i="3" s="1"/>
  <c r="AS24" i="3"/>
  <c r="BL24" i="3" a="1"/>
  <c r="BL24" i="3" s="1"/>
  <c r="CD24" i="3" a="1"/>
  <c r="CD24" i="3" s="1"/>
  <c r="CL24" i="3"/>
  <c r="EF24" i="3" a="1"/>
  <c r="EF24" i="3" s="1"/>
  <c r="EG24" i="3" s="1"/>
  <c r="AC25" i="3"/>
  <c r="AU26" i="3"/>
  <c r="BS26" i="3"/>
  <c r="M27" i="3"/>
  <c r="AV27" i="3"/>
  <c r="BL27" i="3" a="1"/>
  <c r="BL27" i="3" s="1"/>
  <c r="CC27" i="3"/>
  <c r="CR27" i="3"/>
  <c r="DQ27" i="3"/>
  <c r="DR27" i="3" s="1"/>
  <c r="BV15" i="3"/>
  <c r="CK15" i="3"/>
  <c r="I16" i="3"/>
  <c r="X16" i="3"/>
  <c r="AG16" i="3"/>
  <c r="AI16" i="3" s="1"/>
  <c r="AN16" i="3" a="1"/>
  <c r="AN16" i="3" s="1"/>
  <c r="BB16" i="3"/>
  <c r="BD16" i="3" s="1"/>
  <c r="BK16" i="3"/>
  <c r="BR16" i="3" a="1"/>
  <c r="BR16" i="3" s="1"/>
  <c r="BZ16" i="3"/>
  <c r="CG16" i="3"/>
  <c r="CP16" i="3" a="1"/>
  <c r="CP16" i="3" s="1"/>
  <c r="EL16" i="3" a="1"/>
  <c r="EL16" i="3" s="1"/>
  <c r="EM16" i="3" s="1"/>
  <c r="H17" i="3"/>
  <c r="DC18" i="3"/>
  <c r="CK19" i="3"/>
  <c r="I20" i="3"/>
  <c r="X20" i="3"/>
  <c r="AG20" i="3"/>
  <c r="AI20" i="3" s="1"/>
  <c r="AN20" i="3" a="1"/>
  <c r="AN20" i="3" s="1"/>
  <c r="BB20" i="3"/>
  <c r="BK20" i="3"/>
  <c r="BM20" i="3" s="1"/>
  <c r="BR20" i="3" a="1"/>
  <c r="BR20" i="3" s="1"/>
  <c r="BZ20" i="3"/>
  <c r="CG20" i="3"/>
  <c r="CP20" i="3" a="1"/>
  <c r="CP20" i="3" s="1"/>
  <c r="EL20" i="3" a="1"/>
  <c r="EL20" i="3" s="1"/>
  <c r="EM20" i="3" s="1"/>
  <c r="H21" i="3"/>
  <c r="J24" i="3" a="1"/>
  <c r="J24" i="3" s="1"/>
  <c r="AM24" i="3"/>
  <c r="AT24" i="3" a="1"/>
  <c r="AT24" i="3" s="1"/>
  <c r="BW24" i="3"/>
  <c r="CP24" i="3" a="1"/>
  <c r="CP24" i="3" s="1"/>
  <c r="AG27" i="3"/>
  <c r="AI27" i="3" s="1"/>
  <c r="AW27" i="3"/>
  <c r="CW29" i="3"/>
  <c r="EU16" i="3"/>
  <c r="EV16" i="3" s="1"/>
  <c r="DZ16" i="3" a="1"/>
  <c r="DZ16" i="3" s="1"/>
  <c r="EA16" i="3" s="1"/>
  <c r="DK16" i="3"/>
  <c r="DL16" i="3" s="1"/>
  <c r="CX16" i="3"/>
  <c r="CS16" i="3"/>
  <c r="CI16" i="3"/>
  <c r="CD16" i="3" a="1"/>
  <c r="CD16" i="3" s="1"/>
  <c r="BN16" i="3"/>
  <c r="BP16" i="3" s="1"/>
  <c r="BI16" i="3"/>
  <c r="AY16" i="3"/>
  <c r="AT16" i="3" a="1"/>
  <c r="AT16" i="3" s="1"/>
  <c r="AJ16" i="3"/>
  <c r="AE16" i="3"/>
  <c r="U16" i="3"/>
  <c r="W16" i="3" s="1"/>
  <c r="P16" i="3" a="1"/>
  <c r="P16" i="3" s="1"/>
  <c r="EO16" i="3"/>
  <c r="EP16" i="3" s="1"/>
  <c r="DT16" i="3" a="1"/>
  <c r="DT16" i="3" s="1"/>
  <c r="DU16" i="3" s="1"/>
  <c r="DE16" i="3"/>
  <c r="DF16" i="3" s="1"/>
  <c r="CY16" i="3"/>
  <c r="CO16" i="3"/>
  <c r="CQ16" i="3" s="1"/>
  <c r="CJ16" i="3" a="1"/>
  <c r="CJ16" i="3" s="1"/>
  <c r="BT16" i="3"/>
  <c r="BO16" i="3"/>
  <c r="BE16" i="3"/>
  <c r="AZ16" i="3" a="1"/>
  <c r="AZ16" i="3" s="1"/>
  <c r="AP16" i="3"/>
  <c r="AR16" i="3" s="1"/>
  <c r="AK16" i="3"/>
  <c r="AA16" i="3"/>
  <c r="AC16" i="3" s="1"/>
  <c r="V16" i="3" a="1"/>
  <c r="V16" i="3" s="1"/>
  <c r="F16" i="3"/>
  <c r="J16" i="3" a="1"/>
  <c r="J16" i="3" s="1"/>
  <c r="R16" i="3"/>
  <c r="T16" i="3" s="1"/>
  <c r="Y16" i="3"/>
  <c r="AH16" i="3" a="1"/>
  <c r="AH16" i="3" s="1"/>
  <c r="AV16" i="3"/>
  <c r="BC16" i="3"/>
  <c r="BL16" i="3" a="1"/>
  <c r="BL16" i="3" s="1"/>
  <c r="CA16" i="3"/>
  <c r="DH16" i="3" a="1"/>
  <c r="DH16" i="3" s="1"/>
  <c r="DI16" i="3" s="1"/>
  <c r="DQ16" i="3"/>
  <c r="DR16" i="3" s="1"/>
  <c r="EC16" i="3"/>
  <c r="ED16" i="3" s="1"/>
  <c r="BY18" i="3"/>
  <c r="CN18" i="3"/>
  <c r="AC19" i="3"/>
  <c r="AR19" i="3"/>
  <c r="BG19" i="3"/>
  <c r="BV19" i="3"/>
  <c r="EU20" i="3"/>
  <c r="EV20" i="3" s="1"/>
  <c r="DZ20" i="3" a="1"/>
  <c r="DZ20" i="3" s="1"/>
  <c r="EA20" i="3" s="1"/>
  <c r="DK20" i="3"/>
  <c r="DL20" i="3" s="1"/>
  <c r="CX20" i="3"/>
  <c r="CS20" i="3"/>
  <c r="CI20" i="3"/>
  <c r="CK20" i="3" s="1"/>
  <c r="CD20" i="3" a="1"/>
  <c r="CD20" i="3" s="1"/>
  <c r="BN20" i="3"/>
  <c r="BP20" i="3" s="1"/>
  <c r="BI20" i="3"/>
  <c r="AY20" i="3"/>
  <c r="AT20" i="3" a="1"/>
  <c r="AT20" i="3" s="1"/>
  <c r="AJ20" i="3"/>
  <c r="AL20" i="3" s="1"/>
  <c r="AE20" i="3"/>
  <c r="U20" i="3"/>
  <c r="W20" i="3" s="1"/>
  <c r="P20" i="3" a="1"/>
  <c r="P20" i="3" s="1"/>
  <c r="EO20" i="3"/>
  <c r="EP20" i="3" s="1"/>
  <c r="DT20" i="3" a="1"/>
  <c r="DT20" i="3" s="1"/>
  <c r="DU20" i="3" s="1"/>
  <c r="DE20" i="3"/>
  <c r="DF20" i="3" s="1"/>
  <c r="CY20" i="3"/>
  <c r="CO20" i="3"/>
  <c r="CQ20" i="3" s="1"/>
  <c r="CJ20" i="3" a="1"/>
  <c r="CJ20" i="3" s="1"/>
  <c r="BT20" i="3"/>
  <c r="BO20" i="3"/>
  <c r="BE20" i="3"/>
  <c r="BG20" i="3" s="1"/>
  <c r="AZ20" i="3" a="1"/>
  <c r="AZ20" i="3" s="1"/>
  <c r="AP20" i="3"/>
  <c r="AR20" i="3" s="1"/>
  <c r="AK20" i="3"/>
  <c r="AA20" i="3"/>
  <c r="AC20" i="3" s="1"/>
  <c r="V20" i="3" a="1"/>
  <c r="V20" i="3" s="1"/>
  <c r="F20" i="3"/>
  <c r="J20" i="3" a="1"/>
  <c r="J20" i="3" s="1"/>
  <c r="R20" i="3"/>
  <c r="T20" i="3" s="1"/>
  <c r="Y20" i="3"/>
  <c r="AH20" i="3" a="1"/>
  <c r="AH20" i="3" s="1"/>
  <c r="AV20" i="3"/>
  <c r="AX20" i="3" s="1"/>
  <c r="BC20" i="3"/>
  <c r="BL20" i="3" a="1"/>
  <c r="BL20" i="3" s="1"/>
  <c r="CA20" i="3"/>
  <c r="DH20" i="3" a="1"/>
  <c r="DH20" i="3" s="1"/>
  <c r="DI20" i="3" s="1"/>
  <c r="DQ20" i="3"/>
  <c r="DR20" i="3" s="1"/>
  <c r="EC20" i="3"/>
  <c r="ED20" i="3" s="1"/>
  <c r="CE22" i="3"/>
  <c r="AU23" i="3"/>
  <c r="EO24" i="3"/>
  <c r="EP24" i="3" s="1"/>
  <c r="DT24" i="3" a="1"/>
  <c r="DT24" i="3" s="1"/>
  <c r="DU24" i="3" s="1"/>
  <c r="DE24" i="3"/>
  <c r="DF24" i="3" s="1"/>
  <c r="CY24" i="3"/>
  <c r="CO24" i="3"/>
  <c r="CJ24" i="3" a="1"/>
  <c r="CJ24" i="3" s="1"/>
  <c r="BT24" i="3"/>
  <c r="BV24" i="3" s="1"/>
  <c r="BO24" i="3"/>
  <c r="BE24" i="3"/>
  <c r="AZ24" i="3" a="1"/>
  <c r="AZ24" i="3" s="1"/>
  <c r="AP24" i="3"/>
  <c r="AR24" i="3" s="1"/>
  <c r="AK24" i="3"/>
  <c r="AA24" i="3"/>
  <c r="AC24" i="3" s="1"/>
  <c r="V24" i="3" a="1"/>
  <c r="V24" i="3" s="1"/>
  <c r="F24" i="3"/>
  <c r="DH24" i="3" a="1"/>
  <c r="DH24" i="3" s="1"/>
  <c r="DI24" i="3" s="1"/>
  <c r="CS24" i="3"/>
  <c r="CM24" i="3"/>
  <c r="CG24" i="3"/>
  <c r="CA24" i="3"/>
  <c r="BU24" i="3"/>
  <c r="BN24" i="3"/>
  <c r="BP24" i="3" s="1"/>
  <c r="BH24" i="3"/>
  <c r="BJ24" i="3" s="1"/>
  <c r="BB24" i="3"/>
  <c r="BD24" i="3" s="1"/>
  <c r="AV24" i="3"/>
  <c r="AX24" i="3" s="1"/>
  <c r="AQ24" i="3" a="1"/>
  <c r="AQ24" i="3" s="1"/>
  <c r="AJ24" i="3"/>
  <c r="AD24" i="3"/>
  <c r="X24" i="3"/>
  <c r="R24" i="3"/>
  <c r="L24" i="3"/>
  <c r="N24" i="3" s="1"/>
  <c r="ER24" i="3" a="1"/>
  <c r="ER24" i="3" s="1"/>
  <c r="ES24" i="3" s="1"/>
  <c r="EI24" i="3"/>
  <c r="EJ24" i="3" s="1"/>
  <c r="DZ24" i="3" a="1"/>
  <c r="DZ24" i="3" s="1"/>
  <c r="EA24" i="3" s="1"/>
  <c r="DQ24" i="3"/>
  <c r="DR24" i="3" s="1"/>
  <c r="DA24" i="3"/>
  <c r="CU24" i="3"/>
  <c r="BI24" i="3"/>
  <c r="BC24" i="3"/>
  <c r="AW24" i="3"/>
  <c r="AE24" i="3"/>
  <c r="Y24" i="3"/>
  <c r="S24" i="3"/>
  <c r="M24" i="3"/>
  <c r="G24" i="3"/>
  <c r="U24" i="3"/>
  <c r="W24" i="3" s="1"/>
  <c r="AN24" i="3" a="1"/>
  <c r="AN24" i="3" s="1"/>
  <c r="BF24" i="3" a="1"/>
  <c r="BF24" i="3" s="1"/>
  <c r="BX24" i="3" a="1"/>
  <c r="BX24" i="3" s="1"/>
  <c r="CF24" i="3"/>
  <c r="CX24" i="3"/>
  <c r="DK24" i="3"/>
  <c r="DL24" i="3" s="1"/>
  <c r="DW24" i="3"/>
  <c r="DX24" i="3" s="1"/>
  <c r="EL24" i="3" a="1"/>
  <c r="EL24" i="3" s="1"/>
  <c r="EM24" i="3" s="1"/>
  <c r="EX24" i="3" a="1"/>
  <c r="EX24" i="3" s="1"/>
  <c r="EY24" i="3" s="1"/>
  <c r="BG25" i="3"/>
  <c r="EU27" i="3"/>
  <c r="EV27" i="3" s="1"/>
  <c r="DZ27" i="3" a="1"/>
  <c r="DZ27" i="3" s="1"/>
  <c r="EA27" i="3" s="1"/>
  <c r="DK27" i="3"/>
  <c r="DL27" i="3" s="1"/>
  <c r="CX27" i="3"/>
  <c r="CZ27" i="3" s="1"/>
  <c r="CS27" i="3"/>
  <c r="CI27" i="3"/>
  <c r="CD27" i="3" a="1"/>
  <c r="CD27" i="3" s="1"/>
  <c r="BN27" i="3"/>
  <c r="BP27" i="3" s="1"/>
  <c r="BI27" i="3"/>
  <c r="AY27" i="3"/>
  <c r="BA27" i="3" s="1"/>
  <c r="AT27" i="3" a="1"/>
  <c r="AT27" i="3" s="1"/>
  <c r="AJ27" i="3"/>
  <c r="AE27" i="3"/>
  <c r="U27" i="3"/>
  <c r="W27" i="3" s="1"/>
  <c r="P27" i="3" a="1"/>
  <c r="P27" i="3" s="1"/>
  <c r="EO27" i="3"/>
  <c r="EP27" i="3" s="1"/>
  <c r="DT27" i="3" a="1"/>
  <c r="DT27" i="3" s="1"/>
  <c r="DU27" i="3" s="1"/>
  <c r="DE27" i="3"/>
  <c r="DF27" i="3" s="1"/>
  <c r="CY27" i="3"/>
  <c r="CO27" i="3"/>
  <c r="CJ27" i="3" a="1"/>
  <c r="CJ27" i="3" s="1"/>
  <c r="BT27" i="3"/>
  <c r="BV27" i="3" s="1"/>
  <c r="BO27" i="3"/>
  <c r="BE27" i="3"/>
  <c r="AZ27" i="3" a="1"/>
  <c r="AZ27" i="3" s="1"/>
  <c r="AP27" i="3"/>
  <c r="AK27" i="3"/>
  <c r="AA27" i="3"/>
  <c r="V27" i="3" a="1"/>
  <c r="V27" i="3" s="1"/>
  <c r="F27" i="3"/>
  <c r="EI27" i="3"/>
  <c r="EJ27" i="3" s="1"/>
  <c r="DW27" i="3"/>
  <c r="DX27" i="3" s="1"/>
  <c r="DN27" i="3" a="1"/>
  <c r="DN27" i="3" s="1"/>
  <c r="DO27" i="3" s="1"/>
  <c r="DB27" i="3" a="1"/>
  <c r="DB27" i="3" s="1"/>
  <c r="CU27" i="3"/>
  <c r="CL27" i="3"/>
  <c r="BW27" i="3"/>
  <c r="BY27" i="3" s="1"/>
  <c r="G27" i="3"/>
  <c r="CV27" i="3" a="1"/>
  <c r="CV27" i="3" s="1"/>
  <c r="CM27" i="3"/>
  <c r="CF27" i="3"/>
  <c r="CH27" i="3" s="1"/>
  <c r="BX27" i="3" a="1"/>
  <c r="BX27" i="3" s="1"/>
  <c r="BQ27" i="3"/>
  <c r="BH27" i="3"/>
  <c r="BJ27" i="3" s="1"/>
  <c r="AS27" i="3"/>
  <c r="AU27" i="3" s="1"/>
  <c r="AM27" i="3"/>
  <c r="AO27" i="3" s="1"/>
  <c r="AD27" i="3"/>
  <c r="O27" i="3"/>
  <c r="ER27" i="3" a="1"/>
  <c r="ER27" i="3" s="1"/>
  <c r="ES27" i="3" s="1"/>
  <c r="EC27" i="3"/>
  <c r="ED27" i="3" s="1"/>
  <c r="CA27" i="3"/>
  <c r="BC27" i="3"/>
  <c r="AH27" i="3" a="1"/>
  <c r="AH27" i="3" s="1"/>
  <c r="J27" i="3" a="1"/>
  <c r="J27" i="3" s="1"/>
  <c r="EX27" i="3" a="1"/>
  <c r="EX27" i="3" s="1"/>
  <c r="EY27" i="3" s="1"/>
  <c r="CP27" i="3" a="1"/>
  <c r="CP27" i="3" s="1"/>
  <c r="BR27" i="3" a="1"/>
  <c r="BR27" i="3" s="1"/>
  <c r="BF27" i="3" a="1"/>
  <c r="BF27" i="3" s="1"/>
  <c r="X27" i="3"/>
  <c r="L27" i="3"/>
  <c r="R27" i="3"/>
  <c r="T27" i="3" s="1"/>
  <c r="DA27" i="3"/>
  <c r="W19" i="3"/>
  <c r="BA19" i="3"/>
  <c r="BU20" i="3"/>
  <c r="DC22" i="3"/>
  <c r="AO23" i="3"/>
  <c r="CQ23" i="3"/>
  <c r="AG24" i="3"/>
  <c r="BQ24" i="3"/>
  <c r="BS24" i="3" s="1"/>
  <c r="CI24" i="3"/>
  <c r="CK24" i="3" s="1"/>
  <c r="DB24" i="3" a="1"/>
  <c r="DB24" i="3" s="1"/>
  <c r="DN24" i="3" a="1"/>
  <c r="DN24" i="3" s="1"/>
  <c r="DO24" i="3" s="1"/>
  <c r="BY26" i="3"/>
  <c r="S27" i="3"/>
  <c r="AN27" i="3" a="1"/>
  <c r="AN27" i="3" s="1"/>
  <c r="BB27" i="3"/>
  <c r="BU27" i="3"/>
  <c r="AF10" i="3"/>
  <c r="BG5" i="3"/>
  <c r="ER16" i="3" a="1"/>
  <c r="ER16" i="3" s="1"/>
  <c r="ES16" i="3" s="1"/>
  <c r="O24" i="3"/>
  <c r="AH24" i="3" a="1"/>
  <c r="AH24" i="3" s="1"/>
  <c r="AY24" i="3"/>
  <c r="BA24" i="3" s="1"/>
  <c r="BR24" i="3" a="1"/>
  <c r="BR24" i="3" s="1"/>
  <c r="BZ24" i="3"/>
  <c r="CB24" i="3" s="1"/>
  <c r="CR24" i="3"/>
  <c r="CT24" i="3" s="1"/>
  <c r="EC24" i="3"/>
  <c r="ED24" i="3" s="1"/>
  <c r="Y27" i="3"/>
  <c r="DH27" i="3" a="1"/>
  <c r="DH27" i="3" s="1"/>
  <c r="DI27" i="3" s="1"/>
  <c r="EF27" i="3" a="1"/>
  <c r="EF27" i="3" s="1"/>
  <c r="EG27" i="3" s="1"/>
  <c r="BD29" i="3"/>
  <c r="AO36" i="3"/>
  <c r="AC40" i="3"/>
  <c r="BA9" i="3"/>
  <c r="Z12" i="3"/>
  <c r="BD12" i="3"/>
  <c r="CK13" i="3"/>
  <c r="EU14" i="3"/>
  <c r="EV14" i="3" s="1"/>
  <c r="DZ14" i="3" a="1"/>
  <c r="DZ14" i="3" s="1"/>
  <c r="EA14" i="3" s="1"/>
  <c r="DK14" i="3"/>
  <c r="DL14" i="3" s="1"/>
  <c r="CX14" i="3"/>
  <c r="CS14" i="3"/>
  <c r="CI14" i="3"/>
  <c r="CK14" i="3" s="1"/>
  <c r="CD14" i="3" a="1"/>
  <c r="CD14" i="3" s="1"/>
  <c r="BN14" i="3"/>
  <c r="BI14" i="3"/>
  <c r="BJ14" i="3" s="1"/>
  <c r="AY14" i="3"/>
  <c r="AT14" i="3" a="1"/>
  <c r="AT14" i="3" s="1"/>
  <c r="AU14" i="3" s="1"/>
  <c r="AJ14" i="3"/>
  <c r="AL14" i="3" s="1"/>
  <c r="AE14" i="3"/>
  <c r="AF14" i="3" s="1"/>
  <c r="U14" i="3"/>
  <c r="P14" i="3" a="1"/>
  <c r="P14" i="3" s="1"/>
  <c r="EO14" i="3"/>
  <c r="EP14" i="3" s="1"/>
  <c r="DT14" i="3" a="1"/>
  <c r="DT14" i="3" s="1"/>
  <c r="DU14" i="3" s="1"/>
  <c r="DE14" i="3"/>
  <c r="DF14" i="3" s="1"/>
  <c r="CY14" i="3"/>
  <c r="CO14" i="3"/>
  <c r="CQ14" i="3" s="1"/>
  <c r="CJ14" i="3" a="1"/>
  <c r="CJ14" i="3" s="1"/>
  <c r="BT14" i="3"/>
  <c r="BO14" i="3"/>
  <c r="BE14" i="3"/>
  <c r="AZ14" i="3" a="1"/>
  <c r="AZ14" i="3" s="1"/>
  <c r="AP14" i="3"/>
  <c r="AR14" i="3" s="1"/>
  <c r="AK14" i="3"/>
  <c r="AA14" i="3"/>
  <c r="AC14" i="3" s="1"/>
  <c r="V14" i="3" a="1"/>
  <c r="V14" i="3" s="1"/>
  <c r="F14" i="3"/>
  <c r="R14" i="3"/>
  <c r="T14" i="3" s="1"/>
  <c r="AH14" i="3" a="1"/>
  <c r="AH14" i="3" s="1"/>
  <c r="AI14" i="3" s="1"/>
  <c r="BC14" i="3"/>
  <c r="CA14" i="3"/>
  <c r="CB14" i="3" s="1"/>
  <c r="DH14" i="3" a="1"/>
  <c r="DH14" i="3" s="1"/>
  <c r="DI14" i="3" s="1"/>
  <c r="EC14" i="3"/>
  <c r="ED14" i="3" s="1"/>
  <c r="W15" i="3"/>
  <c r="L16" i="3"/>
  <c r="S16" i="3"/>
  <c r="BF16" i="3" a="1"/>
  <c r="BF16" i="3" s="1"/>
  <c r="BJ18" i="3"/>
  <c r="BS18" i="3"/>
  <c r="AF8" i="3"/>
  <c r="EU12" i="3"/>
  <c r="EV12" i="3" s="1"/>
  <c r="DZ12" i="3" a="1"/>
  <c r="DZ12" i="3" s="1"/>
  <c r="EA12" i="3" s="1"/>
  <c r="DK12" i="3"/>
  <c r="DL12" i="3" s="1"/>
  <c r="CX12" i="3"/>
  <c r="CZ12" i="3" s="1"/>
  <c r="CS12" i="3"/>
  <c r="CI12" i="3"/>
  <c r="CD12" i="3" a="1"/>
  <c r="CD12" i="3" s="1"/>
  <c r="BN12" i="3"/>
  <c r="BI12" i="3"/>
  <c r="BJ12" i="3" s="1"/>
  <c r="AY12" i="3"/>
  <c r="BA12" i="3" s="1"/>
  <c r="AT12" i="3" a="1"/>
  <c r="AT12" i="3" s="1"/>
  <c r="AU12" i="3" s="1"/>
  <c r="AJ12" i="3"/>
  <c r="AE12" i="3"/>
  <c r="AF12" i="3" s="1"/>
  <c r="U12" i="3"/>
  <c r="U48" i="3" s="1"/>
  <c r="W48" i="3" s="1"/>
  <c r="P12" i="3" a="1"/>
  <c r="P12" i="3" s="1"/>
  <c r="Q12" i="3" s="1"/>
  <c r="EO12" i="3"/>
  <c r="EP12" i="3" s="1"/>
  <c r="DT12" i="3" a="1"/>
  <c r="DT12" i="3" s="1"/>
  <c r="DU12" i="3" s="1"/>
  <c r="DE12" i="3"/>
  <c r="DF12" i="3" s="1"/>
  <c r="CY12" i="3"/>
  <c r="CO12" i="3"/>
  <c r="CQ12" i="3" s="1"/>
  <c r="CJ12" i="3" a="1"/>
  <c r="CJ12" i="3" s="1"/>
  <c r="BT12" i="3"/>
  <c r="BV12" i="3" s="1"/>
  <c r="BO12" i="3"/>
  <c r="BE12" i="3"/>
  <c r="AZ12" i="3" a="1"/>
  <c r="AZ12" i="3" s="1"/>
  <c r="AP12" i="3"/>
  <c r="AP48" i="3" s="1"/>
  <c r="AR48" i="3" s="1"/>
  <c r="AK12" i="3"/>
  <c r="FA12" i="3" s="1"/>
  <c r="AA12" i="3"/>
  <c r="V12" i="3" a="1"/>
  <c r="V12" i="3" s="1"/>
  <c r="F12" i="3"/>
  <c r="AH12" i="3" a="1"/>
  <c r="AH12" i="3" s="1"/>
  <c r="AV12" i="3"/>
  <c r="BL12" i="3" a="1"/>
  <c r="BL12" i="3" s="1"/>
  <c r="BM12" i="3" s="1"/>
  <c r="CA12" i="3"/>
  <c r="CA48" i="3" s="1"/>
  <c r="DQ12" i="3"/>
  <c r="DR12" i="3" s="1"/>
  <c r="S14" i="3"/>
  <c r="AQ14" i="3" a="1"/>
  <c r="AQ14" i="3" s="1"/>
  <c r="BF14" i="3" a="1"/>
  <c r="BF14" i="3" s="1"/>
  <c r="BU14" i="3"/>
  <c r="BU48" i="3" s="1"/>
  <c r="M16" i="3"/>
  <c r="CR20" i="3"/>
  <c r="CT20" i="3" s="1"/>
  <c r="EF20" i="3" a="1"/>
  <c r="EF20" i="3" s="1"/>
  <c r="EG20" i="3" s="1"/>
  <c r="BA5" i="3"/>
  <c r="CB5" i="3"/>
  <c r="DI5" i="3"/>
  <c r="EV5" i="3"/>
  <c r="BV7" i="3"/>
  <c r="CQ7" i="3"/>
  <c r="I8" i="3"/>
  <c r="X8" i="3"/>
  <c r="Z8" i="3" s="1"/>
  <c r="AG8" i="3"/>
  <c r="AI8" i="3" s="1"/>
  <c r="AN8" i="3" a="1"/>
  <c r="AN8" i="3" s="1"/>
  <c r="AO8" i="3" s="1"/>
  <c r="BB8" i="3"/>
  <c r="BK8" i="3"/>
  <c r="BR8" i="3" a="1"/>
  <c r="BR8" i="3" s="1"/>
  <c r="BS8" i="3" s="1"/>
  <c r="BZ8" i="3"/>
  <c r="CB8" i="3" s="1"/>
  <c r="CG8" i="3"/>
  <c r="CH8" i="3" s="1"/>
  <c r="CP8" i="3" a="1"/>
  <c r="CP8" i="3" s="1"/>
  <c r="CP48" i="3" s="1"/>
  <c r="EL8" i="3" a="1"/>
  <c r="EL8" i="3" s="1"/>
  <c r="EM8" i="3" s="1"/>
  <c r="EX8" i="3" a="1"/>
  <c r="EX8" i="3" s="1"/>
  <c r="EY8" i="3" s="1"/>
  <c r="H9" i="3"/>
  <c r="AC9" i="3"/>
  <c r="CK9" i="3"/>
  <c r="EU10" i="3"/>
  <c r="EV10" i="3" s="1"/>
  <c r="DZ10" i="3" a="1"/>
  <c r="DZ10" i="3" s="1"/>
  <c r="EA10" i="3" s="1"/>
  <c r="DK10" i="3"/>
  <c r="DL10" i="3" s="1"/>
  <c r="CX10" i="3"/>
  <c r="CZ10" i="3" s="1"/>
  <c r="CS10" i="3"/>
  <c r="CT10" i="3" s="1"/>
  <c r="CI10" i="3"/>
  <c r="CK10" i="3" s="1"/>
  <c r="CD10" i="3" a="1"/>
  <c r="CD10" i="3" s="1"/>
  <c r="CE10" i="3" s="1"/>
  <c r="BN10" i="3"/>
  <c r="BI10" i="3"/>
  <c r="BI48" i="3" s="1"/>
  <c r="AY10" i="3"/>
  <c r="BA10" i="3" s="1"/>
  <c r="AT10" i="3" a="1"/>
  <c r="AT10" i="3" s="1"/>
  <c r="AU10" i="3" s="1"/>
  <c r="AJ10" i="3"/>
  <c r="AL10" i="3" s="1"/>
  <c r="AE10" i="3"/>
  <c r="U10" i="3"/>
  <c r="P10" i="3" a="1"/>
  <c r="P10" i="3" s="1"/>
  <c r="Q10" i="3" s="1"/>
  <c r="EO10" i="3"/>
  <c r="EP10" i="3" s="1"/>
  <c r="DT10" i="3" a="1"/>
  <c r="DT10" i="3" s="1"/>
  <c r="DU10" i="3" s="1"/>
  <c r="DE10" i="3"/>
  <c r="DF10" i="3" s="1"/>
  <c r="CY10" i="3"/>
  <c r="CO10" i="3"/>
  <c r="CQ10" i="3" s="1"/>
  <c r="CJ10" i="3" a="1"/>
  <c r="CJ10" i="3" s="1"/>
  <c r="CJ48" i="3" s="1"/>
  <c r="BT10" i="3"/>
  <c r="BV10" i="3" s="1"/>
  <c r="BO10" i="3"/>
  <c r="BE10" i="3"/>
  <c r="BG10" i="3" s="1"/>
  <c r="AZ10" i="3" a="1"/>
  <c r="AZ10" i="3" s="1"/>
  <c r="AP10" i="3"/>
  <c r="AR10" i="3" s="1"/>
  <c r="AK10" i="3"/>
  <c r="AK48" i="3" s="1"/>
  <c r="AA10" i="3"/>
  <c r="AC10" i="3" s="1"/>
  <c r="V10" i="3" a="1"/>
  <c r="V10" i="3" s="1"/>
  <c r="F10" i="3"/>
  <c r="J10" i="3" a="1"/>
  <c r="J10" i="3" s="1"/>
  <c r="R10" i="3"/>
  <c r="T10" i="3" s="1"/>
  <c r="Y10" i="3"/>
  <c r="Y48" i="3" s="1"/>
  <c r="AH10" i="3" a="1"/>
  <c r="AH10" i="3" s="1"/>
  <c r="AI10" i="3" s="1"/>
  <c r="AV10" i="3"/>
  <c r="AX10" i="3" s="1"/>
  <c r="BC10" i="3"/>
  <c r="BD10" i="3" s="1"/>
  <c r="BL10" i="3" a="1"/>
  <c r="BL10" i="3" s="1"/>
  <c r="BM10" i="3" s="1"/>
  <c r="CA10" i="3"/>
  <c r="DH10" i="3" a="1"/>
  <c r="DH10" i="3" s="1"/>
  <c r="DI10" i="3" s="1"/>
  <c r="DQ10" i="3"/>
  <c r="DR10" i="3" s="1"/>
  <c r="EC10" i="3"/>
  <c r="ED10" i="3" s="1"/>
  <c r="W11" i="3"/>
  <c r="L12" i="3"/>
  <c r="N12" i="3" s="1"/>
  <c r="S12" i="3"/>
  <c r="AB12" i="3" a="1"/>
  <c r="AB12" i="3" s="1"/>
  <c r="AB48" i="3" s="1"/>
  <c r="AQ12" i="3" a="1"/>
  <c r="AQ12" i="3" s="1"/>
  <c r="AQ48" i="3" s="1"/>
  <c r="AW12" i="3"/>
  <c r="BF12" i="3" a="1"/>
  <c r="BF12" i="3" s="1"/>
  <c r="BF48" i="3" s="1"/>
  <c r="BU12" i="3"/>
  <c r="AR13" i="3"/>
  <c r="M14" i="3"/>
  <c r="CC14" i="3"/>
  <c r="CE14" i="3" s="1"/>
  <c r="CR14" i="3"/>
  <c r="CT14" i="3" s="1"/>
  <c r="DA14" i="3"/>
  <c r="DC14" i="3" s="1"/>
  <c r="EF14" i="3" a="1"/>
  <c r="EF14" i="3" s="1"/>
  <c r="EG14" i="3" s="1"/>
  <c r="ER14" i="3" a="1"/>
  <c r="ER14" i="3" s="1"/>
  <c r="ES14" i="3" s="1"/>
  <c r="BG15" i="3"/>
  <c r="G16" i="3"/>
  <c r="BW16" i="3"/>
  <c r="BY16" i="3" s="1"/>
  <c r="CL16" i="3"/>
  <c r="CN16" i="3" s="1"/>
  <c r="CU16" i="3"/>
  <c r="CW16" i="3" s="1"/>
  <c r="DB16" i="3" a="1"/>
  <c r="DB16" i="3" s="1"/>
  <c r="DN16" i="3" a="1"/>
  <c r="DN16" i="3" s="1"/>
  <c r="DO16" i="3" s="1"/>
  <c r="DW16" i="3"/>
  <c r="DX16" i="3" s="1"/>
  <c r="EI16" i="3"/>
  <c r="EJ16" i="3" s="1"/>
  <c r="AC17" i="3"/>
  <c r="AR17" i="3"/>
  <c r="BG17" i="3"/>
  <c r="BV17" i="3"/>
  <c r="EU18" i="3"/>
  <c r="EV18" i="3" s="1"/>
  <c r="DZ18" i="3" a="1"/>
  <c r="DZ18" i="3" s="1"/>
  <c r="EA18" i="3" s="1"/>
  <c r="DK18" i="3"/>
  <c r="DL18" i="3" s="1"/>
  <c r="CX18" i="3"/>
  <c r="CS18" i="3"/>
  <c r="CT18" i="3" s="1"/>
  <c r="CI18" i="3"/>
  <c r="CK18" i="3" s="1"/>
  <c r="CD18" i="3" a="1"/>
  <c r="CD18" i="3" s="1"/>
  <c r="CE18" i="3" s="1"/>
  <c r="BN18" i="3"/>
  <c r="BP18" i="3" s="1"/>
  <c r="BI18" i="3"/>
  <c r="AY18" i="3"/>
  <c r="AT18" i="3" a="1"/>
  <c r="AT18" i="3" s="1"/>
  <c r="AU18" i="3" s="1"/>
  <c r="AJ18" i="3"/>
  <c r="AL18" i="3" s="1"/>
  <c r="AE18" i="3"/>
  <c r="FA18" i="3" s="1"/>
  <c r="U18" i="3"/>
  <c r="W18" i="3" s="1"/>
  <c r="P18" i="3" a="1"/>
  <c r="P18" i="3" s="1"/>
  <c r="Q18" i="3" s="1"/>
  <c r="EO18" i="3"/>
  <c r="EP18" i="3" s="1"/>
  <c r="DT18" i="3" a="1"/>
  <c r="DT18" i="3" s="1"/>
  <c r="DU18" i="3" s="1"/>
  <c r="DE18" i="3"/>
  <c r="DF18" i="3" s="1"/>
  <c r="CY18" i="3"/>
  <c r="CO18" i="3"/>
  <c r="CQ18" i="3" s="1"/>
  <c r="CJ18" i="3" a="1"/>
  <c r="CJ18" i="3" s="1"/>
  <c r="BT18" i="3"/>
  <c r="BV18" i="3" s="1"/>
  <c r="BO18" i="3"/>
  <c r="BE18" i="3"/>
  <c r="BG18" i="3" s="1"/>
  <c r="AZ18" i="3" a="1"/>
  <c r="AZ18" i="3" s="1"/>
  <c r="AP18" i="3"/>
  <c r="AR18" i="3" s="1"/>
  <c r="AK18" i="3"/>
  <c r="AA18" i="3"/>
  <c r="AC18" i="3" s="1"/>
  <c r="V18" i="3" a="1"/>
  <c r="V18" i="3" s="1"/>
  <c r="F18" i="3"/>
  <c r="J18" i="3" a="1"/>
  <c r="J18" i="3" s="1"/>
  <c r="K18" i="3" s="1"/>
  <c r="R18" i="3"/>
  <c r="T18" i="3" s="1"/>
  <c r="Y18" i="3"/>
  <c r="Z18" i="3" s="1"/>
  <c r="AH18" i="3" a="1"/>
  <c r="AH18" i="3" s="1"/>
  <c r="AI18" i="3" s="1"/>
  <c r="AV18" i="3"/>
  <c r="AX18" i="3" s="1"/>
  <c r="BC18" i="3"/>
  <c r="BD18" i="3" s="1"/>
  <c r="BL18" i="3" a="1"/>
  <c r="BL18" i="3" s="1"/>
  <c r="BM18" i="3" s="1"/>
  <c r="CA18" i="3"/>
  <c r="CB18" i="3" s="1"/>
  <c r="DH18" i="3" a="1"/>
  <c r="DH18" i="3" s="1"/>
  <c r="DI18" i="3" s="1"/>
  <c r="DQ18" i="3"/>
  <c r="DR18" i="3" s="1"/>
  <c r="EC18" i="3"/>
  <c r="ED18" i="3" s="1"/>
  <c r="G20" i="3"/>
  <c r="BW20" i="3"/>
  <c r="BY20" i="3" s="1"/>
  <c r="CL20" i="3"/>
  <c r="CN20" i="3" s="1"/>
  <c r="CU20" i="3"/>
  <c r="DB20" i="3" a="1"/>
  <c r="DB20" i="3" s="1"/>
  <c r="DN20" i="3" a="1"/>
  <c r="DN20" i="3" s="1"/>
  <c r="DO20" i="3" s="1"/>
  <c r="DW20" i="3"/>
  <c r="DX20" i="3" s="1"/>
  <c r="EI20" i="3"/>
  <c r="EJ20" i="3" s="1"/>
  <c r="AC21" i="3"/>
  <c r="AI22" i="3"/>
  <c r="BJ22" i="3"/>
  <c r="BS22" i="3"/>
  <c r="AC23" i="3"/>
  <c r="CE23" i="3"/>
  <c r="P24" i="3" a="1"/>
  <c r="P24" i="3" s="1"/>
  <c r="BK24" i="3"/>
  <c r="CC24" i="3"/>
  <c r="CV24" i="3" a="1"/>
  <c r="CV24" i="3" s="1"/>
  <c r="I27" i="3"/>
  <c r="AB27" i="3" a="1"/>
  <c r="AB27" i="3" s="1"/>
  <c r="AQ27" i="3" a="1"/>
  <c r="AQ27" i="3" s="1"/>
  <c r="BK27" i="3"/>
  <c r="BM27" i="3" s="1"/>
  <c r="BZ27" i="3"/>
  <c r="CB27" i="3" s="1"/>
  <c r="EL27" i="3" a="1"/>
  <c r="EL27" i="3" s="1"/>
  <c r="EM27" i="3" s="1"/>
  <c r="H28" i="3"/>
  <c r="N30" i="3"/>
  <c r="I5" i="3"/>
  <c r="S5" i="3"/>
  <c r="X5" i="3"/>
  <c r="AN5" i="3" a="1"/>
  <c r="AN5" i="3" s="1"/>
  <c r="AW5" i="3"/>
  <c r="BB5" i="3"/>
  <c r="BR5" i="3" a="1"/>
  <c r="BR5" i="3" s="1"/>
  <c r="BW5" i="3"/>
  <c r="CG5" i="3"/>
  <c r="CL5" i="3"/>
  <c r="DB5" i="3" a="1"/>
  <c r="DB5" i="3" s="1"/>
  <c r="DW5" i="3"/>
  <c r="I7" i="3"/>
  <c r="S7" i="3"/>
  <c r="T7" i="3" s="1"/>
  <c r="X7" i="3"/>
  <c r="Z7" i="3" s="1"/>
  <c r="AN7" i="3" a="1"/>
  <c r="AN7" i="3" s="1"/>
  <c r="AO7" i="3" s="1"/>
  <c r="AW7" i="3"/>
  <c r="AX7" i="3" s="1"/>
  <c r="BB7" i="3"/>
  <c r="BD7" i="3" s="1"/>
  <c r="BR7" i="3" a="1"/>
  <c r="BR7" i="3" s="1"/>
  <c r="BS7" i="3" s="1"/>
  <c r="BW7" i="3"/>
  <c r="BY7" i="3" s="1"/>
  <c r="CG7" i="3"/>
  <c r="CH7" i="3" s="1"/>
  <c r="CL7" i="3"/>
  <c r="CN7" i="3" s="1"/>
  <c r="DB7" i="3" a="1"/>
  <c r="DB7" i="3" s="1"/>
  <c r="DC7" i="3" s="1"/>
  <c r="DW7" i="3"/>
  <c r="DX7" i="3" s="1"/>
  <c r="I9" i="3"/>
  <c r="S9" i="3"/>
  <c r="T9" i="3" s="1"/>
  <c r="X9" i="3"/>
  <c r="Z9" i="3" s="1"/>
  <c r="AN9" i="3" a="1"/>
  <c r="AN9" i="3" s="1"/>
  <c r="AO9" i="3" s="1"/>
  <c r="AW9" i="3"/>
  <c r="AX9" i="3" s="1"/>
  <c r="BB9" i="3"/>
  <c r="BD9" i="3" s="1"/>
  <c r="BR9" i="3" a="1"/>
  <c r="BR9" i="3" s="1"/>
  <c r="BS9" i="3" s="1"/>
  <c r="BW9" i="3"/>
  <c r="BY9" i="3" s="1"/>
  <c r="CG9" i="3"/>
  <c r="CH9" i="3" s="1"/>
  <c r="CL9" i="3"/>
  <c r="CN9" i="3" s="1"/>
  <c r="DB9" i="3" a="1"/>
  <c r="DB9" i="3" s="1"/>
  <c r="DC9" i="3" s="1"/>
  <c r="DW9" i="3"/>
  <c r="DX9" i="3" s="1"/>
  <c r="I11" i="3"/>
  <c r="S11" i="3"/>
  <c r="T11" i="3" s="1"/>
  <c r="X11" i="3"/>
  <c r="Z11" i="3" s="1"/>
  <c r="AN11" i="3" a="1"/>
  <c r="AN11" i="3" s="1"/>
  <c r="AO11" i="3" s="1"/>
  <c r="AW11" i="3"/>
  <c r="AX11" i="3" s="1"/>
  <c r="BB11" i="3"/>
  <c r="BD11" i="3" s="1"/>
  <c r="BR11" i="3" a="1"/>
  <c r="BR11" i="3" s="1"/>
  <c r="BS11" i="3" s="1"/>
  <c r="BW11" i="3"/>
  <c r="BY11" i="3" s="1"/>
  <c r="CG11" i="3"/>
  <c r="CH11" i="3" s="1"/>
  <c r="CL11" i="3"/>
  <c r="CN11" i="3" s="1"/>
  <c r="DB11" i="3" a="1"/>
  <c r="DB11" i="3" s="1"/>
  <c r="DC11" i="3" s="1"/>
  <c r="DW11" i="3"/>
  <c r="DX11" i="3" s="1"/>
  <c r="I13" i="3"/>
  <c r="S13" i="3"/>
  <c r="T13" i="3" s="1"/>
  <c r="X13" i="3"/>
  <c r="Z13" i="3" s="1"/>
  <c r="AN13" i="3" a="1"/>
  <c r="AN13" i="3" s="1"/>
  <c r="AO13" i="3" s="1"/>
  <c r="AW13" i="3"/>
  <c r="AX13" i="3" s="1"/>
  <c r="BB13" i="3"/>
  <c r="BD13" i="3" s="1"/>
  <c r="BR13" i="3" a="1"/>
  <c r="BR13" i="3" s="1"/>
  <c r="BS13" i="3" s="1"/>
  <c r="BW13" i="3"/>
  <c r="BY13" i="3" s="1"/>
  <c r="CG13" i="3"/>
  <c r="CH13" i="3" s="1"/>
  <c r="CL13" i="3"/>
  <c r="CN13" i="3" s="1"/>
  <c r="DB13" i="3" a="1"/>
  <c r="DB13" i="3" s="1"/>
  <c r="DC13" i="3" s="1"/>
  <c r="DW13" i="3"/>
  <c r="DX13" i="3" s="1"/>
  <c r="I15" i="3"/>
  <c r="S15" i="3"/>
  <c r="T15" i="3" s="1"/>
  <c r="X15" i="3"/>
  <c r="Z15" i="3" s="1"/>
  <c r="AN15" i="3" a="1"/>
  <c r="AN15" i="3" s="1"/>
  <c r="AO15" i="3" s="1"/>
  <c r="AW15" i="3"/>
  <c r="AX15" i="3" s="1"/>
  <c r="BB15" i="3"/>
  <c r="BD15" i="3" s="1"/>
  <c r="BR15" i="3" a="1"/>
  <c r="BR15" i="3" s="1"/>
  <c r="BS15" i="3" s="1"/>
  <c r="BW15" i="3"/>
  <c r="BY15" i="3" s="1"/>
  <c r="CG15" i="3"/>
  <c r="CL15" i="3"/>
  <c r="CN15" i="3" s="1"/>
  <c r="DB15" i="3" a="1"/>
  <c r="DB15" i="3" s="1"/>
  <c r="DW15" i="3"/>
  <c r="DX15" i="3" s="1"/>
  <c r="EL15" i="3" a="1"/>
  <c r="EL15" i="3" s="1"/>
  <c r="EM15" i="3" s="1"/>
  <c r="I17" i="3"/>
  <c r="S17" i="3"/>
  <c r="X17" i="3"/>
  <c r="Z17" i="3" s="1"/>
  <c r="AN17" i="3" a="1"/>
  <c r="AN17" i="3" s="1"/>
  <c r="AW17" i="3"/>
  <c r="BB17" i="3"/>
  <c r="BD17" i="3" s="1"/>
  <c r="BR17" i="3" a="1"/>
  <c r="BR17" i="3" s="1"/>
  <c r="BW17" i="3"/>
  <c r="BY17" i="3" s="1"/>
  <c r="CG17" i="3"/>
  <c r="CL17" i="3"/>
  <c r="CN17" i="3" s="1"/>
  <c r="DB17" i="3" a="1"/>
  <c r="DB17" i="3" s="1"/>
  <c r="DW17" i="3"/>
  <c r="DX17" i="3" s="1"/>
  <c r="EL17" i="3" a="1"/>
  <c r="EL17" i="3" s="1"/>
  <c r="EM17" i="3" s="1"/>
  <c r="I19" i="3"/>
  <c r="S19" i="3"/>
  <c r="X19" i="3"/>
  <c r="Z19" i="3" s="1"/>
  <c r="AN19" i="3" a="1"/>
  <c r="AN19" i="3" s="1"/>
  <c r="AW19" i="3"/>
  <c r="BB19" i="3"/>
  <c r="BD19" i="3" s="1"/>
  <c r="BR19" i="3" a="1"/>
  <c r="BR19" i="3" s="1"/>
  <c r="BW19" i="3"/>
  <c r="BY19" i="3" s="1"/>
  <c r="CG19" i="3"/>
  <c r="CL19" i="3"/>
  <c r="CN19" i="3" s="1"/>
  <c r="DB19" i="3" a="1"/>
  <c r="DB19" i="3" s="1"/>
  <c r="DW19" i="3"/>
  <c r="DX19" i="3" s="1"/>
  <c r="EL19" i="3" a="1"/>
  <c r="EL19" i="3" s="1"/>
  <c r="EM19" i="3" s="1"/>
  <c r="EL21" i="3" a="1"/>
  <c r="EL21" i="3" s="1"/>
  <c r="EM21" i="3" s="1"/>
  <c r="DW21" i="3"/>
  <c r="DX21" i="3" s="1"/>
  <c r="DB21" i="3" a="1"/>
  <c r="DB21" i="3" s="1"/>
  <c r="DC21" i="3" s="1"/>
  <c r="CL21" i="3"/>
  <c r="CN21" i="3" s="1"/>
  <c r="CG21" i="3"/>
  <c r="CH21" i="3" s="1"/>
  <c r="BW21" i="3"/>
  <c r="BY21" i="3" s="1"/>
  <c r="BR21" i="3" a="1"/>
  <c r="BR21" i="3" s="1"/>
  <c r="BB21" i="3"/>
  <c r="BD21" i="3" s="1"/>
  <c r="AW21" i="3"/>
  <c r="AX21" i="3" s="1"/>
  <c r="AN21" i="3" a="1"/>
  <c r="AN21" i="3" s="1"/>
  <c r="I21" i="3"/>
  <c r="S21" i="3"/>
  <c r="X21" i="3"/>
  <c r="Z21" i="3" s="1"/>
  <c r="AT21" i="3" a="1"/>
  <c r="AT21" i="3" s="1"/>
  <c r="AZ21" i="3" a="1"/>
  <c r="AZ21" i="3" s="1"/>
  <c r="BF21" i="3" a="1"/>
  <c r="BF21" i="3" s="1"/>
  <c r="BL21" i="3" a="1"/>
  <c r="BL21" i="3" s="1"/>
  <c r="EC21" i="3"/>
  <c r="ED21" i="3" s="1"/>
  <c r="EU21" i="3"/>
  <c r="EV21" i="3" s="1"/>
  <c r="CT22" i="3"/>
  <c r="AR23" i="3"/>
  <c r="CB23" i="3"/>
  <c r="CQ25" i="3"/>
  <c r="CW25" i="3"/>
  <c r="ER26" i="3" a="1"/>
  <c r="ER26" i="3" s="1"/>
  <c r="ES26" i="3" s="1"/>
  <c r="EC26" i="3"/>
  <c r="ED26" i="3" s="1"/>
  <c r="DH26" i="3" a="1"/>
  <c r="DH26" i="3" s="1"/>
  <c r="DI26" i="3" s="1"/>
  <c r="DA26" i="3"/>
  <c r="CV26" i="3" a="1"/>
  <c r="CV26" i="3" s="1"/>
  <c r="CF26" i="3"/>
  <c r="CA26" i="3"/>
  <c r="EL26" i="3" a="1"/>
  <c r="EL26" i="3" s="1"/>
  <c r="EM26" i="3" s="1"/>
  <c r="DW26" i="3"/>
  <c r="DX26" i="3" s="1"/>
  <c r="DB26" i="3" a="1"/>
  <c r="DB26" i="3" s="1"/>
  <c r="CL26" i="3"/>
  <c r="CG26" i="3"/>
  <c r="EU26" i="3"/>
  <c r="EV26" i="3" s="1"/>
  <c r="EI26" i="3"/>
  <c r="EJ26" i="3" s="1"/>
  <c r="DZ26" i="3" a="1"/>
  <c r="DZ26" i="3" s="1"/>
  <c r="EA26" i="3" s="1"/>
  <c r="DN26" i="3" a="1"/>
  <c r="DN26" i="3" s="1"/>
  <c r="DO26" i="3" s="1"/>
  <c r="CU26" i="3"/>
  <c r="CW26" i="3" s="1"/>
  <c r="BT26" i="3"/>
  <c r="BO26" i="3"/>
  <c r="BP26" i="3" s="1"/>
  <c r="BE26" i="3"/>
  <c r="BG26" i="3" s="1"/>
  <c r="AZ26" i="3" a="1"/>
  <c r="AZ26" i="3" s="1"/>
  <c r="BA26" i="3" s="1"/>
  <c r="AP26" i="3"/>
  <c r="AK26" i="3"/>
  <c r="AL26" i="3" s="1"/>
  <c r="AA26" i="3"/>
  <c r="V26" i="3" a="1"/>
  <c r="V26" i="3" s="1"/>
  <c r="W26" i="3" s="1"/>
  <c r="F26" i="3"/>
  <c r="DQ26" i="3"/>
  <c r="DR26" i="3" s="1"/>
  <c r="DE26" i="3"/>
  <c r="DF26" i="3" s="1"/>
  <c r="CO26" i="3"/>
  <c r="CQ26" i="3" s="1"/>
  <c r="BZ26" i="3"/>
  <c r="BU26" i="3"/>
  <c r="BK26" i="3"/>
  <c r="BF26" i="3" a="1"/>
  <c r="BF26" i="3" s="1"/>
  <c r="AQ26" i="3" a="1"/>
  <c r="AQ26" i="3" s="1"/>
  <c r="AG26" i="3"/>
  <c r="AI26" i="3" s="1"/>
  <c r="AB26" i="3" a="1"/>
  <c r="AB26" i="3" s="1"/>
  <c r="L26" i="3"/>
  <c r="N26" i="3" s="1"/>
  <c r="G26" i="3"/>
  <c r="S26" i="3"/>
  <c r="AW26" i="3"/>
  <c r="CC26" i="3"/>
  <c r="CE26" i="3" s="1"/>
  <c r="CM26" i="3"/>
  <c r="CY26" i="3"/>
  <c r="EF26" i="3" a="1"/>
  <c r="EF26" i="3" s="1"/>
  <c r="EG26" i="3" s="1"/>
  <c r="DC29" i="3"/>
  <c r="BA30" i="3"/>
  <c r="R31" i="3"/>
  <c r="BL31" i="3" a="1"/>
  <c r="BL31" i="3" s="1"/>
  <c r="CR31" i="3"/>
  <c r="DH31" i="3" a="1"/>
  <c r="DH31" i="3" s="1"/>
  <c r="DI31" i="3" s="1"/>
  <c r="BM32" i="3"/>
  <c r="BY33" i="3"/>
  <c r="CW33" i="3"/>
  <c r="L35" i="3"/>
  <c r="X35" i="3"/>
  <c r="BK35" i="3"/>
  <c r="AI36" i="3"/>
  <c r="CT36" i="3"/>
  <c r="AU38" i="3"/>
  <c r="DC39" i="3"/>
  <c r="K41" i="3"/>
  <c r="CK41" i="3"/>
  <c r="CQ28" i="3"/>
  <c r="BV30" i="3"/>
  <c r="I31" i="3"/>
  <c r="S31" i="3"/>
  <c r="AG31" i="3"/>
  <c r="AQ31" i="3" a="1"/>
  <c r="AQ31" i="3" s="1"/>
  <c r="BB31" i="3"/>
  <c r="BZ31" i="3"/>
  <c r="CB31" i="3" s="1"/>
  <c r="H32" i="3"/>
  <c r="AO33" i="3"/>
  <c r="W34" i="3"/>
  <c r="BG34" i="3"/>
  <c r="BP34" i="3"/>
  <c r="EO35" i="3"/>
  <c r="EP35" i="3" s="1"/>
  <c r="DT35" i="3" a="1"/>
  <c r="DT35" i="3" s="1"/>
  <c r="DU35" i="3" s="1"/>
  <c r="DE35" i="3"/>
  <c r="DF35" i="3" s="1"/>
  <c r="CY35" i="3"/>
  <c r="CO35" i="3"/>
  <c r="CJ35" i="3" a="1"/>
  <c r="CJ35" i="3" s="1"/>
  <c r="CK35" i="3" s="1"/>
  <c r="BT35" i="3"/>
  <c r="BO35" i="3"/>
  <c r="BE35" i="3"/>
  <c r="AZ35" i="3" a="1"/>
  <c r="AZ35" i="3" s="1"/>
  <c r="AP35" i="3"/>
  <c r="AK35" i="3"/>
  <c r="DH35" i="3" a="1"/>
  <c r="DH35" i="3" s="1"/>
  <c r="DI35" i="3" s="1"/>
  <c r="CS35" i="3"/>
  <c r="CM35" i="3"/>
  <c r="CG35" i="3"/>
  <c r="CA35" i="3"/>
  <c r="BU35" i="3"/>
  <c r="BN35" i="3"/>
  <c r="BP35" i="3" s="1"/>
  <c r="BH35" i="3"/>
  <c r="BB35" i="3"/>
  <c r="AV35" i="3"/>
  <c r="AQ35" i="3" a="1"/>
  <c r="AQ35" i="3" s="1"/>
  <c r="AJ35" i="3"/>
  <c r="AL35" i="3" s="1"/>
  <c r="AE35" i="3"/>
  <c r="U35" i="3"/>
  <c r="P35" i="3" a="1"/>
  <c r="P35" i="3" s="1"/>
  <c r="ER35" i="3" a="1"/>
  <c r="ER35" i="3" s="1"/>
  <c r="ES35" i="3" s="1"/>
  <c r="EI35" i="3"/>
  <c r="EJ35" i="3" s="1"/>
  <c r="DZ35" i="3" a="1"/>
  <c r="DZ35" i="3" s="1"/>
  <c r="EA35" i="3" s="1"/>
  <c r="DQ35" i="3"/>
  <c r="DR35" i="3" s="1"/>
  <c r="DA35" i="3"/>
  <c r="DC35" i="3" s="1"/>
  <c r="CU35" i="3"/>
  <c r="CW35" i="3" s="1"/>
  <c r="BI35" i="3"/>
  <c r="BC35" i="3"/>
  <c r="AW35" i="3"/>
  <c r="AA35" i="3"/>
  <c r="AC35" i="3" s="1"/>
  <c r="V35" i="3" a="1"/>
  <c r="V35" i="3" s="1"/>
  <c r="F35" i="3"/>
  <c r="EU35" i="3"/>
  <c r="EV35" i="3" s="1"/>
  <c r="CP35" i="3" a="1"/>
  <c r="CP35" i="3" s="1"/>
  <c r="BW35" i="3"/>
  <c r="BY35" i="3" s="1"/>
  <c r="AT35" i="3" a="1"/>
  <c r="AT35" i="3" s="1"/>
  <c r="AM35" i="3"/>
  <c r="G35" i="3"/>
  <c r="EX35" i="3" a="1"/>
  <c r="EX35" i="3" s="1"/>
  <c r="EY35" i="3" s="1"/>
  <c r="EL35" i="3" a="1"/>
  <c r="EL35" i="3" s="1"/>
  <c r="EM35" i="3" s="1"/>
  <c r="DW35" i="3"/>
  <c r="DX35" i="3" s="1"/>
  <c r="DK35" i="3"/>
  <c r="DL35" i="3" s="1"/>
  <c r="CX35" i="3"/>
  <c r="CF35" i="3"/>
  <c r="BX35" i="3" a="1"/>
  <c r="BX35" i="3" s="1"/>
  <c r="BF35" i="3" a="1"/>
  <c r="BF35" i="3" s="1"/>
  <c r="AN35" i="3" a="1"/>
  <c r="AN35" i="3" s="1"/>
  <c r="AD35" i="3"/>
  <c r="AF35" i="3" s="1"/>
  <c r="O35" i="3"/>
  <c r="M35" i="3"/>
  <c r="Y35" i="3"/>
  <c r="AY35" i="3"/>
  <c r="BA35" i="3" s="1"/>
  <c r="BL35" i="3" a="1"/>
  <c r="BL35" i="3" s="1"/>
  <c r="BZ35" i="3"/>
  <c r="CL35" i="3"/>
  <c r="K38" i="3"/>
  <c r="BS39" i="3"/>
  <c r="BP40" i="3"/>
  <c r="CN41" i="3"/>
  <c r="CH29" i="3"/>
  <c r="CT29" i="3"/>
  <c r="AC30" i="3"/>
  <c r="AL30" i="3"/>
  <c r="CK30" i="3"/>
  <c r="J31" i="3" a="1"/>
  <c r="J31" i="3" s="1"/>
  <c r="AH31" i="3" a="1"/>
  <c r="AH31" i="3" s="1"/>
  <c r="BC31" i="3"/>
  <c r="CA31" i="3"/>
  <c r="EC31" i="3"/>
  <c r="ED31" i="3" s="1"/>
  <c r="ER31" i="3" a="1"/>
  <c r="ER31" i="3" s="1"/>
  <c r="ES31" i="3" s="1"/>
  <c r="AI32" i="3"/>
  <c r="CE34" i="3"/>
  <c r="CQ37" i="3"/>
  <c r="BD41" i="3"/>
  <c r="BY41" i="3"/>
  <c r="AF44" i="3"/>
  <c r="L31" i="3"/>
  <c r="X31" i="3"/>
  <c r="BF31" i="3" a="1"/>
  <c r="BF31" i="3" s="1"/>
  <c r="BR31" i="3" a="1"/>
  <c r="BR31" i="3" s="1"/>
  <c r="CP31" i="3" a="1"/>
  <c r="CP31" i="3" s="1"/>
  <c r="DC33" i="3"/>
  <c r="BA34" i="3"/>
  <c r="BR35" i="3" a="1"/>
  <c r="BR35" i="3" s="1"/>
  <c r="BS35" i="3" s="1"/>
  <c r="CD35" i="3" a="1"/>
  <c r="CD35" i="3" s="1"/>
  <c r="CE35" i="3" s="1"/>
  <c r="CR35" i="3"/>
  <c r="CT35" i="3" s="1"/>
  <c r="EC35" i="3"/>
  <c r="ED35" i="3" s="1"/>
  <c r="N37" i="3"/>
  <c r="Z37" i="3"/>
  <c r="CB41" i="3"/>
  <c r="CK44" i="3"/>
  <c r="CB30" i="3"/>
  <c r="EU31" i="3"/>
  <c r="EV31" i="3" s="1"/>
  <c r="DZ31" i="3" a="1"/>
  <c r="DZ31" i="3" s="1"/>
  <c r="EA31" i="3" s="1"/>
  <c r="DK31" i="3"/>
  <c r="DL31" i="3" s="1"/>
  <c r="CX31" i="3"/>
  <c r="CZ31" i="3" s="1"/>
  <c r="CS31" i="3"/>
  <c r="CI31" i="3"/>
  <c r="CK31" i="3" s="1"/>
  <c r="CD31" i="3" a="1"/>
  <c r="CD31" i="3" s="1"/>
  <c r="BN31" i="3"/>
  <c r="BI31" i="3"/>
  <c r="AY31" i="3"/>
  <c r="BA31" i="3" s="1"/>
  <c r="AT31" i="3" a="1"/>
  <c r="AT31" i="3" s="1"/>
  <c r="AJ31" i="3"/>
  <c r="AL31" i="3" s="1"/>
  <c r="AE31" i="3"/>
  <c r="U31" i="3"/>
  <c r="P31" i="3" a="1"/>
  <c r="P31" i="3" s="1"/>
  <c r="EO31" i="3"/>
  <c r="EP31" i="3" s="1"/>
  <c r="DT31" i="3" a="1"/>
  <c r="DT31" i="3" s="1"/>
  <c r="DU31" i="3" s="1"/>
  <c r="DE31" i="3"/>
  <c r="DF31" i="3" s="1"/>
  <c r="CY31" i="3"/>
  <c r="CO31" i="3"/>
  <c r="CJ31" i="3" a="1"/>
  <c r="CJ31" i="3" s="1"/>
  <c r="BT31" i="3"/>
  <c r="BV31" i="3" s="1"/>
  <c r="BO31" i="3"/>
  <c r="BE31" i="3"/>
  <c r="BG31" i="3" s="1"/>
  <c r="AZ31" i="3" a="1"/>
  <c r="AZ31" i="3" s="1"/>
  <c r="AP31" i="3"/>
  <c r="AR31" i="3" s="1"/>
  <c r="AK31" i="3"/>
  <c r="AA31" i="3"/>
  <c r="V31" i="3" a="1"/>
  <c r="V31" i="3" s="1"/>
  <c r="F31" i="3"/>
  <c r="EI31" i="3"/>
  <c r="EJ31" i="3" s="1"/>
  <c r="DW31" i="3"/>
  <c r="DX31" i="3" s="1"/>
  <c r="DN31" i="3" a="1"/>
  <c r="DN31" i="3" s="1"/>
  <c r="DO31" i="3" s="1"/>
  <c r="DB31" i="3" a="1"/>
  <c r="DB31" i="3" s="1"/>
  <c r="CU31" i="3"/>
  <c r="CW31" i="3" s="1"/>
  <c r="CL31" i="3"/>
  <c r="CN31" i="3" s="1"/>
  <c r="BW31" i="3"/>
  <c r="G31" i="3"/>
  <c r="CV31" i="3" a="1"/>
  <c r="CV31" i="3" s="1"/>
  <c r="CM31" i="3"/>
  <c r="CF31" i="3"/>
  <c r="CH31" i="3" s="1"/>
  <c r="BX31" i="3" a="1"/>
  <c r="BX31" i="3" s="1"/>
  <c r="BQ31" i="3"/>
  <c r="BH31" i="3"/>
  <c r="AS31" i="3"/>
  <c r="AS48" i="3" s="1"/>
  <c r="AU48" i="3" s="1"/>
  <c r="AM31" i="3"/>
  <c r="AD31" i="3"/>
  <c r="AF31" i="3" s="1"/>
  <c r="O31" i="3"/>
  <c r="Q31" i="3" s="1"/>
  <c r="M31" i="3"/>
  <c r="Y31" i="3"/>
  <c r="AV31" i="3"/>
  <c r="AX31" i="3" s="1"/>
  <c r="CC31" i="3"/>
  <c r="CE31" i="3" s="1"/>
  <c r="DA31" i="3"/>
  <c r="DC31" i="3" s="1"/>
  <c r="DQ31" i="3"/>
  <c r="DR31" i="3" s="1"/>
  <c r="EF31" i="3" a="1"/>
  <c r="EF31" i="3" s="1"/>
  <c r="EG31" i="3" s="1"/>
  <c r="BJ33" i="3"/>
  <c r="K35" i="3"/>
  <c r="H39" i="3"/>
  <c r="CF15" i="3"/>
  <c r="CV15" i="3" a="1"/>
  <c r="CV15" i="3" s="1"/>
  <c r="CW15" i="3" s="1"/>
  <c r="DA15" i="3"/>
  <c r="DC15" i="3" s="1"/>
  <c r="DH15" i="3" a="1"/>
  <c r="DH15" i="3" s="1"/>
  <c r="DI15" i="3" s="1"/>
  <c r="EC15" i="3"/>
  <c r="ED15" i="3" s="1"/>
  <c r="M17" i="3"/>
  <c r="FA17" i="3" s="1"/>
  <c r="R17" i="3"/>
  <c r="EZ17" i="3" s="1"/>
  <c r="FB17" i="3" s="1"/>
  <c r="AH17" i="3" a="1"/>
  <c r="AH17" i="3" s="1"/>
  <c r="AI17" i="3" s="1"/>
  <c r="AM17" i="3"/>
  <c r="AO17" i="3" s="1"/>
  <c r="AV17" i="3"/>
  <c r="AX17" i="3" s="1"/>
  <c r="BL17" i="3" a="1"/>
  <c r="BL17" i="3" s="1"/>
  <c r="BM17" i="3" s="1"/>
  <c r="BQ17" i="3"/>
  <c r="CA17" i="3"/>
  <c r="CB17" i="3" s="1"/>
  <c r="CF17" i="3"/>
  <c r="CH17" i="3" s="1"/>
  <c r="CV17" i="3" a="1"/>
  <c r="CV17" i="3" s="1"/>
  <c r="CW17" i="3" s="1"/>
  <c r="DA17" i="3"/>
  <c r="DC17" i="3" s="1"/>
  <c r="DH17" i="3" a="1"/>
  <c r="DH17" i="3" s="1"/>
  <c r="DI17" i="3" s="1"/>
  <c r="EC17" i="3"/>
  <c r="ED17" i="3" s="1"/>
  <c r="M19" i="3"/>
  <c r="N19" i="3" s="1"/>
  <c r="R19" i="3"/>
  <c r="T19" i="3" s="1"/>
  <c r="AH19" i="3" a="1"/>
  <c r="AH19" i="3" s="1"/>
  <c r="AI19" i="3" s="1"/>
  <c r="AM19" i="3"/>
  <c r="AO19" i="3" s="1"/>
  <c r="AV19" i="3"/>
  <c r="BL19" i="3" a="1"/>
  <c r="BL19" i="3" s="1"/>
  <c r="BM19" i="3" s="1"/>
  <c r="BQ19" i="3"/>
  <c r="CA19" i="3"/>
  <c r="CB19" i="3" s="1"/>
  <c r="CF19" i="3"/>
  <c r="CH19" i="3" s="1"/>
  <c r="CV19" i="3" a="1"/>
  <c r="CV19" i="3" s="1"/>
  <c r="CW19" i="3" s="1"/>
  <c r="DA19" i="3"/>
  <c r="DH19" i="3" a="1"/>
  <c r="DH19" i="3" s="1"/>
  <c r="DI19" i="3" s="1"/>
  <c r="EC19" i="3"/>
  <c r="ED19" i="3" s="1"/>
  <c r="M21" i="3"/>
  <c r="FA21" i="3" s="1"/>
  <c r="R21" i="3"/>
  <c r="T21" i="3" s="1"/>
  <c r="AH21" i="3" a="1"/>
  <c r="AH21" i="3" s="1"/>
  <c r="AI21" i="3" s="1"/>
  <c r="AM21" i="3"/>
  <c r="AS21" i="3"/>
  <c r="AU21" i="3" s="1"/>
  <c r="AY21" i="3"/>
  <c r="BA21" i="3" s="1"/>
  <c r="BE21" i="3"/>
  <c r="BG21" i="3" s="1"/>
  <c r="BK21" i="3"/>
  <c r="BM21" i="3" s="1"/>
  <c r="BQ21" i="3"/>
  <c r="BS21" i="3" s="1"/>
  <c r="BX21" i="3" a="1"/>
  <c r="BX21" i="3" s="1"/>
  <c r="CD21" i="3" a="1"/>
  <c r="CD21" i="3" s="1"/>
  <c r="CE21" i="3" s="1"/>
  <c r="CJ21" i="3" a="1"/>
  <c r="CJ21" i="3" s="1"/>
  <c r="CK21" i="3" s="1"/>
  <c r="CP21" i="3" a="1"/>
  <c r="CP21" i="3" s="1"/>
  <c r="CQ21" i="3" s="1"/>
  <c r="CV21" i="3" a="1"/>
  <c r="CV21" i="3" s="1"/>
  <c r="CW21" i="3" s="1"/>
  <c r="DK21" i="3"/>
  <c r="DL21" i="3" s="1"/>
  <c r="DT21" i="3" a="1"/>
  <c r="DT21" i="3" s="1"/>
  <c r="DU21" i="3" s="1"/>
  <c r="EO22" i="3"/>
  <c r="EP22" i="3" s="1"/>
  <c r="DT22" i="3" a="1"/>
  <c r="DT22" i="3" s="1"/>
  <c r="DU22" i="3" s="1"/>
  <c r="DE22" i="3"/>
  <c r="DF22" i="3" s="1"/>
  <c r="CY22" i="3"/>
  <c r="CZ22" i="3" s="1"/>
  <c r="CO22" i="3"/>
  <c r="CQ22" i="3" s="1"/>
  <c r="CJ22" i="3" a="1"/>
  <c r="CJ22" i="3" s="1"/>
  <c r="CK22" i="3" s="1"/>
  <c r="BT22" i="3"/>
  <c r="BV22" i="3" s="1"/>
  <c r="BO22" i="3"/>
  <c r="BP22" i="3" s="1"/>
  <c r="BE22" i="3"/>
  <c r="BG22" i="3" s="1"/>
  <c r="AZ22" i="3" a="1"/>
  <c r="AZ22" i="3" s="1"/>
  <c r="BA22" i="3" s="1"/>
  <c r="AP22" i="3"/>
  <c r="AR22" i="3" s="1"/>
  <c r="AK22" i="3"/>
  <c r="FA22" i="3" s="1"/>
  <c r="AA22" i="3"/>
  <c r="AC22" i="3" s="1"/>
  <c r="V22" i="3" a="1"/>
  <c r="V22" i="3" s="1"/>
  <c r="W22" i="3" s="1"/>
  <c r="F22" i="3"/>
  <c r="J22" i="3" a="1"/>
  <c r="J22" i="3" s="1"/>
  <c r="K22" i="3" s="1"/>
  <c r="P22" i="3" a="1"/>
  <c r="P22" i="3" s="1"/>
  <c r="Q22" i="3" s="1"/>
  <c r="AT22" i="3" a="1"/>
  <c r="AT22" i="3" s="1"/>
  <c r="AU22" i="3" s="1"/>
  <c r="DN22" i="3" a="1"/>
  <c r="DN22" i="3" s="1"/>
  <c r="DO22" i="3" s="1"/>
  <c r="EU22" i="3"/>
  <c r="EV22" i="3" s="1"/>
  <c r="N25" i="3"/>
  <c r="J26" i="3" a="1"/>
  <c r="J26" i="3" s="1"/>
  <c r="R26" i="3"/>
  <c r="T26" i="3" s="1"/>
  <c r="Y26" i="3"/>
  <c r="Z26" i="3" s="1"/>
  <c r="AH26" i="3" a="1"/>
  <c r="AH26" i="3" s="1"/>
  <c r="AV26" i="3"/>
  <c r="AX26" i="3" s="1"/>
  <c r="BC26" i="3"/>
  <c r="BD26" i="3" s="1"/>
  <c r="BL26" i="3" a="1"/>
  <c r="BL26" i="3" s="1"/>
  <c r="CX26" i="3"/>
  <c r="DK26" i="3"/>
  <c r="DL26" i="3" s="1"/>
  <c r="AI28" i="3"/>
  <c r="BS29" i="3"/>
  <c r="CB29" i="3"/>
  <c r="CN29" i="3"/>
  <c r="AR30" i="3"/>
  <c r="CE30" i="3"/>
  <c r="AB31" i="3" a="1"/>
  <c r="AB31" i="3" s="1"/>
  <c r="AN31" i="3" a="1"/>
  <c r="AN31" i="3" s="1"/>
  <c r="AW31" i="3"/>
  <c r="BK31" i="3"/>
  <c r="BU31" i="3"/>
  <c r="CG31" i="3"/>
  <c r="EL31" i="3" a="1"/>
  <c r="EL31" i="3" s="1"/>
  <c r="EM31" i="3" s="1"/>
  <c r="CB32" i="3"/>
  <c r="CH33" i="3"/>
  <c r="AC34" i="3"/>
  <c r="AL34" i="3"/>
  <c r="CK34" i="3"/>
  <c r="J35" i="3" a="1"/>
  <c r="J35" i="3" s="1"/>
  <c r="AH35" i="3" a="1"/>
  <c r="AH35" i="3" s="1"/>
  <c r="AI35" i="3" s="1"/>
  <c r="AS35" i="3"/>
  <c r="AU35" i="3" s="1"/>
  <c r="EF35" i="3" a="1"/>
  <c r="EF35" i="3" s="1"/>
  <c r="EG35" i="3" s="1"/>
  <c r="CZ36" i="3"/>
  <c r="EF37" i="3" a="1"/>
  <c r="EF37" i="3" s="1"/>
  <c r="EG37" i="3" s="1"/>
  <c r="DQ37" i="3"/>
  <c r="DR37" i="3" s="1"/>
  <c r="CR37" i="3"/>
  <c r="CT37" i="3" s="1"/>
  <c r="CM37" i="3"/>
  <c r="CC37" i="3"/>
  <c r="BX37" i="3" a="1"/>
  <c r="BX37" i="3" s="1"/>
  <c r="EU37" i="3"/>
  <c r="EV37" i="3" s="1"/>
  <c r="DZ37" i="3" a="1"/>
  <c r="DZ37" i="3" s="1"/>
  <c r="EA37" i="3" s="1"/>
  <c r="DK37" i="3"/>
  <c r="DL37" i="3" s="1"/>
  <c r="CX37" i="3"/>
  <c r="CZ37" i="3" s="1"/>
  <c r="CS37" i="3"/>
  <c r="CI37" i="3"/>
  <c r="CD37" i="3" a="1"/>
  <c r="CD37" i="3" s="1"/>
  <c r="BN37" i="3"/>
  <c r="BP37" i="3" s="1"/>
  <c r="BI37" i="3"/>
  <c r="AY37" i="3"/>
  <c r="BA37" i="3" s="1"/>
  <c r="AT37" i="3" a="1"/>
  <c r="AT37" i="3" s="1"/>
  <c r="AJ37" i="3"/>
  <c r="AL37" i="3" s="1"/>
  <c r="AE37" i="3"/>
  <c r="EI37" i="3"/>
  <c r="EJ37" i="3" s="1"/>
  <c r="DW37" i="3"/>
  <c r="DX37" i="3" s="1"/>
  <c r="DN37" i="3" a="1"/>
  <c r="DN37" i="3" s="1"/>
  <c r="DO37" i="3" s="1"/>
  <c r="DB37" i="3" a="1"/>
  <c r="DB37" i="3" s="1"/>
  <c r="CU37" i="3"/>
  <c r="CL37" i="3"/>
  <c r="BW37" i="3"/>
  <c r="BY37" i="3" s="1"/>
  <c r="BQ37" i="3"/>
  <c r="BS37" i="3" s="1"/>
  <c r="BK37" i="3"/>
  <c r="BM37" i="3" s="1"/>
  <c r="BE37" i="3"/>
  <c r="BG37" i="3" s="1"/>
  <c r="AM37" i="3"/>
  <c r="AG37" i="3"/>
  <c r="AI37" i="3" s="1"/>
  <c r="AA37" i="3"/>
  <c r="AC37" i="3" s="1"/>
  <c r="V37" i="3" a="1"/>
  <c r="V37" i="3" s="1"/>
  <c r="F37" i="3"/>
  <c r="EO37" i="3"/>
  <c r="EP37" i="3" s="1"/>
  <c r="DA37" i="3"/>
  <c r="CJ37" i="3" a="1"/>
  <c r="CJ37" i="3" s="1"/>
  <c r="BZ37" i="3"/>
  <c r="BR37" i="3" a="1"/>
  <c r="BR37" i="3" s="1"/>
  <c r="BB37" i="3"/>
  <c r="AH37" i="3" a="1"/>
  <c r="AH37" i="3" s="1"/>
  <c r="EC37" i="3"/>
  <c r="ED37" i="3" s="1"/>
  <c r="DE37" i="3"/>
  <c r="DF37" i="3" s="1"/>
  <c r="CA37" i="3"/>
  <c r="BL37" i="3" a="1"/>
  <c r="BL37" i="3" s="1"/>
  <c r="BC37" i="3"/>
  <c r="AV37" i="3"/>
  <c r="AP37" i="3"/>
  <c r="AR37" i="3" s="1"/>
  <c r="AB37" i="3" a="1"/>
  <c r="AB37" i="3" s="1"/>
  <c r="U37" i="3"/>
  <c r="O37" i="3"/>
  <c r="Q37" i="3" s="1"/>
  <c r="I37" i="3"/>
  <c r="EX37" i="3" a="1"/>
  <c r="EX37" i="3" s="1"/>
  <c r="EY37" i="3" s="1"/>
  <c r="CV37" i="3" a="1"/>
  <c r="CV37" i="3" s="1"/>
  <c r="CF37" i="3"/>
  <c r="CH37" i="3" s="1"/>
  <c r="BT37" i="3"/>
  <c r="BV37" i="3" s="1"/>
  <c r="AW37" i="3"/>
  <c r="FA37" i="3" s="1"/>
  <c r="R37" i="3"/>
  <c r="T37" i="3" s="1"/>
  <c r="J37" i="3" a="1"/>
  <c r="J37" i="3" s="1"/>
  <c r="CG37" i="3"/>
  <c r="BU37" i="3"/>
  <c r="BH37" i="3"/>
  <c r="AZ37" i="3" a="1"/>
  <c r="AZ37" i="3" s="1"/>
  <c r="AN37" i="3" a="1"/>
  <c r="AN37" i="3" s="1"/>
  <c r="S37" i="3"/>
  <c r="P37" i="3" a="1"/>
  <c r="P37" i="3" s="1"/>
  <c r="AD37" i="3"/>
  <c r="AF37" i="3" s="1"/>
  <c r="AS37" i="3"/>
  <c r="AU37" i="3" s="1"/>
  <c r="CY37" i="3"/>
  <c r="BD38" i="3"/>
  <c r="DC41" i="3"/>
  <c r="N43" i="3"/>
  <c r="W28" i="3"/>
  <c r="BA28" i="3"/>
  <c r="CQ30" i="3"/>
  <c r="N32" i="3"/>
  <c r="W32" i="3"/>
  <c r="BA32" i="3"/>
  <c r="CQ34" i="3"/>
  <c r="BG36" i="3"/>
  <c r="BA38" i="3"/>
  <c r="CW39" i="3"/>
  <c r="W40" i="3"/>
  <c r="CN40" i="3"/>
  <c r="AO41" i="3"/>
  <c r="I23" i="3"/>
  <c r="S23" i="3"/>
  <c r="T23" i="3" s="1"/>
  <c r="X23" i="3"/>
  <c r="Z23" i="3" s="1"/>
  <c r="AN23" i="3" a="1"/>
  <c r="AN23" i="3" s="1"/>
  <c r="FD23" i="3" s="1"/>
  <c r="AW23" i="3"/>
  <c r="AX23" i="3" s="1"/>
  <c r="BB23" i="3"/>
  <c r="BD23" i="3" s="1"/>
  <c r="BR23" i="3" a="1"/>
  <c r="BR23" i="3" s="1"/>
  <c r="BS23" i="3" s="1"/>
  <c r="BW23" i="3"/>
  <c r="BY23" i="3" s="1"/>
  <c r="CG23" i="3"/>
  <c r="CH23" i="3" s="1"/>
  <c r="CL23" i="3"/>
  <c r="CN23" i="3" s="1"/>
  <c r="DB23" i="3" a="1"/>
  <c r="DB23" i="3" s="1"/>
  <c r="DC23" i="3" s="1"/>
  <c r="DW23" i="3"/>
  <c r="DX23" i="3" s="1"/>
  <c r="I25" i="3"/>
  <c r="S25" i="3"/>
  <c r="T25" i="3" s="1"/>
  <c r="X25" i="3"/>
  <c r="Z25" i="3" s="1"/>
  <c r="AN25" i="3" a="1"/>
  <c r="AN25" i="3" s="1"/>
  <c r="FD25" i="3" s="1"/>
  <c r="AW25" i="3"/>
  <c r="AX25" i="3" s="1"/>
  <c r="BB25" i="3"/>
  <c r="BD25" i="3" s="1"/>
  <c r="BR25" i="3" a="1"/>
  <c r="BR25" i="3" s="1"/>
  <c r="BS25" i="3" s="1"/>
  <c r="BW25" i="3"/>
  <c r="BY25" i="3" s="1"/>
  <c r="CG25" i="3"/>
  <c r="CH25" i="3" s="1"/>
  <c r="CL25" i="3"/>
  <c r="CN25" i="3" s="1"/>
  <c r="DB25" i="3" a="1"/>
  <c r="DB25" i="3" s="1"/>
  <c r="DC25" i="3" s="1"/>
  <c r="DW25" i="3"/>
  <c r="DX25" i="3" s="1"/>
  <c r="AC28" i="3"/>
  <c r="AR28" i="3"/>
  <c r="BG28" i="3"/>
  <c r="BV28" i="3"/>
  <c r="EU29" i="3"/>
  <c r="EV29" i="3" s="1"/>
  <c r="DZ29" i="3" a="1"/>
  <c r="DZ29" i="3" s="1"/>
  <c r="EA29" i="3" s="1"/>
  <c r="DK29" i="3"/>
  <c r="DL29" i="3" s="1"/>
  <c r="CX29" i="3"/>
  <c r="CZ29" i="3" s="1"/>
  <c r="CS29" i="3"/>
  <c r="CI29" i="3"/>
  <c r="CD29" i="3" a="1"/>
  <c r="CD29" i="3" s="1"/>
  <c r="CE29" i="3" s="1"/>
  <c r="BN29" i="3"/>
  <c r="BP29" i="3" s="1"/>
  <c r="BI29" i="3"/>
  <c r="BJ29" i="3" s="1"/>
  <c r="AY29" i="3"/>
  <c r="BA29" i="3" s="1"/>
  <c r="AT29" i="3" a="1"/>
  <c r="AT29" i="3" s="1"/>
  <c r="AU29" i="3" s="1"/>
  <c r="AJ29" i="3"/>
  <c r="AE29" i="3"/>
  <c r="AF29" i="3" s="1"/>
  <c r="U29" i="3"/>
  <c r="W29" i="3" s="1"/>
  <c r="P29" i="3" a="1"/>
  <c r="P29" i="3" s="1"/>
  <c r="Q29" i="3" s="1"/>
  <c r="EO29" i="3"/>
  <c r="EP29" i="3" s="1"/>
  <c r="DT29" i="3" a="1"/>
  <c r="DT29" i="3" s="1"/>
  <c r="DU29" i="3" s="1"/>
  <c r="DE29" i="3"/>
  <c r="DF29" i="3" s="1"/>
  <c r="CY29" i="3"/>
  <c r="CO29" i="3"/>
  <c r="CQ29" i="3" s="1"/>
  <c r="CJ29" i="3" a="1"/>
  <c r="CJ29" i="3" s="1"/>
  <c r="BT29" i="3"/>
  <c r="BV29" i="3" s="1"/>
  <c r="BO29" i="3"/>
  <c r="BE29" i="3"/>
  <c r="BG29" i="3" s="1"/>
  <c r="AZ29" i="3" a="1"/>
  <c r="AZ29" i="3" s="1"/>
  <c r="AP29" i="3"/>
  <c r="AR29" i="3" s="1"/>
  <c r="AK29" i="3"/>
  <c r="AA29" i="3"/>
  <c r="AC29" i="3" s="1"/>
  <c r="V29" i="3" a="1"/>
  <c r="V29" i="3" s="1"/>
  <c r="F29" i="3"/>
  <c r="J29" i="3" a="1"/>
  <c r="J29" i="3" s="1"/>
  <c r="R29" i="3"/>
  <c r="T29" i="3" s="1"/>
  <c r="Y29" i="3"/>
  <c r="FA29" i="3" s="1"/>
  <c r="AH29" i="3" a="1"/>
  <c r="AH29" i="3" s="1"/>
  <c r="AI29" i="3" s="1"/>
  <c r="AV29" i="3"/>
  <c r="AX29" i="3" s="1"/>
  <c r="BC29" i="3"/>
  <c r="BL29" i="3" a="1"/>
  <c r="BL29" i="3" s="1"/>
  <c r="BM29" i="3" s="1"/>
  <c r="CA29" i="3"/>
  <c r="DH29" i="3" a="1"/>
  <c r="DH29" i="3" s="1"/>
  <c r="DI29" i="3" s="1"/>
  <c r="DQ29" i="3"/>
  <c r="DR29" i="3" s="1"/>
  <c r="EC29" i="3"/>
  <c r="ED29" i="3" s="1"/>
  <c r="AC32" i="3"/>
  <c r="AR32" i="3"/>
  <c r="BG32" i="3"/>
  <c r="BV32" i="3"/>
  <c r="EU33" i="3"/>
  <c r="EV33" i="3" s="1"/>
  <c r="DZ33" i="3" a="1"/>
  <c r="DZ33" i="3" s="1"/>
  <c r="EA33" i="3" s="1"/>
  <c r="DK33" i="3"/>
  <c r="DL33" i="3" s="1"/>
  <c r="CX33" i="3"/>
  <c r="CS33" i="3"/>
  <c r="CT33" i="3" s="1"/>
  <c r="CI33" i="3"/>
  <c r="CK33" i="3" s="1"/>
  <c r="CD33" i="3" a="1"/>
  <c r="CD33" i="3" s="1"/>
  <c r="CE33" i="3" s="1"/>
  <c r="BN33" i="3"/>
  <c r="BI33" i="3"/>
  <c r="AY33" i="3"/>
  <c r="AT33" i="3" a="1"/>
  <c r="AT33" i="3" s="1"/>
  <c r="AU33" i="3" s="1"/>
  <c r="AJ33" i="3"/>
  <c r="AL33" i="3" s="1"/>
  <c r="AE33" i="3"/>
  <c r="AF33" i="3" s="1"/>
  <c r="U33" i="3"/>
  <c r="P33" i="3" a="1"/>
  <c r="P33" i="3" s="1"/>
  <c r="Q33" i="3" s="1"/>
  <c r="EO33" i="3"/>
  <c r="EP33" i="3" s="1"/>
  <c r="DT33" i="3" a="1"/>
  <c r="DT33" i="3" s="1"/>
  <c r="DU33" i="3" s="1"/>
  <c r="DE33" i="3"/>
  <c r="DF33" i="3" s="1"/>
  <c r="CY33" i="3"/>
  <c r="CO33" i="3"/>
  <c r="CQ33" i="3" s="1"/>
  <c r="CJ33" i="3" a="1"/>
  <c r="CJ33" i="3" s="1"/>
  <c r="BT33" i="3"/>
  <c r="BV33" i="3" s="1"/>
  <c r="BO33" i="3"/>
  <c r="BE33" i="3"/>
  <c r="BG33" i="3" s="1"/>
  <c r="AZ33" i="3" a="1"/>
  <c r="AZ33" i="3" s="1"/>
  <c r="AP33" i="3"/>
  <c r="AR33" i="3" s="1"/>
  <c r="AK33" i="3"/>
  <c r="AA33" i="3"/>
  <c r="AC33" i="3" s="1"/>
  <c r="V33" i="3" a="1"/>
  <c r="V33" i="3" s="1"/>
  <c r="F33" i="3"/>
  <c r="J33" i="3" a="1"/>
  <c r="J33" i="3" s="1"/>
  <c r="R33" i="3"/>
  <c r="T33" i="3" s="1"/>
  <c r="Y33" i="3"/>
  <c r="Z33" i="3" s="1"/>
  <c r="AH33" i="3" a="1"/>
  <c r="AH33" i="3" s="1"/>
  <c r="AI33" i="3" s="1"/>
  <c r="AV33" i="3"/>
  <c r="AX33" i="3" s="1"/>
  <c r="BC33" i="3"/>
  <c r="BD33" i="3" s="1"/>
  <c r="BL33" i="3" a="1"/>
  <c r="BL33" i="3" s="1"/>
  <c r="BM33" i="3" s="1"/>
  <c r="CA33" i="3"/>
  <c r="CB33" i="3" s="1"/>
  <c r="DH33" i="3" a="1"/>
  <c r="DH33" i="3" s="1"/>
  <c r="DI33" i="3" s="1"/>
  <c r="DQ33" i="3"/>
  <c r="DR33" i="3" s="1"/>
  <c r="EC33" i="3"/>
  <c r="ED33" i="3" s="1"/>
  <c r="Q38" i="3"/>
  <c r="AL38" i="3"/>
  <c r="AR39" i="3"/>
  <c r="CW41" i="3"/>
  <c r="AR42" i="3"/>
  <c r="BP44" i="3"/>
  <c r="I28" i="3"/>
  <c r="S28" i="3"/>
  <c r="X28" i="3"/>
  <c r="Z28" i="3" s="1"/>
  <c r="AN28" i="3" a="1"/>
  <c r="AN28" i="3" s="1"/>
  <c r="AW28" i="3"/>
  <c r="BB28" i="3"/>
  <c r="BD28" i="3" s="1"/>
  <c r="BR28" i="3" a="1"/>
  <c r="BR28" i="3" s="1"/>
  <c r="BW28" i="3"/>
  <c r="BY28" i="3" s="1"/>
  <c r="CG28" i="3"/>
  <c r="CL28" i="3"/>
  <c r="CN28" i="3" s="1"/>
  <c r="DB28" i="3" a="1"/>
  <c r="DB28" i="3" s="1"/>
  <c r="DW28" i="3"/>
  <c r="DX28" i="3" s="1"/>
  <c r="EL28" i="3" a="1"/>
  <c r="EL28" i="3" s="1"/>
  <c r="EM28" i="3" s="1"/>
  <c r="I30" i="3"/>
  <c r="S30" i="3"/>
  <c r="X30" i="3"/>
  <c r="Z30" i="3" s="1"/>
  <c r="AN30" i="3" a="1"/>
  <c r="AN30" i="3" s="1"/>
  <c r="AW30" i="3"/>
  <c r="BB30" i="3"/>
  <c r="BD30" i="3" s="1"/>
  <c r="BR30" i="3" a="1"/>
  <c r="BR30" i="3" s="1"/>
  <c r="BW30" i="3"/>
  <c r="BY30" i="3" s="1"/>
  <c r="CG30" i="3"/>
  <c r="CL30" i="3"/>
  <c r="CN30" i="3" s="1"/>
  <c r="DB30" i="3" a="1"/>
  <c r="DB30" i="3" s="1"/>
  <c r="DW30" i="3"/>
  <c r="DX30" i="3" s="1"/>
  <c r="EL30" i="3" a="1"/>
  <c r="EL30" i="3" s="1"/>
  <c r="EM30" i="3" s="1"/>
  <c r="I32" i="3"/>
  <c r="S32" i="3"/>
  <c r="X32" i="3"/>
  <c r="Z32" i="3" s="1"/>
  <c r="AN32" i="3" a="1"/>
  <c r="AN32" i="3" s="1"/>
  <c r="AW32" i="3"/>
  <c r="FA32" i="3" s="1"/>
  <c r="BB32" i="3"/>
  <c r="BD32" i="3" s="1"/>
  <c r="BR32" i="3" a="1"/>
  <c r="BR32" i="3" s="1"/>
  <c r="BW32" i="3"/>
  <c r="BY32" i="3" s="1"/>
  <c r="CG32" i="3"/>
  <c r="CL32" i="3"/>
  <c r="CN32" i="3" s="1"/>
  <c r="DB32" i="3" a="1"/>
  <c r="DB32" i="3" s="1"/>
  <c r="DW32" i="3"/>
  <c r="DX32" i="3" s="1"/>
  <c r="EL32" i="3" a="1"/>
  <c r="EL32" i="3" s="1"/>
  <c r="EM32" i="3" s="1"/>
  <c r="I34" i="3"/>
  <c r="S34" i="3"/>
  <c r="X34" i="3"/>
  <c r="Z34" i="3" s="1"/>
  <c r="AN34" i="3" a="1"/>
  <c r="AN34" i="3" s="1"/>
  <c r="AW34" i="3"/>
  <c r="BB34" i="3"/>
  <c r="BD34" i="3" s="1"/>
  <c r="BR34" i="3" a="1"/>
  <c r="BR34" i="3" s="1"/>
  <c r="BW34" i="3"/>
  <c r="BY34" i="3" s="1"/>
  <c r="CG34" i="3"/>
  <c r="CL34" i="3"/>
  <c r="CN34" i="3" s="1"/>
  <c r="DB34" i="3" a="1"/>
  <c r="DB34" i="3" s="1"/>
  <c r="DW34" i="3"/>
  <c r="DX34" i="3" s="1"/>
  <c r="EL34" i="3" a="1"/>
  <c r="EL34" i="3" s="1"/>
  <c r="EM34" i="3" s="1"/>
  <c r="CQ36" i="3"/>
  <c r="EX40" i="3" a="1"/>
  <c r="EX40" i="3" s="1"/>
  <c r="EY40" i="3" s="1"/>
  <c r="EI40" i="3"/>
  <c r="EJ40" i="3" s="1"/>
  <c r="DN40" i="3" a="1"/>
  <c r="DN40" i="3" s="1"/>
  <c r="DO40" i="3" s="1"/>
  <c r="CU40" i="3"/>
  <c r="CW40" i="3" s="1"/>
  <c r="CP40" i="3" a="1"/>
  <c r="CP40" i="3" s="1"/>
  <c r="BZ40" i="3"/>
  <c r="BU40" i="3"/>
  <c r="BV40" i="3" s="1"/>
  <c r="BK40" i="3"/>
  <c r="BM40" i="3" s="1"/>
  <c r="BF40" i="3" a="1"/>
  <c r="BF40" i="3" s="1"/>
  <c r="AQ40" i="3" a="1"/>
  <c r="AQ40" i="3" s="1"/>
  <c r="AR40" i="3" s="1"/>
  <c r="AG40" i="3"/>
  <c r="AB40" i="3" a="1"/>
  <c r="AB40" i="3" s="1"/>
  <c r="L40" i="3"/>
  <c r="G40" i="3"/>
  <c r="ER40" i="3" a="1"/>
  <c r="ER40" i="3" s="1"/>
  <c r="ES40" i="3" s="1"/>
  <c r="EC40" i="3"/>
  <c r="ED40" i="3" s="1"/>
  <c r="DH40" i="3" a="1"/>
  <c r="DH40" i="3" s="1"/>
  <c r="DI40" i="3" s="1"/>
  <c r="DA40" i="3"/>
  <c r="CV40" i="3" a="1"/>
  <c r="CV40" i="3" s="1"/>
  <c r="CF40" i="3"/>
  <c r="CH40" i="3" s="1"/>
  <c r="CA40" i="3"/>
  <c r="BQ40" i="3"/>
  <c r="BS40" i="3" s="1"/>
  <c r="BL40" i="3" a="1"/>
  <c r="BL40" i="3" s="1"/>
  <c r="AV40" i="3"/>
  <c r="AM40" i="3"/>
  <c r="AO40" i="3" s="1"/>
  <c r="AH40" i="3" a="1"/>
  <c r="AH40" i="3" s="1"/>
  <c r="R40" i="3"/>
  <c r="T40" i="3" s="1"/>
  <c r="M40" i="3"/>
  <c r="CM40" i="3"/>
  <c r="BX40" i="3" a="1"/>
  <c r="BX40" i="3" s="1"/>
  <c r="BY40" i="3" s="1"/>
  <c r="BO40" i="3"/>
  <c r="BH40" i="3"/>
  <c r="AZ40" i="3" a="1"/>
  <c r="AZ40" i="3" s="1"/>
  <c r="BA40" i="3" s="1"/>
  <c r="AS40" i="3"/>
  <c r="AU40" i="3" s="1"/>
  <c r="AK40" i="3"/>
  <c r="AD40" i="3"/>
  <c r="V40" i="3" a="1"/>
  <c r="V40" i="3" s="1"/>
  <c r="O40" i="3"/>
  <c r="F40" i="3"/>
  <c r="EU40" i="3"/>
  <c r="EV40" i="3" s="1"/>
  <c r="EL40" i="3" a="1"/>
  <c r="EL40" i="3" s="1"/>
  <c r="EM40" i="3" s="1"/>
  <c r="DZ40" i="3" a="1"/>
  <c r="DZ40" i="3" s="1"/>
  <c r="EA40" i="3" s="1"/>
  <c r="CG40" i="3"/>
  <c r="BR40" i="3" a="1"/>
  <c r="BR40" i="3" s="1"/>
  <c r="BI40" i="3"/>
  <c r="BB40" i="3"/>
  <c r="BD40" i="3" s="1"/>
  <c r="AT40" i="3" a="1"/>
  <c r="AT40" i="3" s="1"/>
  <c r="AN40" i="3" a="1"/>
  <c r="AN40" i="3" s="1"/>
  <c r="AE40" i="3"/>
  <c r="X40" i="3"/>
  <c r="Z40" i="3" s="1"/>
  <c r="P40" i="3" a="1"/>
  <c r="P40" i="3" s="1"/>
  <c r="FD40" i="3" s="1"/>
  <c r="I40" i="3"/>
  <c r="AJ40" i="3"/>
  <c r="AL40" i="3" s="1"/>
  <c r="AW40" i="3"/>
  <c r="CD40" i="3" a="1"/>
  <c r="CD40" i="3" s="1"/>
  <c r="DB40" i="3" a="1"/>
  <c r="DB40" i="3" s="1"/>
  <c r="AU43" i="3"/>
  <c r="CN43" i="3"/>
  <c r="H46" i="3"/>
  <c r="EO45" i="3"/>
  <c r="EP45" i="3" s="1"/>
  <c r="ER45" i="3" a="1"/>
  <c r="ER45" i="3" s="1"/>
  <c r="ES45" i="3" s="1"/>
  <c r="EI45" i="3"/>
  <c r="EJ45" i="3" s="1"/>
  <c r="DN45" i="3" a="1"/>
  <c r="DN45" i="3" s="1"/>
  <c r="DO45" i="3" s="1"/>
  <c r="CU45" i="3"/>
  <c r="CW45" i="3" s="1"/>
  <c r="CP45" i="3" a="1"/>
  <c r="CP45" i="3" s="1"/>
  <c r="BZ45" i="3"/>
  <c r="CB45" i="3" s="1"/>
  <c r="BU45" i="3"/>
  <c r="BK45" i="3"/>
  <c r="BF45" i="3" a="1"/>
  <c r="BF45" i="3" s="1"/>
  <c r="EX45" i="3" a="1"/>
  <c r="EX45" i="3" s="1"/>
  <c r="EY45" i="3" s="1"/>
  <c r="DZ45" i="3" a="1"/>
  <c r="DZ45" i="3" s="1"/>
  <c r="EA45" i="3" s="1"/>
  <c r="DK45" i="3"/>
  <c r="DL45" i="3" s="1"/>
  <c r="CX45" i="3"/>
  <c r="CS45" i="3"/>
  <c r="CI45" i="3"/>
  <c r="CD45" i="3" a="1"/>
  <c r="CD45" i="3" s="1"/>
  <c r="BN45" i="3"/>
  <c r="BP45" i="3" s="1"/>
  <c r="BI45" i="3"/>
  <c r="AY45" i="3"/>
  <c r="AT45" i="3" a="1"/>
  <c r="AT45" i="3" s="1"/>
  <c r="AJ45" i="3"/>
  <c r="AE45" i="3"/>
  <c r="U45" i="3"/>
  <c r="P45" i="3" a="1"/>
  <c r="P45" i="3" s="1"/>
  <c r="EC45" i="3"/>
  <c r="ED45" i="3" s="1"/>
  <c r="DQ45" i="3"/>
  <c r="DR45" i="3" s="1"/>
  <c r="DH45" i="3" a="1"/>
  <c r="DH45" i="3" s="1"/>
  <c r="DI45" i="3" s="1"/>
  <c r="CA45" i="3"/>
  <c r="BL45" i="3" a="1"/>
  <c r="BL45" i="3" s="1"/>
  <c r="BC45" i="3"/>
  <c r="AV45" i="3"/>
  <c r="AP45" i="3"/>
  <c r="EF45" i="3" a="1"/>
  <c r="EF45" i="3" s="1"/>
  <c r="EG45" i="3" s="1"/>
  <c r="DA45" i="3"/>
  <c r="DC45" i="3" s="1"/>
  <c r="CR45" i="3"/>
  <c r="CT45" i="3" s="1"/>
  <c r="CC45" i="3"/>
  <c r="CE45" i="3" s="1"/>
  <c r="Y45" i="3"/>
  <c r="S45" i="3"/>
  <c r="T45" i="3" s="1"/>
  <c r="M45" i="3"/>
  <c r="G45" i="3"/>
  <c r="DT45" i="3" a="1"/>
  <c r="DT45" i="3" s="1"/>
  <c r="DU45" i="3" s="1"/>
  <c r="CF45" i="3"/>
  <c r="CH45" i="3" s="1"/>
  <c r="BT45" i="3"/>
  <c r="BV45" i="3" s="1"/>
  <c r="BH45" i="3"/>
  <c r="AW45" i="3"/>
  <c r="AN45" i="3" a="1"/>
  <c r="AN45" i="3" s="1"/>
  <c r="AD45" i="3"/>
  <c r="AF45" i="3" s="1"/>
  <c r="V45" i="3" a="1"/>
  <c r="V45" i="3" s="1"/>
  <c r="L45" i="3"/>
  <c r="CV45" i="3" a="1"/>
  <c r="CV45" i="3" s="1"/>
  <c r="CJ45" i="3" a="1"/>
  <c r="CJ45" i="3" s="1"/>
  <c r="BX45" i="3" a="1"/>
  <c r="BX45" i="3" s="1"/>
  <c r="AQ45" i="3" a="1"/>
  <c r="AQ45" i="3" s="1"/>
  <c r="AH45" i="3" a="1"/>
  <c r="AH45" i="3" s="1"/>
  <c r="AI45" i="3" s="1"/>
  <c r="X45" i="3"/>
  <c r="Z45" i="3" s="1"/>
  <c r="O45" i="3"/>
  <c r="F45" i="3"/>
  <c r="BO45" i="3"/>
  <c r="EU45" i="3"/>
  <c r="EV45" i="3" s="1"/>
  <c r="DW45" i="3"/>
  <c r="DX45" i="3" s="1"/>
  <c r="CY45" i="3"/>
  <c r="CG45" i="3"/>
  <c r="BQ45" i="3"/>
  <c r="AZ45" i="3" a="1"/>
  <c r="AZ45" i="3" s="1"/>
  <c r="AK45" i="3"/>
  <c r="I45" i="3"/>
  <c r="BW45" i="3"/>
  <c r="AS45" i="3"/>
  <c r="AU45" i="3" s="1"/>
  <c r="AB45" i="3" a="1"/>
  <c r="AB45" i="3" s="1"/>
  <c r="CO45" i="3"/>
  <c r="BR45" i="3" a="1"/>
  <c r="BR45" i="3" s="1"/>
  <c r="AA45" i="3"/>
  <c r="AC45" i="3" s="1"/>
  <c r="CL45" i="3"/>
  <c r="CN45" i="3" s="1"/>
  <c r="AM45" i="3"/>
  <c r="DB45" i="3" a="1"/>
  <c r="DB45" i="3" s="1"/>
  <c r="BB45" i="3"/>
  <c r="J45" i="3" a="1"/>
  <c r="J45" i="3" s="1"/>
  <c r="M28" i="3"/>
  <c r="FA28" i="3" s="1"/>
  <c r="R28" i="3"/>
  <c r="AH28" i="3" a="1"/>
  <c r="AH28" i="3" s="1"/>
  <c r="AM28" i="3"/>
  <c r="AO28" i="3" s="1"/>
  <c r="AV28" i="3"/>
  <c r="AX28" i="3" s="1"/>
  <c r="BL28" i="3" a="1"/>
  <c r="BL28" i="3" s="1"/>
  <c r="FD28" i="3" s="1"/>
  <c r="BQ28" i="3"/>
  <c r="BS28" i="3" s="1"/>
  <c r="CA28" i="3"/>
  <c r="CB28" i="3" s="1"/>
  <c r="CF28" i="3"/>
  <c r="CV28" i="3" a="1"/>
  <c r="CV28" i="3" s="1"/>
  <c r="CW28" i="3" s="1"/>
  <c r="DA28" i="3"/>
  <c r="DC28" i="3" s="1"/>
  <c r="DH28" i="3" a="1"/>
  <c r="DH28" i="3" s="1"/>
  <c r="DI28" i="3" s="1"/>
  <c r="EC28" i="3"/>
  <c r="ED28" i="3" s="1"/>
  <c r="M30" i="3"/>
  <c r="R30" i="3"/>
  <c r="AH30" i="3" a="1"/>
  <c r="AH30" i="3" s="1"/>
  <c r="AI30" i="3" s="1"/>
  <c r="AM30" i="3"/>
  <c r="AO30" i="3" s="1"/>
  <c r="AV30" i="3"/>
  <c r="AX30" i="3" s="1"/>
  <c r="BL30" i="3" a="1"/>
  <c r="BL30" i="3" s="1"/>
  <c r="BM30" i="3" s="1"/>
  <c r="BQ30" i="3"/>
  <c r="CA30" i="3"/>
  <c r="CF30" i="3"/>
  <c r="CH30" i="3" s="1"/>
  <c r="CV30" i="3" a="1"/>
  <c r="CV30" i="3" s="1"/>
  <c r="CW30" i="3" s="1"/>
  <c r="DA30" i="3"/>
  <c r="DC30" i="3" s="1"/>
  <c r="DH30" i="3" a="1"/>
  <c r="DH30" i="3" s="1"/>
  <c r="DI30" i="3" s="1"/>
  <c r="EC30" i="3"/>
  <c r="ED30" i="3" s="1"/>
  <c r="M32" i="3"/>
  <c r="R32" i="3"/>
  <c r="T32" i="3" s="1"/>
  <c r="AH32" i="3" a="1"/>
  <c r="AH32" i="3" s="1"/>
  <c r="FD32" i="3" s="1"/>
  <c r="AM32" i="3"/>
  <c r="AO32" i="3" s="1"/>
  <c r="AV32" i="3"/>
  <c r="AX32" i="3" s="1"/>
  <c r="BL32" i="3" a="1"/>
  <c r="BL32" i="3" s="1"/>
  <c r="BQ32" i="3"/>
  <c r="CA32" i="3"/>
  <c r="CF32" i="3"/>
  <c r="CH32" i="3" s="1"/>
  <c r="CV32" i="3" a="1"/>
  <c r="CV32" i="3" s="1"/>
  <c r="CW32" i="3" s="1"/>
  <c r="DA32" i="3"/>
  <c r="DC32" i="3" s="1"/>
  <c r="DH32" i="3" a="1"/>
  <c r="DH32" i="3" s="1"/>
  <c r="DI32" i="3" s="1"/>
  <c r="EC32" i="3"/>
  <c r="ED32" i="3" s="1"/>
  <c r="M34" i="3"/>
  <c r="R34" i="3"/>
  <c r="T34" i="3" s="1"/>
  <c r="AH34" i="3" a="1"/>
  <c r="AH34" i="3" s="1"/>
  <c r="AI34" i="3" s="1"/>
  <c r="AM34" i="3"/>
  <c r="AO34" i="3" s="1"/>
  <c r="AV34" i="3"/>
  <c r="BL34" i="3" a="1"/>
  <c r="BL34" i="3" s="1"/>
  <c r="BM34" i="3" s="1"/>
  <c r="BQ34" i="3"/>
  <c r="BS34" i="3" s="1"/>
  <c r="CA34" i="3"/>
  <c r="CB34" i="3" s="1"/>
  <c r="CF34" i="3"/>
  <c r="CH34" i="3" s="1"/>
  <c r="CV34" i="3" a="1"/>
  <c r="CV34" i="3" s="1"/>
  <c r="CW34" i="3" s="1"/>
  <c r="DA34" i="3"/>
  <c r="DH34" i="3" a="1"/>
  <c r="DH34" i="3" s="1"/>
  <c r="DI34" i="3" s="1"/>
  <c r="EC34" i="3"/>
  <c r="ED34" i="3" s="1"/>
  <c r="N36" i="3"/>
  <c r="EX38" i="3" a="1"/>
  <c r="EX38" i="3" s="1"/>
  <c r="EY38" i="3" s="1"/>
  <c r="EI38" i="3"/>
  <c r="EJ38" i="3" s="1"/>
  <c r="DN38" i="3" a="1"/>
  <c r="DN38" i="3" s="1"/>
  <c r="DO38" i="3" s="1"/>
  <c r="CU38" i="3"/>
  <c r="CP38" i="3" a="1"/>
  <c r="CP38" i="3" s="1"/>
  <c r="BZ38" i="3"/>
  <c r="CB38" i="3" s="1"/>
  <c r="BU38" i="3"/>
  <c r="BK38" i="3"/>
  <c r="BM38" i="3" s="1"/>
  <c r="BF38" i="3" a="1"/>
  <c r="BF38" i="3" s="1"/>
  <c r="AQ38" i="3" a="1"/>
  <c r="AQ38" i="3" s="1"/>
  <c r="AG38" i="3"/>
  <c r="AB38" i="3" a="1"/>
  <c r="AB38" i="3" s="1"/>
  <c r="FD38" i="3" s="1"/>
  <c r="L38" i="3"/>
  <c r="N38" i="3" s="1"/>
  <c r="G38" i="3"/>
  <c r="FA38" i="3" s="1"/>
  <c r="ER38" i="3" a="1"/>
  <c r="ER38" i="3" s="1"/>
  <c r="ES38" i="3" s="1"/>
  <c r="EC38" i="3"/>
  <c r="ED38" i="3" s="1"/>
  <c r="DH38" i="3" a="1"/>
  <c r="DH38" i="3" s="1"/>
  <c r="DI38" i="3" s="1"/>
  <c r="DA38" i="3"/>
  <c r="DC38" i="3" s="1"/>
  <c r="CV38" i="3" a="1"/>
  <c r="CV38" i="3" s="1"/>
  <c r="CF38" i="3"/>
  <c r="CH38" i="3" s="1"/>
  <c r="CA38" i="3"/>
  <c r="BQ38" i="3"/>
  <c r="BS38" i="3" s="1"/>
  <c r="BL38" i="3" a="1"/>
  <c r="BL38" i="3" s="1"/>
  <c r="AV38" i="3"/>
  <c r="AX38" i="3" s="1"/>
  <c r="AM38" i="3"/>
  <c r="AO38" i="3" s="1"/>
  <c r="AH38" i="3" a="1"/>
  <c r="AH38" i="3" s="1"/>
  <c r="R38" i="3"/>
  <c r="T38" i="3" s="1"/>
  <c r="M38" i="3"/>
  <c r="EO38" i="3"/>
  <c r="EP38" i="3" s="1"/>
  <c r="EF38" i="3" a="1"/>
  <c r="EF38" i="3" s="1"/>
  <c r="EG38" i="3" s="1"/>
  <c r="DT38" i="3" a="1"/>
  <c r="DT38" i="3" s="1"/>
  <c r="DU38" i="3" s="1"/>
  <c r="CY38" i="3"/>
  <c r="CR38" i="3"/>
  <c r="CT38" i="3" s="1"/>
  <c r="CJ38" i="3" a="1"/>
  <c r="CJ38" i="3" s="1"/>
  <c r="CK38" i="3" s="1"/>
  <c r="CC38" i="3"/>
  <c r="CE38" i="3" s="1"/>
  <c r="BT38" i="3"/>
  <c r="BE38" i="3"/>
  <c r="BG38" i="3" s="1"/>
  <c r="AP38" i="3"/>
  <c r="AR38" i="3" s="1"/>
  <c r="AA38" i="3"/>
  <c r="U38" i="3"/>
  <c r="W38" i="3" s="1"/>
  <c r="AD38" i="3"/>
  <c r="AF38" i="3" s="1"/>
  <c r="AN38" i="3" a="1"/>
  <c r="AN38" i="3" s="1"/>
  <c r="BN38" i="3"/>
  <c r="BP38" i="3" s="1"/>
  <c r="BX38" i="3" a="1"/>
  <c r="BX38" i="3" s="1"/>
  <c r="BY38" i="3" s="1"/>
  <c r="CG38" i="3"/>
  <c r="CO38" i="3"/>
  <c r="CX38" i="3"/>
  <c r="DK38" i="3"/>
  <c r="DL38" i="3" s="1"/>
  <c r="EL38" i="3" a="1"/>
  <c r="EL38" i="3" s="1"/>
  <c r="EM38" i="3" s="1"/>
  <c r="T39" i="3"/>
  <c r="Y40" i="3"/>
  <c r="BE40" i="3"/>
  <c r="CC40" i="3"/>
  <c r="CE40" i="3" s="1"/>
  <c r="CO40" i="3"/>
  <c r="CQ40" i="3" s="1"/>
  <c r="CY40" i="3"/>
  <c r="CZ40" i="3" s="1"/>
  <c r="DQ40" i="3"/>
  <c r="DR40" i="3" s="1"/>
  <c r="EF40" i="3" a="1"/>
  <c r="EF40" i="3" s="1"/>
  <c r="EG40" i="3" s="1"/>
  <c r="EO41" i="3"/>
  <c r="EP41" i="3" s="1"/>
  <c r="DT41" i="3" a="1"/>
  <c r="DT41" i="3" s="1"/>
  <c r="DU41" i="3" s="1"/>
  <c r="DE41" i="3"/>
  <c r="DF41" i="3" s="1"/>
  <c r="CY41" i="3"/>
  <c r="CO41" i="3"/>
  <c r="CQ41" i="3" s="1"/>
  <c r="CJ41" i="3" a="1"/>
  <c r="CJ41" i="3" s="1"/>
  <c r="EL41" i="3" a="1"/>
  <c r="EL41" i="3" s="1"/>
  <c r="EM41" i="3" s="1"/>
  <c r="EC41" i="3"/>
  <c r="ED41" i="3" s="1"/>
  <c r="DK41" i="3"/>
  <c r="DL41" i="3" s="1"/>
  <c r="CD41" i="3" a="1"/>
  <c r="CD41" i="3" s="1"/>
  <c r="BX41" i="3" a="1"/>
  <c r="BX41" i="3" s="1"/>
  <c r="BH41" i="3"/>
  <c r="BC41" i="3"/>
  <c r="AS41" i="3"/>
  <c r="AU41" i="3" s="1"/>
  <c r="AD41" i="3"/>
  <c r="AF41" i="3" s="1"/>
  <c r="Y41" i="3"/>
  <c r="Z41" i="3" s="1"/>
  <c r="O41" i="3"/>
  <c r="J41" i="3" a="1"/>
  <c r="J41" i="3" s="1"/>
  <c r="EU41" i="3"/>
  <c r="EV41" i="3" s="1"/>
  <c r="DN41" i="3" a="1"/>
  <c r="DN41" i="3" s="1"/>
  <c r="DO41" i="3" s="1"/>
  <c r="BN41" i="3"/>
  <c r="BI41" i="3"/>
  <c r="AY41" i="3"/>
  <c r="AT41" i="3" a="1"/>
  <c r="AT41" i="3" s="1"/>
  <c r="AJ41" i="3"/>
  <c r="AL41" i="3" s="1"/>
  <c r="AE41" i="3"/>
  <c r="U41" i="3"/>
  <c r="W41" i="3" s="1"/>
  <c r="P41" i="3" a="1"/>
  <c r="P41" i="3" s="1"/>
  <c r="DH41" i="3" a="1"/>
  <c r="DH41" i="3" s="1"/>
  <c r="DI41" i="3" s="1"/>
  <c r="CV41" i="3" a="1"/>
  <c r="CV41" i="3" s="1"/>
  <c r="CM41" i="3"/>
  <c r="CC41" i="3"/>
  <c r="BU41" i="3"/>
  <c r="BV41" i="3" s="1"/>
  <c r="BF41" i="3" a="1"/>
  <c r="BF41" i="3" s="1"/>
  <c r="AW41" i="3"/>
  <c r="AX41" i="3" s="1"/>
  <c r="AQ41" i="3" a="1"/>
  <c r="AQ41" i="3" s="1"/>
  <c r="AR41" i="3" s="1"/>
  <c r="AB41" i="3" a="1"/>
  <c r="AB41" i="3" s="1"/>
  <c r="AC41" i="3" s="1"/>
  <c r="S41" i="3"/>
  <c r="T41" i="3" s="1"/>
  <c r="L41" i="3"/>
  <c r="N41" i="3" s="1"/>
  <c r="EX41" i="3" a="1"/>
  <c r="EX41" i="3" s="1"/>
  <c r="EY41" i="3" s="1"/>
  <c r="EI41" i="3"/>
  <c r="EJ41" i="3" s="1"/>
  <c r="DW41" i="3"/>
  <c r="DX41" i="3" s="1"/>
  <c r="CX41" i="3"/>
  <c r="CF41" i="3"/>
  <c r="CH41" i="3" s="1"/>
  <c r="BO41" i="3"/>
  <c r="AZ41" i="3" a="1"/>
  <c r="AZ41" i="3" s="1"/>
  <c r="AK41" i="3"/>
  <c r="V41" i="3" a="1"/>
  <c r="V41" i="3" s="1"/>
  <c r="M41" i="3"/>
  <c r="FA41" i="3" s="1"/>
  <c r="F41" i="3"/>
  <c r="AH41" i="3" a="1"/>
  <c r="AH41" i="3" s="1"/>
  <c r="AI41" i="3" s="1"/>
  <c r="BE41" i="3"/>
  <c r="BQ41" i="3"/>
  <c r="BS41" i="3" s="1"/>
  <c r="CR41" i="3"/>
  <c r="CT41" i="3" s="1"/>
  <c r="DZ41" i="3" a="1"/>
  <c r="DZ41" i="3" s="1"/>
  <c r="EA41" i="3" s="1"/>
  <c r="ER41" i="3" a="1"/>
  <c r="ER41" i="3" s="1"/>
  <c r="ES41" i="3" s="1"/>
  <c r="BE45" i="3"/>
  <c r="BG45" i="3" s="1"/>
  <c r="EL45" i="3" a="1"/>
  <c r="EL45" i="3" s="1"/>
  <c r="EM45" i="3" s="1"/>
  <c r="CE42" i="3"/>
  <c r="ER44" i="3" a="1"/>
  <c r="ER44" i="3" s="1"/>
  <c r="ES44" i="3" s="1"/>
  <c r="EC44" i="3"/>
  <c r="ED44" i="3" s="1"/>
  <c r="DH44" i="3" a="1"/>
  <c r="DH44" i="3" s="1"/>
  <c r="DI44" i="3" s="1"/>
  <c r="DA44" i="3"/>
  <c r="DC44" i="3" s="1"/>
  <c r="CV44" i="3" a="1"/>
  <c r="CV44" i="3" s="1"/>
  <c r="CF44" i="3"/>
  <c r="CH44" i="3" s="1"/>
  <c r="CA44" i="3"/>
  <c r="BQ44" i="3"/>
  <c r="BL44" i="3" a="1"/>
  <c r="BL44" i="3" s="1"/>
  <c r="AV44" i="3"/>
  <c r="AM44" i="3"/>
  <c r="AH44" i="3" a="1"/>
  <c r="AH44" i="3" s="1"/>
  <c r="R44" i="3"/>
  <c r="M44" i="3"/>
  <c r="EF44" i="3" a="1"/>
  <c r="EF44" i="3" s="1"/>
  <c r="EG44" i="3" s="1"/>
  <c r="DW44" i="3"/>
  <c r="DX44" i="3" s="1"/>
  <c r="DN44" i="3" a="1"/>
  <c r="DN44" i="3" s="1"/>
  <c r="DO44" i="3" s="1"/>
  <c r="DE44" i="3"/>
  <c r="DF44" i="3" s="1"/>
  <c r="CX44" i="3"/>
  <c r="CR44" i="3"/>
  <c r="CT44" i="3" s="1"/>
  <c r="CL44" i="3"/>
  <c r="CN44" i="3" s="1"/>
  <c r="DZ44" i="3" a="1"/>
  <c r="DZ44" i="3" s="1"/>
  <c r="EA44" i="3" s="1"/>
  <c r="DQ44" i="3"/>
  <c r="DR44" i="3" s="1"/>
  <c r="BU44" i="3"/>
  <c r="BO44" i="3"/>
  <c r="BI44" i="3"/>
  <c r="BC44" i="3"/>
  <c r="AW44" i="3"/>
  <c r="AQ44" i="3" a="1"/>
  <c r="AQ44" i="3" s="1"/>
  <c r="AK44" i="3"/>
  <c r="AE44" i="3"/>
  <c r="Y44" i="3"/>
  <c r="S44" i="3"/>
  <c r="L44" i="3"/>
  <c r="N44" i="3" s="1"/>
  <c r="F44" i="3"/>
  <c r="EO44" i="3"/>
  <c r="EP44" i="3" s="1"/>
  <c r="CS44" i="3"/>
  <c r="CJ44" i="3" a="1"/>
  <c r="CJ44" i="3" s="1"/>
  <c r="BZ44" i="3"/>
  <c r="CB44" i="3" s="1"/>
  <c r="BR44" i="3" a="1"/>
  <c r="BR44" i="3" s="1"/>
  <c r="BH44" i="3"/>
  <c r="BJ44" i="3" s="1"/>
  <c r="AY44" i="3"/>
  <c r="BA44" i="3" s="1"/>
  <c r="AP44" i="3"/>
  <c r="AG44" i="3"/>
  <c r="AI44" i="3" s="1"/>
  <c r="X44" i="3"/>
  <c r="Z44" i="3" s="1"/>
  <c r="O44" i="3"/>
  <c r="DT44" i="3" a="1"/>
  <c r="DT44" i="3" s="1"/>
  <c r="DU44" i="3" s="1"/>
  <c r="CM44" i="3"/>
  <c r="CD44" i="3" a="1"/>
  <c r="CD44" i="3" s="1"/>
  <c r="BT44" i="3"/>
  <c r="BV44" i="3" s="1"/>
  <c r="BK44" i="3"/>
  <c r="BM44" i="3" s="1"/>
  <c r="BB44" i="3"/>
  <c r="BD44" i="3" s="1"/>
  <c r="AS44" i="3"/>
  <c r="AU44" i="3" s="1"/>
  <c r="AJ44" i="3"/>
  <c r="AL44" i="3" s="1"/>
  <c r="AA44" i="3"/>
  <c r="AC44" i="3" s="1"/>
  <c r="I44" i="3"/>
  <c r="EL44" i="3" a="1"/>
  <c r="EL44" i="3" s="1"/>
  <c r="EM44" i="3" s="1"/>
  <c r="CY44" i="3"/>
  <c r="BX44" i="3" a="1"/>
  <c r="BX44" i="3" s="1"/>
  <c r="BY44" i="3" s="1"/>
  <c r="U44" i="3"/>
  <c r="G44" i="3"/>
  <c r="DB44" i="3" a="1"/>
  <c r="DB44" i="3" s="1"/>
  <c r="CO44" i="3"/>
  <c r="CQ44" i="3" s="1"/>
  <c r="V44" i="3" a="1"/>
  <c r="V44" i="3" s="1"/>
  <c r="J44" i="3" a="1"/>
  <c r="J44" i="3" s="1"/>
  <c r="BF44" i="3" a="1"/>
  <c r="BF44" i="3" s="1"/>
  <c r="I36" i="3"/>
  <c r="S36" i="3"/>
  <c r="X36" i="3"/>
  <c r="AN36" i="3" a="1"/>
  <c r="AN36" i="3" s="1"/>
  <c r="AW36" i="3"/>
  <c r="AX36" i="3" s="1"/>
  <c r="BB36" i="3"/>
  <c r="BD36" i="3" s="1"/>
  <c r="BR36" i="3" a="1"/>
  <c r="BR36" i="3" s="1"/>
  <c r="FD36" i="3" s="1"/>
  <c r="BW36" i="3"/>
  <c r="BY36" i="3" s="1"/>
  <c r="CG36" i="3"/>
  <c r="CH36" i="3" s="1"/>
  <c r="CL36" i="3"/>
  <c r="CN36" i="3" s="1"/>
  <c r="DB36" i="3" a="1"/>
  <c r="DB36" i="3" s="1"/>
  <c r="DC36" i="3" s="1"/>
  <c r="DW36" i="3"/>
  <c r="DX36" i="3" s="1"/>
  <c r="EF39" i="3" a="1"/>
  <c r="EF39" i="3" s="1"/>
  <c r="EG39" i="3" s="1"/>
  <c r="DQ39" i="3"/>
  <c r="DR39" i="3" s="1"/>
  <c r="CR39" i="3"/>
  <c r="CT39" i="3" s="1"/>
  <c r="CM39" i="3"/>
  <c r="CN39" i="3" s="1"/>
  <c r="CC39" i="3"/>
  <c r="BX39" i="3" a="1"/>
  <c r="BX39" i="3" s="1"/>
  <c r="BY39" i="3" s="1"/>
  <c r="BH39" i="3"/>
  <c r="BJ39" i="3" s="1"/>
  <c r="BC39" i="3"/>
  <c r="AS39" i="3"/>
  <c r="AU39" i="3" s="1"/>
  <c r="AD39" i="3"/>
  <c r="Y39" i="3"/>
  <c r="FA39" i="3" s="1"/>
  <c r="O39" i="3"/>
  <c r="Q39" i="3" s="1"/>
  <c r="J39" i="3" a="1"/>
  <c r="J39" i="3" s="1"/>
  <c r="EU39" i="3"/>
  <c r="EV39" i="3" s="1"/>
  <c r="DZ39" i="3" a="1"/>
  <c r="DZ39" i="3" s="1"/>
  <c r="EA39" i="3" s="1"/>
  <c r="DK39" i="3"/>
  <c r="DL39" i="3" s="1"/>
  <c r="CX39" i="3"/>
  <c r="CZ39" i="3" s="1"/>
  <c r="CS39" i="3"/>
  <c r="CI39" i="3"/>
  <c r="CK39" i="3" s="1"/>
  <c r="CD39" i="3" a="1"/>
  <c r="CD39" i="3" s="1"/>
  <c r="BN39" i="3"/>
  <c r="BP39" i="3" s="1"/>
  <c r="BI39" i="3"/>
  <c r="AY39" i="3"/>
  <c r="BA39" i="3" s="1"/>
  <c r="AT39" i="3" a="1"/>
  <c r="AT39" i="3" s="1"/>
  <c r="AJ39" i="3"/>
  <c r="AL39" i="3" s="1"/>
  <c r="AE39" i="3"/>
  <c r="U39" i="3"/>
  <c r="W39" i="3" s="1"/>
  <c r="P39" i="3" a="1"/>
  <c r="P39" i="3" s="1"/>
  <c r="I39" i="3"/>
  <c r="X39" i="3"/>
  <c r="Z39" i="3" s="1"/>
  <c r="AG39" i="3"/>
  <c r="AI39" i="3" s="1"/>
  <c r="AN39" i="3" a="1"/>
  <c r="AN39" i="3" s="1"/>
  <c r="AO39" i="3" s="1"/>
  <c r="BB39" i="3"/>
  <c r="BD39" i="3" s="1"/>
  <c r="BK39" i="3"/>
  <c r="BM39" i="3" s="1"/>
  <c r="BR39" i="3" a="1"/>
  <c r="BR39" i="3" s="1"/>
  <c r="BZ39" i="3"/>
  <c r="CB39" i="3" s="1"/>
  <c r="CG39" i="3"/>
  <c r="CH39" i="3" s="1"/>
  <c r="CP39" i="3" a="1"/>
  <c r="CP39" i="3" s="1"/>
  <c r="CQ39" i="3" s="1"/>
  <c r="EL39" i="3" a="1"/>
  <c r="EL39" i="3" s="1"/>
  <c r="EM39" i="3" s="1"/>
  <c r="EX39" i="3" a="1"/>
  <c r="EX39" i="3" s="1"/>
  <c r="EY39" i="3" s="1"/>
  <c r="BA43" i="3"/>
  <c r="BY43" i="3"/>
  <c r="P44" i="3" a="1"/>
  <c r="P44" i="3" s="1"/>
  <c r="AN44" i="3" a="1"/>
  <c r="AN44" i="3" s="1"/>
  <c r="BE44" i="3"/>
  <c r="BG44" i="3" s="1"/>
  <c r="CC44" i="3"/>
  <c r="CE44" i="3" s="1"/>
  <c r="CU44" i="3"/>
  <c r="EX44" i="3" a="1"/>
  <c r="EX44" i="3" s="1"/>
  <c r="EY44" i="3" s="1"/>
  <c r="BG43" i="3"/>
  <c r="Q43" i="3"/>
  <c r="BS43" i="3"/>
  <c r="DC43" i="3"/>
  <c r="T46" i="3"/>
  <c r="AU46" i="3"/>
  <c r="EO42" i="3"/>
  <c r="EP42" i="3" s="1"/>
  <c r="DT42" i="3" a="1"/>
  <c r="DT42" i="3" s="1"/>
  <c r="DU42" i="3" s="1"/>
  <c r="DE42" i="3"/>
  <c r="DF42" i="3" s="1"/>
  <c r="CY42" i="3"/>
  <c r="CO42" i="3"/>
  <c r="CQ42" i="3" s="1"/>
  <c r="I42" i="3"/>
  <c r="S42" i="3"/>
  <c r="X42" i="3"/>
  <c r="AN42" i="3" a="1"/>
  <c r="AN42" i="3" s="1"/>
  <c r="AO42" i="3" s="1"/>
  <c r="AW42" i="3"/>
  <c r="AX42" i="3" s="1"/>
  <c r="BB42" i="3"/>
  <c r="BD42" i="3" s="1"/>
  <c r="BR42" i="3" a="1"/>
  <c r="BR42" i="3" s="1"/>
  <c r="BS42" i="3" s="1"/>
  <c r="BW42" i="3"/>
  <c r="BY42" i="3" s="1"/>
  <c r="CG42" i="3"/>
  <c r="CH42" i="3" s="1"/>
  <c r="CL42" i="3"/>
  <c r="CN42" i="3" s="1"/>
  <c r="CR42" i="3"/>
  <c r="CT42" i="3" s="1"/>
  <c r="CX42" i="3"/>
  <c r="CZ42" i="3" s="1"/>
  <c r="DW42" i="3"/>
  <c r="DX42" i="3" s="1"/>
  <c r="EF42" i="3" a="1"/>
  <c r="EF42" i="3" s="1"/>
  <c r="EG42" i="3" s="1"/>
  <c r="EX42" i="3" a="1"/>
  <c r="EX42" i="3" s="1"/>
  <c r="EY42" i="3" s="1"/>
  <c r="AR43" i="3"/>
  <c r="CE43" i="3"/>
  <c r="Q46" i="3"/>
  <c r="BA46" i="3"/>
  <c r="BG46" i="3"/>
  <c r="W46" i="3"/>
  <c r="CW46" i="3"/>
  <c r="EU43" i="3"/>
  <c r="EV43" i="3" s="1"/>
  <c r="DZ43" i="3" a="1"/>
  <c r="DZ43" i="3" s="1"/>
  <c r="EA43" i="3" s="1"/>
  <c r="DK43" i="3"/>
  <c r="DL43" i="3" s="1"/>
  <c r="CX43" i="3"/>
  <c r="CZ43" i="3" s="1"/>
  <c r="CS43" i="3"/>
  <c r="CT43" i="3" s="1"/>
  <c r="CI43" i="3"/>
  <c r="CK43" i="3" s="1"/>
  <c r="CD43" i="3" a="1"/>
  <c r="CD43" i="3" s="1"/>
  <c r="BN43" i="3"/>
  <c r="BP43" i="3" s="1"/>
  <c r="I43" i="3"/>
  <c r="S43" i="3"/>
  <c r="T43" i="3" s="1"/>
  <c r="X43" i="3"/>
  <c r="Z43" i="3" s="1"/>
  <c r="AN43" i="3" a="1"/>
  <c r="AN43" i="3" s="1"/>
  <c r="AO43" i="3" s="1"/>
  <c r="AW43" i="3"/>
  <c r="AX43" i="3" s="1"/>
  <c r="BB43" i="3"/>
  <c r="BD43" i="3" s="1"/>
  <c r="DE43" i="3"/>
  <c r="DF43" i="3" s="1"/>
  <c r="DN43" i="3" a="1"/>
  <c r="DN43" i="3" s="1"/>
  <c r="DO43" i="3" s="1"/>
  <c r="AC46" i="3"/>
  <c r="AR46" i="3"/>
  <c r="CB46" i="3"/>
  <c r="CQ46" i="3"/>
  <c r="EX46" i="3" a="1"/>
  <c r="EX46" i="3" s="1"/>
  <c r="EY46" i="3" s="1"/>
  <c r="J47" i="3" a="1"/>
  <c r="J47" i="3" s="1"/>
  <c r="O47" i="3"/>
  <c r="Y47" i="3"/>
  <c r="AD47" i="3"/>
  <c r="AF47" i="3" s="1"/>
  <c r="AS47" i="3"/>
  <c r="AU47" i="3" s="1"/>
  <c r="BC47" i="3"/>
  <c r="BH47" i="3"/>
  <c r="BX47" i="3" a="1"/>
  <c r="BX47" i="3" s="1"/>
  <c r="CC47" i="3"/>
  <c r="CM47" i="3"/>
  <c r="CR47" i="3"/>
  <c r="CT47" i="3" s="1"/>
  <c r="DQ47" i="3"/>
  <c r="DR47" i="3" s="1"/>
  <c r="EF47" i="3" a="1"/>
  <c r="EF47" i="3" s="1"/>
  <c r="EG47" i="3" s="1"/>
  <c r="P47" i="3" a="1"/>
  <c r="P47" i="3" s="1"/>
  <c r="U47" i="3"/>
  <c r="W47" i="3" s="1"/>
  <c r="AE47" i="3"/>
  <c r="AJ47" i="3"/>
  <c r="AL47" i="3" s="1"/>
  <c r="AT47" i="3" a="1"/>
  <c r="AT47" i="3" s="1"/>
  <c r="AY47" i="3"/>
  <c r="BI47" i="3"/>
  <c r="BN47" i="3"/>
  <c r="BP47" i="3" s="1"/>
  <c r="CD47" i="3" a="1"/>
  <c r="CD47" i="3" s="1"/>
  <c r="CI47" i="3"/>
  <c r="CK47" i="3" s="1"/>
  <c r="CS47" i="3"/>
  <c r="CX47" i="3"/>
  <c r="DK47" i="3"/>
  <c r="DL47" i="3" s="1"/>
  <c r="DZ47" i="3" a="1"/>
  <c r="DZ47" i="3" s="1"/>
  <c r="EA47" i="3" s="1"/>
  <c r="EU47" i="3"/>
  <c r="EV47" i="3" s="1"/>
  <c r="I46" i="3"/>
  <c r="S46" i="3"/>
  <c r="X46" i="3"/>
  <c r="Z46" i="3" s="1"/>
  <c r="AN46" i="3" a="1"/>
  <c r="AN46" i="3" s="1"/>
  <c r="AO46" i="3" s="1"/>
  <c r="AW46" i="3"/>
  <c r="AX46" i="3" s="1"/>
  <c r="BB46" i="3"/>
  <c r="BD46" i="3" s="1"/>
  <c r="BR46" i="3" a="1"/>
  <c r="BR46" i="3" s="1"/>
  <c r="FD46" i="3" s="1"/>
  <c r="BW46" i="3"/>
  <c r="BY46" i="3" s="1"/>
  <c r="CG46" i="3"/>
  <c r="CH46" i="3" s="1"/>
  <c r="CL46" i="3"/>
  <c r="CN46" i="3" s="1"/>
  <c r="DB46" i="3" a="1"/>
  <c r="DB46" i="3" s="1"/>
  <c r="DC46" i="3" s="1"/>
  <c r="DW46" i="3"/>
  <c r="DX46" i="3" s="1"/>
  <c r="F47" i="3"/>
  <c r="V47" i="3" a="1"/>
  <c r="V47" i="3" s="1"/>
  <c r="AA47" i="3"/>
  <c r="AK47" i="3"/>
  <c r="AP47" i="3"/>
  <c r="AR47" i="3" s="1"/>
  <c r="AZ47" i="3" a="1"/>
  <c r="AZ47" i="3" s="1"/>
  <c r="BE47" i="3"/>
  <c r="BG47" i="3" s="1"/>
  <c r="BO47" i="3"/>
  <c r="BT47" i="3"/>
  <c r="CJ47" i="3" a="1"/>
  <c r="CJ47" i="3" s="1"/>
  <c r="CO47" i="3"/>
  <c r="CY47" i="3"/>
  <c r="DE47" i="3"/>
  <c r="DF47" i="3" s="1"/>
  <c r="DT47" i="3" a="1"/>
  <c r="DT47" i="3" s="1"/>
  <c r="DU47" i="3" s="1"/>
  <c r="EO47" i="3"/>
  <c r="EP47" i="3" s="1"/>
  <c r="G47" i="3"/>
  <c r="L47" i="3"/>
  <c r="AB47" i="3" a="1"/>
  <c r="AB47" i="3" s="1"/>
  <c r="AG47" i="3"/>
  <c r="AI47" i="3" s="1"/>
  <c r="AQ47" i="3" a="1"/>
  <c r="AQ47" i="3" s="1"/>
  <c r="BF47" i="3" a="1"/>
  <c r="BF47" i="3" s="1"/>
  <c r="BK47" i="3"/>
  <c r="BU47" i="3"/>
  <c r="BZ47" i="3"/>
  <c r="CP47" i="3" a="1"/>
  <c r="CP47" i="3" s="1"/>
  <c r="CU47" i="3"/>
  <c r="CW47" i="3" s="1"/>
  <c r="DN47" i="3" a="1"/>
  <c r="DN47" i="3" s="1"/>
  <c r="DO47" i="3" s="1"/>
  <c r="EI47" i="3"/>
  <c r="EJ47" i="3" s="1"/>
  <c r="EX47" i="3" a="1"/>
  <c r="EX47" i="3" s="1"/>
  <c r="EY47" i="3" s="1"/>
  <c r="M47" i="3"/>
  <c r="R47" i="3"/>
  <c r="T47" i="3" s="1"/>
  <c r="AH47" i="3" a="1"/>
  <c r="AH47" i="3" s="1"/>
  <c r="AM47" i="3"/>
  <c r="AV47" i="3"/>
  <c r="BL47" i="3" a="1"/>
  <c r="BL47" i="3" s="1"/>
  <c r="BQ47" i="3"/>
  <c r="BS47" i="3" s="1"/>
  <c r="CA47" i="3"/>
  <c r="CF47" i="3"/>
  <c r="CV47" i="3" a="1"/>
  <c r="CV47" i="3" s="1"/>
  <c r="DA47" i="3"/>
  <c r="DH47" i="3" a="1"/>
  <c r="DH47" i="3" s="1"/>
  <c r="DI47" i="3" s="1"/>
  <c r="EC47" i="3"/>
  <c r="ED47" i="3" s="1"/>
  <c r="ER47" i="3" a="1"/>
  <c r="ER47" i="3" s="1"/>
  <c r="ES47" i="3" s="1"/>
  <c r="I47" i="3"/>
  <c r="S47" i="3"/>
  <c r="X47" i="3"/>
  <c r="AN47" i="3" a="1"/>
  <c r="AN47" i="3" s="1"/>
  <c r="AW47" i="3"/>
  <c r="BB47" i="3"/>
  <c r="BD47" i="3" s="1"/>
  <c r="BR47" i="3" a="1"/>
  <c r="BR47" i="3" s="1"/>
  <c r="BW47" i="3"/>
  <c r="CG47" i="3"/>
  <c r="CL47" i="3"/>
  <c r="DB47" i="3" a="1"/>
  <c r="DB47" i="3" s="1"/>
  <c r="DW47" i="3"/>
  <c r="DX47" i="3" s="1"/>
  <c r="AN45" i="1" l="1"/>
  <c r="AO45" i="1" s="1"/>
  <c r="AP45" i="1" s="1"/>
  <c r="W45" i="1"/>
  <c r="V45" i="1"/>
  <c r="AZ41" i="1"/>
  <c r="BA41" i="1" s="1"/>
  <c r="BB41" i="1" s="1"/>
  <c r="AB41" i="1"/>
  <c r="AA41" i="1"/>
  <c r="AN34" i="1"/>
  <c r="AO34" i="1" s="1"/>
  <c r="AP34" i="1" s="1"/>
  <c r="V34" i="1"/>
  <c r="W34" i="1"/>
  <c r="AA34" i="1"/>
  <c r="AB34" i="1"/>
  <c r="AZ34" i="1"/>
  <c r="BA34" i="1" s="1"/>
  <c r="BB34" i="1" s="1"/>
  <c r="W18" i="1"/>
  <c r="AN18" i="1"/>
  <c r="AO18" i="1" s="1"/>
  <c r="AP18" i="1" s="1"/>
  <c r="V18" i="1"/>
  <c r="AN37" i="1"/>
  <c r="AO37" i="1" s="1"/>
  <c r="AP37" i="1" s="1"/>
  <c r="W37" i="1"/>
  <c r="V37" i="1"/>
  <c r="W33" i="1"/>
  <c r="AN33" i="1"/>
  <c r="AO33" i="1" s="1"/>
  <c r="AP33" i="1" s="1"/>
  <c r="V33" i="1"/>
  <c r="AZ19" i="1"/>
  <c r="BA19" i="1" s="1"/>
  <c r="BB19" i="1" s="1"/>
  <c r="AB19" i="1"/>
  <c r="AA19" i="1"/>
  <c r="AZ44" i="1"/>
  <c r="BA44" i="1" s="1"/>
  <c r="BB44" i="1" s="1"/>
  <c r="AB44" i="1"/>
  <c r="AA44" i="1"/>
  <c r="AZ7" i="1"/>
  <c r="BA7" i="1" s="1"/>
  <c r="BB7" i="1" s="1"/>
  <c r="AB7" i="1"/>
  <c r="AA7" i="1"/>
  <c r="AA28" i="1"/>
  <c r="AZ28" i="1"/>
  <c r="BA28" i="1" s="1"/>
  <c r="BB28" i="1" s="1"/>
  <c r="AB28" i="1"/>
  <c r="AB12" i="1"/>
  <c r="AA12" i="1"/>
  <c r="AZ12" i="1"/>
  <c r="BA12" i="1" s="1"/>
  <c r="BB12" i="1" s="1"/>
  <c r="W31" i="1"/>
  <c r="AN31" i="1"/>
  <c r="AO31" i="1" s="1"/>
  <c r="AP31" i="1" s="1"/>
  <c r="V31" i="1"/>
  <c r="AV48" i="1"/>
  <c r="AW48" i="1" s="1"/>
  <c r="AX48" i="1" s="1"/>
  <c r="AW5" i="1"/>
  <c r="AX5" i="1" s="1"/>
  <c r="AC48" i="1"/>
  <c r="AZ39" i="1"/>
  <c r="BA39" i="1" s="1"/>
  <c r="BB39" i="1" s="1"/>
  <c r="AA39" i="1"/>
  <c r="AB39" i="1"/>
  <c r="V39" i="1"/>
  <c r="AN39" i="1"/>
  <c r="AO39" i="1" s="1"/>
  <c r="AP39" i="1" s="1"/>
  <c r="W39" i="1"/>
  <c r="V30" i="1"/>
  <c r="W30" i="1"/>
  <c r="AN30" i="1"/>
  <c r="AO30" i="1" s="1"/>
  <c r="AP30" i="1" s="1"/>
  <c r="AZ27" i="1"/>
  <c r="BA27" i="1" s="1"/>
  <c r="BB27" i="1" s="1"/>
  <c r="AA27" i="1"/>
  <c r="AB27" i="1"/>
  <c r="V43" i="1"/>
  <c r="AN43" i="1"/>
  <c r="AO43" i="1" s="1"/>
  <c r="AP43" i="1" s="1"/>
  <c r="W43" i="1"/>
  <c r="AA30" i="1"/>
  <c r="AZ30" i="1"/>
  <c r="BA30" i="1" s="1"/>
  <c r="BB30" i="1" s="1"/>
  <c r="AB30" i="1"/>
  <c r="AA23" i="1"/>
  <c r="AB23" i="1"/>
  <c r="AZ23" i="1"/>
  <c r="BA23" i="1" s="1"/>
  <c r="BB23" i="1" s="1"/>
  <c r="AB43" i="1"/>
  <c r="AA43" i="1"/>
  <c r="AZ43" i="1"/>
  <c r="BA43" i="1" s="1"/>
  <c r="BB43" i="1" s="1"/>
  <c r="AA26" i="1"/>
  <c r="AZ26" i="1"/>
  <c r="BA26" i="1" s="1"/>
  <c r="BB26" i="1" s="1"/>
  <c r="AB26" i="1"/>
  <c r="AB17" i="1"/>
  <c r="AZ17" i="1"/>
  <c r="BA17" i="1" s="1"/>
  <c r="BB17" i="1" s="1"/>
  <c r="AA17" i="1"/>
  <c r="W15" i="1"/>
  <c r="AN15" i="1"/>
  <c r="AO15" i="1" s="1"/>
  <c r="AP15" i="1" s="1"/>
  <c r="V15" i="1"/>
  <c r="AB13" i="1"/>
  <c r="AZ13" i="1"/>
  <c r="BA13" i="1" s="1"/>
  <c r="BB13" i="1" s="1"/>
  <c r="AA13" i="1"/>
  <c r="AZ14" i="1"/>
  <c r="BA14" i="1" s="1"/>
  <c r="BB14" i="1" s="1"/>
  <c r="AA14" i="1"/>
  <c r="AB14" i="1"/>
  <c r="W11" i="1"/>
  <c r="AN11" i="1"/>
  <c r="AO11" i="1" s="1"/>
  <c r="AP11" i="1" s="1"/>
  <c r="V11" i="1"/>
  <c r="P48" i="1"/>
  <c r="W17" i="1"/>
  <c r="AN17" i="1"/>
  <c r="AO17" i="1" s="1"/>
  <c r="AP17" i="1" s="1"/>
  <c r="V17" i="1"/>
  <c r="AN12" i="1"/>
  <c r="AO12" i="1" s="1"/>
  <c r="AP12" i="1" s="1"/>
  <c r="W12" i="1"/>
  <c r="V12" i="1"/>
  <c r="AA10" i="1"/>
  <c r="AB10" i="1"/>
  <c r="AZ10" i="1"/>
  <c r="BA10" i="1" s="1"/>
  <c r="BB10" i="1" s="1"/>
  <c r="AZ6" i="1"/>
  <c r="BA6" i="1" s="1"/>
  <c r="BB6" i="1" s="1"/>
  <c r="AB6" i="1"/>
  <c r="AA6" i="1"/>
  <c r="T48" i="1"/>
  <c r="S48" i="1"/>
  <c r="W40" i="1"/>
  <c r="AN40" i="1"/>
  <c r="AO40" i="1" s="1"/>
  <c r="AP40" i="1" s="1"/>
  <c r="V40" i="1"/>
  <c r="AN36" i="1"/>
  <c r="AO36" i="1" s="1"/>
  <c r="AP36" i="1" s="1"/>
  <c r="W36" i="1"/>
  <c r="V36" i="1"/>
  <c r="AA29" i="1"/>
  <c r="AB29" i="1"/>
  <c r="AZ29" i="1"/>
  <c r="BA29" i="1" s="1"/>
  <c r="BB29" i="1" s="1"/>
  <c r="W26" i="1"/>
  <c r="AN26" i="1"/>
  <c r="AO26" i="1" s="1"/>
  <c r="AP26" i="1" s="1"/>
  <c r="V26" i="1"/>
  <c r="W35" i="1"/>
  <c r="AN35" i="1"/>
  <c r="AO35" i="1" s="1"/>
  <c r="AP35" i="1" s="1"/>
  <c r="V35" i="1"/>
  <c r="AA36" i="1"/>
  <c r="AZ36" i="1"/>
  <c r="BA36" i="1" s="1"/>
  <c r="BB36" i="1" s="1"/>
  <c r="AB36" i="1"/>
  <c r="AZ24" i="1"/>
  <c r="BA24" i="1" s="1"/>
  <c r="BB24" i="1" s="1"/>
  <c r="AA24" i="1"/>
  <c r="AB24" i="1"/>
  <c r="V23" i="1"/>
  <c r="AN23" i="1"/>
  <c r="AO23" i="1" s="1"/>
  <c r="AP23" i="1" s="1"/>
  <c r="W23" i="1"/>
  <c r="W22" i="1"/>
  <c r="V22" i="1"/>
  <c r="AN22" i="1"/>
  <c r="AO22" i="1" s="1"/>
  <c r="AP22" i="1" s="1"/>
  <c r="W24" i="1"/>
  <c r="AN24" i="1"/>
  <c r="AO24" i="1" s="1"/>
  <c r="AP24" i="1" s="1"/>
  <c r="V24" i="1"/>
  <c r="W20" i="1"/>
  <c r="AN20" i="1"/>
  <c r="AO20" i="1" s="1"/>
  <c r="AP20" i="1" s="1"/>
  <c r="V20" i="1"/>
  <c r="W6" i="1"/>
  <c r="V6" i="1"/>
  <c r="AN6" i="1"/>
  <c r="AO6" i="1" s="1"/>
  <c r="AP6" i="1" s="1"/>
  <c r="AA32" i="1"/>
  <c r="AZ32" i="1"/>
  <c r="BA32" i="1" s="1"/>
  <c r="BB32" i="1" s="1"/>
  <c r="AB32" i="1"/>
  <c r="AB9" i="1"/>
  <c r="AA9" i="1"/>
  <c r="AZ9" i="1"/>
  <c r="BA9" i="1" s="1"/>
  <c r="BB9" i="1" s="1"/>
  <c r="AG48" i="1"/>
  <c r="AH48" i="1" s="1"/>
  <c r="AA37" i="1"/>
  <c r="AB37" i="1"/>
  <c r="AZ37" i="1"/>
  <c r="BA37" i="1" s="1"/>
  <c r="BB37" i="1" s="1"/>
  <c r="AZ18" i="1"/>
  <c r="BA18" i="1" s="1"/>
  <c r="BB18" i="1" s="1"/>
  <c r="AB18" i="1"/>
  <c r="AA18" i="1"/>
  <c r="AA16" i="1"/>
  <c r="AB16" i="1"/>
  <c r="AZ16" i="1"/>
  <c r="BA16" i="1" s="1"/>
  <c r="BB16" i="1" s="1"/>
  <c r="AN47" i="1"/>
  <c r="AO47" i="1" s="1"/>
  <c r="AP47" i="1" s="1"/>
  <c r="V47" i="1"/>
  <c r="W47" i="1"/>
  <c r="W42" i="1"/>
  <c r="AN42" i="1"/>
  <c r="AO42" i="1" s="1"/>
  <c r="AP42" i="1" s="1"/>
  <c r="V42" i="1"/>
  <c r="AB33" i="1"/>
  <c r="AA33" i="1"/>
  <c r="AZ33" i="1"/>
  <c r="BA33" i="1" s="1"/>
  <c r="BB33" i="1" s="1"/>
  <c r="AZ31" i="1"/>
  <c r="BA31" i="1" s="1"/>
  <c r="BB31" i="1" s="1"/>
  <c r="AB31" i="1"/>
  <c r="AA31" i="1"/>
  <c r="AZ47" i="1"/>
  <c r="BA47" i="1" s="1"/>
  <c r="BB47" i="1" s="1"/>
  <c r="AB47" i="1"/>
  <c r="AA47" i="1"/>
  <c r="J48" i="1"/>
  <c r="K48" i="1"/>
  <c r="AA8" i="1"/>
  <c r="AB8" i="1"/>
  <c r="AZ8" i="1"/>
  <c r="BA8" i="1" s="1"/>
  <c r="BB8" i="1" s="1"/>
  <c r="V10" i="1"/>
  <c r="AN10" i="1"/>
  <c r="AO10" i="1" s="1"/>
  <c r="AP10" i="1" s="1"/>
  <c r="W10" i="1"/>
  <c r="N48" i="1"/>
  <c r="Q48" i="1"/>
  <c r="AN8" i="1"/>
  <c r="AO8" i="1" s="1"/>
  <c r="AP8" i="1" s="1"/>
  <c r="V8" i="1"/>
  <c r="W8" i="1"/>
  <c r="AD48" i="1"/>
  <c r="AZ40" i="1"/>
  <c r="BA40" i="1" s="1"/>
  <c r="BB40" i="1" s="1"/>
  <c r="AA40" i="1"/>
  <c r="AB40" i="1"/>
  <c r="V38" i="1"/>
  <c r="W38" i="1"/>
  <c r="AN38" i="1"/>
  <c r="AO38" i="1" s="1"/>
  <c r="AP38" i="1" s="1"/>
  <c r="AN46" i="1"/>
  <c r="AO46" i="1" s="1"/>
  <c r="AP46" i="1" s="1"/>
  <c r="V46" i="1"/>
  <c r="W46" i="1"/>
  <c r="W44" i="1"/>
  <c r="V44" i="1"/>
  <c r="AN44" i="1"/>
  <c r="AO44" i="1" s="1"/>
  <c r="AP44" i="1" s="1"/>
  <c r="AA35" i="1"/>
  <c r="AB35" i="1"/>
  <c r="AZ35" i="1"/>
  <c r="BA35" i="1" s="1"/>
  <c r="BB35" i="1" s="1"/>
  <c r="W32" i="1"/>
  <c r="V32" i="1"/>
  <c r="AN32" i="1"/>
  <c r="AO32" i="1" s="1"/>
  <c r="AP32" i="1" s="1"/>
  <c r="W29" i="1"/>
  <c r="V29" i="1"/>
  <c r="AN29" i="1"/>
  <c r="AO29" i="1" s="1"/>
  <c r="AP29" i="1" s="1"/>
  <c r="W25" i="1"/>
  <c r="V25" i="1"/>
  <c r="AN25" i="1"/>
  <c r="AO25" i="1" s="1"/>
  <c r="AP25" i="1" s="1"/>
  <c r="AB22" i="1"/>
  <c r="AA22" i="1"/>
  <c r="AZ22" i="1"/>
  <c r="BA22" i="1" s="1"/>
  <c r="BB22" i="1" s="1"/>
  <c r="AA38" i="1"/>
  <c r="AB38" i="1"/>
  <c r="AZ38" i="1"/>
  <c r="BA38" i="1" s="1"/>
  <c r="BB38" i="1" s="1"/>
  <c r="W27" i="1"/>
  <c r="AN27" i="1"/>
  <c r="AO27" i="1" s="1"/>
  <c r="AP27" i="1" s="1"/>
  <c r="V27" i="1"/>
  <c r="W19" i="1"/>
  <c r="AN19" i="1"/>
  <c r="AO19" i="1" s="1"/>
  <c r="AP19" i="1" s="1"/>
  <c r="V19" i="1"/>
  <c r="W16" i="1"/>
  <c r="AN16" i="1"/>
  <c r="AO16" i="1" s="1"/>
  <c r="AP16" i="1" s="1"/>
  <c r="V16" i="1"/>
  <c r="W14" i="1"/>
  <c r="V14" i="1"/>
  <c r="AN14" i="1"/>
  <c r="AO14" i="1" s="1"/>
  <c r="AP14" i="1" s="1"/>
  <c r="AN41" i="1"/>
  <c r="AO41" i="1" s="1"/>
  <c r="AP41" i="1" s="1"/>
  <c r="V41" i="1"/>
  <c r="W41" i="1"/>
  <c r="AN21" i="1"/>
  <c r="AO21" i="1" s="1"/>
  <c r="AP21" i="1" s="1"/>
  <c r="W21" i="1"/>
  <c r="V21" i="1"/>
  <c r="U48" i="1"/>
  <c r="W5" i="1"/>
  <c r="V5" i="1"/>
  <c r="AN5" i="1"/>
  <c r="W9" i="1"/>
  <c r="AN9" i="1"/>
  <c r="AO9" i="1" s="1"/>
  <c r="AP9" i="1" s="1"/>
  <c r="V9" i="1"/>
  <c r="Z48" i="1"/>
  <c r="AZ5" i="1"/>
  <c r="BA5" i="1" s="1"/>
  <c r="BB5" i="1" s="1"/>
  <c r="AB5" i="1"/>
  <c r="AA5" i="1"/>
  <c r="AR48" i="1"/>
  <c r="AS48" i="1" s="1"/>
  <c r="AT48" i="1" s="1"/>
  <c r="AS5" i="1"/>
  <c r="AT5" i="1" s="1"/>
  <c r="AZ46" i="1"/>
  <c r="BA46" i="1" s="1"/>
  <c r="BB46" i="1" s="1"/>
  <c r="AB46" i="1"/>
  <c r="AA46" i="1"/>
  <c r="AA42" i="1"/>
  <c r="AZ42" i="1"/>
  <c r="BA42" i="1" s="1"/>
  <c r="BB42" i="1" s="1"/>
  <c r="AB42" i="1"/>
  <c r="AN28" i="1"/>
  <c r="AO28" i="1" s="1"/>
  <c r="AP28" i="1" s="1"/>
  <c r="V28" i="1"/>
  <c r="W28" i="1"/>
  <c r="AZ45" i="1"/>
  <c r="BA45" i="1" s="1"/>
  <c r="BB45" i="1" s="1"/>
  <c r="AA45" i="1"/>
  <c r="AB45" i="1"/>
  <c r="AZ25" i="1"/>
  <c r="BA25" i="1" s="1"/>
  <c r="BB25" i="1" s="1"/>
  <c r="AA25" i="1"/>
  <c r="AB25" i="1"/>
  <c r="BN48" i="1"/>
  <c r="AA21" i="1"/>
  <c r="AB21" i="1"/>
  <c r="AZ21" i="1"/>
  <c r="BA21" i="1" s="1"/>
  <c r="BB21" i="1" s="1"/>
  <c r="AA20" i="1"/>
  <c r="AZ20" i="1"/>
  <c r="BA20" i="1" s="1"/>
  <c r="BB20" i="1" s="1"/>
  <c r="AB20" i="1"/>
  <c r="AB15" i="1"/>
  <c r="AZ15" i="1"/>
  <c r="BA15" i="1" s="1"/>
  <c r="BB15" i="1" s="1"/>
  <c r="AA15" i="1"/>
  <c r="W13" i="1"/>
  <c r="V13" i="1"/>
  <c r="AN13" i="1"/>
  <c r="AO13" i="1" s="1"/>
  <c r="AP13" i="1" s="1"/>
  <c r="AJ48" i="1"/>
  <c r="AK48" i="1" s="1"/>
  <c r="AL48" i="1" s="1"/>
  <c r="AK5" i="1"/>
  <c r="AL5" i="1" s="1"/>
  <c r="W7" i="1"/>
  <c r="AN7" i="1"/>
  <c r="AO7" i="1" s="1"/>
  <c r="AP7" i="1" s="1"/>
  <c r="V7" i="1"/>
  <c r="AA11" i="1"/>
  <c r="AB11" i="1"/>
  <c r="AZ11" i="1"/>
  <c r="BA11" i="1" s="1"/>
  <c r="BB11" i="1" s="1"/>
  <c r="BQ48" i="1"/>
  <c r="X48" i="1"/>
  <c r="Y48" i="1" s="1"/>
  <c r="Y5" i="1"/>
  <c r="BJ48" i="3"/>
  <c r="CZ48" i="3"/>
  <c r="AO44" i="3"/>
  <c r="K45" i="3"/>
  <c r="FC45" i="3"/>
  <c r="FD33" i="3"/>
  <c r="CB47" i="3"/>
  <c r="FA46" i="3"/>
  <c r="T36" i="3"/>
  <c r="FA36" i="3"/>
  <c r="H40" i="3"/>
  <c r="EZ40" i="3"/>
  <c r="CN47" i="3"/>
  <c r="FC43" i="3"/>
  <c r="K43" i="3"/>
  <c r="BV38" i="3"/>
  <c r="Q40" i="3"/>
  <c r="W37" i="3"/>
  <c r="CB37" i="3"/>
  <c r="AV48" i="3"/>
  <c r="AX48" i="3" s="1"/>
  <c r="AO31" i="3"/>
  <c r="Z47" i="3"/>
  <c r="AX47" i="3"/>
  <c r="BM47" i="3"/>
  <c r="BS46" i="3"/>
  <c r="FC44" i="3"/>
  <c r="FE44" i="3" s="1"/>
  <c r="K44" i="3"/>
  <c r="BG40" i="3"/>
  <c r="AI38" i="3"/>
  <c r="FA34" i="3"/>
  <c r="BS45" i="3"/>
  <c r="EZ45" i="3"/>
  <c r="FB45" i="3" s="1"/>
  <c r="H45" i="3"/>
  <c r="AL45" i="3"/>
  <c r="N40" i="3"/>
  <c r="CZ33" i="3"/>
  <c r="FD29" i="3"/>
  <c r="CN37" i="3"/>
  <c r="FD35" i="3"/>
  <c r="BS19" i="3"/>
  <c r="CH15" i="3"/>
  <c r="FC38" i="3"/>
  <c r="FE38" i="3" s="1"/>
  <c r="CH35" i="3"/>
  <c r="H35" i="3"/>
  <c r="EZ35" i="3"/>
  <c r="FB35" i="3" s="1"/>
  <c r="BM35" i="3"/>
  <c r="AR26" i="3"/>
  <c r="FC13" i="3"/>
  <c r="K13" i="3"/>
  <c r="FC11" i="3"/>
  <c r="FE11" i="3" s="1"/>
  <c r="K11" i="3"/>
  <c r="K9" i="3"/>
  <c r="FC9" i="3"/>
  <c r="BR48" i="3"/>
  <c r="BS5" i="3"/>
  <c r="FC47" i="3"/>
  <c r="K47" i="3"/>
  <c r="CH47" i="3"/>
  <c r="FA42" i="3"/>
  <c r="T42" i="3"/>
  <c r="FA43" i="3"/>
  <c r="AF39" i="3"/>
  <c r="W44" i="3"/>
  <c r="BA41" i="3"/>
  <c r="Q41" i="3"/>
  <c r="AC38" i="3"/>
  <c r="DC34" i="3"/>
  <c r="AX34" i="3"/>
  <c r="BS30" i="3"/>
  <c r="FA30" i="3"/>
  <c r="T28" i="3"/>
  <c r="BY45" i="3"/>
  <c r="N45" i="3"/>
  <c r="AX45" i="3"/>
  <c r="BA45" i="3"/>
  <c r="CZ45" i="3"/>
  <c r="AI40" i="3"/>
  <c r="FC34" i="3"/>
  <c r="K34" i="3"/>
  <c r="W33" i="3"/>
  <c r="BP33" i="3"/>
  <c r="FD37" i="3"/>
  <c r="AX37" i="3"/>
  <c r="CE37" i="3"/>
  <c r="BS36" i="3"/>
  <c r="FA33" i="3"/>
  <c r="CZ26" i="3"/>
  <c r="AO21" i="3"/>
  <c r="DC19" i="3"/>
  <c r="AX19" i="3"/>
  <c r="DA48" i="3"/>
  <c r="FD43" i="3"/>
  <c r="BS31" i="3"/>
  <c r="BY31" i="3"/>
  <c r="N31" i="3"/>
  <c r="FD30" i="3"/>
  <c r="CB35" i="3"/>
  <c r="BV35" i="3"/>
  <c r="EZ38" i="3"/>
  <c r="FB38" i="3" s="1"/>
  <c r="N35" i="3"/>
  <c r="CT31" i="3"/>
  <c r="FA26" i="3"/>
  <c r="BM26" i="3"/>
  <c r="H26" i="3"/>
  <c r="EZ26" i="3"/>
  <c r="FB26" i="3" s="1"/>
  <c r="DB48" i="3"/>
  <c r="DC5" i="3"/>
  <c r="AW48" i="3"/>
  <c r="AX5" i="3"/>
  <c r="AM48" i="3"/>
  <c r="AO48" i="3" s="1"/>
  <c r="BM24" i="3"/>
  <c r="CW20" i="3"/>
  <c r="FD10" i="3"/>
  <c r="BD8" i="3"/>
  <c r="EZ12" i="3"/>
  <c r="FB12" i="3" s="1"/>
  <c r="H12" i="3"/>
  <c r="BG12" i="3"/>
  <c r="AL12" i="3"/>
  <c r="CK12" i="3"/>
  <c r="EZ11" i="3"/>
  <c r="N16" i="3"/>
  <c r="W14" i="3"/>
  <c r="BP14" i="3"/>
  <c r="DH48" i="3"/>
  <c r="DI48" i="3" s="1"/>
  <c r="EZ23" i="3"/>
  <c r="FC29" i="3"/>
  <c r="Z27" i="3"/>
  <c r="AF27" i="3"/>
  <c r="CW27" i="3"/>
  <c r="CH24" i="3"/>
  <c r="FC22" i="3"/>
  <c r="BV16" i="3"/>
  <c r="BA16" i="3"/>
  <c r="CZ16" i="3"/>
  <c r="FA25" i="3"/>
  <c r="K20" i="3"/>
  <c r="FC20" i="3"/>
  <c r="BM16" i="3"/>
  <c r="CE27" i="3"/>
  <c r="Q20" i="3"/>
  <c r="AO16" i="3"/>
  <c r="CQ8" i="3"/>
  <c r="W8" i="3"/>
  <c r="BP8" i="3"/>
  <c r="CV48" i="3"/>
  <c r="AX6" i="3"/>
  <c r="FA10" i="3"/>
  <c r="CT8" i="3"/>
  <c r="CI48" i="3"/>
  <c r="CK48" i="3" s="1"/>
  <c r="FC14" i="3"/>
  <c r="DE48" i="3"/>
  <c r="DF48" i="3" s="1"/>
  <c r="P48" i="3"/>
  <c r="Q48" i="3" s="1"/>
  <c r="CN6" i="3"/>
  <c r="BJ6" i="3"/>
  <c r="W6" i="3"/>
  <c r="FD7" i="3"/>
  <c r="H47" i="3"/>
  <c r="EZ47" i="3"/>
  <c r="FB47" i="3" s="1"/>
  <c r="FC37" i="3"/>
  <c r="K37" i="3"/>
  <c r="BD37" i="3"/>
  <c r="EZ37" i="3"/>
  <c r="FB37" i="3" s="1"/>
  <c r="H37" i="3"/>
  <c r="FD26" i="3"/>
  <c r="CF48" i="3"/>
  <c r="H31" i="3"/>
  <c r="EZ31" i="3"/>
  <c r="K33" i="3"/>
  <c r="AI31" i="3"/>
  <c r="H38" i="3"/>
  <c r="CL48" i="3"/>
  <c r="CN48" i="3" s="1"/>
  <c r="CN5" i="3"/>
  <c r="AN48" i="3"/>
  <c r="AO5" i="3"/>
  <c r="R48" i="3"/>
  <c r="T48" i="3" s="1"/>
  <c r="H10" i="3"/>
  <c r="EZ10" i="3"/>
  <c r="FB10" i="3" s="1"/>
  <c r="EZ9" i="3"/>
  <c r="FB9" i="3" s="1"/>
  <c r="AE48" i="3"/>
  <c r="Z29" i="3"/>
  <c r="K29" i="3"/>
  <c r="AC27" i="3"/>
  <c r="CW24" i="3"/>
  <c r="FC18" i="3"/>
  <c r="FE18" i="3" s="1"/>
  <c r="BM28" i="3"/>
  <c r="K24" i="3"/>
  <c r="FC24" i="3"/>
  <c r="FE24" i="3" s="1"/>
  <c r="FD13" i="3"/>
  <c r="FD8" i="3"/>
  <c r="EX48" i="3"/>
  <c r="EY48" i="3" s="1"/>
  <c r="AG48" i="3"/>
  <c r="AI48" i="3" s="1"/>
  <c r="FD12" i="3"/>
  <c r="CC48" i="3"/>
  <c r="CE48" i="3" s="1"/>
  <c r="FA9" i="3"/>
  <c r="FA13" i="3"/>
  <c r="AL22" i="3"/>
  <c r="EZ15" i="3"/>
  <c r="K6" i="3"/>
  <c r="FC6" i="3"/>
  <c r="FE6" i="3" s="1"/>
  <c r="BS6" i="3"/>
  <c r="CQ6" i="3"/>
  <c r="FA11" i="3"/>
  <c r="FC12" i="3"/>
  <c r="FE12" i="3" s="1"/>
  <c r="FC40" i="3"/>
  <c r="FE40" i="3" s="1"/>
  <c r="K40" i="3"/>
  <c r="W45" i="3"/>
  <c r="K25" i="3"/>
  <c r="FC25" i="3"/>
  <c r="FE25" i="3" s="1"/>
  <c r="N28" i="3"/>
  <c r="FD34" i="3"/>
  <c r="FD22" i="3"/>
  <c r="BQ48" i="3"/>
  <c r="BS48" i="3" s="1"/>
  <c r="EZ39" i="3"/>
  <c r="FB39" i="3" s="1"/>
  <c r="FD31" i="3"/>
  <c r="AR35" i="3"/>
  <c r="CQ35" i="3"/>
  <c r="EZ32" i="3"/>
  <c r="FB32" i="3" s="1"/>
  <c r="T31" i="3"/>
  <c r="CB26" i="3"/>
  <c r="AC26" i="3"/>
  <c r="BV26" i="3"/>
  <c r="CH26" i="3"/>
  <c r="FC19" i="3"/>
  <c r="K19" i="3"/>
  <c r="CG48" i="3"/>
  <c r="CH5" i="3"/>
  <c r="X48" i="3"/>
  <c r="Z48" i="3" s="1"/>
  <c r="Z5" i="3"/>
  <c r="K26" i="3"/>
  <c r="FD18" i="3"/>
  <c r="AY48" i="3"/>
  <c r="BA48" i="3" s="1"/>
  <c r="AC12" i="3"/>
  <c r="Z10" i="3"/>
  <c r="EZ14" i="3"/>
  <c r="H14" i="3"/>
  <c r="BG14" i="3"/>
  <c r="BE48" i="3"/>
  <c r="BG48" i="3" s="1"/>
  <c r="AF18" i="3"/>
  <c r="DC24" i="3"/>
  <c r="T24" i="3"/>
  <c r="FD20" i="3"/>
  <c r="BY24" i="3"/>
  <c r="BD20" i="3"/>
  <c r="AX27" i="3"/>
  <c r="CN24" i="3"/>
  <c r="N21" i="3"/>
  <c r="Q16" i="3"/>
  <c r="H8" i="3"/>
  <c r="EZ8" i="3"/>
  <c r="FB8" i="3" s="1"/>
  <c r="EZ7" i="3"/>
  <c r="FB7" i="3" s="1"/>
  <c r="EO48" i="3"/>
  <c r="EP48" i="3" s="1"/>
  <c r="CO48" i="3"/>
  <c r="CQ48" i="3" s="1"/>
  <c r="CE20" i="3"/>
  <c r="N14" i="3"/>
  <c r="T6" i="3"/>
  <c r="FD17" i="3"/>
  <c r="EF48" i="3"/>
  <c r="EG48" i="3" s="1"/>
  <c r="FD5" i="3"/>
  <c r="ER48" i="3"/>
  <c r="ES48" i="3" s="1"/>
  <c r="F48" i="3"/>
  <c r="FA6" i="3"/>
  <c r="BA6" i="3"/>
  <c r="FA23" i="3"/>
  <c r="FA7" i="3"/>
  <c r="FD44" i="3"/>
  <c r="H44" i="3"/>
  <c r="EZ44" i="3"/>
  <c r="FB44" i="3" s="1"/>
  <c r="AX44" i="3"/>
  <c r="FC30" i="3"/>
  <c r="FE30" i="3" s="1"/>
  <c r="K30" i="3"/>
  <c r="FD39" i="3"/>
  <c r="FC36" i="3"/>
  <c r="FE36" i="3" s="1"/>
  <c r="K36" i="3"/>
  <c r="EZ41" i="3"/>
  <c r="FB41" i="3" s="1"/>
  <c r="H41" i="3"/>
  <c r="FA45" i="3"/>
  <c r="BJ40" i="3"/>
  <c r="EZ43" i="3"/>
  <c r="FB43" i="3" s="1"/>
  <c r="EZ22" i="3"/>
  <c r="FB22" i="3" s="1"/>
  <c r="H22" i="3"/>
  <c r="AC31" i="3"/>
  <c r="AX35" i="3"/>
  <c r="K31" i="3"/>
  <c r="FC31" i="3"/>
  <c r="FC41" i="3"/>
  <c r="FE41" i="3" s="1"/>
  <c r="CN26" i="3"/>
  <c r="FC21" i="3"/>
  <c r="K21" i="3"/>
  <c r="K17" i="3"/>
  <c r="FC17" i="3"/>
  <c r="BW48" i="3"/>
  <c r="BY48" i="3" s="1"/>
  <c r="BY5" i="3"/>
  <c r="S48" i="3"/>
  <c r="T5" i="3"/>
  <c r="FC33" i="3"/>
  <c r="FE33" i="3" s="1"/>
  <c r="FC26" i="3"/>
  <c r="FE26" i="3" s="1"/>
  <c r="FA20" i="3"/>
  <c r="EZ18" i="3"/>
  <c r="FB18" i="3" s="1"/>
  <c r="H18" i="3"/>
  <c r="FA16" i="3"/>
  <c r="CU48" i="3"/>
  <c r="CW48" i="3" s="1"/>
  <c r="Q24" i="3"/>
  <c r="BD27" i="3"/>
  <c r="EZ13" i="3"/>
  <c r="FB13" i="3" s="1"/>
  <c r="DC27" i="3"/>
  <c r="FA27" i="3"/>
  <c r="AR27" i="3"/>
  <c r="CQ27" i="3"/>
  <c r="Z24" i="3"/>
  <c r="CQ24" i="3"/>
  <c r="H20" i="3"/>
  <c r="EZ20" i="3"/>
  <c r="FD16" i="3"/>
  <c r="FD19" i="3"/>
  <c r="AU20" i="3"/>
  <c r="L48" i="3"/>
  <c r="N48" i="3" s="1"/>
  <c r="AO25" i="3"/>
  <c r="EZ5" i="3"/>
  <c r="BK48" i="3"/>
  <c r="BM48" i="3" s="1"/>
  <c r="CB12" i="3"/>
  <c r="J48" i="3"/>
  <c r="EZ19" i="3"/>
  <c r="FB19" i="3" s="1"/>
  <c r="AI6" i="3"/>
  <c r="BY6" i="3"/>
  <c r="CH6" i="3"/>
  <c r="H6" i="3"/>
  <c r="EZ6" i="3"/>
  <c r="FB6" i="3" s="1"/>
  <c r="FC42" i="3"/>
  <c r="FE42" i="3" s="1"/>
  <c r="K42" i="3"/>
  <c r="FD42" i="3"/>
  <c r="BP41" i="3"/>
  <c r="N47" i="3"/>
  <c r="CE47" i="3"/>
  <c r="CE41" i="3"/>
  <c r="EZ46" i="3"/>
  <c r="FA40" i="3"/>
  <c r="K8" i="3"/>
  <c r="FC8" i="3"/>
  <c r="AX12" i="3"/>
  <c r="AR12" i="3"/>
  <c r="W12" i="3"/>
  <c r="EU48" i="3"/>
  <c r="EV48" i="3" s="1"/>
  <c r="BV14" i="3"/>
  <c r="BA14" i="3"/>
  <c r="CZ14" i="3"/>
  <c r="BJ10" i="3"/>
  <c r="BS27" i="3"/>
  <c r="AF24" i="3"/>
  <c r="H16" i="3"/>
  <c r="EZ16" i="3"/>
  <c r="FB16" i="3" s="1"/>
  <c r="BG16" i="3"/>
  <c r="AL16" i="3"/>
  <c r="CK16" i="3"/>
  <c r="AO24" i="3"/>
  <c r="CB16" i="3"/>
  <c r="Z16" i="3"/>
  <c r="AO20" i="3"/>
  <c r="BJ16" i="3"/>
  <c r="CT12" i="3"/>
  <c r="BA8" i="3"/>
  <c r="CZ8" i="3"/>
  <c r="DT48" i="3"/>
  <c r="DU48" i="3" s="1"/>
  <c r="BT48" i="3"/>
  <c r="BV48" i="3" s="1"/>
  <c r="FD14" i="3"/>
  <c r="FD11" i="3"/>
  <c r="FD21" i="3"/>
  <c r="EI48" i="3"/>
  <c r="EJ48" i="3" s="1"/>
  <c r="G48" i="3"/>
  <c r="AO6" i="3"/>
  <c r="CR48" i="3"/>
  <c r="CT48" i="3" s="1"/>
  <c r="EL48" i="3"/>
  <c r="EM48" i="3" s="1"/>
  <c r="FD9" i="3"/>
  <c r="FC46" i="3"/>
  <c r="FE46" i="3" s="1"/>
  <c r="K46" i="3"/>
  <c r="EZ36" i="3"/>
  <c r="Z36" i="3"/>
  <c r="BG41" i="3"/>
  <c r="K32" i="3"/>
  <c r="FC32" i="3"/>
  <c r="FE32" i="3" s="1"/>
  <c r="Q44" i="3"/>
  <c r="FD45" i="3"/>
  <c r="EZ33" i="3"/>
  <c r="FB33" i="3" s="1"/>
  <c r="H33" i="3"/>
  <c r="FC23" i="3"/>
  <c r="FE23" i="3" s="1"/>
  <c r="K23" i="3"/>
  <c r="CQ47" i="3"/>
  <c r="BD45" i="3"/>
  <c r="CQ45" i="3"/>
  <c r="K28" i="3"/>
  <c r="FC28" i="3"/>
  <c r="FE28" i="3" s="1"/>
  <c r="BJ37" i="3"/>
  <c r="EZ30" i="3"/>
  <c r="EZ25" i="3"/>
  <c r="FB25" i="3" s="1"/>
  <c r="DC47" i="3"/>
  <c r="FA47" i="3"/>
  <c r="Q47" i="3"/>
  <c r="CW44" i="3"/>
  <c r="BS44" i="3"/>
  <c r="CZ41" i="3"/>
  <c r="CZ38" i="3"/>
  <c r="CK45" i="3"/>
  <c r="BA33" i="3"/>
  <c r="FA19" i="3"/>
  <c r="T17" i="3"/>
  <c r="M48" i="3"/>
  <c r="AU31" i="3"/>
  <c r="EZ34" i="3"/>
  <c r="FB34" i="3" s="1"/>
  <c r="FA35" i="3"/>
  <c r="BD35" i="3"/>
  <c r="BG35" i="3"/>
  <c r="DC26" i="3"/>
  <c r="FC15" i="3"/>
  <c r="FE15" i="3" s="1"/>
  <c r="K15" i="3"/>
  <c r="FC7" i="3"/>
  <c r="FE7" i="3" s="1"/>
  <c r="K7" i="3"/>
  <c r="I48" i="3"/>
  <c r="K5" i="3"/>
  <c r="FC5" i="3"/>
  <c r="EZ28" i="3"/>
  <c r="FB28" i="3" s="1"/>
  <c r="BP12" i="3"/>
  <c r="BY47" i="3"/>
  <c r="AO47" i="3"/>
  <c r="BV47" i="3"/>
  <c r="AC47" i="3"/>
  <c r="CZ47" i="3"/>
  <c r="BA47" i="3"/>
  <c r="BJ47" i="3"/>
  <c r="FD47" i="3"/>
  <c r="Z42" i="3"/>
  <c r="EZ42" i="3"/>
  <c r="FB42" i="3" s="1"/>
  <c r="K39" i="3"/>
  <c r="FC39" i="3"/>
  <c r="CE39" i="3"/>
  <c r="FA44" i="3"/>
  <c r="AR44" i="3"/>
  <c r="CZ44" i="3"/>
  <c r="T44" i="3"/>
  <c r="FD41" i="3"/>
  <c r="BJ41" i="3"/>
  <c r="CQ38" i="3"/>
  <c r="CW38" i="3"/>
  <c r="BS32" i="3"/>
  <c r="T30" i="3"/>
  <c r="CH28" i="3"/>
  <c r="AO45" i="3"/>
  <c r="Q45" i="3"/>
  <c r="BJ45" i="3"/>
  <c r="AR45" i="3"/>
  <c r="BM45" i="3"/>
  <c r="AF40" i="3"/>
  <c r="AX40" i="3"/>
  <c r="DC40" i="3"/>
  <c r="CB40" i="3"/>
  <c r="EZ29" i="3"/>
  <c r="FB29" i="3" s="1"/>
  <c r="H29" i="3"/>
  <c r="AL29" i="3"/>
  <c r="CK29" i="3"/>
  <c r="DC37" i="3"/>
  <c r="AO37" i="3"/>
  <c r="CW37" i="3"/>
  <c r="CK37" i="3"/>
  <c r="BM31" i="3"/>
  <c r="BS17" i="3"/>
  <c r="EC48" i="3"/>
  <c r="ED48" i="3" s="1"/>
  <c r="BJ31" i="3"/>
  <c r="FA31" i="3"/>
  <c r="CQ31" i="3"/>
  <c r="W31" i="3"/>
  <c r="BP31" i="3"/>
  <c r="Z31" i="3"/>
  <c r="CN35" i="3"/>
  <c r="Q35" i="3"/>
  <c r="CZ35" i="3"/>
  <c r="AO35" i="3"/>
  <c r="W35" i="3"/>
  <c r="BJ35" i="3"/>
  <c r="N34" i="3"/>
  <c r="BD31" i="3"/>
  <c r="Z35" i="3"/>
  <c r="DW48" i="3"/>
  <c r="DX48" i="3" s="1"/>
  <c r="DX5" i="3"/>
  <c r="BB48" i="3"/>
  <c r="BD48" i="3" s="1"/>
  <c r="BD5" i="3"/>
  <c r="K27" i="3"/>
  <c r="FC27" i="3"/>
  <c r="FE27" i="3" s="1"/>
  <c r="CE24" i="3"/>
  <c r="BA18" i="3"/>
  <c r="CZ18" i="3"/>
  <c r="W10" i="3"/>
  <c r="FC10" i="3"/>
  <c r="FE10" i="3" s="1"/>
  <c r="BP10" i="3"/>
  <c r="BM8" i="3"/>
  <c r="BZ48" i="3"/>
  <c r="CB48" i="3" s="1"/>
  <c r="EZ21" i="3"/>
  <c r="FB21" i="3" s="1"/>
  <c r="FC35" i="3"/>
  <c r="FE35" i="3" s="1"/>
  <c r="AI24" i="3"/>
  <c r="N27" i="3"/>
  <c r="FD27" i="3"/>
  <c r="Q27" i="3"/>
  <c r="CN27" i="3"/>
  <c r="H27" i="3"/>
  <c r="EZ27" i="3"/>
  <c r="FB27" i="3" s="1"/>
  <c r="BG27" i="3"/>
  <c r="AL27" i="3"/>
  <c r="CK27" i="3"/>
  <c r="CZ24" i="3"/>
  <c r="FA24" i="3"/>
  <c r="AL24" i="3"/>
  <c r="H24" i="3"/>
  <c r="EZ24" i="3"/>
  <c r="BG24" i="3"/>
  <c r="BV20" i="3"/>
  <c r="BA20" i="3"/>
  <c r="CZ20" i="3"/>
  <c r="AX16" i="3"/>
  <c r="FD24" i="3"/>
  <c r="CB20" i="3"/>
  <c r="Z20" i="3"/>
  <c r="K16" i="3"/>
  <c r="FC16" i="3"/>
  <c r="FE16" i="3" s="1"/>
  <c r="CT27" i="3"/>
  <c r="AU24" i="3"/>
  <c r="CH20" i="3"/>
  <c r="AF20" i="3"/>
  <c r="AU16" i="3"/>
  <c r="FA14" i="3"/>
  <c r="CE12" i="3"/>
  <c r="DK48" i="3"/>
  <c r="DL48" i="3" s="1"/>
  <c r="BN48" i="3"/>
  <c r="BP48" i="3" s="1"/>
  <c r="CE16" i="3"/>
  <c r="K12" i="3"/>
  <c r="DN48" i="3"/>
  <c r="DO48" i="3" s="1"/>
  <c r="AD48" i="3"/>
  <c r="AF48" i="3" s="1"/>
  <c r="FD15" i="3"/>
  <c r="FA15" i="3"/>
  <c r="DQ48" i="3"/>
  <c r="DR48" i="3" s="1"/>
  <c r="AA48" i="3"/>
  <c r="AC48" i="3" s="1"/>
  <c r="AU6" i="3"/>
  <c r="CZ6" i="3"/>
  <c r="AJ48" i="3"/>
  <c r="AL48" i="3" s="1"/>
  <c r="DZ48" i="3"/>
  <c r="EA48" i="3" s="1"/>
  <c r="FA5" i="3"/>
  <c r="AN48" i="1" l="1"/>
  <c r="AO48" i="1" s="1"/>
  <c r="AP48" i="1" s="1"/>
  <c r="AO5" i="1"/>
  <c r="AP5" i="1" s="1"/>
  <c r="AA48" i="1"/>
  <c r="AZ48" i="1"/>
  <c r="BA48" i="1" s="1"/>
  <c r="BB48" i="1" s="1"/>
  <c r="AB48" i="1"/>
  <c r="V48" i="1"/>
  <c r="W48" i="1"/>
  <c r="FE37" i="3"/>
  <c r="FB30" i="3"/>
  <c r="FE8" i="3"/>
  <c r="FE17" i="3"/>
  <c r="H48" i="3"/>
  <c r="FB46" i="3"/>
  <c r="FE21" i="3"/>
  <c r="FB15" i="3"/>
  <c r="FB31" i="3"/>
  <c r="FE20" i="3"/>
  <c r="FE22" i="3"/>
  <c r="FB23" i="3"/>
  <c r="FE9" i="3"/>
  <c r="FE45" i="3"/>
  <c r="FC48" i="3"/>
  <c r="FE48" i="3" s="1"/>
  <c r="FE5" i="3"/>
  <c r="FB36" i="3"/>
  <c r="CH48" i="3"/>
  <c r="FA48" i="3"/>
  <c r="K48" i="3"/>
  <c r="FE31" i="3"/>
  <c r="FE47" i="3"/>
  <c r="FE43" i="3"/>
  <c r="FE19" i="3"/>
  <c r="DC48" i="3"/>
  <c r="FB24" i="3"/>
  <c r="FE39" i="3"/>
  <c r="EZ48" i="3"/>
  <c r="FB48" i="3" s="1"/>
  <c r="FB5" i="3"/>
  <c r="FB20" i="3"/>
  <c r="FD48" i="3"/>
  <c r="FB14" i="3"/>
  <c r="FE14" i="3"/>
  <c r="FE29" i="3"/>
  <c r="FB11" i="3"/>
  <c r="FE34" i="3"/>
  <c r="FE13" i="3"/>
  <c r="FB4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<sst xmlns="http://schemas.openxmlformats.org/spreadsheetml/2006/main" count="438" uniqueCount="153">
  <si>
    <t>DATA SALES ON AUGUST</t>
  </si>
  <si>
    <t>TOTAL DATE</t>
  </si>
  <si>
    <t>TO DATE</t>
  </si>
  <si>
    <t>TIME GONE</t>
  </si>
  <si>
    <t>TARGET JULY</t>
  </si>
  <si>
    <t>ACHIEVEMENT</t>
  </si>
  <si>
    <t>ESTIMASI ACHIEVEMENT</t>
  </si>
  <si>
    <t>DAILY TARGET</t>
  </si>
  <si>
    <t>IQOO</t>
  </si>
  <si>
    <t>GROWTH</t>
  </si>
  <si>
    <t>VAS</t>
  </si>
  <si>
    <t>ACC</t>
  </si>
  <si>
    <t>QOALA</t>
  </si>
  <si>
    <t>BCA INSURANCE</t>
  </si>
  <si>
    <t>INDOSAT</t>
  </si>
  <si>
    <t>TELKOMSEL</t>
  </si>
  <si>
    <t>NO</t>
  </si>
  <si>
    <t>AREA</t>
  </si>
  <si>
    <t>ID Store</t>
  </si>
  <si>
    <t>NAMA TOKO</t>
  </si>
  <si>
    <t>Headstore</t>
  </si>
  <si>
    <t>JML PC</t>
  </si>
  <si>
    <t>ALL TYPE</t>
  </si>
  <si>
    <t>ESTIMATE</t>
  </si>
  <si>
    <t>3MIO+</t>
  </si>
  <si>
    <t>VALUE</t>
  </si>
  <si>
    <t>ASP</t>
  </si>
  <si>
    <t>TARGET
ACC</t>
  </si>
  <si>
    <t>ACH</t>
  </si>
  <si>
    <t>%</t>
  </si>
  <si>
    <t>TARGET
QOALA</t>
  </si>
  <si>
    <t>TARGET
BCA INS</t>
  </si>
  <si>
    <t>TARGET
INDOSAT</t>
  </si>
  <si>
    <t>TARGET
TELKOM</t>
  </si>
  <si>
    <t>GAP</t>
  </si>
  <si>
    <t>Y31 &amp; Y500</t>
  </si>
  <si>
    <t>3MIO+
IN ALL TYPE</t>
  </si>
  <si>
    <t>JULY</t>
  </si>
  <si>
    <t>AUGUST</t>
  </si>
  <si>
    <t>JU</t>
  </si>
  <si>
    <t>601 雅加达西北 JKT BU</t>
  </si>
  <si>
    <t>6010708-MVS SHOWROOM CENTRAL PARK</t>
  </si>
  <si>
    <t>NANDI FEBRIANA</t>
  </si>
  <si>
    <t>6010701-MVS ROXY SHOWROOM 21</t>
  </si>
  <si>
    <t>ANGGARIA</t>
  </si>
  <si>
    <t>6010702-ME ROXY PAMERAN TIMUR</t>
  </si>
  <si>
    <t>6010703-VIVO STORE WINSHOP</t>
  </si>
  <si>
    <t>NUR IRAWATI</t>
  </si>
  <si>
    <t>A100303-PAMERAN UTARA</t>
  </si>
  <si>
    <t>A100304-PAMERAN SELATAN</t>
  </si>
  <si>
    <t>6020711-vivostore emporium</t>
  </si>
  <si>
    <t>M KHOIRUDIN</t>
  </si>
  <si>
    <t>6010711-LIPPO MALL PURI 1FK02</t>
  </si>
  <si>
    <t>HERRU ILYASA</t>
  </si>
  <si>
    <t>6020706-MVS CEMPAKA SHOWROOM 2 (454)</t>
  </si>
  <si>
    <t>NOVIA HARYANTI</t>
  </si>
  <si>
    <t>6020704-MVS CEMPAKA SHOWROOM 14 (8TOKO)</t>
  </si>
  <si>
    <t>604 雅加达东南 JKT TS</t>
  </si>
  <si>
    <t>A200402-ITC-VIVO STORE 1</t>
  </si>
  <si>
    <t>Erlangga Pradita</t>
  </si>
  <si>
    <t>6080712-MVS ITC DEPOK VIVO STORE 2</t>
  </si>
  <si>
    <t>6040702-TRAN STUDIO MALL 2F059</t>
  </si>
  <si>
    <t>6040703-SAWANGAN 1F1-0320</t>
  </si>
  <si>
    <t>605 勿加泗 BEKASI</t>
  </si>
  <si>
    <t>6050701-MVS X6 DS0824</t>
  </si>
  <si>
    <t>M RIZKI</t>
  </si>
  <si>
    <t>6220701-MVS MBH-VIP VIVO STORE-DD284</t>
  </si>
  <si>
    <t>6050705-MBH 2F009</t>
  </si>
  <si>
    <t>6050706-AEON MALL DELTAMAS 1F081</t>
  </si>
  <si>
    <t>618 茂物 BOGOR</t>
  </si>
  <si>
    <t>6180706-MVS MALL CCM</t>
  </si>
  <si>
    <t>DANDI SURYA</t>
  </si>
  <si>
    <t>6180707-SC BTM</t>
  </si>
  <si>
    <t>624-万丹BANTEN</t>
  </si>
  <si>
    <t>6170707-LG BLOK D NO. 01D SKY 7</t>
  </si>
  <si>
    <t>ARIES FITRIYANTO</t>
  </si>
  <si>
    <t>A200902-LG BLOK B NO. 01B SKY M3</t>
  </si>
  <si>
    <t>6240704-TANGCITY LG017 WEST LOBBY</t>
  </si>
  <si>
    <t>A200803-LG BLOK A-B NO. 12 SKY 5</t>
  </si>
  <si>
    <t>DHANI EKO NUGROHO</t>
  </si>
  <si>
    <t>A200802-CHARLES</t>
  </si>
  <si>
    <t>6240703-TANGCITY LG009 CENTER</t>
  </si>
  <si>
    <t>6170703-4004 MVS-BNT-CCM STORE</t>
  </si>
  <si>
    <t>DWI IRAWAN ( PIC )</t>
  </si>
  <si>
    <t>6240705-CIPUTRA 2FC15</t>
  </si>
  <si>
    <t>6240709-ITC BSD 1F49-50</t>
  </si>
  <si>
    <t>6240708-ITC BSD 1F09-14</t>
  </si>
  <si>
    <t>6240707-SUPERMALL UGN3A</t>
  </si>
  <si>
    <t>ADE RIVALDI L</t>
  </si>
  <si>
    <t>6240706-SUPERMALL LGC3A</t>
  </si>
  <si>
    <t>619-万隆市区BDG KOTA</t>
  </si>
  <si>
    <t>6190701-VIVO STORE UG</t>
  </si>
  <si>
    <t>EKO PURWANTO</t>
  </si>
  <si>
    <t>A300102-VIVO STORE 4 BEC</t>
  </si>
  <si>
    <t>A300105-VIVO STORE LG F20</t>
  </si>
  <si>
    <t>A300201-VIVO STORE 1 BEC</t>
  </si>
  <si>
    <t>NENG TOTOH</t>
  </si>
  <si>
    <t>A300202-VIVO STORE LU</t>
  </si>
  <si>
    <t>6190708-BEC SC LGAA07</t>
  </si>
  <si>
    <t>615-中爪哇东SOLO</t>
  </si>
  <si>
    <t>6150702-GRANMALL SC GF-11</t>
  </si>
  <si>
    <t>BIRILYAN KUSWARA</t>
  </si>
  <si>
    <t>中爪哇西 - Purwokerto</t>
  </si>
  <si>
    <t>6130702-RITA SUPERMALL SF36-37</t>
  </si>
  <si>
    <t>FRISKA FAJAR</t>
  </si>
  <si>
    <t>614 三宝垄 Semarang</t>
  </si>
  <si>
    <t>6100702-VS Jogja City Mall</t>
  </si>
  <si>
    <t>6140706-23 SEMARANG MALL 1F065-66</t>
  </si>
  <si>
    <t>VICKY DINDA INEZ</t>
  </si>
  <si>
    <t>6140705-QUEENCITY 2F027</t>
  </si>
  <si>
    <t>EDI SUSANTO</t>
  </si>
  <si>
    <t>TOTAL</t>
  </si>
  <si>
    <t>HEADSTORE</t>
  </si>
  <si>
    <t>ID STORE</t>
  </si>
  <si>
    <t>SALES QTY &amp; VALUE PER TYPE - PERBANDINGAN AGUSTUS vs JULI (LINKED FROM PIVOT)</t>
  </si>
  <si>
    <t>Helper: Y11d(3mio&gt;) col idx</t>
  </si>
  <si>
    <t>Sheet Bulan Lalu (Pembanding):</t>
  </si>
  <si>
    <t>Sales per type juli</t>
  </si>
  <si>
    <t>3mio&lt;</t>
  </si>
  <si>
    <t>3mio&gt;</t>
  </si>
  <si>
    <t>3mio&lt; (Juli only)</t>
  </si>
  <si>
    <t>3mio&gt; (Juli only)</t>
  </si>
  <si>
    <t>Y05</t>
  </si>
  <si>
    <t>Y11d</t>
  </si>
  <si>
    <t>Watch GT 2</t>
  </si>
  <si>
    <t>Y05e</t>
  </si>
  <si>
    <t>V70</t>
  </si>
  <si>
    <t>Y31d Pro</t>
  </si>
  <si>
    <t>Y11d (3mio&gt;)</t>
  </si>
  <si>
    <t>Y31d (v1)</t>
  </si>
  <si>
    <t>V70 FE</t>
  </si>
  <si>
    <t>Y31d (v2)</t>
  </si>
  <si>
    <t>Y500</t>
  </si>
  <si>
    <t>IQOO 15R</t>
  </si>
  <si>
    <t>V60 Lite</t>
  </si>
  <si>
    <t>X300 Ultra</t>
  </si>
  <si>
    <t>IQOO 15</t>
  </si>
  <si>
    <t>IQOO Z11x</t>
  </si>
  <si>
    <t>IQOO Z11</t>
  </si>
  <si>
    <t>WATCH 3</t>
  </si>
  <si>
    <t>X300 Demo</t>
  </si>
  <si>
    <t>X300 Pro Demo</t>
  </si>
  <si>
    <t>X Fold5 DEMO</t>
  </si>
  <si>
    <t>X Fold5</t>
  </si>
  <si>
    <t>IQOO 15 Demo</t>
  </si>
  <si>
    <t>X300 PRO</t>
  </si>
  <si>
    <t>X300</t>
  </si>
  <si>
    <t>Qty Agustus</t>
  </si>
  <si>
    <t>Qty Juli</t>
  </si>
  <si>
    <t>Selisih Qty</t>
  </si>
  <si>
    <t>Value Agustus</t>
  </si>
  <si>
    <t>Value Juli</t>
  </si>
  <si>
    <t>Selisih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</si>
</sst>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3809]dd\ mmmm\ yyyy;@"/>
    <numFmt numFmtId="165" formatCode="0_ "/>
    <numFmt numFmtId="166" formatCode="#,##0.0_);[Red]\(#,##0.0\)"/>
    <numFmt numFmtId="167" formatCode="#,##0;\(#,##0\);\-"/>
  </numFmts>
  <fonts count="15" x14ac:knownFonts="1">
    <font>
      <sz val="12"/>
      <color theme="1"/>
      <name val="Aptos Narrow"/>
      <charset val="134"/>
      <scheme val="minor"/>
    </font>
    <font>
      <b/>
      <sz val="11"/>
      <color theme="1"/>
      <name val="Calibri"/>
      <family val="2"/>
    </font>
    <font>
      <b/>
      <sz val="10"/>
      <color rgb="FFFFFFFF"/>
      <name val="Arial"/>
      <family val="2"/>
    </font>
    <font>
      <sz val="12"/>
      <color theme="1"/>
      <name val="Aptos Narrow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theme="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DCE6F1"/>
        <bgColor indexed="64"/>
      </patternFill>
    </fill>
  </fills>
  <borders count="47">
    <border>
      <left/>
      <right/>
      <top/>
      <bottom/>
      <diagonal/>
    </border>
    <border>
      <left style="medium">
        <color rgb="FF404040"/>
      </left>
      <right style="thin">
        <color rgb="FFECECEC"/>
      </right>
      <top style="medium">
        <color rgb="FF404040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medium">
        <color rgb="FF404040"/>
      </top>
      <bottom style="thin">
        <color rgb="FFD9D9D9"/>
      </bottom>
      <diagonal/>
    </border>
    <border>
      <left style="thin">
        <color rgb="FFECECEC"/>
      </left>
      <right/>
      <top style="medium">
        <color rgb="FF404040"/>
      </top>
      <bottom style="thin">
        <color rgb="FFD9D9D9"/>
      </bottom>
      <diagonal/>
    </border>
    <border>
      <left style="medium">
        <color rgb="FF808080"/>
      </left>
      <right style="thin">
        <color rgb="FFECECEC"/>
      </right>
      <top style="medium">
        <color rgb="FF404040"/>
      </top>
      <bottom style="thin">
        <color rgb="FFD9D9D9"/>
      </bottom>
      <diagonal/>
    </border>
    <border>
      <left/>
      <right/>
      <top style="medium">
        <color rgb="FF404040"/>
      </top>
      <bottom style="thin">
        <color rgb="FFD9D9D9"/>
      </bottom>
      <diagonal/>
    </border>
    <border>
      <left/>
      <right style="thin">
        <color rgb="FFECECEC"/>
      </right>
      <top style="medium">
        <color rgb="FF404040"/>
      </top>
      <bottom style="thin">
        <color rgb="FFD9D9D9"/>
      </bottom>
      <diagonal/>
    </border>
    <border>
      <left style="thin">
        <color rgb="FFECECEC"/>
      </left>
      <right style="medium">
        <color rgb="FF404040"/>
      </right>
      <top style="medium">
        <color rgb="FF404040"/>
      </top>
      <bottom style="thin">
        <color rgb="FFD9D9D9"/>
      </bottom>
      <diagonal/>
    </border>
    <border>
      <left style="medium">
        <color rgb="FF404040"/>
      </left>
      <right style="thin">
        <color rgb="FFECECEC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/>
      <top style="thin">
        <color rgb="FFD9D9D9"/>
      </top>
      <bottom style="thin">
        <color rgb="FFD9D9D9"/>
      </bottom>
      <diagonal/>
    </border>
    <border>
      <left style="medium">
        <color rgb="FF808080"/>
      </left>
      <right style="thin">
        <color rgb="FFECECEC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ECECEC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medium">
        <color rgb="FF404040"/>
      </right>
      <top style="thin">
        <color rgb="FFD9D9D9"/>
      </top>
      <bottom style="thin">
        <color rgb="FFD9D9D9"/>
      </bottom>
      <diagonal/>
    </border>
    <border>
      <left style="medium">
        <color rgb="FF404040"/>
      </left>
      <right style="thin">
        <color rgb="FFECECEC"/>
      </right>
      <top style="thin">
        <color rgb="FFD9D9D9"/>
      </top>
      <bottom/>
      <diagonal/>
    </border>
    <border>
      <left style="thin">
        <color rgb="FFECECEC"/>
      </left>
      <right style="thin">
        <color rgb="FFECECEC"/>
      </right>
      <top style="thin">
        <color rgb="FFD9D9D9"/>
      </top>
      <bottom/>
      <diagonal/>
    </border>
    <border>
      <left style="thin">
        <color rgb="FFECECEC"/>
      </left>
      <right/>
      <top style="thin">
        <color rgb="FFD9D9D9"/>
      </top>
      <bottom/>
      <diagonal/>
    </border>
    <border>
      <left style="medium">
        <color rgb="FF808080"/>
      </left>
      <right style="thin">
        <color rgb="FFECECEC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ECECEC"/>
      </right>
      <top style="thin">
        <color rgb="FFD9D9D9"/>
      </top>
      <bottom/>
      <diagonal/>
    </border>
    <border>
      <left style="thin">
        <color rgb="FFECECEC"/>
      </left>
      <right style="medium">
        <color rgb="FF404040"/>
      </right>
      <top style="thin">
        <color rgb="FFD9D9D9"/>
      </top>
      <bottom/>
      <diagonal/>
    </border>
    <border>
      <left style="medium">
        <color rgb="FF404040"/>
      </left>
      <right style="thin">
        <color rgb="FFECECEC"/>
      </right>
      <top style="thin">
        <color rgb="FFD9D9D9"/>
      </top>
      <bottom style="medium">
        <color rgb="FF404040"/>
      </bottom>
      <diagonal/>
    </border>
    <border>
      <left style="thin">
        <color rgb="FFECECEC"/>
      </left>
      <right style="thin">
        <color rgb="FFECECEC"/>
      </right>
      <top style="thin">
        <color rgb="FFD9D9D9"/>
      </top>
      <bottom style="medium">
        <color rgb="FF404040"/>
      </bottom>
      <diagonal/>
    </border>
    <border>
      <left style="thin">
        <color rgb="FFECECEC"/>
      </left>
      <right/>
      <top style="thin">
        <color rgb="FFD9D9D9"/>
      </top>
      <bottom style="medium">
        <color rgb="FF404040"/>
      </bottom>
      <diagonal/>
    </border>
    <border>
      <left style="medium">
        <color rgb="FF808080"/>
      </left>
      <right style="thin">
        <color rgb="FFECECEC"/>
      </right>
      <top style="thin">
        <color rgb="FFD9D9D9"/>
      </top>
      <bottom style="medium">
        <color rgb="FF404040"/>
      </bottom>
      <diagonal/>
    </border>
    <border>
      <left/>
      <right/>
      <top style="thin">
        <color rgb="FFD9D9D9"/>
      </top>
      <bottom style="medium">
        <color rgb="FF404040"/>
      </bottom>
      <diagonal/>
    </border>
    <border>
      <left/>
      <right style="thin">
        <color rgb="FFECECEC"/>
      </right>
      <top style="thin">
        <color rgb="FFD9D9D9"/>
      </top>
      <bottom style="medium">
        <color rgb="FF404040"/>
      </bottom>
      <diagonal/>
    </border>
    <border>
      <left style="thin">
        <color rgb="FFECECEC"/>
      </left>
      <right style="medium">
        <color rgb="FF404040"/>
      </right>
      <top style="thin">
        <color rgb="FFD9D9D9"/>
      </top>
      <bottom style="medium">
        <color rgb="FF404040"/>
      </bottom>
      <diagonal/>
    </border>
    <border>
      <left style="medium">
        <color rgb="FF404040"/>
      </left>
      <right style="thin">
        <color rgb="FFECECEC"/>
      </right>
      <top/>
      <bottom style="thin">
        <color rgb="FFD9D9D9"/>
      </bottom>
      <diagonal/>
    </border>
    <border>
      <left style="thin">
        <color rgb="FFECECEC"/>
      </left>
      <right style="thin">
        <color rgb="FFECECEC"/>
      </right>
      <top/>
      <bottom style="thin">
        <color rgb="FFD9D9D9"/>
      </bottom>
      <diagonal/>
    </border>
    <border>
      <left style="thin">
        <color rgb="FFECECEC"/>
      </left>
      <right/>
      <top/>
      <bottom style="thin">
        <color rgb="FFD9D9D9"/>
      </bottom>
      <diagonal/>
    </border>
    <border>
      <left style="medium">
        <color rgb="FF808080"/>
      </left>
      <right style="thin">
        <color rgb="FFECECEC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ECECEC"/>
      </right>
      <top/>
      <bottom style="thin">
        <color rgb="FFD9D9D9"/>
      </bottom>
      <diagonal/>
    </border>
    <border>
      <left style="thin">
        <color rgb="FFECECEC"/>
      </left>
      <right style="medium">
        <color rgb="FF404040"/>
      </right>
      <top/>
      <bottom style="thin">
        <color rgb="FFD9D9D9"/>
      </bottom>
      <diagonal/>
    </border>
    <border>
      <left style="medium">
        <color rgb="FF404040"/>
      </left>
      <right style="thin">
        <color rgb="FFECECEC"/>
      </right>
      <top style="medium">
        <color rgb="FF404040"/>
      </top>
      <bottom style="medium">
        <color rgb="FF404040"/>
      </bottom>
      <diagonal/>
    </border>
    <border>
      <left style="thin">
        <color rgb="FFECECEC"/>
      </left>
      <right style="thin">
        <color rgb="FFECECEC"/>
      </right>
      <top style="medium">
        <color rgb="FF404040"/>
      </top>
      <bottom style="medium">
        <color rgb="FF404040"/>
      </bottom>
      <diagonal/>
    </border>
    <border>
      <left style="thin">
        <color rgb="FFECECEC"/>
      </left>
      <right/>
      <top style="medium">
        <color rgb="FF404040"/>
      </top>
      <bottom style="medium">
        <color rgb="FF404040"/>
      </bottom>
      <diagonal/>
    </border>
    <border>
      <left style="medium">
        <color rgb="FF808080"/>
      </left>
      <right style="thin">
        <color rgb="FFECECEC"/>
      </right>
      <top style="medium">
        <color rgb="FF404040"/>
      </top>
      <bottom style="medium">
        <color rgb="FF404040"/>
      </bottom>
      <diagonal/>
    </border>
    <border>
      <left/>
      <right/>
      <top style="medium">
        <color rgb="FF404040"/>
      </top>
      <bottom style="medium">
        <color rgb="FF404040"/>
      </bottom>
      <diagonal/>
    </border>
    <border>
      <left/>
      <right style="thin">
        <color rgb="FFECECEC"/>
      </right>
      <top style="medium">
        <color rgb="FF404040"/>
      </top>
      <bottom style="medium">
        <color rgb="FF404040"/>
      </bottom>
      <diagonal/>
    </border>
    <border>
      <left style="thin">
        <color rgb="FFECECEC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0" borderId="0"/>
    <xf numFmtId="0" fontId="4" fillId="0" borderId="0"/>
  </cellStyleXfs>
  <cellXfs count="194">
    <xf numFmtId="0" fontId="0" fillId="0" borderId="0" xfId="0"/>
    <xf numFmtId="164" fontId="1" fillId="12" borderId="30" xfId="0" applyNumberFormat="1" applyFont="1" applyFill="1" applyBorder="1" applyAlignment="1">
      <alignment horizontal="left" vertical="center"/>
    </xf>
    <xf numFmtId="0" fontId="2" fillId="4" borderId="37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1" fontId="2" fillId="4" borderId="39" xfId="0" applyNumberFormat="1" applyFont="1" applyFill="1" applyBorder="1" applyAlignment="1">
      <alignment horizontal="center"/>
    </xf>
    <xf numFmtId="3" fontId="2" fillId="4" borderId="40" xfId="0" applyNumberFormat="1" applyFont="1" applyFill="1" applyBorder="1" applyAlignment="1">
      <alignment horizontal="center"/>
    </xf>
    <xf numFmtId="9" fontId="2" fillId="4" borderId="41" xfId="0" applyNumberFormat="1" applyFont="1" applyFill="1" applyBorder="1" applyAlignment="1">
      <alignment horizontal="center"/>
    </xf>
    <xf numFmtId="1" fontId="2" fillId="4" borderId="37" xfId="0" applyNumberFormat="1" applyFont="1" applyFill="1" applyBorder="1" applyAlignment="1">
      <alignment horizontal="center"/>
    </xf>
    <xf numFmtId="9" fontId="2" fillId="4" borderId="37" xfId="0" applyNumberFormat="1" applyFont="1" applyFill="1" applyBorder="1" applyAlignment="1">
      <alignment horizontal="center"/>
    </xf>
    <xf numFmtId="3" fontId="2" fillId="4" borderId="37" xfId="0" applyNumberFormat="1" applyFont="1" applyFill="1" applyBorder="1" applyAlignment="1">
      <alignment horizontal="center"/>
    </xf>
    <xf numFmtId="3" fontId="2" fillId="4" borderId="38" xfId="0" applyNumberFormat="1" applyFont="1" applyFill="1" applyBorder="1" applyAlignment="1">
      <alignment horizontal="center"/>
    </xf>
    <xf numFmtId="165" fontId="2" fillId="4" borderId="39" xfId="0" applyNumberFormat="1" applyFont="1" applyFill="1" applyBorder="1" applyAlignment="1">
      <alignment horizontal="center"/>
    </xf>
    <xf numFmtId="9" fontId="2" fillId="4" borderId="38" xfId="0" applyNumberFormat="1" applyFont="1" applyFill="1" applyBorder="1" applyAlignment="1">
      <alignment horizontal="center"/>
    </xf>
    <xf numFmtId="166" fontId="2" fillId="4" borderId="39" xfId="0" applyNumberFormat="1" applyFont="1" applyFill="1" applyBorder="1" applyAlignment="1">
      <alignment horizontal="center"/>
    </xf>
    <xf numFmtId="1" fontId="2" fillId="4" borderId="41" xfId="0" applyNumberFormat="1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9" fontId="2" fillId="4" borderId="42" xfId="0" applyNumberFormat="1" applyFont="1" applyFill="1" applyBorder="1" applyAlignment="1">
      <alignment horizontal="center"/>
    </xf>
    <xf numFmtId="0" fontId="4" fillId="0" borderId="0" xfId="2"/>
    <xf numFmtId="0" fontId="8" fillId="2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vertical="center"/>
    </xf>
    <xf numFmtId="0" fontId="8" fillId="2" borderId="9" xfId="0" applyFont="1" applyFill="1" applyBorder="1" applyAlignment="1">
      <alignment horizontal="right" vertical="center" wrapText="1"/>
    </xf>
    <xf numFmtId="9" fontId="8" fillId="2" borderId="10" xfId="1" applyFont="1" applyFill="1" applyBorder="1" applyAlignment="1">
      <alignment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11" fillId="6" borderId="24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11" fillId="7" borderId="27" xfId="0" applyFont="1" applyFill="1" applyBorder="1" applyAlignment="1">
      <alignment horizontal="center" vertical="center" wrapText="1"/>
    </xf>
    <xf numFmtId="9" fontId="11" fillId="7" borderId="23" xfId="1" applyFont="1" applyFill="1" applyBorder="1" applyAlignment="1">
      <alignment horizontal="center" vertical="center" wrapText="1"/>
    </xf>
    <xf numFmtId="9" fontId="11" fillId="7" borderId="24" xfId="1" applyFont="1" applyFill="1" applyBorder="1" applyAlignment="1">
      <alignment horizontal="center" vertical="center" wrapText="1"/>
    </xf>
    <xf numFmtId="9" fontId="11" fillId="8" borderId="25" xfId="1" applyFont="1" applyFill="1" applyBorder="1" applyAlignment="1">
      <alignment horizontal="center" vertical="center" wrapText="1"/>
    </xf>
    <xf numFmtId="9" fontId="11" fillId="8" borderId="26" xfId="1" applyFont="1" applyFill="1" applyBorder="1" applyAlignment="1">
      <alignment horizontal="center" vertical="center" wrapText="1"/>
    </xf>
    <xf numFmtId="9" fontId="11" fillId="9" borderId="25" xfId="1" applyFont="1" applyFill="1" applyBorder="1" applyAlignment="1">
      <alignment horizontal="center" vertical="center" wrapText="1"/>
    </xf>
    <xf numFmtId="9" fontId="11" fillId="9" borderId="27" xfId="1" applyFont="1" applyFill="1" applyBorder="1" applyAlignment="1">
      <alignment horizontal="center" vertical="center" wrapText="1"/>
    </xf>
    <xf numFmtId="9" fontId="11" fillId="9" borderId="23" xfId="1" applyFont="1" applyFill="1" applyBorder="1" applyAlignment="1">
      <alignment horizontal="center" vertical="center" wrapText="1"/>
    </xf>
    <xf numFmtId="9" fontId="11" fillId="9" borderId="24" xfId="1" applyFont="1" applyFill="1" applyBorder="1" applyAlignment="1">
      <alignment horizontal="center" vertical="center" wrapText="1"/>
    </xf>
    <xf numFmtId="0" fontId="11" fillId="10" borderId="25" xfId="0" applyFont="1" applyFill="1" applyBorder="1" applyAlignment="1">
      <alignment horizontal="center" vertical="center" wrapText="1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23" xfId="0" applyFont="1" applyFill="1" applyBorder="1" applyAlignment="1">
      <alignment horizontal="center" vertical="center" wrapText="1"/>
    </xf>
    <xf numFmtId="0" fontId="11" fillId="10" borderId="2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vertical="center"/>
    </xf>
    <xf numFmtId="0" fontId="12" fillId="0" borderId="30" xfId="0" applyFont="1" applyBorder="1" applyAlignment="1">
      <alignment horizontal="center" vertical="center"/>
    </xf>
    <xf numFmtId="0" fontId="13" fillId="0" borderId="30" xfId="0" applyFont="1" applyBorder="1"/>
    <xf numFmtId="0" fontId="12" fillId="0" borderId="31" xfId="0" applyFont="1" applyBorder="1" applyAlignment="1">
      <alignment horizontal="center" vertical="center"/>
    </xf>
    <xf numFmtId="1" fontId="13" fillId="0" borderId="32" xfId="0" applyNumberFormat="1" applyFont="1" applyBorder="1" applyAlignment="1">
      <alignment horizontal="center" vertical="center"/>
    </xf>
    <xf numFmtId="3" fontId="13" fillId="0" borderId="33" xfId="1" applyNumberFormat="1" applyFont="1" applyBorder="1" applyAlignment="1">
      <alignment horizontal="center" vertical="center"/>
    </xf>
    <xf numFmtId="9" fontId="13" fillId="0" borderId="34" xfId="1" applyFont="1" applyFill="1" applyBorder="1" applyAlignment="1">
      <alignment horizontal="center" vertical="center"/>
    </xf>
    <xf numFmtId="1" fontId="13" fillId="0" borderId="30" xfId="0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9" fontId="13" fillId="0" borderId="30" xfId="1" applyFont="1" applyFill="1" applyBorder="1" applyAlignment="1">
      <alignment horizontal="center" vertical="center"/>
    </xf>
    <xf numFmtId="1" fontId="13" fillId="0" borderId="30" xfId="1" applyNumberFormat="1" applyFont="1" applyFill="1" applyBorder="1" applyAlignment="1">
      <alignment horizontal="center" vertical="center"/>
    </xf>
    <xf numFmtId="3" fontId="13" fillId="0" borderId="30" xfId="1" applyNumberFormat="1" applyFont="1" applyFill="1" applyBorder="1" applyAlignment="1">
      <alignment horizontal="center" vertical="center"/>
    </xf>
    <xf numFmtId="3" fontId="13" fillId="0" borderId="31" xfId="1" applyNumberFormat="1" applyFont="1" applyFill="1" applyBorder="1" applyAlignment="1">
      <alignment horizontal="center" vertical="center"/>
    </xf>
    <xf numFmtId="165" fontId="13" fillId="0" borderId="32" xfId="0" applyNumberFormat="1" applyFont="1" applyBorder="1" applyAlignment="1">
      <alignment horizontal="center" vertical="center"/>
    </xf>
    <xf numFmtId="9" fontId="12" fillId="0" borderId="34" xfId="1" applyFont="1" applyFill="1" applyBorder="1" applyAlignment="1">
      <alignment horizontal="center" vertical="center"/>
    </xf>
    <xf numFmtId="1" fontId="12" fillId="0" borderId="30" xfId="1" applyNumberFormat="1" applyFont="1" applyFill="1" applyBorder="1" applyAlignment="1">
      <alignment horizontal="center" vertical="center"/>
    </xf>
    <xf numFmtId="3" fontId="12" fillId="0" borderId="30" xfId="1" applyNumberFormat="1" applyFont="1" applyFill="1" applyBorder="1" applyAlignment="1">
      <alignment horizontal="center" vertical="center"/>
    </xf>
    <xf numFmtId="9" fontId="12" fillId="0" borderId="31" xfId="1" applyFont="1" applyFill="1" applyBorder="1" applyAlignment="1">
      <alignment horizontal="center" vertical="center"/>
    </xf>
    <xf numFmtId="166" fontId="13" fillId="0" borderId="32" xfId="1" applyNumberFormat="1" applyFont="1" applyFill="1" applyBorder="1" applyAlignment="1">
      <alignment horizontal="center" vertical="center"/>
    </xf>
    <xf numFmtId="3" fontId="13" fillId="0" borderId="33" xfId="0" applyNumberFormat="1" applyFont="1" applyBorder="1" applyAlignment="1">
      <alignment horizontal="center" vertical="center"/>
    </xf>
    <xf numFmtId="1" fontId="13" fillId="0" borderId="34" xfId="1" applyNumberFormat="1" applyFont="1" applyFill="1" applyBorder="1" applyAlignment="1">
      <alignment horizontal="center" vertical="center"/>
    </xf>
    <xf numFmtId="9" fontId="13" fillId="0" borderId="31" xfId="1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" fontId="13" fillId="0" borderId="34" xfId="0" applyNumberFormat="1" applyFont="1" applyBorder="1" applyAlignment="1">
      <alignment horizontal="center" vertical="center"/>
    </xf>
    <xf numFmtId="3" fontId="13" fillId="0" borderId="30" xfId="0" applyNumberFormat="1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3" fontId="13" fillId="0" borderId="30" xfId="1" applyNumberFormat="1" applyFont="1" applyBorder="1" applyAlignment="1">
      <alignment horizontal="center" vertical="center"/>
    </xf>
    <xf numFmtId="9" fontId="13" fillId="0" borderId="35" xfId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/>
    <xf numFmtId="0" fontId="12" fillId="0" borderId="9" xfId="0" applyFont="1" applyBorder="1" applyAlignment="1">
      <alignment vertical="center"/>
    </xf>
    <xf numFmtId="0" fontId="12" fillId="12" borderId="9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3" fontId="13" fillId="0" borderId="12" xfId="1" applyNumberFormat="1" applyFont="1" applyBorder="1" applyAlignment="1">
      <alignment horizontal="center" vertical="center"/>
    </xf>
    <xf numFmtId="9" fontId="13" fillId="0" borderId="13" xfId="1" applyFont="1" applyFill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9" fontId="13" fillId="0" borderId="9" xfId="1" applyFont="1" applyFill="1" applyBorder="1" applyAlignment="1">
      <alignment horizontal="center" vertical="center"/>
    </xf>
    <xf numFmtId="1" fontId="13" fillId="0" borderId="9" xfId="1" applyNumberFormat="1" applyFont="1" applyFill="1" applyBorder="1" applyAlignment="1">
      <alignment horizontal="center" vertical="center"/>
    </xf>
    <xf numFmtId="3" fontId="13" fillId="0" borderId="9" xfId="1" applyNumberFormat="1" applyFont="1" applyFill="1" applyBorder="1" applyAlignment="1">
      <alignment horizontal="center" vertical="center"/>
    </xf>
    <xf numFmtId="3" fontId="13" fillId="0" borderId="10" xfId="1" applyNumberFormat="1" applyFont="1" applyFill="1" applyBorder="1" applyAlignment="1">
      <alignment horizontal="center" vertical="center"/>
    </xf>
    <xf numFmtId="165" fontId="13" fillId="0" borderId="11" xfId="0" applyNumberFormat="1" applyFont="1" applyBorder="1" applyAlignment="1">
      <alignment horizontal="center" vertical="center"/>
    </xf>
    <xf numFmtId="9" fontId="12" fillId="0" borderId="13" xfId="1" applyFont="1" applyFill="1" applyBorder="1" applyAlignment="1">
      <alignment horizontal="center" vertical="center"/>
    </xf>
    <xf numFmtId="1" fontId="12" fillId="0" borderId="9" xfId="1" applyNumberFormat="1" applyFont="1" applyFill="1" applyBorder="1" applyAlignment="1">
      <alignment horizontal="center" vertical="center"/>
    </xf>
    <xf numFmtId="3" fontId="12" fillId="0" borderId="9" xfId="1" applyNumberFormat="1" applyFont="1" applyFill="1" applyBorder="1" applyAlignment="1">
      <alignment horizontal="center" vertical="center"/>
    </xf>
    <xf numFmtId="9" fontId="12" fillId="0" borderId="10" xfId="1" applyFont="1" applyFill="1" applyBorder="1" applyAlignment="1">
      <alignment horizontal="center" vertical="center"/>
    </xf>
    <xf numFmtId="166" fontId="13" fillId="0" borderId="11" xfId="1" applyNumberFormat="1" applyFont="1" applyFill="1" applyBorder="1" applyAlignment="1">
      <alignment horizontal="center" vertical="center"/>
    </xf>
    <xf numFmtId="3" fontId="13" fillId="0" borderId="12" xfId="0" applyNumberFormat="1" applyFont="1" applyBorder="1" applyAlignment="1">
      <alignment horizontal="center" vertical="center"/>
    </xf>
    <xf numFmtId="1" fontId="13" fillId="0" borderId="13" xfId="1" applyNumberFormat="1" applyFont="1" applyFill="1" applyBorder="1" applyAlignment="1">
      <alignment horizontal="center" vertical="center"/>
    </xf>
    <xf numFmtId="9" fontId="13" fillId="0" borderId="10" xfId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3" fontId="13" fillId="0" borderId="9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3" fontId="13" fillId="0" borderId="9" xfId="1" applyNumberFormat="1" applyFont="1" applyBorder="1" applyAlignment="1">
      <alignment horizontal="center" vertical="center"/>
    </xf>
    <xf numFmtId="9" fontId="13" fillId="0" borderId="14" xfId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0" borderId="16" xfId="0" applyFont="1" applyBorder="1"/>
    <xf numFmtId="0" fontId="12" fillId="0" borderId="16" xfId="0" applyFont="1" applyBorder="1" applyAlignment="1">
      <alignment vertical="center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1" fontId="13" fillId="0" borderId="18" xfId="0" applyNumberFormat="1" applyFont="1" applyBorder="1" applyAlignment="1">
      <alignment horizontal="center" vertical="center"/>
    </xf>
    <xf numFmtId="3" fontId="13" fillId="0" borderId="19" xfId="1" applyNumberFormat="1" applyFont="1" applyBorder="1" applyAlignment="1">
      <alignment horizontal="center" vertical="center"/>
    </xf>
    <xf numFmtId="9" fontId="13" fillId="0" borderId="20" xfId="1" applyFont="1" applyFill="1" applyBorder="1" applyAlignment="1">
      <alignment horizontal="center" vertical="center"/>
    </xf>
    <xf numFmtId="1" fontId="13" fillId="0" borderId="16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9" fontId="13" fillId="0" borderId="16" xfId="1" applyFont="1" applyFill="1" applyBorder="1" applyAlignment="1">
      <alignment horizontal="center" vertical="center"/>
    </xf>
    <xf numFmtId="1" fontId="13" fillId="0" borderId="16" xfId="1" applyNumberFormat="1" applyFont="1" applyFill="1" applyBorder="1" applyAlignment="1">
      <alignment horizontal="center" vertical="center"/>
    </xf>
    <xf numFmtId="3" fontId="13" fillId="0" borderId="16" xfId="1" applyNumberFormat="1" applyFont="1" applyFill="1" applyBorder="1" applyAlignment="1">
      <alignment horizontal="center" vertical="center"/>
    </xf>
    <xf numFmtId="3" fontId="13" fillId="0" borderId="17" xfId="1" applyNumberFormat="1" applyFont="1" applyFill="1" applyBorder="1" applyAlignment="1">
      <alignment horizontal="center" vertical="center"/>
    </xf>
    <xf numFmtId="165" fontId="13" fillId="0" borderId="18" xfId="0" applyNumberFormat="1" applyFont="1" applyBorder="1" applyAlignment="1">
      <alignment horizontal="center" vertical="center"/>
    </xf>
    <xf numFmtId="9" fontId="12" fillId="0" borderId="20" xfId="1" applyFont="1" applyFill="1" applyBorder="1" applyAlignment="1">
      <alignment horizontal="center" vertical="center"/>
    </xf>
    <xf numFmtId="1" fontId="12" fillId="0" borderId="16" xfId="1" applyNumberFormat="1" applyFont="1" applyFill="1" applyBorder="1" applyAlignment="1">
      <alignment horizontal="center" vertical="center"/>
    </xf>
    <xf numFmtId="3" fontId="12" fillId="0" borderId="16" xfId="1" applyNumberFormat="1" applyFont="1" applyFill="1" applyBorder="1" applyAlignment="1">
      <alignment horizontal="center" vertical="center"/>
    </xf>
    <xf numFmtId="9" fontId="12" fillId="0" borderId="17" xfId="1" applyFont="1" applyFill="1" applyBorder="1" applyAlignment="1">
      <alignment horizontal="center" vertical="center"/>
    </xf>
    <xf numFmtId="166" fontId="13" fillId="0" borderId="18" xfId="1" applyNumberFormat="1" applyFont="1" applyFill="1" applyBorder="1" applyAlignment="1">
      <alignment horizontal="center" vertical="center"/>
    </xf>
    <xf numFmtId="3" fontId="13" fillId="0" borderId="19" xfId="0" applyNumberFormat="1" applyFont="1" applyBorder="1" applyAlignment="1">
      <alignment horizontal="center" vertical="center"/>
    </xf>
    <xf numFmtId="1" fontId="13" fillId="0" borderId="20" xfId="1" applyNumberFormat="1" applyFont="1" applyFill="1" applyBorder="1" applyAlignment="1">
      <alignment horizontal="center" vertical="center"/>
    </xf>
    <xf numFmtId="9" fontId="13" fillId="0" borderId="17" xfId="1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" fontId="13" fillId="0" borderId="20" xfId="0" applyNumberFormat="1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3" fontId="13" fillId="0" borderId="16" xfId="1" applyNumberFormat="1" applyFont="1" applyBorder="1" applyAlignment="1">
      <alignment horizontal="center" vertical="center"/>
    </xf>
    <xf numFmtId="9" fontId="13" fillId="0" borderId="21" xfId="1" applyFont="1" applyFill="1" applyBorder="1" applyAlignment="1">
      <alignment horizontal="center" vertical="center"/>
    </xf>
    <xf numFmtId="0" fontId="4" fillId="0" borderId="0" xfId="3"/>
    <xf numFmtId="0" fontId="5" fillId="0" borderId="0" xfId="3" applyFont="1"/>
    <xf numFmtId="0" fontId="14" fillId="0" borderId="0" xfId="3" applyFont="1"/>
    <xf numFmtId="0" fontId="6" fillId="0" borderId="43" xfId="3" applyFont="1" applyBorder="1" applyAlignment="1">
      <alignment horizontal="center"/>
    </xf>
    <xf numFmtId="0" fontId="6" fillId="0" borderId="43" xfId="3" applyFont="1" applyBorder="1"/>
    <xf numFmtId="0" fontId="6" fillId="13" borderId="43" xfId="3" applyFont="1" applyFill="1" applyBorder="1" applyAlignment="1">
      <alignment horizontal="center"/>
    </xf>
    <xf numFmtId="0" fontId="6" fillId="13" borderId="43" xfId="3" applyFont="1" applyFill="1" applyBorder="1"/>
    <xf numFmtId="0" fontId="5" fillId="14" borderId="43" xfId="3" applyFont="1" applyFill="1" applyBorder="1"/>
    <xf numFmtId="0" fontId="7" fillId="15" borderId="0" xfId="3" applyFont="1" applyFill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left" indent="1"/>
    </xf>
    <xf numFmtId="0" fontId="2" fillId="4" borderId="37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11" fillId="11" borderId="25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11" fillId="11" borderId="2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11" fillId="11" borderId="2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center" wrapText="1"/>
    </xf>
    <xf numFmtId="0" fontId="5" fillId="16" borderId="44" xfId="0" applyFont="1" applyFill="1" applyBorder="1" applyAlignment="1">
      <alignment horizontal="center" wrapText="1"/>
    </xf>
    <xf numFmtId="0" fontId="5" fillId="16" borderId="45" xfId="0" applyFont="1" applyFill="1" applyBorder="1" applyAlignment="1">
      <alignment horizontal="center" wrapText="1"/>
    </xf>
    <xf numFmtId="0" fontId="5" fillId="16" borderId="46" xfId="0" applyFont="1" applyFill="1" applyBorder="1" applyAlignment="1">
      <alignment horizontal="center" wrapText="1"/>
    </xf>
    <xf numFmtId="0" fontId="5" fillId="16" borderId="43" xfId="0" applyFont="1" applyFill="1" applyBorder="1" applyAlignment="1">
      <alignment horizontal="center" wrapText="1"/>
    </xf>
    <xf numFmtId="167" fontId="0" fillId="0" borderId="43" xfId="0" applyNumberFormat="1" applyBorder="1"/>
    <xf numFmtId="167" fontId="5" fillId="14" borderId="43" xfId="0" applyNumberFormat="1" applyFont="1" applyFill="1" applyBorder="1"/>
  </cellXfs>
  <cellStyles count="4">
    <cellStyle name="Normal" xfId="0" builtinId="0"/>
    <cellStyle name="Normal 2" xfId="2" xr:uid="{E6704B23-7E47-314B-AF2D-F9E9CD13A1DE}"/>
    <cellStyle name="Normal 2 3" xfId="3" xr:uid="{D197CE4B-7BF6-C24D-BBF1-3F3C2D620699}"/>
    <cellStyle name="Percent" xfId="1" builtinId="5"/>
  </cellStyles>
  <dxfs count="10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%20Sales%20&amp;%20Performance/2026-08-09%20Store%20perfomance.xlsx" TargetMode="External"/><Relationship Id="rId2" Type="http://schemas.openxmlformats.org/officeDocument/2006/relationships/externalLinkPath" Target="/Users/michael/Desktop/01%20Sales%20&amp;%20Performance/2026-08-09%20Store%20perfomance.xlsx" TargetMode="External"/><Relationship Id="rId1" Type="http://schemas.openxmlformats.org/officeDocument/2006/relationships/externalLinkPath" Target="/Users/michael/Desktop/01%20Sales%20&amp;%20Performance/2026-08-09%20Store%20perfom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les per type juli"/>
      <sheetName val="SALES VALUE PER TYPE"/>
      <sheetName val="PROMOTOR DASHBOARD"/>
      <sheetName val="SALES BY PROMOTORR"/>
      <sheetName val="Promotor Ranking"/>
      <sheetName val="&gt;40 Promotor"/>
      <sheetName val="&lt;40 Promotor"/>
      <sheetName val="Sheet1"/>
      <sheetName val="ALL TYPE COMPARE"/>
      <sheetName val="ACHIEVEMENT STORE"/>
      <sheetName val="DASHBOARD"/>
      <sheetName val="RAW DATA"/>
      <sheetName val="Focus Store"/>
      <sheetName val="&gt;120 Store"/>
      <sheetName val="&lt;120 Store"/>
      <sheetName val="SALES BY PROMOTOR"/>
      <sheetName val="Sales By Promotor Last Month"/>
      <sheetName val="Insurance by Store"/>
      <sheetName val="DEVICE &amp; VALUE"/>
      <sheetName val="ACC"/>
      <sheetName val="Operator by Store"/>
      <sheetName val="3MIO+"/>
      <sheetName val="Store 3mio+ last month"/>
      <sheetName val="IQOO"/>
      <sheetName val="IQOO (2)"/>
      <sheetName val="SALES PERTYPE"/>
      <sheetName val="GROWTH"/>
      <sheetName val="PF"/>
      <sheetName val="DATA SALES TO DATE"/>
      <sheetName val="Data Stock"/>
      <sheetName val="kpi store"/>
      <sheetName val="TARGET THIS MONTH"/>
      <sheetName val="Area TOKO"/>
      <sheetName val="STORE AREA"/>
      <sheetName val="Master Item"/>
      <sheetName val="DATA LAST MONTH DEVICE"/>
      <sheetName val="DATA LAST MONTH IQOO"/>
      <sheetName val="DATA SALES LAST MONTH"/>
    </sheetNames>
    <sheetDataSet>
      <sheetData sheetId="0">
        <row r="7">
          <cell r="D7" t="str">
            <v>3mio&lt;</v>
          </cell>
          <cell r="L7" t="str">
            <v>3mio&gt;</v>
          </cell>
          <cell r="AX7" t="str">
            <v>Total Sum of Qty</v>
          </cell>
          <cell r="AY7" t="str">
            <v>Total Sum of SRP</v>
          </cell>
        </row>
        <row r="8">
          <cell r="D8" t="str">
            <v>Y05</v>
          </cell>
          <cell r="F8" t="str">
            <v>Y11d</v>
          </cell>
          <cell r="H8" t="str">
            <v>Watch GT 2</v>
          </cell>
          <cell r="J8" t="str">
            <v>WATCH 3</v>
          </cell>
          <cell r="L8" t="str">
            <v>V70</v>
          </cell>
          <cell r="N8" t="str">
            <v>Y31d Pro</v>
          </cell>
          <cell r="P8" t="str">
            <v>Y11d</v>
          </cell>
          <cell r="R8" t="str">
            <v xml:space="preserve">Y31d </v>
          </cell>
          <cell r="T8" t="str">
            <v>V70 FE</v>
          </cell>
          <cell r="V8" t="str">
            <v>Y31d</v>
          </cell>
          <cell r="X8" t="str">
            <v>Y500</v>
          </cell>
          <cell r="Z8" t="str">
            <v>IQOO 15R</v>
          </cell>
          <cell r="AB8" t="str">
            <v>V60 Lite</v>
          </cell>
          <cell r="AD8" t="str">
            <v>X300 Ultra</v>
          </cell>
          <cell r="AF8" t="str">
            <v>IQOO 15</v>
          </cell>
          <cell r="AH8" t="str">
            <v>X300 Demo</v>
          </cell>
          <cell r="AJ8" t="str">
            <v>IQOO Z11x</v>
          </cell>
          <cell r="AL8" t="str">
            <v>IQOO Z11</v>
          </cell>
          <cell r="AN8" t="str">
            <v>X300 Pro Demo</v>
          </cell>
          <cell r="AP8" t="str">
            <v>X Fold5 DEMO</v>
          </cell>
          <cell r="AR8" t="str">
            <v>IQOO 15 Demo</v>
          </cell>
          <cell r="AT8" t="str">
            <v>X300 PRO</v>
          </cell>
          <cell r="AV8" t="str">
            <v xml:space="preserve">X300 </v>
          </cell>
        </row>
        <row r="10">
          <cell r="B10">
            <v>6170706</v>
          </cell>
          <cell r="D10">
            <v>13</v>
          </cell>
          <cell r="E10">
            <v>29387000</v>
          </cell>
          <cell r="F10">
            <v>6</v>
          </cell>
          <cell r="G10">
            <v>16394000</v>
          </cell>
          <cell r="L10">
            <v>2</v>
          </cell>
          <cell r="M10">
            <v>17998000</v>
          </cell>
          <cell r="N10">
            <v>2</v>
          </cell>
          <cell r="O10">
            <v>8798000</v>
          </cell>
          <cell r="T10">
            <v>4</v>
          </cell>
          <cell r="U10">
            <v>26696000</v>
          </cell>
          <cell r="X10">
            <v>2</v>
          </cell>
          <cell r="Y10">
            <v>11798000</v>
          </cell>
          <cell r="AB10">
            <v>2</v>
          </cell>
          <cell r="AC10">
            <v>10598000</v>
          </cell>
          <cell r="AL10">
            <v>3</v>
          </cell>
          <cell r="AM10">
            <v>17097000</v>
          </cell>
          <cell r="AX10">
            <v>34</v>
          </cell>
          <cell r="AY10">
            <v>138766000</v>
          </cell>
        </row>
        <row r="11">
          <cell r="B11">
            <v>6170707</v>
          </cell>
          <cell r="D11">
            <v>20</v>
          </cell>
          <cell r="E11">
            <v>44080000</v>
          </cell>
          <cell r="F11">
            <v>5</v>
          </cell>
          <cell r="G11">
            <v>13595000</v>
          </cell>
          <cell r="L11">
            <v>4</v>
          </cell>
          <cell r="M11">
            <v>37996000</v>
          </cell>
          <cell r="N11">
            <v>4</v>
          </cell>
          <cell r="O11">
            <v>16996000</v>
          </cell>
          <cell r="P11">
            <v>1</v>
          </cell>
          <cell r="Q11">
            <v>3599000</v>
          </cell>
          <cell r="R11">
            <v>1</v>
          </cell>
          <cell r="S11">
            <v>3599000</v>
          </cell>
          <cell r="V11">
            <v>4</v>
          </cell>
          <cell r="W11">
            <v>14396000</v>
          </cell>
          <cell r="Z11">
            <v>1</v>
          </cell>
          <cell r="AA11">
            <v>9899000</v>
          </cell>
          <cell r="AB11">
            <v>1</v>
          </cell>
          <cell r="AC11">
            <v>5299000</v>
          </cell>
          <cell r="AJ11">
            <v>1</v>
          </cell>
          <cell r="AK11">
            <v>4799000</v>
          </cell>
          <cell r="AL11">
            <v>1</v>
          </cell>
          <cell r="AM11">
            <v>5699000</v>
          </cell>
          <cell r="AX11">
            <v>43</v>
          </cell>
          <cell r="AY11">
            <v>159957000</v>
          </cell>
        </row>
        <row r="12">
          <cell r="B12">
            <v>6240702</v>
          </cell>
          <cell r="D12">
            <v>17</v>
          </cell>
          <cell r="E12">
            <v>39283000</v>
          </cell>
          <cell r="F12">
            <v>9</v>
          </cell>
          <cell r="G12">
            <v>24391000</v>
          </cell>
          <cell r="L12">
            <v>2</v>
          </cell>
          <cell r="M12">
            <v>17998000</v>
          </cell>
          <cell r="N12">
            <v>2</v>
          </cell>
          <cell r="O12">
            <v>8198000</v>
          </cell>
          <cell r="P12">
            <v>1</v>
          </cell>
          <cell r="Q12">
            <v>3599000</v>
          </cell>
          <cell r="T12">
            <v>1</v>
          </cell>
          <cell r="U12">
            <v>7199000</v>
          </cell>
          <cell r="V12">
            <v>1</v>
          </cell>
          <cell r="W12">
            <v>3599000</v>
          </cell>
          <cell r="X12">
            <v>2</v>
          </cell>
          <cell r="Y12">
            <v>10998000</v>
          </cell>
          <cell r="Z12">
            <v>2</v>
          </cell>
          <cell r="AA12">
            <v>19798000</v>
          </cell>
          <cell r="AB12">
            <v>2</v>
          </cell>
          <cell r="AC12">
            <v>10598000</v>
          </cell>
          <cell r="AL12">
            <v>5</v>
          </cell>
          <cell r="AM12">
            <v>28495000</v>
          </cell>
          <cell r="AX12">
            <v>44</v>
          </cell>
          <cell r="AY12">
            <v>174156000</v>
          </cell>
        </row>
        <row r="13">
          <cell r="B13">
            <v>6240701</v>
          </cell>
          <cell r="D13">
            <v>21</v>
          </cell>
          <cell r="E13">
            <v>47679000</v>
          </cell>
          <cell r="F13">
            <v>3</v>
          </cell>
          <cell r="G13">
            <v>7597000</v>
          </cell>
          <cell r="L13">
            <v>1</v>
          </cell>
          <cell r="M13">
            <v>8999000</v>
          </cell>
          <cell r="N13">
            <v>4</v>
          </cell>
          <cell r="O13">
            <v>16996000</v>
          </cell>
          <cell r="R13">
            <v>2</v>
          </cell>
          <cell r="S13">
            <v>7198000</v>
          </cell>
          <cell r="T13">
            <v>4</v>
          </cell>
          <cell r="U13">
            <v>26696000</v>
          </cell>
          <cell r="Z13">
            <v>3</v>
          </cell>
          <cell r="AA13">
            <v>29697000</v>
          </cell>
          <cell r="AB13">
            <v>1</v>
          </cell>
          <cell r="AC13">
            <v>5299000</v>
          </cell>
          <cell r="AJ13">
            <v>1</v>
          </cell>
          <cell r="AK13">
            <v>4799000</v>
          </cell>
          <cell r="AL13">
            <v>2</v>
          </cell>
          <cell r="AM13">
            <v>11398000</v>
          </cell>
          <cell r="AT13">
            <v>1</v>
          </cell>
          <cell r="AU13">
            <v>18999000</v>
          </cell>
          <cell r="AX13">
            <v>43</v>
          </cell>
          <cell r="AY13">
            <v>185357000</v>
          </cell>
        </row>
        <row r="14">
          <cell r="B14">
            <v>6170703</v>
          </cell>
          <cell r="D14">
            <v>4</v>
          </cell>
          <cell r="E14">
            <v>8696000</v>
          </cell>
          <cell r="F14">
            <v>3</v>
          </cell>
          <cell r="G14">
            <v>8397000</v>
          </cell>
          <cell r="L14">
            <v>3</v>
          </cell>
          <cell r="M14">
            <v>26997000</v>
          </cell>
          <cell r="P14">
            <v>1</v>
          </cell>
          <cell r="Q14">
            <v>3599000</v>
          </cell>
          <cell r="T14">
            <v>1</v>
          </cell>
          <cell r="U14">
            <v>6499000</v>
          </cell>
          <cell r="Z14">
            <v>1</v>
          </cell>
          <cell r="AA14">
            <v>9899000</v>
          </cell>
          <cell r="AB14">
            <v>1</v>
          </cell>
          <cell r="AC14">
            <v>5299000</v>
          </cell>
          <cell r="AL14">
            <v>3</v>
          </cell>
          <cell r="AM14">
            <v>17097000</v>
          </cell>
          <cell r="AX14">
            <v>17</v>
          </cell>
          <cell r="AY14">
            <v>86483000</v>
          </cell>
        </row>
        <row r="15">
          <cell r="B15">
            <v>6240704</v>
          </cell>
          <cell r="D15">
            <v>4</v>
          </cell>
          <cell r="E15">
            <v>8996000</v>
          </cell>
          <cell r="F15">
            <v>1</v>
          </cell>
          <cell r="G15">
            <v>2399000</v>
          </cell>
          <cell r="N15">
            <v>2</v>
          </cell>
          <cell r="O15">
            <v>8798000</v>
          </cell>
          <cell r="P15">
            <v>1</v>
          </cell>
          <cell r="Q15">
            <v>3599000</v>
          </cell>
          <cell r="R15">
            <v>1</v>
          </cell>
          <cell r="S15">
            <v>3599000</v>
          </cell>
          <cell r="V15">
            <v>1</v>
          </cell>
          <cell r="W15">
            <v>3599000</v>
          </cell>
          <cell r="AL15">
            <v>2</v>
          </cell>
          <cell r="AM15">
            <v>11398000</v>
          </cell>
          <cell r="AX15">
            <v>12</v>
          </cell>
          <cell r="AY15">
            <v>42388000</v>
          </cell>
        </row>
        <row r="16">
          <cell r="B16">
            <v>6240703</v>
          </cell>
          <cell r="D16">
            <v>11</v>
          </cell>
          <cell r="E16">
            <v>24889000</v>
          </cell>
          <cell r="F16">
            <v>9</v>
          </cell>
          <cell r="G16">
            <v>24791000</v>
          </cell>
          <cell r="L16">
            <v>3</v>
          </cell>
          <cell r="M16">
            <v>30997000</v>
          </cell>
          <cell r="N16">
            <v>3</v>
          </cell>
          <cell r="O16">
            <v>12497000</v>
          </cell>
          <cell r="R16">
            <v>2</v>
          </cell>
          <cell r="S16">
            <v>7198000</v>
          </cell>
          <cell r="T16">
            <v>2</v>
          </cell>
          <cell r="U16">
            <v>13698000</v>
          </cell>
          <cell r="V16">
            <v>4</v>
          </cell>
          <cell r="W16">
            <v>14396000</v>
          </cell>
          <cell r="Z16">
            <v>1</v>
          </cell>
          <cell r="AA16">
            <v>9899000</v>
          </cell>
          <cell r="AB16">
            <v>4</v>
          </cell>
          <cell r="AC16">
            <v>21196000</v>
          </cell>
          <cell r="AL16">
            <v>4</v>
          </cell>
          <cell r="AM16">
            <v>22796000</v>
          </cell>
          <cell r="AX16">
            <v>43</v>
          </cell>
          <cell r="AY16">
            <v>182357000</v>
          </cell>
        </row>
        <row r="17">
          <cell r="B17">
            <v>6240705</v>
          </cell>
          <cell r="D17">
            <v>5</v>
          </cell>
          <cell r="E17">
            <v>11695000</v>
          </cell>
          <cell r="F17">
            <v>1</v>
          </cell>
          <cell r="G17">
            <v>2799000</v>
          </cell>
          <cell r="N17">
            <v>3</v>
          </cell>
          <cell r="O17">
            <v>13497000</v>
          </cell>
          <cell r="X17">
            <v>1</v>
          </cell>
          <cell r="Y17">
            <v>6299000</v>
          </cell>
          <cell r="AJ17">
            <v>1</v>
          </cell>
          <cell r="AK17">
            <v>4799000</v>
          </cell>
          <cell r="AL17">
            <v>3</v>
          </cell>
          <cell r="AM17">
            <v>17097000</v>
          </cell>
          <cell r="AX17">
            <v>14</v>
          </cell>
          <cell r="AY17">
            <v>56186000</v>
          </cell>
        </row>
        <row r="18">
          <cell r="B18">
            <v>6240707</v>
          </cell>
          <cell r="D18">
            <v>2</v>
          </cell>
          <cell r="E18">
            <v>4498000</v>
          </cell>
          <cell r="F18">
            <v>3</v>
          </cell>
          <cell r="G18">
            <v>7997000</v>
          </cell>
          <cell r="L18">
            <v>1</v>
          </cell>
          <cell r="M18">
            <v>8999000</v>
          </cell>
          <cell r="N18">
            <v>1</v>
          </cell>
          <cell r="O18">
            <v>3899000</v>
          </cell>
          <cell r="T18">
            <v>1</v>
          </cell>
          <cell r="U18">
            <v>6499000</v>
          </cell>
          <cell r="X18">
            <v>1</v>
          </cell>
          <cell r="Y18">
            <v>5499000</v>
          </cell>
          <cell r="Z18">
            <v>1</v>
          </cell>
          <cell r="AA18">
            <v>9899000</v>
          </cell>
          <cell r="AD18">
            <v>1</v>
          </cell>
          <cell r="AE18">
            <v>25999000</v>
          </cell>
          <cell r="AL18">
            <v>2</v>
          </cell>
          <cell r="AM18">
            <v>11398000</v>
          </cell>
          <cell r="AX18">
            <v>13</v>
          </cell>
          <cell r="AY18">
            <v>84687000</v>
          </cell>
        </row>
        <row r="19">
          <cell r="B19">
            <v>6240706</v>
          </cell>
          <cell r="D19">
            <v>2</v>
          </cell>
          <cell r="E19">
            <v>4798000</v>
          </cell>
          <cell r="F19">
            <v>3</v>
          </cell>
          <cell r="G19">
            <v>7997000</v>
          </cell>
          <cell r="L19">
            <v>2</v>
          </cell>
          <cell r="M19">
            <v>17998000</v>
          </cell>
          <cell r="N19">
            <v>1</v>
          </cell>
          <cell r="O19">
            <v>4299000</v>
          </cell>
          <cell r="P19">
            <v>1</v>
          </cell>
          <cell r="Q19">
            <v>3599000</v>
          </cell>
          <cell r="T19">
            <v>2</v>
          </cell>
          <cell r="U19">
            <v>12998000</v>
          </cell>
          <cell r="X19">
            <v>2</v>
          </cell>
          <cell r="Y19">
            <v>10998000</v>
          </cell>
          <cell r="AB19">
            <v>1</v>
          </cell>
          <cell r="AC19">
            <v>5299000</v>
          </cell>
          <cell r="AL19">
            <v>2</v>
          </cell>
          <cell r="AM19">
            <v>11398000</v>
          </cell>
          <cell r="AX19">
            <v>16</v>
          </cell>
          <cell r="AY19">
            <v>79384000</v>
          </cell>
        </row>
        <row r="20">
          <cell r="B20">
            <v>6240709</v>
          </cell>
          <cell r="F20">
            <v>1</v>
          </cell>
          <cell r="G20">
            <v>2399000</v>
          </cell>
          <cell r="L20">
            <v>1</v>
          </cell>
          <cell r="M20">
            <v>8999000</v>
          </cell>
          <cell r="N20">
            <v>3</v>
          </cell>
          <cell r="O20">
            <v>14697000</v>
          </cell>
          <cell r="Z20">
            <v>1</v>
          </cell>
          <cell r="AA20">
            <v>9899000</v>
          </cell>
          <cell r="AB20">
            <v>1</v>
          </cell>
          <cell r="AC20">
            <v>5999000</v>
          </cell>
          <cell r="AL20">
            <v>1</v>
          </cell>
          <cell r="AM20">
            <v>5699000</v>
          </cell>
          <cell r="AX20">
            <v>8</v>
          </cell>
          <cell r="AY20">
            <v>47692000</v>
          </cell>
        </row>
        <row r="21">
          <cell r="B21">
            <v>6240708</v>
          </cell>
          <cell r="D21">
            <v>5</v>
          </cell>
          <cell r="E21">
            <v>11395000</v>
          </cell>
          <cell r="F21">
            <v>2</v>
          </cell>
          <cell r="G21">
            <v>4798000</v>
          </cell>
          <cell r="L21">
            <v>1</v>
          </cell>
          <cell r="M21">
            <v>8999000</v>
          </cell>
          <cell r="N21">
            <v>1</v>
          </cell>
          <cell r="O21">
            <v>3899000</v>
          </cell>
          <cell r="T21">
            <v>1</v>
          </cell>
          <cell r="U21">
            <v>6499000</v>
          </cell>
          <cell r="Z21">
            <v>1</v>
          </cell>
          <cell r="AA21">
            <v>9899000</v>
          </cell>
          <cell r="AH21">
            <v>1</v>
          </cell>
          <cell r="AI21">
            <v>14999000</v>
          </cell>
          <cell r="AX21">
            <v>12</v>
          </cell>
          <cell r="AY21">
            <v>60488000</v>
          </cell>
        </row>
        <row r="22">
          <cell r="B22">
            <v>6220701</v>
          </cell>
          <cell r="D22">
            <v>8</v>
          </cell>
          <cell r="E22">
            <v>18292000</v>
          </cell>
          <cell r="F22">
            <v>1</v>
          </cell>
          <cell r="G22">
            <v>2399000</v>
          </cell>
          <cell r="L22">
            <v>3</v>
          </cell>
          <cell r="M22">
            <v>30997000</v>
          </cell>
          <cell r="N22">
            <v>2</v>
          </cell>
          <cell r="O22">
            <v>8598000</v>
          </cell>
          <cell r="T22">
            <v>3</v>
          </cell>
          <cell r="U22">
            <v>20897000</v>
          </cell>
          <cell r="V22">
            <v>1</v>
          </cell>
          <cell r="W22">
            <v>3599000</v>
          </cell>
          <cell r="X22">
            <v>1</v>
          </cell>
          <cell r="Y22">
            <v>6299000</v>
          </cell>
          <cell r="Z22">
            <v>2</v>
          </cell>
          <cell r="AA22">
            <v>19798000</v>
          </cell>
          <cell r="AB22">
            <v>2</v>
          </cell>
          <cell r="AC22">
            <v>10598000</v>
          </cell>
          <cell r="AH22">
            <v>3</v>
          </cell>
          <cell r="AI22">
            <v>48997000</v>
          </cell>
          <cell r="AJ22">
            <v>2</v>
          </cell>
          <cell r="AK22">
            <v>9598000</v>
          </cell>
          <cell r="AL22">
            <v>1</v>
          </cell>
          <cell r="AM22">
            <v>5699000</v>
          </cell>
          <cell r="AR22">
            <v>1</v>
          </cell>
          <cell r="AS22">
            <v>13999000</v>
          </cell>
          <cell r="AX22">
            <v>30</v>
          </cell>
          <cell r="AY22">
            <v>199770000</v>
          </cell>
        </row>
        <row r="23">
          <cell r="B23">
            <v>6050701</v>
          </cell>
          <cell r="D23">
            <v>6</v>
          </cell>
          <cell r="E23">
            <v>13194000</v>
          </cell>
          <cell r="L23">
            <v>3</v>
          </cell>
          <cell r="M23">
            <v>28997000</v>
          </cell>
          <cell r="N23">
            <v>3</v>
          </cell>
          <cell r="O23">
            <v>12097000</v>
          </cell>
          <cell r="R23">
            <v>2</v>
          </cell>
          <cell r="S23">
            <v>7198000</v>
          </cell>
          <cell r="V23">
            <v>1</v>
          </cell>
          <cell r="W23">
            <v>3599000</v>
          </cell>
          <cell r="X23">
            <v>4</v>
          </cell>
          <cell r="Y23">
            <v>21996000</v>
          </cell>
          <cell r="Z23">
            <v>1</v>
          </cell>
          <cell r="AA23">
            <v>9899000</v>
          </cell>
          <cell r="AH23">
            <v>2</v>
          </cell>
          <cell r="AI23">
            <v>33998000</v>
          </cell>
          <cell r="AJ23">
            <v>2</v>
          </cell>
          <cell r="AK23">
            <v>9598000</v>
          </cell>
          <cell r="AL23">
            <v>4</v>
          </cell>
          <cell r="AM23">
            <v>22796000</v>
          </cell>
          <cell r="AR23">
            <v>1</v>
          </cell>
          <cell r="AS23">
            <v>13999000</v>
          </cell>
          <cell r="AX23">
            <v>29</v>
          </cell>
          <cell r="AY23">
            <v>177371000</v>
          </cell>
        </row>
        <row r="24">
          <cell r="B24">
            <v>6050705</v>
          </cell>
          <cell r="D24">
            <v>5</v>
          </cell>
          <cell r="E24">
            <v>10795000</v>
          </cell>
          <cell r="F24">
            <v>3</v>
          </cell>
          <cell r="G24">
            <v>8397000</v>
          </cell>
          <cell r="H24">
            <v>1</v>
          </cell>
          <cell r="I24">
            <v>1799000</v>
          </cell>
          <cell r="L24">
            <v>4</v>
          </cell>
          <cell r="M24">
            <v>37996000</v>
          </cell>
          <cell r="N24">
            <v>1</v>
          </cell>
          <cell r="O24">
            <v>3899000</v>
          </cell>
          <cell r="P24">
            <v>1</v>
          </cell>
          <cell r="Q24">
            <v>3599000</v>
          </cell>
          <cell r="T24">
            <v>1</v>
          </cell>
          <cell r="U24">
            <v>6499000</v>
          </cell>
          <cell r="AB24">
            <v>2</v>
          </cell>
          <cell r="AC24">
            <v>11298000</v>
          </cell>
          <cell r="AJ24">
            <v>1</v>
          </cell>
          <cell r="AK24">
            <v>4799000</v>
          </cell>
          <cell r="AL24">
            <v>1</v>
          </cell>
          <cell r="AM24">
            <v>5699000</v>
          </cell>
          <cell r="AX24">
            <v>20</v>
          </cell>
          <cell r="AY24">
            <v>94780000</v>
          </cell>
        </row>
        <row r="25">
          <cell r="B25">
            <v>6190704</v>
          </cell>
          <cell r="D25">
            <v>18</v>
          </cell>
          <cell r="E25">
            <v>40182000</v>
          </cell>
          <cell r="F25">
            <v>7</v>
          </cell>
          <cell r="G25">
            <v>18793000</v>
          </cell>
          <cell r="L25">
            <v>2</v>
          </cell>
          <cell r="M25">
            <v>19998000</v>
          </cell>
          <cell r="N25">
            <v>6</v>
          </cell>
          <cell r="O25">
            <v>25794000</v>
          </cell>
          <cell r="T25">
            <v>2</v>
          </cell>
          <cell r="U25">
            <v>13698000</v>
          </cell>
          <cell r="V25">
            <v>1</v>
          </cell>
          <cell r="W25">
            <v>3599000</v>
          </cell>
          <cell r="AB25">
            <v>1</v>
          </cell>
          <cell r="AC25">
            <v>5299000</v>
          </cell>
          <cell r="AJ25">
            <v>3</v>
          </cell>
          <cell r="AK25">
            <v>14397000</v>
          </cell>
          <cell r="AL25">
            <v>3</v>
          </cell>
          <cell r="AM25">
            <v>17097000</v>
          </cell>
          <cell r="AX25">
            <v>43</v>
          </cell>
          <cell r="AY25">
            <v>158857000</v>
          </cell>
        </row>
        <row r="26">
          <cell r="B26">
            <v>6190701</v>
          </cell>
          <cell r="D26">
            <v>10</v>
          </cell>
          <cell r="E26">
            <v>23390000</v>
          </cell>
          <cell r="F26">
            <v>4</v>
          </cell>
          <cell r="G26">
            <v>10796000</v>
          </cell>
          <cell r="L26">
            <v>1</v>
          </cell>
          <cell r="M26">
            <v>10999000</v>
          </cell>
          <cell r="N26">
            <v>3</v>
          </cell>
          <cell r="O26">
            <v>12097000</v>
          </cell>
          <cell r="T26">
            <v>1</v>
          </cell>
          <cell r="U26">
            <v>6499000</v>
          </cell>
          <cell r="AF26">
            <v>1</v>
          </cell>
          <cell r="AG26">
            <v>13999000</v>
          </cell>
          <cell r="AH26">
            <v>4</v>
          </cell>
          <cell r="AI26">
            <v>63996000</v>
          </cell>
          <cell r="AJ26">
            <v>2</v>
          </cell>
          <cell r="AK26">
            <v>9598000</v>
          </cell>
          <cell r="AN26">
            <v>2</v>
          </cell>
          <cell r="AO26">
            <v>37998000</v>
          </cell>
          <cell r="AR26">
            <v>3</v>
          </cell>
          <cell r="AS26">
            <v>41997000</v>
          </cell>
          <cell r="AX26">
            <v>31</v>
          </cell>
          <cell r="AY26">
            <v>231369000</v>
          </cell>
        </row>
        <row r="27">
          <cell r="B27">
            <v>6190707</v>
          </cell>
          <cell r="D27">
            <v>28</v>
          </cell>
          <cell r="E27">
            <v>60572000</v>
          </cell>
          <cell r="F27">
            <v>14</v>
          </cell>
          <cell r="G27">
            <v>38386000</v>
          </cell>
          <cell r="L27">
            <v>3</v>
          </cell>
          <cell r="M27">
            <v>28997000</v>
          </cell>
          <cell r="N27">
            <v>2</v>
          </cell>
          <cell r="O27">
            <v>9798000</v>
          </cell>
          <cell r="P27">
            <v>1</v>
          </cell>
          <cell r="Q27">
            <v>3599000</v>
          </cell>
          <cell r="R27">
            <v>1</v>
          </cell>
          <cell r="S27">
            <v>3599000</v>
          </cell>
          <cell r="T27">
            <v>9</v>
          </cell>
          <cell r="U27">
            <v>59191000</v>
          </cell>
          <cell r="V27">
            <v>1</v>
          </cell>
          <cell r="W27">
            <v>3599000</v>
          </cell>
          <cell r="Z27">
            <v>1</v>
          </cell>
          <cell r="AA27">
            <v>9899000</v>
          </cell>
          <cell r="AB27">
            <v>2</v>
          </cell>
          <cell r="AC27">
            <v>10598000</v>
          </cell>
          <cell r="AH27">
            <v>3</v>
          </cell>
          <cell r="AI27">
            <v>48997000</v>
          </cell>
          <cell r="AJ27">
            <v>1</v>
          </cell>
          <cell r="AK27">
            <v>4799000</v>
          </cell>
          <cell r="AL27">
            <v>1</v>
          </cell>
          <cell r="AM27">
            <v>5699000</v>
          </cell>
          <cell r="AN27">
            <v>1</v>
          </cell>
          <cell r="AO27">
            <v>18999000</v>
          </cell>
          <cell r="AR27">
            <v>2</v>
          </cell>
          <cell r="AS27">
            <v>27998000</v>
          </cell>
          <cell r="AX27">
            <v>70</v>
          </cell>
          <cell r="AY27">
            <v>334730000</v>
          </cell>
        </row>
        <row r="28">
          <cell r="B28">
            <v>6190706</v>
          </cell>
          <cell r="D28">
            <v>24</v>
          </cell>
          <cell r="E28">
            <v>53076000</v>
          </cell>
          <cell r="F28">
            <v>8</v>
          </cell>
          <cell r="G28">
            <v>20792000</v>
          </cell>
          <cell r="L28">
            <v>3</v>
          </cell>
          <cell r="M28">
            <v>28997000</v>
          </cell>
          <cell r="N28">
            <v>5</v>
          </cell>
          <cell r="O28">
            <v>21495000</v>
          </cell>
          <cell r="P28">
            <v>1</v>
          </cell>
          <cell r="Q28">
            <v>3599000</v>
          </cell>
          <cell r="R28">
            <v>1</v>
          </cell>
          <cell r="S28">
            <v>3599000</v>
          </cell>
          <cell r="T28">
            <v>7</v>
          </cell>
          <cell r="U28">
            <v>46193000</v>
          </cell>
          <cell r="V28">
            <v>2</v>
          </cell>
          <cell r="W28">
            <v>7198000</v>
          </cell>
          <cell r="Z28">
            <v>1</v>
          </cell>
          <cell r="AA28">
            <v>9899000</v>
          </cell>
          <cell r="AJ28">
            <v>1</v>
          </cell>
          <cell r="AK28">
            <v>4799000</v>
          </cell>
          <cell r="AX28">
            <v>53</v>
          </cell>
          <cell r="AY28">
            <v>199647000</v>
          </cell>
        </row>
        <row r="29">
          <cell r="B29">
            <v>6190705</v>
          </cell>
          <cell r="D29">
            <v>11</v>
          </cell>
          <cell r="E29">
            <v>24289000</v>
          </cell>
          <cell r="F29">
            <v>4</v>
          </cell>
          <cell r="G29">
            <v>10796000</v>
          </cell>
          <cell r="N29">
            <v>3</v>
          </cell>
          <cell r="O29">
            <v>12897000</v>
          </cell>
          <cell r="R29">
            <v>1</v>
          </cell>
          <cell r="S29">
            <v>3599000</v>
          </cell>
          <cell r="T29">
            <v>2</v>
          </cell>
          <cell r="U29">
            <v>13698000</v>
          </cell>
          <cell r="Z29">
            <v>1</v>
          </cell>
          <cell r="AA29">
            <v>9899000</v>
          </cell>
          <cell r="AL29">
            <v>1</v>
          </cell>
          <cell r="AM29">
            <v>5699000</v>
          </cell>
          <cell r="AX29">
            <v>23</v>
          </cell>
          <cell r="AY29">
            <v>80877000</v>
          </cell>
        </row>
        <row r="30">
          <cell r="B30">
            <v>6190708</v>
          </cell>
          <cell r="D30">
            <v>2</v>
          </cell>
          <cell r="E30">
            <v>4798000</v>
          </cell>
          <cell r="X30">
            <v>1</v>
          </cell>
          <cell r="Y30">
            <v>6299000</v>
          </cell>
          <cell r="AJ30">
            <v>1</v>
          </cell>
          <cell r="AK30">
            <v>4799000</v>
          </cell>
          <cell r="AL30">
            <v>2</v>
          </cell>
          <cell r="AM30">
            <v>11398000</v>
          </cell>
          <cell r="AX30">
            <v>6</v>
          </cell>
          <cell r="AY30">
            <v>27294000</v>
          </cell>
        </row>
        <row r="31">
          <cell r="B31">
            <v>6180706</v>
          </cell>
          <cell r="D31">
            <v>10</v>
          </cell>
          <cell r="E31">
            <v>22790000</v>
          </cell>
          <cell r="F31">
            <v>6</v>
          </cell>
          <cell r="G31">
            <v>15994000</v>
          </cell>
          <cell r="L31">
            <v>7</v>
          </cell>
          <cell r="M31">
            <v>62993000</v>
          </cell>
          <cell r="N31">
            <v>6</v>
          </cell>
          <cell r="O31">
            <v>25594000</v>
          </cell>
          <cell r="P31">
            <v>1</v>
          </cell>
          <cell r="Q31">
            <v>3599000</v>
          </cell>
          <cell r="R31">
            <v>1</v>
          </cell>
          <cell r="S31">
            <v>3599000</v>
          </cell>
          <cell r="T31">
            <v>5</v>
          </cell>
          <cell r="U31">
            <v>33895000</v>
          </cell>
          <cell r="V31">
            <v>4</v>
          </cell>
          <cell r="W31">
            <v>14396000</v>
          </cell>
          <cell r="X31">
            <v>1</v>
          </cell>
          <cell r="Y31">
            <v>5499000</v>
          </cell>
          <cell r="Z31">
            <v>3</v>
          </cell>
          <cell r="AA31">
            <v>29697000</v>
          </cell>
          <cell r="AB31">
            <v>1</v>
          </cell>
          <cell r="AC31">
            <v>5299000</v>
          </cell>
          <cell r="AH31">
            <v>3</v>
          </cell>
          <cell r="AI31">
            <v>48997000</v>
          </cell>
          <cell r="AJ31">
            <v>4</v>
          </cell>
          <cell r="AK31">
            <v>19196000</v>
          </cell>
          <cell r="AL31">
            <v>8</v>
          </cell>
          <cell r="AM31">
            <v>45592000</v>
          </cell>
          <cell r="AN31">
            <v>1</v>
          </cell>
          <cell r="AO31">
            <v>18999000</v>
          </cell>
          <cell r="AR31">
            <v>1</v>
          </cell>
          <cell r="AS31">
            <v>13999000</v>
          </cell>
          <cell r="AX31">
            <v>62</v>
          </cell>
          <cell r="AY31">
            <v>370138000</v>
          </cell>
        </row>
        <row r="32">
          <cell r="B32">
            <v>6180707</v>
          </cell>
          <cell r="D32">
            <v>3</v>
          </cell>
          <cell r="E32">
            <v>7197000</v>
          </cell>
          <cell r="F32">
            <v>2</v>
          </cell>
          <cell r="G32">
            <v>5598000</v>
          </cell>
          <cell r="L32">
            <v>1</v>
          </cell>
          <cell r="M32">
            <v>8999000</v>
          </cell>
          <cell r="N32">
            <v>1</v>
          </cell>
          <cell r="O32">
            <v>4299000</v>
          </cell>
          <cell r="T32">
            <v>1</v>
          </cell>
          <cell r="U32">
            <v>6499000</v>
          </cell>
          <cell r="AB32">
            <v>1</v>
          </cell>
          <cell r="AC32">
            <v>5299000</v>
          </cell>
          <cell r="AH32">
            <v>1</v>
          </cell>
          <cell r="AI32">
            <v>14999000</v>
          </cell>
          <cell r="AJ32">
            <v>1</v>
          </cell>
          <cell r="AK32">
            <v>4799000</v>
          </cell>
          <cell r="AL32">
            <v>1</v>
          </cell>
          <cell r="AM32">
            <v>5699000</v>
          </cell>
          <cell r="AN32">
            <v>1</v>
          </cell>
          <cell r="AO32">
            <v>18999000</v>
          </cell>
          <cell r="AR32">
            <v>1</v>
          </cell>
          <cell r="AS32">
            <v>13999000</v>
          </cell>
          <cell r="AX32">
            <v>14</v>
          </cell>
          <cell r="AY32">
            <v>96386000</v>
          </cell>
        </row>
        <row r="33">
          <cell r="B33">
            <v>6130702</v>
          </cell>
          <cell r="D33">
            <v>1</v>
          </cell>
          <cell r="E33">
            <v>2399000</v>
          </cell>
          <cell r="F33">
            <v>3</v>
          </cell>
          <cell r="G33">
            <v>8397000</v>
          </cell>
          <cell r="J33">
            <v>1</v>
          </cell>
          <cell r="K33">
            <v>2999000</v>
          </cell>
          <cell r="L33">
            <v>1</v>
          </cell>
          <cell r="M33">
            <v>8999000</v>
          </cell>
          <cell r="R33">
            <v>1</v>
          </cell>
          <cell r="S33">
            <v>3599000</v>
          </cell>
          <cell r="T33">
            <v>2</v>
          </cell>
          <cell r="U33">
            <v>12998000</v>
          </cell>
          <cell r="V33">
            <v>2</v>
          </cell>
          <cell r="W33">
            <v>7198000</v>
          </cell>
          <cell r="X33">
            <v>3</v>
          </cell>
          <cell r="Y33">
            <v>18897000</v>
          </cell>
          <cell r="Z33">
            <v>1</v>
          </cell>
          <cell r="AA33">
            <v>9899000</v>
          </cell>
          <cell r="AB33">
            <v>2</v>
          </cell>
          <cell r="AC33">
            <v>10598000</v>
          </cell>
          <cell r="AF33">
            <v>1</v>
          </cell>
          <cell r="AG33">
            <v>13999000</v>
          </cell>
          <cell r="AJ33">
            <v>1</v>
          </cell>
          <cell r="AK33">
            <v>4799000</v>
          </cell>
          <cell r="AL33">
            <v>5</v>
          </cell>
          <cell r="AM33">
            <v>28495000</v>
          </cell>
          <cell r="AX33">
            <v>24</v>
          </cell>
          <cell r="AY33">
            <v>133276000</v>
          </cell>
        </row>
        <row r="34">
          <cell r="B34">
            <v>6140705</v>
          </cell>
          <cell r="D34">
            <v>2</v>
          </cell>
          <cell r="E34">
            <v>4498000</v>
          </cell>
          <cell r="F34">
            <v>1</v>
          </cell>
          <cell r="G34">
            <v>2799000</v>
          </cell>
          <cell r="L34">
            <v>6</v>
          </cell>
          <cell r="M34">
            <v>57994000</v>
          </cell>
          <cell r="N34">
            <v>4</v>
          </cell>
          <cell r="O34">
            <v>16396000</v>
          </cell>
          <cell r="T34">
            <v>1</v>
          </cell>
          <cell r="U34">
            <v>6499000</v>
          </cell>
          <cell r="Z34">
            <v>3</v>
          </cell>
          <cell r="AA34">
            <v>29697000</v>
          </cell>
          <cell r="AB34">
            <v>2</v>
          </cell>
          <cell r="AC34">
            <v>10598000</v>
          </cell>
          <cell r="AJ34">
            <v>1</v>
          </cell>
          <cell r="AK34">
            <v>4799000</v>
          </cell>
          <cell r="AL34">
            <v>5</v>
          </cell>
          <cell r="AM34">
            <v>28495000</v>
          </cell>
          <cell r="AP34">
            <v>1</v>
          </cell>
          <cell r="AQ34">
            <v>24999000</v>
          </cell>
          <cell r="AX34">
            <v>26</v>
          </cell>
          <cell r="AY34">
            <v>186774000</v>
          </cell>
        </row>
        <row r="35">
          <cell r="B35">
            <v>6140706</v>
          </cell>
          <cell r="F35">
            <v>1</v>
          </cell>
          <cell r="G35">
            <v>2799000</v>
          </cell>
          <cell r="L35">
            <v>2</v>
          </cell>
          <cell r="M35">
            <v>17998000</v>
          </cell>
          <cell r="N35">
            <v>1</v>
          </cell>
          <cell r="O35">
            <v>4299000</v>
          </cell>
          <cell r="T35">
            <v>1</v>
          </cell>
          <cell r="U35">
            <v>7199000</v>
          </cell>
          <cell r="Z35">
            <v>1</v>
          </cell>
          <cell r="AA35">
            <v>9899000</v>
          </cell>
          <cell r="AJ35">
            <v>1</v>
          </cell>
          <cell r="AK35">
            <v>4799000</v>
          </cell>
          <cell r="AX35">
            <v>7</v>
          </cell>
          <cell r="AY35">
            <v>46993000</v>
          </cell>
        </row>
        <row r="36">
          <cell r="B36">
            <v>6080712</v>
          </cell>
          <cell r="D36">
            <v>6</v>
          </cell>
          <cell r="E36">
            <v>13494000</v>
          </cell>
          <cell r="F36">
            <v>4</v>
          </cell>
          <cell r="G36">
            <v>10396000</v>
          </cell>
          <cell r="L36">
            <v>2</v>
          </cell>
          <cell r="M36">
            <v>17998000</v>
          </cell>
          <cell r="N36">
            <v>1</v>
          </cell>
          <cell r="O36">
            <v>4299000</v>
          </cell>
          <cell r="T36">
            <v>6</v>
          </cell>
          <cell r="U36">
            <v>38994000</v>
          </cell>
          <cell r="V36">
            <v>2</v>
          </cell>
          <cell r="W36">
            <v>7198000</v>
          </cell>
          <cell r="X36">
            <v>1</v>
          </cell>
          <cell r="Y36">
            <v>6299000</v>
          </cell>
          <cell r="AF36">
            <v>1</v>
          </cell>
          <cell r="AG36">
            <v>15999000</v>
          </cell>
          <cell r="AH36">
            <v>3</v>
          </cell>
          <cell r="AI36">
            <v>48997000</v>
          </cell>
          <cell r="AJ36">
            <v>1</v>
          </cell>
          <cell r="AK36">
            <v>4799000</v>
          </cell>
          <cell r="AN36">
            <v>1</v>
          </cell>
          <cell r="AO36">
            <v>18999000</v>
          </cell>
          <cell r="AR36">
            <v>2</v>
          </cell>
          <cell r="AS36">
            <v>27998000</v>
          </cell>
          <cell r="AX36">
            <v>30</v>
          </cell>
          <cell r="AY36">
            <v>215470000</v>
          </cell>
        </row>
        <row r="37">
          <cell r="B37">
            <v>6040701</v>
          </cell>
          <cell r="D37">
            <v>6</v>
          </cell>
          <cell r="E37">
            <v>13794000</v>
          </cell>
          <cell r="F37">
            <v>7</v>
          </cell>
          <cell r="G37">
            <v>17593000</v>
          </cell>
          <cell r="L37">
            <v>2</v>
          </cell>
          <cell r="M37">
            <v>17998000</v>
          </cell>
          <cell r="N37">
            <v>3</v>
          </cell>
          <cell r="O37">
            <v>11697000</v>
          </cell>
          <cell r="R37">
            <v>1</v>
          </cell>
          <cell r="S37">
            <v>3599000</v>
          </cell>
          <cell r="T37">
            <v>3</v>
          </cell>
          <cell r="U37">
            <v>19497000</v>
          </cell>
          <cell r="X37">
            <v>4</v>
          </cell>
          <cell r="Y37">
            <v>22796000</v>
          </cell>
          <cell r="Z37">
            <v>2</v>
          </cell>
          <cell r="AA37">
            <v>19798000</v>
          </cell>
          <cell r="AB37">
            <v>1</v>
          </cell>
          <cell r="AC37">
            <v>5299000</v>
          </cell>
          <cell r="AF37">
            <v>1</v>
          </cell>
          <cell r="AG37">
            <v>13999000</v>
          </cell>
          <cell r="AL37">
            <v>3</v>
          </cell>
          <cell r="AM37">
            <v>17097000</v>
          </cell>
          <cell r="AX37">
            <v>33</v>
          </cell>
          <cell r="AY37">
            <v>163167000</v>
          </cell>
        </row>
        <row r="38">
          <cell r="B38">
            <v>6040702</v>
          </cell>
          <cell r="D38">
            <v>2</v>
          </cell>
          <cell r="E38">
            <v>4498000</v>
          </cell>
          <cell r="F38">
            <v>3</v>
          </cell>
          <cell r="G38">
            <v>7597000</v>
          </cell>
          <cell r="L38">
            <v>3</v>
          </cell>
          <cell r="M38">
            <v>28997000</v>
          </cell>
          <cell r="Z38">
            <v>1</v>
          </cell>
          <cell r="AA38">
            <v>9899000</v>
          </cell>
          <cell r="AB38">
            <v>1</v>
          </cell>
          <cell r="AC38">
            <v>5299000</v>
          </cell>
          <cell r="AH38">
            <v>2</v>
          </cell>
          <cell r="AI38">
            <v>33998000</v>
          </cell>
          <cell r="AL38">
            <v>2</v>
          </cell>
          <cell r="AM38">
            <v>11398000</v>
          </cell>
          <cell r="AR38">
            <v>1</v>
          </cell>
          <cell r="AS38">
            <v>13999000</v>
          </cell>
          <cell r="AX38">
            <v>15</v>
          </cell>
          <cell r="AY38">
            <v>115685000</v>
          </cell>
        </row>
        <row r="39">
          <cell r="B39">
            <v>6040703</v>
          </cell>
          <cell r="D39">
            <v>3</v>
          </cell>
          <cell r="E39">
            <v>7197000</v>
          </cell>
          <cell r="F39">
            <v>5</v>
          </cell>
          <cell r="G39">
            <v>13595000</v>
          </cell>
          <cell r="L39">
            <v>3</v>
          </cell>
          <cell r="M39">
            <v>26997000</v>
          </cell>
          <cell r="N39">
            <v>2</v>
          </cell>
          <cell r="O39">
            <v>7798000</v>
          </cell>
          <cell r="R39">
            <v>1</v>
          </cell>
          <cell r="S39">
            <v>3599000</v>
          </cell>
          <cell r="T39">
            <v>1</v>
          </cell>
          <cell r="U39">
            <v>7199000</v>
          </cell>
          <cell r="V39">
            <v>3</v>
          </cell>
          <cell r="W39">
            <v>10797000</v>
          </cell>
          <cell r="X39">
            <v>1</v>
          </cell>
          <cell r="Y39">
            <v>5499000</v>
          </cell>
          <cell r="Z39">
            <v>2</v>
          </cell>
          <cell r="AA39">
            <v>19798000</v>
          </cell>
          <cell r="AB39">
            <v>1</v>
          </cell>
          <cell r="AC39">
            <v>5999000</v>
          </cell>
          <cell r="AH39">
            <v>2</v>
          </cell>
          <cell r="AI39">
            <v>33998000</v>
          </cell>
          <cell r="AL39">
            <v>3</v>
          </cell>
          <cell r="AM39">
            <v>17097000</v>
          </cell>
          <cell r="AR39">
            <v>1</v>
          </cell>
          <cell r="AS39">
            <v>13999000</v>
          </cell>
          <cell r="AX39">
            <v>28</v>
          </cell>
          <cell r="AY39">
            <v>173572000</v>
          </cell>
        </row>
        <row r="40">
          <cell r="B40">
            <v>6020711</v>
          </cell>
          <cell r="D40">
            <v>10</v>
          </cell>
          <cell r="E40">
            <v>22190000</v>
          </cell>
          <cell r="F40">
            <v>8</v>
          </cell>
          <cell r="G40">
            <v>21192000</v>
          </cell>
          <cell r="L40">
            <v>5</v>
          </cell>
          <cell r="M40">
            <v>46995000</v>
          </cell>
          <cell r="N40">
            <v>3</v>
          </cell>
          <cell r="O40">
            <v>12097000</v>
          </cell>
          <cell r="P40">
            <v>2</v>
          </cell>
          <cell r="Q40">
            <v>7198000</v>
          </cell>
          <cell r="R40">
            <v>1</v>
          </cell>
          <cell r="S40">
            <v>3599000</v>
          </cell>
          <cell r="T40">
            <v>4</v>
          </cell>
          <cell r="U40">
            <v>26696000</v>
          </cell>
          <cell r="V40">
            <v>1</v>
          </cell>
          <cell r="W40">
            <v>3599000</v>
          </cell>
          <cell r="Z40">
            <v>1</v>
          </cell>
          <cell r="AA40">
            <v>9899000</v>
          </cell>
          <cell r="AB40">
            <v>1</v>
          </cell>
          <cell r="AC40">
            <v>5999000</v>
          </cell>
          <cell r="AF40">
            <v>1</v>
          </cell>
          <cell r="AG40">
            <v>13999000</v>
          </cell>
          <cell r="AJ40">
            <v>1</v>
          </cell>
          <cell r="AK40">
            <v>4799000</v>
          </cell>
          <cell r="AV40">
            <v>1</v>
          </cell>
          <cell r="AW40">
            <v>14999000</v>
          </cell>
          <cell r="AX40">
            <v>39</v>
          </cell>
          <cell r="AY40">
            <v>193261000</v>
          </cell>
        </row>
        <row r="41">
          <cell r="B41">
            <v>6020706</v>
          </cell>
          <cell r="D41">
            <v>20</v>
          </cell>
          <cell r="E41">
            <v>44980000</v>
          </cell>
          <cell r="F41">
            <v>2</v>
          </cell>
          <cell r="G41">
            <v>5598000</v>
          </cell>
          <cell r="L41">
            <v>1</v>
          </cell>
          <cell r="M41">
            <v>8999000</v>
          </cell>
          <cell r="N41">
            <v>8</v>
          </cell>
          <cell r="O41">
            <v>33792000</v>
          </cell>
          <cell r="T41">
            <v>7</v>
          </cell>
          <cell r="U41">
            <v>47593000</v>
          </cell>
          <cell r="Z41">
            <v>2</v>
          </cell>
          <cell r="AA41">
            <v>19798000</v>
          </cell>
          <cell r="AJ41">
            <v>1</v>
          </cell>
          <cell r="AK41">
            <v>4799000</v>
          </cell>
          <cell r="AL41">
            <v>6</v>
          </cell>
          <cell r="AM41">
            <v>34194000</v>
          </cell>
          <cell r="AX41">
            <v>47</v>
          </cell>
          <cell r="AY41">
            <v>199753000</v>
          </cell>
        </row>
        <row r="42">
          <cell r="B42">
            <v>6020704</v>
          </cell>
          <cell r="D42">
            <v>16</v>
          </cell>
          <cell r="E42">
            <v>36884000</v>
          </cell>
          <cell r="F42">
            <v>1</v>
          </cell>
          <cell r="G42">
            <v>2799000</v>
          </cell>
          <cell r="L42">
            <v>1</v>
          </cell>
          <cell r="M42">
            <v>8999000</v>
          </cell>
          <cell r="N42">
            <v>4</v>
          </cell>
          <cell r="O42">
            <v>17996000</v>
          </cell>
          <cell r="R42">
            <v>1</v>
          </cell>
          <cell r="S42">
            <v>3599000</v>
          </cell>
          <cell r="T42">
            <v>1</v>
          </cell>
          <cell r="U42">
            <v>6499000</v>
          </cell>
          <cell r="X42">
            <v>1</v>
          </cell>
          <cell r="Y42">
            <v>5499000</v>
          </cell>
          <cell r="AJ42">
            <v>2</v>
          </cell>
          <cell r="AK42">
            <v>9598000</v>
          </cell>
          <cell r="AX42">
            <v>27</v>
          </cell>
          <cell r="AY42">
            <v>91873000</v>
          </cell>
        </row>
        <row r="43">
          <cell r="B43">
            <v>6010708</v>
          </cell>
          <cell r="D43">
            <v>21</v>
          </cell>
          <cell r="E43">
            <v>47979000</v>
          </cell>
          <cell r="F43">
            <v>3</v>
          </cell>
          <cell r="G43">
            <v>7997000</v>
          </cell>
          <cell r="L43">
            <v>3</v>
          </cell>
          <cell r="M43">
            <v>30997000</v>
          </cell>
          <cell r="N43">
            <v>2</v>
          </cell>
          <cell r="O43">
            <v>7798000</v>
          </cell>
          <cell r="T43">
            <v>4</v>
          </cell>
          <cell r="U43">
            <v>26696000</v>
          </cell>
          <cell r="V43">
            <v>3</v>
          </cell>
          <cell r="W43">
            <v>10797000</v>
          </cell>
          <cell r="X43">
            <v>1</v>
          </cell>
          <cell r="Y43">
            <v>6299000</v>
          </cell>
          <cell r="Z43">
            <v>3</v>
          </cell>
          <cell r="AA43">
            <v>29697000</v>
          </cell>
          <cell r="AB43">
            <v>2</v>
          </cell>
          <cell r="AC43">
            <v>11298000</v>
          </cell>
          <cell r="AD43">
            <v>2</v>
          </cell>
          <cell r="AE43">
            <v>51998000</v>
          </cell>
          <cell r="AF43">
            <v>2</v>
          </cell>
          <cell r="AG43">
            <v>27998000</v>
          </cell>
          <cell r="AJ43">
            <v>1</v>
          </cell>
          <cell r="AK43">
            <v>4799000</v>
          </cell>
          <cell r="AL43">
            <v>1</v>
          </cell>
          <cell r="AM43">
            <v>5699000</v>
          </cell>
          <cell r="AV43">
            <v>2</v>
          </cell>
          <cell r="AW43">
            <v>29998000</v>
          </cell>
          <cell r="AX43">
            <v>50</v>
          </cell>
          <cell r="AY43">
            <v>300050000</v>
          </cell>
        </row>
        <row r="44">
          <cell r="B44">
            <v>6010703</v>
          </cell>
          <cell r="D44">
            <v>28</v>
          </cell>
          <cell r="E44">
            <v>59372000</v>
          </cell>
          <cell r="F44">
            <v>6</v>
          </cell>
          <cell r="G44">
            <v>15994000</v>
          </cell>
          <cell r="N44">
            <v>2</v>
          </cell>
          <cell r="O44">
            <v>8198000</v>
          </cell>
          <cell r="P44">
            <v>1</v>
          </cell>
          <cell r="Q44">
            <v>3599000</v>
          </cell>
          <cell r="T44">
            <v>1</v>
          </cell>
          <cell r="U44">
            <v>7199000</v>
          </cell>
          <cell r="V44">
            <v>3</v>
          </cell>
          <cell r="W44">
            <v>10797000</v>
          </cell>
          <cell r="AL44">
            <v>3</v>
          </cell>
          <cell r="AM44">
            <v>17097000</v>
          </cell>
          <cell r="AX44">
            <v>44</v>
          </cell>
          <cell r="AY44">
            <v>122256000</v>
          </cell>
        </row>
        <row r="45">
          <cell r="B45">
            <v>6010702</v>
          </cell>
          <cell r="D45">
            <v>63</v>
          </cell>
          <cell r="E45">
            <v>137037000</v>
          </cell>
          <cell r="F45">
            <v>12</v>
          </cell>
          <cell r="G45">
            <v>31188000</v>
          </cell>
          <cell r="L45">
            <v>5</v>
          </cell>
          <cell r="M45">
            <v>50995000</v>
          </cell>
          <cell r="N45">
            <v>9</v>
          </cell>
          <cell r="O45">
            <v>39491000</v>
          </cell>
          <cell r="P45">
            <v>1</v>
          </cell>
          <cell r="Q45">
            <v>3599000</v>
          </cell>
          <cell r="T45">
            <v>4</v>
          </cell>
          <cell r="U45">
            <v>26696000</v>
          </cell>
          <cell r="V45">
            <v>4</v>
          </cell>
          <cell r="W45">
            <v>14396000</v>
          </cell>
          <cell r="X45">
            <v>1</v>
          </cell>
          <cell r="Y45">
            <v>5499000</v>
          </cell>
          <cell r="Z45">
            <v>1</v>
          </cell>
          <cell r="AA45">
            <v>9899000</v>
          </cell>
          <cell r="AB45">
            <v>1</v>
          </cell>
          <cell r="AC45">
            <v>5999000</v>
          </cell>
          <cell r="AL45">
            <v>4</v>
          </cell>
          <cell r="AM45">
            <v>22796000</v>
          </cell>
          <cell r="AX45">
            <v>105</v>
          </cell>
          <cell r="AY45">
            <v>347595000</v>
          </cell>
        </row>
        <row r="46">
          <cell r="B46">
            <v>6010701</v>
          </cell>
          <cell r="D46">
            <v>46</v>
          </cell>
          <cell r="E46">
            <v>100154000</v>
          </cell>
          <cell r="F46">
            <v>21</v>
          </cell>
          <cell r="G46">
            <v>55179000</v>
          </cell>
          <cell r="L46">
            <v>3</v>
          </cell>
          <cell r="M46">
            <v>26997000</v>
          </cell>
          <cell r="N46">
            <v>8</v>
          </cell>
          <cell r="O46">
            <v>33792000</v>
          </cell>
          <cell r="P46">
            <v>3</v>
          </cell>
          <cell r="Q46">
            <v>10797000</v>
          </cell>
          <cell r="R46">
            <v>2</v>
          </cell>
          <cell r="S46">
            <v>7198000</v>
          </cell>
          <cell r="T46">
            <v>8</v>
          </cell>
          <cell r="U46">
            <v>53392000</v>
          </cell>
          <cell r="V46">
            <v>7</v>
          </cell>
          <cell r="W46">
            <v>25193000</v>
          </cell>
          <cell r="X46">
            <v>5</v>
          </cell>
          <cell r="Y46">
            <v>29095000</v>
          </cell>
          <cell r="AB46">
            <v>3</v>
          </cell>
          <cell r="AC46">
            <v>17297000</v>
          </cell>
          <cell r="AJ46">
            <v>2</v>
          </cell>
          <cell r="AK46">
            <v>9598000</v>
          </cell>
          <cell r="AL46">
            <v>5</v>
          </cell>
          <cell r="AM46">
            <v>28495000</v>
          </cell>
          <cell r="AX46">
            <v>113</v>
          </cell>
          <cell r="AY46">
            <v>397187000</v>
          </cell>
        </row>
        <row r="47">
          <cell r="B47">
            <v>6010710</v>
          </cell>
          <cell r="D47">
            <v>26</v>
          </cell>
          <cell r="E47">
            <v>55774000</v>
          </cell>
          <cell r="F47">
            <v>2</v>
          </cell>
          <cell r="G47">
            <v>5198000</v>
          </cell>
          <cell r="L47">
            <v>1</v>
          </cell>
          <cell r="M47">
            <v>8999000</v>
          </cell>
          <cell r="N47">
            <v>2</v>
          </cell>
          <cell r="O47">
            <v>7798000</v>
          </cell>
          <cell r="T47">
            <v>3</v>
          </cell>
          <cell r="U47">
            <v>19497000</v>
          </cell>
          <cell r="V47">
            <v>5</v>
          </cell>
          <cell r="W47">
            <v>17995000</v>
          </cell>
          <cell r="X47">
            <v>2</v>
          </cell>
          <cell r="Y47">
            <v>10998000</v>
          </cell>
          <cell r="AH47">
            <v>1</v>
          </cell>
          <cell r="AI47">
            <v>18999000</v>
          </cell>
          <cell r="AJ47">
            <v>1</v>
          </cell>
          <cell r="AK47">
            <v>4799000</v>
          </cell>
          <cell r="AL47">
            <v>1</v>
          </cell>
          <cell r="AM47">
            <v>5699000</v>
          </cell>
          <cell r="AX47">
            <v>44</v>
          </cell>
          <cell r="AY47">
            <v>155756000</v>
          </cell>
        </row>
        <row r="48">
          <cell r="B48">
            <v>6010709</v>
          </cell>
          <cell r="D48">
            <v>99</v>
          </cell>
          <cell r="E48">
            <v>212601000</v>
          </cell>
          <cell r="F48">
            <v>19</v>
          </cell>
          <cell r="G48">
            <v>50381000</v>
          </cell>
          <cell r="L48">
            <v>1</v>
          </cell>
          <cell r="M48">
            <v>8999000</v>
          </cell>
          <cell r="N48">
            <v>8</v>
          </cell>
          <cell r="O48">
            <v>36392000</v>
          </cell>
          <cell r="P48">
            <v>2</v>
          </cell>
          <cell r="Q48">
            <v>7198000</v>
          </cell>
          <cell r="R48">
            <v>2</v>
          </cell>
          <cell r="S48">
            <v>7198000</v>
          </cell>
          <cell r="T48">
            <v>2</v>
          </cell>
          <cell r="U48">
            <v>13698000</v>
          </cell>
          <cell r="V48">
            <v>6</v>
          </cell>
          <cell r="W48">
            <v>21594000</v>
          </cell>
          <cell r="X48">
            <v>3</v>
          </cell>
          <cell r="Y48">
            <v>16497000</v>
          </cell>
          <cell r="Z48">
            <v>1</v>
          </cell>
          <cell r="AA48">
            <v>9899000</v>
          </cell>
          <cell r="AB48">
            <v>1</v>
          </cell>
          <cell r="AC48">
            <v>5299000</v>
          </cell>
          <cell r="AJ48">
            <v>4</v>
          </cell>
          <cell r="AK48">
            <v>19196000</v>
          </cell>
          <cell r="AL48">
            <v>4</v>
          </cell>
          <cell r="AM48">
            <v>22796000</v>
          </cell>
          <cell r="AX48">
            <v>152</v>
          </cell>
          <cell r="AY48">
            <v>431748000</v>
          </cell>
        </row>
        <row r="49">
          <cell r="B49">
            <v>6010711</v>
          </cell>
          <cell r="F49">
            <v>2</v>
          </cell>
          <cell r="G49">
            <v>5598000</v>
          </cell>
          <cell r="N49">
            <v>2</v>
          </cell>
          <cell r="O49">
            <v>7798000</v>
          </cell>
          <cell r="T49">
            <v>1</v>
          </cell>
          <cell r="U49">
            <v>7199000</v>
          </cell>
          <cell r="AL49">
            <v>1</v>
          </cell>
          <cell r="AM49">
            <v>5699000</v>
          </cell>
          <cell r="AV49">
            <v>1</v>
          </cell>
          <cell r="AW49">
            <v>14999000</v>
          </cell>
          <cell r="AX49">
            <v>7</v>
          </cell>
          <cell r="AY49">
            <v>41293000</v>
          </cell>
        </row>
        <row r="50">
          <cell r="B50">
            <v>6100702</v>
          </cell>
          <cell r="D50">
            <v>2</v>
          </cell>
          <cell r="E50">
            <v>4498000</v>
          </cell>
          <cell r="F50">
            <v>3</v>
          </cell>
          <cell r="G50">
            <v>7597000</v>
          </cell>
          <cell r="H50">
            <v>1</v>
          </cell>
          <cell r="I50">
            <v>1799000</v>
          </cell>
          <cell r="L50">
            <v>1</v>
          </cell>
          <cell r="M50">
            <v>8999000</v>
          </cell>
          <cell r="N50">
            <v>1</v>
          </cell>
          <cell r="O50">
            <v>4299000</v>
          </cell>
          <cell r="T50">
            <v>2</v>
          </cell>
          <cell r="U50">
            <v>12998000</v>
          </cell>
          <cell r="V50">
            <v>2</v>
          </cell>
          <cell r="W50">
            <v>7198000</v>
          </cell>
          <cell r="X50">
            <v>2</v>
          </cell>
          <cell r="Y50">
            <v>10998000</v>
          </cell>
          <cell r="Z50">
            <v>1</v>
          </cell>
          <cell r="AA50">
            <v>9899000</v>
          </cell>
          <cell r="AB50">
            <v>2</v>
          </cell>
          <cell r="AC50">
            <v>10598000</v>
          </cell>
          <cell r="AD50">
            <v>2</v>
          </cell>
          <cell r="AE50">
            <v>51998000</v>
          </cell>
          <cell r="AJ50">
            <v>2</v>
          </cell>
          <cell r="AK50">
            <v>9598000</v>
          </cell>
          <cell r="AL50">
            <v>3</v>
          </cell>
          <cell r="AM50">
            <v>17097000</v>
          </cell>
          <cell r="AT50">
            <v>1</v>
          </cell>
          <cell r="AU50">
            <v>18999000</v>
          </cell>
          <cell r="AX50">
            <v>25</v>
          </cell>
          <cell r="AY50">
            <v>176575000</v>
          </cell>
        </row>
        <row r="51">
          <cell r="B51">
            <v>6150702</v>
          </cell>
          <cell r="F51">
            <v>2</v>
          </cell>
          <cell r="G51">
            <v>5198000</v>
          </cell>
          <cell r="AX51">
            <v>2</v>
          </cell>
          <cell r="AY51">
            <v>5198000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>
            <v>1</v>
          </cell>
          <cell r="B5" t="str">
            <v>601 雅加达西北 JKT BU</v>
          </cell>
          <cell r="C5">
            <v>6010708</v>
          </cell>
          <cell r="D5" t="str">
            <v>6010708-MVS SHOWROOM CENTRAL PARK</v>
          </cell>
          <cell r="E5" t="str">
            <v>NANDI FEBRIANA</v>
          </cell>
        </row>
        <row r="6">
          <cell r="A6">
            <v>2</v>
          </cell>
          <cell r="B6" t="str">
            <v>601 雅加达西北 JKT BU</v>
          </cell>
          <cell r="C6">
            <v>6010701</v>
          </cell>
          <cell r="D6" t="str">
            <v>6010701-MVS ROXY SHOWROOM 21</v>
          </cell>
          <cell r="E6" t="str">
            <v>ANGGARIA</v>
          </cell>
        </row>
        <row r="7">
          <cell r="A7">
            <v>3</v>
          </cell>
          <cell r="B7" t="str">
            <v>601 雅加达西北 JKT BU</v>
          </cell>
          <cell r="C7">
            <v>6010702</v>
          </cell>
          <cell r="D7" t="str">
            <v>6010702-ME ROXY PAMERAN TIMUR</v>
          </cell>
          <cell r="E7" t="str">
            <v>ANGGARIA</v>
          </cell>
        </row>
        <row r="8">
          <cell r="A8">
            <v>4</v>
          </cell>
          <cell r="B8" t="str">
            <v>601 雅加达西北 JKT BU</v>
          </cell>
          <cell r="C8">
            <v>6010703</v>
          </cell>
          <cell r="D8" t="str">
            <v>6010703-VIVO STORE WINSHOP</v>
          </cell>
          <cell r="E8" t="str">
            <v>NUR IRAWATI</v>
          </cell>
        </row>
        <row r="9">
          <cell r="A9">
            <v>5</v>
          </cell>
          <cell r="B9" t="str">
            <v>601 雅加达西北 JKT BU</v>
          </cell>
          <cell r="C9">
            <v>6010709</v>
          </cell>
          <cell r="D9" t="str">
            <v>A100303-PAMERAN UTARA</v>
          </cell>
          <cell r="E9" t="str">
            <v>NUR IRAWATI</v>
          </cell>
        </row>
        <row r="10">
          <cell r="A10">
            <v>6</v>
          </cell>
          <cell r="B10" t="str">
            <v>601 雅加达西北 JKT BU</v>
          </cell>
          <cell r="C10">
            <v>6010710</v>
          </cell>
          <cell r="D10" t="str">
            <v>A100304-PAMERAN SELATAN</v>
          </cell>
          <cell r="E10" t="str">
            <v>NUR IRAWATI</v>
          </cell>
        </row>
        <row r="11">
          <cell r="A11">
            <v>7</v>
          </cell>
          <cell r="B11" t="str">
            <v>601 雅加达西北 JKT BU</v>
          </cell>
          <cell r="C11">
            <v>6020711</v>
          </cell>
          <cell r="D11" t="str">
            <v>6020711-vivostore emporium</v>
          </cell>
          <cell r="E11" t="str">
            <v>M KHOIRUDIN</v>
          </cell>
        </row>
        <row r="12">
          <cell r="A12">
            <v>8</v>
          </cell>
          <cell r="B12" t="str">
            <v>601 雅加达西北 JKT BU</v>
          </cell>
          <cell r="C12">
            <v>6010711</v>
          </cell>
          <cell r="D12" t="str">
            <v>6010711-LIPPO MALL PURI 1FK02</v>
          </cell>
          <cell r="E12" t="str">
            <v>HERRU ILYASA</v>
          </cell>
        </row>
        <row r="13">
          <cell r="A13">
            <v>9</v>
          </cell>
          <cell r="B13" t="str">
            <v>601 雅加达西北 JKT BU</v>
          </cell>
          <cell r="C13">
            <v>6020706</v>
          </cell>
          <cell r="D13" t="str">
            <v>6020706-MVS CEMPAKA SHOWROOM 2 (454)</v>
          </cell>
          <cell r="E13" t="str">
            <v>NOVIA HARYANTI</v>
          </cell>
        </row>
        <row r="14">
          <cell r="A14">
            <v>10</v>
          </cell>
          <cell r="B14" t="str">
            <v>601 雅加达西北 JKT BU</v>
          </cell>
          <cell r="C14">
            <v>6020704</v>
          </cell>
          <cell r="D14" t="str">
            <v>6020704-MVS CEMPAKA SHOWROOM 14 (8TOKO)</v>
          </cell>
          <cell r="E14" t="str">
            <v>NOVIA HARYANTI</v>
          </cell>
        </row>
        <row r="15">
          <cell r="A15">
            <v>11</v>
          </cell>
          <cell r="B15" t="str">
            <v>604 雅加达东南 JKT TS</v>
          </cell>
          <cell r="C15">
            <v>6040701</v>
          </cell>
          <cell r="D15" t="str">
            <v>A200402-ITC-VIVO STORE 1</v>
          </cell>
          <cell r="E15" t="str">
            <v>Erlangga Pradita</v>
          </cell>
        </row>
        <row r="16">
          <cell r="A16">
            <v>12</v>
          </cell>
          <cell r="B16" t="str">
            <v>604 雅加达东南 JKT TS</v>
          </cell>
          <cell r="C16">
            <v>6080712</v>
          </cell>
          <cell r="D16" t="str">
            <v>6080712-MVS ITC DEPOK VIVO STORE 2</v>
          </cell>
          <cell r="E16" t="str">
            <v>Erlangga Pradita</v>
          </cell>
        </row>
        <row r="17">
          <cell r="A17">
            <v>13</v>
          </cell>
          <cell r="B17" t="str">
            <v>604 雅加达东南 JKT TS</v>
          </cell>
          <cell r="C17">
            <v>6040702</v>
          </cell>
          <cell r="D17" t="str">
            <v>6040702-TRAN STUDIO MALL 2F059</v>
          </cell>
          <cell r="E17" t="str">
            <v>Erlangga Pradita</v>
          </cell>
        </row>
        <row r="18">
          <cell r="A18">
            <v>14</v>
          </cell>
          <cell r="B18" t="str">
            <v>604 雅加达东南 JKT TS</v>
          </cell>
          <cell r="C18">
            <v>6040703</v>
          </cell>
          <cell r="D18" t="str">
            <v>6040703-SAWANGAN 1F1-0320</v>
          </cell>
          <cell r="E18" t="str">
            <v>Erlangga Pradita</v>
          </cell>
        </row>
        <row r="19">
          <cell r="A19">
            <v>15</v>
          </cell>
          <cell r="B19" t="str">
            <v>605 勿加泗 BEKASI</v>
          </cell>
          <cell r="C19">
            <v>6050701</v>
          </cell>
          <cell r="D19" t="str">
            <v>6050701-MVS X6 DS0824</v>
          </cell>
          <cell r="E19" t="str">
            <v>M RIZKI</v>
          </cell>
        </row>
        <row r="20">
          <cell r="A20">
            <v>16</v>
          </cell>
          <cell r="B20" t="str">
            <v>605 勿加泗 BEKASI</v>
          </cell>
          <cell r="C20">
            <v>6220701</v>
          </cell>
          <cell r="D20" t="str">
            <v>6220701-MVS MBH-VIP VIVO STORE-DD284</v>
          </cell>
          <cell r="E20" t="str">
            <v>M RIZKI</v>
          </cell>
        </row>
        <row r="21">
          <cell r="A21">
            <v>17</v>
          </cell>
          <cell r="B21" t="str">
            <v>605 勿加泗 BEKASI</v>
          </cell>
          <cell r="C21">
            <v>6050705</v>
          </cell>
          <cell r="D21" t="str">
            <v>6050705-MBH 2F009</v>
          </cell>
          <cell r="E21" t="str">
            <v>M RIZKI</v>
          </cell>
        </row>
        <row r="22">
          <cell r="A22">
            <v>18</v>
          </cell>
          <cell r="B22" t="str">
            <v>605 勿加泗 BEKASI</v>
          </cell>
          <cell r="C22">
            <v>6050706</v>
          </cell>
          <cell r="D22" t="str">
            <v>6050706-AEON MALL DELTAMAS 1F081</v>
          </cell>
          <cell r="E22" t="str">
            <v>M RIZKI</v>
          </cell>
        </row>
        <row r="23">
          <cell r="A23">
            <v>19</v>
          </cell>
          <cell r="B23" t="str">
            <v>618 茂物 BOGOR</v>
          </cell>
          <cell r="C23">
            <v>6180706</v>
          </cell>
          <cell r="D23" t="str">
            <v>6180706-MVS MALL CCM</v>
          </cell>
          <cell r="E23" t="str">
            <v>DANDI SURYA</v>
          </cell>
        </row>
        <row r="24">
          <cell r="A24">
            <v>20</v>
          </cell>
          <cell r="B24" t="str">
            <v>618 茂物 BOGOR</v>
          </cell>
          <cell r="C24">
            <v>6180707</v>
          </cell>
          <cell r="D24" t="str">
            <v>6180707-SC BTM</v>
          </cell>
          <cell r="E24" t="str">
            <v>DANDI SURYA</v>
          </cell>
        </row>
        <row r="25">
          <cell r="A25">
            <v>21</v>
          </cell>
          <cell r="B25" t="str">
            <v>624-万丹BANTEN</v>
          </cell>
          <cell r="C25">
            <v>6170707</v>
          </cell>
          <cell r="D25" t="str">
            <v>6170707-LG BLOK D NO. 01D SKY 7</v>
          </cell>
          <cell r="E25" t="str">
            <v>ARIES FITRIYANTO</v>
          </cell>
        </row>
        <row r="26">
          <cell r="A26">
            <v>22</v>
          </cell>
          <cell r="B26" t="str">
            <v>624-万丹BANTEN</v>
          </cell>
          <cell r="C26">
            <v>6240702</v>
          </cell>
          <cell r="D26" t="str">
            <v>A200902-LG BLOK B NO. 01B SKY M3</v>
          </cell>
          <cell r="E26" t="str">
            <v>ARIES FITRIYANTO</v>
          </cell>
        </row>
        <row r="27">
          <cell r="A27">
            <v>23</v>
          </cell>
          <cell r="B27" t="str">
            <v>624-万丹BANTEN</v>
          </cell>
          <cell r="C27">
            <v>6240704</v>
          </cell>
          <cell r="D27" t="str">
            <v>6240704-TANGCITY LG017 WEST LOBBY</v>
          </cell>
          <cell r="E27" t="str">
            <v>ARIES FITRIYANTO</v>
          </cell>
        </row>
        <row r="28">
          <cell r="A28">
            <v>24</v>
          </cell>
          <cell r="B28" t="str">
            <v>624-万丹BANTEN</v>
          </cell>
          <cell r="C28">
            <v>6240701</v>
          </cell>
          <cell r="D28" t="str">
            <v>A200803-LG BLOK A-B NO. 12 SKY 5</v>
          </cell>
          <cell r="E28" t="str">
            <v>DHANI EKO NUGROHO</v>
          </cell>
        </row>
        <row r="29">
          <cell r="A29">
            <v>25</v>
          </cell>
          <cell r="B29" t="str">
            <v>624-万丹BANTEN</v>
          </cell>
          <cell r="C29">
            <v>6170706</v>
          </cell>
          <cell r="D29" t="str">
            <v>A200802-CHARLES</v>
          </cell>
          <cell r="E29" t="str">
            <v>DHANI EKO NUGROHO</v>
          </cell>
        </row>
        <row r="30">
          <cell r="A30">
            <v>26</v>
          </cell>
          <cell r="B30" t="str">
            <v>624-万丹BANTEN</v>
          </cell>
          <cell r="C30">
            <v>6240703</v>
          </cell>
          <cell r="D30" t="str">
            <v>6240703-TANGCITY LG009 CENTER</v>
          </cell>
          <cell r="E30" t="str">
            <v>DHANI EKO NUGROHO</v>
          </cell>
        </row>
        <row r="31">
          <cell r="A31">
            <v>27</v>
          </cell>
          <cell r="B31" t="str">
            <v>624-万丹BANTEN</v>
          </cell>
          <cell r="C31">
            <v>6170703</v>
          </cell>
          <cell r="D31" t="str">
            <v>6170703-4004 MVS-BNT-CCM STORE</v>
          </cell>
          <cell r="E31" t="str">
            <v>DWI IRAWAN ( PIC )</v>
          </cell>
        </row>
        <row r="32">
          <cell r="A32">
            <v>28</v>
          </cell>
          <cell r="B32" t="str">
            <v>624-万丹BANTEN</v>
          </cell>
          <cell r="C32">
            <v>6240705</v>
          </cell>
          <cell r="D32" t="str">
            <v>6240705-CIPUTRA 2FC15</v>
          </cell>
          <cell r="E32" t="str">
            <v>DHANI EKO NUGROHO</v>
          </cell>
        </row>
        <row r="33">
          <cell r="A33">
            <v>29</v>
          </cell>
          <cell r="B33" t="str">
            <v>624-万丹BANTEN</v>
          </cell>
          <cell r="C33">
            <v>6240709</v>
          </cell>
          <cell r="D33" t="str">
            <v>6240709-ITC BSD 1F49-50</v>
          </cell>
          <cell r="E33" t="str">
            <v>ARIES FITRIYANTO</v>
          </cell>
        </row>
        <row r="34">
          <cell r="A34">
            <v>30</v>
          </cell>
          <cell r="B34" t="str">
            <v>624-万丹BANTEN</v>
          </cell>
          <cell r="C34">
            <v>6240708</v>
          </cell>
          <cell r="D34" t="str">
            <v>6240708-ITC BSD 1F09-14</v>
          </cell>
          <cell r="E34" t="str">
            <v>ARIES FITRIYANTO</v>
          </cell>
        </row>
        <row r="35">
          <cell r="A35">
            <v>31</v>
          </cell>
          <cell r="B35" t="str">
            <v>624-万丹BANTEN</v>
          </cell>
          <cell r="C35">
            <v>6240707</v>
          </cell>
          <cell r="D35" t="str">
            <v>6240707-SUPERMALL UGN3A</v>
          </cell>
          <cell r="E35" t="str">
            <v>ADE RIVALDI L</v>
          </cell>
        </row>
        <row r="36">
          <cell r="A36">
            <v>32</v>
          </cell>
          <cell r="B36" t="str">
            <v>624-万丹BANTEN</v>
          </cell>
          <cell r="C36">
            <v>6240706</v>
          </cell>
          <cell r="D36" t="str">
            <v>6240706-SUPERMALL LGC3A</v>
          </cell>
          <cell r="E36" t="str">
            <v>ADE RIVALDI L</v>
          </cell>
        </row>
        <row r="37">
          <cell r="A37">
            <v>33</v>
          </cell>
          <cell r="B37" t="str">
            <v>619-万隆市区BDG KOTA</v>
          </cell>
          <cell r="C37">
            <v>6190701</v>
          </cell>
          <cell r="D37" t="str">
            <v>6190701-VIVO STORE UG</v>
          </cell>
          <cell r="E37" t="str">
            <v>EKO PURWANTO</v>
          </cell>
        </row>
        <row r="38">
          <cell r="A38">
            <v>34</v>
          </cell>
          <cell r="B38" t="str">
            <v>619-万隆市区BDG KOTA</v>
          </cell>
          <cell r="C38">
            <v>6190706</v>
          </cell>
          <cell r="D38" t="str">
            <v>A300102-VIVO STORE 4 BEC</v>
          </cell>
          <cell r="E38" t="str">
            <v>EKO PURWANTO</v>
          </cell>
        </row>
        <row r="39">
          <cell r="A39">
            <v>35</v>
          </cell>
          <cell r="B39" t="str">
            <v>619-万隆市区BDG KOTA</v>
          </cell>
          <cell r="C39">
            <v>6190705</v>
          </cell>
          <cell r="D39" t="str">
            <v>A300105-VIVO STORE LG F20</v>
          </cell>
          <cell r="E39" t="str">
            <v>EKO PURWANTO</v>
          </cell>
        </row>
        <row r="40">
          <cell r="A40">
            <v>36</v>
          </cell>
          <cell r="B40" t="str">
            <v>619-万隆市区BDG KOTA</v>
          </cell>
          <cell r="C40">
            <v>6190704</v>
          </cell>
          <cell r="D40" t="str">
            <v>A300201-VIVO STORE 1 BEC</v>
          </cell>
          <cell r="E40" t="str">
            <v>NENG TOTOH</v>
          </cell>
        </row>
        <row r="41">
          <cell r="A41">
            <v>37</v>
          </cell>
          <cell r="B41" t="str">
            <v>619-万隆市区BDG KOTA</v>
          </cell>
          <cell r="C41">
            <v>6190707</v>
          </cell>
          <cell r="D41" t="str">
            <v>A300202-VIVO STORE LU</v>
          </cell>
          <cell r="E41" t="str">
            <v>NENG TOTOH</v>
          </cell>
        </row>
        <row r="42">
          <cell r="A42">
            <v>38</v>
          </cell>
          <cell r="B42" t="str">
            <v>619-万隆市区BDG KOTA</v>
          </cell>
          <cell r="C42">
            <v>6190708</v>
          </cell>
          <cell r="D42" t="str">
            <v>6190708-BEC SC LGAA07</v>
          </cell>
          <cell r="E42" t="str">
            <v>NENG TOTOH</v>
          </cell>
        </row>
        <row r="43">
          <cell r="A43">
            <v>39</v>
          </cell>
          <cell r="B43" t="str">
            <v>615-中爪哇东SOLO</v>
          </cell>
          <cell r="C43">
            <v>6150702</v>
          </cell>
          <cell r="D43" t="str">
            <v>6150702-GRANMALL SC GF-11</v>
          </cell>
          <cell r="E43" t="str">
            <v>BIRILYAN KUSWARA</v>
          </cell>
        </row>
        <row r="44">
          <cell r="A44">
            <v>40</v>
          </cell>
          <cell r="B44" t="str">
            <v>中爪哇西 - Purwokerto</v>
          </cell>
          <cell r="C44">
            <v>6130702</v>
          </cell>
          <cell r="D44" t="str">
            <v>6130702-RITA SUPERMALL SF36-37</v>
          </cell>
          <cell r="E44" t="str">
            <v>FRISKA FAJAR</v>
          </cell>
        </row>
        <row r="45">
          <cell r="A45">
            <v>41</v>
          </cell>
          <cell r="B45" t="str">
            <v>614 三宝垄 Semarang</v>
          </cell>
          <cell r="C45">
            <v>6100702</v>
          </cell>
          <cell r="D45" t="str">
            <v>6100702-VS Jogja City Mall</v>
          </cell>
          <cell r="E45" t="str">
            <v>BIRILYAN KUSWARA</v>
          </cell>
        </row>
        <row r="46">
          <cell r="A46">
            <v>42</v>
          </cell>
          <cell r="B46" t="str">
            <v>614 三宝垄 Semarang</v>
          </cell>
          <cell r="C46">
            <v>6140706</v>
          </cell>
          <cell r="D46" t="str">
            <v>6140706-23 SEMARANG MALL 1F065-66</v>
          </cell>
          <cell r="E46" t="str">
            <v>VICKY DINDA INEZ</v>
          </cell>
        </row>
        <row r="47">
          <cell r="A47">
            <v>43</v>
          </cell>
          <cell r="B47" t="str">
            <v>614 三宝垄 Semarang</v>
          </cell>
          <cell r="C47">
            <v>6140705</v>
          </cell>
          <cell r="D47" t="str">
            <v>6140705-QUEENCITY 2F027</v>
          </cell>
          <cell r="E47" t="str">
            <v>EDI SUSANTO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A5" t="str">
            <v>Sum of SRP</v>
          </cell>
        </row>
      </sheetData>
      <sheetData sheetId="18"/>
      <sheetData sheetId="19">
        <row r="5">
          <cell r="A5" t="str">
            <v>Sum of Qty</v>
          </cell>
        </row>
      </sheetData>
      <sheetData sheetId="20">
        <row r="5">
          <cell r="A5" t="str">
            <v>Sum of Qty</v>
          </cell>
        </row>
      </sheetData>
      <sheetData sheetId="21"/>
      <sheetData sheetId="22"/>
      <sheetData sheetId="23">
        <row r="6">
          <cell r="A6" t="str">
            <v>Sum of Qty</v>
          </cell>
        </row>
      </sheetData>
      <sheetData sheetId="24"/>
      <sheetData sheetId="25">
        <row r="10">
          <cell r="B10">
            <v>6170706</v>
          </cell>
          <cell r="D10">
            <v>7</v>
          </cell>
          <cell r="E10">
            <v>17293000</v>
          </cell>
          <cell r="F10">
            <v>20</v>
          </cell>
          <cell r="G10">
            <v>53980000</v>
          </cell>
          <cell r="J10">
            <v>6</v>
          </cell>
          <cell r="K10">
            <v>12594000</v>
          </cell>
          <cell r="N10">
            <v>3</v>
          </cell>
          <cell r="O10">
            <v>11697000</v>
          </cell>
          <cell r="T10">
            <v>1</v>
          </cell>
          <cell r="U10">
            <v>7199000</v>
          </cell>
          <cell r="X10">
            <v>1</v>
          </cell>
          <cell r="Y10">
            <v>6299000</v>
          </cell>
          <cell r="AB10">
            <v>2</v>
          </cell>
          <cell r="AC10">
            <v>11798000</v>
          </cell>
        </row>
        <row r="11">
          <cell r="B11">
            <v>6170707</v>
          </cell>
          <cell r="D11">
            <v>8</v>
          </cell>
          <cell r="E11">
            <v>19892000</v>
          </cell>
          <cell r="F11">
            <v>13</v>
          </cell>
          <cell r="G11">
            <v>34787000</v>
          </cell>
          <cell r="J11">
            <v>1</v>
          </cell>
          <cell r="K11">
            <v>2099000</v>
          </cell>
          <cell r="N11">
            <v>2</v>
          </cell>
          <cell r="O11">
            <v>9398000</v>
          </cell>
          <cell r="T11">
            <v>1</v>
          </cell>
          <cell r="U11">
            <v>6999000</v>
          </cell>
          <cell r="X11">
            <v>1</v>
          </cell>
          <cell r="Y11">
            <v>5499000</v>
          </cell>
          <cell r="AB11">
            <v>2</v>
          </cell>
          <cell r="AC11">
            <v>11198000</v>
          </cell>
        </row>
        <row r="12">
          <cell r="B12">
            <v>6240702</v>
          </cell>
          <cell r="D12">
            <v>4</v>
          </cell>
          <cell r="E12">
            <v>10096000</v>
          </cell>
          <cell r="F12">
            <v>11</v>
          </cell>
          <cell r="G12">
            <v>27989000</v>
          </cell>
          <cell r="J12">
            <v>5</v>
          </cell>
          <cell r="K12">
            <v>10495000</v>
          </cell>
          <cell r="L12">
            <v>2</v>
          </cell>
          <cell r="M12">
            <v>18998000</v>
          </cell>
          <cell r="N12">
            <v>7</v>
          </cell>
          <cell r="O12">
            <v>31093000</v>
          </cell>
          <cell r="T12">
            <v>2</v>
          </cell>
          <cell r="U12">
            <v>15998000</v>
          </cell>
          <cell r="X12">
            <v>1</v>
          </cell>
          <cell r="Y12">
            <v>5499000</v>
          </cell>
          <cell r="AB12">
            <v>4</v>
          </cell>
          <cell r="AC12">
            <v>22396000</v>
          </cell>
        </row>
        <row r="13">
          <cell r="B13">
            <v>6240701</v>
          </cell>
          <cell r="D13">
            <v>6</v>
          </cell>
          <cell r="E13">
            <v>15294000</v>
          </cell>
          <cell r="F13">
            <v>15</v>
          </cell>
          <cell r="G13">
            <v>39585000</v>
          </cell>
          <cell r="J13">
            <v>6</v>
          </cell>
          <cell r="K13">
            <v>12594000</v>
          </cell>
          <cell r="L13">
            <v>1</v>
          </cell>
          <cell r="M13">
            <v>9999000</v>
          </cell>
          <cell r="N13">
            <v>9</v>
          </cell>
          <cell r="O13">
            <v>40491000</v>
          </cell>
          <cell r="R13">
            <v>1</v>
          </cell>
          <cell r="S13">
            <v>3599000</v>
          </cell>
          <cell r="T13">
            <v>1</v>
          </cell>
          <cell r="U13">
            <v>6499000</v>
          </cell>
          <cell r="X13">
            <v>2</v>
          </cell>
          <cell r="Y13">
            <v>11798000</v>
          </cell>
          <cell r="AB13">
            <v>1</v>
          </cell>
          <cell r="AC13">
            <v>5899000</v>
          </cell>
          <cell r="AH13">
            <v>1</v>
          </cell>
          <cell r="AI13">
            <v>5699000</v>
          </cell>
        </row>
        <row r="14">
          <cell r="B14">
            <v>6170703</v>
          </cell>
          <cell r="D14">
            <v>1</v>
          </cell>
          <cell r="E14">
            <v>2599000</v>
          </cell>
          <cell r="F14">
            <v>2</v>
          </cell>
          <cell r="G14">
            <v>4798000</v>
          </cell>
          <cell r="L14">
            <v>1</v>
          </cell>
          <cell r="M14">
            <v>9999000</v>
          </cell>
          <cell r="R14">
            <v>1</v>
          </cell>
          <cell r="S14">
            <v>3599000</v>
          </cell>
          <cell r="T14">
            <v>1</v>
          </cell>
          <cell r="U14">
            <v>6999000</v>
          </cell>
          <cell r="X14">
            <v>1</v>
          </cell>
          <cell r="Y14">
            <v>5499000</v>
          </cell>
          <cell r="Z14">
            <v>1</v>
          </cell>
          <cell r="AA14">
            <v>11999000</v>
          </cell>
          <cell r="AJ14">
            <v>1</v>
          </cell>
          <cell r="AK14">
            <v>6899000</v>
          </cell>
        </row>
        <row r="15">
          <cell r="B15">
            <v>6240704</v>
          </cell>
          <cell r="F15">
            <v>1</v>
          </cell>
          <cell r="G15">
            <v>2799000</v>
          </cell>
          <cell r="J15">
            <v>4</v>
          </cell>
          <cell r="K15">
            <v>8396000</v>
          </cell>
          <cell r="X15">
            <v>1</v>
          </cell>
          <cell r="Y15">
            <v>5499000</v>
          </cell>
        </row>
        <row r="16">
          <cell r="B16">
            <v>6240703</v>
          </cell>
          <cell r="D16">
            <v>7</v>
          </cell>
          <cell r="E16">
            <v>16993000</v>
          </cell>
          <cell r="F16">
            <v>4</v>
          </cell>
          <cell r="G16">
            <v>10796000</v>
          </cell>
          <cell r="J16">
            <v>6</v>
          </cell>
          <cell r="K16">
            <v>12594000</v>
          </cell>
          <cell r="L16">
            <v>1</v>
          </cell>
          <cell r="M16">
            <v>9999000</v>
          </cell>
          <cell r="N16">
            <v>9</v>
          </cell>
          <cell r="O16">
            <v>37291000</v>
          </cell>
          <cell r="P16">
            <v>1</v>
          </cell>
          <cell r="Q16">
            <v>3599000</v>
          </cell>
          <cell r="T16">
            <v>1</v>
          </cell>
          <cell r="U16">
            <v>7999000</v>
          </cell>
          <cell r="V16">
            <v>1</v>
          </cell>
          <cell r="W16">
            <v>3599000</v>
          </cell>
          <cell r="AB16">
            <v>2</v>
          </cell>
          <cell r="AC16">
            <v>11798000</v>
          </cell>
          <cell r="AD16">
            <v>1</v>
          </cell>
          <cell r="AE16">
            <v>25999000</v>
          </cell>
          <cell r="AJ16">
            <v>1</v>
          </cell>
          <cell r="AK16">
            <v>7999000</v>
          </cell>
        </row>
        <row r="17">
          <cell r="B17">
            <v>6240705</v>
          </cell>
          <cell r="D17">
            <v>1</v>
          </cell>
          <cell r="E17">
            <v>2599000</v>
          </cell>
          <cell r="F17">
            <v>2</v>
          </cell>
          <cell r="G17">
            <v>5598000</v>
          </cell>
          <cell r="J17">
            <v>1</v>
          </cell>
          <cell r="K17">
            <v>2099000</v>
          </cell>
          <cell r="L17">
            <v>2</v>
          </cell>
          <cell r="M17">
            <v>19998000</v>
          </cell>
          <cell r="N17">
            <v>1</v>
          </cell>
          <cell r="O17">
            <v>4299000</v>
          </cell>
          <cell r="T17">
            <v>2</v>
          </cell>
          <cell r="U17">
            <v>14498000</v>
          </cell>
          <cell r="X17">
            <v>3</v>
          </cell>
          <cell r="Y17">
            <v>16497000</v>
          </cell>
          <cell r="Z17">
            <v>1</v>
          </cell>
          <cell r="AA17">
            <v>11999000</v>
          </cell>
          <cell r="AJ17">
            <v>3</v>
          </cell>
          <cell r="AK17">
            <v>22197000</v>
          </cell>
        </row>
        <row r="18">
          <cell r="B18">
            <v>6240707</v>
          </cell>
          <cell r="F18">
            <v>3</v>
          </cell>
          <cell r="G18">
            <v>8397000</v>
          </cell>
          <cell r="J18">
            <v>2</v>
          </cell>
          <cell r="K18">
            <v>4198000</v>
          </cell>
          <cell r="N18">
            <v>2</v>
          </cell>
          <cell r="O18">
            <v>8598000</v>
          </cell>
        </row>
        <row r="19">
          <cell r="B19">
            <v>6240706</v>
          </cell>
          <cell r="D19">
            <v>2</v>
          </cell>
          <cell r="E19">
            <v>4598000</v>
          </cell>
          <cell r="F19">
            <v>3</v>
          </cell>
          <cell r="G19">
            <v>7997000</v>
          </cell>
          <cell r="J19">
            <v>1</v>
          </cell>
          <cell r="K19">
            <v>2099000</v>
          </cell>
          <cell r="L19">
            <v>1</v>
          </cell>
          <cell r="M19">
            <v>9999000</v>
          </cell>
          <cell r="N19">
            <v>2</v>
          </cell>
          <cell r="O19">
            <v>9398000</v>
          </cell>
          <cell r="AB19">
            <v>1</v>
          </cell>
          <cell r="AC19">
            <v>5299000</v>
          </cell>
        </row>
        <row r="20">
          <cell r="B20">
            <v>6240709</v>
          </cell>
          <cell r="D20">
            <v>1</v>
          </cell>
          <cell r="E20">
            <v>2299000</v>
          </cell>
          <cell r="F20">
            <v>1</v>
          </cell>
          <cell r="G20">
            <v>2399000</v>
          </cell>
          <cell r="N20">
            <v>3</v>
          </cell>
          <cell r="O20">
            <v>12497000</v>
          </cell>
          <cell r="T20">
            <v>1</v>
          </cell>
          <cell r="U20">
            <v>6499000</v>
          </cell>
          <cell r="X20">
            <v>1</v>
          </cell>
          <cell r="Y20">
            <v>5499000</v>
          </cell>
          <cell r="AH20">
            <v>1</v>
          </cell>
          <cell r="AI20">
            <v>5699000</v>
          </cell>
        </row>
        <row r="21">
          <cell r="B21">
            <v>6240708</v>
          </cell>
          <cell r="F21">
            <v>2</v>
          </cell>
          <cell r="G21">
            <v>5598000</v>
          </cell>
          <cell r="J21">
            <v>1</v>
          </cell>
          <cell r="K21">
            <v>2099000</v>
          </cell>
          <cell r="N21">
            <v>3</v>
          </cell>
          <cell r="O21">
            <v>12097000</v>
          </cell>
          <cell r="P21">
            <v>1</v>
          </cell>
          <cell r="Q21">
            <v>3599000</v>
          </cell>
          <cell r="T21">
            <v>1</v>
          </cell>
          <cell r="U21">
            <v>7999000</v>
          </cell>
        </row>
        <row r="22">
          <cell r="B22">
            <v>6220701</v>
          </cell>
          <cell r="D22">
            <v>5</v>
          </cell>
          <cell r="E22">
            <v>11795000</v>
          </cell>
          <cell r="F22">
            <v>5</v>
          </cell>
          <cell r="G22">
            <v>13995000</v>
          </cell>
          <cell r="J22">
            <v>1</v>
          </cell>
          <cell r="K22">
            <v>2099000</v>
          </cell>
          <cell r="N22">
            <v>4</v>
          </cell>
          <cell r="O22">
            <v>16796000</v>
          </cell>
          <cell r="X22">
            <v>1</v>
          </cell>
          <cell r="Y22">
            <v>6299000</v>
          </cell>
          <cell r="AB22">
            <v>1</v>
          </cell>
          <cell r="AC22">
            <v>5999000</v>
          </cell>
          <cell r="AH22">
            <v>1</v>
          </cell>
          <cell r="AI22">
            <v>5699000</v>
          </cell>
        </row>
        <row r="23">
          <cell r="B23">
            <v>6050701</v>
          </cell>
          <cell r="D23">
            <v>1</v>
          </cell>
          <cell r="E23">
            <v>2299000</v>
          </cell>
          <cell r="F23">
            <v>5</v>
          </cell>
          <cell r="G23">
            <v>13995000</v>
          </cell>
          <cell r="J23">
            <v>1</v>
          </cell>
          <cell r="K23">
            <v>2099000</v>
          </cell>
          <cell r="L23">
            <v>2</v>
          </cell>
          <cell r="M23">
            <v>19998000</v>
          </cell>
          <cell r="N23">
            <v>2</v>
          </cell>
          <cell r="O23">
            <v>9798000</v>
          </cell>
          <cell r="T23">
            <v>2</v>
          </cell>
          <cell r="U23">
            <v>13498000</v>
          </cell>
          <cell r="AB23">
            <v>1</v>
          </cell>
          <cell r="AC23">
            <v>5299000</v>
          </cell>
          <cell r="AH23">
            <v>2</v>
          </cell>
          <cell r="AI23">
            <v>11398000</v>
          </cell>
          <cell r="AJ23">
            <v>2</v>
          </cell>
          <cell r="AK23">
            <v>13798000</v>
          </cell>
        </row>
        <row r="24">
          <cell r="B24">
            <v>6050705</v>
          </cell>
          <cell r="F24">
            <v>3</v>
          </cell>
          <cell r="G24">
            <v>7597000</v>
          </cell>
          <cell r="J24">
            <v>1</v>
          </cell>
          <cell r="K24">
            <v>2099000</v>
          </cell>
          <cell r="N24">
            <v>5</v>
          </cell>
          <cell r="O24">
            <v>22495000</v>
          </cell>
          <cell r="P24">
            <v>1</v>
          </cell>
          <cell r="Q24">
            <v>3599000</v>
          </cell>
          <cell r="X24">
            <v>1</v>
          </cell>
          <cell r="Y24">
            <v>6299000</v>
          </cell>
          <cell r="Z24">
            <v>1</v>
          </cell>
          <cell r="AA24">
            <v>11999000</v>
          </cell>
          <cell r="AJ24">
            <v>1</v>
          </cell>
          <cell r="AK24">
            <v>7999000</v>
          </cell>
        </row>
        <row r="25">
          <cell r="B25">
            <v>6050706</v>
          </cell>
          <cell r="D25">
            <v>6</v>
          </cell>
          <cell r="E25">
            <v>15294000</v>
          </cell>
          <cell r="F25">
            <v>8</v>
          </cell>
          <cell r="G25">
            <v>21192000</v>
          </cell>
          <cell r="N25">
            <v>1</v>
          </cell>
          <cell r="O25">
            <v>4299000</v>
          </cell>
          <cell r="T25">
            <v>1</v>
          </cell>
          <cell r="U25">
            <v>6999000</v>
          </cell>
          <cell r="X25">
            <v>2</v>
          </cell>
          <cell r="Y25">
            <v>11798000</v>
          </cell>
          <cell r="AJ25">
            <v>1</v>
          </cell>
          <cell r="AK25">
            <v>6899000</v>
          </cell>
        </row>
        <row r="26">
          <cell r="B26">
            <v>6190704</v>
          </cell>
          <cell r="D26">
            <v>4</v>
          </cell>
          <cell r="E26">
            <v>9796000</v>
          </cell>
          <cell r="F26">
            <v>10</v>
          </cell>
          <cell r="G26">
            <v>25590000</v>
          </cell>
          <cell r="J26">
            <v>17</v>
          </cell>
          <cell r="K26">
            <v>35683000</v>
          </cell>
          <cell r="L26">
            <v>1</v>
          </cell>
          <cell r="M26">
            <v>8999000</v>
          </cell>
          <cell r="N26">
            <v>6</v>
          </cell>
          <cell r="O26">
            <v>28994000</v>
          </cell>
          <cell r="T26">
            <v>4</v>
          </cell>
          <cell r="U26">
            <v>28896000</v>
          </cell>
          <cell r="X26">
            <v>1</v>
          </cell>
          <cell r="Y26">
            <v>5499000</v>
          </cell>
          <cell r="Z26">
            <v>1</v>
          </cell>
          <cell r="AA26">
            <v>11999000</v>
          </cell>
          <cell r="AB26">
            <v>1</v>
          </cell>
          <cell r="AC26">
            <v>5899000</v>
          </cell>
          <cell r="AH26">
            <v>1</v>
          </cell>
          <cell r="AI26">
            <v>5699000</v>
          </cell>
        </row>
        <row r="27">
          <cell r="B27">
            <v>6190701</v>
          </cell>
          <cell r="D27">
            <v>1</v>
          </cell>
          <cell r="E27">
            <v>2299000</v>
          </cell>
          <cell r="F27">
            <v>5</v>
          </cell>
          <cell r="G27">
            <v>13595000</v>
          </cell>
          <cell r="J27">
            <v>5</v>
          </cell>
          <cell r="K27">
            <v>10495000</v>
          </cell>
          <cell r="N27">
            <v>3</v>
          </cell>
          <cell r="O27">
            <v>11697000</v>
          </cell>
          <cell r="P27">
            <v>1</v>
          </cell>
          <cell r="Q27">
            <v>3599000</v>
          </cell>
          <cell r="AB27">
            <v>1</v>
          </cell>
          <cell r="AC27">
            <v>5299000</v>
          </cell>
          <cell r="AJ27">
            <v>1</v>
          </cell>
          <cell r="AK27">
            <v>6899000</v>
          </cell>
        </row>
        <row r="28">
          <cell r="B28">
            <v>6190707</v>
          </cell>
          <cell r="D28">
            <v>13</v>
          </cell>
          <cell r="E28">
            <v>31687000</v>
          </cell>
          <cell r="F28">
            <v>13</v>
          </cell>
          <cell r="G28">
            <v>34787000</v>
          </cell>
          <cell r="J28">
            <v>5</v>
          </cell>
          <cell r="K28">
            <v>10495000</v>
          </cell>
          <cell r="L28">
            <v>1</v>
          </cell>
          <cell r="M28">
            <v>9999000</v>
          </cell>
          <cell r="N28">
            <v>8</v>
          </cell>
          <cell r="O28">
            <v>38992000</v>
          </cell>
          <cell r="T28">
            <v>1</v>
          </cell>
          <cell r="U28">
            <v>7999000</v>
          </cell>
          <cell r="X28">
            <v>1</v>
          </cell>
          <cell r="Y28">
            <v>5499000</v>
          </cell>
          <cell r="Z28">
            <v>1</v>
          </cell>
          <cell r="AA28">
            <v>11999000</v>
          </cell>
          <cell r="AB28">
            <v>2</v>
          </cell>
          <cell r="AC28">
            <v>11198000</v>
          </cell>
          <cell r="AH28">
            <v>1</v>
          </cell>
          <cell r="AI28">
            <v>5699000</v>
          </cell>
          <cell r="AJ28">
            <v>2</v>
          </cell>
          <cell r="AK28">
            <v>13798000</v>
          </cell>
        </row>
        <row r="29">
          <cell r="B29">
            <v>6190706</v>
          </cell>
          <cell r="D29">
            <v>9</v>
          </cell>
          <cell r="E29">
            <v>22791000</v>
          </cell>
          <cell r="F29">
            <v>13</v>
          </cell>
          <cell r="G29">
            <v>33587000</v>
          </cell>
          <cell r="J29">
            <v>4</v>
          </cell>
          <cell r="K29">
            <v>8396000</v>
          </cell>
          <cell r="L29">
            <v>2</v>
          </cell>
          <cell r="M29">
            <v>19998000</v>
          </cell>
          <cell r="N29">
            <v>9</v>
          </cell>
          <cell r="O29">
            <v>39891000</v>
          </cell>
          <cell r="T29">
            <v>4</v>
          </cell>
          <cell r="U29">
            <v>30396000</v>
          </cell>
          <cell r="X29">
            <v>3</v>
          </cell>
          <cell r="Y29">
            <v>16497000</v>
          </cell>
          <cell r="AB29">
            <v>1</v>
          </cell>
          <cell r="AC29">
            <v>5299000</v>
          </cell>
          <cell r="AD29">
            <v>2</v>
          </cell>
          <cell r="AE29">
            <v>51998000</v>
          </cell>
          <cell r="AJ29">
            <v>2</v>
          </cell>
          <cell r="AK29">
            <v>13798000</v>
          </cell>
        </row>
        <row r="30">
          <cell r="B30">
            <v>6190705</v>
          </cell>
          <cell r="D30">
            <v>2</v>
          </cell>
          <cell r="E30">
            <v>4598000</v>
          </cell>
          <cell r="F30">
            <v>3</v>
          </cell>
          <cell r="G30">
            <v>7597000</v>
          </cell>
          <cell r="J30">
            <v>2</v>
          </cell>
          <cell r="K30">
            <v>4198000</v>
          </cell>
          <cell r="N30">
            <v>3</v>
          </cell>
          <cell r="O30">
            <v>11697000</v>
          </cell>
          <cell r="P30">
            <v>1</v>
          </cell>
          <cell r="Q30">
            <v>3599000</v>
          </cell>
          <cell r="Z30">
            <v>1</v>
          </cell>
          <cell r="AA30">
            <v>11999000</v>
          </cell>
        </row>
        <row r="31">
          <cell r="B31">
            <v>6190708</v>
          </cell>
          <cell r="F31">
            <v>2</v>
          </cell>
          <cell r="G31">
            <v>5198000</v>
          </cell>
          <cell r="L31">
            <v>1</v>
          </cell>
          <cell r="M31">
            <v>9999000</v>
          </cell>
          <cell r="N31">
            <v>1</v>
          </cell>
          <cell r="O31">
            <v>4299000</v>
          </cell>
        </row>
        <row r="32">
          <cell r="B32">
            <v>6180706</v>
          </cell>
          <cell r="D32">
            <v>6</v>
          </cell>
          <cell r="E32">
            <v>14694000</v>
          </cell>
          <cell r="F32">
            <v>7</v>
          </cell>
          <cell r="G32">
            <v>18793000</v>
          </cell>
          <cell r="J32">
            <v>13</v>
          </cell>
          <cell r="K32">
            <v>27287000</v>
          </cell>
          <cell r="L32">
            <v>2</v>
          </cell>
          <cell r="M32">
            <v>19998000</v>
          </cell>
          <cell r="N32">
            <v>5</v>
          </cell>
          <cell r="O32">
            <v>21495000</v>
          </cell>
          <cell r="T32">
            <v>2</v>
          </cell>
          <cell r="U32">
            <v>15998000</v>
          </cell>
          <cell r="V32">
            <v>1</v>
          </cell>
          <cell r="W32">
            <v>3599000</v>
          </cell>
          <cell r="X32">
            <v>1</v>
          </cell>
          <cell r="Y32">
            <v>6299000</v>
          </cell>
          <cell r="AB32">
            <v>2</v>
          </cell>
          <cell r="AC32">
            <v>10598000</v>
          </cell>
          <cell r="AH32">
            <v>1</v>
          </cell>
          <cell r="AI32">
            <v>5699000</v>
          </cell>
          <cell r="AJ32">
            <v>1</v>
          </cell>
          <cell r="AK32">
            <v>6899000</v>
          </cell>
        </row>
        <row r="33">
          <cell r="B33">
            <v>6180707</v>
          </cell>
          <cell r="F33">
            <v>4</v>
          </cell>
          <cell r="G33">
            <v>10396000</v>
          </cell>
          <cell r="N33">
            <v>1</v>
          </cell>
          <cell r="O33">
            <v>4899000</v>
          </cell>
          <cell r="V33">
            <v>1</v>
          </cell>
          <cell r="W33">
            <v>3599000</v>
          </cell>
        </row>
        <row r="34">
          <cell r="B34">
            <v>6130702</v>
          </cell>
          <cell r="D34">
            <v>2</v>
          </cell>
          <cell r="E34">
            <v>4598000</v>
          </cell>
          <cell r="F34">
            <v>1</v>
          </cell>
          <cell r="G34">
            <v>2799000</v>
          </cell>
          <cell r="J34">
            <v>1</v>
          </cell>
          <cell r="K34">
            <v>2099000</v>
          </cell>
          <cell r="L34">
            <v>1</v>
          </cell>
          <cell r="M34">
            <v>8999000</v>
          </cell>
          <cell r="N34">
            <v>3</v>
          </cell>
          <cell r="O34">
            <v>13097000</v>
          </cell>
          <cell r="T34">
            <v>2</v>
          </cell>
          <cell r="U34">
            <v>13998000</v>
          </cell>
          <cell r="X34">
            <v>1</v>
          </cell>
          <cell r="Y34">
            <v>6299000</v>
          </cell>
          <cell r="Z34">
            <v>2</v>
          </cell>
          <cell r="AA34">
            <v>23998000</v>
          </cell>
          <cell r="AJ34">
            <v>2</v>
          </cell>
          <cell r="AK34">
            <v>15098000</v>
          </cell>
        </row>
        <row r="35">
          <cell r="B35">
            <v>6140705</v>
          </cell>
          <cell r="F35">
            <v>2</v>
          </cell>
          <cell r="G35">
            <v>4798000</v>
          </cell>
          <cell r="J35">
            <v>2</v>
          </cell>
          <cell r="K35">
            <v>4198000</v>
          </cell>
          <cell r="L35">
            <v>2</v>
          </cell>
          <cell r="M35">
            <v>19998000</v>
          </cell>
          <cell r="N35">
            <v>4</v>
          </cell>
          <cell r="O35">
            <v>16396000</v>
          </cell>
          <cell r="T35">
            <v>2</v>
          </cell>
          <cell r="U35">
            <v>12998000</v>
          </cell>
          <cell r="AB35">
            <v>1</v>
          </cell>
          <cell r="AC35">
            <v>5299000</v>
          </cell>
          <cell r="AD35">
            <v>1</v>
          </cell>
          <cell r="AE35">
            <v>25999000</v>
          </cell>
          <cell r="AH35">
            <v>2</v>
          </cell>
          <cell r="AI35">
            <v>11398000</v>
          </cell>
          <cell r="AJ35">
            <v>4</v>
          </cell>
          <cell r="AK35">
            <v>27596000</v>
          </cell>
        </row>
        <row r="36">
          <cell r="B36">
            <v>6140706</v>
          </cell>
          <cell r="F36">
            <v>2</v>
          </cell>
          <cell r="G36">
            <v>5198000</v>
          </cell>
          <cell r="L36">
            <v>1</v>
          </cell>
          <cell r="M36">
            <v>9999000</v>
          </cell>
          <cell r="N36">
            <v>1</v>
          </cell>
          <cell r="O36">
            <v>3899000</v>
          </cell>
          <cell r="AD36">
            <v>1</v>
          </cell>
          <cell r="AE36">
            <v>25999000</v>
          </cell>
        </row>
        <row r="37">
          <cell r="B37">
            <v>6080712</v>
          </cell>
          <cell r="D37">
            <v>1</v>
          </cell>
          <cell r="E37">
            <v>2599000</v>
          </cell>
          <cell r="F37">
            <v>6</v>
          </cell>
          <cell r="G37">
            <v>16394000</v>
          </cell>
          <cell r="J37">
            <v>1</v>
          </cell>
          <cell r="K37">
            <v>2099000</v>
          </cell>
          <cell r="L37">
            <v>2</v>
          </cell>
          <cell r="M37">
            <v>20998000</v>
          </cell>
          <cell r="N37">
            <v>3</v>
          </cell>
          <cell r="O37">
            <v>14897000</v>
          </cell>
          <cell r="X37">
            <v>2</v>
          </cell>
          <cell r="Y37">
            <v>11798000</v>
          </cell>
          <cell r="AB37">
            <v>2</v>
          </cell>
          <cell r="AC37">
            <v>11998000</v>
          </cell>
          <cell r="AH37">
            <v>1</v>
          </cell>
          <cell r="AI37">
            <v>5699000</v>
          </cell>
          <cell r="AJ37">
            <v>1</v>
          </cell>
          <cell r="AK37">
            <v>8399000</v>
          </cell>
        </row>
        <row r="38">
          <cell r="B38">
            <v>6040701</v>
          </cell>
          <cell r="D38">
            <v>6</v>
          </cell>
          <cell r="E38">
            <v>15294000</v>
          </cell>
          <cell r="F38">
            <v>6</v>
          </cell>
          <cell r="G38">
            <v>15594000</v>
          </cell>
          <cell r="J38">
            <v>1</v>
          </cell>
          <cell r="K38">
            <v>2099000</v>
          </cell>
          <cell r="N38">
            <v>7</v>
          </cell>
          <cell r="O38">
            <v>31293000</v>
          </cell>
          <cell r="T38">
            <v>3</v>
          </cell>
          <cell r="U38">
            <v>21197000</v>
          </cell>
          <cell r="X38">
            <v>2</v>
          </cell>
          <cell r="Y38">
            <v>11798000</v>
          </cell>
          <cell r="AJ38">
            <v>1</v>
          </cell>
          <cell r="AK38">
            <v>6899000</v>
          </cell>
        </row>
        <row r="39">
          <cell r="B39">
            <v>6040702</v>
          </cell>
          <cell r="D39">
            <v>2</v>
          </cell>
          <cell r="E39">
            <v>5198000</v>
          </cell>
          <cell r="J39">
            <v>3</v>
          </cell>
          <cell r="K39">
            <v>6297000</v>
          </cell>
          <cell r="L39">
            <v>1</v>
          </cell>
          <cell r="M39">
            <v>10999000</v>
          </cell>
          <cell r="T39">
            <v>1</v>
          </cell>
          <cell r="U39">
            <v>6499000</v>
          </cell>
          <cell r="V39">
            <v>1</v>
          </cell>
          <cell r="W39">
            <v>3599000</v>
          </cell>
          <cell r="X39">
            <v>2</v>
          </cell>
          <cell r="Y39">
            <v>11798000</v>
          </cell>
          <cell r="AJ39">
            <v>2</v>
          </cell>
          <cell r="AK39">
            <v>13798000</v>
          </cell>
        </row>
        <row r="40">
          <cell r="B40">
            <v>6040703</v>
          </cell>
          <cell r="D40">
            <v>3</v>
          </cell>
          <cell r="E40">
            <v>7797000</v>
          </cell>
          <cell r="F40">
            <v>2</v>
          </cell>
          <cell r="G40">
            <v>5198000</v>
          </cell>
          <cell r="H40">
            <v>1</v>
          </cell>
          <cell r="I40">
            <v>1799000</v>
          </cell>
          <cell r="J40">
            <v>1</v>
          </cell>
          <cell r="K40">
            <v>2099000</v>
          </cell>
          <cell r="N40">
            <v>1</v>
          </cell>
          <cell r="O40">
            <v>3899000</v>
          </cell>
          <cell r="T40">
            <v>2</v>
          </cell>
          <cell r="U40">
            <v>14998000</v>
          </cell>
          <cell r="X40">
            <v>1</v>
          </cell>
          <cell r="Y40">
            <v>6299000</v>
          </cell>
          <cell r="AD40">
            <v>1</v>
          </cell>
          <cell r="AE40">
            <v>25999000</v>
          </cell>
          <cell r="AH40">
            <v>2</v>
          </cell>
          <cell r="AI40">
            <v>11298000</v>
          </cell>
        </row>
        <row r="41">
          <cell r="B41">
            <v>6020711</v>
          </cell>
          <cell r="D41">
            <v>7</v>
          </cell>
          <cell r="E41">
            <v>16393000</v>
          </cell>
          <cell r="F41">
            <v>7</v>
          </cell>
          <cell r="G41">
            <v>17193000</v>
          </cell>
          <cell r="J41">
            <v>3</v>
          </cell>
          <cell r="K41">
            <v>6297000</v>
          </cell>
          <cell r="L41">
            <v>2</v>
          </cell>
          <cell r="M41">
            <v>19998000</v>
          </cell>
          <cell r="N41">
            <v>5</v>
          </cell>
          <cell r="O41">
            <v>23095000</v>
          </cell>
          <cell r="T41">
            <v>4</v>
          </cell>
          <cell r="U41">
            <v>29496000</v>
          </cell>
          <cell r="AB41">
            <v>1</v>
          </cell>
          <cell r="AC41">
            <v>5899000</v>
          </cell>
          <cell r="AD41">
            <v>3</v>
          </cell>
          <cell r="AE41">
            <v>81997000</v>
          </cell>
          <cell r="AJ41">
            <v>1</v>
          </cell>
          <cell r="AK41">
            <v>6899000</v>
          </cell>
        </row>
        <row r="42">
          <cell r="B42">
            <v>6020706</v>
          </cell>
          <cell r="D42">
            <v>13</v>
          </cell>
          <cell r="E42">
            <v>31987000</v>
          </cell>
          <cell r="F42">
            <v>5</v>
          </cell>
          <cell r="G42">
            <v>13995000</v>
          </cell>
          <cell r="J42">
            <v>5</v>
          </cell>
          <cell r="K42">
            <v>10495000</v>
          </cell>
          <cell r="N42">
            <v>7</v>
          </cell>
          <cell r="O42">
            <v>31693000</v>
          </cell>
          <cell r="R42">
            <v>3</v>
          </cell>
          <cell r="S42">
            <v>10797000</v>
          </cell>
          <cell r="X42">
            <v>2</v>
          </cell>
          <cell r="Y42">
            <v>12598000</v>
          </cell>
          <cell r="AB42">
            <v>3</v>
          </cell>
          <cell r="AC42">
            <v>17197000</v>
          </cell>
          <cell r="AH42">
            <v>1</v>
          </cell>
          <cell r="AI42">
            <v>5699000</v>
          </cell>
        </row>
        <row r="43">
          <cell r="B43">
            <v>6020704</v>
          </cell>
          <cell r="D43">
            <v>2</v>
          </cell>
          <cell r="E43">
            <v>4898000</v>
          </cell>
          <cell r="F43">
            <v>4</v>
          </cell>
          <cell r="G43">
            <v>11196000</v>
          </cell>
          <cell r="J43">
            <v>2</v>
          </cell>
          <cell r="K43">
            <v>4198000</v>
          </cell>
          <cell r="N43">
            <v>4</v>
          </cell>
          <cell r="O43">
            <v>16396000</v>
          </cell>
          <cell r="R43">
            <v>1</v>
          </cell>
          <cell r="S43">
            <v>3599000</v>
          </cell>
          <cell r="T43">
            <v>2</v>
          </cell>
          <cell r="U43">
            <v>14998000</v>
          </cell>
          <cell r="V43">
            <v>1</v>
          </cell>
          <cell r="W43">
            <v>3599000</v>
          </cell>
          <cell r="AB43">
            <v>1</v>
          </cell>
          <cell r="AC43">
            <v>5299000</v>
          </cell>
          <cell r="AJ43">
            <v>1</v>
          </cell>
          <cell r="AK43">
            <v>6899000</v>
          </cell>
        </row>
        <row r="44">
          <cell r="B44">
            <v>6010708</v>
          </cell>
          <cell r="D44">
            <v>7</v>
          </cell>
          <cell r="E44">
            <v>18193000</v>
          </cell>
          <cell r="F44">
            <v>4</v>
          </cell>
          <cell r="G44">
            <v>10396000</v>
          </cell>
          <cell r="J44">
            <v>4</v>
          </cell>
          <cell r="K44">
            <v>8396000</v>
          </cell>
          <cell r="L44">
            <v>1</v>
          </cell>
          <cell r="M44">
            <v>9999000</v>
          </cell>
          <cell r="N44">
            <v>5</v>
          </cell>
          <cell r="O44">
            <v>22695000</v>
          </cell>
          <cell r="T44">
            <v>1</v>
          </cell>
          <cell r="U44">
            <v>7999000</v>
          </cell>
          <cell r="X44">
            <v>1</v>
          </cell>
          <cell r="Y44">
            <v>5499000</v>
          </cell>
          <cell r="AB44">
            <v>4</v>
          </cell>
          <cell r="AC44">
            <v>22996000</v>
          </cell>
          <cell r="AH44">
            <v>1</v>
          </cell>
          <cell r="AI44">
            <v>5699000</v>
          </cell>
          <cell r="AJ44">
            <v>1</v>
          </cell>
          <cell r="AK44">
            <v>8399000</v>
          </cell>
        </row>
        <row r="45">
          <cell r="B45">
            <v>6010703</v>
          </cell>
          <cell r="D45">
            <v>3</v>
          </cell>
          <cell r="E45">
            <v>7197000</v>
          </cell>
          <cell r="F45">
            <v>6</v>
          </cell>
          <cell r="G45">
            <v>15994000</v>
          </cell>
          <cell r="J45">
            <v>39</v>
          </cell>
          <cell r="K45">
            <v>81861000</v>
          </cell>
          <cell r="N45">
            <v>7</v>
          </cell>
          <cell r="O45">
            <v>28693000</v>
          </cell>
          <cell r="X45">
            <v>2</v>
          </cell>
          <cell r="Y45">
            <v>11798000</v>
          </cell>
          <cell r="AH45">
            <v>1</v>
          </cell>
          <cell r="AI45">
            <v>5699000</v>
          </cell>
        </row>
        <row r="46">
          <cell r="B46">
            <v>6010702</v>
          </cell>
          <cell r="D46">
            <v>19</v>
          </cell>
          <cell r="E46">
            <v>45481000</v>
          </cell>
          <cell r="F46">
            <v>25</v>
          </cell>
          <cell r="G46">
            <v>66775000</v>
          </cell>
          <cell r="J46">
            <v>35</v>
          </cell>
          <cell r="K46">
            <v>73465000</v>
          </cell>
          <cell r="L46">
            <v>2</v>
          </cell>
          <cell r="M46">
            <v>19998000</v>
          </cell>
          <cell r="N46">
            <v>19</v>
          </cell>
          <cell r="O46">
            <v>84681000</v>
          </cell>
          <cell r="T46">
            <v>1</v>
          </cell>
          <cell r="U46">
            <v>7999000</v>
          </cell>
          <cell r="X46">
            <v>3</v>
          </cell>
          <cell r="Y46">
            <v>17297000</v>
          </cell>
          <cell r="AB46">
            <v>1</v>
          </cell>
          <cell r="AC46">
            <v>5299000</v>
          </cell>
          <cell r="AH46">
            <v>1</v>
          </cell>
          <cell r="AI46">
            <v>5599000</v>
          </cell>
          <cell r="AJ46">
            <v>2</v>
          </cell>
          <cell r="AK46">
            <v>13598000</v>
          </cell>
        </row>
        <row r="47">
          <cell r="B47">
            <v>6010701</v>
          </cell>
          <cell r="D47">
            <v>23</v>
          </cell>
          <cell r="E47">
            <v>54077000</v>
          </cell>
          <cell r="F47">
            <v>17</v>
          </cell>
          <cell r="G47">
            <v>45183000</v>
          </cell>
          <cell r="J47">
            <v>23</v>
          </cell>
          <cell r="K47">
            <v>48277000</v>
          </cell>
          <cell r="L47">
            <v>2</v>
          </cell>
          <cell r="M47">
            <v>19998000</v>
          </cell>
          <cell r="N47">
            <v>27</v>
          </cell>
          <cell r="O47">
            <v>119273000</v>
          </cell>
          <cell r="P47">
            <v>1</v>
          </cell>
          <cell r="Q47">
            <v>3599000</v>
          </cell>
          <cell r="R47">
            <v>3</v>
          </cell>
          <cell r="S47">
            <v>10797000</v>
          </cell>
          <cell r="T47">
            <v>2</v>
          </cell>
          <cell r="U47">
            <v>15998000</v>
          </cell>
          <cell r="X47">
            <v>3</v>
          </cell>
          <cell r="Y47">
            <v>18097000</v>
          </cell>
          <cell r="AD47">
            <v>1</v>
          </cell>
          <cell r="AE47">
            <v>25999000</v>
          </cell>
          <cell r="AH47">
            <v>1</v>
          </cell>
          <cell r="AI47">
            <v>5699000</v>
          </cell>
          <cell r="AJ47">
            <v>2</v>
          </cell>
          <cell r="AK47">
            <v>15298000</v>
          </cell>
        </row>
        <row r="48">
          <cell r="B48">
            <v>6010710</v>
          </cell>
          <cell r="D48">
            <v>8</v>
          </cell>
          <cell r="E48">
            <v>19592000</v>
          </cell>
          <cell r="F48">
            <v>7</v>
          </cell>
          <cell r="G48">
            <v>18393000</v>
          </cell>
          <cell r="J48">
            <v>31</v>
          </cell>
          <cell r="K48">
            <v>65069000</v>
          </cell>
          <cell r="N48">
            <v>8</v>
          </cell>
          <cell r="O48">
            <v>34992000</v>
          </cell>
          <cell r="R48">
            <v>2</v>
          </cell>
          <cell r="S48">
            <v>7198000</v>
          </cell>
          <cell r="X48">
            <v>2</v>
          </cell>
          <cell r="Y48">
            <v>11798000</v>
          </cell>
        </row>
        <row r="49">
          <cell r="B49">
            <v>6010709</v>
          </cell>
          <cell r="D49">
            <v>31</v>
          </cell>
          <cell r="E49">
            <v>73669000</v>
          </cell>
          <cell r="F49">
            <v>29</v>
          </cell>
          <cell r="G49">
            <v>76371000</v>
          </cell>
          <cell r="H49">
            <v>1</v>
          </cell>
          <cell r="I49">
            <v>1799000</v>
          </cell>
          <cell r="J49">
            <v>60</v>
          </cell>
          <cell r="K49">
            <v>125940000</v>
          </cell>
          <cell r="L49">
            <v>2</v>
          </cell>
          <cell r="M49">
            <v>18998000</v>
          </cell>
          <cell r="N49">
            <v>8</v>
          </cell>
          <cell r="O49">
            <v>32792000</v>
          </cell>
          <cell r="P49">
            <v>2</v>
          </cell>
          <cell r="Q49">
            <v>7198000</v>
          </cell>
          <cell r="R49">
            <v>4</v>
          </cell>
          <cell r="S49">
            <v>14396000</v>
          </cell>
          <cell r="T49">
            <v>2</v>
          </cell>
          <cell r="U49">
            <v>14498000</v>
          </cell>
          <cell r="V49">
            <v>7</v>
          </cell>
          <cell r="W49">
            <v>25193000</v>
          </cell>
          <cell r="X49">
            <v>3</v>
          </cell>
          <cell r="Y49">
            <v>16497000</v>
          </cell>
          <cell r="AB49">
            <v>4</v>
          </cell>
          <cell r="AC49">
            <v>22996000</v>
          </cell>
          <cell r="AH49">
            <v>1</v>
          </cell>
          <cell r="AI49">
            <v>5699000</v>
          </cell>
          <cell r="AJ49">
            <v>1</v>
          </cell>
          <cell r="AK49">
            <v>6899000</v>
          </cell>
        </row>
        <row r="50">
          <cell r="B50">
            <v>6010711</v>
          </cell>
          <cell r="D50">
            <v>3</v>
          </cell>
          <cell r="E50">
            <v>7197000</v>
          </cell>
          <cell r="F50">
            <v>4</v>
          </cell>
          <cell r="G50">
            <v>10796000</v>
          </cell>
          <cell r="J50">
            <v>2</v>
          </cell>
          <cell r="K50">
            <v>4198000</v>
          </cell>
          <cell r="N50">
            <v>4</v>
          </cell>
          <cell r="O50">
            <v>16396000</v>
          </cell>
          <cell r="X50">
            <v>1</v>
          </cell>
          <cell r="Y50">
            <v>5499000</v>
          </cell>
          <cell r="AB50">
            <v>1</v>
          </cell>
          <cell r="AC50">
            <v>6499000</v>
          </cell>
          <cell r="AD50">
            <v>3</v>
          </cell>
          <cell r="AE50">
            <v>81997000</v>
          </cell>
          <cell r="AF50">
            <v>1</v>
          </cell>
          <cell r="AG50">
            <v>15999000</v>
          </cell>
          <cell r="AJ50">
            <v>2</v>
          </cell>
          <cell r="AK50">
            <v>16398000</v>
          </cell>
        </row>
        <row r="51">
          <cell r="B51">
            <v>6100702</v>
          </cell>
          <cell r="F51">
            <v>2</v>
          </cell>
          <cell r="G51">
            <v>5198000</v>
          </cell>
          <cell r="J51">
            <v>1</v>
          </cell>
          <cell r="K51">
            <v>2099000</v>
          </cell>
          <cell r="N51">
            <v>2</v>
          </cell>
          <cell r="O51">
            <v>8198000</v>
          </cell>
          <cell r="R51">
            <v>1</v>
          </cell>
          <cell r="S51">
            <v>3599000</v>
          </cell>
          <cell r="V51">
            <v>2</v>
          </cell>
          <cell r="W51">
            <v>7198000</v>
          </cell>
          <cell r="Z51">
            <v>1</v>
          </cell>
          <cell r="AA51">
            <v>11999000</v>
          </cell>
          <cell r="AB51">
            <v>2</v>
          </cell>
          <cell r="AC51">
            <v>11798000</v>
          </cell>
        </row>
        <row r="52">
          <cell r="B52">
            <v>6150702</v>
          </cell>
          <cell r="N52">
            <v>1</v>
          </cell>
          <cell r="O52">
            <v>4299000</v>
          </cell>
          <cell r="V52">
            <v>1</v>
          </cell>
          <cell r="W52">
            <v>3599000</v>
          </cell>
          <cell r="X52">
            <v>1</v>
          </cell>
          <cell r="Y52">
            <v>5499000</v>
          </cell>
        </row>
      </sheetData>
      <sheetData sheetId="26"/>
      <sheetData sheetId="27"/>
      <sheetData sheetId="28"/>
      <sheetData sheetId="29"/>
      <sheetData sheetId="30"/>
      <sheetData sheetId="31">
        <row r="2">
          <cell r="E2" t="str">
            <v>DEVICE</v>
          </cell>
          <cell r="I2" t="str">
            <v>3MIO+</v>
          </cell>
          <cell r="M2" t="str">
            <v>VALUE</v>
          </cell>
          <cell r="Q2" t="str">
            <v>VAS</v>
          </cell>
        </row>
        <row r="3">
          <cell r="C3" t="str">
            <v>ID Store</v>
          </cell>
          <cell r="D3" t="str">
            <v>Store</v>
          </cell>
          <cell r="E3" t="str">
            <v>TARGET
TOKO</v>
          </cell>
          <cell r="F3" t="str">
            <v>TOTAL
PC</v>
          </cell>
          <cell r="G3" t="str">
            <v>/PC</v>
          </cell>
          <cell r="H3" t="str">
            <v>TARGET TOKO
+ 10%</v>
          </cell>
          <cell r="I3" t="str">
            <v>TARGET TOKO</v>
          </cell>
          <cell r="J3" t="str">
            <v>TOTAL
PC</v>
          </cell>
          <cell r="K3" t="str">
            <v>/PC</v>
          </cell>
          <cell r="L3" t="str">
            <v>TARGET TOKO
+ 10%</v>
          </cell>
          <cell r="M3" t="str">
            <v>TARGET TOKO</v>
          </cell>
          <cell r="N3" t="str">
            <v>TOTAL
PC</v>
          </cell>
          <cell r="O3" t="str">
            <v>/PC</v>
          </cell>
          <cell r="P3" t="str">
            <v>TARGET/PC
+ 10%</v>
          </cell>
          <cell r="Q3" t="str">
            <v>ACC</v>
          </cell>
          <cell r="R3" t="str">
            <v>QOALA</v>
          </cell>
          <cell r="S3" t="str">
            <v>BCA
INSURANCE</v>
          </cell>
          <cell r="T3" t="str">
            <v>INDOSAT</v>
          </cell>
          <cell r="U3" t="str">
            <v>TSEL</v>
          </cell>
        </row>
        <row r="5">
          <cell r="C5">
            <v>6010708</v>
          </cell>
          <cell r="D5" t="str">
            <v>6010708-MVS SHOWROOM CENTRAL PARK</v>
          </cell>
          <cell r="E5">
            <v>120</v>
          </cell>
          <cell r="F5">
            <v>3</v>
          </cell>
          <cell r="G5">
            <v>40</v>
          </cell>
          <cell r="I5">
            <v>65</v>
          </cell>
          <cell r="J5">
            <v>3</v>
          </cell>
          <cell r="K5">
            <v>21.666666666666668</v>
          </cell>
          <cell r="M5">
            <v>840000000</v>
          </cell>
          <cell r="N5">
            <v>3</v>
          </cell>
          <cell r="O5">
            <v>280000000</v>
          </cell>
          <cell r="Q5">
            <v>12</v>
          </cell>
          <cell r="R5">
            <v>4200000</v>
          </cell>
          <cell r="S5">
            <v>840000</v>
          </cell>
          <cell r="T5">
            <v>3.5999999999999996</v>
          </cell>
          <cell r="U5">
            <v>36</v>
          </cell>
        </row>
        <row r="6">
          <cell r="C6">
            <v>6010701</v>
          </cell>
          <cell r="D6" t="str">
            <v>6010701-MVS ROXY SHOWROOM 21</v>
          </cell>
          <cell r="E6">
            <v>260</v>
          </cell>
          <cell r="F6">
            <v>6</v>
          </cell>
          <cell r="G6">
            <v>43.333333333333336</v>
          </cell>
          <cell r="I6">
            <v>130</v>
          </cell>
          <cell r="J6">
            <v>6</v>
          </cell>
          <cell r="K6">
            <v>21.666666666666668</v>
          </cell>
          <cell r="M6">
            <v>962000000</v>
          </cell>
          <cell r="N6">
            <v>6</v>
          </cell>
          <cell r="O6">
            <v>160333333.33333334</v>
          </cell>
          <cell r="Q6">
            <v>26</v>
          </cell>
          <cell r="R6">
            <v>4810000</v>
          </cell>
          <cell r="S6">
            <v>962000</v>
          </cell>
          <cell r="T6">
            <v>7.8</v>
          </cell>
          <cell r="U6">
            <v>78</v>
          </cell>
        </row>
        <row r="7">
          <cell r="C7">
            <v>6010702</v>
          </cell>
          <cell r="D7" t="str">
            <v>6010702-ME ROXY PAMERAN TIMUR</v>
          </cell>
          <cell r="E7">
            <v>260</v>
          </cell>
          <cell r="F7">
            <v>6</v>
          </cell>
          <cell r="G7">
            <v>43.333333333333336</v>
          </cell>
          <cell r="I7">
            <v>130</v>
          </cell>
          <cell r="J7">
            <v>6</v>
          </cell>
          <cell r="K7">
            <v>21.666666666666668</v>
          </cell>
          <cell r="M7">
            <v>962000000</v>
          </cell>
          <cell r="N7">
            <v>6</v>
          </cell>
          <cell r="O7">
            <v>160333333.33333334</v>
          </cell>
          <cell r="Q7">
            <v>26</v>
          </cell>
          <cell r="R7">
            <v>4810000</v>
          </cell>
          <cell r="S7">
            <v>962000</v>
          </cell>
          <cell r="T7">
            <v>7.8</v>
          </cell>
          <cell r="U7">
            <v>78</v>
          </cell>
        </row>
        <row r="8">
          <cell r="C8">
            <v>6010703</v>
          </cell>
          <cell r="D8" t="str">
            <v>6010703-VIVO STORE WINSHOP</v>
          </cell>
          <cell r="E8">
            <v>120</v>
          </cell>
          <cell r="F8">
            <v>3</v>
          </cell>
          <cell r="G8">
            <v>40</v>
          </cell>
          <cell r="I8">
            <v>50</v>
          </cell>
          <cell r="J8">
            <v>3</v>
          </cell>
          <cell r="K8">
            <v>16.666666666666668</v>
          </cell>
          <cell r="M8">
            <v>420000000</v>
          </cell>
          <cell r="N8">
            <v>3</v>
          </cell>
          <cell r="O8">
            <v>140000000</v>
          </cell>
          <cell r="Q8">
            <v>12</v>
          </cell>
          <cell r="R8">
            <v>2100000</v>
          </cell>
          <cell r="S8">
            <v>420000</v>
          </cell>
          <cell r="T8">
            <v>3.5999999999999996</v>
          </cell>
          <cell r="U8">
            <v>36</v>
          </cell>
        </row>
        <row r="9">
          <cell r="C9">
            <v>6010709</v>
          </cell>
          <cell r="D9" t="str">
            <v>A100303-PAMERAN UTARA</v>
          </cell>
          <cell r="E9">
            <v>320</v>
          </cell>
          <cell r="F9">
            <v>7</v>
          </cell>
          <cell r="G9">
            <v>45.714285714285715</v>
          </cell>
          <cell r="I9">
            <v>135</v>
          </cell>
          <cell r="J9">
            <v>7</v>
          </cell>
          <cell r="K9">
            <v>19.285714285714285</v>
          </cell>
          <cell r="M9">
            <v>1120000000</v>
          </cell>
          <cell r="N9">
            <v>7</v>
          </cell>
          <cell r="O9">
            <v>160000000</v>
          </cell>
          <cell r="Q9">
            <v>32</v>
          </cell>
          <cell r="R9">
            <v>5600000</v>
          </cell>
          <cell r="S9">
            <v>1120000</v>
          </cell>
          <cell r="T9">
            <v>9.6</v>
          </cell>
          <cell r="U9">
            <v>96</v>
          </cell>
        </row>
        <row r="10">
          <cell r="C10">
            <v>6010710</v>
          </cell>
          <cell r="D10" t="str">
            <v>A100304-PAMERAN SELATAN</v>
          </cell>
          <cell r="E10">
            <v>110</v>
          </cell>
          <cell r="F10">
            <v>4</v>
          </cell>
          <cell r="G10">
            <v>27.5</v>
          </cell>
          <cell r="I10">
            <v>55</v>
          </cell>
          <cell r="J10">
            <v>4</v>
          </cell>
          <cell r="K10">
            <v>13.75</v>
          </cell>
          <cell r="M10">
            <v>385000000</v>
          </cell>
          <cell r="N10">
            <v>4</v>
          </cell>
          <cell r="O10">
            <v>96250000</v>
          </cell>
          <cell r="Q10">
            <v>11</v>
          </cell>
          <cell r="R10">
            <v>1925000</v>
          </cell>
          <cell r="S10">
            <v>385000</v>
          </cell>
          <cell r="T10">
            <v>3.3</v>
          </cell>
          <cell r="U10">
            <v>33</v>
          </cell>
        </row>
        <row r="11">
          <cell r="C11">
            <v>6010711</v>
          </cell>
          <cell r="D11" t="str">
            <v>6010711-LIPPO MALL PURI 1FK02</v>
          </cell>
          <cell r="E11">
            <v>50</v>
          </cell>
          <cell r="F11">
            <v>3</v>
          </cell>
          <cell r="G11">
            <v>16.666666666666668</v>
          </cell>
          <cell r="I11">
            <v>0</v>
          </cell>
          <cell r="J11">
            <v>3</v>
          </cell>
          <cell r="K11">
            <v>0</v>
          </cell>
          <cell r="M11">
            <v>350000000</v>
          </cell>
          <cell r="N11">
            <v>3</v>
          </cell>
          <cell r="O11">
            <v>116666666.66666667</v>
          </cell>
          <cell r="Q11">
            <v>5</v>
          </cell>
          <cell r="R11">
            <v>1750000</v>
          </cell>
          <cell r="S11">
            <v>350000</v>
          </cell>
          <cell r="T11">
            <v>1.5</v>
          </cell>
          <cell r="U11">
            <v>15</v>
          </cell>
        </row>
        <row r="12">
          <cell r="C12">
            <v>6020711</v>
          </cell>
          <cell r="D12" t="str">
            <v>6020711-vivostore emporium</v>
          </cell>
          <cell r="E12">
            <v>120</v>
          </cell>
          <cell r="F12">
            <v>3</v>
          </cell>
          <cell r="G12">
            <v>40</v>
          </cell>
          <cell r="I12">
            <v>65</v>
          </cell>
          <cell r="J12">
            <v>3</v>
          </cell>
          <cell r="K12">
            <v>21.666666666666668</v>
          </cell>
          <cell r="M12">
            <v>840000000</v>
          </cell>
          <cell r="N12">
            <v>3</v>
          </cell>
          <cell r="O12">
            <v>280000000</v>
          </cell>
          <cell r="Q12">
            <v>12</v>
          </cell>
          <cell r="R12">
            <v>4200000</v>
          </cell>
          <cell r="S12">
            <v>840000</v>
          </cell>
          <cell r="T12">
            <v>3.5999999999999996</v>
          </cell>
          <cell r="U12">
            <v>36</v>
          </cell>
        </row>
        <row r="13">
          <cell r="C13">
            <v>6020706</v>
          </cell>
          <cell r="D13" t="str">
            <v>6020706-MVS CEMPAKA SHOWROOM 2 (454)</v>
          </cell>
          <cell r="E13">
            <v>100</v>
          </cell>
          <cell r="F13">
            <v>3</v>
          </cell>
          <cell r="G13">
            <v>33.333333333333336</v>
          </cell>
          <cell r="I13">
            <v>50</v>
          </cell>
          <cell r="J13">
            <v>3</v>
          </cell>
          <cell r="K13">
            <v>16.666666666666668</v>
          </cell>
          <cell r="M13">
            <v>430000000</v>
          </cell>
          <cell r="N13">
            <v>3</v>
          </cell>
          <cell r="O13">
            <v>143333333.33333334</v>
          </cell>
          <cell r="Q13">
            <v>10</v>
          </cell>
          <cell r="R13">
            <v>2150000</v>
          </cell>
          <cell r="S13">
            <v>430000</v>
          </cell>
          <cell r="T13">
            <v>3</v>
          </cell>
          <cell r="U13">
            <v>30</v>
          </cell>
        </row>
        <row r="14">
          <cell r="C14">
            <v>6020704</v>
          </cell>
          <cell r="D14" t="str">
            <v>6020704-MVS CEMPAKA SHOWROOM 14 (8TOKO)</v>
          </cell>
          <cell r="E14">
            <v>60</v>
          </cell>
          <cell r="F14">
            <v>3</v>
          </cell>
          <cell r="G14">
            <v>20</v>
          </cell>
          <cell r="I14">
            <v>40</v>
          </cell>
          <cell r="J14">
            <v>3</v>
          </cell>
          <cell r="K14">
            <v>13.333333333333334</v>
          </cell>
          <cell r="M14">
            <v>258000000</v>
          </cell>
          <cell r="N14">
            <v>3</v>
          </cell>
          <cell r="O14">
            <v>86000000</v>
          </cell>
          <cell r="Q14">
            <v>6</v>
          </cell>
          <cell r="R14">
            <v>1290000</v>
          </cell>
          <cell r="S14">
            <v>258000</v>
          </cell>
          <cell r="T14">
            <v>1.7999999999999998</v>
          </cell>
          <cell r="U14">
            <v>18</v>
          </cell>
        </row>
        <row r="15">
          <cell r="C15">
            <v>6040701</v>
          </cell>
          <cell r="D15" t="str">
            <v>A200402-ITC-VIVO STORE 1</v>
          </cell>
          <cell r="E15">
            <v>50</v>
          </cell>
          <cell r="F15">
            <v>2</v>
          </cell>
          <cell r="G15">
            <v>25</v>
          </cell>
          <cell r="I15">
            <v>29</v>
          </cell>
          <cell r="J15">
            <v>2</v>
          </cell>
          <cell r="K15">
            <v>14.5</v>
          </cell>
          <cell r="M15">
            <v>215000000</v>
          </cell>
          <cell r="N15">
            <v>2</v>
          </cell>
          <cell r="O15">
            <v>107500000</v>
          </cell>
          <cell r="Q15">
            <v>5</v>
          </cell>
          <cell r="R15">
            <v>1075000</v>
          </cell>
          <cell r="S15">
            <v>215000</v>
          </cell>
          <cell r="T15">
            <v>1.5</v>
          </cell>
          <cell r="U15">
            <v>15</v>
          </cell>
        </row>
        <row r="16">
          <cell r="C16">
            <v>6080712</v>
          </cell>
          <cell r="D16" t="str">
            <v>6080712-MVS ITC DEPOK VIVO STORE 2</v>
          </cell>
          <cell r="E16">
            <v>60</v>
          </cell>
          <cell r="F16">
            <v>3</v>
          </cell>
          <cell r="G16">
            <v>20</v>
          </cell>
          <cell r="I16">
            <v>40</v>
          </cell>
          <cell r="J16">
            <v>3</v>
          </cell>
          <cell r="K16">
            <v>13.333333333333334</v>
          </cell>
          <cell r="M16">
            <v>258000000</v>
          </cell>
          <cell r="N16">
            <v>3</v>
          </cell>
          <cell r="O16">
            <v>86000000</v>
          </cell>
          <cell r="Q16">
            <v>6</v>
          </cell>
          <cell r="R16">
            <v>1290000</v>
          </cell>
          <cell r="S16">
            <v>258000</v>
          </cell>
          <cell r="T16">
            <v>1.7999999999999998</v>
          </cell>
          <cell r="U16">
            <v>18</v>
          </cell>
        </row>
        <row r="17">
          <cell r="C17">
            <v>6040702</v>
          </cell>
          <cell r="D17" t="str">
            <v>6040702-Tran Studio Mall 2F059</v>
          </cell>
          <cell r="E17">
            <v>30</v>
          </cell>
          <cell r="F17">
            <v>2</v>
          </cell>
          <cell r="G17">
            <v>15</v>
          </cell>
          <cell r="I17">
            <v>30</v>
          </cell>
          <cell r="J17">
            <v>3</v>
          </cell>
          <cell r="K17">
            <v>10</v>
          </cell>
          <cell r="M17">
            <v>210000000</v>
          </cell>
          <cell r="N17">
            <v>3</v>
          </cell>
          <cell r="O17">
            <v>70000000</v>
          </cell>
          <cell r="Q17">
            <v>3</v>
          </cell>
          <cell r="R17">
            <v>1050000</v>
          </cell>
          <cell r="S17">
            <v>210000</v>
          </cell>
          <cell r="T17">
            <v>0.89999999999999991</v>
          </cell>
          <cell r="U17">
            <v>9</v>
          </cell>
        </row>
        <row r="18">
          <cell r="C18">
            <v>6040703</v>
          </cell>
          <cell r="D18" t="str">
            <v>6040703-SAWANGAN 1F1-0320</v>
          </cell>
          <cell r="E18">
            <v>40</v>
          </cell>
          <cell r="F18">
            <v>2</v>
          </cell>
          <cell r="G18">
            <v>20</v>
          </cell>
          <cell r="I18">
            <v>30</v>
          </cell>
          <cell r="J18">
            <v>2</v>
          </cell>
          <cell r="K18">
            <v>15</v>
          </cell>
          <cell r="M18">
            <v>220000000</v>
          </cell>
          <cell r="N18">
            <v>2</v>
          </cell>
          <cell r="O18">
            <v>110000000</v>
          </cell>
          <cell r="Q18">
            <v>4</v>
          </cell>
          <cell r="R18">
            <v>1100000</v>
          </cell>
          <cell r="S18">
            <v>220000</v>
          </cell>
          <cell r="T18">
            <v>1.2</v>
          </cell>
          <cell r="U18">
            <v>12</v>
          </cell>
        </row>
        <row r="19">
          <cell r="C19">
            <v>6050701</v>
          </cell>
          <cell r="D19" t="str">
            <v>6050701-MVS X6 DS0824</v>
          </cell>
          <cell r="E19">
            <v>60</v>
          </cell>
          <cell r="F19">
            <v>2</v>
          </cell>
          <cell r="G19">
            <v>30</v>
          </cell>
          <cell r="I19">
            <v>35</v>
          </cell>
          <cell r="J19">
            <v>2</v>
          </cell>
          <cell r="K19">
            <v>17.5</v>
          </cell>
          <cell r="M19">
            <v>330000000</v>
          </cell>
          <cell r="N19">
            <v>2</v>
          </cell>
          <cell r="O19">
            <v>165000000</v>
          </cell>
          <cell r="Q19">
            <v>6</v>
          </cell>
          <cell r="R19">
            <v>1650000</v>
          </cell>
          <cell r="S19">
            <v>330000</v>
          </cell>
          <cell r="T19">
            <v>1.7999999999999998</v>
          </cell>
          <cell r="U19">
            <v>18</v>
          </cell>
        </row>
        <row r="20">
          <cell r="C20">
            <v>6050705</v>
          </cell>
          <cell r="D20" t="str">
            <v>6050705-MBH 2F009</v>
          </cell>
          <cell r="E20">
            <v>20</v>
          </cell>
          <cell r="F20">
            <v>1</v>
          </cell>
          <cell r="M20">
            <v>440000000</v>
          </cell>
          <cell r="Q20">
            <v>8</v>
          </cell>
          <cell r="R20">
            <v>2200000</v>
          </cell>
          <cell r="S20">
            <v>440000</v>
          </cell>
          <cell r="T20">
            <v>2.4</v>
          </cell>
          <cell r="U20">
            <v>24</v>
          </cell>
        </row>
        <row r="21">
          <cell r="C21">
            <v>6220701</v>
          </cell>
          <cell r="D21" t="str">
            <v>6220701-MVS MBH-VIP VIVO STORE-DD284</v>
          </cell>
          <cell r="E21">
            <v>80</v>
          </cell>
          <cell r="F21">
            <v>3</v>
          </cell>
          <cell r="G21">
            <v>26.666666666666668</v>
          </cell>
          <cell r="I21">
            <v>45</v>
          </cell>
          <cell r="J21">
            <v>3</v>
          </cell>
          <cell r="K21">
            <v>15</v>
          </cell>
          <cell r="M21">
            <v>90000000</v>
          </cell>
          <cell r="N21">
            <v>3</v>
          </cell>
          <cell r="O21">
            <v>30000000</v>
          </cell>
          <cell r="Q21">
            <v>2</v>
          </cell>
          <cell r="R21">
            <v>450000</v>
          </cell>
          <cell r="S21">
            <v>90000</v>
          </cell>
          <cell r="T21">
            <v>0.6</v>
          </cell>
          <cell r="U21">
            <v>6</v>
          </cell>
        </row>
        <row r="22">
          <cell r="C22">
            <v>6050706</v>
          </cell>
          <cell r="D22" t="str">
            <v>6050706-AEON MALL DELTAMAS 1F081</v>
          </cell>
          <cell r="E22">
            <v>30</v>
          </cell>
          <cell r="M22">
            <v>165000000</v>
          </cell>
          <cell r="Q22">
            <v>3</v>
          </cell>
          <cell r="R22">
            <v>825000</v>
          </cell>
          <cell r="S22">
            <v>165000</v>
          </cell>
          <cell r="T22">
            <v>0.89999999999999991</v>
          </cell>
          <cell r="U22">
            <v>9</v>
          </cell>
        </row>
        <row r="23">
          <cell r="C23">
            <v>6180706</v>
          </cell>
          <cell r="D23" t="str">
            <v>6180706-MVS MALL CCM</v>
          </cell>
          <cell r="E23">
            <v>120</v>
          </cell>
          <cell r="F23">
            <v>3</v>
          </cell>
          <cell r="G23">
            <v>40</v>
          </cell>
          <cell r="I23">
            <v>65</v>
          </cell>
          <cell r="J23">
            <v>3</v>
          </cell>
          <cell r="K23">
            <v>21.666666666666668</v>
          </cell>
          <cell r="M23">
            <v>624000000</v>
          </cell>
          <cell r="N23">
            <v>3</v>
          </cell>
          <cell r="O23">
            <v>208000000</v>
          </cell>
          <cell r="Q23">
            <v>12</v>
          </cell>
          <cell r="R23">
            <v>3120000</v>
          </cell>
          <cell r="S23">
            <v>624000</v>
          </cell>
          <cell r="T23">
            <v>3.5999999999999996</v>
          </cell>
          <cell r="U23">
            <v>36</v>
          </cell>
        </row>
        <row r="24">
          <cell r="C24">
            <v>6180707</v>
          </cell>
          <cell r="D24" t="str">
            <v>6180707-SC BTM</v>
          </cell>
          <cell r="E24">
            <v>20</v>
          </cell>
          <cell r="F24">
            <v>1</v>
          </cell>
          <cell r="G24">
            <v>20</v>
          </cell>
          <cell r="I24">
            <v>15</v>
          </cell>
          <cell r="J24">
            <v>1</v>
          </cell>
          <cell r="K24">
            <v>15</v>
          </cell>
          <cell r="M24">
            <v>100000000</v>
          </cell>
          <cell r="N24">
            <v>1</v>
          </cell>
          <cell r="O24">
            <v>100000000</v>
          </cell>
          <cell r="Q24">
            <v>2</v>
          </cell>
          <cell r="R24">
            <v>100000</v>
          </cell>
          <cell r="S24">
            <v>100000</v>
          </cell>
          <cell r="T24">
            <v>0.6</v>
          </cell>
          <cell r="U24">
            <v>6</v>
          </cell>
        </row>
        <row r="25">
          <cell r="C25">
            <v>6170707</v>
          </cell>
          <cell r="D25" t="str">
            <v>6170707-LG BLOK D NO. 01D SKY 7</v>
          </cell>
          <cell r="E25">
            <v>80</v>
          </cell>
          <cell r="F25">
            <v>3</v>
          </cell>
          <cell r="G25">
            <v>26.666666666666668</v>
          </cell>
          <cell r="I25">
            <v>36</v>
          </cell>
          <cell r="J25">
            <v>3</v>
          </cell>
          <cell r="K25">
            <v>12</v>
          </cell>
          <cell r="M25">
            <v>344000000</v>
          </cell>
          <cell r="N25">
            <v>3</v>
          </cell>
          <cell r="O25">
            <v>114666666.66666667</v>
          </cell>
          <cell r="Q25">
            <v>8</v>
          </cell>
          <cell r="R25">
            <v>1720000</v>
          </cell>
          <cell r="S25">
            <v>344000</v>
          </cell>
          <cell r="T25">
            <v>2.4</v>
          </cell>
          <cell r="U25">
            <v>24</v>
          </cell>
        </row>
        <row r="26">
          <cell r="C26">
            <v>6240702</v>
          </cell>
          <cell r="D26" t="str">
            <v>A200902-LG BLOK B NO. 01B SKY M3</v>
          </cell>
          <cell r="E26">
            <v>100</v>
          </cell>
          <cell r="F26">
            <v>3</v>
          </cell>
          <cell r="G26">
            <v>33.333333333333336</v>
          </cell>
          <cell r="I26">
            <v>50</v>
          </cell>
          <cell r="J26">
            <v>3</v>
          </cell>
          <cell r="K26">
            <v>16.666666666666668</v>
          </cell>
          <cell r="M26">
            <v>430000000</v>
          </cell>
          <cell r="N26">
            <v>3</v>
          </cell>
          <cell r="O26">
            <v>143333333.33333334</v>
          </cell>
          <cell r="Q26">
            <v>10</v>
          </cell>
          <cell r="R26">
            <v>2150000</v>
          </cell>
          <cell r="S26">
            <v>430000</v>
          </cell>
          <cell r="T26">
            <v>3</v>
          </cell>
          <cell r="U26">
            <v>30</v>
          </cell>
        </row>
        <row r="27">
          <cell r="C27">
            <v>6240704</v>
          </cell>
          <cell r="D27" t="str">
            <v>6240704-TANGCITY LG017 WEST LOBBY</v>
          </cell>
          <cell r="E27">
            <v>30</v>
          </cell>
          <cell r="F27">
            <v>2</v>
          </cell>
          <cell r="G27">
            <v>15</v>
          </cell>
          <cell r="I27">
            <v>22</v>
          </cell>
          <cell r="J27">
            <v>2</v>
          </cell>
          <cell r="K27">
            <v>11</v>
          </cell>
          <cell r="M27">
            <v>129000000</v>
          </cell>
          <cell r="N27">
            <v>2</v>
          </cell>
          <cell r="O27">
            <v>64500000</v>
          </cell>
          <cell r="Q27">
            <v>3</v>
          </cell>
          <cell r="R27">
            <v>350000</v>
          </cell>
          <cell r="S27">
            <v>150000</v>
          </cell>
          <cell r="T27">
            <v>0.89999999999999991</v>
          </cell>
          <cell r="U27">
            <v>9</v>
          </cell>
        </row>
        <row r="28">
          <cell r="C28">
            <v>6240701</v>
          </cell>
          <cell r="D28" t="str">
            <v>A200803-LG BLOK A-B NO. 12 SKY 5</v>
          </cell>
          <cell r="E28">
            <v>90</v>
          </cell>
          <cell r="F28">
            <v>4</v>
          </cell>
          <cell r="G28">
            <v>22.5</v>
          </cell>
          <cell r="I28">
            <v>47</v>
          </cell>
          <cell r="J28">
            <v>4</v>
          </cell>
          <cell r="K28">
            <v>11.75</v>
          </cell>
          <cell r="M28">
            <v>387000000</v>
          </cell>
          <cell r="N28">
            <v>4</v>
          </cell>
          <cell r="O28">
            <v>96750000</v>
          </cell>
          <cell r="Q28">
            <v>9</v>
          </cell>
          <cell r="R28">
            <v>1935000</v>
          </cell>
          <cell r="S28">
            <v>387000</v>
          </cell>
          <cell r="T28">
            <v>2.6999999999999997</v>
          </cell>
          <cell r="U28">
            <v>27</v>
          </cell>
        </row>
        <row r="29">
          <cell r="C29">
            <v>6170706</v>
          </cell>
          <cell r="D29" t="str">
            <v>A200802-CHARLES</v>
          </cell>
          <cell r="E29">
            <v>90</v>
          </cell>
          <cell r="F29">
            <v>3</v>
          </cell>
          <cell r="G29">
            <v>30</v>
          </cell>
          <cell r="I29">
            <v>40</v>
          </cell>
          <cell r="J29">
            <v>3</v>
          </cell>
          <cell r="K29">
            <v>13.333333333333334</v>
          </cell>
          <cell r="M29">
            <v>387000000</v>
          </cell>
          <cell r="N29">
            <v>3</v>
          </cell>
          <cell r="O29">
            <v>129000000</v>
          </cell>
          <cell r="Q29">
            <v>9</v>
          </cell>
          <cell r="R29">
            <v>1935000</v>
          </cell>
          <cell r="S29">
            <v>387000</v>
          </cell>
          <cell r="T29">
            <v>2.6999999999999997</v>
          </cell>
          <cell r="U29">
            <v>27</v>
          </cell>
        </row>
        <row r="30">
          <cell r="C30">
            <v>6240703</v>
          </cell>
          <cell r="D30" t="str">
            <v>6240703-TANGCITY LG009 CENTER</v>
          </cell>
          <cell r="E30">
            <v>90</v>
          </cell>
          <cell r="F30">
            <v>2</v>
          </cell>
          <cell r="G30">
            <v>45</v>
          </cell>
          <cell r="I30">
            <v>36</v>
          </cell>
          <cell r="J30">
            <v>2</v>
          </cell>
          <cell r="K30">
            <v>18</v>
          </cell>
          <cell r="M30">
            <v>387000000</v>
          </cell>
          <cell r="N30">
            <v>2</v>
          </cell>
          <cell r="O30">
            <v>193500000</v>
          </cell>
          <cell r="Q30">
            <v>9</v>
          </cell>
          <cell r="R30">
            <v>1935000</v>
          </cell>
          <cell r="S30">
            <v>387000</v>
          </cell>
          <cell r="T30">
            <v>2.6999999999999997</v>
          </cell>
          <cell r="U30">
            <v>27</v>
          </cell>
        </row>
        <row r="31">
          <cell r="C31">
            <v>6170703</v>
          </cell>
          <cell r="D31" t="str">
            <v>6170703-4004 MVS-BNT-CCM STORE</v>
          </cell>
          <cell r="E31">
            <v>30</v>
          </cell>
          <cell r="F31">
            <v>2</v>
          </cell>
          <cell r="G31">
            <v>15</v>
          </cell>
          <cell r="I31">
            <v>18</v>
          </cell>
          <cell r="J31">
            <v>2</v>
          </cell>
          <cell r="K31">
            <v>9</v>
          </cell>
          <cell r="M31">
            <v>150000000</v>
          </cell>
          <cell r="N31">
            <v>2</v>
          </cell>
          <cell r="O31">
            <v>75000000</v>
          </cell>
          <cell r="Q31">
            <v>3</v>
          </cell>
          <cell r="R31">
            <v>200000</v>
          </cell>
          <cell r="S31">
            <v>100000</v>
          </cell>
          <cell r="T31">
            <v>0.89999999999999991</v>
          </cell>
          <cell r="U31">
            <v>9</v>
          </cell>
        </row>
        <row r="32">
          <cell r="C32">
            <v>6240705</v>
          </cell>
          <cell r="D32" t="str">
            <v>6240705-CIPUTRA 2FC15</v>
          </cell>
          <cell r="E32">
            <v>40</v>
          </cell>
          <cell r="F32">
            <v>2</v>
          </cell>
          <cell r="G32">
            <v>20</v>
          </cell>
          <cell r="I32">
            <v>18</v>
          </cell>
          <cell r="J32">
            <v>2</v>
          </cell>
          <cell r="K32">
            <v>9</v>
          </cell>
          <cell r="M32">
            <v>172000000</v>
          </cell>
          <cell r="N32">
            <v>2</v>
          </cell>
          <cell r="O32">
            <v>86000000</v>
          </cell>
          <cell r="Q32">
            <v>4</v>
          </cell>
          <cell r="R32">
            <v>100000</v>
          </cell>
          <cell r="S32">
            <v>50000</v>
          </cell>
          <cell r="T32">
            <v>1.2</v>
          </cell>
          <cell r="U32">
            <v>12</v>
          </cell>
        </row>
        <row r="33">
          <cell r="C33">
            <v>6240707</v>
          </cell>
          <cell r="D33" t="str">
            <v>6240707-SUPERMALL UGN3A</v>
          </cell>
          <cell r="E33">
            <v>30</v>
          </cell>
          <cell r="F33">
            <v>2</v>
          </cell>
          <cell r="G33">
            <v>15</v>
          </cell>
          <cell r="I33">
            <v>18</v>
          </cell>
          <cell r="J33">
            <v>2</v>
          </cell>
          <cell r="K33">
            <v>9</v>
          </cell>
          <cell r="M33">
            <v>165000000</v>
          </cell>
          <cell r="N33">
            <v>2</v>
          </cell>
          <cell r="O33">
            <v>82500000</v>
          </cell>
          <cell r="Q33">
            <v>3</v>
          </cell>
          <cell r="R33">
            <v>825000</v>
          </cell>
          <cell r="S33">
            <v>165000</v>
          </cell>
          <cell r="T33">
            <v>0.89999999999999991</v>
          </cell>
          <cell r="U33">
            <v>9</v>
          </cell>
        </row>
        <row r="34">
          <cell r="C34">
            <v>6240706</v>
          </cell>
          <cell r="D34" t="str">
            <v>6240706-SUPERMALL LGC3A</v>
          </cell>
          <cell r="E34">
            <v>30</v>
          </cell>
          <cell r="F34">
            <v>2</v>
          </cell>
          <cell r="G34">
            <v>15</v>
          </cell>
          <cell r="I34">
            <v>18</v>
          </cell>
          <cell r="J34">
            <v>2</v>
          </cell>
          <cell r="K34">
            <v>9</v>
          </cell>
          <cell r="M34">
            <v>165000000</v>
          </cell>
          <cell r="N34">
            <v>2</v>
          </cell>
          <cell r="O34">
            <v>82500000</v>
          </cell>
          <cell r="Q34">
            <v>3</v>
          </cell>
          <cell r="R34">
            <v>825000</v>
          </cell>
          <cell r="S34">
            <v>165000</v>
          </cell>
          <cell r="T34">
            <v>0.89999999999999991</v>
          </cell>
          <cell r="U34">
            <v>9</v>
          </cell>
        </row>
        <row r="35">
          <cell r="C35">
            <v>6240708</v>
          </cell>
          <cell r="D35" t="str">
            <v>6240708-ITC BSD 1F09-14</v>
          </cell>
          <cell r="E35">
            <v>30</v>
          </cell>
          <cell r="F35">
            <v>2</v>
          </cell>
          <cell r="G35">
            <v>15</v>
          </cell>
          <cell r="I35">
            <v>0</v>
          </cell>
          <cell r="J35">
            <v>2</v>
          </cell>
          <cell r="K35">
            <v>0</v>
          </cell>
          <cell r="M35">
            <v>150000000</v>
          </cell>
          <cell r="N35">
            <v>2</v>
          </cell>
          <cell r="O35">
            <v>75000000</v>
          </cell>
          <cell r="Q35">
            <v>3</v>
          </cell>
          <cell r="R35">
            <v>750000</v>
          </cell>
          <cell r="S35">
            <v>150000</v>
          </cell>
          <cell r="T35">
            <v>0.89999999999999991</v>
          </cell>
          <cell r="U35">
            <v>9</v>
          </cell>
        </row>
        <row r="36">
          <cell r="C36">
            <v>6240709</v>
          </cell>
          <cell r="D36" t="str">
            <v>6240709-ITC BSD 1F49-50</v>
          </cell>
          <cell r="E36">
            <v>30</v>
          </cell>
          <cell r="F36">
            <v>2</v>
          </cell>
          <cell r="G36">
            <v>15</v>
          </cell>
          <cell r="I36">
            <v>0</v>
          </cell>
          <cell r="J36">
            <v>2</v>
          </cell>
          <cell r="K36">
            <v>0</v>
          </cell>
          <cell r="M36">
            <v>150000000</v>
          </cell>
          <cell r="N36">
            <v>2</v>
          </cell>
          <cell r="O36">
            <v>75000000</v>
          </cell>
          <cell r="Q36">
            <v>3</v>
          </cell>
          <cell r="R36">
            <v>750000</v>
          </cell>
          <cell r="S36">
            <v>150000</v>
          </cell>
          <cell r="T36">
            <v>0.89999999999999991</v>
          </cell>
          <cell r="U36">
            <v>9</v>
          </cell>
        </row>
        <row r="37">
          <cell r="C37">
            <v>6190701</v>
          </cell>
          <cell r="D37" t="str">
            <v>6190701-VIVO STORE UG</v>
          </cell>
          <cell r="E37">
            <v>50</v>
          </cell>
          <cell r="F37">
            <v>2</v>
          </cell>
          <cell r="G37">
            <v>25</v>
          </cell>
          <cell r="I37">
            <v>32</v>
          </cell>
          <cell r="J37">
            <v>2</v>
          </cell>
          <cell r="K37">
            <v>16</v>
          </cell>
          <cell r="M37">
            <v>215000000</v>
          </cell>
          <cell r="N37">
            <v>2</v>
          </cell>
          <cell r="O37">
            <v>107500000</v>
          </cell>
          <cell r="Q37">
            <v>5</v>
          </cell>
          <cell r="R37">
            <v>1075000</v>
          </cell>
          <cell r="S37">
            <v>215000</v>
          </cell>
          <cell r="T37">
            <v>1.5</v>
          </cell>
          <cell r="U37">
            <v>15</v>
          </cell>
        </row>
        <row r="38">
          <cell r="C38">
            <v>6190706</v>
          </cell>
          <cell r="D38" t="str">
            <v>A300102-VIVO STORE 4 BEC</v>
          </cell>
          <cell r="E38">
            <v>110</v>
          </cell>
          <cell r="F38">
            <v>4</v>
          </cell>
          <cell r="G38">
            <v>27.5</v>
          </cell>
          <cell r="I38">
            <v>61</v>
          </cell>
          <cell r="J38">
            <v>4</v>
          </cell>
          <cell r="K38">
            <v>15.25</v>
          </cell>
          <cell r="M38">
            <v>473000000</v>
          </cell>
          <cell r="N38">
            <v>4</v>
          </cell>
          <cell r="O38">
            <v>118250000</v>
          </cell>
          <cell r="Q38">
            <v>11</v>
          </cell>
          <cell r="R38">
            <v>2365000</v>
          </cell>
          <cell r="S38">
            <v>473000</v>
          </cell>
          <cell r="T38">
            <v>3.3</v>
          </cell>
          <cell r="U38">
            <v>33</v>
          </cell>
        </row>
        <row r="39">
          <cell r="C39">
            <v>6190705</v>
          </cell>
          <cell r="D39" t="str">
            <v>A300105-VIVO STORE LG F20</v>
          </cell>
          <cell r="E39">
            <v>60</v>
          </cell>
          <cell r="F39">
            <v>2</v>
          </cell>
          <cell r="G39">
            <v>30</v>
          </cell>
          <cell r="I39">
            <v>29</v>
          </cell>
          <cell r="J39">
            <v>2</v>
          </cell>
          <cell r="K39">
            <v>14.5</v>
          </cell>
          <cell r="M39">
            <v>258000000</v>
          </cell>
          <cell r="N39">
            <v>2</v>
          </cell>
          <cell r="O39">
            <v>129000000</v>
          </cell>
          <cell r="Q39">
            <v>6</v>
          </cell>
          <cell r="R39">
            <v>1290000</v>
          </cell>
          <cell r="S39">
            <v>258000</v>
          </cell>
          <cell r="T39">
            <v>1.7999999999999998</v>
          </cell>
          <cell r="U39">
            <v>18</v>
          </cell>
        </row>
        <row r="40">
          <cell r="C40">
            <v>6190704</v>
          </cell>
          <cell r="D40" t="str">
            <v>A300201-VIVO STORE 1 BEC</v>
          </cell>
          <cell r="E40">
            <v>120</v>
          </cell>
          <cell r="F40">
            <v>4</v>
          </cell>
          <cell r="G40">
            <v>30</v>
          </cell>
          <cell r="I40">
            <v>50</v>
          </cell>
          <cell r="J40">
            <v>4</v>
          </cell>
          <cell r="K40">
            <v>12.5</v>
          </cell>
          <cell r="M40">
            <v>516000000</v>
          </cell>
          <cell r="N40">
            <v>4</v>
          </cell>
          <cell r="O40">
            <v>129000000</v>
          </cell>
          <cell r="Q40">
            <v>12</v>
          </cell>
          <cell r="R40">
            <v>2580000</v>
          </cell>
          <cell r="S40">
            <v>516000</v>
          </cell>
          <cell r="T40">
            <v>3.5999999999999996</v>
          </cell>
          <cell r="U40">
            <v>36</v>
          </cell>
        </row>
        <row r="41">
          <cell r="C41">
            <v>6190707</v>
          </cell>
          <cell r="D41" t="str">
            <v>A300202-VIVO STORE LU</v>
          </cell>
          <cell r="E41">
            <v>120</v>
          </cell>
          <cell r="F41">
            <v>4</v>
          </cell>
          <cell r="G41">
            <v>30</v>
          </cell>
          <cell r="I41">
            <v>58</v>
          </cell>
          <cell r="J41">
            <v>4</v>
          </cell>
          <cell r="K41">
            <v>14.5</v>
          </cell>
          <cell r="M41">
            <v>516000000</v>
          </cell>
          <cell r="N41">
            <v>4</v>
          </cell>
          <cell r="O41">
            <v>129000000</v>
          </cell>
          <cell r="Q41">
            <v>12</v>
          </cell>
          <cell r="R41">
            <v>2580000</v>
          </cell>
          <cell r="S41">
            <v>516000</v>
          </cell>
          <cell r="T41">
            <v>3.5999999999999996</v>
          </cell>
          <cell r="U41">
            <v>36</v>
          </cell>
        </row>
        <row r="42">
          <cell r="C42">
            <v>6190708</v>
          </cell>
          <cell r="D42" t="str">
            <v>6190708-BEC SC LGAA07</v>
          </cell>
          <cell r="E42">
            <v>20</v>
          </cell>
          <cell r="M42">
            <v>86000000</v>
          </cell>
          <cell r="Q42">
            <v>2</v>
          </cell>
          <cell r="R42">
            <v>430000</v>
          </cell>
          <cell r="S42">
            <v>86000</v>
          </cell>
          <cell r="T42">
            <v>0.6</v>
          </cell>
          <cell r="U42">
            <v>6</v>
          </cell>
        </row>
        <row r="43">
          <cell r="C43">
            <v>6150702</v>
          </cell>
          <cell r="D43" t="str">
            <v>6150702-GRANMALL SC GF-11</v>
          </cell>
          <cell r="E43">
            <v>20</v>
          </cell>
          <cell r="M43">
            <v>80000000</v>
          </cell>
          <cell r="Q43">
            <v>2</v>
          </cell>
          <cell r="R43">
            <v>400000</v>
          </cell>
          <cell r="S43">
            <v>80000</v>
          </cell>
          <cell r="T43">
            <v>0.6</v>
          </cell>
          <cell r="U43">
            <v>6</v>
          </cell>
        </row>
        <row r="44">
          <cell r="C44">
            <v>6100702</v>
          </cell>
          <cell r="D44" t="str">
            <v>6100702-VS Jogja City Mall</v>
          </cell>
          <cell r="E44">
            <v>50</v>
          </cell>
          <cell r="F44">
            <v>1</v>
          </cell>
          <cell r="G44">
            <v>50</v>
          </cell>
          <cell r="I44">
            <v>22</v>
          </cell>
          <cell r="J44">
            <v>1</v>
          </cell>
          <cell r="K44">
            <v>22</v>
          </cell>
          <cell r="M44">
            <v>350000000</v>
          </cell>
          <cell r="N44">
            <v>1</v>
          </cell>
          <cell r="O44">
            <v>350000000</v>
          </cell>
          <cell r="Q44">
            <v>5</v>
          </cell>
          <cell r="R44">
            <v>1750000</v>
          </cell>
          <cell r="S44">
            <v>350000</v>
          </cell>
          <cell r="T44">
            <v>1.5</v>
          </cell>
          <cell r="U44">
            <v>15</v>
          </cell>
        </row>
        <row r="45">
          <cell r="C45">
            <v>6130702</v>
          </cell>
          <cell r="D45" t="str">
            <v>6130702-RITA SUPERMALL SF36-37</v>
          </cell>
          <cell r="E45">
            <v>60</v>
          </cell>
          <cell r="F45">
            <v>4</v>
          </cell>
          <cell r="G45">
            <v>15</v>
          </cell>
          <cell r="I45">
            <v>40</v>
          </cell>
          <cell r="J45">
            <v>4</v>
          </cell>
          <cell r="K45">
            <v>10</v>
          </cell>
          <cell r="M45">
            <v>300000000</v>
          </cell>
          <cell r="N45">
            <v>4</v>
          </cell>
          <cell r="O45">
            <v>75000000</v>
          </cell>
          <cell r="Q45">
            <v>6</v>
          </cell>
          <cell r="R45">
            <v>1500000</v>
          </cell>
          <cell r="S45">
            <v>300000</v>
          </cell>
          <cell r="T45">
            <v>1.7999999999999998</v>
          </cell>
          <cell r="U45">
            <v>18</v>
          </cell>
        </row>
        <row r="46">
          <cell r="C46">
            <v>6140706</v>
          </cell>
          <cell r="D46" t="str">
            <v>6140706-23 SEMARANG MALL 1F065-66</v>
          </cell>
          <cell r="E46">
            <v>30</v>
          </cell>
          <cell r="F46">
            <v>2</v>
          </cell>
          <cell r="M46">
            <v>210000000</v>
          </cell>
          <cell r="Q46">
            <v>3</v>
          </cell>
          <cell r="R46">
            <v>1050000</v>
          </cell>
          <cell r="S46">
            <v>210000</v>
          </cell>
          <cell r="T46">
            <v>0.89999999999999991</v>
          </cell>
          <cell r="U46">
            <v>9</v>
          </cell>
        </row>
        <row r="47">
          <cell r="C47">
            <v>6140705</v>
          </cell>
          <cell r="D47" t="str">
            <v>6140705-QUEENCITY 2F027</v>
          </cell>
          <cell r="E47">
            <v>60</v>
          </cell>
          <cell r="F47">
            <v>3</v>
          </cell>
          <cell r="G47">
            <v>20</v>
          </cell>
          <cell r="I47">
            <v>15</v>
          </cell>
          <cell r="J47">
            <v>3</v>
          </cell>
          <cell r="K47">
            <v>5</v>
          </cell>
          <cell r="M47">
            <v>420000000</v>
          </cell>
          <cell r="N47">
            <v>3</v>
          </cell>
          <cell r="O47">
            <v>140000000</v>
          </cell>
          <cell r="Q47">
            <v>6</v>
          </cell>
          <cell r="R47">
            <v>2100000</v>
          </cell>
          <cell r="S47">
            <v>420000</v>
          </cell>
          <cell r="T47">
            <v>1.7999999999999998</v>
          </cell>
          <cell r="U47">
            <v>18</v>
          </cell>
        </row>
        <row r="48">
          <cell r="E48">
            <v>3400</v>
          </cell>
          <cell r="F48">
            <v>115</v>
          </cell>
          <cell r="I48">
            <v>1619</v>
          </cell>
          <cell r="J48">
            <v>113</v>
          </cell>
          <cell r="M48">
            <v>15659000000</v>
          </cell>
          <cell r="N48">
            <v>113</v>
          </cell>
          <cell r="O48">
            <v>138575221.23893806</v>
          </cell>
          <cell r="Q48">
            <v>340</v>
          </cell>
          <cell r="R48">
            <v>76290000</v>
          </cell>
          <cell r="S48">
            <v>15508000</v>
          </cell>
          <cell r="T48">
            <v>102</v>
          </cell>
          <cell r="U48">
            <v>1020</v>
          </cell>
        </row>
        <row r="49">
          <cell r="E49">
            <v>3400</v>
          </cell>
          <cell r="I49">
            <v>1619</v>
          </cell>
        </row>
      </sheetData>
      <sheetData sheetId="32"/>
      <sheetData sheetId="33"/>
      <sheetData sheetId="34"/>
      <sheetData sheetId="35"/>
      <sheetData sheetId="36">
        <row r="6">
          <cell r="A6" t="str">
            <v>Sum of Qty</v>
          </cell>
        </row>
      </sheetData>
      <sheetData sheetId="37">
        <row r="3">
          <cell r="D3" t="str">
            <v>Sales / Retur</v>
          </cell>
        </row>
        <row r="4">
          <cell r="A4" t="str">
            <v>Tgl</v>
          </cell>
          <cell r="B4" t="str">
            <v>单据来源</v>
          </cell>
          <cell r="C4" t="str">
            <v>单据状态</v>
          </cell>
          <cell r="D4" t="str">
            <v>退货状态</v>
          </cell>
          <cell r="E4" t="str">
            <v>销售渠道</v>
          </cell>
        </row>
        <row r="16">
          <cell r="A16" t="str">
            <v>ID STORE</v>
          </cell>
          <cell r="B16" t="str">
            <v>STORE NAME</v>
          </cell>
          <cell r="C16" t="str">
            <v>VALUE</v>
          </cell>
          <cell r="D16" t="str">
            <v>QTY</v>
          </cell>
          <cell r="E16" t="str">
            <v>ASP</v>
          </cell>
        </row>
        <row r="17">
          <cell r="A17">
            <v>6010708</v>
          </cell>
          <cell r="B17" t="str">
            <v>6010708-MVS SHOWROOM CENTRAL PARK</v>
          </cell>
          <cell r="C17">
            <v>262858000</v>
          </cell>
          <cell r="D17">
            <v>42</v>
          </cell>
          <cell r="E17">
            <v>6258523.8095238097</v>
          </cell>
        </row>
        <row r="18">
          <cell r="A18">
            <v>6010701</v>
          </cell>
          <cell r="B18" t="str">
            <v>6010701-MVS ROXY SHOWROOM 21</v>
          </cell>
          <cell r="C18">
            <v>320708000</v>
          </cell>
          <cell r="D18">
            <v>92</v>
          </cell>
          <cell r="E18">
            <v>3485956.5217391304</v>
          </cell>
        </row>
        <row r="19">
          <cell r="A19">
            <v>6010702</v>
          </cell>
          <cell r="B19" t="str">
            <v>6010702-ME ROXY PAMERAN TIMUR</v>
          </cell>
          <cell r="C19">
            <v>265120000</v>
          </cell>
          <cell r="D19">
            <v>80</v>
          </cell>
          <cell r="E19">
            <v>3314000</v>
          </cell>
        </row>
        <row r="20">
          <cell r="A20">
            <v>6010703</v>
          </cell>
          <cell r="B20" t="str">
            <v>6010703-VIVO STORE WINSHOP</v>
          </cell>
          <cell r="C20">
            <v>95768000</v>
          </cell>
          <cell r="D20">
            <v>32</v>
          </cell>
          <cell r="E20">
            <v>2992750</v>
          </cell>
        </row>
        <row r="21">
          <cell r="A21">
            <v>6020711</v>
          </cell>
          <cell r="B21" t="str">
            <v>6020711-vivostore emporium</v>
          </cell>
          <cell r="C21">
            <v>139472000</v>
          </cell>
          <cell r="D21">
            <v>28</v>
          </cell>
          <cell r="E21">
            <v>4981142.8571428573</v>
          </cell>
        </row>
        <row r="22">
          <cell r="A22">
            <v>6010711</v>
          </cell>
          <cell r="B22" t="str">
            <v>6010711-LIPPO MALL PURI 1FK02</v>
          </cell>
          <cell r="C22">
            <v>34595000</v>
          </cell>
          <cell r="D22">
            <v>5</v>
          </cell>
          <cell r="E22">
            <v>6919000</v>
          </cell>
        </row>
        <row r="23">
          <cell r="A23">
            <v>6020706</v>
          </cell>
          <cell r="B23" t="str">
            <v>6020706-MVS CEMPAKA SHOWROOM 2 (454)</v>
          </cell>
          <cell r="C23">
            <v>162161000</v>
          </cell>
          <cell r="D23">
            <v>39</v>
          </cell>
          <cell r="E23">
            <v>4157974.358974359</v>
          </cell>
        </row>
        <row r="24">
          <cell r="A24">
            <v>6020704</v>
          </cell>
          <cell r="B24" t="str">
            <v>6020704-MVS CEMPAKA SHOWROOM 14 (8TOKO)</v>
          </cell>
          <cell r="C24">
            <v>89474000</v>
          </cell>
          <cell r="D24">
            <v>26</v>
          </cell>
          <cell r="E24">
            <v>3441307.6923076925</v>
          </cell>
        </row>
        <row r="25">
          <cell r="A25">
            <v>6080712</v>
          </cell>
          <cell r="B25" t="str">
            <v>6080712-MVS ITC DEPOK VIVO STORE 2</v>
          </cell>
          <cell r="C25">
            <v>186677000</v>
          </cell>
          <cell r="D25">
            <v>23</v>
          </cell>
          <cell r="E25">
            <v>8116391.3043478262</v>
          </cell>
        </row>
        <row r="26">
          <cell r="A26">
            <v>6040702</v>
          </cell>
          <cell r="B26" t="str">
            <v>6040702-TRAN STUDIO MALL 2F059</v>
          </cell>
          <cell r="C26">
            <v>108287000</v>
          </cell>
          <cell r="D26">
            <v>13</v>
          </cell>
          <cell r="E26">
            <v>8329769.230769231</v>
          </cell>
        </row>
        <row r="27">
          <cell r="A27">
            <v>6040703</v>
          </cell>
          <cell r="B27" t="str">
            <v>6040703-SAWANGAN 1F1-0320</v>
          </cell>
          <cell r="C27">
            <v>156376000</v>
          </cell>
          <cell r="D27">
            <v>24</v>
          </cell>
          <cell r="E27">
            <v>6515666.666666667</v>
          </cell>
        </row>
        <row r="28">
          <cell r="A28">
            <v>6050701</v>
          </cell>
          <cell r="B28" t="str">
            <v>6050701-MVS X6 DS0824</v>
          </cell>
          <cell r="C28">
            <v>132079000</v>
          </cell>
          <cell r="D28">
            <v>21</v>
          </cell>
          <cell r="E28">
            <v>6289476.1904761903</v>
          </cell>
        </row>
        <row r="29">
          <cell r="A29">
            <v>6220701</v>
          </cell>
          <cell r="B29" t="str">
            <v>6220701-MVS MBH-VIP VIVO STORE-DD284</v>
          </cell>
          <cell r="C29">
            <v>181076000</v>
          </cell>
          <cell r="D29">
            <v>24</v>
          </cell>
          <cell r="E29">
            <v>7544833.333333333</v>
          </cell>
        </row>
        <row r="30">
          <cell r="A30">
            <v>6180706</v>
          </cell>
          <cell r="B30" t="str">
            <v>6180706-MVS MALL CCM</v>
          </cell>
          <cell r="C30">
            <v>314050000</v>
          </cell>
          <cell r="D30">
            <v>50</v>
          </cell>
          <cell r="E30">
            <v>6281000</v>
          </cell>
        </row>
        <row r="31">
          <cell r="A31">
            <v>6180707</v>
          </cell>
          <cell r="B31" t="str">
            <v>6180707-SC BTM</v>
          </cell>
          <cell r="C31">
            <v>85388000</v>
          </cell>
          <cell r="D31">
            <v>12</v>
          </cell>
          <cell r="E31">
            <v>7115666.666666667</v>
          </cell>
        </row>
        <row r="32">
          <cell r="A32">
            <v>6170707</v>
          </cell>
          <cell r="B32" t="str">
            <v>6170707-LG BLOK D NO. 01D</v>
          </cell>
          <cell r="C32">
            <v>136267000</v>
          </cell>
          <cell r="D32">
            <v>33</v>
          </cell>
          <cell r="E32">
            <v>4129303.0303030303</v>
          </cell>
        </row>
        <row r="33">
          <cell r="A33">
            <v>6170706</v>
          </cell>
          <cell r="B33" t="str">
            <v>A200802-CHARLES</v>
          </cell>
          <cell r="C33">
            <v>124369000</v>
          </cell>
          <cell r="D33">
            <v>31</v>
          </cell>
          <cell r="E33">
            <v>4011903.2258064514</v>
          </cell>
        </row>
        <row r="34">
          <cell r="A34">
            <v>6240704</v>
          </cell>
          <cell r="B34" t="str">
            <v>6240704-TANGCITY LG017 WEST LOBBY</v>
          </cell>
          <cell r="C34">
            <v>42388000</v>
          </cell>
          <cell r="D34">
            <v>12</v>
          </cell>
          <cell r="E34">
            <v>3532333.3333333335</v>
          </cell>
        </row>
        <row r="35">
          <cell r="A35">
            <v>6240703</v>
          </cell>
          <cell r="B35" t="str">
            <v>6240703-TANGCITY LG009 CENTER</v>
          </cell>
          <cell r="C35">
            <v>155064000</v>
          </cell>
          <cell r="D35">
            <v>36</v>
          </cell>
          <cell r="E35">
            <v>4307333.333333333</v>
          </cell>
        </row>
        <row r="36">
          <cell r="A36">
            <v>6240705</v>
          </cell>
          <cell r="B36" t="str">
            <v>6240705-CIPUTRA 2FC15</v>
          </cell>
          <cell r="C36">
            <v>47788000</v>
          </cell>
          <cell r="D36">
            <v>12</v>
          </cell>
          <cell r="E36">
            <v>3982333.3333333335</v>
          </cell>
        </row>
        <row r="37">
          <cell r="A37">
            <v>6240709</v>
          </cell>
          <cell r="B37" t="str">
            <v>6240709-ITC BSD 1F49-50</v>
          </cell>
          <cell r="C37">
            <v>33194000</v>
          </cell>
          <cell r="D37">
            <v>6</v>
          </cell>
          <cell r="E37">
            <v>5532333.333333333</v>
          </cell>
        </row>
        <row r="38">
          <cell r="A38">
            <v>6240708</v>
          </cell>
          <cell r="B38" t="str">
            <v>6240708-ITC BSD 1F09-14</v>
          </cell>
          <cell r="C38">
            <v>13794000</v>
          </cell>
          <cell r="D38">
            <v>6</v>
          </cell>
          <cell r="E38">
            <v>2299000</v>
          </cell>
        </row>
        <row r="39">
          <cell r="A39">
            <v>6240707</v>
          </cell>
          <cell r="B39" t="str">
            <v>6240707-SUPERMALL UGN3A仓库</v>
          </cell>
          <cell r="C39">
            <v>84687000</v>
          </cell>
          <cell r="D39">
            <v>13</v>
          </cell>
          <cell r="E39">
            <v>6514384.615384615</v>
          </cell>
        </row>
        <row r="40">
          <cell r="A40">
            <v>6240706</v>
          </cell>
          <cell r="B40" t="str">
            <v>6240706-SUPERMALL LGC3A</v>
          </cell>
          <cell r="C40">
            <v>59688000</v>
          </cell>
          <cell r="D40">
            <v>12</v>
          </cell>
          <cell r="E40">
            <v>4974000</v>
          </cell>
        </row>
        <row r="41">
          <cell r="A41">
            <v>6170703</v>
          </cell>
          <cell r="B41" t="str">
            <v>6170703-4004 MVS-BNT-CCM STORE</v>
          </cell>
          <cell r="C41">
            <v>75587000</v>
          </cell>
          <cell r="D41">
            <v>13</v>
          </cell>
          <cell r="E41">
            <v>5814384.615384615</v>
          </cell>
        </row>
        <row r="42">
          <cell r="A42">
            <v>6190701</v>
          </cell>
          <cell r="B42" t="str">
            <v>6190701-VIVO STORE UG</v>
          </cell>
          <cell r="C42">
            <v>223772000</v>
          </cell>
          <cell r="D42">
            <v>28</v>
          </cell>
          <cell r="E42">
            <v>7991857.1428571427</v>
          </cell>
        </row>
        <row r="43">
          <cell r="A43">
            <v>6190704</v>
          </cell>
          <cell r="B43" t="str">
            <v>A300201-VIVO STORE 1 BEC</v>
          </cell>
          <cell r="C43">
            <v>121866000</v>
          </cell>
          <cell r="D43">
            <v>34</v>
          </cell>
          <cell r="E43">
            <v>3584294.1176470588</v>
          </cell>
        </row>
        <row r="44">
          <cell r="A44">
            <v>6190707</v>
          </cell>
          <cell r="B44" t="str">
            <v>A300202-VIVO STORE LU</v>
          </cell>
          <cell r="C44">
            <v>301040000</v>
          </cell>
          <cell r="D44">
            <v>60</v>
          </cell>
          <cell r="E44">
            <v>5017333.333333333</v>
          </cell>
        </row>
        <row r="45">
          <cell r="A45">
            <v>6100702</v>
          </cell>
          <cell r="B45" t="str">
            <v>6100702-VS Jogja City Mall</v>
          </cell>
          <cell r="C45">
            <v>102382000</v>
          </cell>
          <cell r="D45">
            <v>18</v>
          </cell>
          <cell r="E45">
            <v>5687888.888888889</v>
          </cell>
        </row>
        <row r="46">
          <cell r="A46">
            <v>6140703</v>
          </cell>
          <cell r="B46" t="str">
            <v>6140703-ML-VIVO STORE MEGA STORE</v>
          </cell>
          <cell r="C46">
            <v>0</v>
          </cell>
          <cell r="D46">
            <v>0</v>
          </cell>
          <cell r="E46" t="e">
            <v>#DIV/0!</v>
          </cell>
        </row>
        <row r="47">
          <cell r="A47">
            <v>6130702</v>
          </cell>
          <cell r="B47" t="str">
            <v>6130702-RITA SUPERMALL SF36-37</v>
          </cell>
          <cell r="C47">
            <v>106681000</v>
          </cell>
          <cell r="D47">
            <v>19</v>
          </cell>
          <cell r="E47">
            <v>5614789.4736842103</v>
          </cell>
        </row>
        <row r="48">
          <cell r="A48">
            <v>6140705</v>
          </cell>
          <cell r="B48" t="str">
            <v>6140705-QUEENCITY 2F027</v>
          </cell>
          <cell r="C48">
            <v>160177000</v>
          </cell>
          <cell r="D48">
            <v>23</v>
          </cell>
          <cell r="E48">
            <v>6964217.3913043477</v>
          </cell>
        </row>
        <row r="49">
          <cell r="A49">
            <v>6190705</v>
          </cell>
          <cell r="B49" t="str">
            <v>A300105-VIVO STORE LG F20</v>
          </cell>
          <cell r="C49">
            <v>74479000</v>
          </cell>
          <cell r="D49">
            <v>21</v>
          </cell>
          <cell r="E49">
            <v>3546619.0476190476</v>
          </cell>
        </row>
        <row r="50">
          <cell r="A50">
            <v>6190706</v>
          </cell>
          <cell r="B50" t="str">
            <v>A300102-VIVO STORE 4 BEC</v>
          </cell>
          <cell r="C50">
            <v>180354000</v>
          </cell>
          <cell r="D50">
            <v>46</v>
          </cell>
          <cell r="E50">
            <v>3920739.1304347827</v>
          </cell>
        </row>
        <row r="51">
          <cell r="A51">
            <v>6240702</v>
          </cell>
          <cell r="B51" t="str">
            <v>A200902-LG BLOK B NO. 01B</v>
          </cell>
          <cell r="C51">
            <v>124568000</v>
          </cell>
          <cell r="D51">
            <v>32</v>
          </cell>
          <cell r="E51">
            <v>3892750</v>
          </cell>
        </row>
        <row r="52">
          <cell r="A52">
            <v>6240701</v>
          </cell>
          <cell r="B52" t="str">
            <v>A200803-LG BLOK A-B NO. 12</v>
          </cell>
          <cell r="C52">
            <v>150761000</v>
          </cell>
          <cell r="D52">
            <v>39</v>
          </cell>
          <cell r="E52">
            <v>3865666.6666666665</v>
          </cell>
        </row>
        <row r="53">
          <cell r="A53">
            <v>6040701</v>
          </cell>
          <cell r="B53" t="str">
            <v>A200402-ITC-VIVO STORE 1</v>
          </cell>
          <cell r="C53">
            <v>134673000</v>
          </cell>
          <cell r="D53">
            <v>27</v>
          </cell>
          <cell r="E53">
            <v>4987888.888888889</v>
          </cell>
        </row>
        <row r="54">
          <cell r="A54">
            <v>6010710</v>
          </cell>
          <cell r="B54" t="str">
            <v>A100304-PAMERAN SELATAN</v>
          </cell>
          <cell r="C54">
            <v>134460000</v>
          </cell>
          <cell r="D54">
            <v>40</v>
          </cell>
          <cell r="E54">
            <v>3361500</v>
          </cell>
        </row>
        <row r="55">
          <cell r="A55">
            <v>6010709</v>
          </cell>
          <cell r="B55" t="str">
            <v>A100303-PAMERAN UTARA</v>
          </cell>
          <cell r="C55">
            <v>336982000</v>
          </cell>
          <cell r="D55">
            <v>118</v>
          </cell>
          <cell r="E55">
            <v>2855779.661016949</v>
          </cell>
        </row>
        <row r="56">
          <cell r="C56">
            <v>5459110000</v>
          </cell>
          <cell r="D56">
            <v>1190</v>
          </cell>
          <cell r="E56" t="e">
            <v>#DIV/0!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8"/>
  <sheetViews>
    <sheetView tabSelected="1" topLeftCell="C1" workbookViewId="0">
      <selection activeCell="J32" sqref="J32"/>
    </sheetView>
  </sheetViews>
  <sheetFormatPr baseColWidth="10" defaultColWidth="11" defaultRowHeight="16" x14ac:dyDescent="0.2"/>
  <cols>
    <col min="4" max="4" width="50.83203125" customWidth="1"/>
    <col min="8" max="8" width="13.6640625" bestFit="1" customWidth="1"/>
    <col min="18" max="18" width="12.6640625" bestFit="1" customWidth="1"/>
    <col min="20" max="20" width="14.1640625" bestFit="1" customWidth="1"/>
  </cols>
  <sheetData>
    <row r="1" spans="1:69" ht="16" customHeight="1" x14ac:dyDescent="0.2">
      <c r="A1" s="170" t="s">
        <v>0</v>
      </c>
      <c r="B1" s="171"/>
      <c r="C1" s="171"/>
      <c r="D1" s="19" t="s">
        <v>1</v>
      </c>
      <c r="E1" s="19" t="s">
        <v>2</v>
      </c>
      <c r="F1" s="20" t="s">
        <v>3</v>
      </c>
      <c r="G1" s="174" t="s">
        <v>4</v>
      </c>
      <c r="H1" s="175"/>
      <c r="I1" s="174" t="s">
        <v>5</v>
      </c>
      <c r="J1" s="179"/>
      <c r="K1" s="180"/>
      <c r="L1" s="180"/>
      <c r="M1" s="180"/>
      <c r="N1" s="180"/>
      <c r="O1" s="180"/>
      <c r="P1" s="180"/>
      <c r="Q1" s="180"/>
      <c r="R1" s="180"/>
      <c r="S1" s="180"/>
      <c r="T1" s="181"/>
      <c r="U1" s="174" t="s">
        <v>6</v>
      </c>
      <c r="V1" s="179"/>
      <c r="W1" s="180"/>
      <c r="X1" s="180"/>
      <c r="Y1" s="180"/>
      <c r="Z1" s="180"/>
      <c r="AA1" s="180"/>
      <c r="AB1" s="181"/>
      <c r="AC1" s="174" t="s">
        <v>7</v>
      </c>
      <c r="AD1" s="175"/>
      <c r="AE1" s="174" t="s">
        <v>8</v>
      </c>
      <c r="AF1" s="179"/>
      <c r="AG1" s="180"/>
      <c r="AH1" s="181"/>
      <c r="AI1" s="144" t="s">
        <v>9</v>
      </c>
      <c r="AJ1" s="145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85"/>
      <c r="BC1" s="144" t="s">
        <v>10</v>
      </c>
      <c r="BD1" s="145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7"/>
    </row>
    <row r="2" spans="1:69" ht="16" customHeight="1" x14ac:dyDescent="0.2">
      <c r="A2" s="172"/>
      <c r="B2" s="173"/>
      <c r="C2" s="173"/>
      <c r="D2" s="21">
        <v>30</v>
      </c>
      <c r="E2" s="21">
        <v>11</v>
      </c>
      <c r="F2" s="22">
        <f>E2/D2</f>
        <v>0.36666666666666664</v>
      </c>
      <c r="G2" s="176"/>
      <c r="H2" s="177"/>
      <c r="I2" s="176"/>
      <c r="J2" s="182"/>
      <c r="K2" s="183"/>
      <c r="L2" s="183"/>
      <c r="M2" s="183"/>
      <c r="N2" s="183"/>
      <c r="O2" s="183"/>
      <c r="P2" s="183"/>
      <c r="Q2" s="183"/>
      <c r="R2" s="183"/>
      <c r="S2" s="183"/>
      <c r="T2" s="184"/>
      <c r="U2" s="176"/>
      <c r="V2" s="182"/>
      <c r="W2" s="183"/>
      <c r="X2" s="183"/>
      <c r="Y2" s="183"/>
      <c r="Z2" s="183"/>
      <c r="AA2" s="183"/>
      <c r="AB2" s="184"/>
      <c r="AC2" s="176"/>
      <c r="AD2" s="177"/>
      <c r="AE2" s="176"/>
      <c r="AF2" s="182"/>
      <c r="AG2" s="183"/>
      <c r="AH2" s="184"/>
      <c r="AI2" s="148"/>
      <c r="AJ2" s="149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86"/>
      <c r="BC2" s="148" t="s">
        <v>11</v>
      </c>
      <c r="BD2" s="149"/>
      <c r="BE2" s="150"/>
      <c r="BF2" s="150" t="s">
        <v>12</v>
      </c>
      <c r="BG2" s="150"/>
      <c r="BH2" s="150"/>
      <c r="BI2" s="150" t="s">
        <v>13</v>
      </c>
      <c r="BJ2" s="150"/>
      <c r="BK2" s="150"/>
      <c r="BL2" s="150" t="s">
        <v>14</v>
      </c>
      <c r="BM2" s="150"/>
      <c r="BN2" s="150"/>
      <c r="BO2" s="150" t="s">
        <v>15</v>
      </c>
      <c r="BP2" s="150"/>
      <c r="BQ2" s="151"/>
    </row>
    <row r="3" spans="1:69" ht="16" customHeight="1" x14ac:dyDescent="0.2">
      <c r="A3" s="154" t="s">
        <v>16</v>
      </c>
      <c r="B3" s="156" t="s">
        <v>17</v>
      </c>
      <c r="C3" s="156" t="s">
        <v>18</v>
      </c>
      <c r="D3" s="156" t="s">
        <v>19</v>
      </c>
      <c r="E3" s="156" t="s">
        <v>20</v>
      </c>
      <c r="F3" s="161" t="s">
        <v>21</v>
      </c>
      <c r="G3" s="163"/>
      <c r="H3" s="178"/>
      <c r="I3" s="163"/>
      <c r="J3" s="165"/>
      <c r="K3" s="159"/>
      <c r="L3" s="159"/>
      <c r="M3" s="159"/>
      <c r="N3" s="159"/>
      <c r="O3" s="159"/>
      <c r="P3" s="159"/>
      <c r="Q3" s="159"/>
      <c r="R3" s="159"/>
      <c r="S3" s="159"/>
      <c r="T3" s="167"/>
      <c r="U3" s="163"/>
      <c r="V3" s="165"/>
      <c r="W3" s="159"/>
      <c r="X3" s="159"/>
      <c r="Y3" s="159"/>
      <c r="Z3" s="159"/>
      <c r="AA3" s="159"/>
      <c r="AB3" s="167"/>
      <c r="AC3" s="163"/>
      <c r="AD3" s="178"/>
      <c r="AE3" s="163"/>
      <c r="AF3" s="165"/>
      <c r="AG3" s="159"/>
      <c r="AH3" s="167"/>
      <c r="AI3" s="163" t="s">
        <v>22</v>
      </c>
      <c r="AJ3" s="165"/>
      <c r="AK3" s="159"/>
      <c r="AL3" s="159"/>
      <c r="AM3" s="159" t="s">
        <v>23</v>
      </c>
      <c r="AN3" s="159"/>
      <c r="AO3" s="159"/>
      <c r="AP3" s="159"/>
      <c r="AQ3" s="159" t="s">
        <v>24</v>
      </c>
      <c r="AR3" s="159"/>
      <c r="AS3" s="159"/>
      <c r="AT3" s="159"/>
      <c r="AU3" s="159" t="s">
        <v>25</v>
      </c>
      <c r="AV3" s="159"/>
      <c r="AW3" s="159"/>
      <c r="AX3" s="159"/>
      <c r="AY3" s="159" t="s">
        <v>26</v>
      </c>
      <c r="AZ3" s="159"/>
      <c r="BA3" s="159"/>
      <c r="BB3" s="167"/>
      <c r="BC3" s="163" t="s">
        <v>27</v>
      </c>
      <c r="BD3" s="165" t="s">
        <v>28</v>
      </c>
      <c r="BE3" s="159" t="s">
        <v>29</v>
      </c>
      <c r="BF3" s="159" t="s">
        <v>30</v>
      </c>
      <c r="BG3" s="159" t="s">
        <v>28</v>
      </c>
      <c r="BH3" s="159" t="s">
        <v>29</v>
      </c>
      <c r="BI3" s="159" t="s">
        <v>31</v>
      </c>
      <c r="BJ3" s="159" t="s">
        <v>28</v>
      </c>
      <c r="BK3" s="159" t="s">
        <v>29</v>
      </c>
      <c r="BL3" s="159" t="s">
        <v>32</v>
      </c>
      <c r="BM3" s="159" t="s">
        <v>28</v>
      </c>
      <c r="BN3" s="159" t="s">
        <v>29</v>
      </c>
      <c r="BO3" s="159" t="s">
        <v>33</v>
      </c>
      <c r="BP3" s="159" t="s">
        <v>28</v>
      </c>
      <c r="BQ3" s="168" t="s">
        <v>29</v>
      </c>
    </row>
    <row r="4" spans="1:69" ht="28" x14ac:dyDescent="0.2">
      <c r="A4" s="155"/>
      <c r="B4" s="157"/>
      <c r="C4" s="158"/>
      <c r="D4" s="157"/>
      <c r="E4" s="157"/>
      <c r="F4" s="162"/>
      <c r="G4" s="23" t="s">
        <v>22</v>
      </c>
      <c r="H4" s="24" t="s">
        <v>25</v>
      </c>
      <c r="I4" s="25" t="s">
        <v>22</v>
      </c>
      <c r="J4" s="26" t="s">
        <v>29</v>
      </c>
      <c r="K4" s="27" t="s">
        <v>34</v>
      </c>
      <c r="L4" s="27" t="s">
        <v>35</v>
      </c>
      <c r="M4" s="27" t="s">
        <v>24</v>
      </c>
      <c r="N4" s="27" t="s">
        <v>29</v>
      </c>
      <c r="O4" s="27" t="s">
        <v>8</v>
      </c>
      <c r="P4" s="27" t="s">
        <v>29</v>
      </c>
      <c r="Q4" s="27" t="s">
        <v>36</v>
      </c>
      <c r="R4" s="27" t="s">
        <v>25</v>
      </c>
      <c r="S4" s="27" t="s">
        <v>29</v>
      </c>
      <c r="T4" s="28" t="s">
        <v>34</v>
      </c>
      <c r="U4" s="29" t="s">
        <v>22</v>
      </c>
      <c r="V4" s="30" t="s">
        <v>29</v>
      </c>
      <c r="W4" s="31" t="s">
        <v>34</v>
      </c>
      <c r="X4" s="31" t="s">
        <v>24</v>
      </c>
      <c r="Y4" s="31" t="s">
        <v>34</v>
      </c>
      <c r="Z4" s="31" t="s">
        <v>25</v>
      </c>
      <c r="AA4" s="31" t="s">
        <v>34</v>
      </c>
      <c r="AB4" s="32" t="s">
        <v>29</v>
      </c>
      <c r="AC4" s="33" t="s">
        <v>22</v>
      </c>
      <c r="AD4" s="34" t="s">
        <v>25</v>
      </c>
      <c r="AE4" s="35" t="s">
        <v>37</v>
      </c>
      <c r="AF4" s="36" t="s">
        <v>38</v>
      </c>
      <c r="AG4" s="37" t="s">
        <v>34</v>
      </c>
      <c r="AH4" s="38" t="s">
        <v>29</v>
      </c>
      <c r="AI4" s="39" t="s">
        <v>37</v>
      </c>
      <c r="AJ4" s="40" t="s">
        <v>38</v>
      </c>
      <c r="AK4" s="41" t="s">
        <v>34</v>
      </c>
      <c r="AL4" s="41" t="s">
        <v>29</v>
      </c>
      <c r="AM4" s="41" t="s">
        <v>37</v>
      </c>
      <c r="AN4" s="41" t="s">
        <v>38</v>
      </c>
      <c r="AO4" s="41" t="s">
        <v>34</v>
      </c>
      <c r="AP4" s="41" t="s">
        <v>29</v>
      </c>
      <c r="AQ4" s="41" t="s">
        <v>37</v>
      </c>
      <c r="AR4" s="41" t="s">
        <v>38</v>
      </c>
      <c r="AS4" s="41" t="s">
        <v>34</v>
      </c>
      <c r="AT4" s="41" t="s">
        <v>39</v>
      </c>
      <c r="AU4" s="41" t="s">
        <v>37</v>
      </c>
      <c r="AV4" s="41" t="s">
        <v>38</v>
      </c>
      <c r="AW4" s="41" t="s">
        <v>34</v>
      </c>
      <c r="AX4" s="41" t="s">
        <v>29</v>
      </c>
      <c r="AY4" s="41" t="s">
        <v>37</v>
      </c>
      <c r="AZ4" s="41" t="s">
        <v>38</v>
      </c>
      <c r="BA4" s="41" t="s">
        <v>34</v>
      </c>
      <c r="BB4" s="42" t="s">
        <v>29</v>
      </c>
      <c r="BC4" s="164"/>
      <c r="BD4" s="166"/>
      <c r="BE4" s="160"/>
      <c r="BF4" s="160"/>
      <c r="BG4" s="160"/>
      <c r="BH4" s="160"/>
      <c r="BI4" s="160"/>
      <c r="BJ4" s="160"/>
      <c r="BK4" s="160"/>
      <c r="BL4" s="160"/>
      <c r="BM4" s="160"/>
      <c r="BN4" s="160"/>
      <c r="BO4" s="160"/>
      <c r="BP4" s="160"/>
      <c r="BQ4" s="169"/>
    </row>
    <row r="5" spans="1:69" x14ac:dyDescent="0.2">
      <c r="A5" s="43">
        <v>1</v>
      </c>
      <c r="B5" s="44" t="s">
        <v>40</v>
      </c>
      <c r="C5" s="45">
        <v>6010708</v>
      </c>
      <c r="D5" s="46" t="s">
        <v>41</v>
      </c>
      <c r="E5" s="1" t="s">
        <v>42</v>
      </c>
      <c r="F5" s="47">
        <v>3</v>
      </c>
      <c r="G5" s="48">
        <f>IFERROR(VLOOKUP(C5,'[1]TARGET THIS MONTH'!C:E,3,0),0)</f>
        <v>120</v>
      </c>
      <c r="H5" s="49">
        <f>IFERROR(VLOOKUP(C5,'[1]TARGET THIS MONTH'!C:M,11,0),0)</f>
        <v>840000000</v>
      </c>
      <c r="I5" s="48">
        <f>IFERROR(GETPIVOTDATA("Sum of Qty",'[1]DEVICE &amp; VALUE'!$A$6,"ID Store",$C5),0)</f>
        <v>29</v>
      </c>
      <c r="J5" s="50">
        <f t="shared" ref="J5:J48" si="0">I5/G5</f>
        <v>0.24166666666666667</v>
      </c>
      <c r="K5" s="51">
        <f t="shared" ref="K5:K48" si="1">I5-G5</f>
        <v>-91</v>
      </c>
      <c r="L5" s="52">
        <f>IFERROR(GETPIVOTDATA("Sum of Qty",[1]PF!$A$5,"ID Store",$C5),0)</f>
        <v>6</v>
      </c>
      <c r="M5" s="52">
        <f>IFERROR(GETPIVOTDATA("Sum of Qty",'[1]DEVICE &amp; VALUE'!$A$6,"ID Store",$C5,"Segment Price","3mio&gt;"),0)</f>
        <v>14</v>
      </c>
      <c r="N5" s="53">
        <f t="shared" ref="N5:N47" si="2">IFERROR(M5/I5,0)</f>
        <v>0.48275862068965519</v>
      </c>
      <c r="O5" s="54">
        <f>IFERROR(GETPIVOTDATA("Sum of Qty",[1]IQOO!$A$6,"ID Store",$C5),0)</f>
        <v>1</v>
      </c>
      <c r="P5" s="53">
        <f t="shared" ref="P5:P47" si="3">IFERROR(O5/I5,0)</f>
        <v>3.4482758620689655E-2</v>
      </c>
      <c r="Q5" s="53">
        <f t="shared" ref="Q5:Q47" si="4">IFERROR(M5/I5,0)</f>
        <v>0.48275862068965519</v>
      </c>
      <c r="R5" s="55">
        <f>IFERROR(GETPIVOTDATA("Sum of SRP",'[1]DEVICE &amp; VALUE'!$A$6,"ID Store",$C5),0)</f>
        <v>120271000</v>
      </c>
      <c r="S5" s="53">
        <f t="shared" ref="S5:S47" si="5">IFERROR(R5/H5,0)</f>
        <v>0.14317976190476189</v>
      </c>
      <c r="T5" s="56">
        <f t="shared" ref="T5:T48" si="6">R5-H5</f>
        <v>-719729000</v>
      </c>
      <c r="U5" s="57">
        <f t="shared" ref="U5:U47" si="7">I5/$E$2*$D$2</f>
        <v>79.090909090909093</v>
      </c>
      <c r="V5" s="58">
        <f t="shared" ref="V5:V47" si="8">IFERROR(U5/G5,0)</f>
        <v>0.65909090909090906</v>
      </c>
      <c r="W5" s="59">
        <f t="shared" ref="W5:W48" si="9">U5-G5</f>
        <v>-40.909090909090907</v>
      </c>
      <c r="X5" s="59">
        <f t="shared" ref="X5:X47" si="10">M5/$E$2*$D$2</f>
        <v>38.18181818181818</v>
      </c>
      <c r="Y5" s="59">
        <f t="shared" ref="Y5:Y48" si="11">X5-G5</f>
        <v>-81.818181818181813</v>
      </c>
      <c r="Z5" s="60">
        <f t="shared" ref="Z5:Z47" si="12">R5/$E$2*$D$2</f>
        <v>328011818.18181819</v>
      </c>
      <c r="AA5" s="60">
        <f t="shared" ref="AA5:AA48" si="13">Z5-H5</f>
        <v>-511988181.81818181</v>
      </c>
      <c r="AB5" s="61">
        <f t="shared" ref="AB5:AB47" si="14">IFERROR(Z5/H5,0)</f>
        <v>0.39049025974025975</v>
      </c>
      <c r="AC5" s="62">
        <f t="shared" ref="AC5:AC47" si="15">IFERROR(($G5-$I5)/($D$2-$E$2),0)</f>
        <v>4.7894736842105265</v>
      </c>
      <c r="AD5" s="63">
        <f t="shared" ref="AD5:AD47" si="16">IFERROR(($H5-$R5)/($D$2-$E$2),0)</f>
        <v>37880473.684210524</v>
      </c>
      <c r="AE5" s="48">
        <f>IFERROR(GETPIVOTDATA("Sum of Qty",'[1]DATA LAST MONTH IQOO'!$A$6,"ID Store",$C5),0)</f>
        <v>6</v>
      </c>
      <c r="AF5" s="64">
        <f>IFERROR(GETPIVOTDATA("Sum of Qty",[1]IQOO!$A$6,"ID Store",$C5),0)</f>
        <v>1</v>
      </c>
      <c r="AG5" s="51">
        <f t="shared" ref="AG5:AG48" si="17">AF5-AE5</f>
        <v>-5</v>
      </c>
      <c r="AH5" s="65">
        <f t="shared" ref="AH5:AH47" si="18">IFERROR(AG5/AE5,0)</f>
        <v>-0.83333333333333337</v>
      </c>
      <c r="AI5" s="66">
        <f>IFERROR(GETPIVOTDATA("Sum of Qty",'[1]DATA LAST MONTH DEVICE'!$A$6,"ID Store",$C5),0)</f>
        <v>42</v>
      </c>
      <c r="AJ5" s="67">
        <f t="shared" ref="AJ5:AJ47" si="19">I5</f>
        <v>29</v>
      </c>
      <c r="AK5" s="51">
        <f t="shared" ref="AK5:AK48" si="20">AJ5-AI5</f>
        <v>-13</v>
      </c>
      <c r="AL5" s="53">
        <f t="shared" ref="AL5:AL47" si="21">IFERROR(AK5/AI5,0)</f>
        <v>-0.30952380952380953</v>
      </c>
      <c r="AM5" s="52">
        <f>IFERROR(GETPIVOTDATA("Sum of Qty",'[1]Store 3mio+ last month'!$A$6,"ID Store",$C5),0)</f>
        <v>110</v>
      </c>
      <c r="AN5" s="51">
        <f t="shared" ref="AN5:AN47" si="22">VLOOKUP(C:C,C:U,19,0)</f>
        <v>79.090909090909093</v>
      </c>
      <c r="AO5" s="51">
        <f t="shared" ref="AO5:AO48" si="23">AN5-AM5</f>
        <v>-30.909090909090907</v>
      </c>
      <c r="AP5" s="53">
        <f t="shared" ref="AP5:AP47" si="24">IFERROR(AO5/AM5,0)</f>
        <v>-0.28099173553719003</v>
      </c>
      <c r="AQ5" s="52">
        <f>IFERROR(GETPIVOTDATA("Sum of Qty",'[1]DATA LAST MONTH DEVICE'!$A$6,"ID Store",$C5,"Segment Price","3mio&gt;"),0)</f>
        <v>22</v>
      </c>
      <c r="AR5" s="54">
        <f t="shared" ref="AR5:AR47" si="25">M5</f>
        <v>14</v>
      </c>
      <c r="AS5" s="54">
        <f t="shared" ref="AS5:AS48" si="26">AR5-AQ5</f>
        <v>-8</v>
      </c>
      <c r="AT5" s="53">
        <f t="shared" ref="AT5:AT47" si="27">IFERROR(AS5/AQ5,0)</f>
        <v>-0.36363636363636365</v>
      </c>
      <c r="AU5" s="68">
        <f>IFERROR(GETPIVOTDATA("Sum of SRP",'[1]DATA LAST MONTH DEVICE'!$A$6,"ID Store",$C5),0)</f>
        <v>262858000</v>
      </c>
      <c r="AV5" s="68">
        <f t="shared" ref="AV5:AV47" si="28">R5</f>
        <v>120271000</v>
      </c>
      <c r="AW5" s="68">
        <f t="shared" ref="AW5:AW48" si="29">AV5-AU5</f>
        <v>-142587000</v>
      </c>
      <c r="AX5" s="53">
        <f t="shared" ref="AX5:AX47" si="30">IFERROR(AW5/AU5,0)</f>
        <v>-0.542448774623561</v>
      </c>
      <c r="AY5" s="68">
        <f>IFERROR(VLOOKUP(C5,'[1]DATA SALES LAST MONTH'!A:E,5,0),0)</f>
        <v>6258523.8095238097</v>
      </c>
      <c r="AZ5" s="55">
        <f t="shared" ref="AZ5:AZ47" si="31">IFERROR(Z5/U5,0)</f>
        <v>4147275.8620689656</v>
      </c>
      <c r="BA5" s="55">
        <f t="shared" ref="BA5:BA48" si="32">AZ5-AY5</f>
        <v>-2111247.9474548441</v>
      </c>
      <c r="BB5" s="65">
        <f t="shared" ref="BB5:BB47" si="33">IFERROR(BA5/AY5,0)</f>
        <v>-0.33733960462722629</v>
      </c>
      <c r="BC5" s="48">
        <f>IFERROR(VLOOKUP(C5,'[1]TARGET THIS MONTH'!C:U,15,0),0)</f>
        <v>12</v>
      </c>
      <c r="BD5" s="69">
        <f>IFERROR(GETPIVOTDATA("Sum of Qty",[1]ACC!$A$5,"ID Store",$C5),0)</f>
        <v>19</v>
      </c>
      <c r="BE5" s="53">
        <f t="shared" ref="BE5:BE47" si="34">IFERROR(BD5/BC5,0)</f>
        <v>1.5833333333333333</v>
      </c>
      <c r="BF5" s="70">
        <f>IFERROR(VLOOKUP(C5,'[1]TARGET THIS MONTH'!C:U,16,0),0)</f>
        <v>4200000</v>
      </c>
      <c r="BG5" s="70">
        <f>IFERROR(GETPIVOTDATA("Sum of SRP",'[1]Insurance by Store'!$A$5,"ID Store",$C5,"Product Type","Qoala"),0)</f>
        <v>477000</v>
      </c>
      <c r="BH5" s="53">
        <f t="shared" ref="BH5:BH47" si="35">IFERROR(BG5/BF5,0)</f>
        <v>0.11357142857142857</v>
      </c>
      <c r="BI5" s="70">
        <f>IFERROR(VLOOKUP(C5,'[1]TARGET THIS MONTH'!C:U,17,0),0)</f>
        <v>840000</v>
      </c>
      <c r="BJ5" s="70">
        <f>IFERROR(GETPIVOTDATA("Sum of SRP",'[1]Insurance by Store'!$A$5,"ID Store",$C5,"Product Type","Vivo Care"),0)</f>
        <v>0</v>
      </c>
      <c r="BK5" s="53">
        <f t="shared" ref="BK5:BK47" si="36">IFERROR(BJ5/BI5,0)</f>
        <v>0</v>
      </c>
      <c r="BL5" s="51">
        <f>IFERROR(VLOOKUP(C5,'[1]TARGET THIS MONTH'!C:U,18,0),0)</f>
        <v>3.5999999999999996</v>
      </c>
      <c r="BM5" s="52">
        <f>IFERROR(GETPIVOTDATA("Sum of Qty",'[1]Operator by Store'!$A$5,"ID Store",$C5,"Product Type","Indosat"),0)</f>
        <v>0</v>
      </c>
      <c r="BN5" s="53">
        <f t="shared" ref="BN5:BN47" si="37">IFERROR(BM5/BL5,0)</f>
        <v>0</v>
      </c>
      <c r="BO5" s="51">
        <f>VLOOKUP(C5,'[1]TARGET THIS MONTH'!C:U,19,0)</f>
        <v>36</v>
      </c>
      <c r="BP5" s="52">
        <f>IFERROR(GETPIVOTDATA("Sum of Qty",'[1]Operator by Store'!$A$5,"ID Store",$C5,"Product Type","Telkomsel"),0)</f>
        <v>0</v>
      </c>
      <c r="BQ5" s="71">
        <f t="shared" ref="BQ5:BQ47" si="38">IFERROR(BP5/BO5,0)</f>
        <v>0</v>
      </c>
    </row>
    <row r="6" spans="1:69" x14ac:dyDescent="0.2">
      <c r="A6" s="72">
        <v>2</v>
      </c>
      <c r="B6" s="73" t="s">
        <v>40</v>
      </c>
      <c r="C6" s="74">
        <v>6010701</v>
      </c>
      <c r="D6" s="75" t="s">
        <v>43</v>
      </c>
      <c r="E6" s="76" t="s">
        <v>44</v>
      </c>
      <c r="F6" s="77">
        <v>6</v>
      </c>
      <c r="G6" s="78">
        <f>IFERROR(VLOOKUP(C6,'[1]TARGET THIS MONTH'!C:E,3,0),0)</f>
        <v>260</v>
      </c>
      <c r="H6" s="79">
        <f>IFERROR(VLOOKUP(C6,'[1]TARGET THIS MONTH'!C:M,11,0),0)</f>
        <v>962000000</v>
      </c>
      <c r="I6" s="78">
        <f>IFERROR(GETPIVOTDATA("Sum of Qty",'[1]DEVICE &amp; VALUE'!$A$6,"ID Store",$C6),0)</f>
        <v>105</v>
      </c>
      <c r="J6" s="80">
        <f t="shared" si="0"/>
        <v>0.40384615384615385</v>
      </c>
      <c r="K6" s="81">
        <f t="shared" si="1"/>
        <v>-155</v>
      </c>
      <c r="L6" s="82">
        <f>IFERROR(GETPIVOTDATA("Sum of Qty",[1]PF!$A$5,"ID Store",$C6),0)</f>
        <v>33</v>
      </c>
      <c r="M6" s="82">
        <f>IFERROR(GETPIVOTDATA("Sum of Qty",'[1]DEVICE &amp; VALUE'!$A$6,"ID Store",$C6,"Segment Price","3mio&gt;"),0)</f>
        <v>42</v>
      </c>
      <c r="N6" s="83">
        <f t="shared" si="2"/>
        <v>0.4</v>
      </c>
      <c r="O6" s="84">
        <f>IFERROR(GETPIVOTDATA("Sum of Qty",[1]IQOO!$A$6,"ID Store",$C6),0)</f>
        <v>2</v>
      </c>
      <c r="P6" s="83">
        <f t="shared" si="3"/>
        <v>1.9047619047619049E-2</v>
      </c>
      <c r="Q6" s="83">
        <f t="shared" si="4"/>
        <v>0.4</v>
      </c>
      <c r="R6" s="85">
        <f>IFERROR(GETPIVOTDATA("Sum of SRP",'[1]DEVICE &amp; VALUE'!$A$6,"ID Store",$C6),0)</f>
        <v>382295000</v>
      </c>
      <c r="S6" s="83">
        <f t="shared" si="5"/>
        <v>0.39739604989604987</v>
      </c>
      <c r="T6" s="86">
        <f t="shared" si="6"/>
        <v>-579705000</v>
      </c>
      <c r="U6" s="87">
        <f t="shared" si="7"/>
        <v>286.36363636363637</v>
      </c>
      <c r="V6" s="88">
        <f t="shared" si="8"/>
        <v>1.1013986013986015</v>
      </c>
      <c r="W6" s="89">
        <f t="shared" si="9"/>
        <v>26.363636363636374</v>
      </c>
      <c r="X6" s="89">
        <f t="shared" si="10"/>
        <v>114.54545454545455</v>
      </c>
      <c r="Y6" s="89">
        <f t="shared" si="11"/>
        <v>-145.45454545454544</v>
      </c>
      <c r="Z6" s="90">
        <f t="shared" si="12"/>
        <v>1042622727.2727273</v>
      </c>
      <c r="AA6" s="90">
        <f t="shared" si="13"/>
        <v>80622727.272727251</v>
      </c>
      <c r="AB6" s="91">
        <f t="shared" si="14"/>
        <v>1.0838074088074088</v>
      </c>
      <c r="AC6" s="92">
        <f t="shared" si="15"/>
        <v>8.1578947368421044</v>
      </c>
      <c r="AD6" s="93">
        <f t="shared" si="16"/>
        <v>30510789.47368421</v>
      </c>
      <c r="AE6" s="78">
        <f>IFERROR(GETPIVOTDATA("Sum of Qty",'[1]DATA LAST MONTH IQOO'!$A$6,"ID Store",$C6),0)</f>
        <v>5</v>
      </c>
      <c r="AF6" s="94">
        <f>IFERROR(GETPIVOTDATA("Sum of Qty",[1]IQOO!$A$6,"ID Store",$C6),0)</f>
        <v>2</v>
      </c>
      <c r="AG6" s="81">
        <f t="shared" si="17"/>
        <v>-3</v>
      </c>
      <c r="AH6" s="95">
        <f t="shared" si="18"/>
        <v>-0.6</v>
      </c>
      <c r="AI6" s="96">
        <f>IFERROR(GETPIVOTDATA("Sum of Qty",'[1]DATA LAST MONTH DEVICE'!$A$6,"ID Store",$C6),0)</f>
        <v>92</v>
      </c>
      <c r="AJ6" s="97">
        <f t="shared" si="19"/>
        <v>105</v>
      </c>
      <c r="AK6" s="81">
        <f t="shared" si="20"/>
        <v>13</v>
      </c>
      <c r="AL6" s="83">
        <f t="shared" si="21"/>
        <v>0.14130434782608695</v>
      </c>
      <c r="AM6" s="82">
        <f>IFERROR(GETPIVOTDATA("Sum of Qty",'[1]Store 3mio+ last month'!$A$6,"ID Store",$C6),0)</f>
        <v>270</v>
      </c>
      <c r="AN6" s="81">
        <f t="shared" si="22"/>
        <v>286.36363636363637</v>
      </c>
      <c r="AO6" s="81">
        <f t="shared" si="23"/>
        <v>16.363636363636374</v>
      </c>
      <c r="AP6" s="83">
        <f t="shared" si="24"/>
        <v>6.0606060606060642E-2</v>
      </c>
      <c r="AQ6" s="82">
        <f>IFERROR(GETPIVOTDATA("Sum of Qty",'[1]DATA LAST MONTH DEVICE'!$A$6,"ID Store",$C6,"Segment Price","3mio&gt;"),0)</f>
        <v>37</v>
      </c>
      <c r="AR6" s="84">
        <f t="shared" si="25"/>
        <v>42</v>
      </c>
      <c r="AS6" s="84">
        <f t="shared" si="26"/>
        <v>5</v>
      </c>
      <c r="AT6" s="83">
        <f t="shared" si="27"/>
        <v>0.13513513513513514</v>
      </c>
      <c r="AU6" s="98">
        <f>IFERROR(GETPIVOTDATA("Sum of SRP",'[1]DATA LAST MONTH DEVICE'!$A$6,"ID Store",$C6),0)</f>
        <v>320708000</v>
      </c>
      <c r="AV6" s="98">
        <f t="shared" si="28"/>
        <v>382295000</v>
      </c>
      <c r="AW6" s="98">
        <f t="shared" si="29"/>
        <v>61587000</v>
      </c>
      <c r="AX6" s="83">
        <f t="shared" si="30"/>
        <v>0.1920344986716889</v>
      </c>
      <c r="AY6" s="98">
        <f>IFERROR(VLOOKUP(C6,'[1]DATA SALES LAST MONTH'!A:E,5,0),0)</f>
        <v>3485956.5217391304</v>
      </c>
      <c r="AZ6" s="85">
        <f t="shared" si="31"/>
        <v>3640904.7619047617</v>
      </c>
      <c r="BA6" s="85">
        <f t="shared" si="32"/>
        <v>154948.24016563129</v>
      </c>
      <c r="BB6" s="95">
        <f t="shared" si="33"/>
        <v>4.4449275026622596E-2</v>
      </c>
      <c r="BC6" s="78">
        <f>IFERROR(VLOOKUP(C6,'[1]TARGET THIS MONTH'!C:U,15,0),0)</f>
        <v>26</v>
      </c>
      <c r="BD6" s="99">
        <f>IFERROR(GETPIVOTDATA("Sum of Qty",[1]ACC!$A$5,"ID Store",$C6),0)</f>
        <v>38</v>
      </c>
      <c r="BE6" s="83">
        <f t="shared" si="34"/>
        <v>1.4615384615384615</v>
      </c>
      <c r="BF6" s="100">
        <f>IFERROR(VLOOKUP(C6,'[1]TARGET THIS MONTH'!C:U,16,0),0)</f>
        <v>4810000</v>
      </c>
      <c r="BG6" s="100">
        <f>IFERROR(GETPIVOTDATA("Sum of SRP",'[1]Insurance by Store'!$A$5,"ID Store",$C6,"Product Type","Qoala"),0)</f>
        <v>3089000</v>
      </c>
      <c r="BH6" s="83">
        <f t="shared" si="35"/>
        <v>0.64220374220374221</v>
      </c>
      <c r="BI6" s="100">
        <f>IFERROR(VLOOKUP(C6,'[1]TARGET THIS MONTH'!C:U,17,0),0)</f>
        <v>962000</v>
      </c>
      <c r="BJ6" s="100">
        <f>IFERROR(GETPIVOTDATA("Sum of SRP",'[1]Insurance by Store'!$A$5,"ID Store",$C6,"Product Type","Vivo Care"),0)</f>
        <v>0</v>
      </c>
      <c r="BK6" s="83">
        <f t="shared" si="36"/>
        <v>0</v>
      </c>
      <c r="BL6" s="81">
        <f>IFERROR(VLOOKUP(C6,'[1]TARGET THIS MONTH'!C:U,18,0),0)</f>
        <v>7.8</v>
      </c>
      <c r="BM6" s="82">
        <f>IFERROR(GETPIVOTDATA("Sum of Qty",'[1]Operator by Store'!$A$5,"ID Store",$C6,"Product Type","Indosat"),0)</f>
        <v>5</v>
      </c>
      <c r="BN6" s="83">
        <f t="shared" si="37"/>
        <v>0.64102564102564108</v>
      </c>
      <c r="BO6" s="81">
        <f>VLOOKUP(C6,'[1]TARGET THIS MONTH'!C:U,19,0)</f>
        <v>78</v>
      </c>
      <c r="BP6" s="82">
        <f>IFERROR(GETPIVOTDATA("Sum of Qty",'[1]Operator by Store'!$A$5,"ID Store",$C6,"Product Type","Telkomsel"),0)</f>
        <v>0</v>
      </c>
      <c r="BQ6" s="101">
        <f t="shared" si="38"/>
        <v>0</v>
      </c>
    </row>
    <row r="7" spans="1:69" x14ac:dyDescent="0.2">
      <c r="A7" s="72">
        <v>3</v>
      </c>
      <c r="B7" s="73" t="s">
        <v>40</v>
      </c>
      <c r="C7" s="74">
        <v>6010702</v>
      </c>
      <c r="D7" s="75" t="s">
        <v>45</v>
      </c>
      <c r="E7" s="76" t="s">
        <v>44</v>
      </c>
      <c r="F7" s="77">
        <v>7</v>
      </c>
      <c r="G7" s="78">
        <f>IFERROR(VLOOKUP(C7,'[1]TARGET THIS MONTH'!C:E,3,0),0)</f>
        <v>260</v>
      </c>
      <c r="H7" s="79">
        <f>IFERROR(VLOOKUP(C7,'[1]TARGET THIS MONTH'!C:M,11,0),0)</f>
        <v>962000000</v>
      </c>
      <c r="I7" s="78">
        <f>IFERROR(GETPIVOTDATA("Sum of Qty",'[1]DEVICE &amp; VALUE'!$A$6,"ID Store",$C7),0)</f>
        <v>108</v>
      </c>
      <c r="J7" s="80">
        <f t="shared" si="0"/>
        <v>0.41538461538461541</v>
      </c>
      <c r="K7" s="81">
        <f t="shared" si="1"/>
        <v>-152</v>
      </c>
      <c r="L7" s="82">
        <f>IFERROR(GETPIVOTDATA("Sum of Qty",[1]PF!$A$5,"ID Store",$C7),0)</f>
        <v>22</v>
      </c>
      <c r="M7" s="82">
        <f>IFERROR(GETPIVOTDATA("Sum of Qty",'[1]DEVICE &amp; VALUE'!$A$6,"ID Store",$C7,"Segment Price","3mio&gt;"),0)</f>
        <v>29</v>
      </c>
      <c r="N7" s="83">
        <f t="shared" si="2"/>
        <v>0.26851851851851855</v>
      </c>
      <c r="O7" s="84">
        <f>IFERROR(GETPIVOTDATA("Sum of Qty",[1]IQOO!$A$6,"ID Store",$C7),0)</f>
        <v>3</v>
      </c>
      <c r="P7" s="83">
        <f t="shared" si="3"/>
        <v>2.7777777777777776E-2</v>
      </c>
      <c r="Q7" s="83">
        <f t="shared" si="4"/>
        <v>0.26851851851851855</v>
      </c>
      <c r="R7" s="85">
        <f>IFERROR(GETPIVOTDATA("Sum of SRP",'[1]DEVICE &amp; VALUE'!$A$6,"ID Store",$C7),0)</f>
        <v>340192000</v>
      </c>
      <c r="S7" s="83">
        <f t="shared" si="5"/>
        <v>0.35362993762993761</v>
      </c>
      <c r="T7" s="86">
        <f t="shared" si="6"/>
        <v>-621808000</v>
      </c>
      <c r="U7" s="87">
        <f t="shared" si="7"/>
        <v>294.54545454545456</v>
      </c>
      <c r="V7" s="88">
        <f t="shared" si="8"/>
        <v>1.1328671328671329</v>
      </c>
      <c r="W7" s="89">
        <f t="shared" si="9"/>
        <v>34.545454545454561</v>
      </c>
      <c r="X7" s="89">
        <f t="shared" si="10"/>
        <v>79.090909090909093</v>
      </c>
      <c r="Y7" s="89">
        <f t="shared" si="11"/>
        <v>-180.90909090909091</v>
      </c>
      <c r="Z7" s="90">
        <f t="shared" si="12"/>
        <v>927796363.63636363</v>
      </c>
      <c r="AA7" s="90">
        <f t="shared" si="13"/>
        <v>-34203636.363636374</v>
      </c>
      <c r="AB7" s="91">
        <f t="shared" si="14"/>
        <v>0.96444528444528443</v>
      </c>
      <c r="AC7" s="92">
        <f t="shared" si="15"/>
        <v>8</v>
      </c>
      <c r="AD7" s="93">
        <f t="shared" si="16"/>
        <v>32726736.842105262</v>
      </c>
      <c r="AE7" s="78">
        <f>IFERROR(GETPIVOTDATA("Sum of Qty",'[1]DATA LAST MONTH IQOO'!$A$6,"ID Store",$C7),0)</f>
        <v>3</v>
      </c>
      <c r="AF7" s="94">
        <f>IFERROR(GETPIVOTDATA("Sum of Qty",[1]IQOO!$A$6,"ID Store",$C7),0)</f>
        <v>3</v>
      </c>
      <c r="AG7" s="81">
        <f t="shared" si="17"/>
        <v>0</v>
      </c>
      <c r="AH7" s="95">
        <f t="shared" si="18"/>
        <v>0</v>
      </c>
      <c r="AI7" s="96">
        <f>IFERROR(GETPIVOTDATA("Sum of Qty",'[1]DATA LAST MONTH DEVICE'!$A$6,"ID Store",$C7),0)</f>
        <v>80</v>
      </c>
      <c r="AJ7" s="97">
        <f t="shared" si="19"/>
        <v>108</v>
      </c>
      <c r="AK7" s="81">
        <f t="shared" si="20"/>
        <v>28</v>
      </c>
      <c r="AL7" s="83">
        <f t="shared" si="21"/>
        <v>0.35</v>
      </c>
      <c r="AM7" s="82">
        <f>IFERROR(GETPIVOTDATA("Sum of Qty",'[1]Store 3mio+ last month'!$A$6,"ID Store",$C7),0)</f>
        <v>270</v>
      </c>
      <c r="AN7" s="81">
        <f t="shared" si="22"/>
        <v>294.54545454545456</v>
      </c>
      <c r="AO7" s="81">
        <f t="shared" si="23"/>
        <v>24.545454545454561</v>
      </c>
      <c r="AP7" s="83">
        <f t="shared" si="24"/>
        <v>9.0909090909090967E-2</v>
      </c>
      <c r="AQ7" s="82">
        <f>IFERROR(GETPIVOTDATA("Sum of Qty",'[1]DATA LAST MONTH DEVICE'!$A$6,"ID Store",$C7,"Segment Price","3mio&gt;"),0)</f>
        <v>24</v>
      </c>
      <c r="AR7" s="84">
        <f t="shared" si="25"/>
        <v>29</v>
      </c>
      <c r="AS7" s="84">
        <f t="shared" si="26"/>
        <v>5</v>
      </c>
      <c r="AT7" s="83">
        <f t="shared" si="27"/>
        <v>0.20833333333333334</v>
      </c>
      <c r="AU7" s="98">
        <f>IFERROR(GETPIVOTDATA("Sum of SRP",'[1]DATA LAST MONTH DEVICE'!$A$6,"ID Store",$C7),0)</f>
        <v>265120000</v>
      </c>
      <c r="AV7" s="98">
        <f t="shared" si="28"/>
        <v>340192000</v>
      </c>
      <c r="AW7" s="98">
        <f t="shared" si="29"/>
        <v>75072000</v>
      </c>
      <c r="AX7" s="83">
        <f t="shared" si="30"/>
        <v>0.28316234158117082</v>
      </c>
      <c r="AY7" s="98">
        <f>IFERROR(VLOOKUP(C7,'[1]DATA SALES LAST MONTH'!A:E,5,0),0)</f>
        <v>3314000</v>
      </c>
      <c r="AZ7" s="85">
        <f t="shared" si="31"/>
        <v>3149925.9259259258</v>
      </c>
      <c r="BA7" s="85">
        <f t="shared" si="32"/>
        <v>-164074.07407407416</v>
      </c>
      <c r="BB7" s="95">
        <f t="shared" si="33"/>
        <v>-4.950937660654018E-2</v>
      </c>
      <c r="BC7" s="78">
        <f>IFERROR(VLOOKUP(C7,'[1]TARGET THIS MONTH'!C:U,15,0),0)</f>
        <v>26</v>
      </c>
      <c r="BD7" s="99">
        <f>IFERROR(GETPIVOTDATA("Sum of Qty",[1]ACC!$A$5,"ID Store",$C7),0)</f>
        <v>34</v>
      </c>
      <c r="BE7" s="83">
        <f t="shared" si="34"/>
        <v>1.3076923076923077</v>
      </c>
      <c r="BF7" s="100">
        <f>IFERROR(VLOOKUP(C7,'[1]TARGET THIS MONTH'!C:U,16,0),0)</f>
        <v>4810000</v>
      </c>
      <c r="BG7" s="100">
        <f>IFERROR(GETPIVOTDATA("Sum of SRP",'[1]Insurance by Store'!$A$5,"ID Store",$C7,"Product Type","Qoala"),0)</f>
        <v>2067000</v>
      </c>
      <c r="BH7" s="83">
        <f t="shared" si="35"/>
        <v>0.42972972972972973</v>
      </c>
      <c r="BI7" s="100">
        <f>IFERROR(VLOOKUP(C7,'[1]TARGET THIS MONTH'!C:U,17,0),0)</f>
        <v>962000</v>
      </c>
      <c r="BJ7" s="100">
        <f>IFERROR(GETPIVOTDATA("Sum of SRP",'[1]Insurance by Store'!$A$5,"ID Store",$C7,"Product Type","Vivo Care"),0)</f>
        <v>0</v>
      </c>
      <c r="BK7" s="83">
        <f t="shared" si="36"/>
        <v>0</v>
      </c>
      <c r="BL7" s="81">
        <f>IFERROR(VLOOKUP(C7,'[1]TARGET THIS MONTH'!C:U,18,0),0)</f>
        <v>7.8</v>
      </c>
      <c r="BM7" s="82">
        <f>IFERROR(GETPIVOTDATA("Sum of Qty",'[1]Operator by Store'!$A$5,"ID Store",$C7,"Product Type","Indosat"),0)</f>
        <v>3</v>
      </c>
      <c r="BN7" s="83">
        <f t="shared" si="37"/>
        <v>0.38461538461538464</v>
      </c>
      <c r="BO7" s="81">
        <f>VLOOKUP(C7,'[1]TARGET THIS MONTH'!C:U,19,0)</f>
        <v>78</v>
      </c>
      <c r="BP7" s="82">
        <f>IFERROR(GETPIVOTDATA("Sum of Qty",'[1]Operator by Store'!$A$5,"ID Store",$C7,"Product Type","Telkomsel"),0)</f>
        <v>0</v>
      </c>
      <c r="BQ7" s="101">
        <f t="shared" si="38"/>
        <v>0</v>
      </c>
    </row>
    <row r="8" spans="1:69" x14ac:dyDescent="0.2">
      <c r="A8" s="72">
        <v>4</v>
      </c>
      <c r="B8" s="73" t="s">
        <v>40</v>
      </c>
      <c r="C8" s="74">
        <v>6010703</v>
      </c>
      <c r="D8" s="75" t="s">
        <v>46</v>
      </c>
      <c r="E8" s="76" t="s">
        <v>47</v>
      </c>
      <c r="F8" s="77">
        <v>3</v>
      </c>
      <c r="G8" s="78">
        <f>IFERROR(VLOOKUP(C8,'[1]TARGET THIS MONTH'!C:E,3,0),0)</f>
        <v>120</v>
      </c>
      <c r="H8" s="79">
        <f>IFERROR(VLOOKUP(C8,'[1]TARGET THIS MONTH'!C:M,11,0),0)</f>
        <v>420000000</v>
      </c>
      <c r="I8" s="78">
        <f>IFERROR(GETPIVOTDATA("Sum of Qty",'[1]DEVICE &amp; VALUE'!$A$6,"ID Store",$C8),0)</f>
        <v>58</v>
      </c>
      <c r="J8" s="80">
        <f t="shared" si="0"/>
        <v>0.48333333333333334</v>
      </c>
      <c r="K8" s="81">
        <f t="shared" si="1"/>
        <v>-62</v>
      </c>
      <c r="L8" s="82">
        <f>IFERROR(GETPIVOTDATA("Sum of Qty",[1]PF!$A$5,"ID Store",$C8),0)</f>
        <v>9</v>
      </c>
      <c r="M8" s="82">
        <f>IFERROR(GETPIVOTDATA("Sum of Qty",'[1]DEVICE &amp; VALUE'!$A$6,"ID Store",$C8,"Segment Price","3mio&gt;"),0)</f>
        <v>10</v>
      </c>
      <c r="N8" s="83">
        <f t="shared" si="2"/>
        <v>0.17241379310344829</v>
      </c>
      <c r="O8" s="84">
        <f>IFERROR(GETPIVOTDATA("Sum of Qty",[1]IQOO!$A$6,"ID Store",$C8),0)</f>
        <v>1</v>
      </c>
      <c r="P8" s="83">
        <f t="shared" si="3"/>
        <v>1.7241379310344827E-2</v>
      </c>
      <c r="Q8" s="83">
        <f t="shared" si="4"/>
        <v>0.17241379310344829</v>
      </c>
      <c r="R8" s="85">
        <f>IFERROR(GETPIVOTDATA("Sum of SRP",'[1]DEVICE &amp; VALUE'!$A$6,"ID Store",$C8),0)</f>
        <v>151242000</v>
      </c>
      <c r="S8" s="83">
        <f t="shared" si="5"/>
        <v>0.36009999999999998</v>
      </c>
      <c r="T8" s="86">
        <f t="shared" si="6"/>
        <v>-268758000</v>
      </c>
      <c r="U8" s="87">
        <f t="shared" si="7"/>
        <v>158.18181818181819</v>
      </c>
      <c r="V8" s="88">
        <f t="shared" si="8"/>
        <v>1.3181818181818181</v>
      </c>
      <c r="W8" s="89">
        <f t="shared" si="9"/>
        <v>38.181818181818187</v>
      </c>
      <c r="X8" s="89">
        <f t="shared" si="10"/>
        <v>27.272727272727273</v>
      </c>
      <c r="Y8" s="89">
        <f t="shared" si="11"/>
        <v>-92.72727272727272</v>
      </c>
      <c r="Z8" s="90">
        <f t="shared" si="12"/>
        <v>412478181.81818181</v>
      </c>
      <c r="AA8" s="90">
        <f t="shared" si="13"/>
        <v>-7521818.1818181872</v>
      </c>
      <c r="AB8" s="91">
        <f t="shared" si="14"/>
        <v>0.98209090909090913</v>
      </c>
      <c r="AC8" s="92">
        <f t="shared" si="15"/>
        <v>3.263157894736842</v>
      </c>
      <c r="AD8" s="93">
        <f t="shared" si="16"/>
        <v>14145157.894736841</v>
      </c>
      <c r="AE8" s="78">
        <f>IFERROR(GETPIVOTDATA("Sum of Qty",'[1]DATA LAST MONTH IQOO'!$A$6,"ID Store",$C8),0)</f>
        <v>3</v>
      </c>
      <c r="AF8" s="94">
        <f>IFERROR(GETPIVOTDATA("Sum of Qty",[1]IQOO!$A$6,"ID Store",$C8),0)</f>
        <v>1</v>
      </c>
      <c r="AG8" s="81">
        <f t="shared" si="17"/>
        <v>-2</v>
      </c>
      <c r="AH8" s="95">
        <f t="shared" si="18"/>
        <v>-0.66666666666666663</v>
      </c>
      <c r="AI8" s="96">
        <f>IFERROR(GETPIVOTDATA("Sum of Qty",'[1]DATA LAST MONTH DEVICE'!$A$6,"ID Store",$C8),0)</f>
        <v>32</v>
      </c>
      <c r="AJ8" s="97">
        <f t="shared" si="19"/>
        <v>58</v>
      </c>
      <c r="AK8" s="81">
        <f t="shared" si="20"/>
        <v>26</v>
      </c>
      <c r="AL8" s="83">
        <f t="shared" si="21"/>
        <v>0.8125</v>
      </c>
      <c r="AM8" s="82">
        <f>IFERROR(GETPIVOTDATA("Sum of Qty",'[1]Store 3mio+ last month'!$A$6,"ID Store",$C8),0)</f>
        <v>105</v>
      </c>
      <c r="AN8" s="81">
        <f t="shared" si="22"/>
        <v>158.18181818181819</v>
      </c>
      <c r="AO8" s="81">
        <f t="shared" si="23"/>
        <v>53.181818181818187</v>
      </c>
      <c r="AP8" s="83">
        <f t="shared" si="24"/>
        <v>0.50649350649350655</v>
      </c>
      <c r="AQ8" s="82">
        <f>IFERROR(GETPIVOTDATA("Sum of Qty",'[1]DATA LAST MONTH DEVICE'!$A$6,"ID Store",$C8,"Segment Price","3mio&gt;"),0)</f>
        <v>10</v>
      </c>
      <c r="AR8" s="84">
        <f t="shared" si="25"/>
        <v>10</v>
      </c>
      <c r="AS8" s="84">
        <f t="shared" si="26"/>
        <v>0</v>
      </c>
      <c r="AT8" s="83">
        <f t="shared" si="27"/>
        <v>0</v>
      </c>
      <c r="AU8" s="98">
        <f>IFERROR(GETPIVOTDATA("Sum of SRP",'[1]DATA LAST MONTH DEVICE'!$A$6,"ID Store",$C8),0)</f>
        <v>95768000</v>
      </c>
      <c r="AV8" s="98">
        <f t="shared" si="28"/>
        <v>151242000</v>
      </c>
      <c r="AW8" s="98">
        <f t="shared" si="29"/>
        <v>55474000</v>
      </c>
      <c r="AX8" s="83">
        <f t="shared" si="30"/>
        <v>0.57925403057388691</v>
      </c>
      <c r="AY8" s="98">
        <f>IFERROR(VLOOKUP(C8,'[1]DATA SALES LAST MONTH'!A:E,5,0),0)</f>
        <v>2992750</v>
      </c>
      <c r="AZ8" s="85">
        <f t="shared" si="31"/>
        <v>2607620.6896551722</v>
      </c>
      <c r="BA8" s="85">
        <f t="shared" si="32"/>
        <v>-385129.31034482783</v>
      </c>
      <c r="BB8" s="95">
        <f t="shared" si="33"/>
        <v>-0.12868743140751077</v>
      </c>
      <c r="BC8" s="78">
        <f>IFERROR(VLOOKUP(C8,'[1]TARGET THIS MONTH'!C:U,15,0),0)</f>
        <v>12</v>
      </c>
      <c r="BD8" s="99">
        <f>IFERROR(GETPIVOTDATA("Sum of Qty",[1]ACC!$A$5,"ID Store",$C8),0)</f>
        <v>15</v>
      </c>
      <c r="BE8" s="83">
        <f t="shared" si="34"/>
        <v>1.25</v>
      </c>
      <c r="BF8" s="100">
        <f>IFERROR(VLOOKUP(C8,'[1]TARGET THIS MONTH'!C:U,16,0),0)</f>
        <v>2100000</v>
      </c>
      <c r="BG8" s="100">
        <f>IFERROR(GETPIVOTDATA("Sum of SRP",'[1]Insurance by Store'!$A$5,"ID Store",$C8,"Product Type","Qoala"),0)</f>
        <v>954000</v>
      </c>
      <c r="BH8" s="83">
        <f t="shared" si="35"/>
        <v>0.45428571428571429</v>
      </c>
      <c r="BI8" s="100">
        <f>IFERROR(VLOOKUP(C8,'[1]TARGET THIS MONTH'!C:U,17,0),0)</f>
        <v>420000</v>
      </c>
      <c r="BJ8" s="100">
        <f>IFERROR(GETPIVOTDATA("Sum of SRP",'[1]Insurance by Store'!$A$5,"ID Store",$C8,"Product Type","Vivo Care"),0)</f>
        <v>0</v>
      </c>
      <c r="BK8" s="83">
        <f t="shared" si="36"/>
        <v>0</v>
      </c>
      <c r="BL8" s="81">
        <f>IFERROR(VLOOKUP(C8,'[1]TARGET THIS MONTH'!C:U,18,0),0)</f>
        <v>3.5999999999999996</v>
      </c>
      <c r="BM8" s="82">
        <f>IFERROR(GETPIVOTDATA("Sum of Qty",'[1]Operator by Store'!$A$5,"ID Store",$C8,"Product Type","Indosat"),0)</f>
        <v>1</v>
      </c>
      <c r="BN8" s="83">
        <f t="shared" si="37"/>
        <v>0.27777777777777779</v>
      </c>
      <c r="BO8" s="81">
        <f>VLOOKUP(C8,'[1]TARGET THIS MONTH'!C:U,19,0)</f>
        <v>36</v>
      </c>
      <c r="BP8" s="82">
        <f>IFERROR(GETPIVOTDATA("Sum of Qty",'[1]Operator by Store'!$A$5,"ID Store",$C8,"Product Type","Telkomsel"),0)</f>
        <v>0</v>
      </c>
      <c r="BQ8" s="101">
        <f t="shared" si="38"/>
        <v>0</v>
      </c>
    </row>
    <row r="9" spans="1:69" x14ac:dyDescent="0.2">
      <c r="A9" s="72">
        <v>5</v>
      </c>
      <c r="B9" s="73" t="s">
        <v>40</v>
      </c>
      <c r="C9" s="74">
        <v>6010709</v>
      </c>
      <c r="D9" s="75" t="s">
        <v>48</v>
      </c>
      <c r="E9" s="76" t="s">
        <v>47</v>
      </c>
      <c r="F9" s="77">
        <v>7</v>
      </c>
      <c r="G9" s="78">
        <f>IFERROR(VLOOKUP(C9,'[1]TARGET THIS MONTH'!C:E,3,0),0)</f>
        <v>320</v>
      </c>
      <c r="H9" s="79">
        <f>IFERROR(VLOOKUP(C9,'[1]TARGET THIS MONTH'!C:M,11,0),0)</f>
        <v>1120000000</v>
      </c>
      <c r="I9" s="78">
        <f>IFERROR(GETPIVOTDATA("Sum of Qty",'[1]DEVICE &amp; VALUE'!$A$6,"ID Store",$C9),0)</f>
        <v>155</v>
      </c>
      <c r="J9" s="80">
        <f t="shared" si="0"/>
        <v>0.484375</v>
      </c>
      <c r="K9" s="81">
        <f t="shared" si="1"/>
        <v>-165</v>
      </c>
      <c r="L9" s="82">
        <f>IFERROR(GETPIVOTDATA("Sum of Qty",[1]PF!$A$5,"ID Store",$C9),0)</f>
        <v>22</v>
      </c>
      <c r="M9" s="82">
        <f>IFERROR(GETPIVOTDATA("Sum of Qty",'[1]DEVICE &amp; VALUE'!$A$6,"ID Store",$C9,"Segment Price","3mio&gt;"),0)</f>
        <v>34</v>
      </c>
      <c r="N9" s="83">
        <f t="shared" si="2"/>
        <v>0.21935483870967742</v>
      </c>
      <c r="O9" s="84">
        <f>IFERROR(GETPIVOTDATA("Sum of Qty",[1]IQOO!$A$6,"ID Store",$C9),0)</f>
        <v>2</v>
      </c>
      <c r="P9" s="83">
        <f t="shared" si="3"/>
        <v>1.2903225806451613E-2</v>
      </c>
      <c r="Q9" s="83">
        <f t="shared" si="4"/>
        <v>0.21935483870967742</v>
      </c>
      <c r="R9" s="85">
        <f>IFERROR(GETPIVOTDATA("Sum of SRP",'[1]DEVICE &amp; VALUE'!$A$6,"ID Store",$C9),0)</f>
        <v>442945000</v>
      </c>
      <c r="S9" s="83">
        <f t="shared" si="5"/>
        <v>0.39548660714285716</v>
      </c>
      <c r="T9" s="86">
        <f t="shared" si="6"/>
        <v>-677055000</v>
      </c>
      <c r="U9" s="87">
        <f t="shared" si="7"/>
        <v>422.72727272727275</v>
      </c>
      <c r="V9" s="88">
        <f t="shared" si="8"/>
        <v>1.3210227272727273</v>
      </c>
      <c r="W9" s="89">
        <f t="shared" si="9"/>
        <v>102.72727272727275</v>
      </c>
      <c r="X9" s="89">
        <f t="shared" si="10"/>
        <v>92.72727272727272</v>
      </c>
      <c r="Y9" s="89">
        <f t="shared" si="11"/>
        <v>-227.27272727272728</v>
      </c>
      <c r="Z9" s="90">
        <f t="shared" si="12"/>
        <v>1208031818.1818182</v>
      </c>
      <c r="AA9" s="90">
        <f t="shared" si="13"/>
        <v>88031818.181818247</v>
      </c>
      <c r="AB9" s="91">
        <f t="shared" si="14"/>
        <v>1.0785998376623378</v>
      </c>
      <c r="AC9" s="92">
        <f t="shared" si="15"/>
        <v>8.6842105263157894</v>
      </c>
      <c r="AD9" s="93">
        <f t="shared" si="16"/>
        <v>35634473.684210524</v>
      </c>
      <c r="AE9" s="78">
        <f>IFERROR(GETPIVOTDATA("Sum of Qty",'[1]DATA LAST MONTH IQOO'!$A$6,"ID Store",$C9),0)</f>
        <v>8</v>
      </c>
      <c r="AF9" s="94">
        <f>IFERROR(GETPIVOTDATA("Sum of Qty",[1]IQOO!$A$6,"ID Store",$C9),0)</f>
        <v>2</v>
      </c>
      <c r="AG9" s="81">
        <f t="shared" si="17"/>
        <v>-6</v>
      </c>
      <c r="AH9" s="95">
        <f t="shared" si="18"/>
        <v>-0.75</v>
      </c>
      <c r="AI9" s="96">
        <f>IFERROR(GETPIVOTDATA("Sum of Qty",'[1]DATA LAST MONTH DEVICE'!$A$6,"ID Store",$C9),0)</f>
        <v>118</v>
      </c>
      <c r="AJ9" s="97">
        <f t="shared" si="19"/>
        <v>155</v>
      </c>
      <c r="AK9" s="81">
        <f t="shared" si="20"/>
        <v>37</v>
      </c>
      <c r="AL9" s="83">
        <f t="shared" si="21"/>
        <v>0.3135593220338983</v>
      </c>
      <c r="AM9" s="82">
        <f>IFERROR(GETPIVOTDATA("Sum of Qty",'[1]Store 3mio+ last month'!$A$6,"ID Store",$C9),0)</f>
        <v>353</v>
      </c>
      <c r="AN9" s="81">
        <f t="shared" si="22"/>
        <v>422.72727272727275</v>
      </c>
      <c r="AO9" s="81">
        <f t="shared" si="23"/>
        <v>69.727272727272748</v>
      </c>
      <c r="AP9" s="83">
        <f t="shared" si="24"/>
        <v>0.19752768477980948</v>
      </c>
      <c r="AQ9" s="82">
        <f>IFERROR(GETPIVOTDATA("Sum of Qty",'[1]DATA LAST MONTH DEVICE'!$A$6,"ID Store",$C9,"Segment Price","3mio&gt;"),0)</f>
        <v>26</v>
      </c>
      <c r="AR9" s="84">
        <f t="shared" si="25"/>
        <v>34</v>
      </c>
      <c r="AS9" s="84">
        <f t="shared" si="26"/>
        <v>8</v>
      </c>
      <c r="AT9" s="83">
        <f t="shared" si="27"/>
        <v>0.30769230769230771</v>
      </c>
      <c r="AU9" s="98">
        <f>IFERROR(GETPIVOTDATA("Sum of SRP",'[1]DATA LAST MONTH DEVICE'!$A$6,"ID Store",$C9),0)</f>
        <v>336982000</v>
      </c>
      <c r="AV9" s="98">
        <f t="shared" si="28"/>
        <v>442945000</v>
      </c>
      <c r="AW9" s="98">
        <f t="shared" si="29"/>
        <v>105963000</v>
      </c>
      <c r="AX9" s="83">
        <f t="shared" si="30"/>
        <v>0.31444706245437443</v>
      </c>
      <c r="AY9" s="98">
        <f>IFERROR(VLOOKUP(C9,'[1]DATA SALES LAST MONTH'!A:E,5,0),0)</f>
        <v>2855779.661016949</v>
      </c>
      <c r="AZ9" s="85">
        <f t="shared" si="31"/>
        <v>2857709.6774193547</v>
      </c>
      <c r="BA9" s="85">
        <f t="shared" si="32"/>
        <v>1930.0164024056867</v>
      </c>
      <c r="BB9" s="95">
        <f t="shared" si="33"/>
        <v>6.7582819107213756E-4</v>
      </c>
      <c r="BC9" s="78">
        <f>IFERROR(VLOOKUP(C9,'[1]TARGET THIS MONTH'!C:U,15,0),0)</f>
        <v>32</v>
      </c>
      <c r="BD9" s="99">
        <f>IFERROR(GETPIVOTDATA("Sum of Qty",[1]ACC!$A$5,"ID Store",$C9),0)</f>
        <v>37</v>
      </c>
      <c r="BE9" s="83">
        <f t="shared" si="34"/>
        <v>1.15625</v>
      </c>
      <c r="BF9" s="100">
        <f>IFERROR(VLOOKUP(C9,'[1]TARGET THIS MONTH'!C:U,16,0),0)</f>
        <v>5600000</v>
      </c>
      <c r="BG9" s="100">
        <f>IFERROR(GETPIVOTDATA("Sum of SRP",'[1]Insurance by Store'!$A$5,"ID Store",$C9,"Product Type","Qoala"),0)</f>
        <v>2634000</v>
      </c>
      <c r="BH9" s="83">
        <f t="shared" si="35"/>
        <v>0.47035714285714286</v>
      </c>
      <c r="BI9" s="100">
        <f>IFERROR(VLOOKUP(C9,'[1]TARGET THIS MONTH'!C:U,17,0),0)</f>
        <v>1120000</v>
      </c>
      <c r="BJ9" s="100">
        <f>IFERROR(GETPIVOTDATA("Sum of SRP",'[1]Insurance by Store'!$A$5,"ID Store",$C9,"Product Type","Vivo Care"),0)</f>
        <v>0</v>
      </c>
      <c r="BK9" s="83">
        <f t="shared" si="36"/>
        <v>0</v>
      </c>
      <c r="BL9" s="81">
        <f>IFERROR(VLOOKUP(C9,'[1]TARGET THIS MONTH'!C:U,18,0),0)</f>
        <v>9.6</v>
      </c>
      <c r="BM9" s="82">
        <f>IFERROR(GETPIVOTDATA("Sum of Qty",'[1]Operator by Store'!$A$5,"ID Store",$C9,"Product Type","Indosat"),0)</f>
        <v>4</v>
      </c>
      <c r="BN9" s="83">
        <f t="shared" si="37"/>
        <v>0.41666666666666669</v>
      </c>
      <c r="BO9" s="81">
        <f>VLOOKUP(C9,'[1]TARGET THIS MONTH'!C:U,19,0)</f>
        <v>96</v>
      </c>
      <c r="BP9" s="82">
        <f>IFERROR(GETPIVOTDATA("Sum of Qty",'[1]Operator by Store'!$A$5,"ID Store",$C9,"Product Type","Telkomsel"),0)</f>
        <v>0</v>
      </c>
      <c r="BQ9" s="101">
        <f t="shared" si="38"/>
        <v>0</v>
      </c>
    </row>
    <row r="10" spans="1:69" x14ac:dyDescent="0.2">
      <c r="A10" s="72">
        <v>6</v>
      </c>
      <c r="B10" s="73" t="s">
        <v>40</v>
      </c>
      <c r="C10" s="74">
        <v>6010710</v>
      </c>
      <c r="D10" s="75" t="s">
        <v>49</v>
      </c>
      <c r="E10" s="102" t="s">
        <v>47</v>
      </c>
      <c r="F10" s="77">
        <v>3</v>
      </c>
      <c r="G10" s="78">
        <f>IFERROR(VLOOKUP(C10,'[1]TARGET THIS MONTH'!C:E,3,0),0)</f>
        <v>110</v>
      </c>
      <c r="H10" s="79">
        <f>IFERROR(VLOOKUP(C10,'[1]TARGET THIS MONTH'!C:M,11,0),0)</f>
        <v>385000000</v>
      </c>
      <c r="I10" s="78">
        <f>IFERROR(GETPIVOTDATA("Sum of Qty",'[1]DEVICE &amp; VALUE'!$A$6,"ID Store",$C10),0)</f>
        <v>58</v>
      </c>
      <c r="J10" s="80">
        <f t="shared" si="0"/>
        <v>0.52727272727272723</v>
      </c>
      <c r="K10" s="81">
        <f t="shared" si="1"/>
        <v>-52</v>
      </c>
      <c r="L10" s="82">
        <f>IFERROR(GETPIVOTDATA("Sum of Qty",[1]PF!$A$5,"ID Store",$C10),0)</f>
        <v>12</v>
      </c>
      <c r="M10" s="82">
        <f>IFERROR(GETPIVOTDATA("Sum of Qty",'[1]DEVICE &amp; VALUE'!$A$6,"ID Store",$C10,"Segment Price","3mio&gt;"),0)</f>
        <v>12</v>
      </c>
      <c r="N10" s="83">
        <f t="shared" si="2"/>
        <v>0.20689655172413793</v>
      </c>
      <c r="O10" s="84">
        <f>IFERROR(GETPIVOTDATA("Sum of Qty",[1]IQOO!$A$6,"ID Store",$C10),0)</f>
        <v>0</v>
      </c>
      <c r="P10" s="83">
        <f t="shared" si="3"/>
        <v>0</v>
      </c>
      <c r="Q10" s="83">
        <f t="shared" si="4"/>
        <v>0.20689655172413793</v>
      </c>
      <c r="R10" s="85">
        <f>IFERROR(GETPIVOTDATA("Sum of SRP",'[1]DEVICE &amp; VALUE'!$A$6,"ID Store",$C10),0)</f>
        <v>157042000</v>
      </c>
      <c r="S10" s="83">
        <f t="shared" si="5"/>
        <v>0.40790129870129871</v>
      </c>
      <c r="T10" s="86">
        <f t="shared" si="6"/>
        <v>-227958000</v>
      </c>
      <c r="U10" s="87">
        <f t="shared" si="7"/>
        <v>158.18181818181819</v>
      </c>
      <c r="V10" s="88">
        <f t="shared" si="8"/>
        <v>1.4380165289256199</v>
      </c>
      <c r="W10" s="89">
        <f t="shared" si="9"/>
        <v>48.181818181818187</v>
      </c>
      <c r="X10" s="89">
        <f t="shared" si="10"/>
        <v>32.727272727272727</v>
      </c>
      <c r="Y10" s="89">
        <f t="shared" si="11"/>
        <v>-77.27272727272728</v>
      </c>
      <c r="Z10" s="90">
        <f t="shared" si="12"/>
        <v>428296363.63636363</v>
      </c>
      <c r="AA10" s="90">
        <f t="shared" si="13"/>
        <v>43296363.636363626</v>
      </c>
      <c r="AB10" s="91">
        <f t="shared" si="14"/>
        <v>1.1124580873671783</v>
      </c>
      <c r="AC10" s="92">
        <f t="shared" si="15"/>
        <v>2.736842105263158</v>
      </c>
      <c r="AD10" s="93">
        <f t="shared" si="16"/>
        <v>11997789.47368421</v>
      </c>
      <c r="AE10" s="78">
        <f>IFERROR(GETPIVOTDATA("Sum of Qty",'[1]DATA LAST MONTH IQOO'!$A$6,"ID Store",$C10),0)</f>
        <v>1</v>
      </c>
      <c r="AF10" s="94">
        <f>IFERROR(GETPIVOTDATA("Sum of Qty",[1]IQOO!$A$6,"ID Store",$C10),0)</f>
        <v>0</v>
      </c>
      <c r="AG10" s="81">
        <f t="shared" si="17"/>
        <v>-1</v>
      </c>
      <c r="AH10" s="95">
        <f t="shared" si="18"/>
        <v>-1</v>
      </c>
      <c r="AI10" s="96">
        <f>IFERROR(GETPIVOTDATA("Sum of Qty",'[1]DATA LAST MONTH DEVICE'!$A$6,"ID Store",$C10),0)</f>
        <v>40</v>
      </c>
      <c r="AJ10" s="97">
        <f t="shared" si="19"/>
        <v>58</v>
      </c>
      <c r="AK10" s="81">
        <f t="shared" si="20"/>
        <v>18</v>
      </c>
      <c r="AL10" s="83">
        <f t="shared" si="21"/>
        <v>0.45</v>
      </c>
      <c r="AM10" s="82">
        <f>IFERROR(GETPIVOTDATA("Sum of Qty",'[1]Store 3mio+ last month'!$A$6,"ID Store",$C10),0)</f>
        <v>120</v>
      </c>
      <c r="AN10" s="81">
        <f t="shared" si="22"/>
        <v>158.18181818181819</v>
      </c>
      <c r="AO10" s="81">
        <f t="shared" si="23"/>
        <v>38.181818181818187</v>
      </c>
      <c r="AP10" s="83">
        <f t="shared" si="24"/>
        <v>0.31818181818181823</v>
      </c>
      <c r="AQ10" s="82">
        <f>IFERROR(GETPIVOTDATA("Sum of Qty",'[1]DATA LAST MONTH DEVICE'!$A$6,"ID Store",$C10,"Segment Price","3mio&gt;"),0)</f>
        <v>12</v>
      </c>
      <c r="AR10" s="84">
        <f t="shared" si="25"/>
        <v>12</v>
      </c>
      <c r="AS10" s="84">
        <f t="shared" si="26"/>
        <v>0</v>
      </c>
      <c r="AT10" s="83">
        <f t="shared" si="27"/>
        <v>0</v>
      </c>
      <c r="AU10" s="98">
        <f>IFERROR(GETPIVOTDATA("Sum of SRP",'[1]DATA LAST MONTH DEVICE'!$A$6,"ID Store",$C10),0)</f>
        <v>134460000</v>
      </c>
      <c r="AV10" s="98">
        <f t="shared" si="28"/>
        <v>157042000</v>
      </c>
      <c r="AW10" s="98">
        <f t="shared" si="29"/>
        <v>22582000</v>
      </c>
      <c r="AX10" s="83">
        <f t="shared" si="30"/>
        <v>0.16794585750409044</v>
      </c>
      <c r="AY10" s="98">
        <f>IFERROR(VLOOKUP(C10,'[1]DATA SALES LAST MONTH'!A:E,5,0),0)</f>
        <v>3361500</v>
      </c>
      <c r="AZ10" s="85">
        <f t="shared" si="31"/>
        <v>2707620.6896551722</v>
      </c>
      <c r="BA10" s="85">
        <f t="shared" si="32"/>
        <v>-653879.31034482783</v>
      </c>
      <c r="BB10" s="95">
        <f t="shared" si="33"/>
        <v>-0.19452009827304115</v>
      </c>
      <c r="BC10" s="78">
        <f>IFERROR(VLOOKUP(C10,'[1]TARGET THIS MONTH'!C:U,15,0),0)</f>
        <v>11</v>
      </c>
      <c r="BD10" s="99">
        <f>IFERROR(GETPIVOTDATA("Sum of Qty",[1]ACC!$A$5,"ID Store",$C10),0)</f>
        <v>8</v>
      </c>
      <c r="BE10" s="83">
        <f t="shared" si="34"/>
        <v>0.72727272727272729</v>
      </c>
      <c r="BF10" s="100">
        <f>IFERROR(VLOOKUP(C10,'[1]TARGET THIS MONTH'!C:U,16,0),0)</f>
        <v>1925000</v>
      </c>
      <c r="BG10" s="100">
        <f>IFERROR(GETPIVOTDATA("Sum of SRP",'[1]Insurance by Store'!$A$5,"ID Store",$C10,"Product Type","Qoala"),0)</f>
        <v>1113000</v>
      </c>
      <c r="BH10" s="83">
        <f t="shared" si="35"/>
        <v>0.57818181818181813</v>
      </c>
      <c r="BI10" s="100">
        <f>IFERROR(VLOOKUP(C10,'[1]TARGET THIS MONTH'!C:U,17,0),0)</f>
        <v>385000</v>
      </c>
      <c r="BJ10" s="100">
        <f>IFERROR(GETPIVOTDATA("Sum of SRP",'[1]Insurance by Store'!$A$5,"ID Store",$C10,"Product Type","Vivo Care"),0)</f>
        <v>0</v>
      </c>
      <c r="BK10" s="83">
        <f t="shared" si="36"/>
        <v>0</v>
      </c>
      <c r="BL10" s="81">
        <f>IFERROR(VLOOKUP(C10,'[1]TARGET THIS MONTH'!C:U,18,0),0)</f>
        <v>3.3</v>
      </c>
      <c r="BM10" s="82">
        <f>IFERROR(GETPIVOTDATA("Sum of Qty",'[1]Operator by Store'!$A$5,"ID Store",$C10,"Product Type","Indosat"),0)</f>
        <v>0</v>
      </c>
      <c r="BN10" s="83">
        <f t="shared" si="37"/>
        <v>0</v>
      </c>
      <c r="BO10" s="81">
        <f>VLOOKUP(C10,'[1]TARGET THIS MONTH'!C:U,19,0)</f>
        <v>33</v>
      </c>
      <c r="BP10" s="82">
        <f>IFERROR(GETPIVOTDATA("Sum of Qty",'[1]Operator by Store'!$A$5,"ID Store",$C10,"Product Type","Telkomsel"),0)</f>
        <v>0</v>
      </c>
      <c r="BQ10" s="101">
        <f t="shared" si="38"/>
        <v>0</v>
      </c>
    </row>
    <row r="11" spans="1:69" x14ac:dyDescent="0.2">
      <c r="A11" s="72">
        <v>7</v>
      </c>
      <c r="B11" s="73" t="s">
        <v>40</v>
      </c>
      <c r="C11" s="74">
        <v>6020711</v>
      </c>
      <c r="D11" s="75" t="s">
        <v>50</v>
      </c>
      <c r="E11" s="103" t="s">
        <v>51</v>
      </c>
      <c r="F11" s="77">
        <v>3</v>
      </c>
      <c r="G11" s="78">
        <f>IFERROR(VLOOKUP(C11,'[1]TARGET THIS MONTH'!C:E,3,0),0)</f>
        <v>120</v>
      </c>
      <c r="H11" s="79">
        <f>IFERROR(VLOOKUP(C11,'[1]TARGET THIS MONTH'!C:M,11,0),0)</f>
        <v>840000000</v>
      </c>
      <c r="I11" s="78">
        <f>IFERROR(GETPIVOTDATA("Sum of Qty",'[1]DEVICE &amp; VALUE'!$A$6,"ID Store",$C11),0)</f>
        <v>33</v>
      </c>
      <c r="J11" s="80">
        <f t="shared" si="0"/>
        <v>0.27500000000000002</v>
      </c>
      <c r="K11" s="81">
        <f t="shared" si="1"/>
        <v>-87</v>
      </c>
      <c r="L11" s="82">
        <f>IFERROR(GETPIVOTDATA("Sum of Qty",[1]PF!$A$5,"ID Store",$C11),0)</f>
        <v>5</v>
      </c>
      <c r="M11" s="82">
        <f>IFERROR(GETPIVOTDATA("Sum of Qty",'[1]DEVICE &amp; VALUE'!$A$6,"ID Store",$C11,"Segment Price","3mio&gt;"),0)</f>
        <v>16</v>
      </c>
      <c r="N11" s="83">
        <f t="shared" si="2"/>
        <v>0.48484848484848486</v>
      </c>
      <c r="O11" s="84">
        <f>IFERROR(GETPIVOTDATA("Sum of Qty",[1]IQOO!$A$6,"ID Store",$C11),0)</f>
        <v>1</v>
      </c>
      <c r="P11" s="83">
        <f t="shared" si="3"/>
        <v>3.0303030303030304E-2</v>
      </c>
      <c r="Q11" s="83">
        <f t="shared" si="4"/>
        <v>0.48484848484848486</v>
      </c>
      <c r="R11" s="85">
        <f>IFERROR(GETPIVOTDATA("Sum of SRP",'[1]DEVICE &amp; VALUE'!$A$6,"ID Store",$C11),0)</f>
        <v>207267000</v>
      </c>
      <c r="S11" s="83">
        <f t="shared" si="5"/>
        <v>0.24674642857142856</v>
      </c>
      <c r="T11" s="86">
        <f t="shared" si="6"/>
        <v>-632733000</v>
      </c>
      <c r="U11" s="87">
        <f t="shared" si="7"/>
        <v>90</v>
      </c>
      <c r="V11" s="88">
        <f t="shared" si="8"/>
        <v>0.75</v>
      </c>
      <c r="W11" s="89">
        <f t="shared" si="9"/>
        <v>-30</v>
      </c>
      <c r="X11" s="89">
        <f t="shared" si="10"/>
        <v>43.63636363636364</v>
      </c>
      <c r="Y11" s="89">
        <f t="shared" si="11"/>
        <v>-76.36363636363636</v>
      </c>
      <c r="Z11" s="90">
        <f t="shared" si="12"/>
        <v>565273636.36363637</v>
      </c>
      <c r="AA11" s="90">
        <f t="shared" si="13"/>
        <v>-274726363.63636363</v>
      </c>
      <c r="AB11" s="91">
        <f t="shared" si="14"/>
        <v>0.67294480519480526</v>
      </c>
      <c r="AC11" s="92">
        <f t="shared" si="15"/>
        <v>4.5789473684210522</v>
      </c>
      <c r="AD11" s="93">
        <f t="shared" si="16"/>
        <v>33301736.842105262</v>
      </c>
      <c r="AE11" s="78">
        <f>IFERROR(GETPIVOTDATA("Sum of Qty",'[1]DATA LAST MONTH IQOO'!$A$6,"ID Store",$C11),0)</f>
        <v>1</v>
      </c>
      <c r="AF11" s="94">
        <f>IFERROR(GETPIVOTDATA("Sum of Qty",[1]IQOO!$A$6,"ID Store",$C11),0)</f>
        <v>1</v>
      </c>
      <c r="AG11" s="81">
        <f t="shared" si="17"/>
        <v>0</v>
      </c>
      <c r="AH11" s="95">
        <f t="shared" si="18"/>
        <v>0</v>
      </c>
      <c r="AI11" s="96">
        <f>IFERROR(GETPIVOTDATA("Sum of Qty",'[1]DATA LAST MONTH DEVICE'!$A$6,"ID Store",$C11),0)</f>
        <v>28</v>
      </c>
      <c r="AJ11" s="97">
        <f t="shared" si="19"/>
        <v>33</v>
      </c>
      <c r="AK11" s="81">
        <f t="shared" si="20"/>
        <v>5</v>
      </c>
      <c r="AL11" s="83">
        <f t="shared" si="21"/>
        <v>0.17857142857142858</v>
      </c>
      <c r="AM11" s="82">
        <f>IFERROR(GETPIVOTDATA("Sum of Qty",'[1]Store 3mio+ last month'!$A$6,"ID Store",$C11),0)</f>
        <v>111</v>
      </c>
      <c r="AN11" s="81">
        <f t="shared" si="22"/>
        <v>90</v>
      </c>
      <c r="AO11" s="81">
        <f t="shared" si="23"/>
        <v>-21</v>
      </c>
      <c r="AP11" s="83">
        <f t="shared" si="24"/>
        <v>-0.1891891891891892</v>
      </c>
      <c r="AQ11" s="82">
        <f>IFERROR(GETPIVOTDATA("Sum of Qty",'[1]DATA LAST MONTH DEVICE'!$A$6,"ID Store",$C11,"Segment Price","3mio&gt;"),0)</f>
        <v>16</v>
      </c>
      <c r="AR11" s="84">
        <f t="shared" si="25"/>
        <v>16</v>
      </c>
      <c r="AS11" s="84">
        <f t="shared" si="26"/>
        <v>0</v>
      </c>
      <c r="AT11" s="83">
        <f t="shared" si="27"/>
        <v>0</v>
      </c>
      <c r="AU11" s="98">
        <f>IFERROR(GETPIVOTDATA("Sum of SRP",'[1]DATA LAST MONTH DEVICE'!$A$6,"ID Store",$C11),0)</f>
        <v>139472000</v>
      </c>
      <c r="AV11" s="98">
        <f t="shared" si="28"/>
        <v>207267000</v>
      </c>
      <c r="AW11" s="98">
        <f t="shared" si="29"/>
        <v>67795000</v>
      </c>
      <c r="AX11" s="83">
        <f t="shared" si="30"/>
        <v>0.48608322817483079</v>
      </c>
      <c r="AY11" s="98">
        <f>IFERROR(VLOOKUP(C11,'[1]DATA SALES LAST MONTH'!A:E,5,0),0)</f>
        <v>4981142.8571428573</v>
      </c>
      <c r="AZ11" s="85">
        <f t="shared" si="31"/>
        <v>6280818.1818181816</v>
      </c>
      <c r="BA11" s="85">
        <f t="shared" si="32"/>
        <v>1299675.3246753244</v>
      </c>
      <c r="BB11" s="95">
        <f t="shared" si="33"/>
        <v>0.26091910269379576</v>
      </c>
      <c r="BC11" s="78">
        <f>IFERROR(VLOOKUP(C11,'[1]TARGET THIS MONTH'!C:U,15,0),0)</f>
        <v>12</v>
      </c>
      <c r="BD11" s="99">
        <f>IFERROR(GETPIVOTDATA("Sum of Qty",[1]ACC!$A$5,"ID Store",$C11),0)</f>
        <v>16</v>
      </c>
      <c r="BE11" s="83">
        <f t="shared" si="34"/>
        <v>1.3333333333333333</v>
      </c>
      <c r="BF11" s="100">
        <f>IFERROR(VLOOKUP(C11,'[1]TARGET THIS MONTH'!C:U,16,0),0)</f>
        <v>4200000</v>
      </c>
      <c r="BG11" s="100">
        <f>IFERROR(GETPIVOTDATA("Sum of SRP",'[1]Insurance by Store'!$A$5,"ID Store",$C11,"Product Type","Qoala"),0)</f>
        <v>647000</v>
      </c>
      <c r="BH11" s="83">
        <f t="shared" si="35"/>
        <v>0.15404761904761904</v>
      </c>
      <c r="BI11" s="100">
        <f>IFERROR(VLOOKUP(C11,'[1]TARGET THIS MONTH'!C:U,17,0),0)</f>
        <v>840000</v>
      </c>
      <c r="BJ11" s="100">
        <f>IFERROR(GETPIVOTDATA("Sum of SRP",'[1]Insurance by Store'!$A$5,"ID Store",$C11,"Product Type","Vivo Care"),0)</f>
        <v>1000000</v>
      </c>
      <c r="BK11" s="83">
        <f t="shared" si="36"/>
        <v>1.1904761904761905</v>
      </c>
      <c r="BL11" s="81">
        <f>IFERROR(VLOOKUP(C11,'[1]TARGET THIS MONTH'!C:U,18,0),0)</f>
        <v>3.5999999999999996</v>
      </c>
      <c r="BM11" s="82">
        <f>IFERROR(GETPIVOTDATA("Sum of Qty",'[1]Operator by Store'!$A$5,"ID Store",$C11,"Product Type","Indosat"),0)</f>
        <v>1</v>
      </c>
      <c r="BN11" s="83">
        <f t="shared" si="37"/>
        <v>0.27777777777777779</v>
      </c>
      <c r="BO11" s="81">
        <f>VLOOKUP(C11,'[1]TARGET THIS MONTH'!C:U,19,0)</f>
        <v>36</v>
      </c>
      <c r="BP11" s="82">
        <f>IFERROR(GETPIVOTDATA("Sum of Qty",'[1]Operator by Store'!$A$5,"ID Store",$C11,"Product Type","Telkomsel"),0)</f>
        <v>0</v>
      </c>
      <c r="BQ11" s="101">
        <f t="shared" si="38"/>
        <v>0</v>
      </c>
    </row>
    <row r="12" spans="1:69" x14ac:dyDescent="0.2">
      <c r="A12" s="72">
        <v>8</v>
      </c>
      <c r="B12" s="73" t="s">
        <v>40</v>
      </c>
      <c r="C12" s="74">
        <v>6010711</v>
      </c>
      <c r="D12" s="75" t="s">
        <v>52</v>
      </c>
      <c r="E12" s="102" t="s">
        <v>53</v>
      </c>
      <c r="F12" s="77">
        <v>3</v>
      </c>
      <c r="G12" s="78">
        <f>IFERROR(VLOOKUP(C12,'[1]TARGET THIS MONTH'!C:E,3,0),0)</f>
        <v>50</v>
      </c>
      <c r="H12" s="79">
        <f>IFERROR(VLOOKUP(C12,'[1]TARGET THIS MONTH'!C:M,11,0),0)</f>
        <v>350000000</v>
      </c>
      <c r="I12" s="78">
        <f>IFERROR(GETPIVOTDATA("Sum of Qty",'[1]DEVICE &amp; VALUE'!$A$6,"ID Store",$C12),0)</f>
        <v>21</v>
      </c>
      <c r="J12" s="80">
        <f t="shared" si="0"/>
        <v>0.42</v>
      </c>
      <c r="K12" s="81">
        <f t="shared" si="1"/>
        <v>-29</v>
      </c>
      <c r="L12" s="82">
        <f>IFERROR(GETPIVOTDATA("Sum of Qty",[1]PF!$A$5,"ID Store",$C12),0)</f>
        <v>5</v>
      </c>
      <c r="M12" s="82">
        <f>IFERROR(GETPIVOTDATA("Sum of Qty",'[1]DEVICE &amp; VALUE'!$A$6,"ID Store",$C12,"Segment Price","3mio&gt;"),0)</f>
        <v>12</v>
      </c>
      <c r="N12" s="83">
        <f t="shared" si="2"/>
        <v>0.5714285714285714</v>
      </c>
      <c r="O12" s="84">
        <f>IFERROR(GETPIVOTDATA("Sum of Qty",[1]IQOO!$A$6,"ID Store",$C12),0)</f>
        <v>1</v>
      </c>
      <c r="P12" s="83">
        <f t="shared" si="3"/>
        <v>4.7619047619047616E-2</v>
      </c>
      <c r="Q12" s="83">
        <f t="shared" si="4"/>
        <v>0.5714285714285714</v>
      </c>
      <c r="R12" s="85">
        <f>IFERROR(GETPIVOTDATA("Sum of SRP",'[1]DEVICE &amp; VALUE'!$A$6,"ID Store",$C12),0)</f>
        <v>164979000</v>
      </c>
      <c r="S12" s="83">
        <f t="shared" si="5"/>
        <v>0.47136857142857141</v>
      </c>
      <c r="T12" s="86">
        <f t="shared" si="6"/>
        <v>-185021000</v>
      </c>
      <c r="U12" s="87">
        <f t="shared" si="7"/>
        <v>57.272727272727273</v>
      </c>
      <c r="V12" s="88">
        <f t="shared" si="8"/>
        <v>1.1454545454545455</v>
      </c>
      <c r="W12" s="89">
        <f t="shared" si="9"/>
        <v>7.2727272727272734</v>
      </c>
      <c r="X12" s="89">
        <f t="shared" si="10"/>
        <v>32.727272727272727</v>
      </c>
      <c r="Y12" s="89">
        <f t="shared" si="11"/>
        <v>-17.272727272727273</v>
      </c>
      <c r="Z12" s="90">
        <f t="shared" si="12"/>
        <v>449942727.27272725</v>
      </c>
      <c r="AA12" s="90">
        <f t="shared" si="13"/>
        <v>99942727.272727251</v>
      </c>
      <c r="AB12" s="91">
        <f t="shared" si="14"/>
        <v>1.2855506493506492</v>
      </c>
      <c r="AC12" s="92">
        <f t="shared" si="15"/>
        <v>1.5263157894736843</v>
      </c>
      <c r="AD12" s="93">
        <f t="shared" si="16"/>
        <v>9737947.3684210535</v>
      </c>
      <c r="AE12" s="78">
        <f>IFERROR(GETPIVOTDATA("Sum of Qty",'[1]DATA LAST MONTH IQOO'!$A$6,"ID Store",$C12),0)</f>
        <v>1</v>
      </c>
      <c r="AF12" s="94">
        <f>IFERROR(GETPIVOTDATA("Sum of Qty",[1]IQOO!$A$6,"ID Store",$C12),0)</f>
        <v>1</v>
      </c>
      <c r="AG12" s="81">
        <f t="shared" si="17"/>
        <v>0</v>
      </c>
      <c r="AH12" s="95">
        <f t="shared" si="18"/>
        <v>0</v>
      </c>
      <c r="AI12" s="96">
        <f>IFERROR(GETPIVOTDATA("Sum of Qty",'[1]DATA LAST MONTH DEVICE'!$A$6,"ID Store",$C12),0)</f>
        <v>5</v>
      </c>
      <c r="AJ12" s="97">
        <f t="shared" si="19"/>
        <v>21</v>
      </c>
      <c r="AK12" s="81">
        <f t="shared" si="20"/>
        <v>16</v>
      </c>
      <c r="AL12" s="83">
        <f t="shared" si="21"/>
        <v>3.2</v>
      </c>
      <c r="AM12" s="82">
        <f>IFERROR(GETPIVOTDATA("Sum of Qty",'[1]Store 3mio+ last month'!$A$6,"ID Store",$C12),0)</f>
        <v>38</v>
      </c>
      <c r="AN12" s="81">
        <f t="shared" si="22"/>
        <v>57.272727272727273</v>
      </c>
      <c r="AO12" s="81">
        <f t="shared" si="23"/>
        <v>19.272727272727273</v>
      </c>
      <c r="AP12" s="83">
        <f t="shared" si="24"/>
        <v>0.50717703349282295</v>
      </c>
      <c r="AQ12" s="82">
        <f>IFERROR(GETPIVOTDATA("Sum of Qty",'[1]DATA LAST MONTH DEVICE'!$A$6,"ID Store",$C12,"Segment Price","3mio&gt;"),0)</f>
        <v>4</v>
      </c>
      <c r="AR12" s="84">
        <f t="shared" si="25"/>
        <v>12</v>
      </c>
      <c r="AS12" s="84">
        <f t="shared" si="26"/>
        <v>8</v>
      </c>
      <c r="AT12" s="83">
        <f t="shared" si="27"/>
        <v>2</v>
      </c>
      <c r="AU12" s="98">
        <f>IFERROR(GETPIVOTDATA("Sum of SRP",'[1]DATA LAST MONTH DEVICE'!$A$6,"ID Store",$C12),0)</f>
        <v>34595000</v>
      </c>
      <c r="AV12" s="98">
        <f t="shared" si="28"/>
        <v>164979000</v>
      </c>
      <c r="AW12" s="98">
        <f t="shared" si="29"/>
        <v>130384000</v>
      </c>
      <c r="AX12" s="83">
        <f t="shared" si="30"/>
        <v>3.7688683335742161</v>
      </c>
      <c r="AY12" s="98">
        <f>IFERROR(VLOOKUP(C12,'[1]DATA SALES LAST MONTH'!A:E,5,0),0)</f>
        <v>6919000</v>
      </c>
      <c r="AZ12" s="85">
        <f t="shared" si="31"/>
        <v>7856142.8571428563</v>
      </c>
      <c r="BA12" s="85">
        <f t="shared" si="32"/>
        <v>937142.85714285634</v>
      </c>
      <c r="BB12" s="95">
        <f t="shared" si="33"/>
        <v>0.13544484132719414</v>
      </c>
      <c r="BC12" s="78">
        <f>IFERROR(VLOOKUP(C12,'[1]TARGET THIS MONTH'!C:U,15,0),0)</f>
        <v>5</v>
      </c>
      <c r="BD12" s="99">
        <f>IFERROR(GETPIVOTDATA("Sum of Qty",[1]ACC!$A$5,"ID Store",$C12),0)</f>
        <v>5</v>
      </c>
      <c r="BE12" s="83">
        <f t="shared" si="34"/>
        <v>1</v>
      </c>
      <c r="BF12" s="100">
        <f>IFERROR(VLOOKUP(C12,'[1]TARGET THIS MONTH'!C:U,16,0),0)</f>
        <v>1750000</v>
      </c>
      <c r="BG12" s="100">
        <f>IFERROR(GETPIVOTDATA("Sum of SRP",'[1]Insurance by Store'!$A$5,"ID Store",$C12,"Product Type","Qoala"),0)</f>
        <v>817000</v>
      </c>
      <c r="BH12" s="83">
        <f t="shared" si="35"/>
        <v>0.46685714285714286</v>
      </c>
      <c r="BI12" s="100">
        <f>IFERROR(VLOOKUP(C12,'[1]TARGET THIS MONTH'!C:U,17,0),0)</f>
        <v>350000</v>
      </c>
      <c r="BJ12" s="100">
        <f>IFERROR(GETPIVOTDATA("Sum of SRP",'[1]Insurance by Store'!$A$5,"ID Store",$C12,"Product Type","Vivo Care"),0)</f>
        <v>0</v>
      </c>
      <c r="BK12" s="83">
        <f t="shared" si="36"/>
        <v>0</v>
      </c>
      <c r="BL12" s="81">
        <f>IFERROR(VLOOKUP(C12,'[1]TARGET THIS MONTH'!C:U,18,0),0)</f>
        <v>1.5</v>
      </c>
      <c r="BM12" s="82">
        <f>IFERROR(GETPIVOTDATA("Sum of Qty",'[1]Operator by Store'!$A$5,"ID Store",$C12,"Product Type","Indosat"),0)</f>
        <v>0</v>
      </c>
      <c r="BN12" s="83">
        <f t="shared" si="37"/>
        <v>0</v>
      </c>
      <c r="BO12" s="81">
        <f>VLOOKUP(C12,'[1]TARGET THIS MONTH'!C:U,19,0)</f>
        <v>15</v>
      </c>
      <c r="BP12" s="82">
        <f>IFERROR(GETPIVOTDATA("Sum of Qty",'[1]Operator by Store'!$A$5,"ID Store",$C12,"Product Type","Telkomsel"),0)</f>
        <v>0</v>
      </c>
      <c r="BQ12" s="101">
        <f t="shared" si="38"/>
        <v>0</v>
      </c>
    </row>
    <row r="13" spans="1:69" x14ac:dyDescent="0.2">
      <c r="A13" s="72">
        <v>9</v>
      </c>
      <c r="B13" s="73" t="s">
        <v>40</v>
      </c>
      <c r="C13" s="74">
        <v>6020706</v>
      </c>
      <c r="D13" s="75" t="s">
        <v>54</v>
      </c>
      <c r="E13" s="102" t="s">
        <v>55</v>
      </c>
      <c r="F13" s="77">
        <v>3</v>
      </c>
      <c r="G13" s="78">
        <f>IFERROR(VLOOKUP(C13,'[1]TARGET THIS MONTH'!C:E,3,0),0)</f>
        <v>100</v>
      </c>
      <c r="H13" s="79">
        <f>IFERROR(VLOOKUP(C13,'[1]TARGET THIS MONTH'!C:M,11,0),0)</f>
        <v>430000000</v>
      </c>
      <c r="I13" s="78">
        <f>IFERROR(GETPIVOTDATA("Sum of Qty",'[1]DEVICE &amp; VALUE'!$A$6,"ID Store",$C13),0)</f>
        <v>39</v>
      </c>
      <c r="J13" s="80">
        <f t="shared" si="0"/>
        <v>0.39</v>
      </c>
      <c r="K13" s="81">
        <f t="shared" si="1"/>
        <v>-61</v>
      </c>
      <c r="L13" s="82">
        <f>IFERROR(GETPIVOTDATA("Sum of Qty",[1]PF!$A$5,"ID Store",$C13),0)</f>
        <v>12</v>
      </c>
      <c r="M13" s="82">
        <f>IFERROR(GETPIVOTDATA("Sum of Qty",'[1]DEVICE &amp; VALUE'!$A$6,"ID Store",$C13,"Segment Price","3mio&gt;"),0)</f>
        <v>16</v>
      </c>
      <c r="N13" s="83">
        <f t="shared" si="2"/>
        <v>0.41025641025641024</v>
      </c>
      <c r="O13" s="84">
        <f>IFERROR(GETPIVOTDATA("Sum of Qty",[1]IQOO!$A$6,"ID Store",$C13),0)</f>
        <v>1</v>
      </c>
      <c r="P13" s="83">
        <f t="shared" si="3"/>
        <v>2.564102564102564E-2</v>
      </c>
      <c r="Q13" s="83">
        <f t="shared" si="4"/>
        <v>0.41025641025641024</v>
      </c>
      <c r="R13" s="85">
        <f>IFERROR(GETPIVOTDATA("Sum of SRP",'[1]DEVICE &amp; VALUE'!$A$6,"ID Store",$C13),0)</f>
        <v>134461000</v>
      </c>
      <c r="S13" s="83">
        <f t="shared" si="5"/>
        <v>0.31269999999999998</v>
      </c>
      <c r="T13" s="86">
        <f t="shared" si="6"/>
        <v>-295539000</v>
      </c>
      <c r="U13" s="87">
        <f t="shared" si="7"/>
        <v>106.36363636363636</v>
      </c>
      <c r="V13" s="88">
        <f t="shared" si="8"/>
        <v>1.0636363636363635</v>
      </c>
      <c r="W13" s="89">
        <f t="shared" si="9"/>
        <v>6.3636363636363598</v>
      </c>
      <c r="X13" s="89">
        <f t="shared" si="10"/>
        <v>43.63636363636364</v>
      </c>
      <c r="Y13" s="89">
        <f t="shared" si="11"/>
        <v>-56.36363636363636</v>
      </c>
      <c r="Z13" s="90">
        <f t="shared" si="12"/>
        <v>366711818.18181819</v>
      </c>
      <c r="AA13" s="90">
        <f t="shared" si="13"/>
        <v>-63288181.818181813</v>
      </c>
      <c r="AB13" s="91">
        <f t="shared" si="14"/>
        <v>0.85281818181818181</v>
      </c>
      <c r="AC13" s="92">
        <f t="shared" si="15"/>
        <v>3.2105263157894739</v>
      </c>
      <c r="AD13" s="93">
        <f t="shared" si="16"/>
        <v>15554684.210526315</v>
      </c>
      <c r="AE13" s="78">
        <f>IFERROR(GETPIVOTDATA("Sum of Qty",'[1]DATA LAST MONTH IQOO'!$A$6,"ID Store",$C13),0)</f>
        <v>8</v>
      </c>
      <c r="AF13" s="94">
        <f>IFERROR(GETPIVOTDATA("Sum of Qty",[1]IQOO!$A$6,"ID Store",$C13),0)</f>
        <v>1</v>
      </c>
      <c r="AG13" s="81">
        <f t="shared" si="17"/>
        <v>-7</v>
      </c>
      <c r="AH13" s="95">
        <f t="shared" si="18"/>
        <v>-0.875</v>
      </c>
      <c r="AI13" s="96">
        <f>IFERROR(GETPIVOTDATA("Sum of Qty",'[1]DATA LAST MONTH DEVICE'!$A$6,"ID Store",$C13),0)</f>
        <v>39</v>
      </c>
      <c r="AJ13" s="97">
        <f t="shared" si="19"/>
        <v>39</v>
      </c>
      <c r="AK13" s="81">
        <f t="shared" si="20"/>
        <v>0</v>
      </c>
      <c r="AL13" s="83">
        <f t="shared" si="21"/>
        <v>0</v>
      </c>
      <c r="AM13" s="82">
        <f>IFERROR(GETPIVOTDATA("Sum of Qty",'[1]Store 3mio+ last month'!$A$6,"ID Store",$C13),0)</f>
        <v>108</v>
      </c>
      <c r="AN13" s="81">
        <f t="shared" si="22"/>
        <v>106.36363636363636</v>
      </c>
      <c r="AO13" s="81">
        <f t="shared" si="23"/>
        <v>-1.6363636363636402</v>
      </c>
      <c r="AP13" s="83">
        <f t="shared" si="24"/>
        <v>-1.5151515151515187E-2</v>
      </c>
      <c r="AQ13" s="82">
        <f>IFERROR(GETPIVOTDATA("Sum of Qty",'[1]DATA LAST MONTH DEVICE'!$A$6,"ID Store",$C13,"Segment Price","3mio&gt;"),0)</f>
        <v>20</v>
      </c>
      <c r="AR13" s="84">
        <f t="shared" si="25"/>
        <v>16</v>
      </c>
      <c r="AS13" s="84">
        <f t="shared" si="26"/>
        <v>-4</v>
      </c>
      <c r="AT13" s="83">
        <f t="shared" si="27"/>
        <v>-0.2</v>
      </c>
      <c r="AU13" s="98">
        <f>IFERROR(GETPIVOTDATA("Sum of SRP",'[1]DATA LAST MONTH DEVICE'!$A$6,"ID Store",$C13),0)</f>
        <v>162161000</v>
      </c>
      <c r="AV13" s="98">
        <f t="shared" si="28"/>
        <v>134461000</v>
      </c>
      <c r="AW13" s="98">
        <f t="shared" si="29"/>
        <v>-27700000</v>
      </c>
      <c r="AX13" s="83">
        <f t="shared" si="30"/>
        <v>-0.17081789086155116</v>
      </c>
      <c r="AY13" s="98">
        <f>IFERROR(VLOOKUP(C13,'[1]DATA SALES LAST MONTH'!A:E,5,0),0)</f>
        <v>4157974.358974359</v>
      </c>
      <c r="AZ13" s="85">
        <f t="shared" si="31"/>
        <v>3447717.948717949</v>
      </c>
      <c r="BA13" s="85">
        <f t="shared" si="32"/>
        <v>-710256.41025641002</v>
      </c>
      <c r="BB13" s="95">
        <f t="shared" si="33"/>
        <v>-0.17081789086155111</v>
      </c>
      <c r="BC13" s="78">
        <f>IFERROR(VLOOKUP(C13,'[1]TARGET THIS MONTH'!C:U,15,0),0)</f>
        <v>10</v>
      </c>
      <c r="BD13" s="99">
        <f>IFERROR(GETPIVOTDATA("Sum of Qty",[1]ACC!$A$5,"ID Store",$C13),0)</f>
        <v>5</v>
      </c>
      <c r="BE13" s="83">
        <f t="shared" si="34"/>
        <v>0.5</v>
      </c>
      <c r="BF13" s="100">
        <f>IFERROR(VLOOKUP(C13,'[1]TARGET THIS MONTH'!C:U,16,0),0)</f>
        <v>2150000</v>
      </c>
      <c r="BG13" s="100">
        <f>IFERROR(GETPIVOTDATA("Sum of SRP",'[1]Insurance by Store'!$A$5,"ID Store",$C13,"Product Type","Qoala"),0)</f>
        <v>1464000</v>
      </c>
      <c r="BH13" s="83">
        <f t="shared" si="35"/>
        <v>0.68093023255813956</v>
      </c>
      <c r="BI13" s="100">
        <f>IFERROR(VLOOKUP(C13,'[1]TARGET THIS MONTH'!C:U,17,0),0)</f>
        <v>430000</v>
      </c>
      <c r="BJ13" s="100">
        <f>IFERROR(GETPIVOTDATA("Sum of SRP",'[1]Insurance by Store'!$A$5,"ID Store",$C13,"Product Type","Vivo Care"),0)</f>
        <v>0</v>
      </c>
      <c r="BK13" s="83">
        <f t="shared" si="36"/>
        <v>0</v>
      </c>
      <c r="BL13" s="81">
        <f>IFERROR(VLOOKUP(C13,'[1]TARGET THIS MONTH'!C:U,18,0),0)</f>
        <v>3</v>
      </c>
      <c r="BM13" s="82">
        <f>IFERROR(GETPIVOTDATA("Sum of Qty",'[1]Operator by Store'!$A$5,"ID Store",$C13,"Product Type","Indosat"),0)</f>
        <v>0</v>
      </c>
      <c r="BN13" s="83">
        <f t="shared" si="37"/>
        <v>0</v>
      </c>
      <c r="BO13" s="81">
        <f>VLOOKUP(C13,'[1]TARGET THIS MONTH'!C:U,19,0)</f>
        <v>30</v>
      </c>
      <c r="BP13" s="82">
        <f>IFERROR(GETPIVOTDATA("Sum of Qty",'[1]Operator by Store'!$A$5,"ID Store",$C13,"Product Type","Telkomsel"),0)</f>
        <v>0</v>
      </c>
      <c r="BQ13" s="101">
        <f t="shared" si="38"/>
        <v>0</v>
      </c>
    </row>
    <row r="14" spans="1:69" x14ac:dyDescent="0.2">
      <c r="A14" s="72">
        <v>10</v>
      </c>
      <c r="B14" s="73" t="s">
        <v>40</v>
      </c>
      <c r="C14" s="74">
        <v>6020704</v>
      </c>
      <c r="D14" s="75" t="s">
        <v>56</v>
      </c>
      <c r="E14" s="102" t="s">
        <v>55</v>
      </c>
      <c r="F14" s="77">
        <v>3</v>
      </c>
      <c r="G14" s="78">
        <f>IFERROR(VLOOKUP(C14,'[1]TARGET THIS MONTH'!C:E,3,0),0)</f>
        <v>60</v>
      </c>
      <c r="H14" s="79">
        <f>IFERROR(VLOOKUP(C14,'[1]TARGET THIS MONTH'!C:M,11,0),0)</f>
        <v>258000000</v>
      </c>
      <c r="I14" s="78">
        <f>IFERROR(GETPIVOTDATA("Sum of Qty",'[1]DEVICE &amp; VALUE'!$A$6,"ID Store",$C14),0)</f>
        <v>18</v>
      </c>
      <c r="J14" s="80">
        <f t="shared" si="0"/>
        <v>0.3</v>
      </c>
      <c r="K14" s="81">
        <f t="shared" si="1"/>
        <v>-42</v>
      </c>
      <c r="L14" s="82">
        <f>IFERROR(GETPIVOTDATA("Sum of Qty",[1]PF!$A$5,"ID Store",$C14),0)</f>
        <v>6</v>
      </c>
      <c r="M14" s="82">
        <f>IFERROR(GETPIVOTDATA("Sum of Qty",'[1]DEVICE &amp; VALUE'!$A$6,"ID Store",$C14,"Segment Price","3mio&gt;"),0)</f>
        <v>10</v>
      </c>
      <c r="N14" s="83">
        <f t="shared" si="2"/>
        <v>0.55555555555555558</v>
      </c>
      <c r="O14" s="84">
        <f>IFERROR(GETPIVOTDATA("Sum of Qty",[1]IQOO!$A$6,"ID Store",$C14),0)</f>
        <v>1</v>
      </c>
      <c r="P14" s="83">
        <f t="shared" si="3"/>
        <v>5.5555555555555552E-2</v>
      </c>
      <c r="Q14" s="83">
        <f t="shared" si="4"/>
        <v>0.55555555555555558</v>
      </c>
      <c r="R14" s="85">
        <f>IFERROR(GETPIVOTDATA("Sum of SRP",'[1]DEVICE &amp; VALUE'!$A$6,"ID Store",$C14),0)</f>
        <v>71082000</v>
      </c>
      <c r="S14" s="83">
        <f t="shared" si="5"/>
        <v>0.27551162790697675</v>
      </c>
      <c r="T14" s="86">
        <f t="shared" si="6"/>
        <v>-186918000</v>
      </c>
      <c r="U14" s="87">
        <f t="shared" si="7"/>
        <v>49.090909090909093</v>
      </c>
      <c r="V14" s="88">
        <f t="shared" si="8"/>
        <v>0.81818181818181823</v>
      </c>
      <c r="W14" s="89">
        <f t="shared" si="9"/>
        <v>-10.909090909090907</v>
      </c>
      <c r="X14" s="89">
        <f t="shared" si="10"/>
        <v>27.272727272727273</v>
      </c>
      <c r="Y14" s="89">
        <f t="shared" si="11"/>
        <v>-32.727272727272727</v>
      </c>
      <c r="Z14" s="90">
        <f t="shared" si="12"/>
        <v>193860000</v>
      </c>
      <c r="AA14" s="90">
        <f t="shared" si="13"/>
        <v>-64140000</v>
      </c>
      <c r="AB14" s="91">
        <f t="shared" si="14"/>
        <v>0.75139534883720926</v>
      </c>
      <c r="AC14" s="92">
        <f t="shared" si="15"/>
        <v>2.2105263157894739</v>
      </c>
      <c r="AD14" s="93">
        <f t="shared" si="16"/>
        <v>9837789.4736842103</v>
      </c>
      <c r="AE14" s="78">
        <f>IFERROR(GETPIVOTDATA("Sum of Qty",'[1]DATA LAST MONTH IQOO'!$A$6,"ID Store",$C14),0)</f>
        <v>2</v>
      </c>
      <c r="AF14" s="94">
        <f>IFERROR(GETPIVOTDATA("Sum of Qty",[1]IQOO!$A$6,"ID Store",$C14),0)</f>
        <v>1</v>
      </c>
      <c r="AG14" s="81">
        <f t="shared" si="17"/>
        <v>-1</v>
      </c>
      <c r="AH14" s="95">
        <f t="shared" si="18"/>
        <v>-0.5</v>
      </c>
      <c r="AI14" s="96">
        <f>IFERROR(GETPIVOTDATA("Sum of Qty",'[1]DATA LAST MONTH DEVICE'!$A$6,"ID Store",$C14),0)</f>
        <v>26</v>
      </c>
      <c r="AJ14" s="97">
        <f t="shared" si="19"/>
        <v>18</v>
      </c>
      <c r="AK14" s="81">
        <f t="shared" si="20"/>
        <v>-8</v>
      </c>
      <c r="AL14" s="83">
        <f t="shared" si="21"/>
        <v>-0.30769230769230771</v>
      </c>
      <c r="AM14" s="82">
        <f>IFERROR(GETPIVOTDATA("Sum of Qty",'[1]Store 3mio+ last month'!$A$6,"ID Store",$C14),0)</f>
        <v>54</v>
      </c>
      <c r="AN14" s="81">
        <f t="shared" si="22"/>
        <v>49.090909090909093</v>
      </c>
      <c r="AO14" s="81">
        <f t="shared" si="23"/>
        <v>-4.9090909090909065</v>
      </c>
      <c r="AP14" s="83">
        <f t="shared" si="24"/>
        <v>-9.0909090909090856E-2</v>
      </c>
      <c r="AQ14" s="82">
        <f>IFERROR(GETPIVOTDATA("Sum of Qty",'[1]DATA LAST MONTH DEVICE'!$A$6,"ID Store",$C14,"Segment Price","3mio&gt;"),0)</f>
        <v>10</v>
      </c>
      <c r="AR14" s="84">
        <f t="shared" si="25"/>
        <v>10</v>
      </c>
      <c r="AS14" s="84">
        <f t="shared" si="26"/>
        <v>0</v>
      </c>
      <c r="AT14" s="83">
        <f t="shared" si="27"/>
        <v>0</v>
      </c>
      <c r="AU14" s="98">
        <f>IFERROR(GETPIVOTDATA("Sum of SRP",'[1]DATA LAST MONTH DEVICE'!$A$6,"ID Store",$C14),0)</f>
        <v>89474000</v>
      </c>
      <c r="AV14" s="98">
        <f t="shared" si="28"/>
        <v>71082000</v>
      </c>
      <c r="AW14" s="98">
        <f t="shared" si="29"/>
        <v>-18392000</v>
      </c>
      <c r="AX14" s="83">
        <f t="shared" si="30"/>
        <v>-0.20555692156380626</v>
      </c>
      <c r="AY14" s="98">
        <f>IFERROR(VLOOKUP(C14,'[1]DATA SALES LAST MONTH'!A:E,5,0),0)</f>
        <v>3441307.6923076925</v>
      </c>
      <c r="AZ14" s="85">
        <f t="shared" si="31"/>
        <v>3949000</v>
      </c>
      <c r="BA14" s="85">
        <f t="shared" si="32"/>
        <v>507692.30769230751</v>
      </c>
      <c r="BB14" s="95">
        <f t="shared" si="33"/>
        <v>0.14752889107450204</v>
      </c>
      <c r="BC14" s="78">
        <f>IFERROR(VLOOKUP(C14,'[1]TARGET THIS MONTH'!C:U,15,0),0)</f>
        <v>6</v>
      </c>
      <c r="BD14" s="99">
        <f>IFERROR(GETPIVOTDATA("Sum of Qty",[1]ACC!$A$5,"ID Store",$C14),0)</f>
        <v>1</v>
      </c>
      <c r="BE14" s="83">
        <f t="shared" si="34"/>
        <v>0.16666666666666666</v>
      </c>
      <c r="BF14" s="100">
        <f>IFERROR(VLOOKUP(C14,'[1]TARGET THIS MONTH'!C:U,16,0),0)</f>
        <v>1290000</v>
      </c>
      <c r="BG14" s="100">
        <f>IFERROR(GETPIVOTDATA("Sum of SRP",'[1]Insurance by Store'!$A$5,"ID Store",$C14,"Product Type","Qoala"),0)</f>
        <v>249000</v>
      </c>
      <c r="BH14" s="83">
        <f t="shared" si="35"/>
        <v>0.19302325581395349</v>
      </c>
      <c r="BI14" s="100">
        <f>IFERROR(VLOOKUP(C14,'[1]TARGET THIS MONTH'!C:U,17,0),0)</f>
        <v>258000</v>
      </c>
      <c r="BJ14" s="100">
        <f>IFERROR(GETPIVOTDATA("Sum of SRP",'[1]Insurance by Store'!$A$5,"ID Store",$C14,"Product Type","Vivo Care"),0)</f>
        <v>0</v>
      </c>
      <c r="BK14" s="83">
        <f t="shared" si="36"/>
        <v>0</v>
      </c>
      <c r="BL14" s="81">
        <f>IFERROR(VLOOKUP(C14,'[1]TARGET THIS MONTH'!C:U,18,0),0)</f>
        <v>1.7999999999999998</v>
      </c>
      <c r="BM14" s="82">
        <f>IFERROR(GETPIVOTDATA("Sum of Qty",'[1]Operator by Store'!$A$5,"ID Store",$C14,"Product Type","Indosat"),0)</f>
        <v>0</v>
      </c>
      <c r="BN14" s="83">
        <f t="shared" si="37"/>
        <v>0</v>
      </c>
      <c r="BO14" s="81">
        <f>VLOOKUP(C14,'[1]TARGET THIS MONTH'!C:U,19,0)</f>
        <v>18</v>
      </c>
      <c r="BP14" s="82">
        <f>IFERROR(GETPIVOTDATA("Sum of Qty",'[1]Operator by Store'!$A$5,"ID Store",$C14,"Product Type","Telkomsel"),0)</f>
        <v>0</v>
      </c>
      <c r="BQ14" s="101">
        <f t="shared" si="38"/>
        <v>0</v>
      </c>
    </row>
    <row r="15" spans="1:69" x14ac:dyDescent="0.2">
      <c r="A15" s="72">
        <v>11</v>
      </c>
      <c r="B15" s="73" t="s">
        <v>57</v>
      </c>
      <c r="C15" s="74">
        <v>6040701</v>
      </c>
      <c r="D15" s="75" t="s">
        <v>58</v>
      </c>
      <c r="E15" s="102" t="s">
        <v>59</v>
      </c>
      <c r="F15" s="77">
        <v>3</v>
      </c>
      <c r="G15" s="78">
        <f>IFERROR(VLOOKUP(C15,'[1]TARGET THIS MONTH'!C:E,3,0),0)</f>
        <v>50</v>
      </c>
      <c r="H15" s="79">
        <f>IFERROR(VLOOKUP(C15,'[1]TARGET THIS MONTH'!C:M,11,0),0)</f>
        <v>215000000</v>
      </c>
      <c r="I15" s="78">
        <f>IFERROR(GETPIVOTDATA("Sum of Qty",'[1]DEVICE &amp; VALUE'!$A$6,"ID Store",$C15),0)</f>
        <v>26</v>
      </c>
      <c r="J15" s="80">
        <f t="shared" si="0"/>
        <v>0.52</v>
      </c>
      <c r="K15" s="81">
        <f t="shared" si="1"/>
        <v>-24</v>
      </c>
      <c r="L15" s="82">
        <f>IFERROR(GETPIVOTDATA("Sum of Qty",[1]PF!$A$5,"ID Store",$C15),0)</f>
        <v>9</v>
      </c>
      <c r="M15" s="82">
        <f>IFERROR(GETPIVOTDATA("Sum of Qty",'[1]DEVICE &amp; VALUE'!$A$6,"ID Store",$C15,"Segment Price","3mio&gt;"),0)</f>
        <v>13</v>
      </c>
      <c r="N15" s="83">
        <f t="shared" si="2"/>
        <v>0.5</v>
      </c>
      <c r="O15" s="84">
        <f>IFERROR(GETPIVOTDATA("Sum of Qty",[1]IQOO!$A$6,"ID Store",$C15),0)</f>
        <v>1</v>
      </c>
      <c r="P15" s="83">
        <f t="shared" si="3"/>
        <v>3.8461538461538464E-2</v>
      </c>
      <c r="Q15" s="83">
        <f t="shared" si="4"/>
        <v>0.5</v>
      </c>
      <c r="R15" s="85">
        <f>IFERROR(GETPIVOTDATA("Sum of SRP",'[1]DEVICE &amp; VALUE'!$A$6,"ID Store",$C15),0)</f>
        <v>104174000</v>
      </c>
      <c r="S15" s="83">
        <f t="shared" si="5"/>
        <v>0.48453023255813954</v>
      </c>
      <c r="T15" s="86">
        <f t="shared" si="6"/>
        <v>-110826000</v>
      </c>
      <c r="U15" s="87">
        <f t="shared" si="7"/>
        <v>70.909090909090907</v>
      </c>
      <c r="V15" s="88">
        <f t="shared" si="8"/>
        <v>1.4181818181818182</v>
      </c>
      <c r="W15" s="89">
        <f t="shared" si="9"/>
        <v>20.909090909090907</v>
      </c>
      <c r="X15" s="89">
        <f t="shared" si="10"/>
        <v>35.454545454545453</v>
      </c>
      <c r="Y15" s="89">
        <f t="shared" si="11"/>
        <v>-14.545454545454547</v>
      </c>
      <c r="Z15" s="90">
        <f t="shared" si="12"/>
        <v>284110909.09090912</v>
      </c>
      <c r="AA15" s="90">
        <f t="shared" si="13"/>
        <v>69110909.090909123</v>
      </c>
      <c r="AB15" s="91">
        <f t="shared" si="14"/>
        <v>1.3214460887949262</v>
      </c>
      <c r="AC15" s="92">
        <f t="shared" si="15"/>
        <v>1.263157894736842</v>
      </c>
      <c r="AD15" s="93">
        <f t="shared" si="16"/>
        <v>5832947.3684210526</v>
      </c>
      <c r="AE15" s="78">
        <f>IFERROR(GETPIVOTDATA("Sum of Qty",'[1]DATA LAST MONTH IQOO'!$A$6,"ID Store",$C15),0)</f>
        <v>6</v>
      </c>
      <c r="AF15" s="94">
        <f>IFERROR(GETPIVOTDATA("Sum of Qty",[1]IQOO!$A$6,"ID Store",$C15),0)</f>
        <v>1</v>
      </c>
      <c r="AG15" s="81">
        <f t="shared" si="17"/>
        <v>-5</v>
      </c>
      <c r="AH15" s="95">
        <f t="shared" si="18"/>
        <v>-0.83333333333333337</v>
      </c>
      <c r="AI15" s="96">
        <f>IFERROR(GETPIVOTDATA("Sum of Qty",'[1]DATA LAST MONTH DEVICE'!$A$6,"ID Store",$C15),0)</f>
        <v>27</v>
      </c>
      <c r="AJ15" s="97">
        <f t="shared" si="19"/>
        <v>26</v>
      </c>
      <c r="AK15" s="81">
        <f t="shared" si="20"/>
        <v>-1</v>
      </c>
      <c r="AL15" s="83">
        <f t="shared" si="21"/>
        <v>-3.7037037037037035E-2</v>
      </c>
      <c r="AM15" s="82">
        <f>IFERROR(GETPIVOTDATA("Sum of Qty",'[1]Store 3mio+ last month'!$A$6,"ID Store",$C15),0)</f>
        <v>56</v>
      </c>
      <c r="AN15" s="81">
        <f t="shared" si="22"/>
        <v>70.909090909090907</v>
      </c>
      <c r="AO15" s="81">
        <f t="shared" si="23"/>
        <v>14.909090909090907</v>
      </c>
      <c r="AP15" s="83">
        <f t="shared" si="24"/>
        <v>0.26623376623376621</v>
      </c>
      <c r="AQ15" s="82">
        <f>IFERROR(GETPIVOTDATA("Sum of Qty",'[1]DATA LAST MONTH DEVICE'!$A$6,"ID Store",$C15,"Segment Price","3mio&gt;"),0)</f>
        <v>15</v>
      </c>
      <c r="AR15" s="84">
        <f t="shared" si="25"/>
        <v>13</v>
      </c>
      <c r="AS15" s="84">
        <f t="shared" si="26"/>
        <v>-2</v>
      </c>
      <c r="AT15" s="83">
        <f t="shared" si="27"/>
        <v>-0.13333333333333333</v>
      </c>
      <c r="AU15" s="98">
        <f>IFERROR(GETPIVOTDATA("Sum of SRP",'[1]DATA LAST MONTH DEVICE'!$A$6,"ID Store",$C15),0)</f>
        <v>134673000</v>
      </c>
      <c r="AV15" s="98">
        <f t="shared" si="28"/>
        <v>104174000</v>
      </c>
      <c r="AW15" s="98">
        <f t="shared" si="29"/>
        <v>-30499000</v>
      </c>
      <c r="AX15" s="83">
        <f t="shared" si="30"/>
        <v>-0.22646707209314412</v>
      </c>
      <c r="AY15" s="98">
        <f>IFERROR(VLOOKUP(C15,'[1]DATA SALES LAST MONTH'!A:E,5,0),0)</f>
        <v>4987888.888888889</v>
      </c>
      <c r="AZ15" s="85">
        <f t="shared" si="31"/>
        <v>4006692.3076923084</v>
      </c>
      <c r="BA15" s="85">
        <f t="shared" si="32"/>
        <v>-981196.58119658055</v>
      </c>
      <c r="BB15" s="95">
        <f t="shared" si="33"/>
        <v>-0.19671580563518801</v>
      </c>
      <c r="BC15" s="78">
        <f>IFERROR(VLOOKUP(C15,'[1]TARGET THIS MONTH'!C:U,15,0),0)</f>
        <v>5</v>
      </c>
      <c r="BD15" s="99">
        <f>IFERROR(GETPIVOTDATA("Sum of Qty",[1]ACC!$A$5,"ID Store",$C15),0)</f>
        <v>0</v>
      </c>
      <c r="BE15" s="83">
        <f t="shared" si="34"/>
        <v>0</v>
      </c>
      <c r="BF15" s="100">
        <f>IFERROR(VLOOKUP(C15,'[1]TARGET THIS MONTH'!C:U,16,0),0)</f>
        <v>1075000</v>
      </c>
      <c r="BG15" s="100">
        <f>IFERROR(GETPIVOTDATA("Sum of SRP",'[1]Insurance by Store'!$A$5,"ID Store",$C15,"Product Type","Qoala"),0)</f>
        <v>318000</v>
      </c>
      <c r="BH15" s="83">
        <f t="shared" si="35"/>
        <v>0.29581395348837208</v>
      </c>
      <c r="BI15" s="100">
        <f>IFERROR(VLOOKUP(C15,'[1]TARGET THIS MONTH'!C:U,17,0),0)</f>
        <v>215000</v>
      </c>
      <c r="BJ15" s="100">
        <f>IFERROR(GETPIVOTDATA("Sum of SRP",'[1]Insurance by Store'!$A$5,"ID Store",$C15,"Product Type","Vivo Care"),0)</f>
        <v>0</v>
      </c>
      <c r="BK15" s="83">
        <f t="shared" si="36"/>
        <v>0</v>
      </c>
      <c r="BL15" s="81">
        <f>IFERROR(VLOOKUP(C15,'[1]TARGET THIS MONTH'!C:U,18,0),0)</f>
        <v>1.5</v>
      </c>
      <c r="BM15" s="82">
        <f>IFERROR(GETPIVOTDATA("Sum of Qty",'[1]Operator by Store'!$A$5,"ID Store",$C15,"Product Type","Indosat"),0)</f>
        <v>0</v>
      </c>
      <c r="BN15" s="83">
        <f t="shared" si="37"/>
        <v>0</v>
      </c>
      <c r="BO15" s="81">
        <f>VLOOKUP(C15,'[1]TARGET THIS MONTH'!C:U,19,0)</f>
        <v>15</v>
      </c>
      <c r="BP15" s="82">
        <f>IFERROR(GETPIVOTDATA("Sum of Qty",'[1]Operator by Store'!$A$5,"ID Store",$C15,"Product Type","Telkomsel"),0)</f>
        <v>0</v>
      </c>
      <c r="BQ15" s="101">
        <f t="shared" si="38"/>
        <v>0</v>
      </c>
    </row>
    <row r="16" spans="1:69" x14ac:dyDescent="0.2">
      <c r="A16" s="72">
        <v>12</v>
      </c>
      <c r="B16" s="73" t="s">
        <v>57</v>
      </c>
      <c r="C16" s="74">
        <v>6080712</v>
      </c>
      <c r="D16" s="75" t="s">
        <v>60</v>
      </c>
      <c r="E16" s="102" t="s">
        <v>59</v>
      </c>
      <c r="F16" s="77">
        <v>3</v>
      </c>
      <c r="G16" s="78">
        <f>IFERROR(VLOOKUP(C16,'[1]TARGET THIS MONTH'!C:E,3,0),0)</f>
        <v>60</v>
      </c>
      <c r="H16" s="79">
        <f>IFERROR(VLOOKUP(C16,'[1]TARGET THIS MONTH'!C:M,11,0),0)</f>
        <v>258000000</v>
      </c>
      <c r="I16" s="78">
        <f>IFERROR(GETPIVOTDATA("Sum of Qty",'[1]DEVICE &amp; VALUE'!$A$6,"ID Store",$C16),0)</f>
        <v>19</v>
      </c>
      <c r="J16" s="80">
        <f t="shared" si="0"/>
        <v>0.31666666666666665</v>
      </c>
      <c r="K16" s="81">
        <f t="shared" si="1"/>
        <v>-41</v>
      </c>
      <c r="L16" s="82">
        <f>IFERROR(GETPIVOTDATA("Sum of Qty",[1]PF!$A$5,"ID Store",$C16),0)</f>
        <v>5</v>
      </c>
      <c r="M16" s="82">
        <f>IFERROR(GETPIVOTDATA("Sum of Qty",'[1]DEVICE &amp; VALUE'!$A$6,"ID Store",$C16,"Segment Price","3mio&gt;"),0)</f>
        <v>11</v>
      </c>
      <c r="N16" s="83">
        <f t="shared" si="2"/>
        <v>0.57894736842105265</v>
      </c>
      <c r="O16" s="84">
        <f>IFERROR(GETPIVOTDATA("Sum of Qty",[1]IQOO!$A$6,"ID Store",$C16),0)</f>
        <v>1</v>
      </c>
      <c r="P16" s="83">
        <f t="shared" si="3"/>
        <v>5.2631578947368418E-2</v>
      </c>
      <c r="Q16" s="83">
        <f t="shared" si="4"/>
        <v>0.57894736842105265</v>
      </c>
      <c r="R16" s="85">
        <f>IFERROR(GETPIVOTDATA("Sum of SRP",'[1]DEVICE &amp; VALUE'!$A$6,"ID Store",$C16),0)</f>
        <v>94881000</v>
      </c>
      <c r="S16" s="83">
        <f t="shared" si="5"/>
        <v>0.36775581395348839</v>
      </c>
      <c r="T16" s="86">
        <f t="shared" si="6"/>
        <v>-163119000</v>
      </c>
      <c r="U16" s="87">
        <f t="shared" si="7"/>
        <v>51.81818181818182</v>
      </c>
      <c r="V16" s="88">
        <f t="shared" si="8"/>
        <v>0.86363636363636365</v>
      </c>
      <c r="W16" s="89">
        <f t="shared" si="9"/>
        <v>-8.1818181818181799</v>
      </c>
      <c r="X16" s="89">
        <f t="shared" si="10"/>
        <v>30</v>
      </c>
      <c r="Y16" s="89">
        <f t="shared" si="11"/>
        <v>-30</v>
      </c>
      <c r="Z16" s="90">
        <f t="shared" si="12"/>
        <v>258766363.63636366</v>
      </c>
      <c r="AA16" s="90">
        <f t="shared" si="13"/>
        <v>766363.63636365533</v>
      </c>
      <c r="AB16" s="91">
        <f t="shared" si="14"/>
        <v>1.0029704016913319</v>
      </c>
      <c r="AC16" s="92">
        <f t="shared" si="15"/>
        <v>2.1578947368421053</v>
      </c>
      <c r="AD16" s="93">
        <f t="shared" si="16"/>
        <v>8585210.5263157897</v>
      </c>
      <c r="AE16" s="78">
        <f>IFERROR(GETPIVOTDATA("Sum of Qty",'[1]DATA LAST MONTH IQOO'!$A$6,"ID Store",$C16),0)</f>
        <v>4</v>
      </c>
      <c r="AF16" s="94">
        <f>IFERROR(GETPIVOTDATA("Sum of Qty",[1]IQOO!$A$6,"ID Store",$C16),0)</f>
        <v>1</v>
      </c>
      <c r="AG16" s="81">
        <f t="shared" si="17"/>
        <v>-3</v>
      </c>
      <c r="AH16" s="95">
        <f t="shared" si="18"/>
        <v>-0.75</v>
      </c>
      <c r="AI16" s="96">
        <f>IFERROR(GETPIVOTDATA("Sum of Qty",'[1]DATA LAST MONTH DEVICE'!$A$6,"ID Store",$C16),0)</f>
        <v>23</v>
      </c>
      <c r="AJ16" s="97">
        <f t="shared" si="19"/>
        <v>19</v>
      </c>
      <c r="AK16" s="81">
        <f t="shared" si="20"/>
        <v>-4</v>
      </c>
      <c r="AL16" s="83">
        <f t="shared" si="21"/>
        <v>-0.17391304347826086</v>
      </c>
      <c r="AM16" s="82">
        <f>IFERROR(GETPIVOTDATA("Sum of Qty",'[1]Store 3mio+ last month'!$A$6,"ID Store",$C16),0)</f>
        <v>65</v>
      </c>
      <c r="AN16" s="81">
        <f t="shared" si="22"/>
        <v>51.81818181818182</v>
      </c>
      <c r="AO16" s="81">
        <f t="shared" si="23"/>
        <v>-13.18181818181818</v>
      </c>
      <c r="AP16" s="83">
        <f t="shared" si="24"/>
        <v>-0.20279720279720276</v>
      </c>
      <c r="AQ16" s="82">
        <f>IFERROR(GETPIVOTDATA("Sum of Qty",'[1]DATA LAST MONTH DEVICE'!$A$6,"ID Store",$C16,"Segment Price","3mio&gt;"),0)</f>
        <v>17</v>
      </c>
      <c r="AR16" s="84">
        <f t="shared" si="25"/>
        <v>11</v>
      </c>
      <c r="AS16" s="84">
        <f t="shared" si="26"/>
        <v>-6</v>
      </c>
      <c r="AT16" s="83">
        <f t="shared" si="27"/>
        <v>-0.35294117647058826</v>
      </c>
      <c r="AU16" s="98">
        <f>IFERROR(GETPIVOTDATA("Sum of SRP",'[1]DATA LAST MONTH DEVICE'!$A$6,"ID Store",$C16),0)</f>
        <v>186677000</v>
      </c>
      <c r="AV16" s="98">
        <f t="shared" si="28"/>
        <v>94881000</v>
      </c>
      <c r="AW16" s="98">
        <f t="shared" si="29"/>
        <v>-91796000</v>
      </c>
      <c r="AX16" s="83">
        <f t="shared" si="30"/>
        <v>-0.49173706455535499</v>
      </c>
      <c r="AY16" s="98">
        <f>IFERROR(VLOOKUP(C16,'[1]DATA SALES LAST MONTH'!A:E,5,0),0)</f>
        <v>8116391.3043478262</v>
      </c>
      <c r="AZ16" s="85">
        <f t="shared" si="31"/>
        <v>4993736.8421052629</v>
      </c>
      <c r="BA16" s="85">
        <f t="shared" si="32"/>
        <v>-3122654.4622425633</v>
      </c>
      <c r="BB16" s="95">
        <f t="shared" si="33"/>
        <v>-0.38473434130385081</v>
      </c>
      <c r="BC16" s="78">
        <f>IFERROR(VLOOKUP(C16,'[1]TARGET THIS MONTH'!C:U,15,0),0)</f>
        <v>6</v>
      </c>
      <c r="BD16" s="99">
        <f>IFERROR(GETPIVOTDATA("Sum of Qty",[1]ACC!$A$5,"ID Store",$C16),0)</f>
        <v>2</v>
      </c>
      <c r="BE16" s="83">
        <f t="shared" si="34"/>
        <v>0.33333333333333331</v>
      </c>
      <c r="BF16" s="100">
        <f>IFERROR(VLOOKUP(C16,'[1]TARGET THIS MONTH'!C:U,16,0),0)</f>
        <v>1290000</v>
      </c>
      <c r="BG16" s="100">
        <f>IFERROR(GETPIVOTDATA("Sum of SRP",'[1]Insurance by Store'!$A$5,"ID Store",$C16,"Product Type","Qoala"),0)</f>
        <v>408000</v>
      </c>
      <c r="BH16" s="83">
        <f t="shared" si="35"/>
        <v>0.31627906976744186</v>
      </c>
      <c r="BI16" s="100">
        <f>IFERROR(VLOOKUP(C16,'[1]TARGET THIS MONTH'!C:U,17,0),0)</f>
        <v>258000</v>
      </c>
      <c r="BJ16" s="100">
        <f>IFERROR(GETPIVOTDATA("Sum of SRP",'[1]Insurance by Store'!$A$5,"ID Store",$C16,"Product Type","Vivo Care"),0)</f>
        <v>0</v>
      </c>
      <c r="BK16" s="83">
        <f t="shared" si="36"/>
        <v>0</v>
      </c>
      <c r="BL16" s="81">
        <f>IFERROR(VLOOKUP(C16,'[1]TARGET THIS MONTH'!C:U,18,0),0)</f>
        <v>1.7999999999999998</v>
      </c>
      <c r="BM16" s="82">
        <f>IFERROR(GETPIVOTDATA("Sum of Qty",'[1]Operator by Store'!$A$5,"ID Store",$C16,"Product Type","Indosat"),0)</f>
        <v>2</v>
      </c>
      <c r="BN16" s="83">
        <f t="shared" si="37"/>
        <v>1.1111111111111112</v>
      </c>
      <c r="BO16" s="81">
        <f>VLOOKUP(C16,'[1]TARGET THIS MONTH'!C:U,19,0)</f>
        <v>18</v>
      </c>
      <c r="BP16" s="82">
        <f>IFERROR(GETPIVOTDATA("Sum of Qty",'[1]Operator by Store'!$A$5,"ID Store",$C16,"Product Type","Telkomsel"),0)</f>
        <v>0</v>
      </c>
      <c r="BQ16" s="101">
        <f t="shared" si="38"/>
        <v>0</v>
      </c>
    </row>
    <row r="17" spans="1:69" x14ac:dyDescent="0.2">
      <c r="A17" s="72">
        <v>13</v>
      </c>
      <c r="B17" s="73" t="s">
        <v>57</v>
      </c>
      <c r="C17" s="74">
        <v>6040702</v>
      </c>
      <c r="D17" s="75" t="s">
        <v>61</v>
      </c>
      <c r="E17" s="102" t="s">
        <v>59</v>
      </c>
      <c r="F17" s="77">
        <v>2</v>
      </c>
      <c r="G17" s="78">
        <f>IFERROR(VLOOKUP(C17,'[1]TARGET THIS MONTH'!C:E,3,0),0)</f>
        <v>30</v>
      </c>
      <c r="H17" s="79">
        <f>IFERROR(VLOOKUP(C17,'[1]TARGET THIS MONTH'!C:M,11,0),0)</f>
        <v>210000000</v>
      </c>
      <c r="I17" s="78">
        <f>IFERROR(GETPIVOTDATA("Sum of Qty",'[1]DEVICE &amp; VALUE'!$A$6,"ID Store",$C17),0)</f>
        <v>12</v>
      </c>
      <c r="J17" s="80">
        <f t="shared" si="0"/>
        <v>0.4</v>
      </c>
      <c r="K17" s="81">
        <f t="shared" si="1"/>
        <v>-18</v>
      </c>
      <c r="L17" s="82">
        <f>IFERROR(GETPIVOTDATA("Sum of Qty",[1]PF!$A$5,"ID Store",$C17),0)</f>
        <v>3</v>
      </c>
      <c r="M17" s="82">
        <f>IFERROR(GETPIVOTDATA("Sum of Qty",'[1]DEVICE &amp; VALUE'!$A$6,"ID Store",$C17,"Segment Price","3mio&gt;"),0)</f>
        <v>7</v>
      </c>
      <c r="N17" s="83">
        <f t="shared" si="2"/>
        <v>0.58333333333333337</v>
      </c>
      <c r="O17" s="84">
        <f>IFERROR(GETPIVOTDATA("Sum of Qty",[1]IQOO!$A$6,"ID Store",$C17),0)</f>
        <v>2</v>
      </c>
      <c r="P17" s="83">
        <f t="shared" si="3"/>
        <v>0.16666666666666666</v>
      </c>
      <c r="Q17" s="83">
        <f t="shared" si="4"/>
        <v>0.58333333333333337</v>
      </c>
      <c r="R17" s="85">
        <f>IFERROR(GETPIVOTDATA("Sum of SRP",'[1]DEVICE &amp; VALUE'!$A$6,"ID Store",$C17),0)</f>
        <v>58188000</v>
      </c>
      <c r="S17" s="83">
        <f t="shared" si="5"/>
        <v>0.27708571428571427</v>
      </c>
      <c r="T17" s="86">
        <f t="shared" si="6"/>
        <v>-151812000</v>
      </c>
      <c r="U17" s="87">
        <f t="shared" si="7"/>
        <v>32.727272727272727</v>
      </c>
      <c r="V17" s="88">
        <f t="shared" si="8"/>
        <v>1.0909090909090908</v>
      </c>
      <c r="W17" s="89">
        <f t="shared" si="9"/>
        <v>2.7272727272727266</v>
      </c>
      <c r="X17" s="89">
        <f t="shared" si="10"/>
        <v>19.09090909090909</v>
      </c>
      <c r="Y17" s="89">
        <f t="shared" si="11"/>
        <v>-10.90909090909091</v>
      </c>
      <c r="Z17" s="90">
        <f t="shared" si="12"/>
        <v>158694545.45454544</v>
      </c>
      <c r="AA17" s="90">
        <f t="shared" si="13"/>
        <v>-51305454.545454562</v>
      </c>
      <c r="AB17" s="91">
        <f t="shared" si="14"/>
        <v>0.75568831168831163</v>
      </c>
      <c r="AC17" s="92">
        <f t="shared" si="15"/>
        <v>0.94736842105263153</v>
      </c>
      <c r="AD17" s="93">
        <f t="shared" si="16"/>
        <v>7990105.2631578948</v>
      </c>
      <c r="AE17" s="78">
        <f>IFERROR(GETPIVOTDATA("Sum of Qty",'[1]DATA LAST MONTH IQOO'!$A$6,"ID Store",$C17),0)</f>
        <v>4</v>
      </c>
      <c r="AF17" s="94">
        <f>IFERROR(GETPIVOTDATA("Sum of Qty",[1]IQOO!$A$6,"ID Store",$C17),0)</f>
        <v>2</v>
      </c>
      <c r="AG17" s="81">
        <f t="shared" si="17"/>
        <v>-2</v>
      </c>
      <c r="AH17" s="95">
        <f t="shared" si="18"/>
        <v>-0.5</v>
      </c>
      <c r="AI17" s="96">
        <f>IFERROR(GETPIVOTDATA("Sum of Qty",'[1]DATA LAST MONTH DEVICE'!$A$6,"ID Store",$C17),0)</f>
        <v>13</v>
      </c>
      <c r="AJ17" s="97">
        <f t="shared" si="19"/>
        <v>12</v>
      </c>
      <c r="AK17" s="81">
        <f t="shared" si="20"/>
        <v>-1</v>
      </c>
      <c r="AL17" s="83">
        <f t="shared" si="21"/>
        <v>-7.6923076923076927E-2</v>
      </c>
      <c r="AM17" s="82">
        <f>IFERROR(GETPIVOTDATA("Sum of Qty",'[1]Store 3mio+ last month'!$A$6,"ID Store",$C17),0)</f>
        <v>28</v>
      </c>
      <c r="AN17" s="81">
        <f t="shared" si="22"/>
        <v>32.727272727272727</v>
      </c>
      <c r="AO17" s="81">
        <f t="shared" si="23"/>
        <v>4.7272727272727266</v>
      </c>
      <c r="AP17" s="83">
        <f t="shared" si="24"/>
        <v>0.1688311688311688</v>
      </c>
      <c r="AQ17" s="82">
        <f>IFERROR(GETPIVOTDATA("Sum of Qty",'[1]DATA LAST MONTH DEVICE'!$A$6,"ID Store",$C17,"Segment Price","3mio&gt;"),0)</f>
        <v>9</v>
      </c>
      <c r="AR17" s="84">
        <f t="shared" si="25"/>
        <v>7</v>
      </c>
      <c r="AS17" s="84">
        <f t="shared" si="26"/>
        <v>-2</v>
      </c>
      <c r="AT17" s="83">
        <f t="shared" si="27"/>
        <v>-0.22222222222222221</v>
      </c>
      <c r="AU17" s="98">
        <f>IFERROR(GETPIVOTDATA("Sum of SRP",'[1]DATA LAST MONTH DEVICE'!$A$6,"ID Store",$C17),0)</f>
        <v>108287000</v>
      </c>
      <c r="AV17" s="98">
        <f t="shared" si="28"/>
        <v>58188000</v>
      </c>
      <c r="AW17" s="98">
        <f t="shared" si="29"/>
        <v>-50099000</v>
      </c>
      <c r="AX17" s="83">
        <f t="shared" si="30"/>
        <v>-0.4626501796152816</v>
      </c>
      <c r="AY17" s="98">
        <f>IFERROR(VLOOKUP(C17,'[1]DATA SALES LAST MONTH'!A:E,5,0),0)</f>
        <v>8329769.230769231</v>
      </c>
      <c r="AZ17" s="85">
        <f t="shared" si="31"/>
        <v>4849000</v>
      </c>
      <c r="BA17" s="85">
        <f t="shared" si="32"/>
        <v>-3480769.230769231</v>
      </c>
      <c r="BB17" s="95">
        <f t="shared" si="33"/>
        <v>-0.41787102791655512</v>
      </c>
      <c r="BC17" s="78">
        <f>IFERROR(VLOOKUP(C17,'[1]TARGET THIS MONTH'!C:U,15,0),0)</f>
        <v>3</v>
      </c>
      <c r="BD17" s="99">
        <f>IFERROR(GETPIVOTDATA("Sum of Qty",[1]ACC!$A$5,"ID Store",$C17),0)</f>
        <v>3</v>
      </c>
      <c r="BE17" s="83">
        <f t="shared" si="34"/>
        <v>1</v>
      </c>
      <c r="BF17" s="100">
        <f>IFERROR(VLOOKUP(C17,'[1]TARGET THIS MONTH'!C:U,16,0),0)</f>
        <v>1050000</v>
      </c>
      <c r="BG17" s="100">
        <f>IFERROR(GETPIVOTDATA("Sum of SRP",'[1]Insurance by Store'!$A$5,"ID Store",$C17,"Product Type","Qoala"),0)</f>
        <v>0</v>
      </c>
      <c r="BH17" s="83">
        <f t="shared" si="35"/>
        <v>0</v>
      </c>
      <c r="BI17" s="100">
        <f>IFERROR(VLOOKUP(C17,'[1]TARGET THIS MONTH'!C:U,17,0),0)</f>
        <v>210000</v>
      </c>
      <c r="BJ17" s="100">
        <f>IFERROR(GETPIVOTDATA("Sum of SRP",'[1]Insurance by Store'!$A$5,"ID Store",$C17,"Product Type","Vivo Care"),0)</f>
        <v>0</v>
      </c>
      <c r="BK17" s="83">
        <f t="shared" si="36"/>
        <v>0</v>
      </c>
      <c r="BL17" s="81">
        <f>IFERROR(VLOOKUP(C17,'[1]TARGET THIS MONTH'!C:U,18,0),0)</f>
        <v>0.89999999999999991</v>
      </c>
      <c r="BM17" s="82">
        <f>IFERROR(GETPIVOTDATA("Sum of Qty",'[1]Operator by Store'!$A$5,"ID Store",$C17,"Product Type","Indosat"),0)</f>
        <v>0</v>
      </c>
      <c r="BN17" s="83">
        <f t="shared" si="37"/>
        <v>0</v>
      </c>
      <c r="BO17" s="81">
        <f>VLOOKUP(C17,'[1]TARGET THIS MONTH'!C:U,19,0)</f>
        <v>9</v>
      </c>
      <c r="BP17" s="82">
        <f>IFERROR(GETPIVOTDATA("Sum of Qty",'[1]Operator by Store'!$A$5,"ID Store",$C17,"Product Type","Telkomsel"),0)</f>
        <v>0</v>
      </c>
      <c r="BQ17" s="101">
        <f t="shared" si="38"/>
        <v>0</v>
      </c>
    </row>
    <row r="18" spans="1:69" x14ac:dyDescent="0.2">
      <c r="A18" s="72">
        <v>14</v>
      </c>
      <c r="B18" s="73" t="s">
        <v>57</v>
      </c>
      <c r="C18" s="74">
        <v>6040703</v>
      </c>
      <c r="D18" s="75" t="s">
        <v>62</v>
      </c>
      <c r="E18" s="102" t="s">
        <v>59</v>
      </c>
      <c r="F18" s="77">
        <v>2</v>
      </c>
      <c r="G18" s="78">
        <f>IFERROR(VLOOKUP(C18,'[1]TARGET THIS MONTH'!C:E,3,0),0)</f>
        <v>40</v>
      </c>
      <c r="H18" s="79">
        <f>IFERROR(VLOOKUP(C18,'[1]TARGET THIS MONTH'!C:M,11,0),0)</f>
        <v>220000000</v>
      </c>
      <c r="I18" s="78">
        <f>IFERROR(GETPIVOTDATA("Sum of Qty",'[1]DEVICE &amp; VALUE'!$A$6,"ID Store",$C18),0)</f>
        <v>14</v>
      </c>
      <c r="J18" s="80">
        <f t="shared" si="0"/>
        <v>0.35</v>
      </c>
      <c r="K18" s="81">
        <f t="shared" si="1"/>
        <v>-26</v>
      </c>
      <c r="L18" s="82">
        <f>IFERROR(GETPIVOTDATA("Sum of Qty",[1]PF!$A$5,"ID Store",$C18),0)</f>
        <v>2</v>
      </c>
      <c r="M18" s="82">
        <f>IFERROR(GETPIVOTDATA("Sum of Qty",'[1]DEVICE &amp; VALUE'!$A$6,"ID Store",$C18,"Segment Price","3mio&gt;"),0)</f>
        <v>7</v>
      </c>
      <c r="N18" s="83">
        <f t="shared" si="2"/>
        <v>0.5</v>
      </c>
      <c r="O18" s="84">
        <f>IFERROR(GETPIVOTDATA("Sum of Qty",[1]IQOO!$A$6,"ID Store",$C18),0)</f>
        <v>2</v>
      </c>
      <c r="P18" s="83">
        <f t="shared" si="3"/>
        <v>0.14285714285714285</v>
      </c>
      <c r="Q18" s="83">
        <f t="shared" si="4"/>
        <v>0.5</v>
      </c>
      <c r="R18" s="85">
        <f>IFERROR(GETPIVOTDATA("Sum of SRP",'[1]DEVICE &amp; VALUE'!$A$6,"ID Store",$C18),0)</f>
        <v>79386000</v>
      </c>
      <c r="S18" s="83">
        <f t="shared" si="5"/>
        <v>0.36084545454545452</v>
      </c>
      <c r="T18" s="86">
        <f t="shared" si="6"/>
        <v>-140614000</v>
      </c>
      <c r="U18" s="87">
        <f t="shared" si="7"/>
        <v>38.18181818181818</v>
      </c>
      <c r="V18" s="88">
        <f t="shared" si="8"/>
        <v>0.95454545454545447</v>
      </c>
      <c r="W18" s="89">
        <f t="shared" si="9"/>
        <v>-1.8181818181818201</v>
      </c>
      <c r="X18" s="89">
        <f t="shared" si="10"/>
        <v>19.09090909090909</v>
      </c>
      <c r="Y18" s="89">
        <f t="shared" si="11"/>
        <v>-20.90909090909091</v>
      </c>
      <c r="Z18" s="90">
        <f t="shared" si="12"/>
        <v>216507272.72727272</v>
      </c>
      <c r="AA18" s="90">
        <f t="shared" si="13"/>
        <v>-3492727.2727272809</v>
      </c>
      <c r="AB18" s="91">
        <f t="shared" si="14"/>
        <v>0.98412396694214876</v>
      </c>
      <c r="AC18" s="92">
        <f t="shared" si="15"/>
        <v>1.368421052631579</v>
      </c>
      <c r="AD18" s="93">
        <f t="shared" si="16"/>
        <v>7400736.8421052629</v>
      </c>
      <c r="AE18" s="78">
        <f>IFERROR(GETPIVOTDATA("Sum of Qty",'[1]DATA LAST MONTH IQOO'!$A$6,"ID Store",$C18),0)</f>
        <v>5</v>
      </c>
      <c r="AF18" s="94">
        <f>IFERROR(GETPIVOTDATA("Sum of Qty",[1]IQOO!$A$6,"ID Store",$C18),0)</f>
        <v>2</v>
      </c>
      <c r="AG18" s="81">
        <f t="shared" si="17"/>
        <v>-3</v>
      </c>
      <c r="AH18" s="95">
        <f t="shared" si="18"/>
        <v>-0.6</v>
      </c>
      <c r="AI18" s="96">
        <f>IFERROR(GETPIVOTDATA("Sum of Qty",'[1]DATA LAST MONTH DEVICE'!$A$6,"ID Store",$C18),0)</f>
        <v>24</v>
      </c>
      <c r="AJ18" s="97">
        <f t="shared" si="19"/>
        <v>14</v>
      </c>
      <c r="AK18" s="81">
        <f t="shared" si="20"/>
        <v>-10</v>
      </c>
      <c r="AL18" s="83">
        <f t="shared" si="21"/>
        <v>-0.41666666666666669</v>
      </c>
      <c r="AM18" s="82">
        <f>IFERROR(GETPIVOTDATA("Sum of Qty",'[1]Store 3mio+ last month'!$A$6,"ID Store",$C18),0)</f>
        <v>44</v>
      </c>
      <c r="AN18" s="81">
        <f t="shared" si="22"/>
        <v>38.18181818181818</v>
      </c>
      <c r="AO18" s="81">
        <f t="shared" si="23"/>
        <v>-5.8181818181818201</v>
      </c>
      <c r="AP18" s="83">
        <f t="shared" si="24"/>
        <v>-0.13223140495867772</v>
      </c>
      <c r="AQ18" s="82">
        <f>IFERROR(GETPIVOTDATA("Sum of Qty",'[1]DATA LAST MONTH DEVICE'!$A$6,"ID Store",$C18,"Segment Price","3mio&gt;"),0)</f>
        <v>17</v>
      </c>
      <c r="AR18" s="84">
        <f t="shared" si="25"/>
        <v>7</v>
      </c>
      <c r="AS18" s="84">
        <f t="shared" si="26"/>
        <v>-10</v>
      </c>
      <c r="AT18" s="83">
        <f t="shared" si="27"/>
        <v>-0.58823529411764708</v>
      </c>
      <c r="AU18" s="98">
        <f>IFERROR(GETPIVOTDATA("Sum of SRP",'[1]DATA LAST MONTH DEVICE'!$A$6,"ID Store",$C18),0)</f>
        <v>156376000</v>
      </c>
      <c r="AV18" s="98">
        <f t="shared" si="28"/>
        <v>79386000</v>
      </c>
      <c r="AW18" s="98">
        <f t="shared" si="29"/>
        <v>-76990000</v>
      </c>
      <c r="AX18" s="83">
        <f t="shared" si="30"/>
        <v>-0.49233897784826314</v>
      </c>
      <c r="AY18" s="98">
        <f>IFERROR(VLOOKUP(C18,'[1]DATA SALES LAST MONTH'!A:E,5,0),0)</f>
        <v>6515666.666666667</v>
      </c>
      <c r="AZ18" s="85">
        <f t="shared" si="31"/>
        <v>5670428.5714285718</v>
      </c>
      <c r="BA18" s="85">
        <f t="shared" si="32"/>
        <v>-845238.09523809515</v>
      </c>
      <c r="BB18" s="95">
        <f t="shared" si="33"/>
        <v>-0.12972396202559397</v>
      </c>
      <c r="BC18" s="78">
        <f>IFERROR(VLOOKUP(C18,'[1]TARGET THIS MONTH'!C:U,15,0),0)</f>
        <v>4</v>
      </c>
      <c r="BD18" s="99">
        <f>IFERROR(GETPIVOTDATA("Sum of Qty",[1]ACC!$A$5,"ID Store",$C18),0)</f>
        <v>3</v>
      </c>
      <c r="BE18" s="83">
        <f t="shared" si="34"/>
        <v>0.75</v>
      </c>
      <c r="BF18" s="100">
        <f>IFERROR(VLOOKUP(C18,'[1]TARGET THIS MONTH'!C:U,16,0),0)</f>
        <v>1100000</v>
      </c>
      <c r="BG18" s="100">
        <f>IFERROR(GETPIVOTDATA("Sum of SRP",'[1]Insurance by Store'!$A$5,"ID Store",$C18,"Product Type","Qoala"),0)</f>
        <v>817000</v>
      </c>
      <c r="BH18" s="83">
        <f t="shared" si="35"/>
        <v>0.74272727272727268</v>
      </c>
      <c r="BI18" s="100">
        <f>IFERROR(VLOOKUP(C18,'[1]TARGET THIS MONTH'!C:U,17,0),0)</f>
        <v>220000</v>
      </c>
      <c r="BJ18" s="100">
        <f>IFERROR(GETPIVOTDATA("Sum of SRP",'[1]Insurance by Store'!$A$5,"ID Store",$C18,"Product Type","Vivo Care"),0)</f>
        <v>0</v>
      </c>
      <c r="BK18" s="83">
        <f t="shared" si="36"/>
        <v>0</v>
      </c>
      <c r="BL18" s="81">
        <f>IFERROR(VLOOKUP(C18,'[1]TARGET THIS MONTH'!C:U,18,0),0)</f>
        <v>1.2</v>
      </c>
      <c r="BM18" s="82">
        <f>IFERROR(GETPIVOTDATA("Sum of Qty",'[1]Operator by Store'!$A$5,"ID Store",$C18,"Product Type","Indosat"),0)</f>
        <v>0</v>
      </c>
      <c r="BN18" s="83">
        <f t="shared" si="37"/>
        <v>0</v>
      </c>
      <c r="BO18" s="81">
        <f>VLOOKUP(C18,'[1]TARGET THIS MONTH'!C:U,19,0)</f>
        <v>12</v>
      </c>
      <c r="BP18" s="82">
        <f>IFERROR(GETPIVOTDATA("Sum of Qty",'[1]Operator by Store'!$A$5,"ID Store",$C18,"Product Type","Telkomsel"),0)</f>
        <v>0</v>
      </c>
      <c r="BQ18" s="101">
        <f t="shared" si="38"/>
        <v>0</v>
      </c>
    </row>
    <row r="19" spans="1:69" x14ac:dyDescent="0.2">
      <c r="A19" s="72">
        <v>15</v>
      </c>
      <c r="B19" s="73" t="s">
        <v>63</v>
      </c>
      <c r="C19" s="74">
        <v>6050701</v>
      </c>
      <c r="D19" s="75" t="s">
        <v>64</v>
      </c>
      <c r="E19" s="102" t="s">
        <v>65</v>
      </c>
      <c r="F19" s="77">
        <v>2</v>
      </c>
      <c r="G19" s="78">
        <f>IFERROR(VLOOKUP(C19,'[1]TARGET THIS MONTH'!C:E,3,0),0)</f>
        <v>60</v>
      </c>
      <c r="H19" s="79">
        <f>IFERROR(VLOOKUP(C19,'[1]TARGET THIS MONTH'!C:M,11,0),0)</f>
        <v>330000000</v>
      </c>
      <c r="I19" s="78">
        <f>IFERROR(GETPIVOTDATA("Sum of Qty",'[1]DEVICE &amp; VALUE'!$A$6,"ID Store",$C19),0)</f>
        <v>18</v>
      </c>
      <c r="J19" s="80">
        <f t="shared" si="0"/>
        <v>0.3</v>
      </c>
      <c r="K19" s="81">
        <f t="shared" si="1"/>
        <v>-42</v>
      </c>
      <c r="L19" s="82">
        <f>IFERROR(GETPIVOTDATA("Sum of Qty",[1]PF!$A$5,"ID Store",$C19),0)</f>
        <v>2</v>
      </c>
      <c r="M19" s="82">
        <f>IFERROR(GETPIVOTDATA("Sum of Qty",'[1]DEVICE &amp; VALUE'!$A$6,"ID Store",$C19,"Segment Price","3mio&gt;"),0)</f>
        <v>11</v>
      </c>
      <c r="N19" s="83">
        <f t="shared" si="2"/>
        <v>0.61111111111111116</v>
      </c>
      <c r="O19" s="84">
        <f>IFERROR(GETPIVOTDATA("Sum of Qty",[1]IQOO!$A$6,"ID Store",$C19),0)</f>
        <v>4</v>
      </c>
      <c r="P19" s="83">
        <f t="shared" si="3"/>
        <v>0.22222222222222221</v>
      </c>
      <c r="Q19" s="83">
        <f t="shared" si="4"/>
        <v>0.61111111111111116</v>
      </c>
      <c r="R19" s="85">
        <f>IFERROR(GETPIVOTDATA("Sum of SRP",'[1]DEVICE &amp; VALUE'!$A$6,"ID Store",$C19),0)</f>
        <v>92182000</v>
      </c>
      <c r="S19" s="83">
        <f t="shared" si="5"/>
        <v>0.27933939393939394</v>
      </c>
      <c r="T19" s="86">
        <f t="shared" si="6"/>
        <v>-237818000</v>
      </c>
      <c r="U19" s="87">
        <f t="shared" si="7"/>
        <v>49.090909090909093</v>
      </c>
      <c r="V19" s="88">
        <f t="shared" si="8"/>
        <v>0.81818181818181823</v>
      </c>
      <c r="W19" s="89">
        <f t="shared" si="9"/>
        <v>-10.909090909090907</v>
      </c>
      <c r="X19" s="89">
        <f t="shared" si="10"/>
        <v>30</v>
      </c>
      <c r="Y19" s="89">
        <f t="shared" si="11"/>
        <v>-30</v>
      </c>
      <c r="Z19" s="90">
        <f t="shared" si="12"/>
        <v>251405454.54545456</v>
      </c>
      <c r="AA19" s="90">
        <f t="shared" si="13"/>
        <v>-78594545.454545438</v>
      </c>
      <c r="AB19" s="91">
        <f t="shared" si="14"/>
        <v>0.76183471074380171</v>
      </c>
      <c r="AC19" s="92">
        <f t="shared" si="15"/>
        <v>2.2105263157894739</v>
      </c>
      <c r="AD19" s="93">
        <f t="shared" si="16"/>
        <v>12516736.842105264</v>
      </c>
      <c r="AE19" s="78">
        <f>IFERROR(GETPIVOTDATA("Sum of Qty",'[1]DATA LAST MONTH IQOO'!$A$6,"ID Store",$C19),0)</f>
        <v>6</v>
      </c>
      <c r="AF19" s="94">
        <f>IFERROR(GETPIVOTDATA("Sum of Qty",[1]IQOO!$A$6,"ID Store",$C19),0)</f>
        <v>4</v>
      </c>
      <c r="AG19" s="81">
        <f t="shared" si="17"/>
        <v>-2</v>
      </c>
      <c r="AH19" s="95">
        <f t="shared" si="18"/>
        <v>-0.33333333333333331</v>
      </c>
      <c r="AI19" s="96">
        <f>IFERROR(GETPIVOTDATA("Sum of Qty",'[1]DATA LAST MONTH DEVICE'!$A$6,"ID Store",$C19),0)</f>
        <v>21</v>
      </c>
      <c r="AJ19" s="97">
        <f t="shared" si="19"/>
        <v>18</v>
      </c>
      <c r="AK19" s="81">
        <f t="shared" si="20"/>
        <v>-3</v>
      </c>
      <c r="AL19" s="83">
        <f t="shared" si="21"/>
        <v>-0.14285714285714285</v>
      </c>
      <c r="AM19" s="82">
        <f>IFERROR(GETPIVOTDATA("Sum of Qty",'[1]Store 3mio+ last month'!$A$6,"ID Store",$C19),0)</f>
        <v>54</v>
      </c>
      <c r="AN19" s="81">
        <f t="shared" si="22"/>
        <v>49.090909090909093</v>
      </c>
      <c r="AO19" s="81">
        <f t="shared" si="23"/>
        <v>-4.9090909090909065</v>
      </c>
      <c r="AP19" s="83">
        <f t="shared" si="24"/>
        <v>-9.0909090909090856E-2</v>
      </c>
      <c r="AQ19" s="82">
        <f>IFERROR(GETPIVOTDATA("Sum of Qty",'[1]DATA LAST MONTH DEVICE'!$A$6,"ID Store",$C19,"Segment Price","3mio&gt;"),0)</f>
        <v>17</v>
      </c>
      <c r="AR19" s="84">
        <f t="shared" si="25"/>
        <v>11</v>
      </c>
      <c r="AS19" s="84">
        <f t="shared" si="26"/>
        <v>-6</v>
      </c>
      <c r="AT19" s="83">
        <f t="shared" si="27"/>
        <v>-0.35294117647058826</v>
      </c>
      <c r="AU19" s="98">
        <f>IFERROR(GETPIVOTDATA("Sum of SRP",'[1]DATA LAST MONTH DEVICE'!$A$6,"ID Store",$C19),0)</f>
        <v>132079000</v>
      </c>
      <c r="AV19" s="98">
        <f t="shared" si="28"/>
        <v>92182000</v>
      </c>
      <c r="AW19" s="98">
        <f t="shared" si="29"/>
        <v>-39897000</v>
      </c>
      <c r="AX19" s="83">
        <f t="shared" si="30"/>
        <v>-0.30206921615093996</v>
      </c>
      <c r="AY19" s="98">
        <f>IFERROR(VLOOKUP(C19,'[1]DATA SALES LAST MONTH'!A:E,5,0),0)</f>
        <v>6289476.1904761903</v>
      </c>
      <c r="AZ19" s="85">
        <f t="shared" si="31"/>
        <v>5121222.222222222</v>
      </c>
      <c r="BA19" s="85">
        <f t="shared" si="32"/>
        <v>-1168253.9682539683</v>
      </c>
      <c r="BB19" s="95">
        <f t="shared" si="33"/>
        <v>-0.1857474188427633</v>
      </c>
      <c r="BC19" s="78">
        <f>IFERROR(VLOOKUP(C19,'[1]TARGET THIS MONTH'!C:U,15,0),0)</f>
        <v>6</v>
      </c>
      <c r="BD19" s="99">
        <f>IFERROR(GETPIVOTDATA("Sum of Qty",[1]ACC!$A$5,"ID Store",$C19),0)</f>
        <v>3</v>
      </c>
      <c r="BE19" s="83">
        <f t="shared" si="34"/>
        <v>0.5</v>
      </c>
      <c r="BF19" s="100">
        <f>IFERROR(VLOOKUP(C19,'[1]TARGET THIS MONTH'!C:U,16,0),0)</f>
        <v>1650000</v>
      </c>
      <c r="BG19" s="100">
        <f>IFERROR(GETPIVOTDATA("Sum of SRP",'[1]Insurance by Store'!$A$5,"ID Store",$C19,"Product Type","Qoala"),0)</f>
        <v>329000</v>
      </c>
      <c r="BH19" s="83">
        <f t="shared" si="35"/>
        <v>0.1993939393939394</v>
      </c>
      <c r="BI19" s="100">
        <f>IFERROR(VLOOKUP(C19,'[1]TARGET THIS MONTH'!C:U,17,0),0)</f>
        <v>330000</v>
      </c>
      <c r="BJ19" s="100">
        <f>IFERROR(GETPIVOTDATA("Sum of SRP",'[1]Insurance by Store'!$A$5,"ID Store",$C19,"Product Type","Vivo Care"),0)</f>
        <v>0</v>
      </c>
      <c r="BK19" s="83">
        <f t="shared" si="36"/>
        <v>0</v>
      </c>
      <c r="BL19" s="81">
        <f>IFERROR(VLOOKUP(C19,'[1]TARGET THIS MONTH'!C:U,18,0),0)</f>
        <v>1.7999999999999998</v>
      </c>
      <c r="BM19" s="82">
        <f>IFERROR(GETPIVOTDATA("Sum of Qty",'[1]Operator by Store'!$A$5,"ID Store",$C19,"Product Type","Indosat"),0)</f>
        <v>0</v>
      </c>
      <c r="BN19" s="83">
        <f t="shared" si="37"/>
        <v>0</v>
      </c>
      <c r="BO19" s="81">
        <f>VLOOKUP(C19,'[1]TARGET THIS MONTH'!C:U,19,0)</f>
        <v>18</v>
      </c>
      <c r="BP19" s="82">
        <f>IFERROR(GETPIVOTDATA("Sum of Qty",'[1]Operator by Store'!$A$5,"ID Store",$C19,"Product Type","Telkomsel"),0)</f>
        <v>0</v>
      </c>
      <c r="BQ19" s="101">
        <f t="shared" si="38"/>
        <v>0</v>
      </c>
    </row>
    <row r="20" spans="1:69" x14ac:dyDescent="0.2">
      <c r="A20" s="72">
        <v>16</v>
      </c>
      <c r="B20" s="73" t="s">
        <v>63</v>
      </c>
      <c r="C20" s="74">
        <v>6220701</v>
      </c>
      <c r="D20" s="75" t="s">
        <v>66</v>
      </c>
      <c r="E20" s="102" t="s">
        <v>65</v>
      </c>
      <c r="F20" s="77">
        <v>2</v>
      </c>
      <c r="G20" s="78">
        <f>IFERROR(VLOOKUP(C20,'[1]TARGET THIS MONTH'!C:E,3,0),0)</f>
        <v>80</v>
      </c>
      <c r="H20" s="79">
        <f>IFERROR(VLOOKUP(C20,'[1]TARGET THIS MONTH'!C:M,11,0),0)</f>
        <v>90000000</v>
      </c>
      <c r="I20" s="78">
        <f>IFERROR(GETPIVOTDATA("Sum of Qty",'[1]DEVICE &amp; VALUE'!$A$6,"ID Store",$C20),0)</f>
        <v>18</v>
      </c>
      <c r="J20" s="80">
        <f t="shared" si="0"/>
        <v>0.22500000000000001</v>
      </c>
      <c r="K20" s="81">
        <f t="shared" si="1"/>
        <v>-62</v>
      </c>
      <c r="L20" s="82">
        <f>IFERROR(GETPIVOTDATA("Sum of Qty",[1]PF!$A$5,"ID Store",$C20),0)</f>
        <v>5</v>
      </c>
      <c r="M20" s="82">
        <f>IFERROR(GETPIVOTDATA("Sum of Qty",'[1]DEVICE &amp; VALUE'!$A$6,"ID Store",$C20,"Segment Price","3mio&gt;"),0)</f>
        <v>7</v>
      </c>
      <c r="N20" s="83">
        <f t="shared" si="2"/>
        <v>0.3888888888888889</v>
      </c>
      <c r="O20" s="84">
        <f>IFERROR(GETPIVOTDATA("Sum of Qty",[1]IQOO!$A$6,"ID Store",$C20),0)</f>
        <v>1</v>
      </c>
      <c r="P20" s="83">
        <f t="shared" si="3"/>
        <v>5.5555555555555552E-2</v>
      </c>
      <c r="Q20" s="83">
        <f t="shared" si="4"/>
        <v>0.3888888888888889</v>
      </c>
      <c r="R20" s="85">
        <f>IFERROR(GETPIVOTDATA("Sum of SRP",'[1]DEVICE &amp; VALUE'!$A$6,"ID Store",$C20),0)</f>
        <v>62682000</v>
      </c>
      <c r="S20" s="83">
        <f t="shared" si="5"/>
        <v>0.69646666666666668</v>
      </c>
      <c r="T20" s="86">
        <f t="shared" si="6"/>
        <v>-27318000</v>
      </c>
      <c r="U20" s="87">
        <f t="shared" si="7"/>
        <v>49.090909090909093</v>
      </c>
      <c r="V20" s="88">
        <f t="shared" si="8"/>
        <v>0.61363636363636365</v>
      </c>
      <c r="W20" s="89">
        <f t="shared" si="9"/>
        <v>-30.909090909090907</v>
      </c>
      <c r="X20" s="89">
        <f t="shared" si="10"/>
        <v>19.09090909090909</v>
      </c>
      <c r="Y20" s="89">
        <f t="shared" si="11"/>
        <v>-60.909090909090907</v>
      </c>
      <c r="Z20" s="90">
        <f t="shared" si="12"/>
        <v>170950909.09090909</v>
      </c>
      <c r="AA20" s="90">
        <f t="shared" si="13"/>
        <v>80950909.090909094</v>
      </c>
      <c r="AB20" s="91">
        <f t="shared" si="14"/>
        <v>1.8994545454545455</v>
      </c>
      <c r="AC20" s="92">
        <f t="shared" si="15"/>
        <v>3.263157894736842</v>
      </c>
      <c r="AD20" s="93">
        <f t="shared" si="16"/>
        <v>1437789.4736842106</v>
      </c>
      <c r="AE20" s="78">
        <f>IFERROR(GETPIVOTDATA("Sum of Qty",'[1]DATA LAST MONTH IQOO'!$A$6,"ID Store",$C20),0)</f>
        <v>5</v>
      </c>
      <c r="AF20" s="94">
        <f>IFERROR(GETPIVOTDATA("Sum of Qty",[1]IQOO!$A$6,"ID Store",$C20),0)</f>
        <v>1</v>
      </c>
      <c r="AG20" s="81">
        <f t="shared" si="17"/>
        <v>-4</v>
      </c>
      <c r="AH20" s="95">
        <f t="shared" si="18"/>
        <v>-0.8</v>
      </c>
      <c r="AI20" s="96">
        <f>IFERROR(GETPIVOTDATA("Sum of Qty",'[1]DATA LAST MONTH DEVICE'!$A$6,"ID Store",$C20),0)</f>
        <v>24</v>
      </c>
      <c r="AJ20" s="97">
        <f t="shared" si="19"/>
        <v>18</v>
      </c>
      <c r="AK20" s="81">
        <f t="shared" si="20"/>
        <v>-6</v>
      </c>
      <c r="AL20" s="83">
        <f t="shared" si="21"/>
        <v>-0.25</v>
      </c>
      <c r="AM20" s="82">
        <f>IFERROR(GETPIVOTDATA("Sum of Qty",'[1]Store 3mio+ last month'!$A$6,"ID Store",$C20),0)</f>
        <v>64</v>
      </c>
      <c r="AN20" s="81">
        <f t="shared" si="22"/>
        <v>49.090909090909093</v>
      </c>
      <c r="AO20" s="81">
        <f t="shared" si="23"/>
        <v>-14.909090909090907</v>
      </c>
      <c r="AP20" s="83">
        <f t="shared" si="24"/>
        <v>-0.23295454545454541</v>
      </c>
      <c r="AQ20" s="82">
        <f>IFERROR(GETPIVOTDATA("Sum of Qty",'[1]DATA LAST MONTH DEVICE'!$A$6,"ID Store",$C20,"Segment Price","3mio&gt;"),0)</f>
        <v>19</v>
      </c>
      <c r="AR20" s="84">
        <f t="shared" si="25"/>
        <v>7</v>
      </c>
      <c r="AS20" s="84">
        <f t="shared" si="26"/>
        <v>-12</v>
      </c>
      <c r="AT20" s="83">
        <f t="shared" si="27"/>
        <v>-0.63157894736842102</v>
      </c>
      <c r="AU20" s="98">
        <f>IFERROR(GETPIVOTDATA("Sum of SRP",'[1]DATA LAST MONTH DEVICE'!$A$6,"ID Store",$C20),0)</f>
        <v>181076000</v>
      </c>
      <c r="AV20" s="98">
        <f t="shared" si="28"/>
        <v>62682000</v>
      </c>
      <c r="AW20" s="98">
        <f t="shared" si="29"/>
        <v>-118394000</v>
      </c>
      <c r="AX20" s="83">
        <f t="shared" si="30"/>
        <v>-0.65383595838211583</v>
      </c>
      <c r="AY20" s="98">
        <f>IFERROR(VLOOKUP(C20,'[1]DATA SALES LAST MONTH'!A:E,5,0),0)</f>
        <v>7544833.333333333</v>
      </c>
      <c r="AZ20" s="85">
        <f t="shared" si="31"/>
        <v>3482333.333333333</v>
      </c>
      <c r="BA20" s="85">
        <f t="shared" si="32"/>
        <v>-4062500</v>
      </c>
      <c r="BB20" s="95">
        <f t="shared" si="33"/>
        <v>-0.53844794450948774</v>
      </c>
      <c r="BC20" s="78">
        <f>IFERROR(VLOOKUP(C20,'[1]TARGET THIS MONTH'!C:U,15,0),0)</f>
        <v>2</v>
      </c>
      <c r="BD20" s="99">
        <f>IFERROR(GETPIVOTDATA("Sum of Qty",[1]ACC!$A$5,"ID Store",$C20),0)</f>
        <v>6</v>
      </c>
      <c r="BE20" s="83">
        <f t="shared" si="34"/>
        <v>3</v>
      </c>
      <c r="BF20" s="100">
        <f>IFERROR(VLOOKUP(C20,'[1]TARGET THIS MONTH'!C:U,16,0),0)</f>
        <v>450000</v>
      </c>
      <c r="BG20" s="100">
        <f>IFERROR(GETPIVOTDATA("Sum of SRP",'[1]Insurance by Store'!$A$5,"ID Store",$C20,"Product Type","Qoala"),0)</f>
        <v>329000</v>
      </c>
      <c r="BH20" s="83">
        <f t="shared" si="35"/>
        <v>0.73111111111111116</v>
      </c>
      <c r="BI20" s="100">
        <f>IFERROR(VLOOKUP(C20,'[1]TARGET THIS MONTH'!C:U,17,0),0)</f>
        <v>90000</v>
      </c>
      <c r="BJ20" s="100">
        <f>IFERROR(GETPIVOTDATA("Sum of SRP",'[1]Insurance by Store'!$A$5,"ID Store",$C20,"Product Type","Vivo Care"),0)</f>
        <v>0</v>
      </c>
      <c r="BK20" s="83">
        <f t="shared" si="36"/>
        <v>0</v>
      </c>
      <c r="BL20" s="81">
        <f>IFERROR(VLOOKUP(C20,'[1]TARGET THIS MONTH'!C:U,18,0),0)</f>
        <v>0.6</v>
      </c>
      <c r="BM20" s="82">
        <f>IFERROR(GETPIVOTDATA("Sum of Qty",'[1]Operator by Store'!$A$5,"ID Store",$C20,"Product Type","Indosat"),0)</f>
        <v>0</v>
      </c>
      <c r="BN20" s="83">
        <f t="shared" si="37"/>
        <v>0</v>
      </c>
      <c r="BO20" s="81">
        <f>VLOOKUP(C20,'[1]TARGET THIS MONTH'!C:U,19,0)</f>
        <v>6</v>
      </c>
      <c r="BP20" s="82">
        <f>IFERROR(GETPIVOTDATA("Sum of Qty",'[1]Operator by Store'!$A$5,"ID Store",$C20,"Product Type","Telkomsel"),0)</f>
        <v>0</v>
      </c>
      <c r="BQ20" s="101">
        <f t="shared" si="38"/>
        <v>0</v>
      </c>
    </row>
    <row r="21" spans="1:69" x14ac:dyDescent="0.2">
      <c r="A21" s="72">
        <v>17</v>
      </c>
      <c r="B21" s="73" t="s">
        <v>63</v>
      </c>
      <c r="C21" s="74">
        <v>6050705</v>
      </c>
      <c r="D21" s="75" t="s">
        <v>67</v>
      </c>
      <c r="E21" s="102" t="s">
        <v>65</v>
      </c>
      <c r="F21" s="77">
        <v>1</v>
      </c>
      <c r="G21" s="78">
        <f>IFERROR(VLOOKUP(C21,'[1]TARGET THIS MONTH'!C:E,3,0),0)</f>
        <v>20</v>
      </c>
      <c r="H21" s="79">
        <f>IFERROR(VLOOKUP(C21,'[1]TARGET THIS MONTH'!C:M,11,0),0)</f>
        <v>440000000</v>
      </c>
      <c r="I21" s="78">
        <f>IFERROR(GETPIVOTDATA("Sum of Qty",'[1]DEVICE &amp; VALUE'!$A$6,"ID Store",$C21),0)</f>
        <v>13</v>
      </c>
      <c r="J21" s="80">
        <f t="shared" si="0"/>
        <v>0.65</v>
      </c>
      <c r="K21" s="81">
        <f t="shared" si="1"/>
        <v>-7</v>
      </c>
      <c r="L21" s="82">
        <f>IFERROR(GETPIVOTDATA("Sum of Qty",[1]PF!$A$5,"ID Store",$C21),0)</f>
        <v>6</v>
      </c>
      <c r="M21" s="82">
        <f>IFERROR(GETPIVOTDATA("Sum of Qty",'[1]DEVICE &amp; VALUE'!$A$6,"ID Store",$C21,"Segment Price","3mio&gt;"),0)</f>
        <v>9</v>
      </c>
      <c r="N21" s="83">
        <f t="shared" si="2"/>
        <v>0.69230769230769229</v>
      </c>
      <c r="O21" s="84">
        <f>IFERROR(GETPIVOTDATA("Sum of Qty",[1]IQOO!$A$6,"ID Store",$C21),0)</f>
        <v>1</v>
      </c>
      <c r="P21" s="83">
        <f t="shared" si="3"/>
        <v>7.6923076923076927E-2</v>
      </c>
      <c r="Q21" s="83">
        <f t="shared" si="4"/>
        <v>0.69230769230769229</v>
      </c>
      <c r="R21" s="85">
        <f>IFERROR(GETPIVOTDATA("Sum of SRP",'[1]DEVICE &amp; VALUE'!$A$6,"ID Store",$C21),0)</f>
        <v>62087000</v>
      </c>
      <c r="S21" s="83">
        <f t="shared" si="5"/>
        <v>0.14110681818181819</v>
      </c>
      <c r="T21" s="86">
        <f t="shared" si="6"/>
        <v>-377913000</v>
      </c>
      <c r="U21" s="87">
        <f t="shared" si="7"/>
        <v>35.454545454545453</v>
      </c>
      <c r="V21" s="88">
        <f t="shared" si="8"/>
        <v>1.7727272727272727</v>
      </c>
      <c r="W21" s="89">
        <f t="shared" si="9"/>
        <v>15.454545454545453</v>
      </c>
      <c r="X21" s="89">
        <f t="shared" si="10"/>
        <v>24.545454545454547</v>
      </c>
      <c r="Y21" s="89">
        <f t="shared" si="11"/>
        <v>4.5454545454545467</v>
      </c>
      <c r="Z21" s="90">
        <f t="shared" si="12"/>
        <v>169328181.81818181</v>
      </c>
      <c r="AA21" s="90">
        <f t="shared" si="13"/>
        <v>-270671818.18181819</v>
      </c>
      <c r="AB21" s="91">
        <f t="shared" si="14"/>
        <v>0.38483677685950413</v>
      </c>
      <c r="AC21" s="92">
        <f t="shared" si="15"/>
        <v>0.36842105263157893</v>
      </c>
      <c r="AD21" s="93">
        <f t="shared" si="16"/>
        <v>19890157.894736841</v>
      </c>
      <c r="AE21" s="78">
        <f>IFERROR(GETPIVOTDATA("Sum of Qty",'[1]DATA LAST MONTH IQOO'!$A$6,"ID Store",$C21),0)</f>
        <v>2</v>
      </c>
      <c r="AF21" s="94">
        <f>IFERROR(GETPIVOTDATA("Sum of Qty",[1]IQOO!$A$6,"ID Store",$C21),0)</f>
        <v>1</v>
      </c>
      <c r="AG21" s="81">
        <f t="shared" si="17"/>
        <v>-1</v>
      </c>
      <c r="AH21" s="95">
        <f t="shared" si="18"/>
        <v>-0.5</v>
      </c>
      <c r="AI21" s="96">
        <f>IFERROR(GETPIVOTDATA("Sum of Qty",'[1]DATA LAST MONTH DEVICE'!$A$6,"ID Store",$C21),0)</f>
        <v>19</v>
      </c>
      <c r="AJ21" s="97">
        <f t="shared" si="19"/>
        <v>13</v>
      </c>
      <c r="AK21" s="81">
        <f t="shared" si="20"/>
        <v>-6</v>
      </c>
      <c r="AL21" s="83">
        <f t="shared" si="21"/>
        <v>-0.31578947368421051</v>
      </c>
      <c r="AM21" s="82">
        <f>IFERROR(GETPIVOTDATA("Sum of Qty",'[1]Store 3mio+ last month'!$A$6,"ID Store",$C21),0)</f>
        <v>37</v>
      </c>
      <c r="AN21" s="81">
        <f t="shared" si="22"/>
        <v>35.454545454545453</v>
      </c>
      <c r="AO21" s="81">
        <f t="shared" si="23"/>
        <v>-1.5454545454545467</v>
      </c>
      <c r="AP21" s="83">
        <f t="shared" si="24"/>
        <v>-4.1769041769041802E-2</v>
      </c>
      <c r="AQ21" s="82">
        <f>IFERROR(GETPIVOTDATA("Sum of Qty",'[1]DATA LAST MONTH DEVICE'!$A$6,"ID Store",$C21,"Segment Price","3mio&gt;"),0)</f>
        <v>11</v>
      </c>
      <c r="AR21" s="84">
        <f t="shared" si="25"/>
        <v>9</v>
      </c>
      <c r="AS21" s="84">
        <f t="shared" si="26"/>
        <v>-2</v>
      </c>
      <c r="AT21" s="83">
        <f t="shared" si="27"/>
        <v>-0.18181818181818182</v>
      </c>
      <c r="AU21" s="98">
        <f>IFERROR(GETPIVOTDATA("Sum of SRP",'[1]DATA LAST MONTH DEVICE'!$A$6,"ID Store",$C21),0)</f>
        <v>92681000</v>
      </c>
      <c r="AV21" s="98">
        <f t="shared" si="28"/>
        <v>62087000</v>
      </c>
      <c r="AW21" s="98">
        <f t="shared" si="29"/>
        <v>-30594000</v>
      </c>
      <c r="AX21" s="83">
        <f t="shared" si="30"/>
        <v>-0.33010002050042619</v>
      </c>
      <c r="AY21" s="98">
        <f>IFERROR(VLOOKUP(C21,'[1]DATA SALES LAST MONTH'!A:E,5,0),0)</f>
        <v>0</v>
      </c>
      <c r="AZ21" s="85">
        <f t="shared" si="31"/>
        <v>4775923.076923077</v>
      </c>
      <c r="BA21" s="85">
        <f t="shared" si="32"/>
        <v>4775923.076923077</v>
      </c>
      <c r="BB21" s="95">
        <f t="shared" si="33"/>
        <v>0</v>
      </c>
      <c r="BC21" s="78">
        <f>IFERROR(VLOOKUP(C21,'[1]TARGET THIS MONTH'!C:U,15,0),0)</f>
        <v>8</v>
      </c>
      <c r="BD21" s="99">
        <f>IFERROR(GETPIVOTDATA("Sum of Qty",[1]ACC!$A$5,"ID Store",$C21),0)</f>
        <v>2</v>
      </c>
      <c r="BE21" s="83">
        <f t="shared" si="34"/>
        <v>0.25</v>
      </c>
      <c r="BF21" s="100">
        <f>IFERROR(VLOOKUP(C21,'[1]TARGET THIS MONTH'!C:U,16,0),0)</f>
        <v>2200000</v>
      </c>
      <c r="BG21" s="100">
        <f>IFERROR(GETPIVOTDATA("Sum of SRP",'[1]Insurance by Store'!$A$5,"ID Store",$C21,"Product Type","Qoala"),0)</f>
        <v>578000</v>
      </c>
      <c r="BH21" s="83">
        <f t="shared" si="35"/>
        <v>0.26272727272727275</v>
      </c>
      <c r="BI21" s="100">
        <f>IFERROR(VLOOKUP(C21,'[1]TARGET THIS MONTH'!C:U,17,0),0)</f>
        <v>440000</v>
      </c>
      <c r="BJ21" s="100">
        <f>IFERROR(GETPIVOTDATA("Sum of SRP",'[1]Insurance by Store'!$A$5,"ID Store",$C21,"Product Type","Vivo Care"),0)</f>
        <v>0</v>
      </c>
      <c r="BK21" s="83">
        <f t="shared" si="36"/>
        <v>0</v>
      </c>
      <c r="BL21" s="81">
        <f>IFERROR(VLOOKUP(C21,'[1]TARGET THIS MONTH'!C:U,18,0),0)</f>
        <v>2.4</v>
      </c>
      <c r="BM21" s="82">
        <f>IFERROR(GETPIVOTDATA("Sum of Qty",'[1]Operator by Store'!$A$5,"ID Store",$C21,"Product Type","Indosat"),0)</f>
        <v>0</v>
      </c>
      <c r="BN21" s="83">
        <f t="shared" si="37"/>
        <v>0</v>
      </c>
      <c r="BO21" s="81">
        <f>VLOOKUP(C21,'[1]TARGET THIS MONTH'!C:U,19,0)</f>
        <v>24</v>
      </c>
      <c r="BP21" s="82">
        <f>IFERROR(GETPIVOTDATA("Sum of Qty",'[1]Operator by Store'!$A$5,"ID Store",$C21,"Product Type","Telkomsel"),0)</f>
        <v>0</v>
      </c>
      <c r="BQ21" s="101">
        <f t="shared" si="38"/>
        <v>0</v>
      </c>
    </row>
    <row r="22" spans="1:69" x14ac:dyDescent="0.2">
      <c r="A22" s="72">
        <v>18</v>
      </c>
      <c r="B22" s="73" t="s">
        <v>63</v>
      </c>
      <c r="C22" s="74">
        <v>6050706</v>
      </c>
      <c r="D22" s="75" t="s">
        <v>68</v>
      </c>
      <c r="E22" s="102" t="s">
        <v>65</v>
      </c>
      <c r="F22" s="77">
        <v>0</v>
      </c>
      <c r="G22" s="78">
        <f>IFERROR(VLOOKUP(C22,'[1]TARGET THIS MONTH'!C:E,3,0),0)</f>
        <v>30</v>
      </c>
      <c r="H22" s="79">
        <f>IFERROR(VLOOKUP(C22,'[1]TARGET THIS MONTH'!C:M,11,0),0)</f>
        <v>165000000</v>
      </c>
      <c r="I22" s="78">
        <f>IFERROR(GETPIVOTDATA("Sum of Qty",'[1]DEVICE &amp; VALUE'!$A$6,"ID Store",$C22),0)</f>
        <v>19</v>
      </c>
      <c r="J22" s="80">
        <f t="shared" si="0"/>
        <v>0.6333333333333333</v>
      </c>
      <c r="K22" s="81">
        <f t="shared" si="1"/>
        <v>-11</v>
      </c>
      <c r="L22" s="82">
        <f>IFERROR(GETPIVOTDATA("Sum of Qty",[1]PF!$A$5,"ID Store",$C22),0)</f>
        <v>3</v>
      </c>
      <c r="M22" s="82">
        <f>IFERROR(GETPIVOTDATA("Sum of Qty",'[1]DEVICE &amp; VALUE'!$A$6,"ID Store",$C22,"Segment Price","3mio&gt;"),0)</f>
        <v>5</v>
      </c>
      <c r="N22" s="83">
        <f t="shared" si="2"/>
        <v>0.26315789473684209</v>
      </c>
      <c r="O22" s="84">
        <f>IFERROR(GETPIVOTDATA("Sum of Qty",[1]IQOO!$A$6,"ID Store",$C22),0)</f>
        <v>1</v>
      </c>
      <c r="P22" s="83">
        <f t="shared" si="3"/>
        <v>5.2631578947368418E-2</v>
      </c>
      <c r="Q22" s="83">
        <f t="shared" si="4"/>
        <v>0.26315789473684209</v>
      </c>
      <c r="R22" s="85">
        <f>IFERROR(GETPIVOTDATA("Sum of SRP",'[1]DEVICE &amp; VALUE'!$A$6,"ID Store",$C22),0)</f>
        <v>66481000</v>
      </c>
      <c r="S22" s="83">
        <f t="shared" si="5"/>
        <v>0.4029151515151515</v>
      </c>
      <c r="T22" s="86">
        <f t="shared" si="6"/>
        <v>-98519000</v>
      </c>
      <c r="U22" s="87">
        <f t="shared" si="7"/>
        <v>51.81818181818182</v>
      </c>
      <c r="V22" s="88">
        <f t="shared" si="8"/>
        <v>1.7272727272727273</v>
      </c>
      <c r="W22" s="89">
        <f t="shared" si="9"/>
        <v>21.81818181818182</v>
      </c>
      <c r="X22" s="89">
        <f t="shared" si="10"/>
        <v>13.636363636363637</v>
      </c>
      <c r="Y22" s="89">
        <f t="shared" si="11"/>
        <v>-16.363636363636363</v>
      </c>
      <c r="Z22" s="90">
        <f t="shared" si="12"/>
        <v>181311818.18181819</v>
      </c>
      <c r="AA22" s="90">
        <f t="shared" si="13"/>
        <v>16311818.181818187</v>
      </c>
      <c r="AB22" s="91">
        <f t="shared" si="14"/>
        <v>1.0988595041322315</v>
      </c>
      <c r="AC22" s="92">
        <f t="shared" si="15"/>
        <v>0.57894736842105265</v>
      </c>
      <c r="AD22" s="93">
        <f t="shared" si="16"/>
        <v>5185210.5263157897</v>
      </c>
      <c r="AE22" s="78">
        <f>IFERROR(GETPIVOTDATA("Sum of Qty",'[1]DATA LAST MONTH IQOO'!$A$6,"ID Store",$C22),0)</f>
        <v>0</v>
      </c>
      <c r="AF22" s="94">
        <f>IFERROR(GETPIVOTDATA("Sum of Qty",[1]IQOO!$A$6,"ID Store",$C22),0)</f>
        <v>1</v>
      </c>
      <c r="AG22" s="81">
        <f t="shared" si="17"/>
        <v>1</v>
      </c>
      <c r="AH22" s="95">
        <f t="shared" si="18"/>
        <v>0</v>
      </c>
      <c r="AI22" s="96">
        <f>IFERROR(GETPIVOTDATA("Sum of Qty",'[1]DATA LAST MONTH DEVICE'!$A$6,"ID Store",$C22),0)</f>
        <v>0</v>
      </c>
      <c r="AJ22" s="97">
        <f t="shared" si="19"/>
        <v>19</v>
      </c>
      <c r="AK22" s="81">
        <f t="shared" si="20"/>
        <v>19</v>
      </c>
      <c r="AL22" s="83">
        <f t="shared" si="21"/>
        <v>0</v>
      </c>
      <c r="AM22" s="82">
        <f>IFERROR(GETPIVOTDATA("Sum of Qty",'[1]Store 3mio+ last month'!$A$6,"ID Store",$C22),0)</f>
        <v>8</v>
      </c>
      <c r="AN22" s="81">
        <f t="shared" si="22"/>
        <v>51.81818181818182</v>
      </c>
      <c r="AO22" s="81">
        <f t="shared" si="23"/>
        <v>43.81818181818182</v>
      </c>
      <c r="AP22" s="83">
        <f t="shared" si="24"/>
        <v>5.4772727272727275</v>
      </c>
      <c r="AQ22" s="82">
        <f>IFERROR(GETPIVOTDATA("Sum of Qty",'[1]DATA LAST MONTH DEVICE'!$A$6,"ID Store",$C22,"Segment Price","3mio&gt;"),0)</f>
        <v>0</v>
      </c>
      <c r="AR22" s="84">
        <f t="shared" si="25"/>
        <v>5</v>
      </c>
      <c r="AS22" s="84">
        <f t="shared" si="26"/>
        <v>5</v>
      </c>
      <c r="AT22" s="83">
        <f t="shared" si="27"/>
        <v>0</v>
      </c>
      <c r="AU22" s="98">
        <f>IFERROR(GETPIVOTDATA("Sum of SRP",'[1]DATA LAST MONTH DEVICE'!$A$6,"ID Store",$C22),0)</f>
        <v>0</v>
      </c>
      <c r="AV22" s="98">
        <f t="shared" si="28"/>
        <v>66481000</v>
      </c>
      <c r="AW22" s="98">
        <f t="shared" si="29"/>
        <v>66481000</v>
      </c>
      <c r="AX22" s="83">
        <f t="shared" si="30"/>
        <v>0</v>
      </c>
      <c r="AY22" s="98">
        <f>IFERROR(VLOOKUP(C22,'[1]DATA SALES LAST MONTH'!A:E,5,0),0)</f>
        <v>0</v>
      </c>
      <c r="AZ22" s="85">
        <f t="shared" si="31"/>
        <v>3499000</v>
      </c>
      <c r="BA22" s="85">
        <f t="shared" si="32"/>
        <v>3499000</v>
      </c>
      <c r="BB22" s="95">
        <f t="shared" si="33"/>
        <v>0</v>
      </c>
      <c r="BC22" s="78">
        <f>IFERROR(VLOOKUP(C22,'[1]TARGET THIS MONTH'!C:U,15,0),0)</f>
        <v>3</v>
      </c>
      <c r="BD22" s="99">
        <f>IFERROR(GETPIVOTDATA("Sum of Qty",[1]ACC!$A$5,"ID Store",$C22),0)</f>
        <v>5</v>
      </c>
      <c r="BE22" s="83">
        <f t="shared" si="34"/>
        <v>1.6666666666666667</v>
      </c>
      <c r="BF22" s="100">
        <f>IFERROR(VLOOKUP(C22,'[1]TARGET THIS MONTH'!C:U,16,0),0)</f>
        <v>825000</v>
      </c>
      <c r="BG22" s="100">
        <f>IFERROR(GETPIVOTDATA("Sum of SRP",'[1]Insurance by Store'!$A$5,"ID Store",$C22,"Product Type","Qoala"),0)</f>
        <v>159000</v>
      </c>
      <c r="BH22" s="83">
        <f t="shared" si="35"/>
        <v>0.19272727272727272</v>
      </c>
      <c r="BI22" s="100">
        <f>IFERROR(VLOOKUP(C22,'[1]TARGET THIS MONTH'!C:U,17,0),0)</f>
        <v>165000</v>
      </c>
      <c r="BJ22" s="100">
        <f>IFERROR(GETPIVOTDATA("Sum of SRP",'[1]Insurance by Store'!$A$5,"ID Store",$C22,"Product Type","Vivo Care"),0)</f>
        <v>0</v>
      </c>
      <c r="BK22" s="83">
        <f t="shared" si="36"/>
        <v>0</v>
      </c>
      <c r="BL22" s="81">
        <f>IFERROR(VLOOKUP(C22,'[1]TARGET THIS MONTH'!C:U,18,0),0)</f>
        <v>0.89999999999999991</v>
      </c>
      <c r="BM22" s="82">
        <f>IFERROR(GETPIVOTDATA("Sum of Qty",'[1]Operator by Store'!$A$5,"ID Store",$C22,"Product Type","Indosat"),0)</f>
        <v>0</v>
      </c>
      <c r="BN22" s="83">
        <f t="shared" si="37"/>
        <v>0</v>
      </c>
      <c r="BO22" s="81">
        <f>VLOOKUP(C22,'[1]TARGET THIS MONTH'!C:U,19,0)</f>
        <v>9</v>
      </c>
      <c r="BP22" s="82">
        <f>IFERROR(GETPIVOTDATA("Sum of Qty",'[1]Operator by Store'!$A$5,"ID Store",$C22,"Product Type","Telkomsel"),0)</f>
        <v>0</v>
      </c>
      <c r="BQ22" s="101">
        <f t="shared" si="38"/>
        <v>0</v>
      </c>
    </row>
    <row r="23" spans="1:69" x14ac:dyDescent="0.2">
      <c r="A23" s="72">
        <v>19</v>
      </c>
      <c r="B23" s="73" t="s">
        <v>69</v>
      </c>
      <c r="C23" s="74">
        <v>6180706</v>
      </c>
      <c r="D23" s="75" t="s">
        <v>70</v>
      </c>
      <c r="E23" s="102" t="s">
        <v>71</v>
      </c>
      <c r="F23" s="77">
        <v>3</v>
      </c>
      <c r="G23" s="78">
        <f>IFERROR(VLOOKUP(C23,'[1]TARGET THIS MONTH'!C:E,3,0),0)</f>
        <v>120</v>
      </c>
      <c r="H23" s="79">
        <f>IFERROR(VLOOKUP(C23,'[1]TARGET THIS MONTH'!C:M,11,0),0)</f>
        <v>624000000</v>
      </c>
      <c r="I23" s="78">
        <f>IFERROR(GETPIVOTDATA("Sum of Qty",'[1]DEVICE &amp; VALUE'!$A$6,"ID Store",$C23),0)</f>
        <v>41</v>
      </c>
      <c r="J23" s="80">
        <f t="shared" si="0"/>
        <v>0.34166666666666667</v>
      </c>
      <c r="K23" s="81">
        <f t="shared" si="1"/>
        <v>-79</v>
      </c>
      <c r="L23" s="82">
        <f>IFERROR(GETPIVOTDATA("Sum of Qty",[1]PF!$A$5,"ID Store",$C23),0)</f>
        <v>7</v>
      </c>
      <c r="M23" s="82">
        <f>IFERROR(GETPIVOTDATA("Sum of Qty",'[1]DEVICE &amp; VALUE'!$A$6,"ID Store",$C23,"Segment Price","3mio&gt;"),0)</f>
        <v>15</v>
      </c>
      <c r="N23" s="83">
        <f t="shared" si="2"/>
        <v>0.36585365853658536</v>
      </c>
      <c r="O23" s="84">
        <f>IFERROR(GETPIVOTDATA("Sum of Qty",[1]IQOO!$A$6,"ID Store",$C23),0)</f>
        <v>2</v>
      </c>
      <c r="P23" s="83">
        <f t="shared" si="3"/>
        <v>4.878048780487805E-2</v>
      </c>
      <c r="Q23" s="83">
        <f t="shared" si="4"/>
        <v>0.36585365853658536</v>
      </c>
      <c r="R23" s="85">
        <f>IFERROR(GETPIVOTDATA("Sum of SRP",'[1]DEVICE &amp; VALUE'!$A$6,"ID Store",$C23),0)</f>
        <v>151359000</v>
      </c>
      <c r="S23" s="83">
        <f t="shared" si="5"/>
        <v>0.24256249999999999</v>
      </c>
      <c r="T23" s="86">
        <f t="shared" si="6"/>
        <v>-472641000</v>
      </c>
      <c r="U23" s="87">
        <f t="shared" si="7"/>
        <v>111.81818181818181</v>
      </c>
      <c r="V23" s="88">
        <f t="shared" si="8"/>
        <v>0.93181818181818177</v>
      </c>
      <c r="W23" s="89">
        <f t="shared" si="9"/>
        <v>-8.181818181818187</v>
      </c>
      <c r="X23" s="89">
        <f t="shared" si="10"/>
        <v>40.909090909090907</v>
      </c>
      <c r="Y23" s="89">
        <f t="shared" si="11"/>
        <v>-79.090909090909093</v>
      </c>
      <c r="Z23" s="90">
        <f t="shared" si="12"/>
        <v>412797272.72727275</v>
      </c>
      <c r="AA23" s="90">
        <f t="shared" si="13"/>
        <v>-211202727.27272725</v>
      </c>
      <c r="AB23" s="91">
        <f t="shared" si="14"/>
        <v>0.66153409090909099</v>
      </c>
      <c r="AC23" s="92">
        <f t="shared" si="15"/>
        <v>4.1578947368421053</v>
      </c>
      <c r="AD23" s="93">
        <f t="shared" si="16"/>
        <v>24875842.105263159</v>
      </c>
      <c r="AE23" s="78">
        <f>IFERROR(GETPIVOTDATA("Sum of Qty",'[1]DATA LAST MONTH IQOO'!$A$6,"ID Store",$C23),0)</f>
        <v>13</v>
      </c>
      <c r="AF23" s="94">
        <f>IFERROR(GETPIVOTDATA("Sum of Qty",[1]IQOO!$A$6,"ID Store",$C23),0)</f>
        <v>2</v>
      </c>
      <c r="AG23" s="81">
        <f t="shared" si="17"/>
        <v>-11</v>
      </c>
      <c r="AH23" s="95">
        <f t="shared" si="18"/>
        <v>-0.84615384615384615</v>
      </c>
      <c r="AI23" s="96">
        <f>IFERROR(GETPIVOTDATA("Sum of Qty",'[1]DATA LAST MONTH DEVICE'!$A$6,"ID Store",$C23),0)</f>
        <v>50</v>
      </c>
      <c r="AJ23" s="97">
        <f t="shared" si="19"/>
        <v>41</v>
      </c>
      <c r="AK23" s="81">
        <f t="shared" si="20"/>
        <v>-9</v>
      </c>
      <c r="AL23" s="83">
        <f t="shared" si="21"/>
        <v>-0.18</v>
      </c>
      <c r="AM23" s="82">
        <f>IFERROR(GETPIVOTDATA("Sum of Qty",'[1]Store 3mio+ last month'!$A$6,"ID Store",$C23),0)</f>
        <v>129</v>
      </c>
      <c r="AN23" s="81">
        <f t="shared" si="22"/>
        <v>111.81818181818181</v>
      </c>
      <c r="AO23" s="81">
        <f t="shared" si="23"/>
        <v>-17.181818181818187</v>
      </c>
      <c r="AP23" s="83">
        <f t="shared" si="24"/>
        <v>-0.13319238900634253</v>
      </c>
      <c r="AQ23" s="82">
        <f>IFERROR(GETPIVOTDATA("Sum of Qty",'[1]DATA LAST MONTH DEVICE'!$A$6,"ID Store",$C23,"Segment Price","3mio&gt;"),0)</f>
        <v>37</v>
      </c>
      <c r="AR23" s="84">
        <f t="shared" si="25"/>
        <v>15</v>
      </c>
      <c r="AS23" s="84">
        <f t="shared" si="26"/>
        <v>-22</v>
      </c>
      <c r="AT23" s="83">
        <f t="shared" si="27"/>
        <v>-0.59459459459459463</v>
      </c>
      <c r="AU23" s="98">
        <f>IFERROR(GETPIVOTDATA("Sum of SRP",'[1]DATA LAST MONTH DEVICE'!$A$6,"ID Store",$C23),0)</f>
        <v>314050000</v>
      </c>
      <c r="AV23" s="98">
        <f t="shared" si="28"/>
        <v>151359000</v>
      </c>
      <c r="AW23" s="98">
        <f t="shared" si="29"/>
        <v>-162691000</v>
      </c>
      <c r="AX23" s="83">
        <f t="shared" si="30"/>
        <v>-0.51804171310300906</v>
      </c>
      <c r="AY23" s="98">
        <f>IFERROR(VLOOKUP(C23,'[1]DATA SALES LAST MONTH'!A:E,5,0),0)</f>
        <v>6281000</v>
      </c>
      <c r="AZ23" s="85">
        <f t="shared" si="31"/>
        <v>3691682.9268292687</v>
      </c>
      <c r="BA23" s="85">
        <f t="shared" si="32"/>
        <v>-2589317.0731707313</v>
      </c>
      <c r="BB23" s="95">
        <f t="shared" si="33"/>
        <v>-0.41224599158903541</v>
      </c>
      <c r="BC23" s="78">
        <f>IFERROR(VLOOKUP(C23,'[1]TARGET THIS MONTH'!C:U,15,0),0)</f>
        <v>12</v>
      </c>
      <c r="BD23" s="99">
        <f>IFERROR(GETPIVOTDATA("Sum of Qty",[1]ACC!$A$5,"ID Store",$C23),0)</f>
        <v>1</v>
      </c>
      <c r="BE23" s="83">
        <f t="shared" si="34"/>
        <v>8.3333333333333329E-2</v>
      </c>
      <c r="BF23" s="100">
        <f>IFERROR(VLOOKUP(C23,'[1]TARGET THIS MONTH'!C:U,16,0),0)</f>
        <v>3120000</v>
      </c>
      <c r="BG23" s="100">
        <f>IFERROR(GETPIVOTDATA("Sum of SRP",'[1]Insurance by Store'!$A$5,"ID Store",$C23,"Product Type","Qoala"),0)</f>
        <v>318000</v>
      </c>
      <c r="BH23" s="83">
        <f t="shared" si="35"/>
        <v>0.10192307692307692</v>
      </c>
      <c r="BI23" s="100">
        <f>IFERROR(VLOOKUP(C23,'[1]TARGET THIS MONTH'!C:U,17,0),0)</f>
        <v>624000</v>
      </c>
      <c r="BJ23" s="100">
        <f>IFERROR(GETPIVOTDATA("Sum of SRP",'[1]Insurance by Store'!$A$5,"ID Store",$C23,"Product Type","Vivo Care"),0)</f>
        <v>0</v>
      </c>
      <c r="BK23" s="83">
        <f t="shared" si="36"/>
        <v>0</v>
      </c>
      <c r="BL23" s="81">
        <f>IFERROR(VLOOKUP(C23,'[1]TARGET THIS MONTH'!C:U,18,0),0)</f>
        <v>3.5999999999999996</v>
      </c>
      <c r="BM23" s="82">
        <f>IFERROR(GETPIVOTDATA("Sum of Qty",'[1]Operator by Store'!$A$5,"ID Store",$C23,"Product Type","Indosat"),0)</f>
        <v>0</v>
      </c>
      <c r="BN23" s="83">
        <f t="shared" si="37"/>
        <v>0</v>
      </c>
      <c r="BO23" s="81">
        <f>VLOOKUP(C23,'[1]TARGET THIS MONTH'!C:U,19,0)</f>
        <v>36</v>
      </c>
      <c r="BP23" s="82">
        <f>IFERROR(GETPIVOTDATA("Sum of Qty",'[1]Operator by Store'!$A$5,"ID Store",$C23,"Product Type","Telkomsel"),0)</f>
        <v>0</v>
      </c>
      <c r="BQ23" s="101">
        <f t="shared" si="38"/>
        <v>0</v>
      </c>
    </row>
    <row r="24" spans="1:69" x14ac:dyDescent="0.2">
      <c r="A24" s="72">
        <v>20</v>
      </c>
      <c r="B24" s="73" t="s">
        <v>69</v>
      </c>
      <c r="C24" s="74">
        <v>6180707</v>
      </c>
      <c r="D24" s="75" t="s">
        <v>72</v>
      </c>
      <c r="E24" s="102" t="s">
        <v>71</v>
      </c>
      <c r="F24" s="77">
        <v>1</v>
      </c>
      <c r="G24" s="78">
        <f>IFERROR(VLOOKUP(C24,'[1]TARGET THIS MONTH'!C:E,3,0),0)</f>
        <v>20</v>
      </c>
      <c r="H24" s="79">
        <f>IFERROR(VLOOKUP(C24,'[1]TARGET THIS MONTH'!C:M,11,0),0)</f>
        <v>100000000</v>
      </c>
      <c r="I24" s="78">
        <f>IFERROR(GETPIVOTDATA("Sum of Qty",'[1]DEVICE &amp; VALUE'!$A$6,"ID Store",$C24),0)</f>
        <v>6</v>
      </c>
      <c r="J24" s="80">
        <f t="shared" si="0"/>
        <v>0.3</v>
      </c>
      <c r="K24" s="81">
        <f t="shared" si="1"/>
        <v>-14</v>
      </c>
      <c r="L24" s="82">
        <f>IFERROR(GETPIVOTDATA("Sum of Qty",[1]PF!$A$5,"ID Store",$C24),0)</f>
        <v>2</v>
      </c>
      <c r="M24" s="82">
        <f>IFERROR(GETPIVOTDATA("Sum of Qty",'[1]DEVICE &amp; VALUE'!$A$6,"ID Store",$C24,"Segment Price","3mio&gt;"),0)</f>
        <v>2</v>
      </c>
      <c r="N24" s="83">
        <f t="shared" si="2"/>
        <v>0.33333333333333331</v>
      </c>
      <c r="O24" s="84">
        <f>IFERROR(GETPIVOTDATA("Sum of Qty",[1]IQOO!$A$6,"ID Store",$C24),0)</f>
        <v>0</v>
      </c>
      <c r="P24" s="83">
        <f t="shared" si="3"/>
        <v>0</v>
      </c>
      <c r="Q24" s="83">
        <f t="shared" si="4"/>
        <v>0.33333333333333331</v>
      </c>
      <c r="R24" s="85">
        <f>IFERROR(GETPIVOTDATA("Sum of SRP",'[1]DEVICE &amp; VALUE'!$A$6,"ID Store",$C24),0)</f>
        <v>18894000</v>
      </c>
      <c r="S24" s="83">
        <f t="shared" si="5"/>
        <v>0.18894</v>
      </c>
      <c r="T24" s="86">
        <f t="shared" si="6"/>
        <v>-81106000</v>
      </c>
      <c r="U24" s="87">
        <f t="shared" si="7"/>
        <v>16.363636363636363</v>
      </c>
      <c r="V24" s="88">
        <f t="shared" si="8"/>
        <v>0.81818181818181812</v>
      </c>
      <c r="W24" s="89">
        <f t="shared" si="9"/>
        <v>-3.6363636363636367</v>
      </c>
      <c r="X24" s="89">
        <f t="shared" si="10"/>
        <v>5.454545454545455</v>
      </c>
      <c r="Y24" s="89">
        <f t="shared" si="11"/>
        <v>-14.545454545454545</v>
      </c>
      <c r="Z24" s="90">
        <f t="shared" si="12"/>
        <v>51529090.909090906</v>
      </c>
      <c r="AA24" s="90">
        <f t="shared" si="13"/>
        <v>-48470909.090909094</v>
      </c>
      <c r="AB24" s="91">
        <f t="shared" si="14"/>
        <v>0.51529090909090902</v>
      </c>
      <c r="AC24" s="92">
        <f t="shared" si="15"/>
        <v>0.73684210526315785</v>
      </c>
      <c r="AD24" s="93">
        <f t="shared" si="16"/>
        <v>4268736.8421052629</v>
      </c>
      <c r="AE24" s="78">
        <f>IFERROR(GETPIVOTDATA("Sum of Qty",'[1]DATA LAST MONTH IQOO'!$A$6,"ID Store",$C24),0)</f>
        <v>2</v>
      </c>
      <c r="AF24" s="94">
        <f>IFERROR(GETPIVOTDATA("Sum of Qty",[1]IQOO!$A$6,"ID Store",$C24),0)</f>
        <v>0</v>
      </c>
      <c r="AG24" s="81">
        <f t="shared" si="17"/>
        <v>-2</v>
      </c>
      <c r="AH24" s="95">
        <f t="shared" si="18"/>
        <v>-1</v>
      </c>
      <c r="AI24" s="96">
        <f>IFERROR(GETPIVOTDATA("Sum of Qty",'[1]DATA LAST MONTH DEVICE'!$A$6,"ID Store",$C24),0)</f>
        <v>12</v>
      </c>
      <c r="AJ24" s="97">
        <f t="shared" si="19"/>
        <v>6</v>
      </c>
      <c r="AK24" s="81">
        <f t="shared" si="20"/>
        <v>-6</v>
      </c>
      <c r="AL24" s="83">
        <f t="shared" si="21"/>
        <v>-0.5</v>
      </c>
      <c r="AM24" s="82">
        <f>IFERROR(GETPIVOTDATA("Sum of Qty",'[1]Store 3mio+ last month'!$A$6,"ID Store",$C24),0)</f>
        <v>31</v>
      </c>
      <c r="AN24" s="81">
        <f t="shared" si="22"/>
        <v>16.363636363636363</v>
      </c>
      <c r="AO24" s="81">
        <f t="shared" si="23"/>
        <v>-14.636363636363637</v>
      </c>
      <c r="AP24" s="83">
        <f t="shared" si="24"/>
        <v>-0.47214076246334313</v>
      </c>
      <c r="AQ24" s="82">
        <f>IFERROR(GETPIVOTDATA("Sum of Qty",'[1]DATA LAST MONTH DEVICE'!$A$6,"ID Store",$C24,"Segment Price","3mio&gt;"),0)</f>
        <v>7</v>
      </c>
      <c r="AR24" s="84">
        <f t="shared" si="25"/>
        <v>2</v>
      </c>
      <c r="AS24" s="84">
        <f t="shared" si="26"/>
        <v>-5</v>
      </c>
      <c r="AT24" s="83">
        <f t="shared" si="27"/>
        <v>-0.7142857142857143</v>
      </c>
      <c r="AU24" s="98">
        <f>IFERROR(GETPIVOTDATA("Sum of SRP",'[1]DATA LAST MONTH DEVICE'!$A$6,"ID Store",$C24),0)</f>
        <v>85388000</v>
      </c>
      <c r="AV24" s="98">
        <f t="shared" si="28"/>
        <v>18894000</v>
      </c>
      <c r="AW24" s="98">
        <f t="shared" si="29"/>
        <v>-66494000</v>
      </c>
      <c r="AX24" s="83">
        <f t="shared" si="30"/>
        <v>-0.77872769007354659</v>
      </c>
      <c r="AY24" s="98">
        <f>IFERROR(VLOOKUP(C24,'[1]DATA SALES LAST MONTH'!A:E,5,0),0)</f>
        <v>7115666.666666667</v>
      </c>
      <c r="AZ24" s="85">
        <f t="shared" si="31"/>
        <v>3149000</v>
      </c>
      <c r="BA24" s="85">
        <f t="shared" si="32"/>
        <v>-3966666.666666667</v>
      </c>
      <c r="BB24" s="95">
        <f t="shared" si="33"/>
        <v>-0.55745538014709328</v>
      </c>
      <c r="BC24" s="78">
        <f>IFERROR(VLOOKUP(C24,'[1]TARGET THIS MONTH'!C:U,15,0),0)</f>
        <v>2</v>
      </c>
      <c r="BD24" s="99">
        <f>IFERROR(GETPIVOTDATA("Sum of Qty",[1]ACC!$A$5,"ID Store",$C24),0)</f>
        <v>0</v>
      </c>
      <c r="BE24" s="83">
        <f t="shared" si="34"/>
        <v>0</v>
      </c>
      <c r="BF24" s="100">
        <f>IFERROR(VLOOKUP(C24,'[1]TARGET THIS MONTH'!C:U,16,0),0)</f>
        <v>100000</v>
      </c>
      <c r="BG24" s="100">
        <f>IFERROR(GETPIVOTDATA("Sum of SRP",'[1]Insurance by Store'!$A$5,"ID Store",$C24,"Product Type","Qoala"),0)</f>
        <v>0</v>
      </c>
      <c r="BH24" s="83">
        <f t="shared" si="35"/>
        <v>0</v>
      </c>
      <c r="BI24" s="100">
        <f>IFERROR(VLOOKUP(C24,'[1]TARGET THIS MONTH'!C:U,17,0),0)</f>
        <v>100000</v>
      </c>
      <c r="BJ24" s="100">
        <f>IFERROR(GETPIVOTDATA("Sum of SRP",'[1]Insurance by Store'!$A$5,"ID Store",$C24,"Product Type","Vivo Care"),0)</f>
        <v>0</v>
      </c>
      <c r="BK24" s="83">
        <f t="shared" si="36"/>
        <v>0</v>
      </c>
      <c r="BL24" s="81">
        <f>IFERROR(VLOOKUP(C24,'[1]TARGET THIS MONTH'!C:U,18,0),0)</f>
        <v>0.6</v>
      </c>
      <c r="BM24" s="82">
        <f>IFERROR(GETPIVOTDATA("Sum of Qty",'[1]Operator by Store'!$A$5,"ID Store",$C24,"Product Type","Indosat"),0)</f>
        <v>0</v>
      </c>
      <c r="BN24" s="83">
        <f t="shared" si="37"/>
        <v>0</v>
      </c>
      <c r="BO24" s="81">
        <f>VLOOKUP(C24,'[1]TARGET THIS MONTH'!C:U,19,0)</f>
        <v>6</v>
      </c>
      <c r="BP24" s="82">
        <f>IFERROR(GETPIVOTDATA("Sum of Qty",'[1]Operator by Store'!$A$5,"ID Store",$C24,"Product Type","Telkomsel"),0)</f>
        <v>0</v>
      </c>
      <c r="BQ24" s="101">
        <f t="shared" si="38"/>
        <v>0</v>
      </c>
    </row>
    <row r="25" spans="1:69" x14ac:dyDescent="0.2">
      <c r="A25" s="72">
        <v>21</v>
      </c>
      <c r="B25" s="73" t="s">
        <v>73</v>
      </c>
      <c r="C25" s="74">
        <v>6170707</v>
      </c>
      <c r="D25" s="75" t="s">
        <v>74</v>
      </c>
      <c r="E25" s="103" t="s">
        <v>75</v>
      </c>
      <c r="F25" s="77">
        <v>2</v>
      </c>
      <c r="G25" s="78">
        <f>IFERROR(VLOOKUP(C25,'[1]TARGET THIS MONTH'!C:E,3,0),0)</f>
        <v>80</v>
      </c>
      <c r="H25" s="79">
        <f>IFERROR(VLOOKUP(C25,'[1]TARGET THIS MONTH'!C:M,11,0),0)</f>
        <v>344000000</v>
      </c>
      <c r="I25" s="78">
        <f>IFERROR(GETPIVOTDATA("Sum of Qty",'[1]DEVICE &amp; VALUE'!$A$6,"ID Store",$C25),0)</f>
        <v>28</v>
      </c>
      <c r="J25" s="80">
        <f t="shared" si="0"/>
        <v>0.35</v>
      </c>
      <c r="K25" s="81">
        <f t="shared" si="1"/>
        <v>-52</v>
      </c>
      <c r="L25" s="82">
        <f>IFERROR(GETPIVOTDATA("Sum of Qty",[1]PF!$A$5,"ID Store",$C25),0)</f>
        <v>3</v>
      </c>
      <c r="M25" s="82">
        <f>IFERROR(GETPIVOTDATA("Sum of Qty",'[1]DEVICE &amp; VALUE'!$A$6,"ID Store",$C25,"Segment Price","3mio&gt;"),0)</f>
        <v>6</v>
      </c>
      <c r="N25" s="83">
        <f t="shared" si="2"/>
        <v>0.21428571428571427</v>
      </c>
      <c r="O25" s="84">
        <f>IFERROR(GETPIVOTDATA("Sum of Qty",[1]IQOO!$A$6,"ID Store",$C25),0)</f>
        <v>0</v>
      </c>
      <c r="P25" s="83">
        <f t="shared" si="3"/>
        <v>0</v>
      </c>
      <c r="Q25" s="83">
        <f t="shared" si="4"/>
        <v>0.21428571428571427</v>
      </c>
      <c r="R25" s="85">
        <f>IFERROR(GETPIVOTDATA("Sum of SRP",'[1]DEVICE &amp; VALUE'!$A$6,"ID Store",$C25),0)</f>
        <v>89872000</v>
      </c>
      <c r="S25" s="83">
        <f t="shared" si="5"/>
        <v>0.26125581395348835</v>
      </c>
      <c r="T25" s="86">
        <f t="shared" si="6"/>
        <v>-254128000</v>
      </c>
      <c r="U25" s="87">
        <f t="shared" si="7"/>
        <v>76.36363636363636</v>
      </c>
      <c r="V25" s="88">
        <f t="shared" si="8"/>
        <v>0.95454545454545447</v>
      </c>
      <c r="W25" s="89">
        <f t="shared" si="9"/>
        <v>-3.6363636363636402</v>
      </c>
      <c r="X25" s="89">
        <f t="shared" si="10"/>
        <v>16.363636363636363</v>
      </c>
      <c r="Y25" s="89">
        <f t="shared" si="11"/>
        <v>-63.63636363636364</v>
      </c>
      <c r="Z25" s="90">
        <f t="shared" si="12"/>
        <v>245105454.54545456</v>
      </c>
      <c r="AA25" s="90">
        <f t="shared" si="13"/>
        <v>-98894545.454545438</v>
      </c>
      <c r="AB25" s="91">
        <f t="shared" si="14"/>
        <v>0.71251585623678648</v>
      </c>
      <c r="AC25" s="92">
        <f t="shared" si="15"/>
        <v>2.736842105263158</v>
      </c>
      <c r="AD25" s="93">
        <f t="shared" si="16"/>
        <v>13375157.894736841</v>
      </c>
      <c r="AE25" s="78">
        <f>IFERROR(GETPIVOTDATA("Sum of Qty",'[1]DATA LAST MONTH IQOO'!$A$6,"ID Store",$C25),0)</f>
        <v>3</v>
      </c>
      <c r="AF25" s="94">
        <f>IFERROR(GETPIVOTDATA("Sum of Qty",[1]IQOO!$A$6,"ID Store",$C25),0)</f>
        <v>0</v>
      </c>
      <c r="AG25" s="81">
        <f t="shared" si="17"/>
        <v>-3</v>
      </c>
      <c r="AH25" s="95">
        <f t="shared" si="18"/>
        <v>-1</v>
      </c>
      <c r="AI25" s="96">
        <f>IFERROR(GETPIVOTDATA("Sum of Qty",'[1]DATA LAST MONTH DEVICE'!$A$6,"ID Store",$C25),0)</f>
        <v>33</v>
      </c>
      <c r="AJ25" s="97">
        <f t="shared" si="19"/>
        <v>28</v>
      </c>
      <c r="AK25" s="81">
        <f t="shared" si="20"/>
        <v>-5</v>
      </c>
      <c r="AL25" s="83">
        <f t="shared" si="21"/>
        <v>-0.15151515151515152</v>
      </c>
      <c r="AM25" s="82">
        <f>IFERROR(GETPIVOTDATA("Sum of Qty",'[1]Store 3mio+ last month'!$A$6,"ID Store",$C25),0)</f>
        <v>89</v>
      </c>
      <c r="AN25" s="81">
        <f t="shared" si="22"/>
        <v>76.36363636363636</v>
      </c>
      <c r="AO25" s="81">
        <f t="shared" si="23"/>
        <v>-12.63636363636364</v>
      </c>
      <c r="AP25" s="83">
        <f t="shared" si="24"/>
        <v>-0.14198161389172628</v>
      </c>
      <c r="AQ25" s="82">
        <f>IFERROR(GETPIVOTDATA("Sum of Qty",'[1]DATA LAST MONTH DEVICE'!$A$6,"ID Store",$C25,"Segment Price","3mio&gt;"),0)</f>
        <v>17</v>
      </c>
      <c r="AR25" s="84">
        <f t="shared" si="25"/>
        <v>6</v>
      </c>
      <c r="AS25" s="84">
        <f t="shared" si="26"/>
        <v>-11</v>
      </c>
      <c r="AT25" s="83">
        <f t="shared" si="27"/>
        <v>-0.6470588235294118</v>
      </c>
      <c r="AU25" s="98">
        <f>IFERROR(GETPIVOTDATA("Sum of SRP",'[1]DATA LAST MONTH DEVICE'!$A$6,"ID Store",$C25),0)</f>
        <v>136267000</v>
      </c>
      <c r="AV25" s="98">
        <f t="shared" si="28"/>
        <v>89872000</v>
      </c>
      <c r="AW25" s="98">
        <f t="shared" si="29"/>
        <v>-46395000</v>
      </c>
      <c r="AX25" s="83">
        <f t="shared" si="30"/>
        <v>-0.34047128064755222</v>
      </c>
      <c r="AY25" s="98">
        <f>IFERROR(VLOOKUP(C25,'[1]DATA SALES LAST MONTH'!A:E,5,0),0)</f>
        <v>4129303.0303030303</v>
      </c>
      <c r="AZ25" s="85">
        <f t="shared" si="31"/>
        <v>3209714.2857142859</v>
      </c>
      <c r="BA25" s="85">
        <f t="shared" si="32"/>
        <v>-919588.74458874436</v>
      </c>
      <c r="BB25" s="95">
        <f t="shared" si="33"/>
        <v>-0.22269829504890079</v>
      </c>
      <c r="BC25" s="78">
        <f>IFERROR(VLOOKUP(C25,'[1]TARGET THIS MONTH'!C:U,15,0),0)</f>
        <v>8</v>
      </c>
      <c r="BD25" s="99">
        <f>IFERROR(GETPIVOTDATA("Sum of Qty",[1]ACC!$A$5,"ID Store",$C25),0)</f>
        <v>11</v>
      </c>
      <c r="BE25" s="83">
        <f t="shared" si="34"/>
        <v>1.375</v>
      </c>
      <c r="BF25" s="100">
        <f>IFERROR(VLOOKUP(C25,'[1]TARGET THIS MONTH'!C:U,16,0),0)</f>
        <v>1720000</v>
      </c>
      <c r="BG25" s="100">
        <f>IFERROR(GETPIVOTDATA("Sum of SRP",'[1]Insurance by Store'!$A$5,"ID Store",$C25,"Product Type","Qoala"),0)</f>
        <v>0</v>
      </c>
      <c r="BH25" s="83">
        <f t="shared" si="35"/>
        <v>0</v>
      </c>
      <c r="BI25" s="100">
        <f>IFERROR(VLOOKUP(C25,'[1]TARGET THIS MONTH'!C:U,17,0),0)</f>
        <v>344000</v>
      </c>
      <c r="BJ25" s="100">
        <f>IFERROR(GETPIVOTDATA("Sum of SRP",'[1]Insurance by Store'!$A$5,"ID Store",$C25,"Product Type","Vivo Care"),0)</f>
        <v>0</v>
      </c>
      <c r="BK25" s="83">
        <f t="shared" si="36"/>
        <v>0</v>
      </c>
      <c r="BL25" s="81">
        <f>IFERROR(VLOOKUP(C25,'[1]TARGET THIS MONTH'!C:U,18,0),0)</f>
        <v>2.4</v>
      </c>
      <c r="BM25" s="82">
        <f>IFERROR(GETPIVOTDATA("Sum of Qty",'[1]Operator by Store'!$A$5,"ID Store",$C25,"Product Type","Indosat"),0)</f>
        <v>0</v>
      </c>
      <c r="BN25" s="83">
        <f t="shared" si="37"/>
        <v>0</v>
      </c>
      <c r="BO25" s="81">
        <f>VLOOKUP(C25,'[1]TARGET THIS MONTH'!C:U,19,0)</f>
        <v>24</v>
      </c>
      <c r="BP25" s="82">
        <f>IFERROR(GETPIVOTDATA("Sum of Qty",'[1]Operator by Store'!$A$5,"ID Store",$C25,"Product Type","Telkomsel"),0)</f>
        <v>0</v>
      </c>
      <c r="BQ25" s="101">
        <f t="shared" si="38"/>
        <v>0</v>
      </c>
    </row>
    <row r="26" spans="1:69" x14ac:dyDescent="0.2">
      <c r="A26" s="72">
        <v>22</v>
      </c>
      <c r="B26" s="73" t="s">
        <v>73</v>
      </c>
      <c r="C26" s="74">
        <v>6240702</v>
      </c>
      <c r="D26" s="75" t="s">
        <v>76</v>
      </c>
      <c r="E26" s="103" t="s">
        <v>75</v>
      </c>
      <c r="F26" s="77">
        <v>3</v>
      </c>
      <c r="G26" s="78">
        <f>IFERROR(VLOOKUP(C26,'[1]TARGET THIS MONTH'!C:E,3,0),0)</f>
        <v>100</v>
      </c>
      <c r="H26" s="79">
        <f>IFERROR(VLOOKUP(C26,'[1]TARGET THIS MONTH'!C:M,11,0),0)</f>
        <v>430000000</v>
      </c>
      <c r="I26" s="78">
        <f>IFERROR(GETPIVOTDATA("Sum of Qty",'[1]DEVICE &amp; VALUE'!$A$6,"ID Store",$C26),0)</f>
        <v>36</v>
      </c>
      <c r="J26" s="80">
        <f t="shared" si="0"/>
        <v>0.36</v>
      </c>
      <c r="K26" s="81">
        <f t="shared" si="1"/>
        <v>-64</v>
      </c>
      <c r="L26" s="82">
        <f>IFERROR(GETPIVOTDATA("Sum of Qty",[1]PF!$A$5,"ID Store",$C26),0)</f>
        <v>8</v>
      </c>
      <c r="M26" s="82">
        <f>IFERROR(GETPIVOTDATA("Sum of Qty",'[1]DEVICE &amp; VALUE'!$A$6,"ID Store",$C26,"Segment Price","3mio&gt;"),0)</f>
        <v>16</v>
      </c>
      <c r="N26" s="83">
        <f t="shared" si="2"/>
        <v>0.44444444444444442</v>
      </c>
      <c r="O26" s="84">
        <f>IFERROR(GETPIVOTDATA("Sum of Qty",[1]IQOO!$A$6,"ID Store",$C26),0)</f>
        <v>0</v>
      </c>
      <c r="P26" s="83">
        <f t="shared" si="3"/>
        <v>0</v>
      </c>
      <c r="Q26" s="83">
        <f t="shared" si="4"/>
        <v>0.44444444444444442</v>
      </c>
      <c r="R26" s="85">
        <f>IFERROR(GETPIVOTDATA("Sum of SRP",'[1]DEVICE &amp; VALUE'!$A$6,"ID Store",$C26),0)</f>
        <v>142564000</v>
      </c>
      <c r="S26" s="83">
        <f t="shared" si="5"/>
        <v>0.33154418604651165</v>
      </c>
      <c r="T26" s="86">
        <f t="shared" si="6"/>
        <v>-287436000</v>
      </c>
      <c r="U26" s="87">
        <f t="shared" si="7"/>
        <v>98.181818181818187</v>
      </c>
      <c r="V26" s="88">
        <f t="shared" si="8"/>
        <v>0.98181818181818192</v>
      </c>
      <c r="W26" s="89">
        <f t="shared" si="9"/>
        <v>-1.818181818181813</v>
      </c>
      <c r="X26" s="89">
        <f t="shared" si="10"/>
        <v>43.63636363636364</v>
      </c>
      <c r="Y26" s="89">
        <f t="shared" si="11"/>
        <v>-56.36363636363636</v>
      </c>
      <c r="Z26" s="90">
        <f t="shared" si="12"/>
        <v>388810909.09090912</v>
      </c>
      <c r="AA26" s="90">
        <f t="shared" si="13"/>
        <v>-41189090.909090877</v>
      </c>
      <c r="AB26" s="91">
        <f t="shared" si="14"/>
        <v>0.90421141649048631</v>
      </c>
      <c r="AC26" s="92">
        <f t="shared" si="15"/>
        <v>3.3684210526315788</v>
      </c>
      <c r="AD26" s="93">
        <f t="shared" si="16"/>
        <v>15128210.52631579</v>
      </c>
      <c r="AE26" s="78">
        <f>IFERROR(GETPIVOTDATA("Sum of Qty",'[1]DATA LAST MONTH IQOO'!$A$6,"ID Store",$C26),0)</f>
        <v>6</v>
      </c>
      <c r="AF26" s="94">
        <f>IFERROR(GETPIVOTDATA("Sum of Qty",[1]IQOO!$A$6,"ID Store",$C26),0)</f>
        <v>0</v>
      </c>
      <c r="AG26" s="81">
        <f t="shared" si="17"/>
        <v>-6</v>
      </c>
      <c r="AH26" s="95">
        <f t="shared" si="18"/>
        <v>-1</v>
      </c>
      <c r="AI26" s="96">
        <f>IFERROR(GETPIVOTDATA("Sum of Qty",'[1]DATA LAST MONTH DEVICE'!$A$6,"ID Store",$C26),0)</f>
        <v>32</v>
      </c>
      <c r="AJ26" s="97">
        <f t="shared" si="19"/>
        <v>36</v>
      </c>
      <c r="AK26" s="81">
        <f t="shared" si="20"/>
        <v>4</v>
      </c>
      <c r="AL26" s="83">
        <f t="shared" si="21"/>
        <v>0.125</v>
      </c>
      <c r="AM26" s="82">
        <f>IFERROR(GETPIVOTDATA("Sum of Qty",'[1]Store 3mio+ last month'!$A$6,"ID Store",$C26),0)</f>
        <v>105</v>
      </c>
      <c r="AN26" s="81">
        <f t="shared" si="22"/>
        <v>98.181818181818187</v>
      </c>
      <c r="AO26" s="81">
        <f t="shared" si="23"/>
        <v>-6.818181818181813</v>
      </c>
      <c r="AP26" s="83">
        <f t="shared" si="24"/>
        <v>-6.4935064935064887E-2</v>
      </c>
      <c r="AQ26" s="82">
        <f>IFERROR(GETPIVOTDATA("Sum of Qty",'[1]DATA LAST MONTH DEVICE'!$A$6,"ID Store",$C26,"Segment Price","3mio&gt;"),0)</f>
        <v>13</v>
      </c>
      <c r="AR26" s="84">
        <f t="shared" si="25"/>
        <v>16</v>
      </c>
      <c r="AS26" s="84">
        <f t="shared" si="26"/>
        <v>3</v>
      </c>
      <c r="AT26" s="83">
        <f t="shared" si="27"/>
        <v>0.23076923076923078</v>
      </c>
      <c r="AU26" s="98">
        <f>IFERROR(GETPIVOTDATA("Sum of SRP",'[1]DATA LAST MONTH DEVICE'!$A$6,"ID Store",$C26),0)</f>
        <v>124568000</v>
      </c>
      <c r="AV26" s="98">
        <f t="shared" si="28"/>
        <v>142564000</v>
      </c>
      <c r="AW26" s="98">
        <f t="shared" si="29"/>
        <v>17996000</v>
      </c>
      <c r="AX26" s="83">
        <f t="shared" si="30"/>
        <v>0.14446727891593347</v>
      </c>
      <c r="AY26" s="98">
        <f>IFERROR(VLOOKUP(C26,'[1]DATA SALES LAST MONTH'!A:E,5,0),0)</f>
        <v>3892750</v>
      </c>
      <c r="AZ26" s="85">
        <f t="shared" si="31"/>
        <v>3960111.111111111</v>
      </c>
      <c r="BA26" s="85">
        <f t="shared" si="32"/>
        <v>67361.111111111008</v>
      </c>
      <c r="BB26" s="95">
        <f t="shared" si="33"/>
        <v>1.7304247925274165E-2</v>
      </c>
      <c r="BC26" s="78">
        <f>IFERROR(VLOOKUP(C26,'[1]TARGET THIS MONTH'!C:U,15,0),0)</f>
        <v>10</v>
      </c>
      <c r="BD26" s="99">
        <f>IFERROR(GETPIVOTDATA("Sum of Qty",[1]ACC!$A$5,"ID Store",$C26),0)</f>
        <v>3</v>
      </c>
      <c r="BE26" s="83">
        <f t="shared" si="34"/>
        <v>0.3</v>
      </c>
      <c r="BF26" s="100">
        <f>IFERROR(VLOOKUP(C26,'[1]TARGET THIS MONTH'!C:U,16,0),0)</f>
        <v>2150000</v>
      </c>
      <c r="BG26" s="100">
        <f>IFERROR(GETPIVOTDATA("Sum of SRP",'[1]Insurance by Store'!$A$5,"ID Store",$C26,"Product Type","Qoala"),0)</f>
        <v>0</v>
      </c>
      <c r="BH26" s="83">
        <f t="shared" si="35"/>
        <v>0</v>
      </c>
      <c r="BI26" s="100">
        <f>IFERROR(VLOOKUP(C26,'[1]TARGET THIS MONTH'!C:U,17,0),0)</f>
        <v>430000</v>
      </c>
      <c r="BJ26" s="100">
        <f>IFERROR(GETPIVOTDATA("Sum of SRP",'[1]Insurance by Store'!$A$5,"ID Store",$C26,"Product Type","Vivo Care"),0)</f>
        <v>0</v>
      </c>
      <c r="BK26" s="83">
        <f t="shared" si="36"/>
        <v>0</v>
      </c>
      <c r="BL26" s="81">
        <f>IFERROR(VLOOKUP(C26,'[1]TARGET THIS MONTH'!C:U,18,0),0)</f>
        <v>3</v>
      </c>
      <c r="BM26" s="82">
        <f>IFERROR(GETPIVOTDATA("Sum of Qty",'[1]Operator by Store'!$A$5,"ID Store",$C26,"Product Type","Indosat"),0)</f>
        <v>0</v>
      </c>
      <c r="BN26" s="83">
        <f t="shared" si="37"/>
        <v>0</v>
      </c>
      <c r="BO26" s="81">
        <f>VLOOKUP(C26,'[1]TARGET THIS MONTH'!C:U,19,0)</f>
        <v>30</v>
      </c>
      <c r="BP26" s="82">
        <f>IFERROR(GETPIVOTDATA("Sum of Qty",'[1]Operator by Store'!$A$5,"ID Store",$C26,"Product Type","Telkomsel"),0)</f>
        <v>0</v>
      </c>
      <c r="BQ26" s="101">
        <f t="shared" si="38"/>
        <v>0</v>
      </c>
    </row>
    <row r="27" spans="1:69" x14ac:dyDescent="0.2">
      <c r="A27" s="72">
        <v>23</v>
      </c>
      <c r="B27" s="73" t="s">
        <v>73</v>
      </c>
      <c r="C27" s="74">
        <v>6240704</v>
      </c>
      <c r="D27" s="75" t="s">
        <v>77</v>
      </c>
      <c r="E27" s="103" t="s">
        <v>75</v>
      </c>
      <c r="F27" s="77">
        <v>2</v>
      </c>
      <c r="G27" s="78">
        <f>IFERROR(VLOOKUP(C27,'[1]TARGET THIS MONTH'!C:E,3,0),0)</f>
        <v>30</v>
      </c>
      <c r="H27" s="79">
        <f>IFERROR(VLOOKUP(C27,'[1]TARGET THIS MONTH'!C:M,11,0),0)</f>
        <v>129000000</v>
      </c>
      <c r="I27" s="78">
        <f>IFERROR(GETPIVOTDATA("Sum of Qty",'[1]DEVICE &amp; VALUE'!$A$6,"ID Store",$C27),0)</f>
        <v>6</v>
      </c>
      <c r="J27" s="80">
        <f t="shared" si="0"/>
        <v>0.2</v>
      </c>
      <c r="K27" s="81">
        <f t="shared" si="1"/>
        <v>-24</v>
      </c>
      <c r="L27" s="82">
        <f>IFERROR(GETPIVOTDATA("Sum of Qty",[1]PF!$A$5,"ID Store",$C27),0)</f>
        <v>1</v>
      </c>
      <c r="M27" s="82">
        <f>IFERROR(GETPIVOTDATA("Sum of Qty",'[1]DEVICE &amp; VALUE'!$A$6,"ID Store",$C27,"Segment Price","3mio&gt;"),0)</f>
        <v>1</v>
      </c>
      <c r="N27" s="83">
        <f t="shared" si="2"/>
        <v>0.16666666666666666</v>
      </c>
      <c r="O27" s="84">
        <f>IFERROR(GETPIVOTDATA("Sum of Qty",[1]IQOO!$A$6,"ID Store",$C27),0)</f>
        <v>0</v>
      </c>
      <c r="P27" s="83">
        <f t="shared" si="3"/>
        <v>0</v>
      </c>
      <c r="Q27" s="83">
        <f t="shared" si="4"/>
        <v>0.16666666666666666</v>
      </c>
      <c r="R27" s="85">
        <f>IFERROR(GETPIVOTDATA("Sum of SRP",'[1]DEVICE &amp; VALUE'!$A$6,"ID Store",$C27),0)</f>
        <v>16694000</v>
      </c>
      <c r="S27" s="83">
        <f t="shared" si="5"/>
        <v>0.12941085271317829</v>
      </c>
      <c r="T27" s="86">
        <f t="shared" si="6"/>
        <v>-112306000</v>
      </c>
      <c r="U27" s="87">
        <f t="shared" si="7"/>
        <v>16.363636363636363</v>
      </c>
      <c r="V27" s="88">
        <f t="shared" si="8"/>
        <v>0.54545454545454541</v>
      </c>
      <c r="W27" s="89">
        <f t="shared" si="9"/>
        <v>-13.636363636363637</v>
      </c>
      <c r="X27" s="89">
        <f t="shared" si="10"/>
        <v>2.7272727272727275</v>
      </c>
      <c r="Y27" s="89">
        <f t="shared" si="11"/>
        <v>-27.272727272727273</v>
      </c>
      <c r="Z27" s="90">
        <f t="shared" si="12"/>
        <v>45529090.909090906</v>
      </c>
      <c r="AA27" s="90">
        <f t="shared" si="13"/>
        <v>-83470909.090909094</v>
      </c>
      <c r="AB27" s="91">
        <f t="shared" si="14"/>
        <v>0.35293868921775895</v>
      </c>
      <c r="AC27" s="92">
        <f t="shared" si="15"/>
        <v>1.263157894736842</v>
      </c>
      <c r="AD27" s="93">
        <f t="shared" si="16"/>
        <v>5910842.1052631577</v>
      </c>
      <c r="AE27" s="78">
        <f>IFERROR(GETPIVOTDATA("Sum of Qty",'[1]DATA LAST MONTH IQOO'!$A$6,"ID Store",$C27),0)</f>
        <v>2</v>
      </c>
      <c r="AF27" s="94">
        <f>IFERROR(GETPIVOTDATA("Sum of Qty",[1]IQOO!$A$6,"ID Store",$C27),0)</f>
        <v>0</v>
      </c>
      <c r="AG27" s="81">
        <f t="shared" si="17"/>
        <v>-2</v>
      </c>
      <c r="AH27" s="95">
        <f t="shared" si="18"/>
        <v>-1</v>
      </c>
      <c r="AI27" s="96">
        <f>IFERROR(GETPIVOTDATA("Sum of Qty",'[1]DATA LAST MONTH DEVICE'!$A$6,"ID Store",$C27),0)</f>
        <v>12</v>
      </c>
      <c r="AJ27" s="97">
        <f t="shared" si="19"/>
        <v>6</v>
      </c>
      <c r="AK27" s="81">
        <f t="shared" si="20"/>
        <v>-6</v>
      </c>
      <c r="AL27" s="83">
        <f t="shared" si="21"/>
        <v>-0.5</v>
      </c>
      <c r="AM27" s="82">
        <f>IFERROR(GETPIVOTDATA("Sum of Qty",'[1]Store 3mio+ last month'!$A$6,"ID Store",$C27),0)</f>
        <v>21</v>
      </c>
      <c r="AN27" s="81">
        <f t="shared" si="22"/>
        <v>16.363636363636363</v>
      </c>
      <c r="AO27" s="81">
        <f t="shared" si="23"/>
        <v>-4.6363636363636367</v>
      </c>
      <c r="AP27" s="83">
        <f t="shared" si="24"/>
        <v>-0.2207792207792208</v>
      </c>
      <c r="AQ27" s="82">
        <f>IFERROR(GETPIVOTDATA("Sum of Qty",'[1]DATA LAST MONTH DEVICE'!$A$6,"ID Store",$C27,"Segment Price","3mio&gt;"),0)</f>
        <v>7</v>
      </c>
      <c r="AR27" s="84">
        <f t="shared" si="25"/>
        <v>1</v>
      </c>
      <c r="AS27" s="84">
        <f t="shared" si="26"/>
        <v>-6</v>
      </c>
      <c r="AT27" s="83">
        <f t="shared" si="27"/>
        <v>-0.8571428571428571</v>
      </c>
      <c r="AU27" s="98">
        <f>IFERROR(GETPIVOTDATA("Sum of SRP",'[1]DATA LAST MONTH DEVICE'!$A$6,"ID Store",$C27),0)</f>
        <v>42388000</v>
      </c>
      <c r="AV27" s="98">
        <f t="shared" si="28"/>
        <v>16694000</v>
      </c>
      <c r="AW27" s="98">
        <f t="shared" si="29"/>
        <v>-25694000</v>
      </c>
      <c r="AX27" s="83">
        <f t="shared" si="30"/>
        <v>-0.6061621213551005</v>
      </c>
      <c r="AY27" s="98">
        <f>IFERROR(VLOOKUP(C27,'[1]DATA SALES LAST MONTH'!A:E,5,0),0)</f>
        <v>3532333.3333333335</v>
      </c>
      <c r="AZ27" s="85">
        <f t="shared" si="31"/>
        <v>2782333.333333333</v>
      </c>
      <c r="BA27" s="85">
        <f t="shared" si="32"/>
        <v>-750000.00000000047</v>
      </c>
      <c r="BB27" s="95">
        <f t="shared" si="33"/>
        <v>-0.21232424271020112</v>
      </c>
      <c r="BC27" s="78">
        <f>IFERROR(VLOOKUP(C27,'[1]TARGET THIS MONTH'!C:U,15,0),0)</f>
        <v>3</v>
      </c>
      <c r="BD27" s="99">
        <f>IFERROR(GETPIVOTDATA("Sum of Qty",[1]ACC!$A$5,"ID Store",$C27),0)</f>
        <v>1</v>
      </c>
      <c r="BE27" s="83">
        <f t="shared" si="34"/>
        <v>0.33333333333333331</v>
      </c>
      <c r="BF27" s="100">
        <f>IFERROR(VLOOKUP(C27,'[1]TARGET THIS MONTH'!C:U,16,0),0)</f>
        <v>350000</v>
      </c>
      <c r="BG27" s="100">
        <f>IFERROR(GETPIVOTDATA("Sum of SRP",'[1]Insurance by Store'!$A$5,"ID Store",$C27,"Product Type","Qoala"),0)</f>
        <v>0</v>
      </c>
      <c r="BH27" s="83">
        <f t="shared" si="35"/>
        <v>0</v>
      </c>
      <c r="BI27" s="100">
        <f>IFERROR(VLOOKUP(C27,'[1]TARGET THIS MONTH'!C:U,17,0),0)</f>
        <v>150000</v>
      </c>
      <c r="BJ27" s="100">
        <f>IFERROR(GETPIVOTDATA("Sum of SRP",'[1]Insurance by Store'!$A$5,"ID Store",$C27,"Product Type","Vivo Care"),0)</f>
        <v>0</v>
      </c>
      <c r="BK27" s="83">
        <f t="shared" si="36"/>
        <v>0</v>
      </c>
      <c r="BL27" s="81">
        <f>IFERROR(VLOOKUP(C27,'[1]TARGET THIS MONTH'!C:U,18,0),0)</f>
        <v>0.89999999999999991</v>
      </c>
      <c r="BM27" s="82">
        <f>IFERROR(GETPIVOTDATA("Sum of Qty",'[1]Operator by Store'!$A$5,"ID Store",$C27,"Product Type","Indosat"),0)</f>
        <v>0</v>
      </c>
      <c r="BN27" s="83">
        <f t="shared" si="37"/>
        <v>0</v>
      </c>
      <c r="BO27" s="81">
        <f>VLOOKUP(C27,'[1]TARGET THIS MONTH'!C:U,19,0)</f>
        <v>9</v>
      </c>
      <c r="BP27" s="82">
        <f>IFERROR(GETPIVOTDATA("Sum of Qty",'[1]Operator by Store'!$A$5,"ID Store",$C27,"Product Type","Telkomsel"),0)</f>
        <v>0</v>
      </c>
      <c r="BQ27" s="101">
        <f t="shared" si="38"/>
        <v>0</v>
      </c>
    </row>
    <row r="28" spans="1:69" x14ac:dyDescent="0.2">
      <c r="A28" s="72">
        <v>24</v>
      </c>
      <c r="B28" s="73" t="s">
        <v>73</v>
      </c>
      <c r="C28" s="74">
        <v>6240701</v>
      </c>
      <c r="D28" s="75" t="s">
        <v>78</v>
      </c>
      <c r="E28" s="102" t="s">
        <v>79</v>
      </c>
      <c r="F28" s="77">
        <v>3</v>
      </c>
      <c r="G28" s="78">
        <f>IFERROR(VLOOKUP(C28,'[1]TARGET THIS MONTH'!C:E,3,0),0)</f>
        <v>90</v>
      </c>
      <c r="H28" s="79">
        <f>IFERROR(VLOOKUP(C28,'[1]TARGET THIS MONTH'!C:M,11,0),0)</f>
        <v>387000000</v>
      </c>
      <c r="I28" s="78">
        <f>IFERROR(GETPIVOTDATA("Sum of Qty",'[1]DEVICE &amp; VALUE'!$A$6,"ID Store",$C28),0)</f>
        <v>43</v>
      </c>
      <c r="J28" s="80">
        <f t="shared" si="0"/>
        <v>0.4777777777777778</v>
      </c>
      <c r="K28" s="81">
        <f t="shared" si="1"/>
        <v>-47</v>
      </c>
      <c r="L28" s="82">
        <f>IFERROR(GETPIVOTDATA("Sum of Qty",[1]PF!$A$5,"ID Store",$C28),0)</f>
        <v>12</v>
      </c>
      <c r="M28" s="82">
        <f>IFERROR(GETPIVOTDATA("Sum of Qty",'[1]DEVICE &amp; VALUE'!$A$6,"ID Store",$C28,"Segment Price","3mio&gt;"),0)</f>
        <v>16</v>
      </c>
      <c r="N28" s="83">
        <f t="shared" si="2"/>
        <v>0.37209302325581395</v>
      </c>
      <c r="O28" s="84">
        <f>IFERROR(GETPIVOTDATA("Sum of Qty",[1]IQOO!$A$6,"ID Store",$C28),0)</f>
        <v>1</v>
      </c>
      <c r="P28" s="83">
        <f t="shared" si="3"/>
        <v>2.3255813953488372E-2</v>
      </c>
      <c r="Q28" s="83">
        <f t="shared" si="4"/>
        <v>0.37209302325581395</v>
      </c>
      <c r="R28" s="85">
        <f>IFERROR(GETPIVOTDATA("Sum of SRP",'[1]DEVICE &amp; VALUE'!$A$6,"ID Store",$C28),0)</f>
        <v>151457000</v>
      </c>
      <c r="S28" s="83">
        <f t="shared" si="5"/>
        <v>0.39136175710594318</v>
      </c>
      <c r="T28" s="86">
        <f t="shared" si="6"/>
        <v>-235543000</v>
      </c>
      <c r="U28" s="87">
        <f t="shared" si="7"/>
        <v>117.27272727272728</v>
      </c>
      <c r="V28" s="88">
        <f t="shared" si="8"/>
        <v>1.3030303030303032</v>
      </c>
      <c r="W28" s="89">
        <f t="shared" si="9"/>
        <v>27.27272727272728</v>
      </c>
      <c r="X28" s="89">
        <f t="shared" si="10"/>
        <v>43.63636363636364</v>
      </c>
      <c r="Y28" s="89">
        <f t="shared" si="11"/>
        <v>-46.36363636363636</v>
      </c>
      <c r="Z28" s="90">
        <f t="shared" si="12"/>
        <v>413064545.45454544</v>
      </c>
      <c r="AA28" s="90">
        <f t="shared" si="13"/>
        <v>26064545.454545438</v>
      </c>
      <c r="AB28" s="91">
        <f t="shared" si="14"/>
        <v>1.0673502466525722</v>
      </c>
      <c r="AC28" s="92">
        <f t="shared" si="15"/>
        <v>2.4736842105263159</v>
      </c>
      <c r="AD28" s="93">
        <f t="shared" si="16"/>
        <v>12397000</v>
      </c>
      <c r="AE28" s="78">
        <f>IFERROR(GETPIVOTDATA("Sum of Qty",'[1]DATA LAST MONTH IQOO'!$A$6,"ID Store",$C28),0)</f>
        <v>5</v>
      </c>
      <c r="AF28" s="94">
        <f>IFERROR(GETPIVOTDATA("Sum of Qty",[1]IQOO!$A$6,"ID Store",$C28),0)</f>
        <v>1</v>
      </c>
      <c r="AG28" s="81">
        <f t="shared" si="17"/>
        <v>-4</v>
      </c>
      <c r="AH28" s="95">
        <f t="shared" si="18"/>
        <v>-0.8</v>
      </c>
      <c r="AI28" s="96">
        <f>IFERROR(GETPIVOTDATA("Sum of Qty",'[1]DATA LAST MONTH DEVICE'!$A$6,"ID Store",$C28),0)</f>
        <v>39</v>
      </c>
      <c r="AJ28" s="97">
        <f t="shared" si="19"/>
        <v>43</v>
      </c>
      <c r="AK28" s="81">
        <f t="shared" si="20"/>
        <v>4</v>
      </c>
      <c r="AL28" s="83">
        <f t="shared" si="21"/>
        <v>0.10256410256410256</v>
      </c>
      <c r="AM28" s="82">
        <f>IFERROR(GETPIVOTDATA("Sum of Qty",'[1]Store 3mio+ last month'!$A$6,"ID Store",$C28),0)</f>
        <v>94</v>
      </c>
      <c r="AN28" s="81">
        <f t="shared" si="22"/>
        <v>117.27272727272728</v>
      </c>
      <c r="AO28" s="81">
        <f t="shared" si="23"/>
        <v>23.27272727272728</v>
      </c>
      <c r="AP28" s="83">
        <f t="shared" si="24"/>
        <v>0.24758220502901362</v>
      </c>
      <c r="AQ28" s="82">
        <f>IFERROR(GETPIVOTDATA("Sum of Qty",'[1]DATA LAST MONTH DEVICE'!$A$6,"ID Store",$C28,"Segment Price","3mio&gt;"),0)</f>
        <v>16</v>
      </c>
      <c r="AR28" s="84">
        <f t="shared" si="25"/>
        <v>16</v>
      </c>
      <c r="AS28" s="84">
        <f t="shared" si="26"/>
        <v>0</v>
      </c>
      <c r="AT28" s="83">
        <f t="shared" si="27"/>
        <v>0</v>
      </c>
      <c r="AU28" s="98">
        <f>IFERROR(GETPIVOTDATA("Sum of SRP",'[1]DATA LAST MONTH DEVICE'!$A$6,"ID Store",$C28),0)</f>
        <v>150761000</v>
      </c>
      <c r="AV28" s="98">
        <f t="shared" si="28"/>
        <v>151457000</v>
      </c>
      <c r="AW28" s="98">
        <f t="shared" si="29"/>
        <v>696000</v>
      </c>
      <c r="AX28" s="83">
        <f t="shared" si="30"/>
        <v>4.6165785581151622E-3</v>
      </c>
      <c r="AY28" s="98">
        <f>IFERROR(VLOOKUP(C28,'[1]DATA SALES LAST MONTH'!A:E,5,0),0)</f>
        <v>3865666.6666666665</v>
      </c>
      <c r="AZ28" s="85">
        <f t="shared" si="31"/>
        <v>3522255.8139534881</v>
      </c>
      <c r="BA28" s="85">
        <f t="shared" si="32"/>
        <v>-343410.85271317838</v>
      </c>
      <c r="BB28" s="95">
        <f t="shared" si="33"/>
        <v>-8.8836126424035114E-2</v>
      </c>
      <c r="BC28" s="78">
        <f>IFERROR(VLOOKUP(C28,'[1]TARGET THIS MONTH'!C:U,15,0),0)</f>
        <v>9</v>
      </c>
      <c r="BD28" s="99">
        <f>IFERROR(GETPIVOTDATA("Sum of Qty",[1]ACC!$A$5,"ID Store",$C28),0)</f>
        <v>1</v>
      </c>
      <c r="BE28" s="83">
        <f t="shared" si="34"/>
        <v>0.1111111111111111</v>
      </c>
      <c r="BF28" s="100">
        <f>IFERROR(VLOOKUP(C28,'[1]TARGET THIS MONTH'!C:U,16,0),0)</f>
        <v>1935000</v>
      </c>
      <c r="BG28" s="100">
        <f>IFERROR(GETPIVOTDATA("Sum of SRP",'[1]Insurance by Store'!$A$5,"ID Store",$C28,"Product Type","Qoala"),0)</f>
        <v>1453000</v>
      </c>
      <c r="BH28" s="83">
        <f t="shared" si="35"/>
        <v>0.75090439276485788</v>
      </c>
      <c r="BI28" s="100">
        <f>IFERROR(VLOOKUP(C28,'[1]TARGET THIS MONTH'!C:U,17,0),0)</f>
        <v>387000</v>
      </c>
      <c r="BJ28" s="100">
        <f>IFERROR(GETPIVOTDATA("Sum of SRP",'[1]Insurance by Store'!$A$5,"ID Store",$C28,"Product Type","Vivo Care"),0)</f>
        <v>0</v>
      </c>
      <c r="BK28" s="83">
        <f t="shared" si="36"/>
        <v>0</v>
      </c>
      <c r="BL28" s="81">
        <f>IFERROR(VLOOKUP(C28,'[1]TARGET THIS MONTH'!C:U,18,0),0)</f>
        <v>2.6999999999999997</v>
      </c>
      <c r="BM28" s="82">
        <f>IFERROR(GETPIVOTDATA("Sum of Qty",'[1]Operator by Store'!$A$5,"ID Store",$C28,"Product Type","Indosat"),0)</f>
        <v>0</v>
      </c>
      <c r="BN28" s="83">
        <f t="shared" si="37"/>
        <v>0</v>
      </c>
      <c r="BO28" s="81">
        <f>VLOOKUP(C28,'[1]TARGET THIS MONTH'!C:U,19,0)</f>
        <v>27</v>
      </c>
      <c r="BP28" s="82">
        <f>IFERROR(GETPIVOTDATA("Sum of Qty",'[1]Operator by Store'!$A$5,"ID Store",$C28,"Product Type","Telkomsel"),0)</f>
        <v>0</v>
      </c>
      <c r="BQ28" s="101">
        <f t="shared" si="38"/>
        <v>0</v>
      </c>
    </row>
    <row r="29" spans="1:69" x14ac:dyDescent="0.2">
      <c r="A29" s="72">
        <v>25</v>
      </c>
      <c r="B29" s="73" t="s">
        <v>73</v>
      </c>
      <c r="C29" s="74">
        <v>6170706</v>
      </c>
      <c r="D29" s="75" t="s">
        <v>80</v>
      </c>
      <c r="E29" s="102" t="s">
        <v>79</v>
      </c>
      <c r="F29" s="77">
        <v>3</v>
      </c>
      <c r="G29" s="78">
        <f>IFERROR(VLOOKUP(C29,'[1]TARGET THIS MONTH'!C:E,3,0),0)</f>
        <v>90</v>
      </c>
      <c r="H29" s="79">
        <f>IFERROR(VLOOKUP(C29,'[1]TARGET THIS MONTH'!C:M,11,0),0)</f>
        <v>387000000</v>
      </c>
      <c r="I29" s="78">
        <f>IFERROR(GETPIVOTDATA("Sum of Qty",'[1]DEVICE &amp; VALUE'!$A$6,"ID Store",$C29),0)</f>
        <v>40</v>
      </c>
      <c r="J29" s="80">
        <f t="shared" si="0"/>
        <v>0.44444444444444442</v>
      </c>
      <c r="K29" s="81">
        <f t="shared" si="1"/>
        <v>-50</v>
      </c>
      <c r="L29" s="82">
        <f>IFERROR(GETPIVOTDATA("Sum of Qty",[1]PF!$A$5,"ID Store",$C29),0)</f>
        <v>4</v>
      </c>
      <c r="M29" s="82">
        <f>IFERROR(GETPIVOTDATA("Sum of Qty",'[1]DEVICE &amp; VALUE'!$A$6,"ID Store",$C29,"Segment Price","3mio&gt;"),0)</f>
        <v>7</v>
      </c>
      <c r="N29" s="83">
        <f t="shared" si="2"/>
        <v>0.17499999999999999</v>
      </c>
      <c r="O29" s="84">
        <f>IFERROR(GETPIVOTDATA("Sum of Qty",[1]IQOO!$A$6,"ID Store",$C29),0)</f>
        <v>0</v>
      </c>
      <c r="P29" s="83">
        <f t="shared" si="3"/>
        <v>0</v>
      </c>
      <c r="Q29" s="83">
        <f t="shared" si="4"/>
        <v>0.17499999999999999</v>
      </c>
      <c r="R29" s="85">
        <f>IFERROR(GETPIVOTDATA("Sum of SRP",'[1]DEVICE &amp; VALUE'!$A$6,"ID Store",$C29),0)</f>
        <v>120860000</v>
      </c>
      <c r="S29" s="83">
        <f t="shared" si="5"/>
        <v>0.31229974160206719</v>
      </c>
      <c r="T29" s="86">
        <f t="shared" si="6"/>
        <v>-266140000</v>
      </c>
      <c r="U29" s="87">
        <f t="shared" si="7"/>
        <v>109.09090909090909</v>
      </c>
      <c r="V29" s="88">
        <f t="shared" si="8"/>
        <v>1.2121212121212122</v>
      </c>
      <c r="W29" s="89">
        <f t="shared" si="9"/>
        <v>19.090909090909093</v>
      </c>
      <c r="X29" s="89">
        <f t="shared" si="10"/>
        <v>19.09090909090909</v>
      </c>
      <c r="Y29" s="89">
        <f t="shared" si="11"/>
        <v>-70.909090909090907</v>
      </c>
      <c r="Z29" s="90">
        <f t="shared" si="12"/>
        <v>329618181.81818181</v>
      </c>
      <c r="AA29" s="90">
        <f t="shared" si="13"/>
        <v>-57381818.181818187</v>
      </c>
      <c r="AB29" s="91">
        <f t="shared" si="14"/>
        <v>0.85172656800563773</v>
      </c>
      <c r="AC29" s="92">
        <f t="shared" si="15"/>
        <v>2.6315789473684212</v>
      </c>
      <c r="AD29" s="93">
        <f t="shared" si="16"/>
        <v>14007368.421052631</v>
      </c>
      <c r="AE29" s="78">
        <f>IFERROR(GETPIVOTDATA("Sum of Qty",'[1]DATA LAST MONTH IQOO'!$A$6,"ID Store",$C29),0)</f>
        <v>2</v>
      </c>
      <c r="AF29" s="94">
        <f>IFERROR(GETPIVOTDATA("Sum of Qty",[1]IQOO!$A$6,"ID Store",$C29),0)</f>
        <v>0</v>
      </c>
      <c r="AG29" s="81">
        <f t="shared" si="17"/>
        <v>-2</v>
      </c>
      <c r="AH29" s="95">
        <f t="shared" si="18"/>
        <v>-1</v>
      </c>
      <c r="AI29" s="96">
        <f>IFERROR(GETPIVOTDATA("Sum of Qty",'[1]DATA LAST MONTH DEVICE'!$A$6,"ID Store",$C29),0)</f>
        <v>31</v>
      </c>
      <c r="AJ29" s="97">
        <f t="shared" si="19"/>
        <v>40</v>
      </c>
      <c r="AK29" s="81">
        <f t="shared" si="20"/>
        <v>9</v>
      </c>
      <c r="AL29" s="83">
        <f t="shared" si="21"/>
        <v>0.29032258064516131</v>
      </c>
      <c r="AM29" s="82">
        <f>IFERROR(GETPIVOTDATA("Sum of Qty",'[1]Store 3mio+ last month'!$A$6,"ID Store",$C29),0)</f>
        <v>94</v>
      </c>
      <c r="AN29" s="81">
        <f t="shared" si="22"/>
        <v>109.09090909090909</v>
      </c>
      <c r="AO29" s="81">
        <f t="shared" si="23"/>
        <v>15.090909090909093</v>
      </c>
      <c r="AP29" s="83">
        <f t="shared" si="24"/>
        <v>0.160541586073501</v>
      </c>
      <c r="AQ29" s="82">
        <f>IFERROR(GETPIVOTDATA("Sum of Qty",'[1]DATA LAST MONTH DEVICE'!$A$6,"ID Store",$C29,"Segment Price","3mio&gt;"),0)</f>
        <v>13</v>
      </c>
      <c r="AR29" s="84">
        <f t="shared" si="25"/>
        <v>7</v>
      </c>
      <c r="AS29" s="84">
        <f t="shared" si="26"/>
        <v>-6</v>
      </c>
      <c r="AT29" s="83">
        <f t="shared" si="27"/>
        <v>-0.46153846153846156</v>
      </c>
      <c r="AU29" s="98">
        <f>IFERROR(GETPIVOTDATA("Sum of SRP",'[1]DATA LAST MONTH DEVICE'!$A$6,"ID Store",$C29),0)</f>
        <v>124369000</v>
      </c>
      <c r="AV29" s="98">
        <f t="shared" si="28"/>
        <v>120860000</v>
      </c>
      <c r="AW29" s="98">
        <f t="shared" si="29"/>
        <v>-3509000</v>
      </c>
      <c r="AX29" s="83">
        <f t="shared" si="30"/>
        <v>-2.8214426424591339E-2</v>
      </c>
      <c r="AY29" s="98">
        <f>IFERROR(VLOOKUP(C29,'[1]DATA SALES LAST MONTH'!A:E,5,0),0)</f>
        <v>4011903.2258064514</v>
      </c>
      <c r="AZ29" s="85">
        <f t="shared" si="31"/>
        <v>3021500</v>
      </c>
      <c r="BA29" s="85">
        <f t="shared" si="32"/>
        <v>-990403.2258064514</v>
      </c>
      <c r="BB29" s="95">
        <f t="shared" si="33"/>
        <v>-0.24686618047905826</v>
      </c>
      <c r="BC29" s="78">
        <f>IFERROR(VLOOKUP(C29,'[1]TARGET THIS MONTH'!C:U,15,0),0)</f>
        <v>9</v>
      </c>
      <c r="BD29" s="99">
        <f>IFERROR(GETPIVOTDATA("Sum of Qty",[1]ACC!$A$5,"ID Store",$C29),0)</f>
        <v>0</v>
      </c>
      <c r="BE29" s="83">
        <f t="shared" si="34"/>
        <v>0</v>
      </c>
      <c r="BF29" s="100">
        <f>IFERROR(VLOOKUP(C29,'[1]TARGET THIS MONTH'!C:U,16,0),0)</f>
        <v>1935000</v>
      </c>
      <c r="BG29" s="100">
        <f>IFERROR(GETPIVOTDATA("Sum of SRP",'[1]Insurance by Store'!$A$5,"ID Store",$C29,"Product Type","Qoala"),0)</f>
        <v>159000</v>
      </c>
      <c r="BH29" s="83">
        <f t="shared" si="35"/>
        <v>8.2170542635658914E-2</v>
      </c>
      <c r="BI29" s="100">
        <f>IFERROR(VLOOKUP(C29,'[1]TARGET THIS MONTH'!C:U,17,0),0)</f>
        <v>387000</v>
      </c>
      <c r="BJ29" s="100">
        <f>IFERROR(GETPIVOTDATA("Sum of SRP",'[1]Insurance by Store'!$A$5,"ID Store",$C29,"Product Type","Vivo Care"),0)</f>
        <v>0</v>
      </c>
      <c r="BK29" s="83">
        <f t="shared" si="36"/>
        <v>0</v>
      </c>
      <c r="BL29" s="81">
        <f>IFERROR(VLOOKUP(C29,'[1]TARGET THIS MONTH'!C:U,18,0),0)</f>
        <v>2.6999999999999997</v>
      </c>
      <c r="BM29" s="82">
        <f>IFERROR(GETPIVOTDATA("Sum of Qty",'[1]Operator by Store'!$A$5,"ID Store",$C29,"Product Type","Indosat"),0)</f>
        <v>0</v>
      </c>
      <c r="BN29" s="83">
        <f t="shared" si="37"/>
        <v>0</v>
      </c>
      <c r="BO29" s="81">
        <f>VLOOKUP(C29,'[1]TARGET THIS MONTH'!C:U,19,0)</f>
        <v>27</v>
      </c>
      <c r="BP29" s="82">
        <f>IFERROR(GETPIVOTDATA("Sum of Qty",'[1]Operator by Store'!$A$5,"ID Store",$C29,"Product Type","Telkomsel"),0)</f>
        <v>0</v>
      </c>
      <c r="BQ29" s="101">
        <f t="shared" si="38"/>
        <v>0</v>
      </c>
    </row>
    <row r="30" spans="1:69" x14ac:dyDescent="0.2">
      <c r="A30" s="72">
        <v>26</v>
      </c>
      <c r="B30" s="73" t="s">
        <v>73</v>
      </c>
      <c r="C30" s="74">
        <v>6240703</v>
      </c>
      <c r="D30" s="75" t="s">
        <v>81</v>
      </c>
      <c r="E30" s="102" t="s">
        <v>79</v>
      </c>
      <c r="F30" s="77">
        <v>2</v>
      </c>
      <c r="G30" s="78">
        <f>IFERROR(VLOOKUP(C30,'[1]TARGET THIS MONTH'!C:E,3,0),0)</f>
        <v>90</v>
      </c>
      <c r="H30" s="79">
        <f>IFERROR(VLOOKUP(C30,'[1]TARGET THIS MONTH'!C:M,11,0),0)</f>
        <v>387000000</v>
      </c>
      <c r="I30" s="78">
        <f>IFERROR(GETPIVOTDATA("Sum of Qty",'[1]DEVICE &amp; VALUE'!$A$6,"ID Store",$C30),0)</f>
        <v>34</v>
      </c>
      <c r="J30" s="80">
        <f t="shared" si="0"/>
        <v>0.37777777777777777</v>
      </c>
      <c r="K30" s="81">
        <f t="shared" si="1"/>
        <v>-56</v>
      </c>
      <c r="L30" s="82">
        <f>IFERROR(GETPIVOTDATA("Sum of Qty",[1]PF!$A$5,"ID Store",$C30),0)</f>
        <v>10</v>
      </c>
      <c r="M30" s="82">
        <f>IFERROR(GETPIVOTDATA("Sum of Qty",'[1]DEVICE &amp; VALUE'!$A$6,"ID Store",$C30,"Segment Price","3mio&gt;"),0)</f>
        <v>17</v>
      </c>
      <c r="N30" s="83">
        <f t="shared" si="2"/>
        <v>0.5</v>
      </c>
      <c r="O30" s="84">
        <f>IFERROR(GETPIVOTDATA("Sum of Qty",[1]IQOO!$A$6,"ID Store",$C30),0)</f>
        <v>0</v>
      </c>
      <c r="P30" s="83">
        <f t="shared" si="3"/>
        <v>0</v>
      </c>
      <c r="Q30" s="83">
        <f t="shared" si="4"/>
        <v>0.5</v>
      </c>
      <c r="R30" s="85">
        <f>IFERROR(GETPIVOTDATA("Sum of SRP",'[1]DEVICE &amp; VALUE'!$A$6,"ID Store",$C30),0)</f>
        <v>148666000</v>
      </c>
      <c r="S30" s="83">
        <f t="shared" si="5"/>
        <v>0.38414987080103358</v>
      </c>
      <c r="T30" s="86">
        <f t="shared" si="6"/>
        <v>-238334000</v>
      </c>
      <c r="U30" s="87">
        <f t="shared" si="7"/>
        <v>92.72727272727272</v>
      </c>
      <c r="V30" s="88">
        <f t="shared" si="8"/>
        <v>1.0303030303030303</v>
      </c>
      <c r="W30" s="89">
        <f t="shared" si="9"/>
        <v>2.7272727272727195</v>
      </c>
      <c r="X30" s="89">
        <f t="shared" si="10"/>
        <v>46.36363636363636</v>
      </c>
      <c r="Y30" s="89">
        <f t="shared" si="11"/>
        <v>-43.63636363636364</v>
      </c>
      <c r="Z30" s="90">
        <f t="shared" si="12"/>
        <v>405452727.27272725</v>
      </c>
      <c r="AA30" s="90">
        <f t="shared" si="13"/>
        <v>18452727.272727251</v>
      </c>
      <c r="AB30" s="91">
        <f t="shared" si="14"/>
        <v>1.0476814658210007</v>
      </c>
      <c r="AC30" s="92">
        <f t="shared" si="15"/>
        <v>2.9473684210526314</v>
      </c>
      <c r="AD30" s="93">
        <f t="shared" si="16"/>
        <v>12543894.736842105</v>
      </c>
      <c r="AE30" s="78">
        <f>IFERROR(GETPIVOTDATA("Sum of Qty",'[1]DATA LAST MONTH IQOO'!$A$6,"ID Store",$C30),0)</f>
        <v>4</v>
      </c>
      <c r="AF30" s="94">
        <f>IFERROR(GETPIVOTDATA("Sum of Qty",[1]IQOO!$A$6,"ID Store",$C30),0)</f>
        <v>0</v>
      </c>
      <c r="AG30" s="81">
        <f t="shared" si="17"/>
        <v>-4</v>
      </c>
      <c r="AH30" s="95">
        <f t="shared" si="18"/>
        <v>-1</v>
      </c>
      <c r="AI30" s="96">
        <f>IFERROR(GETPIVOTDATA("Sum of Qty",'[1]DATA LAST MONTH DEVICE'!$A$6,"ID Store",$C30),0)</f>
        <v>36</v>
      </c>
      <c r="AJ30" s="97">
        <f t="shared" si="19"/>
        <v>34</v>
      </c>
      <c r="AK30" s="81">
        <f t="shared" si="20"/>
        <v>-2</v>
      </c>
      <c r="AL30" s="83">
        <f t="shared" si="21"/>
        <v>-5.5555555555555552E-2</v>
      </c>
      <c r="AM30" s="82">
        <f>IFERROR(GETPIVOTDATA("Sum of Qty",'[1]Store 3mio+ last month'!$A$6,"ID Store",$C30),0)</f>
        <v>105</v>
      </c>
      <c r="AN30" s="81">
        <f t="shared" si="22"/>
        <v>92.72727272727272</v>
      </c>
      <c r="AO30" s="81">
        <f t="shared" si="23"/>
        <v>-12.27272727272728</v>
      </c>
      <c r="AP30" s="83">
        <f t="shared" si="24"/>
        <v>-0.11688311688311696</v>
      </c>
      <c r="AQ30" s="82">
        <f>IFERROR(GETPIVOTDATA("Sum of Qty",'[1]DATA LAST MONTH DEVICE'!$A$6,"ID Store",$C30,"Segment Price","3mio&gt;"),0)</f>
        <v>20</v>
      </c>
      <c r="AR30" s="84">
        <f t="shared" si="25"/>
        <v>17</v>
      </c>
      <c r="AS30" s="84">
        <f t="shared" si="26"/>
        <v>-3</v>
      </c>
      <c r="AT30" s="83">
        <f t="shared" si="27"/>
        <v>-0.15</v>
      </c>
      <c r="AU30" s="98">
        <f>IFERROR(GETPIVOTDATA("Sum of SRP",'[1]DATA LAST MONTH DEVICE'!$A$6,"ID Store",$C30),0)</f>
        <v>155064000</v>
      </c>
      <c r="AV30" s="98">
        <f t="shared" si="28"/>
        <v>148666000</v>
      </c>
      <c r="AW30" s="98">
        <f t="shared" si="29"/>
        <v>-6398000</v>
      </c>
      <c r="AX30" s="83">
        <f t="shared" si="30"/>
        <v>-4.1260382809678586E-2</v>
      </c>
      <c r="AY30" s="98">
        <f>IFERROR(VLOOKUP(C30,'[1]DATA SALES LAST MONTH'!A:E,5,0),0)</f>
        <v>4307333.333333333</v>
      </c>
      <c r="AZ30" s="85">
        <f t="shared" si="31"/>
        <v>4372529.4117647056</v>
      </c>
      <c r="BA30" s="85">
        <f t="shared" si="32"/>
        <v>65196.078431372531</v>
      </c>
      <c r="BB30" s="95">
        <f t="shared" si="33"/>
        <v>1.5136065260340319E-2</v>
      </c>
      <c r="BC30" s="78">
        <f>IFERROR(VLOOKUP(C30,'[1]TARGET THIS MONTH'!C:U,15,0),0)</f>
        <v>9</v>
      </c>
      <c r="BD30" s="99">
        <f>IFERROR(GETPIVOTDATA("Sum of Qty",[1]ACC!$A$5,"ID Store",$C30),0)</f>
        <v>1</v>
      </c>
      <c r="BE30" s="83">
        <f t="shared" si="34"/>
        <v>0.1111111111111111</v>
      </c>
      <c r="BF30" s="100">
        <f>IFERROR(VLOOKUP(C30,'[1]TARGET THIS MONTH'!C:U,16,0),0)</f>
        <v>1935000</v>
      </c>
      <c r="BG30" s="100">
        <f>IFERROR(GETPIVOTDATA("Sum of SRP",'[1]Insurance by Store'!$A$5,"ID Store",$C30,"Product Type","Qoala"),0)</f>
        <v>748000</v>
      </c>
      <c r="BH30" s="83">
        <f t="shared" si="35"/>
        <v>0.38656330749354006</v>
      </c>
      <c r="BI30" s="100">
        <f>IFERROR(VLOOKUP(C30,'[1]TARGET THIS MONTH'!C:U,17,0),0)</f>
        <v>387000</v>
      </c>
      <c r="BJ30" s="100">
        <f>IFERROR(GETPIVOTDATA("Sum of SRP",'[1]Insurance by Store'!$A$5,"ID Store",$C30,"Product Type","Vivo Care"),0)</f>
        <v>0</v>
      </c>
      <c r="BK30" s="83">
        <f t="shared" si="36"/>
        <v>0</v>
      </c>
      <c r="BL30" s="81">
        <f>IFERROR(VLOOKUP(C30,'[1]TARGET THIS MONTH'!C:U,18,0),0)</f>
        <v>2.6999999999999997</v>
      </c>
      <c r="BM30" s="82">
        <f>IFERROR(GETPIVOTDATA("Sum of Qty",'[1]Operator by Store'!$A$5,"ID Store",$C30,"Product Type","Indosat"),0)</f>
        <v>0</v>
      </c>
      <c r="BN30" s="83">
        <f t="shared" si="37"/>
        <v>0</v>
      </c>
      <c r="BO30" s="81">
        <f>VLOOKUP(C30,'[1]TARGET THIS MONTH'!C:U,19,0)</f>
        <v>27</v>
      </c>
      <c r="BP30" s="82">
        <f>IFERROR(GETPIVOTDATA("Sum of Qty",'[1]Operator by Store'!$A$5,"ID Store",$C30,"Product Type","Telkomsel"),0)</f>
        <v>0</v>
      </c>
      <c r="BQ30" s="101">
        <f t="shared" si="38"/>
        <v>0</v>
      </c>
    </row>
    <row r="31" spans="1:69" x14ac:dyDescent="0.2">
      <c r="A31" s="72">
        <v>27</v>
      </c>
      <c r="B31" s="73" t="s">
        <v>73</v>
      </c>
      <c r="C31" s="74">
        <v>6170703</v>
      </c>
      <c r="D31" s="75" t="s">
        <v>82</v>
      </c>
      <c r="E31" s="103" t="s">
        <v>83</v>
      </c>
      <c r="F31" s="77">
        <v>2</v>
      </c>
      <c r="G31" s="78">
        <f>IFERROR(VLOOKUP(C31,'[1]TARGET THIS MONTH'!C:E,3,0),0)</f>
        <v>30</v>
      </c>
      <c r="H31" s="79">
        <f>IFERROR(VLOOKUP(C31,'[1]TARGET THIS MONTH'!C:M,11,0),0)</f>
        <v>150000000</v>
      </c>
      <c r="I31" s="78">
        <f>IFERROR(GETPIVOTDATA("Sum of Qty",'[1]DEVICE &amp; VALUE'!$A$6,"ID Store",$C31),0)</f>
        <v>9</v>
      </c>
      <c r="J31" s="80">
        <f t="shared" si="0"/>
        <v>0.3</v>
      </c>
      <c r="K31" s="81">
        <f t="shared" si="1"/>
        <v>-21</v>
      </c>
      <c r="L31" s="82">
        <f>IFERROR(GETPIVOTDATA("Sum of Qty",[1]PF!$A$5,"ID Store",$C31),0)</f>
        <v>2</v>
      </c>
      <c r="M31" s="82">
        <f>IFERROR(GETPIVOTDATA("Sum of Qty",'[1]DEVICE &amp; VALUE'!$A$6,"ID Store",$C31,"Segment Price","3mio&gt;"),0)</f>
        <v>6</v>
      </c>
      <c r="N31" s="83">
        <f t="shared" si="2"/>
        <v>0.66666666666666663</v>
      </c>
      <c r="O31" s="84">
        <f>IFERROR(GETPIVOTDATA("Sum of Qty",[1]IQOO!$A$6,"ID Store",$C31),0)</f>
        <v>1</v>
      </c>
      <c r="P31" s="83">
        <f t="shared" si="3"/>
        <v>0.1111111111111111</v>
      </c>
      <c r="Q31" s="83">
        <f t="shared" si="4"/>
        <v>0.66666666666666663</v>
      </c>
      <c r="R31" s="85">
        <f>IFERROR(GETPIVOTDATA("Sum of SRP",'[1]DEVICE &amp; VALUE'!$A$6,"ID Store",$C31),0)</f>
        <v>52391000</v>
      </c>
      <c r="S31" s="83">
        <f t="shared" si="5"/>
        <v>0.34927333333333332</v>
      </c>
      <c r="T31" s="86">
        <f t="shared" si="6"/>
        <v>-97609000</v>
      </c>
      <c r="U31" s="87">
        <f t="shared" si="7"/>
        <v>24.545454545454547</v>
      </c>
      <c r="V31" s="88">
        <f t="shared" si="8"/>
        <v>0.81818181818181823</v>
      </c>
      <c r="W31" s="89">
        <f t="shared" si="9"/>
        <v>-5.4545454545454533</v>
      </c>
      <c r="X31" s="89">
        <f t="shared" si="10"/>
        <v>16.363636363636363</v>
      </c>
      <c r="Y31" s="89">
        <f t="shared" si="11"/>
        <v>-13.636363636363637</v>
      </c>
      <c r="Z31" s="90">
        <f t="shared" si="12"/>
        <v>142884545.45454544</v>
      </c>
      <c r="AA31" s="90">
        <f t="shared" si="13"/>
        <v>-7115454.5454545617</v>
      </c>
      <c r="AB31" s="91">
        <f t="shared" si="14"/>
        <v>0.95256363636363628</v>
      </c>
      <c r="AC31" s="92">
        <f t="shared" si="15"/>
        <v>1.1052631578947369</v>
      </c>
      <c r="AD31" s="93">
        <f t="shared" si="16"/>
        <v>5137315.7894736845</v>
      </c>
      <c r="AE31" s="78">
        <f>IFERROR(GETPIVOTDATA("Sum of Qty",'[1]DATA LAST MONTH IQOO'!$A$6,"ID Store",$C31),0)</f>
        <v>4</v>
      </c>
      <c r="AF31" s="94">
        <f>IFERROR(GETPIVOTDATA("Sum of Qty",[1]IQOO!$A$6,"ID Store",$C31),0)</f>
        <v>1</v>
      </c>
      <c r="AG31" s="81">
        <f t="shared" si="17"/>
        <v>-3</v>
      </c>
      <c r="AH31" s="95">
        <f t="shared" si="18"/>
        <v>-0.75</v>
      </c>
      <c r="AI31" s="96">
        <f>IFERROR(GETPIVOTDATA("Sum of Qty",'[1]DATA LAST MONTH DEVICE'!$A$6,"ID Store",$C31),0)</f>
        <v>13</v>
      </c>
      <c r="AJ31" s="97">
        <f t="shared" si="19"/>
        <v>9</v>
      </c>
      <c r="AK31" s="81">
        <f t="shared" si="20"/>
        <v>-4</v>
      </c>
      <c r="AL31" s="83">
        <f t="shared" si="21"/>
        <v>-0.30769230769230771</v>
      </c>
      <c r="AM31" s="82">
        <f>IFERROR(GETPIVOTDATA("Sum of Qty",'[1]Store 3mio+ last month'!$A$6,"ID Store",$C31),0)</f>
        <v>30</v>
      </c>
      <c r="AN31" s="81">
        <f t="shared" si="22"/>
        <v>24.545454545454547</v>
      </c>
      <c r="AO31" s="81">
        <f t="shared" si="23"/>
        <v>-5.4545454545454533</v>
      </c>
      <c r="AP31" s="83">
        <f t="shared" si="24"/>
        <v>-0.18181818181818177</v>
      </c>
      <c r="AQ31" s="82">
        <f>IFERROR(GETPIVOTDATA("Sum of Qty",'[1]DATA LAST MONTH DEVICE'!$A$6,"ID Store",$C31,"Segment Price","3mio&gt;"),0)</f>
        <v>9</v>
      </c>
      <c r="AR31" s="84">
        <f t="shared" si="25"/>
        <v>6</v>
      </c>
      <c r="AS31" s="84">
        <f t="shared" si="26"/>
        <v>-3</v>
      </c>
      <c r="AT31" s="83">
        <f t="shared" si="27"/>
        <v>-0.33333333333333331</v>
      </c>
      <c r="AU31" s="98">
        <f>IFERROR(GETPIVOTDATA("Sum of SRP",'[1]DATA LAST MONTH DEVICE'!$A$6,"ID Store",$C31),0)</f>
        <v>75587000</v>
      </c>
      <c r="AV31" s="98">
        <f t="shared" si="28"/>
        <v>52391000</v>
      </c>
      <c r="AW31" s="98">
        <f t="shared" si="29"/>
        <v>-23196000</v>
      </c>
      <c r="AX31" s="83">
        <f t="shared" si="30"/>
        <v>-0.30687816688054825</v>
      </c>
      <c r="AY31" s="98">
        <f>IFERROR(VLOOKUP(C31,'[1]DATA SALES LAST MONTH'!A:E,5,0),0)</f>
        <v>5814384.615384615</v>
      </c>
      <c r="AZ31" s="85">
        <f t="shared" si="31"/>
        <v>5821222.2222222211</v>
      </c>
      <c r="BA31" s="85">
        <f t="shared" si="32"/>
        <v>6837.6068376060575</v>
      </c>
      <c r="BB31" s="95">
        <f t="shared" si="33"/>
        <v>1.1759811725412935E-3</v>
      </c>
      <c r="BC31" s="78">
        <f>IFERROR(VLOOKUP(C31,'[1]TARGET THIS MONTH'!C:U,15,0),0)</f>
        <v>3</v>
      </c>
      <c r="BD31" s="99">
        <f>IFERROR(GETPIVOTDATA("Sum of Qty",[1]ACC!$A$5,"ID Store",$C31),0)</f>
        <v>0</v>
      </c>
      <c r="BE31" s="83">
        <f t="shared" si="34"/>
        <v>0</v>
      </c>
      <c r="BF31" s="100">
        <f>IFERROR(VLOOKUP(C31,'[1]TARGET THIS MONTH'!C:U,16,0),0)</f>
        <v>200000</v>
      </c>
      <c r="BG31" s="100">
        <f>IFERROR(GETPIVOTDATA("Sum of SRP",'[1]Insurance by Store'!$A$5,"ID Store",$C31,"Product Type","Qoala"),0)</f>
        <v>0</v>
      </c>
      <c r="BH31" s="83">
        <f t="shared" si="35"/>
        <v>0</v>
      </c>
      <c r="BI31" s="100">
        <f>IFERROR(VLOOKUP(C31,'[1]TARGET THIS MONTH'!C:U,17,0),0)</f>
        <v>100000</v>
      </c>
      <c r="BJ31" s="100">
        <f>IFERROR(GETPIVOTDATA("Sum of SRP",'[1]Insurance by Store'!$A$5,"ID Store",$C31,"Product Type","Vivo Care"),0)</f>
        <v>0</v>
      </c>
      <c r="BK31" s="83">
        <f t="shared" si="36"/>
        <v>0</v>
      </c>
      <c r="BL31" s="81">
        <f>IFERROR(VLOOKUP(C31,'[1]TARGET THIS MONTH'!C:U,18,0),0)</f>
        <v>0.89999999999999991</v>
      </c>
      <c r="BM31" s="82">
        <f>IFERROR(GETPIVOTDATA("Sum of Qty",'[1]Operator by Store'!$A$5,"ID Store",$C31,"Product Type","Indosat"),0)</f>
        <v>0</v>
      </c>
      <c r="BN31" s="83">
        <f t="shared" si="37"/>
        <v>0</v>
      </c>
      <c r="BO31" s="81">
        <f>VLOOKUP(C31,'[1]TARGET THIS MONTH'!C:U,19,0)</f>
        <v>9</v>
      </c>
      <c r="BP31" s="82">
        <f>IFERROR(GETPIVOTDATA("Sum of Qty",'[1]Operator by Store'!$A$5,"ID Store",$C31,"Product Type","Telkomsel"),0)</f>
        <v>0</v>
      </c>
      <c r="BQ31" s="101">
        <f t="shared" si="38"/>
        <v>0</v>
      </c>
    </row>
    <row r="32" spans="1:69" x14ac:dyDescent="0.2">
      <c r="A32" s="72">
        <v>28</v>
      </c>
      <c r="B32" s="73" t="s">
        <v>73</v>
      </c>
      <c r="C32" s="74">
        <v>6240705</v>
      </c>
      <c r="D32" s="75" t="s">
        <v>84</v>
      </c>
      <c r="E32" s="102" t="s">
        <v>79</v>
      </c>
      <c r="F32" s="77">
        <v>2</v>
      </c>
      <c r="G32" s="78">
        <f>IFERROR(VLOOKUP(C32,'[1]TARGET THIS MONTH'!C:E,3,0),0)</f>
        <v>40</v>
      </c>
      <c r="H32" s="79">
        <f>IFERROR(VLOOKUP(C32,'[1]TARGET THIS MONTH'!C:M,11,0),0)</f>
        <v>172000000</v>
      </c>
      <c r="I32" s="78">
        <f>IFERROR(GETPIVOTDATA("Sum of Qty",'[1]DEVICE &amp; VALUE'!$A$6,"ID Store",$C32),0)</f>
        <v>16</v>
      </c>
      <c r="J32" s="80">
        <f t="shared" si="0"/>
        <v>0.4</v>
      </c>
      <c r="K32" s="81">
        <f t="shared" si="1"/>
        <v>-24</v>
      </c>
      <c r="L32" s="82">
        <f>IFERROR(GETPIVOTDATA("Sum of Qty",[1]PF!$A$5,"ID Store",$C32),0)</f>
        <v>4</v>
      </c>
      <c r="M32" s="82">
        <f>IFERROR(GETPIVOTDATA("Sum of Qty",'[1]DEVICE &amp; VALUE'!$A$6,"ID Store",$C32,"Segment Price","3mio&gt;"),0)</f>
        <v>12</v>
      </c>
      <c r="N32" s="83">
        <f t="shared" si="2"/>
        <v>0.75</v>
      </c>
      <c r="O32" s="84">
        <f>IFERROR(GETPIVOTDATA("Sum of Qty",[1]IQOO!$A$6,"ID Store",$C32),0)</f>
        <v>3</v>
      </c>
      <c r="P32" s="83">
        <f t="shared" si="3"/>
        <v>0.1875</v>
      </c>
      <c r="Q32" s="83">
        <f t="shared" si="4"/>
        <v>0.75</v>
      </c>
      <c r="R32" s="85">
        <f>IFERROR(GETPIVOTDATA("Sum of SRP",'[1]DEVICE &amp; VALUE'!$A$6,"ID Store",$C32),0)</f>
        <v>99784000</v>
      </c>
      <c r="S32" s="83">
        <f t="shared" si="5"/>
        <v>0.58013953488372094</v>
      </c>
      <c r="T32" s="86">
        <f t="shared" si="6"/>
        <v>-72216000</v>
      </c>
      <c r="U32" s="87">
        <f t="shared" si="7"/>
        <v>43.63636363636364</v>
      </c>
      <c r="V32" s="88">
        <f t="shared" si="8"/>
        <v>1.0909090909090911</v>
      </c>
      <c r="W32" s="89">
        <f t="shared" si="9"/>
        <v>3.6363636363636402</v>
      </c>
      <c r="X32" s="89">
        <f t="shared" si="10"/>
        <v>32.727272727272727</v>
      </c>
      <c r="Y32" s="89">
        <f t="shared" si="11"/>
        <v>-7.2727272727272734</v>
      </c>
      <c r="Z32" s="90">
        <f t="shared" si="12"/>
        <v>272138181.81818181</v>
      </c>
      <c r="AA32" s="90">
        <f t="shared" si="13"/>
        <v>100138181.81818181</v>
      </c>
      <c r="AB32" s="91">
        <f t="shared" si="14"/>
        <v>1.5821987315010571</v>
      </c>
      <c r="AC32" s="92">
        <f t="shared" si="15"/>
        <v>1.263157894736842</v>
      </c>
      <c r="AD32" s="93">
        <f t="shared" si="16"/>
        <v>3800842.1052631577</v>
      </c>
      <c r="AE32" s="78">
        <f>IFERROR(GETPIVOTDATA("Sum of Qty",'[1]DATA LAST MONTH IQOO'!$A$6,"ID Store",$C32),0)</f>
        <v>4</v>
      </c>
      <c r="AF32" s="94">
        <f>IFERROR(GETPIVOTDATA("Sum of Qty",[1]IQOO!$A$6,"ID Store",$C32),0)</f>
        <v>3</v>
      </c>
      <c r="AG32" s="81">
        <f t="shared" si="17"/>
        <v>-1</v>
      </c>
      <c r="AH32" s="95">
        <f t="shared" si="18"/>
        <v>-0.25</v>
      </c>
      <c r="AI32" s="96">
        <f>IFERROR(GETPIVOTDATA("Sum of Qty",'[1]DATA LAST MONTH DEVICE'!$A$6,"ID Store",$C32),0)</f>
        <v>12</v>
      </c>
      <c r="AJ32" s="97">
        <f t="shared" si="19"/>
        <v>16</v>
      </c>
      <c r="AK32" s="81">
        <f t="shared" si="20"/>
        <v>4</v>
      </c>
      <c r="AL32" s="83">
        <f t="shared" si="21"/>
        <v>0.33333333333333331</v>
      </c>
      <c r="AM32" s="82">
        <f>IFERROR(GETPIVOTDATA("Sum of Qty",'[1]Store 3mio+ last month'!$A$6,"ID Store",$C32),0)</f>
        <v>38</v>
      </c>
      <c r="AN32" s="81">
        <f t="shared" si="22"/>
        <v>43.63636363636364</v>
      </c>
      <c r="AO32" s="81">
        <f t="shared" si="23"/>
        <v>5.6363636363636402</v>
      </c>
      <c r="AP32" s="83">
        <f t="shared" si="24"/>
        <v>0.14832535885167475</v>
      </c>
      <c r="AQ32" s="82">
        <f>IFERROR(GETPIVOTDATA("Sum of Qty",'[1]DATA LAST MONTH DEVICE'!$A$6,"ID Store",$C32,"Segment Price","3mio&gt;"),0)</f>
        <v>7</v>
      </c>
      <c r="AR32" s="84">
        <f t="shared" si="25"/>
        <v>12</v>
      </c>
      <c r="AS32" s="84">
        <f t="shared" si="26"/>
        <v>5</v>
      </c>
      <c r="AT32" s="83">
        <f t="shared" si="27"/>
        <v>0.7142857142857143</v>
      </c>
      <c r="AU32" s="98">
        <f>IFERROR(GETPIVOTDATA("Sum of SRP",'[1]DATA LAST MONTH DEVICE'!$A$6,"ID Store",$C32),0)</f>
        <v>47788000</v>
      </c>
      <c r="AV32" s="98">
        <f t="shared" si="28"/>
        <v>99784000</v>
      </c>
      <c r="AW32" s="98">
        <f t="shared" si="29"/>
        <v>51996000</v>
      </c>
      <c r="AX32" s="83">
        <f t="shared" si="30"/>
        <v>1.0880555788063948</v>
      </c>
      <c r="AY32" s="98">
        <f>IFERROR(VLOOKUP(C32,'[1]DATA SALES LAST MONTH'!A:E,5,0),0)</f>
        <v>3982333.3333333335</v>
      </c>
      <c r="AZ32" s="85">
        <f t="shared" si="31"/>
        <v>6236499.9999999991</v>
      </c>
      <c r="BA32" s="85">
        <f t="shared" si="32"/>
        <v>2254166.6666666656</v>
      </c>
      <c r="BB32" s="95">
        <f t="shared" si="33"/>
        <v>0.56604168410479594</v>
      </c>
      <c r="BC32" s="78">
        <f>IFERROR(VLOOKUP(C32,'[1]TARGET THIS MONTH'!C:U,15,0),0)</f>
        <v>4</v>
      </c>
      <c r="BD32" s="99">
        <f>IFERROR(GETPIVOTDATA("Sum of Qty",[1]ACC!$A$5,"ID Store",$C32),0)</f>
        <v>0</v>
      </c>
      <c r="BE32" s="83">
        <f t="shared" si="34"/>
        <v>0</v>
      </c>
      <c r="BF32" s="100">
        <f>IFERROR(VLOOKUP(C32,'[1]TARGET THIS MONTH'!C:U,16,0),0)</f>
        <v>100000</v>
      </c>
      <c r="BG32" s="100">
        <f>IFERROR(GETPIVOTDATA("Sum of SRP",'[1]Insurance by Store'!$A$5,"ID Store",$C32,"Product Type","Qoala"),0)</f>
        <v>0</v>
      </c>
      <c r="BH32" s="83">
        <f t="shared" si="35"/>
        <v>0</v>
      </c>
      <c r="BI32" s="100">
        <f>IFERROR(VLOOKUP(C32,'[1]TARGET THIS MONTH'!C:U,17,0),0)</f>
        <v>50000</v>
      </c>
      <c r="BJ32" s="100">
        <f>IFERROR(GETPIVOTDATA("Sum of SRP",'[1]Insurance by Store'!$A$5,"ID Store",$C32,"Product Type","Vivo Care"),0)</f>
        <v>0</v>
      </c>
      <c r="BK32" s="83">
        <f t="shared" si="36"/>
        <v>0</v>
      </c>
      <c r="BL32" s="81">
        <f>IFERROR(VLOOKUP(C32,'[1]TARGET THIS MONTH'!C:U,18,0),0)</f>
        <v>1.2</v>
      </c>
      <c r="BM32" s="82">
        <f>IFERROR(GETPIVOTDATA("Sum of Qty",'[1]Operator by Store'!$A$5,"ID Store",$C32,"Product Type","Indosat"),0)</f>
        <v>0</v>
      </c>
      <c r="BN32" s="83">
        <f t="shared" si="37"/>
        <v>0</v>
      </c>
      <c r="BO32" s="81">
        <f>VLOOKUP(C32,'[1]TARGET THIS MONTH'!C:U,19,0)</f>
        <v>12</v>
      </c>
      <c r="BP32" s="82">
        <f>IFERROR(GETPIVOTDATA("Sum of Qty",'[1]Operator by Store'!$A$5,"ID Store",$C32,"Product Type","Telkomsel"),0)</f>
        <v>0</v>
      </c>
      <c r="BQ32" s="101">
        <f t="shared" si="38"/>
        <v>0</v>
      </c>
    </row>
    <row r="33" spans="1:69" x14ac:dyDescent="0.2">
      <c r="A33" s="72">
        <v>29</v>
      </c>
      <c r="B33" s="73" t="s">
        <v>73</v>
      </c>
      <c r="C33" s="74">
        <v>6240709</v>
      </c>
      <c r="D33" s="75" t="s">
        <v>85</v>
      </c>
      <c r="E33" s="103" t="s">
        <v>75</v>
      </c>
      <c r="F33" s="77">
        <v>2</v>
      </c>
      <c r="G33" s="78">
        <f>IFERROR(VLOOKUP(C33,'[1]TARGET THIS MONTH'!C:E,3,0),0)</f>
        <v>30</v>
      </c>
      <c r="H33" s="79">
        <f>IFERROR(VLOOKUP(C33,'[1]TARGET THIS MONTH'!C:M,11,0),0)</f>
        <v>150000000</v>
      </c>
      <c r="I33" s="78">
        <f>IFERROR(GETPIVOTDATA("Sum of Qty",'[1]DEVICE &amp; VALUE'!$A$6,"ID Store",$C33),0)</f>
        <v>8</v>
      </c>
      <c r="J33" s="80">
        <f t="shared" si="0"/>
        <v>0.26666666666666666</v>
      </c>
      <c r="K33" s="81">
        <f t="shared" si="1"/>
        <v>-22</v>
      </c>
      <c r="L33" s="82">
        <f>IFERROR(GETPIVOTDATA("Sum of Qty",[1]PF!$A$5,"ID Store",$C33),0)</f>
        <v>4</v>
      </c>
      <c r="M33" s="82">
        <f>IFERROR(GETPIVOTDATA("Sum of Qty",'[1]DEVICE &amp; VALUE'!$A$6,"ID Store",$C33,"Segment Price","3mio&gt;"),0)</f>
        <v>6</v>
      </c>
      <c r="N33" s="83">
        <f t="shared" si="2"/>
        <v>0.75</v>
      </c>
      <c r="O33" s="84">
        <f>IFERROR(GETPIVOTDATA("Sum of Qty",[1]IQOO!$A$6,"ID Store",$C33),0)</f>
        <v>1</v>
      </c>
      <c r="P33" s="83">
        <f t="shared" si="3"/>
        <v>0.125</v>
      </c>
      <c r="Q33" s="83">
        <f t="shared" si="4"/>
        <v>0.75</v>
      </c>
      <c r="R33" s="85">
        <f>IFERROR(GETPIVOTDATA("Sum of SRP",'[1]DEVICE &amp; VALUE'!$A$6,"ID Store",$C33),0)</f>
        <v>34892000</v>
      </c>
      <c r="S33" s="83">
        <f t="shared" si="5"/>
        <v>0.23261333333333334</v>
      </c>
      <c r="T33" s="86">
        <f t="shared" si="6"/>
        <v>-115108000</v>
      </c>
      <c r="U33" s="87">
        <f t="shared" si="7"/>
        <v>21.81818181818182</v>
      </c>
      <c r="V33" s="88">
        <f t="shared" si="8"/>
        <v>0.72727272727272729</v>
      </c>
      <c r="W33" s="89">
        <f t="shared" si="9"/>
        <v>-8.1818181818181799</v>
      </c>
      <c r="X33" s="89">
        <f t="shared" si="10"/>
        <v>16.363636363636363</v>
      </c>
      <c r="Y33" s="89">
        <f t="shared" si="11"/>
        <v>-13.636363636363637</v>
      </c>
      <c r="Z33" s="90">
        <f t="shared" si="12"/>
        <v>95160000</v>
      </c>
      <c r="AA33" s="90">
        <f t="shared" si="13"/>
        <v>-54840000</v>
      </c>
      <c r="AB33" s="91">
        <f t="shared" si="14"/>
        <v>0.63439999999999996</v>
      </c>
      <c r="AC33" s="92">
        <f t="shared" si="15"/>
        <v>1.1578947368421053</v>
      </c>
      <c r="AD33" s="93">
        <f t="shared" si="16"/>
        <v>6058315.7894736845</v>
      </c>
      <c r="AE33" s="78">
        <f>IFERROR(GETPIVOTDATA("Sum of Qty",'[1]DATA LAST MONTH IQOO'!$A$6,"ID Store",$C33),0)</f>
        <v>2</v>
      </c>
      <c r="AF33" s="94">
        <f>IFERROR(GETPIVOTDATA("Sum of Qty",[1]IQOO!$A$6,"ID Store",$C33),0)</f>
        <v>1</v>
      </c>
      <c r="AG33" s="81">
        <f t="shared" si="17"/>
        <v>-1</v>
      </c>
      <c r="AH33" s="95">
        <f t="shared" si="18"/>
        <v>-0.5</v>
      </c>
      <c r="AI33" s="96">
        <f>IFERROR(GETPIVOTDATA("Sum of Qty",'[1]DATA LAST MONTH DEVICE'!$A$6,"ID Store",$C33),0)</f>
        <v>6</v>
      </c>
      <c r="AJ33" s="97">
        <f t="shared" si="19"/>
        <v>8</v>
      </c>
      <c r="AK33" s="81">
        <f t="shared" si="20"/>
        <v>2</v>
      </c>
      <c r="AL33" s="83">
        <f t="shared" si="21"/>
        <v>0.33333333333333331</v>
      </c>
      <c r="AM33" s="82">
        <f>IFERROR(GETPIVOTDATA("Sum of Qty",'[1]Store 3mio+ last month'!$A$6,"ID Store",$C33),0)</f>
        <v>20</v>
      </c>
      <c r="AN33" s="81">
        <f t="shared" si="22"/>
        <v>21.81818181818182</v>
      </c>
      <c r="AO33" s="81">
        <f t="shared" si="23"/>
        <v>1.8181818181818201</v>
      </c>
      <c r="AP33" s="83">
        <f t="shared" si="24"/>
        <v>9.0909090909091009E-2</v>
      </c>
      <c r="AQ33" s="82">
        <f>IFERROR(GETPIVOTDATA("Sum of Qty",'[1]DATA LAST MONTH DEVICE'!$A$6,"ID Store",$C33,"Segment Price","3mio&gt;"),0)</f>
        <v>5</v>
      </c>
      <c r="AR33" s="84">
        <f t="shared" si="25"/>
        <v>6</v>
      </c>
      <c r="AS33" s="84">
        <f t="shared" si="26"/>
        <v>1</v>
      </c>
      <c r="AT33" s="83">
        <f t="shared" si="27"/>
        <v>0.2</v>
      </c>
      <c r="AU33" s="98">
        <f>IFERROR(GETPIVOTDATA("Sum of SRP",'[1]DATA LAST MONTH DEVICE'!$A$6,"ID Store",$C33),0)</f>
        <v>33194000</v>
      </c>
      <c r="AV33" s="98">
        <f t="shared" si="28"/>
        <v>34892000</v>
      </c>
      <c r="AW33" s="98">
        <f t="shared" si="29"/>
        <v>1698000</v>
      </c>
      <c r="AX33" s="83">
        <f t="shared" si="30"/>
        <v>5.1153822980056635E-2</v>
      </c>
      <c r="AY33" s="98">
        <f>IFERROR(VLOOKUP(C33,'[1]DATA SALES LAST MONTH'!A:E,5,0),0)</f>
        <v>5532333.333333333</v>
      </c>
      <c r="AZ33" s="85">
        <f t="shared" si="31"/>
        <v>4361500</v>
      </c>
      <c r="BA33" s="85">
        <f t="shared" si="32"/>
        <v>-1170833.333333333</v>
      </c>
      <c r="BB33" s="95">
        <f t="shared" si="33"/>
        <v>-0.21163463276495748</v>
      </c>
      <c r="BC33" s="78">
        <f>IFERROR(VLOOKUP(C33,'[1]TARGET THIS MONTH'!C:U,15,0),0)</f>
        <v>3</v>
      </c>
      <c r="BD33" s="99">
        <f>IFERROR(GETPIVOTDATA("Sum of Qty",[1]ACC!$A$5,"ID Store",$C33),0)</f>
        <v>0</v>
      </c>
      <c r="BE33" s="83">
        <f t="shared" si="34"/>
        <v>0</v>
      </c>
      <c r="BF33" s="100">
        <f>IFERROR(VLOOKUP(C33,'[1]TARGET THIS MONTH'!C:U,16,0),0)</f>
        <v>750000</v>
      </c>
      <c r="BG33" s="100">
        <f>IFERROR(GETPIVOTDATA("Sum of SRP",'[1]Insurance by Store'!$A$5,"ID Store",$C33,"Product Type","Qoala"),0)</f>
        <v>329000</v>
      </c>
      <c r="BH33" s="83">
        <f t="shared" si="35"/>
        <v>0.43866666666666665</v>
      </c>
      <c r="BI33" s="100">
        <f>IFERROR(VLOOKUP(C33,'[1]TARGET THIS MONTH'!C:U,17,0),0)</f>
        <v>150000</v>
      </c>
      <c r="BJ33" s="100">
        <f>IFERROR(GETPIVOTDATA("Sum of SRP",'[1]Insurance by Store'!$A$5,"ID Store",$C33,"Product Type","Vivo Care"),0)</f>
        <v>0</v>
      </c>
      <c r="BK33" s="83">
        <f t="shared" si="36"/>
        <v>0</v>
      </c>
      <c r="BL33" s="81">
        <f>IFERROR(VLOOKUP(C33,'[1]TARGET THIS MONTH'!C:U,18,0),0)</f>
        <v>0.89999999999999991</v>
      </c>
      <c r="BM33" s="82">
        <f>IFERROR(GETPIVOTDATA("Sum of Qty",'[1]Operator by Store'!$A$5,"ID Store",$C33,"Product Type","Indosat"),0)</f>
        <v>0</v>
      </c>
      <c r="BN33" s="83">
        <f t="shared" si="37"/>
        <v>0</v>
      </c>
      <c r="BO33" s="81">
        <f>VLOOKUP(C33,'[1]TARGET THIS MONTH'!C:U,19,0)</f>
        <v>9</v>
      </c>
      <c r="BP33" s="82">
        <f>IFERROR(GETPIVOTDATA("Sum of Qty",'[1]Operator by Store'!$A$5,"ID Store",$C33,"Product Type","Telkomsel"),0)</f>
        <v>0</v>
      </c>
      <c r="BQ33" s="101">
        <f t="shared" si="38"/>
        <v>0</v>
      </c>
    </row>
    <row r="34" spans="1:69" x14ac:dyDescent="0.2">
      <c r="A34" s="72">
        <v>30</v>
      </c>
      <c r="B34" s="73" t="s">
        <v>73</v>
      </c>
      <c r="C34" s="74">
        <v>6240708</v>
      </c>
      <c r="D34" s="75" t="s">
        <v>86</v>
      </c>
      <c r="E34" s="103" t="s">
        <v>75</v>
      </c>
      <c r="F34" s="77">
        <v>2</v>
      </c>
      <c r="G34" s="78">
        <f>IFERROR(VLOOKUP(C34,'[1]TARGET THIS MONTH'!C:E,3,0),0)</f>
        <v>30</v>
      </c>
      <c r="H34" s="79">
        <f>IFERROR(VLOOKUP(C34,'[1]TARGET THIS MONTH'!C:M,11,0),0)</f>
        <v>150000000</v>
      </c>
      <c r="I34" s="78">
        <f>IFERROR(GETPIVOTDATA("Sum of Qty",'[1]DEVICE &amp; VALUE'!$A$6,"ID Store",$C34),0)</f>
        <v>8</v>
      </c>
      <c r="J34" s="80">
        <f t="shared" si="0"/>
        <v>0.26666666666666666</v>
      </c>
      <c r="K34" s="81">
        <f t="shared" si="1"/>
        <v>-22</v>
      </c>
      <c r="L34" s="82">
        <f>IFERROR(GETPIVOTDATA("Sum of Qty",[1]PF!$A$5,"ID Store",$C34),0)</f>
        <v>3</v>
      </c>
      <c r="M34" s="82">
        <f>IFERROR(GETPIVOTDATA("Sum of Qty",'[1]DEVICE &amp; VALUE'!$A$6,"ID Store",$C34,"Segment Price","3mio&gt;"),0)</f>
        <v>5</v>
      </c>
      <c r="N34" s="83">
        <f t="shared" si="2"/>
        <v>0.625</v>
      </c>
      <c r="O34" s="84">
        <f>IFERROR(GETPIVOTDATA("Sum of Qty",[1]IQOO!$A$6,"ID Store",$C34),0)</f>
        <v>0</v>
      </c>
      <c r="P34" s="83">
        <f t="shared" si="3"/>
        <v>0</v>
      </c>
      <c r="Q34" s="83">
        <f t="shared" si="4"/>
        <v>0.625</v>
      </c>
      <c r="R34" s="85">
        <f>IFERROR(GETPIVOTDATA("Sum of SRP",'[1]DEVICE &amp; VALUE'!$A$6,"ID Store",$C34),0)</f>
        <v>31392000</v>
      </c>
      <c r="S34" s="83">
        <f t="shared" si="5"/>
        <v>0.20927999999999999</v>
      </c>
      <c r="T34" s="86">
        <f t="shared" si="6"/>
        <v>-118608000</v>
      </c>
      <c r="U34" s="87">
        <f t="shared" si="7"/>
        <v>21.81818181818182</v>
      </c>
      <c r="V34" s="88">
        <f t="shared" si="8"/>
        <v>0.72727272727272729</v>
      </c>
      <c r="W34" s="89">
        <f t="shared" si="9"/>
        <v>-8.1818181818181799</v>
      </c>
      <c r="X34" s="89">
        <f t="shared" si="10"/>
        <v>13.636363636363637</v>
      </c>
      <c r="Y34" s="89">
        <f t="shared" si="11"/>
        <v>-16.363636363636363</v>
      </c>
      <c r="Z34" s="90">
        <f t="shared" si="12"/>
        <v>85614545.454545453</v>
      </c>
      <c r="AA34" s="90">
        <f t="shared" si="13"/>
        <v>-64385454.545454547</v>
      </c>
      <c r="AB34" s="91">
        <f t="shared" si="14"/>
        <v>0.57076363636363636</v>
      </c>
      <c r="AC34" s="92">
        <f t="shared" si="15"/>
        <v>1.1578947368421053</v>
      </c>
      <c r="AD34" s="93">
        <f t="shared" si="16"/>
        <v>6242526.3157894732</v>
      </c>
      <c r="AE34" s="78">
        <f>IFERROR(GETPIVOTDATA("Sum of Qty",'[1]DATA LAST MONTH IQOO'!$A$6,"ID Store",$C34),0)</f>
        <v>0</v>
      </c>
      <c r="AF34" s="94">
        <f>IFERROR(GETPIVOTDATA("Sum of Qty",[1]IQOO!$A$6,"ID Store",$C34),0)</f>
        <v>0</v>
      </c>
      <c r="AG34" s="81">
        <f t="shared" si="17"/>
        <v>0</v>
      </c>
      <c r="AH34" s="95">
        <f t="shared" si="18"/>
        <v>0</v>
      </c>
      <c r="AI34" s="96">
        <f>IFERROR(GETPIVOTDATA("Sum of Qty",'[1]DATA LAST MONTH DEVICE'!$A$6,"ID Store",$C34),0)</f>
        <v>6</v>
      </c>
      <c r="AJ34" s="97">
        <f t="shared" si="19"/>
        <v>8</v>
      </c>
      <c r="AK34" s="81">
        <f t="shared" si="20"/>
        <v>2</v>
      </c>
      <c r="AL34" s="83">
        <f t="shared" si="21"/>
        <v>0.33333333333333331</v>
      </c>
      <c r="AM34" s="82">
        <f>IFERROR(GETPIVOTDATA("Sum of Qty",'[1]Store 3mio+ last month'!$A$6,"ID Store",$C34),0)</f>
        <v>40</v>
      </c>
      <c r="AN34" s="81">
        <f t="shared" si="22"/>
        <v>21.81818181818182</v>
      </c>
      <c r="AO34" s="81">
        <f t="shared" si="23"/>
        <v>-18.18181818181818</v>
      </c>
      <c r="AP34" s="83">
        <f t="shared" si="24"/>
        <v>-0.45454545454545447</v>
      </c>
      <c r="AQ34" s="82">
        <f>IFERROR(GETPIVOTDATA("Sum of Qty",'[1]DATA LAST MONTH DEVICE'!$A$6,"ID Store",$C34,"Segment Price","3mio&gt;"),0)</f>
        <v>0</v>
      </c>
      <c r="AR34" s="84">
        <f t="shared" si="25"/>
        <v>5</v>
      </c>
      <c r="AS34" s="84">
        <f t="shared" si="26"/>
        <v>5</v>
      </c>
      <c r="AT34" s="83">
        <f t="shared" si="27"/>
        <v>0</v>
      </c>
      <c r="AU34" s="98">
        <f>IFERROR(GETPIVOTDATA("Sum of SRP",'[1]DATA LAST MONTH DEVICE'!$A$6,"ID Store",$C34),0)</f>
        <v>13794000</v>
      </c>
      <c r="AV34" s="98">
        <f t="shared" si="28"/>
        <v>31392000</v>
      </c>
      <c r="AW34" s="98">
        <f t="shared" si="29"/>
        <v>17598000</v>
      </c>
      <c r="AX34" s="83">
        <f t="shared" si="30"/>
        <v>1.2757720748151371</v>
      </c>
      <c r="AY34" s="98">
        <f>IFERROR(VLOOKUP(C34,'[1]DATA SALES LAST MONTH'!A:E,5,0),0)</f>
        <v>2299000</v>
      </c>
      <c r="AZ34" s="85">
        <f t="shared" si="31"/>
        <v>3923999.9999999995</v>
      </c>
      <c r="BA34" s="85">
        <f t="shared" si="32"/>
        <v>1624999.9999999995</v>
      </c>
      <c r="BB34" s="95">
        <f t="shared" si="33"/>
        <v>0.7068290561113526</v>
      </c>
      <c r="BC34" s="78">
        <f>IFERROR(VLOOKUP(C34,'[1]TARGET THIS MONTH'!C:U,15,0),0)</f>
        <v>3</v>
      </c>
      <c r="BD34" s="99">
        <f>IFERROR(GETPIVOTDATA("Sum of Qty",[1]ACC!$A$5,"ID Store",$C34),0)</f>
        <v>1</v>
      </c>
      <c r="BE34" s="83">
        <f t="shared" si="34"/>
        <v>0.33333333333333331</v>
      </c>
      <c r="BF34" s="100">
        <f>IFERROR(VLOOKUP(C34,'[1]TARGET THIS MONTH'!C:U,16,0),0)</f>
        <v>750000</v>
      </c>
      <c r="BG34" s="100">
        <f>IFERROR(GETPIVOTDATA("Sum of SRP",'[1]Insurance by Store'!$A$5,"ID Store",$C34,"Product Type","Qoala"),0)</f>
        <v>249000</v>
      </c>
      <c r="BH34" s="83">
        <f t="shared" si="35"/>
        <v>0.33200000000000002</v>
      </c>
      <c r="BI34" s="100">
        <f>IFERROR(VLOOKUP(C34,'[1]TARGET THIS MONTH'!C:U,17,0),0)</f>
        <v>150000</v>
      </c>
      <c r="BJ34" s="100">
        <f>IFERROR(GETPIVOTDATA("Sum of SRP",'[1]Insurance by Store'!$A$5,"ID Store",$C34,"Product Type","Vivo Care"),0)</f>
        <v>0</v>
      </c>
      <c r="BK34" s="83">
        <f t="shared" si="36"/>
        <v>0</v>
      </c>
      <c r="BL34" s="81">
        <f>IFERROR(VLOOKUP(C34,'[1]TARGET THIS MONTH'!C:U,18,0),0)</f>
        <v>0.89999999999999991</v>
      </c>
      <c r="BM34" s="82">
        <f>IFERROR(GETPIVOTDATA("Sum of Qty",'[1]Operator by Store'!$A$5,"ID Store",$C34,"Product Type","Indosat"),0)</f>
        <v>0</v>
      </c>
      <c r="BN34" s="83">
        <f t="shared" si="37"/>
        <v>0</v>
      </c>
      <c r="BO34" s="81">
        <f>VLOOKUP(C34,'[1]TARGET THIS MONTH'!C:U,19,0)</f>
        <v>9</v>
      </c>
      <c r="BP34" s="82">
        <f>IFERROR(GETPIVOTDATA("Sum of Qty",'[1]Operator by Store'!$A$5,"ID Store",$C34,"Product Type","Telkomsel"),0)</f>
        <v>0</v>
      </c>
      <c r="BQ34" s="101">
        <f t="shared" si="38"/>
        <v>0</v>
      </c>
    </row>
    <row r="35" spans="1:69" x14ac:dyDescent="0.2">
      <c r="A35" s="72">
        <v>31</v>
      </c>
      <c r="B35" s="73" t="s">
        <v>73</v>
      </c>
      <c r="C35" s="74">
        <v>6240707</v>
      </c>
      <c r="D35" s="75" t="s">
        <v>87</v>
      </c>
      <c r="E35" s="102" t="s">
        <v>88</v>
      </c>
      <c r="F35" s="77">
        <v>2</v>
      </c>
      <c r="G35" s="78">
        <f>IFERROR(VLOOKUP(C35,'[1]TARGET THIS MONTH'!C:E,3,0),0)</f>
        <v>30</v>
      </c>
      <c r="H35" s="79">
        <f>IFERROR(VLOOKUP(C35,'[1]TARGET THIS MONTH'!C:M,11,0),0)</f>
        <v>165000000</v>
      </c>
      <c r="I35" s="78">
        <f>IFERROR(GETPIVOTDATA("Sum of Qty",'[1]DEVICE &amp; VALUE'!$A$6,"ID Store",$C35),0)</f>
        <v>7</v>
      </c>
      <c r="J35" s="80">
        <f t="shared" si="0"/>
        <v>0.23333333333333334</v>
      </c>
      <c r="K35" s="81">
        <f t="shared" si="1"/>
        <v>-23</v>
      </c>
      <c r="L35" s="82">
        <f>IFERROR(GETPIVOTDATA("Sum of Qty",[1]PF!$A$5,"ID Store",$C35),0)</f>
        <v>2</v>
      </c>
      <c r="M35" s="82">
        <f>IFERROR(GETPIVOTDATA("Sum of Qty",'[1]DEVICE &amp; VALUE'!$A$6,"ID Store",$C35,"Segment Price","3mio&gt;"),0)</f>
        <v>2</v>
      </c>
      <c r="N35" s="83">
        <f t="shared" si="2"/>
        <v>0.2857142857142857</v>
      </c>
      <c r="O35" s="84">
        <f>IFERROR(GETPIVOTDATA("Sum of Qty",[1]IQOO!$A$6,"ID Store",$C35),0)</f>
        <v>0</v>
      </c>
      <c r="P35" s="83">
        <f t="shared" si="3"/>
        <v>0</v>
      </c>
      <c r="Q35" s="83">
        <f t="shared" si="4"/>
        <v>0.2857142857142857</v>
      </c>
      <c r="R35" s="85">
        <f>IFERROR(GETPIVOTDATA("Sum of SRP",'[1]DEVICE &amp; VALUE'!$A$6,"ID Store",$C35),0)</f>
        <v>21193000</v>
      </c>
      <c r="S35" s="83">
        <f t="shared" si="5"/>
        <v>0.12844242424242425</v>
      </c>
      <c r="T35" s="86">
        <f t="shared" si="6"/>
        <v>-143807000</v>
      </c>
      <c r="U35" s="87">
        <f t="shared" si="7"/>
        <v>19.09090909090909</v>
      </c>
      <c r="V35" s="88">
        <f t="shared" si="8"/>
        <v>0.63636363636363635</v>
      </c>
      <c r="W35" s="89">
        <f t="shared" si="9"/>
        <v>-10.90909090909091</v>
      </c>
      <c r="X35" s="89">
        <f t="shared" si="10"/>
        <v>5.454545454545455</v>
      </c>
      <c r="Y35" s="89">
        <f t="shared" si="11"/>
        <v>-24.545454545454547</v>
      </c>
      <c r="Z35" s="90">
        <f t="shared" si="12"/>
        <v>57799090.909090906</v>
      </c>
      <c r="AA35" s="90">
        <f t="shared" si="13"/>
        <v>-107200909.09090909</v>
      </c>
      <c r="AB35" s="91">
        <f t="shared" si="14"/>
        <v>0.35029752066115699</v>
      </c>
      <c r="AC35" s="92">
        <f t="shared" si="15"/>
        <v>1.2105263157894737</v>
      </c>
      <c r="AD35" s="93">
        <f t="shared" si="16"/>
        <v>7568789.4736842103</v>
      </c>
      <c r="AE35" s="78">
        <f>IFERROR(GETPIVOTDATA("Sum of Qty",'[1]DATA LAST MONTH IQOO'!$A$6,"ID Store",$C35),0)</f>
        <v>3</v>
      </c>
      <c r="AF35" s="94">
        <f>IFERROR(GETPIVOTDATA("Sum of Qty",[1]IQOO!$A$6,"ID Store",$C35),0)</f>
        <v>0</v>
      </c>
      <c r="AG35" s="81">
        <f t="shared" si="17"/>
        <v>-3</v>
      </c>
      <c r="AH35" s="95">
        <f t="shared" si="18"/>
        <v>-1</v>
      </c>
      <c r="AI35" s="96">
        <f>IFERROR(GETPIVOTDATA("Sum of Qty",'[1]DATA LAST MONTH DEVICE'!$A$6,"ID Store",$C35),0)</f>
        <v>13</v>
      </c>
      <c r="AJ35" s="97">
        <f t="shared" si="19"/>
        <v>7</v>
      </c>
      <c r="AK35" s="81">
        <f t="shared" si="20"/>
        <v>-6</v>
      </c>
      <c r="AL35" s="83">
        <f t="shared" si="21"/>
        <v>-0.46153846153846156</v>
      </c>
      <c r="AM35" s="82">
        <f>IFERROR(GETPIVOTDATA("Sum of Qty",'[1]Store 3mio+ last month'!$A$6,"ID Store",$C35),0)</f>
        <v>20</v>
      </c>
      <c r="AN35" s="81">
        <f t="shared" si="22"/>
        <v>19.09090909090909</v>
      </c>
      <c r="AO35" s="81">
        <f t="shared" si="23"/>
        <v>-0.90909090909091006</v>
      </c>
      <c r="AP35" s="83">
        <f t="shared" si="24"/>
        <v>-4.5454545454545504E-2</v>
      </c>
      <c r="AQ35" s="82">
        <f>IFERROR(GETPIVOTDATA("Sum of Qty",'[1]DATA LAST MONTH DEVICE'!$A$6,"ID Store",$C35,"Segment Price","3mio&gt;"),0)</f>
        <v>8</v>
      </c>
      <c r="AR35" s="84">
        <f t="shared" si="25"/>
        <v>2</v>
      </c>
      <c r="AS35" s="84">
        <f t="shared" si="26"/>
        <v>-6</v>
      </c>
      <c r="AT35" s="83">
        <f t="shared" si="27"/>
        <v>-0.75</v>
      </c>
      <c r="AU35" s="98">
        <f>IFERROR(GETPIVOTDATA("Sum of SRP",'[1]DATA LAST MONTH DEVICE'!$A$6,"ID Store",$C35),0)</f>
        <v>84687000</v>
      </c>
      <c r="AV35" s="98">
        <f t="shared" si="28"/>
        <v>21193000</v>
      </c>
      <c r="AW35" s="98">
        <f t="shared" si="29"/>
        <v>-63494000</v>
      </c>
      <c r="AX35" s="83">
        <f t="shared" si="30"/>
        <v>-0.74974907600930485</v>
      </c>
      <c r="AY35" s="98">
        <f>IFERROR(VLOOKUP(C35,'[1]DATA SALES LAST MONTH'!A:E,5,0),0)</f>
        <v>6514384.615384615</v>
      </c>
      <c r="AZ35" s="85">
        <f t="shared" si="31"/>
        <v>3027571.4285714286</v>
      </c>
      <c r="BA35" s="85">
        <f t="shared" si="32"/>
        <v>-3486813.1868131864</v>
      </c>
      <c r="BB35" s="95">
        <f t="shared" si="33"/>
        <v>-0.53524828401728042</v>
      </c>
      <c r="BC35" s="78">
        <f>IFERROR(VLOOKUP(C35,'[1]TARGET THIS MONTH'!C:U,15,0),0)</f>
        <v>3</v>
      </c>
      <c r="BD35" s="99">
        <f>IFERROR(GETPIVOTDATA("Sum of Qty",[1]ACC!$A$5,"ID Store",$C35),0)</f>
        <v>1</v>
      </c>
      <c r="BE35" s="83">
        <f t="shared" si="34"/>
        <v>0.33333333333333331</v>
      </c>
      <c r="BF35" s="100">
        <f>IFERROR(VLOOKUP(C35,'[1]TARGET THIS MONTH'!C:U,16,0),0)</f>
        <v>825000</v>
      </c>
      <c r="BG35" s="100">
        <f>IFERROR(GETPIVOTDATA("Sum of SRP",'[1]Insurance by Store'!$A$5,"ID Store",$C35,"Product Type","Qoala"),0)</f>
        <v>0</v>
      </c>
      <c r="BH35" s="83">
        <f t="shared" si="35"/>
        <v>0</v>
      </c>
      <c r="BI35" s="100">
        <f>IFERROR(VLOOKUP(C35,'[1]TARGET THIS MONTH'!C:U,17,0),0)</f>
        <v>165000</v>
      </c>
      <c r="BJ35" s="100">
        <f>IFERROR(GETPIVOTDATA("Sum of SRP",'[1]Insurance by Store'!$A$5,"ID Store",$C35,"Product Type","Vivo Care"),0)</f>
        <v>0</v>
      </c>
      <c r="BK35" s="83">
        <f t="shared" si="36"/>
        <v>0</v>
      </c>
      <c r="BL35" s="81">
        <f>IFERROR(VLOOKUP(C35,'[1]TARGET THIS MONTH'!C:U,18,0),0)</f>
        <v>0.89999999999999991</v>
      </c>
      <c r="BM35" s="82">
        <f>IFERROR(GETPIVOTDATA("Sum of Qty",'[1]Operator by Store'!$A$5,"ID Store",$C35,"Product Type","Indosat"),0)</f>
        <v>0</v>
      </c>
      <c r="BN35" s="83">
        <f t="shared" si="37"/>
        <v>0</v>
      </c>
      <c r="BO35" s="81">
        <f>VLOOKUP(C35,'[1]TARGET THIS MONTH'!C:U,19,0)</f>
        <v>9</v>
      </c>
      <c r="BP35" s="82">
        <f>IFERROR(GETPIVOTDATA("Sum of Qty",'[1]Operator by Store'!$A$5,"ID Store",$C35,"Product Type","Telkomsel"),0)</f>
        <v>0</v>
      </c>
      <c r="BQ35" s="101">
        <f t="shared" si="38"/>
        <v>0</v>
      </c>
    </row>
    <row r="36" spans="1:69" x14ac:dyDescent="0.2">
      <c r="A36" s="72">
        <v>32</v>
      </c>
      <c r="B36" s="73" t="s">
        <v>73</v>
      </c>
      <c r="C36" s="74">
        <v>6240706</v>
      </c>
      <c r="D36" s="75" t="s">
        <v>89</v>
      </c>
      <c r="E36" s="102" t="s">
        <v>88</v>
      </c>
      <c r="F36" s="77">
        <v>2</v>
      </c>
      <c r="G36" s="78">
        <f>IFERROR(VLOOKUP(C36,'[1]TARGET THIS MONTH'!C:E,3,0),0)</f>
        <v>30</v>
      </c>
      <c r="H36" s="79">
        <f>IFERROR(VLOOKUP(C36,'[1]TARGET THIS MONTH'!C:M,11,0),0)</f>
        <v>165000000</v>
      </c>
      <c r="I36" s="78">
        <f>IFERROR(GETPIVOTDATA("Sum of Qty",'[1]DEVICE &amp; VALUE'!$A$6,"ID Store",$C36),0)</f>
        <v>10</v>
      </c>
      <c r="J36" s="80">
        <f t="shared" si="0"/>
        <v>0.33333333333333331</v>
      </c>
      <c r="K36" s="81">
        <f t="shared" si="1"/>
        <v>-20</v>
      </c>
      <c r="L36" s="82">
        <f>IFERROR(GETPIVOTDATA("Sum of Qty",[1]PF!$A$5,"ID Store",$C36),0)</f>
        <v>2</v>
      </c>
      <c r="M36" s="82">
        <f>IFERROR(GETPIVOTDATA("Sum of Qty",'[1]DEVICE &amp; VALUE'!$A$6,"ID Store",$C36,"Segment Price","3mio&gt;"),0)</f>
        <v>4</v>
      </c>
      <c r="N36" s="83">
        <f t="shared" si="2"/>
        <v>0.4</v>
      </c>
      <c r="O36" s="84">
        <f>IFERROR(GETPIVOTDATA("Sum of Qty",[1]IQOO!$A$6,"ID Store",$C36),0)</f>
        <v>0</v>
      </c>
      <c r="P36" s="83">
        <f t="shared" si="3"/>
        <v>0</v>
      </c>
      <c r="Q36" s="83">
        <f t="shared" si="4"/>
        <v>0.4</v>
      </c>
      <c r="R36" s="85">
        <f>IFERROR(GETPIVOTDATA("Sum of SRP",'[1]DEVICE &amp; VALUE'!$A$6,"ID Store",$C36),0)</f>
        <v>39390000</v>
      </c>
      <c r="S36" s="83">
        <f t="shared" si="5"/>
        <v>0.23872727272727273</v>
      </c>
      <c r="T36" s="86">
        <f t="shared" si="6"/>
        <v>-125610000</v>
      </c>
      <c r="U36" s="87">
        <f t="shared" si="7"/>
        <v>27.272727272727273</v>
      </c>
      <c r="V36" s="88">
        <f t="shared" si="8"/>
        <v>0.90909090909090906</v>
      </c>
      <c r="W36" s="89">
        <f t="shared" si="9"/>
        <v>-2.7272727272727266</v>
      </c>
      <c r="X36" s="89">
        <f t="shared" si="10"/>
        <v>10.90909090909091</v>
      </c>
      <c r="Y36" s="89">
        <f t="shared" si="11"/>
        <v>-19.09090909090909</v>
      </c>
      <c r="Z36" s="90">
        <f t="shared" si="12"/>
        <v>107427272.72727272</v>
      </c>
      <c r="AA36" s="90">
        <f t="shared" si="13"/>
        <v>-57572727.272727281</v>
      </c>
      <c r="AB36" s="91">
        <f t="shared" si="14"/>
        <v>0.65107438016528918</v>
      </c>
      <c r="AC36" s="92">
        <f t="shared" si="15"/>
        <v>1.0526315789473684</v>
      </c>
      <c r="AD36" s="93">
        <f t="shared" si="16"/>
        <v>6611052.6315789474</v>
      </c>
      <c r="AE36" s="78">
        <f>IFERROR(GETPIVOTDATA("Sum of Qty",'[1]DATA LAST MONTH IQOO'!$A$6,"ID Store",$C36),0)</f>
        <v>2</v>
      </c>
      <c r="AF36" s="94">
        <f>IFERROR(GETPIVOTDATA("Sum of Qty",[1]IQOO!$A$6,"ID Store",$C36),0)</f>
        <v>0</v>
      </c>
      <c r="AG36" s="81">
        <f t="shared" si="17"/>
        <v>-2</v>
      </c>
      <c r="AH36" s="95">
        <f t="shared" si="18"/>
        <v>-1</v>
      </c>
      <c r="AI36" s="96">
        <f>IFERROR(GETPIVOTDATA("Sum of Qty",'[1]DATA LAST MONTH DEVICE'!$A$6,"ID Store",$C36),0)</f>
        <v>12</v>
      </c>
      <c r="AJ36" s="97">
        <f t="shared" si="19"/>
        <v>10</v>
      </c>
      <c r="AK36" s="81">
        <f t="shared" si="20"/>
        <v>-2</v>
      </c>
      <c r="AL36" s="83">
        <f t="shared" si="21"/>
        <v>-0.16666666666666666</v>
      </c>
      <c r="AM36" s="82">
        <f>IFERROR(GETPIVOTDATA("Sum of Qty",'[1]Store 3mio+ last month'!$A$6,"ID Store",$C36),0)</f>
        <v>30</v>
      </c>
      <c r="AN36" s="81">
        <f t="shared" si="22"/>
        <v>27.272727272727273</v>
      </c>
      <c r="AO36" s="81">
        <f t="shared" si="23"/>
        <v>-2.7272727272727266</v>
      </c>
      <c r="AP36" s="83">
        <f t="shared" si="24"/>
        <v>-9.0909090909090884E-2</v>
      </c>
      <c r="AQ36" s="82">
        <f>IFERROR(GETPIVOTDATA("Sum of Qty",'[1]DATA LAST MONTH DEVICE'!$A$6,"ID Store",$C36,"Segment Price","3mio&gt;"),0)</f>
        <v>9</v>
      </c>
      <c r="AR36" s="84">
        <f t="shared" si="25"/>
        <v>4</v>
      </c>
      <c r="AS36" s="84">
        <f t="shared" si="26"/>
        <v>-5</v>
      </c>
      <c r="AT36" s="83">
        <f t="shared" si="27"/>
        <v>-0.55555555555555558</v>
      </c>
      <c r="AU36" s="98">
        <f>IFERROR(GETPIVOTDATA("Sum of SRP",'[1]DATA LAST MONTH DEVICE'!$A$6,"ID Store",$C36),0)</f>
        <v>59688000</v>
      </c>
      <c r="AV36" s="98">
        <f t="shared" si="28"/>
        <v>39390000</v>
      </c>
      <c r="AW36" s="98">
        <f t="shared" si="29"/>
        <v>-20298000</v>
      </c>
      <c r="AX36" s="83">
        <f t="shared" si="30"/>
        <v>-0.34006835544833131</v>
      </c>
      <c r="AY36" s="98">
        <f>IFERROR(VLOOKUP(C36,'[1]DATA SALES LAST MONTH'!A:E,5,0),0)</f>
        <v>4974000</v>
      </c>
      <c r="AZ36" s="85">
        <f t="shared" si="31"/>
        <v>3938999.9999999995</v>
      </c>
      <c r="BA36" s="85">
        <f t="shared" si="32"/>
        <v>-1035000.0000000005</v>
      </c>
      <c r="BB36" s="95">
        <f t="shared" si="33"/>
        <v>-0.20808202653799768</v>
      </c>
      <c r="BC36" s="78">
        <f>IFERROR(VLOOKUP(C36,'[1]TARGET THIS MONTH'!C:U,15,0),0)</f>
        <v>3</v>
      </c>
      <c r="BD36" s="99">
        <f>IFERROR(GETPIVOTDATA("Sum of Qty",[1]ACC!$A$5,"ID Store",$C36),0)</f>
        <v>1</v>
      </c>
      <c r="BE36" s="83">
        <f t="shared" si="34"/>
        <v>0.33333333333333331</v>
      </c>
      <c r="BF36" s="100">
        <f>IFERROR(VLOOKUP(C36,'[1]TARGET THIS MONTH'!C:U,16,0),0)</f>
        <v>825000</v>
      </c>
      <c r="BG36" s="100">
        <f>IFERROR(GETPIVOTDATA("Sum of SRP",'[1]Insurance by Store'!$A$5,"ID Store",$C36,"Product Type","Qoala"),0)</f>
        <v>0</v>
      </c>
      <c r="BH36" s="83">
        <f t="shared" si="35"/>
        <v>0</v>
      </c>
      <c r="BI36" s="100">
        <f>IFERROR(VLOOKUP(C36,'[1]TARGET THIS MONTH'!C:U,17,0),0)</f>
        <v>165000</v>
      </c>
      <c r="BJ36" s="100">
        <f>IFERROR(GETPIVOTDATA("Sum of SRP",'[1]Insurance by Store'!$A$5,"ID Store",$C36,"Product Type","Vivo Care"),0)</f>
        <v>0</v>
      </c>
      <c r="BK36" s="83">
        <f t="shared" si="36"/>
        <v>0</v>
      </c>
      <c r="BL36" s="81">
        <f>IFERROR(VLOOKUP(C36,'[1]TARGET THIS MONTH'!C:U,18,0),0)</f>
        <v>0.89999999999999991</v>
      </c>
      <c r="BM36" s="82">
        <f>IFERROR(GETPIVOTDATA("Sum of Qty",'[1]Operator by Store'!$A$5,"ID Store",$C36,"Product Type","Indosat"),0)</f>
        <v>0</v>
      </c>
      <c r="BN36" s="83">
        <f t="shared" si="37"/>
        <v>0</v>
      </c>
      <c r="BO36" s="81">
        <f>VLOOKUP(C36,'[1]TARGET THIS MONTH'!C:U,19,0)</f>
        <v>9</v>
      </c>
      <c r="BP36" s="82">
        <f>IFERROR(GETPIVOTDATA("Sum of Qty",'[1]Operator by Store'!$A$5,"ID Store",$C36,"Product Type","Telkomsel"),0)</f>
        <v>0</v>
      </c>
      <c r="BQ36" s="101">
        <f t="shared" si="38"/>
        <v>0</v>
      </c>
    </row>
    <row r="37" spans="1:69" x14ac:dyDescent="0.2">
      <c r="A37" s="72">
        <v>33</v>
      </c>
      <c r="B37" s="73" t="s">
        <v>90</v>
      </c>
      <c r="C37" s="74">
        <v>6190701</v>
      </c>
      <c r="D37" s="75" t="s">
        <v>91</v>
      </c>
      <c r="E37" s="102" t="s">
        <v>92</v>
      </c>
      <c r="F37" s="77">
        <v>1</v>
      </c>
      <c r="G37" s="78">
        <f>IFERROR(VLOOKUP(C37,'[1]TARGET THIS MONTH'!C:E,3,0),0)</f>
        <v>50</v>
      </c>
      <c r="H37" s="79">
        <f>IFERROR(VLOOKUP(C37,'[1]TARGET THIS MONTH'!C:M,11,0),0)</f>
        <v>215000000</v>
      </c>
      <c r="I37" s="78">
        <f>IFERROR(GETPIVOTDATA("Sum of Qty",'[1]DEVICE &amp; VALUE'!$A$6,"ID Store",$C37),0)</f>
        <v>17</v>
      </c>
      <c r="J37" s="80">
        <f t="shared" si="0"/>
        <v>0.34</v>
      </c>
      <c r="K37" s="81">
        <f t="shared" si="1"/>
        <v>-33</v>
      </c>
      <c r="L37" s="82">
        <f>IFERROR(GETPIVOTDATA("Sum of Qty",[1]PF!$A$5,"ID Store",$C37),0)</f>
        <v>3</v>
      </c>
      <c r="M37" s="82">
        <f>IFERROR(GETPIVOTDATA("Sum of Qty",'[1]DEVICE &amp; VALUE'!$A$6,"ID Store",$C37,"Segment Price","3mio&gt;"),0)</f>
        <v>6</v>
      </c>
      <c r="N37" s="83">
        <f t="shared" si="2"/>
        <v>0.35294117647058826</v>
      </c>
      <c r="O37" s="84">
        <f>IFERROR(GETPIVOTDATA("Sum of Qty",[1]IQOO!$A$6,"ID Store",$C37),0)</f>
        <v>1</v>
      </c>
      <c r="P37" s="83">
        <f t="shared" si="3"/>
        <v>5.8823529411764705E-2</v>
      </c>
      <c r="Q37" s="83">
        <f t="shared" si="4"/>
        <v>0.35294117647058826</v>
      </c>
      <c r="R37" s="85">
        <f>IFERROR(GETPIVOTDATA("Sum of SRP",'[1]DEVICE &amp; VALUE'!$A$6,"ID Store",$C37),0)</f>
        <v>53883000</v>
      </c>
      <c r="S37" s="83">
        <f t="shared" si="5"/>
        <v>0.25061860465116281</v>
      </c>
      <c r="T37" s="86">
        <f t="shared" si="6"/>
        <v>-161117000</v>
      </c>
      <c r="U37" s="87">
        <f t="shared" si="7"/>
        <v>46.36363636363636</v>
      </c>
      <c r="V37" s="88">
        <f t="shared" si="8"/>
        <v>0.92727272727272725</v>
      </c>
      <c r="W37" s="89">
        <f t="shared" si="9"/>
        <v>-3.6363636363636402</v>
      </c>
      <c r="X37" s="89">
        <f t="shared" si="10"/>
        <v>16.363636363636363</v>
      </c>
      <c r="Y37" s="89">
        <f t="shared" si="11"/>
        <v>-33.63636363636364</v>
      </c>
      <c r="Z37" s="90">
        <f t="shared" si="12"/>
        <v>146953636.36363637</v>
      </c>
      <c r="AA37" s="90">
        <f t="shared" si="13"/>
        <v>-68046363.636363626</v>
      </c>
      <c r="AB37" s="91">
        <f t="shared" si="14"/>
        <v>0.68350528541226219</v>
      </c>
      <c r="AC37" s="92">
        <f t="shared" si="15"/>
        <v>1.736842105263158</v>
      </c>
      <c r="AD37" s="93">
        <f t="shared" si="16"/>
        <v>8479842.1052631587</v>
      </c>
      <c r="AE37" s="78">
        <f>IFERROR(GETPIVOTDATA("Sum of Qty",'[1]DATA LAST MONTH IQOO'!$A$6,"ID Store",$C37),0)</f>
        <v>6</v>
      </c>
      <c r="AF37" s="94">
        <f>IFERROR(GETPIVOTDATA("Sum of Qty",[1]IQOO!$A$6,"ID Store",$C37),0)</f>
        <v>1</v>
      </c>
      <c r="AG37" s="81">
        <f t="shared" si="17"/>
        <v>-5</v>
      </c>
      <c r="AH37" s="95">
        <f t="shared" si="18"/>
        <v>-0.83333333333333337</v>
      </c>
      <c r="AI37" s="96">
        <f>IFERROR(GETPIVOTDATA("Sum of Qty",'[1]DATA LAST MONTH DEVICE'!$A$6,"ID Store",$C37),0)</f>
        <v>28</v>
      </c>
      <c r="AJ37" s="97">
        <f t="shared" si="19"/>
        <v>17</v>
      </c>
      <c r="AK37" s="81">
        <f t="shared" si="20"/>
        <v>-11</v>
      </c>
      <c r="AL37" s="83">
        <f t="shared" si="21"/>
        <v>-0.39285714285714285</v>
      </c>
      <c r="AM37" s="82">
        <f>IFERROR(GETPIVOTDATA("Sum of Qty",'[1]Store 3mio+ last month'!$A$6,"ID Store",$C37),0)</f>
        <v>53</v>
      </c>
      <c r="AN37" s="81">
        <f t="shared" si="22"/>
        <v>46.36363636363636</v>
      </c>
      <c r="AO37" s="81">
        <f t="shared" si="23"/>
        <v>-6.6363636363636402</v>
      </c>
      <c r="AP37" s="83">
        <f t="shared" si="24"/>
        <v>-0.12521440823327623</v>
      </c>
      <c r="AQ37" s="82">
        <f>IFERROR(GETPIVOTDATA("Sum of Qty",'[1]DATA LAST MONTH DEVICE'!$A$6,"ID Store",$C37,"Segment Price","3mio&gt;"),0)</f>
        <v>17</v>
      </c>
      <c r="AR37" s="84">
        <f t="shared" si="25"/>
        <v>6</v>
      </c>
      <c r="AS37" s="84">
        <f t="shared" si="26"/>
        <v>-11</v>
      </c>
      <c r="AT37" s="83">
        <f t="shared" si="27"/>
        <v>-0.6470588235294118</v>
      </c>
      <c r="AU37" s="98">
        <f>IFERROR(GETPIVOTDATA("Sum of SRP",'[1]DATA LAST MONTH DEVICE'!$A$6,"ID Store",$C37),0)</f>
        <v>223772000</v>
      </c>
      <c r="AV37" s="98">
        <f t="shared" si="28"/>
        <v>53883000</v>
      </c>
      <c r="AW37" s="98">
        <f t="shared" si="29"/>
        <v>-169889000</v>
      </c>
      <c r="AX37" s="83">
        <f t="shared" si="30"/>
        <v>-0.7592057987594516</v>
      </c>
      <c r="AY37" s="98">
        <f>IFERROR(VLOOKUP(C37,'[1]DATA SALES LAST MONTH'!A:E,5,0),0)</f>
        <v>7991857.1428571427</v>
      </c>
      <c r="AZ37" s="85">
        <f t="shared" si="31"/>
        <v>3169588.2352941181</v>
      </c>
      <c r="BA37" s="85">
        <f t="shared" si="32"/>
        <v>-4822268.9075630251</v>
      </c>
      <c r="BB37" s="95">
        <f t="shared" si="33"/>
        <v>-0.60339778619203788</v>
      </c>
      <c r="BC37" s="78">
        <f>IFERROR(VLOOKUP(C37,'[1]TARGET THIS MONTH'!C:U,15,0),0)</f>
        <v>5</v>
      </c>
      <c r="BD37" s="99">
        <f>IFERROR(GETPIVOTDATA("Sum of Qty",[1]ACC!$A$5,"ID Store",$C37),0)</f>
        <v>4</v>
      </c>
      <c r="BE37" s="83">
        <f t="shared" si="34"/>
        <v>0.8</v>
      </c>
      <c r="BF37" s="100">
        <f>IFERROR(VLOOKUP(C37,'[1]TARGET THIS MONTH'!C:U,16,0),0)</f>
        <v>1075000</v>
      </c>
      <c r="BG37" s="100">
        <f>IFERROR(GETPIVOTDATA("Sum of SRP",'[1]Insurance by Store'!$A$5,"ID Store",$C37,"Product Type","Qoala"),0)</f>
        <v>0</v>
      </c>
      <c r="BH37" s="83">
        <f t="shared" si="35"/>
        <v>0</v>
      </c>
      <c r="BI37" s="100">
        <f>IFERROR(VLOOKUP(C37,'[1]TARGET THIS MONTH'!C:U,17,0),0)</f>
        <v>215000</v>
      </c>
      <c r="BJ37" s="100">
        <f>IFERROR(GETPIVOTDATA("Sum of SRP",'[1]Insurance by Store'!$A$5,"ID Store",$C37,"Product Type","Vivo Care"),0)</f>
        <v>0</v>
      </c>
      <c r="BK37" s="83">
        <f t="shared" si="36"/>
        <v>0</v>
      </c>
      <c r="BL37" s="81">
        <f>IFERROR(VLOOKUP(C37,'[1]TARGET THIS MONTH'!C:U,18,0),0)</f>
        <v>1.5</v>
      </c>
      <c r="BM37" s="82">
        <f>IFERROR(GETPIVOTDATA("Sum of Qty",'[1]Operator by Store'!$A$5,"ID Store",$C37,"Product Type","Indosat"),0)</f>
        <v>0</v>
      </c>
      <c r="BN37" s="83">
        <f t="shared" si="37"/>
        <v>0</v>
      </c>
      <c r="BO37" s="81">
        <f>VLOOKUP(C37,'[1]TARGET THIS MONTH'!C:U,19,0)</f>
        <v>15</v>
      </c>
      <c r="BP37" s="82">
        <f>IFERROR(GETPIVOTDATA("Sum of Qty",'[1]Operator by Store'!$A$5,"ID Store",$C37,"Product Type","Telkomsel"),0)</f>
        <v>0</v>
      </c>
      <c r="BQ37" s="101">
        <f t="shared" si="38"/>
        <v>0</v>
      </c>
    </row>
    <row r="38" spans="1:69" x14ac:dyDescent="0.2">
      <c r="A38" s="72">
        <v>34</v>
      </c>
      <c r="B38" s="73" t="s">
        <v>90</v>
      </c>
      <c r="C38" s="74">
        <v>6190706</v>
      </c>
      <c r="D38" s="75" t="s">
        <v>93</v>
      </c>
      <c r="E38" s="102" t="s">
        <v>92</v>
      </c>
      <c r="F38" s="77">
        <v>4</v>
      </c>
      <c r="G38" s="78">
        <f>IFERROR(VLOOKUP(C38,'[1]TARGET THIS MONTH'!C:E,3,0),0)</f>
        <v>110</v>
      </c>
      <c r="H38" s="79">
        <f>IFERROR(VLOOKUP(C38,'[1]TARGET THIS MONTH'!C:M,11,0),0)</f>
        <v>473000000</v>
      </c>
      <c r="I38" s="78">
        <f>IFERROR(GETPIVOTDATA("Sum of Qty",'[1]DEVICE &amp; VALUE'!$A$6,"ID Store",$C38),0)</f>
        <v>49</v>
      </c>
      <c r="J38" s="80">
        <f t="shared" si="0"/>
        <v>0.44545454545454544</v>
      </c>
      <c r="K38" s="81">
        <f t="shared" si="1"/>
        <v>-61</v>
      </c>
      <c r="L38" s="82">
        <f>IFERROR(GETPIVOTDATA("Sum of Qty",[1]PF!$A$5,"ID Store",$C38),0)</f>
        <v>12</v>
      </c>
      <c r="M38" s="82">
        <f>IFERROR(GETPIVOTDATA("Sum of Qty",'[1]DEVICE &amp; VALUE'!$A$6,"ID Store",$C38,"Segment Price","3mio&gt;"),0)</f>
        <v>23</v>
      </c>
      <c r="N38" s="83">
        <f t="shared" si="2"/>
        <v>0.46938775510204084</v>
      </c>
      <c r="O38" s="84">
        <f>IFERROR(GETPIVOTDATA("Sum of Qty",[1]IQOO!$A$6,"ID Store",$C38),0)</f>
        <v>2</v>
      </c>
      <c r="P38" s="83">
        <f t="shared" si="3"/>
        <v>4.0816326530612242E-2</v>
      </c>
      <c r="Q38" s="83">
        <f t="shared" si="4"/>
        <v>0.46938775510204084</v>
      </c>
      <c r="R38" s="85">
        <f>IFERROR(GETPIVOTDATA("Sum of SRP",'[1]DEVICE &amp; VALUE'!$A$6,"ID Store",$C38),0)</f>
        <v>242651000</v>
      </c>
      <c r="S38" s="83">
        <f t="shared" si="5"/>
        <v>0.51300422832980974</v>
      </c>
      <c r="T38" s="86">
        <f t="shared" si="6"/>
        <v>-230349000</v>
      </c>
      <c r="U38" s="87">
        <f t="shared" si="7"/>
        <v>133.63636363636363</v>
      </c>
      <c r="V38" s="88">
        <f t="shared" si="8"/>
        <v>1.2148760330578512</v>
      </c>
      <c r="W38" s="89">
        <f t="shared" si="9"/>
        <v>23.636363636363626</v>
      </c>
      <c r="X38" s="89">
        <f t="shared" si="10"/>
        <v>62.727272727272727</v>
      </c>
      <c r="Y38" s="89">
        <f t="shared" si="11"/>
        <v>-47.272727272727273</v>
      </c>
      <c r="Z38" s="90">
        <f t="shared" si="12"/>
        <v>661775454.5454545</v>
      </c>
      <c r="AA38" s="90">
        <f t="shared" si="13"/>
        <v>188775454.5454545</v>
      </c>
      <c r="AB38" s="91">
        <f t="shared" si="14"/>
        <v>1.399102440899481</v>
      </c>
      <c r="AC38" s="92">
        <f t="shared" si="15"/>
        <v>3.2105263157894739</v>
      </c>
      <c r="AD38" s="93">
        <f t="shared" si="16"/>
        <v>12123631.578947369</v>
      </c>
      <c r="AE38" s="78">
        <f>IFERROR(GETPIVOTDATA("Sum of Qty",'[1]DATA LAST MONTH IQOO'!$A$6,"ID Store",$C38),0)</f>
        <v>2</v>
      </c>
      <c r="AF38" s="94">
        <f>IFERROR(GETPIVOTDATA("Sum of Qty",[1]IQOO!$A$6,"ID Store",$C38),0)</f>
        <v>2</v>
      </c>
      <c r="AG38" s="81">
        <f t="shared" si="17"/>
        <v>0</v>
      </c>
      <c r="AH38" s="95">
        <f t="shared" si="18"/>
        <v>0</v>
      </c>
      <c r="AI38" s="96">
        <f>IFERROR(GETPIVOTDATA("Sum of Qty",'[1]DATA LAST MONTH DEVICE'!$A$6,"ID Store",$C38),0)</f>
        <v>46</v>
      </c>
      <c r="AJ38" s="97">
        <f t="shared" si="19"/>
        <v>49</v>
      </c>
      <c r="AK38" s="81">
        <f t="shared" si="20"/>
        <v>3</v>
      </c>
      <c r="AL38" s="83">
        <f t="shared" si="21"/>
        <v>6.5217391304347824E-2</v>
      </c>
      <c r="AM38" s="82">
        <f>IFERROR(GETPIVOTDATA("Sum of Qty",'[1]Store 3mio+ last month'!$A$6,"ID Store",$C38),0)</f>
        <v>116</v>
      </c>
      <c r="AN38" s="81">
        <f t="shared" si="22"/>
        <v>133.63636363636363</v>
      </c>
      <c r="AO38" s="81">
        <f t="shared" si="23"/>
        <v>17.636363636363626</v>
      </c>
      <c r="AP38" s="83">
        <f t="shared" si="24"/>
        <v>0.15203761755485884</v>
      </c>
      <c r="AQ38" s="82">
        <f>IFERROR(GETPIVOTDATA("Sum of Qty",'[1]DATA LAST MONTH DEVICE'!$A$6,"ID Store",$C38,"Segment Price","3mio&gt;"),0)</f>
        <v>19</v>
      </c>
      <c r="AR38" s="84">
        <f t="shared" si="25"/>
        <v>23</v>
      </c>
      <c r="AS38" s="84">
        <f t="shared" si="26"/>
        <v>4</v>
      </c>
      <c r="AT38" s="83">
        <f t="shared" si="27"/>
        <v>0.21052631578947367</v>
      </c>
      <c r="AU38" s="98">
        <f>IFERROR(GETPIVOTDATA("Sum of SRP",'[1]DATA LAST MONTH DEVICE'!$A$6,"ID Store",$C38),0)</f>
        <v>180354000</v>
      </c>
      <c r="AV38" s="98">
        <f t="shared" si="28"/>
        <v>242651000</v>
      </c>
      <c r="AW38" s="98">
        <f t="shared" si="29"/>
        <v>62297000</v>
      </c>
      <c r="AX38" s="83">
        <f t="shared" si="30"/>
        <v>0.34541512802599333</v>
      </c>
      <c r="AY38" s="98">
        <f>IFERROR(VLOOKUP(C38,'[1]DATA SALES LAST MONTH'!A:E,5,0),0)</f>
        <v>3920739.1304347827</v>
      </c>
      <c r="AZ38" s="85">
        <f t="shared" si="31"/>
        <v>4952061.224489796</v>
      </c>
      <c r="BA38" s="85">
        <f t="shared" si="32"/>
        <v>1031322.0940550133</v>
      </c>
      <c r="BB38" s="95">
        <f t="shared" si="33"/>
        <v>0.26304277324889169</v>
      </c>
      <c r="BC38" s="78">
        <f>IFERROR(VLOOKUP(C38,'[1]TARGET THIS MONTH'!C:U,15,0),0)</f>
        <v>11</v>
      </c>
      <c r="BD38" s="99">
        <f>IFERROR(GETPIVOTDATA("Sum of Qty",[1]ACC!$A$5,"ID Store",$C38),0)</f>
        <v>6</v>
      </c>
      <c r="BE38" s="83">
        <f t="shared" si="34"/>
        <v>0.54545454545454541</v>
      </c>
      <c r="BF38" s="100">
        <f>IFERROR(VLOOKUP(C38,'[1]TARGET THIS MONTH'!C:U,16,0),0)</f>
        <v>2365000</v>
      </c>
      <c r="BG38" s="100">
        <f>IFERROR(GETPIVOTDATA("Sum of SRP",'[1]Insurance by Store'!$A$5,"ID Store",$C38,"Product Type","Qoala"),0)</f>
        <v>1157000</v>
      </c>
      <c r="BH38" s="83">
        <f t="shared" si="35"/>
        <v>0.48921775898520087</v>
      </c>
      <c r="BI38" s="100">
        <f>IFERROR(VLOOKUP(C38,'[1]TARGET THIS MONTH'!C:U,17,0),0)</f>
        <v>473000</v>
      </c>
      <c r="BJ38" s="100">
        <f>IFERROR(GETPIVOTDATA("Sum of SRP",'[1]Insurance by Store'!$A$5,"ID Store",$C38,"Product Type","Vivo Care"),0)</f>
        <v>0</v>
      </c>
      <c r="BK38" s="83">
        <f t="shared" si="36"/>
        <v>0</v>
      </c>
      <c r="BL38" s="81">
        <f>IFERROR(VLOOKUP(C38,'[1]TARGET THIS MONTH'!C:U,18,0),0)</f>
        <v>3.3</v>
      </c>
      <c r="BM38" s="82">
        <f>IFERROR(GETPIVOTDATA("Sum of Qty",'[1]Operator by Store'!$A$5,"ID Store",$C38,"Product Type","Indosat"),0)</f>
        <v>2</v>
      </c>
      <c r="BN38" s="83">
        <f t="shared" si="37"/>
        <v>0.60606060606060608</v>
      </c>
      <c r="BO38" s="81">
        <f>VLOOKUP(C38,'[1]TARGET THIS MONTH'!C:U,19,0)</f>
        <v>33</v>
      </c>
      <c r="BP38" s="82">
        <f>IFERROR(GETPIVOTDATA("Sum of Qty",'[1]Operator by Store'!$A$5,"ID Store",$C38,"Product Type","Telkomsel"),0)</f>
        <v>0</v>
      </c>
      <c r="BQ38" s="101">
        <f t="shared" si="38"/>
        <v>0</v>
      </c>
    </row>
    <row r="39" spans="1:69" x14ac:dyDescent="0.2">
      <c r="A39" s="72">
        <v>35</v>
      </c>
      <c r="B39" s="73" t="s">
        <v>90</v>
      </c>
      <c r="C39" s="74">
        <v>6190705</v>
      </c>
      <c r="D39" s="75" t="s">
        <v>94</v>
      </c>
      <c r="E39" s="102" t="s">
        <v>92</v>
      </c>
      <c r="F39" s="77">
        <v>2</v>
      </c>
      <c r="G39" s="78">
        <f>IFERROR(VLOOKUP(C39,'[1]TARGET THIS MONTH'!C:E,3,0),0)</f>
        <v>60</v>
      </c>
      <c r="H39" s="79">
        <f>IFERROR(VLOOKUP(C39,'[1]TARGET THIS MONTH'!C:M,11,0),0)</f>
        <v>258000000</v>
      </c>
      <c r="I39" s="78">
        <f>IFERROR(GETPIVOTDATA("Sum of Qty",'[1]DEVICE &amp; VALUE'!$A$6,"ID Store",$C39),0)</f>
        <v>12</v>
      </c>
      <c r="J39" s="80">
        <f t="shared" si="0"/>
        <v>0.2</v>
      </c>
      <c r="K39" s="81">
        <f t="shared" si="1"/>
        <v>-48</v>
      </c>
      <c r="L39" s="82">
        <f>IFERROR(GETPIVOTDATA("Sum of Qty",[1]PF!$A$5,"ID Store",$C39),0)</f>
        <v>3</v>
      </c>
      <c r="M39" s="82">
        <f>IFERROR(GETPIVOTDATA("Sum of Qty",'[1]DEVICE &amp; VALUE'!$A$6,"ID Store",$C39,"Segment Price","3mio&gt;"),0)</f>
        <v>5</v>
      </c>
      <c r="N39" s="83">
        <f t="shared" si="2"/>
        <v>0.41666666666666669</v>
      </c>
      <c r="O39" s="84">
        <f>IFERROR(GETPIVOTDATA("Sum of Qty",[1]IQOO!$A$6,"ID Store",$C39),0)</f>
        <v>1</v>
      </c>
      <c r="P39" s="83">
        <f t="shared" si="3"/>
        <v>8.3333333333333329E-2</v>
      </c>
      <c r="Q39" s="83">
        <f t="shared" si="4"/>
        <v>0.41666666666666669</v>
      </c>
      <c r="R39" s="85">
        <f>IFERROR(GETPIVOTDATA("Sum of SRP",'[1]DEVICE &amp; VALUE'!$A$6,"ID Store",$C39),0)</f>
        <v>43688000</v>
      </c>
      <c r="S39" s="83">
        <f t="shared" si="5"/>
        <v>0.16933333333333334</v>
      </c>
      <c r="T39" s="86">
        <f t="shared" si="6"/>
        <v>-214312000</v>
      </c>
      <c r="U39" s="87">
        <f t="shared" si="7"/>
        <v>32.727272727272727</v>
      </c>
      <c r="V39" s="88">
        <f t="shared" si="8"/>
        <v>0.54545454545454541</v>
      </c>
      <c r="W39" s="89">
        <f t="shared" si="9"/>
        <v>-27.272727272727273</v>
      </c>
      <c r="X39" s="89">
        <f t="shared" si="10"/>
        <v>13.636363636363637</v>
      </c>
      <c r="Y39" s="89">
        <f t="shared" si="11"/>
        <v>-46.36363636363636</v>
      </c>
      <c r="Z39" s="90">
        <f t="shared" si="12"/>
        <v>119149090.90909091</v>
      </c>
      <c r="AA39" s="90">
        <f t="shared" si="13"/>
        <v>-138850909.09090909</v>
      </c>
      <c r="AB39" s="91">
        <f t="shared" si="14"/>
        <v>0.46181818181818179</v>
      </c>
      <c r="AC39" s="92">
        <f t="shared" si="15"/>
        <v>2.5263157894736841</v>
      </c>
      <c r="AD39" s="93">
        <f t="shared" si="16"/>
        <v>11279578.947368421</v>
      </c>
      <c r="AE39" s="78">
        <f>IFERROR(GETPIVOTDATA("Sum of Qty",'[1]DATA LAST MONTH IQOO'!$A$6,"ID Store",$C39),0)</f>
        <v>2</v>
      </c>
      <c r="AF39" s="94">
        <f>IFERROR(GETPIVOTDATA("Sum of Qty",[1]IQOO!$A$6,"ID Store",$C39),0)</f>
        <v>1</v>
      </c>
      <c r="AG39" s="81">
        <f t="shared" si="17"/>
        <v>-1</v>
      </c>
      <c r="AH39" s="95">
        <f t="shared" si="18"/>
        <v>-0.5</v>
      </c>
      <c r="AI39" s="96">
        <f>IFERROR(GETPIVOTDATA("Sum of Qty",'[1]DATA LAST MONTH DEVICE'!$A$6,"ID Store",$C39),0)</f>
        <v>21</v>
      </c>
      <c r="AJ39" s="97">
        <f t="shared" si="19"/>
        <v>12</v>
      </c>
      <c r="AK39" s="81">
        <f t="shared" si="20"/>
        <v>-9</v>
      </c>
      <c r="AL39" s="83">
        <f t="shared" si="21"/>
        <v>-0.42857142857142855</v>
      </c>
      <c r="AM39" s="82">
        <f>IFERROR(GETPIVOTDATA("Sum of Qty",'[1]Store 3mio+ last month'!$A$6,"ID Store",$C39),0)</f>
        <v>70</v>
      </c>
      <c r="AN39" s="81">
        <f t="shared" si="22"/>
        <v>32.727272727272727</v>
      </c>
      <c r="AO39" s="81">
        <f t="shared" si="23"/>
        <v>-37.272727272727273</v>
      </c>
      <c r="AP39" s="83">
        <f t="shared" si="24"/>
        <v>-0.53246753246753242</v>
      </c>
      <c r="AQ39" s="82">
        <f>IFERROR(GETPIVOTDATA("Sum of Qty",'[1]DATA LAST MONTH DEVICE'!$A$6,"ID Store",$C39,"Segment Price","3mio&gt;"),0)</f>
        <v>7</v>
      </c>
      <c r="AR39" s="84">
        <f t="shared" si="25"/>
        <v>5</v>
      </c>
      <c r="AS39" s="84">
        <f t="shared" si="26"/>
        <v>-2</v>
      </c>
      <c r="AT39" s="83">
        <f t="shared" si="27"/>
        <v>-0.2857142857142857</v>
      </c>
      <c r="AU39" s="98">
        <f>IFERROR(GETPIVOTDATA("Sum of SRP",'[1]DATA LAST MONTH DEVICE'!$A$6,"ID Store",$C39),0)</f>
        <v>74479000</v>
      </c>
      <c r="AV39" s="98">
        <f t="shared" si="28"/>
        <v>43688000</v>
      </c>
      <c r="AW39" s="98">
        <f t="shared" si="29"/>
        <v>-30791000</v>
      </c>
      <c r="AX39" s="83">
        <f t="shared" si="30"/>
        <v>-0.41341854751003637</v>
      </c>
      <c r="AY39" s="98">
        <f>IFERROR(VLOOKUP(C39,'[1]DATA SALES LAST MONTH'!A:E,5,0),0)</f>
        <v>3546619.0476190476</v>
      </c>
      <c r="AZ39" s="85">
        <f t="shared" si="31"/>
        <v>3640666.6666666665</v>
      </c>
      <c r="BA39" s="85">
        <f t="shared" si="32"/>
        <v>94047.619047618937</v>
      </c>
      <c r="BB39" s="95">
        <f t="shared" si="33"/>
        <v>2.6517541857436294E-2</v>
      </c>
      <c r="BC39" s="78">
        <f>IFERROR(VLOOKUP(C39,'[1]TARGET THIS MONTH'!C:U,15,0),0)</f>
        <v>6</v>
      </c>
      <c r="BD39" s="99">
        <f>IFERROR(GETPIVOTDATA("Sum of Qty",[1]ACC!$A$5,"ID Store",$C39),0)</f>
        <v>1</v>
      </c>
      <c r="BE39" s="83">
        <f t="shared" si="34"/>
        <v>0.16666666666666666</v>
      </c>
      <c r="BF39" s="100">
        <f>IFERROR(VLOOKUP(C39,'[1]TARGET THIS MONTH'!C:U,16,0),0)</f>
        <v>1290000</v>
      </c>
      <c r="BG39" s="100">
        <f>IFERROR(GETPIVOTDATA("Sum of SRP",'[1]Insurance by Store'!$A$5,"ID Store",$C39,"Product Type","Qoala"),0)</f>
        <v>408000</v>
      </c>
      <c r="BH39" s="83">
        <f t="shared" si="35"/>
        <v>0.31627906976744186</v>
      </c>
      <c r="BI39" s="100">
        <f>IFERROR(VLOOKUP(C39,'[1]TARGET THIS MONTH'!C:U,17,0),0)</f>
        <v>258000</v>
      </c>
      <c r="BJ39" s="100">
        <f>IFERROR(GETPIVOTDATA("Sum of SRP",'[1]Insurance by Store'!$A$5,"ID Store",$C39,"Product Type","Vivo Care"),0)</f>
        <v>0</v>
      </c>
      <c r="BK39" s="83">
        <f t="shared" si="36"/>
        <v>0</v>
      </c>
      <c r="BL39" s="81">
        <f>IFERROR(VLOOKUP(C39,'[1]TARGET THIS MONTH'!C:U,18,0),0)</f>
        <v>1.7999999999999998</v>
      </c>
      <c r="BM39" s="82">
        <f>IFERROR(GETPIVOTDATA("Sum of Qty",'[1]Operator by Store'!$A$5,"ID Store",$C39,"Product Type","Indosat"),0)</f>
        <v>0</v>
      </c>
      <c r="BN39" s="83">
        <f t="shared" si="37"/>
        <v>0</v>
      </c>
      <c r="BO39" s="81">
        <f>VLOOKUP(C39,'[1]TARGET THIS MONTH'!C:U,19,0)</f>
        <v>18</v>
      </c>
      <c r="BP39" s="82">
        <f>IFERROR(GETPIVOTDATA("Sum of Qty",'[1]Operator by Store'!$A$5,"ID Store",$C39,"Product Type","Telkomsel"),0)</f>
        <v>0</v>
      </c>
      <c r="BQ39" s="101">
        <f t="shared" si="38"/>
        <v>0</v>
      </c>
    </row>
    <row r="40" spans="1:69" x14ac:dyDescent="0.2">
      <c r="A40" s="72">
        <v>36</v>
      </c>
      <c r="B40" s="73" t="s">
        <v>90</v>
      </c>
      <c r="C40" s="74">
        <v>6190704</v>
      </c>
      <c r="D40" s="75" t="s">
        <v>95</v>
      </c>
      <c r="E40" s="102" t="s">
        <v>96</v>
      </c>
      <c r="F40" s="77">
        <v>4</v>
      </c>
      <c r="G40" s="78">
        <f>IFERROR(VLOOKUP(C40,'[1]TARGET THIS MONTH'!C:E,3,0),0)</f>
        <v>120</v>
      </c>
      <c r="H40" s="79">
        <f>IFERROR(VLOOKUP(C40,'[1]TARGET THIS MONTH'!C:M,11,0),0)</f>
        <v>516000000</v>
      </c>
      <c r="I40" s="78">
        <f>IFERROR(GETPIVOTDATA("Sum of Qty",'[1]DEVICE &amp; VALUE'!$A$6,"ID Store",$C40),0)</f>
        <v>46</v>
      </c>
      <c r="J40" s="80">
        <f t="shared" si="0"/>
        <v>0.38333333333333336</v>
      </c>
      <c r="K40" s="81">
        <f t="shared" si="1"/>
        <v>-74</v>
      </c>
      <c r="L40" s="82">
        <f>IFERROR(GETPIVOTDATA("Sum of Qty",[1]PF!$A$5,"ID Store",$C40),0)</f>
        <v>7</v>
      </c>
      <c r="M40" s="82">
        <f>IFERROR(GETPIVOTDATA("Sum of Qty",'[1]DEVICE &amp; VALUE'!$A$6,"ID Store",$C40,"Segment Price","3mio&gt;"),0)</f>
        <v>15</v>
      </c>
      <c r="N40" s="83">
        <f t="shared" si="2"/>
        <v>0.32608695652173914</v>
      </c>
      <c r="O40" s="84">
        <f>IFERROR(GETPIVOTDATA("Sum of Qty",[1]IQOO!$A$6,"ID Store",$C40),0)</f>
        <v>1</v>
      </c>
      <c r="P40" s="83">
        <f t="shared" si="3"/>
        <v>2.1739130434782608E-2</v>
      </c>
      <c r="Q40" s="83">
        <f t="shared" si="4"/>
        <v>0.32608695652173914</v>
      </c>
      <c r="R40" s="85">
        <f>IFERROR(GETPIVOTDATA("Sum of SRP",'[1]DEVICE &amp; VALUE'!$A$6,"ID Store",$C40),0)</f>
        <v>167054000</v>
      </c>
      <c r="S40" s="83">
        <f t="shared" si="5"/>
        <v>0.32374806201550388</v>
      </c>
      <c r="T40" s="86">
        <f t="shared" si="6"/>
        <v>-348946000</v>
      </c>
      <c r="U40" s="87">
        <f t="shared" si="7"/>
        <v>125.45454545454545</v>
      </c>
      <c r="V40" s="88">
        <f t="shared" si="8"/>
        <v>1.0454545454545454</v>
      </c>
      <c r="W40" s="89">
        <f t="shared" si="9"/>
        <v>5.4545454545454533</v>
      </c>
      <c r="X40" s="89">
        <f t="shared" si="10"/>
        <v>40.909090909090907</v>
      </c>
      <c r="Y40" s="89">
        <f t="shared" si="11"/>
        <v>-79.090909090909093</v>
      </c>
      <c r="Z40" s="90">
        <f t="shared" si="12"/>
        <v>455601818.18181819</v>
      </c>
      <c r="AA40" s="90">
        <f t="shared" si="13"/>
        <v>-60398181.818181813</v>
      </c>
      <c r="AB40" s="91">
        <f t="shared" si="14"/>
        <v>0.88294926004228336</v>
      </c>
      <c r="AC40" s="92">
        <f t="shared" si="15"/>
        <v>3.8947368421052633</v>
      </c>
      <c r="AD40" s="93">
        <f t="shared" si="16"/>
        <v>18365578.947368421</v>
      </c>
      <c r="AE40" s="78">
        <f>IFERROR(GETPIVOTDATA("Sum of Qty",'[1]DATA LAST MONTH IQOO'!$A$6,"ID Store",$C40),0)</f>
        <v>5</v>
      </c>
      <c r="AF40" s="94">
        <f>IFERROR(GETPIVOTDATA("Sum of Qty",[1]IQOO!$A$6,"ID Store",$C40),0)</f>
        <v>1</v>
      </c>
      <c r="AG40" s="81">
        <f t="shared" si="17"/>
        <v>-4</v>
      </c>
      <c r="AH40" s="95">
        <f t="shared" si="18"/>
        <v>-0.8</v>
      </c>
      <c r="AI40" s="96">
        <f>IFERROR(GETPIVOTDATA("Sum of Qty",'[1]DATA LAST MONTH DEVICE'!$A$6,"ID Store",$C40),0)</f>
        <v>34</v>
      </c>
      <c r="AJ40" s="97">
        <f t="shared" si="19"/>
        <v>46</v>
      </c>
      <c r="AK40" s="81">
        <f t="shared" si="20"/>
        <v>12</v>
      </c>
      <c r="AL40" s="83">
        <f t="shared" si="21"/>
        <v>0.35294117647058826</v>
      </c>
      <c r="AM40" s="82">
        <f>IFERROR(GETPIVOTDATA("Sum of Qty",'[1]Store 3mio+ last month'!$A$6,"ID Store",$C40),0)</f>
        <v>112</v>
      </c>
      <c r="AN40" s="81">
        <f t="shared" si="22"/>
        <v>125.45454545454545</v>
      </c>
      <c r="AO40" s="81">
        <f t="shared" si="23"/>
        <v>13.454545454545453</v>
      </c>
      <c r="AP40" s="83">
        <f t="shared" si="24"/>
        <v>0.12012987012987011</v>
      </c>
      <c r="AQ40" s="82">
        <f>IFERROR(GETPIVOTDATA("Sum of Qty",'[1]DATA LAST MONTH DEVICE'!$A$6,"ID Store",$C40,"Segment Price","3mio&gt;"),0)</f>
        <v>13</v>
      </c>
      <c r="AR40" s="84">
        <f t="shared" si="25"/>
        <v>15</v>
      </c>
      <c r="AS40" s="84">
        <f t="shared" si="26"/>
        <v>2</v>
      </c>
      <c r="AT40" s="83">
        <f t="shared" si="27"/>
        <v>0.15384615384615385</v>
      </c>
      <c r="AU40" s="98">
        <f>IFERROR(GETPIVOTDATA("Sum of SRP",'[1]DATA LAST MONTH DEVICE'!$A$6,"ID Store",$C40),0)</f>
        <v>121866000</v>
      </c>
      <c r="AV40" s="98">
        <f t="shared" si="28"/>
        <v>167054000</v>
      </c>
      <c r="AW40" s="98">
        <f t="shared" si="29"/>
        <v>45188000</v>
      </c>
      <c r="AX40" s="83">
        <f t="shared" si="30"/>
        <v>0.37080071554001937</v>
      </c>
      <c r="AY40" s="98">
        <f>IFERROR(VLOOKUP(C40,'[1]DATA SALES LAST MONTH'!A:E,5,0),0)</f>
        <v>3584294.1176470588</v>
      </c>
      <c r="AZ40" s="85">
        <f t="shared" si="31"/>
        <v>3631608.6956521738</v>
      </c>
      <c r="BA40" s="85">
        <f t="shared" si="32"/>
        <v>47314.578005115036</v>
      </c>
      <c r="BB40" s="95">
        <f t="shared" si="33"/>
        <v>1.3200528877405603E-2</v>
      </c>
      <c r="BC40" s="78">
        <f>IFERROR(VLOOKUP(C40,'[1]TARGET THIS MONTH'!C:U,15,0),0)</f>
        <v>12</v>
      </c>
      <c r="BD40" s="99">
        <f>IFERROR(GETPIVOTDATA("Sum of Qty",[1]ACC!$A$5,"ID Store",$C40),0)</f>
        <v>7</v>
      </c>
      <c r="BE40" s="83">
        <f t="shared" si="34"/>
        <v>0.58333333333333337</v>
      </c>
      <c r="BF40" s="100">
        <f>IFERROR(VLOOKUP(C40,'[1]TARGET THIS MONTH'!C:U,16,0),0)</f>
        <v>2580000</v>
      </c>
      <c r="BG40" s="100">
        <f>IFERROR(GETPIVOTDATA("Sum of SRP",'[1]Insurance by Store'!$A$5,"ID Store",$C40,"Product Type","Qoala"),0)</f>
        <v>477000</v>
      </c>
      <c r="BH40" s="83">
        <f t="shared" si="35"/>
        <v>0.18488372093023256</v>
      </c>
      <c r="BI40" s="100">
        <f>IFERROR(VLOOKUP(C40,'[1]TARGET THIS MONTH'!C:U,17,0),0)</f>
        <v>516000</v>
      </c>
      <c r="BJ40" s="100">
        <f>IFERROR(GETPIVOTDATA("Sum of SRP",'[1]Insurance by Store'!$A$5,"ID Store",$C40,"Product Type","Vivo Care"),0)</f>
        <v>0</v>
      </c>
      <c r="BK40" s="83">
        <f t="shared" si="36"/>
        <v>0</v>
      </c>
      <c r="BL40" s="81">
        <f>IFERROR(VLOOKUP(C40,'[1]TARGET THIS MONTH'!C:U,18,0),0)</f>
        <v>3.5999999999999996</v>
      </c>
      <c r="BM40" s="82">
        <f>IFERROR(GETPIVOTDATA("Sum of Qty",'[1]Operator by Store'!$A$5,"ID Store",$C40,"Product Type","Indosat"),0)</f>
        <v>0</v>
      </c>
      <c r="BN40" s="83">
        <f t="shared" si="37"/>
        <v>0</v>
      </c>
      <c r="BO40" s="81">
        <f>VLOOKUP(C40,'[1]TARGET THIS MONTH'!C:U,19,0)</f>
        <v>36</v>
      </c>
      <c r="BP40" s="82">
        <f>IFERROR(GETPIVOTDATA("Sum of Qty",'[1]Operator by Store'!$A$5,"ID Store",$C40,"Product Type","Telkomsel"),0)</f>
        <v>0</v>
      </c>
      <c r="BQ40" s="101">
        <f t="shared" si="38"/>
        <v>0</v>
      </c>
    </row>
    <row r="41" spans="1:69" x14ac:dyDescent="0.2">
      <c r="A41" s="72">
        <v>37</v>
      </c>
      <c r="B41" s="73" t="s">
        <v>90</v>
      </c>
      <c r="C41" s="74">
        <v>6190707</v>
      </c>
      <c r="D41" s="75" t="s">
        <v>97</v>
      </c>
      <c r="E41" s="102" t="s">
        <v>96</v>
      </c>
      <c r="F41" s="77">
        <v>4</v>
      </c>
      <c r="G41" s="78">
        <f>IFERROR(VLOOKUP(C41,'[1]TARGET THIS MONTH'!C:E,3,0),0)</f>
        <v>120</v>
      </c>
      <c r="H41" s="79">
        <f>IFERROR(VLOOKUP(C41,'[1]TARGET THIS MONTH'!C:M,11,0),0)</f>
        <v>516000000</v>
      </c>
      <c r="I41" s="78">
        <f>IFERROR(GETPIVOTDATA("Sum of Qty",'[1]DEVICE &amp; VALUE'!$A$6,"ID Store",$C41),0)</f>
        <v>48</v>
      </c>
      <c r="J41" s="80">
        <f t="shared" si="0"/>
        <v>0.4</v>
      </c>
      <c r="K41" s="81">
        <f t="shared" si="1"/>
        <v>-72</v>
      </c>
      <c r="L41" s="82">
        <f>IFERROR(GETPIVOTDATA("Sum of Qty",[1]PF!$A$5,"ID Store",$C41),0)</f>
        <v>9</v>
      </c>
      <c r="M41" s="82">
        <f>IFERROR(GETPIVOTDATA("Sum of Qty",'[1]DEVICE &amp; VALUE'!$A$6,"ID Store",$C41,"Segment Price","3mio&gt;"),0)</f>
        <v>17</v>
      </c>
      <c r="N41" s="83">
        <f t="shared" si="2"/>
        <v>0.35416666666666669</v>
      </c>
      <c r="O41" s="84">
        <f>IFERROR(GETPIVOTDATA("Sum of Qty",[1]IQOO!$A$6,"ID Store",$C41),0)</f>
        <v>4</v>
      </c>
      <c r="P41" s="83">
        <f t="shared" si="3"/>
        <v>8.3333333333333329E-2</v>
      </c>
      <c r="Q41" s="83">
        <f t="shared" si="4"/>
        <v>0.35416666666666669</v>
      </c>
      <c r="R41" s="85">
        <f>IFERROR(GETPIVOTDATA("Sum of SRP",'[1]DEVICE &amp; VALUE'!$A$6,"ID Store",$C41),0)</f>
        <v>182152000</v>
      </c>
      <c r="S41" s="83">
        <f t="shared" si="5"/>
        <v>0.3530077519379845</v>
      </c>
      <c r="T41" s="86">
        <f t="shared" si="6"/>
        <v>-333848000</v>
      </c>
      <c r="U41" s="87">
        <f t="shared" si="7"/>
        <v>130.90909090909091</v>
      </c>
      <c r="V41" s="88">
        <f t="shared" si="8"/>
        <v>1.0909090909090908</v>
      </c>
      <c r="W41" s="89">
        <f t="shared" si="9"/>
        <v>10.909090909090907</v>
      </c>
      <c r="X41" s="89">
        <f t="shared" si="10"/>
        <v>46.36363636363636</v>
      </c>
      <c r="Y41" s="89">
        <f t="shared" si="11"/>
        <v>-73.63636363636364</v>
      </c>
      <c r="Z41" s="90">
        <f t="shared" si="12"/>
        <v>496778181.81818181</v>
      </c>
      <c r="AA41" s="90">
        <f t="shared" si="13"/>
        <v>-19221818.181818187</v>
      </c>
      <c r="AB41" s="91">
        <f t="shared" si="14"/>
        <v>0.9627484143763213</v>
      </c>
      <c r="AC41" s="92">
        <f t="shared" si="15"/>
        <v>3.7894736842105261</v>
      </c>
      <c r="AD41" s="93">
        <f t="shared" si="16"/>
        <v>17570947.368421052</v>
      </c>
      <c r="AE41" s="78">
        <f>IFERROR(GETPIVOTDATA("Sum of Qty",'[1]DATA LAST MONTH IQOO'!$A$6,"ID Store",$C41),0)</f>
        <v>5</v>
      </c>
      <c r="AF41" s="94">
        <f>IFERROR(GETPIVOTDATA("Sum of Qty",[1]IQOO!$A$6,"ID Store",$C41),0)</f>
        <v>4</v>
      </c>
      <c r="AG41" s="81">
        <f t="shared" si="17"/>
        <v>-1</v>
      </c>
      <c r="AH41" s="95">
        <f t="shared" si="18"/>
        <v>-0.2</v>
      </c>
      <c r="AI41" s="96">
        <f>IFERROR(GETPIVOTDATA("Sum of Qty",'[1]DATA LAST MONTH DEVICE'!$A$6,"ID Store",$C41),0)</f>
        <v>60</v>
      </c>
      <c r="AJ41" s="97">
        <f t="shared" si="19"/>
        <v>48</v>
      </c>
      <c r="AK41" s="81">
        <f t="shared" si="20"/>
        <v>-12</v>
      </c>
      <c r="AL41" s="83">
        <f t="shared" si="21"/>
        <v>-0.2</v>
      </c>
      <c r="AM41" s="82">
        <f>IFERROR(GETPIVOTDATA("Sum of Qty",'[1]Store 3mio+ last month'!$A$6,"ID Store",$C41),0)</f>
        <v>142</v>
      </c>
      <c r="AN41" s="81">
        <f t="shared" si="22"/>
        <v>130.90909090909091</v>
      </c>
      <c r="AO41" s="81">
        <f t="shared" si="23"/>
        <v>-11.090909090909093</v>
      </c>
      <c r="AP41" s="83">
        <f t="shared" si="24"/>
        <v>-7.8104993597951367E-2</v>
      </c>
      <c r="AQ41" s="82">
        <f>IFERROR(GETPIVOTDATA("Sum of Qty",'[1]DATA LAST MONTH DEVICE'!$A$6,"ID Store",$C41,"Segment Price","3mio&gt;"),0)</f>
        <v>25</v>
      </c>
      <c r="AR41" s="84">
        <f t="shared" si="25"/>
        <v>17</v>
      </c>
      <c r="AS41" s="84">
        <f t="shared" si="26"/>
        <v>-8</v>
      </c>
      <c r="AT41" s="83">
        <f t="shared" si="27"/>
        <v>-0.32</v>
      </c>
      <c r="AU41" s="98">
        <f>IFERROR(GETPIVOTDATA("Sum of SRP",'[1]DATA LAST MONTH DEVICE'!$A$6,"ID Store",$C41),0)</f>
        <v>301040000</v>
      </c>
      <c r="AV41" s="98">
        <f t="shared" si="28"/>
        <v>182152000</v>
      </c>
      <c r="AW41" s="98">
        <f t="shared" si="29"/>
        <v>-118888000</v>
      </c>
      <c r="AX41" s="83">
        <f t="shared" si="30"/>
        <v>-0.3949242625564709</v>
      </c>
      <c r="AY41" s="98">
        <f>IFERROR(VLOOKUP(C41,'[1]DATA SALES LAST MONTH'!A:E,5,0),0)</f>
        <v>5017333.333333333</v>
      </c>
      <c r="AZ41" s="85">
        <f t="shared" si="31"/>
        <v>3794833.3333333335</v>
      </c>
      <c r="BA41" s="85">
        <f t="shared" si="32"/>
        <v>-1222499.9999999995</v>
      </c>
      <c r="BB41" s="95">
        <f t="shared" si="33"/>
        <v>-0.24365532819558855</v>
      </c>
      <c r="BC41" s="78">
        <f>IFERROR(VLOOKUP(C41,'[1]TARGET THIS MONTH'!C:U,15,0),0)</f>
        <v>12</v>
      </c>
      <c r="BD41" s="99">
        <f>IFERROR(GETPIVOTDATA("Sum of Qty",[1]ACC!$A$5,"ID Store",$C41),0)</f>
        <v>8</v>
      </c>
      <c r="BE41" s="83">
        <f t="shared" si="34"/>
        <v>0.66666666666666663</v>
      </c>
      <c r="BF41" s="100">
        <f>IFERROR(VLOOKUP(C41,'[1]TARGET THIS MONTH'!C:U,16,0),0)</f>
        <v>2580000</v>
      </c>
      <c r="BG41" s="100">
        <f>IFERROR(GETPIVOTDATA("Sum of SRP",'[1]Insurance by Store'!$A$5,"ID Store",$C41,"Product Type","Qoala"),0)</f>
        <v>636000</v>
      </c>
      <c r="BH41" s="83">
        <f t="shared" si="35"/>
        <v>0.24651162790697675</v>
      </c>
      <c r="BI41" s="100">
        <f>IFERROR(VLOOKUP(C41,'[1]TARGET THIS MONTH'!C:U,17,0),0)</f>
        <v>516000</v>
      </c>
      <c r="BJ41" s="100">
        <f>IFERROR(GETPIVOTDATA("Sum of SRP",'[1]Insurance by Store'!$A$5,"ID Store",$C41,"Product Type","Vivo Care"),0)</f>
        <v>0</v>
      </c>
      <c r="BK41" s="83">
        <f t="shared" si="36"/>
        <v>0</v>
      </c>
      <c r="BL41" s="81">
        <f>IFERROR(VLOOKUP(C41,'[1]TARGET THIS MONTH'!C:U,18,0),0)</f>
        <v>3.5999999999999996</v>
      </c>
      <c r="BM41" s="82">
        <f>IFERROR(GETPIVOTDATA("Sum of Qty",'[1]Operator by Store'!$A$5,"ID Store",$C41,"Product Type","Indosat"),0)</f>
        <v>2</v>
      </c>
      <c r="BN41" s="83">
        <f t="shared" si="37"/>
        <v>0.55555555555555558</v>
      </c>
      <c r="BO41" s="81">
        <f>VLOOKUP(C41,'[1]TARGET THIS MONTH'!C:U,19,0)</f>
        <v>36</v>
      </c>
      <c r="BP41" s="82">
        <f>IFERROR(GETPIVOTDATA("Sum of Qty",'[1]Operator by Store'!$A$5,"ID Store",$C41,"Product Type","Telkomsel"),0)</f>
        <v>0</v>
      </c>
      <c r="BQ41" s="101">
        <f t="shared" si="38"/>
        <v>0</v>
      </c>
    </row>
    <row r="42" spans="1:69" x14ac:dyDescent="0.2">
      <c r="A42" s="72">
        <v>38</v>
      </c>
      <c r="B42" s="73" t="s">
        <v>90</v>
      </c>
      <c r="C42" s="74">
        <v>6190708</v>
      </c>
      <c r="D42" s="75" t="s">
        <v>98</v>
      </c>
      <c r="E42" s="102" t="s">
        <v>96</v>
      </c>
      <c r="F42" s="77">
        <v>1</v>
      </c>
      <c r="G42" s="78">
        <f>IFERROR(VLOOKUP(C42,'[1]TARGET THIS MONTH'!C:E,3,0),0)</f>
        <v>20</v>
      </c>
      <c r="H42" s="79">
        <f>IFERROR(VLOOKUP(C42,'[1]TARGET THIS MONTH'!C:M,11,0),0)</f>
        <v>86000000</v>
      </c>
      <c r="I42" s="78">
        <f>IFERROR(GETPIVOTDATA("Sum of Qty",'[1]DEVICE &amp; VALUE'!$A$6,"ID Store",$C42),0)</f>
        <v>4</v>
      </c>
      <c r="J42" s="80">
        <f t="shared" si="0"/>
        <v>0.2</v>
      </c>
      <c r="K42" s="81">
        <f t="shared" si="1"/>
        <v>-16</v>
      </c>
      <c r="L42" s="82">
        <f>IFERROR(GETPIVOTDATA("Sum of Qty",[1]PF!$A$5,"ID Store",$C42),0)</f>
        <v>1</v>
      </c>
      <c r="M42" s="82">
        <f>IFERROR(GETPIVOTDATA("Sum of Qty",'[1]DEVICE &amp; VALUE'!$A$6,"ID Store",$C42,"Segment Price","3mio&gt;"),0)</f>
        <v>2</v>
      </c>
      <c r="N42" s="83">
        <f t="shared" si="2"/>
        <v>0.5</v>
      </c>
      <c r="O42" s="84">
        <f>IFERROR(GETPIVOTDATA("Sum of Qty",[1]IQOO!$A$6,"ID Store",$C42),0)</f>
        <v>0</v>
      </c>
      <c r="P42" s="83">
        <f t="shared" si="3"/>
        <v>0</v>
      </c>
      <c r="Q42" s="83">
        <f t="shared" si="4"/>
        <v>0.5</v>
      </c>
      <c r="R42" s="85">
        <f>IFERROR(GETPIVOTDATA("Sum of SRP",'[1]DEVICE &amp; VALUE'!$A$6,"ID Store",$C42),0)</f>
        <v>19496000</v>
      </c>
      <c r="S42" s="83">
        <f t="shared" si="5"/>
        <v>0.22669767441860464</v>
      </c>
      <c r="T42" s="86">
        <f t="shared" si="6"/>
        <v>-66504000</v>
      </c>
      <c r="U42" s="87">
        <f t="shared" si="7"/>
        <v>10.90909090909091</v>
      </c>
      <c r="V42" s="88">
        <f t="shared" si="8"/>
        <v>0.54545454545454553</v>
      </c>
      <c r="W42" s="89">
        <f t="shared" si="9"/>
        <v>-9.0909090909090899</v>
      </c>
      <c r="X42" s="89">
        <f t="shared" si="10"/>
        <v>5.454545454545455</v>
      </c>
      <c r="Y42" s="89">
        <f t="shared" si="11"/>
        <v>-14.545454545454545</v>
      </c>
      <c r="Z42" s="90">
        <f t="shared" si="12"/>
        <v>53170909.090909094</v>
      </c>
      <c r="AA42" s="90">
        <f t="shared" si="13"/>
        <v>-32829090.909090906</v>
      </c>
      <c r="AB42" s="91">
        <f t="shared" si="14"/>
        <v>0.61826638477801277</v>
      </c>
      <c r="AC42" s="92">
        <f t="shared" si="15"/>
        <v>0.84210526315789469</v>
      </c>
      <c r="AD42" s="93">
        <f t="shared" si="16"/>
        <v>3500210.5263157897</v>
      </c>
      <c r="AE42" s="78">
        <f>IFERROR(GETPIVOTDATA("Sum of Qty",'[1]DATA LAST MONTH IQOO'!$A$6,"ID Store",$C42),0)</f>
        <v>3</v>
      </c>
      <c r="AF42" s="94">
        <f>IFERROR(GETPIVOTDATA("Sum of Qty",[1]IQOO!$A$6,"ID Store",$C42),0)</f>
        <v>0</v>
      </c>
      <c r="AG42" s="81">
        <f t="shared" si="17"/>
        <v>-3</v>
      </c>
      <c r="AH42" s="95">
        <f t="shared" si="18"/>
        <v>-1</v>
      </c>
      <c r="AI42" s="96">
        <f>IFERROR(GETPIVOTDATA("Sum of Qty",'[1]DATA LAST MONTH DEVICE'!$A$6,"ID Store",$C42),0)</f>
        <v>6</v>
      </c>
      <c r="AJ42" s="97">
        <f t="shared" si="19"/>
        <v>4</v>
      </c>
      <c r="AK42" s="81">
        <f t="shared" si="20"/>
        <v>-2</v>
      </c>
      <c r="AL42" s="83">
        <f t="shared" si="21"/>
        <v>-0.33333333333333331</v>
      </c>
      <c r="AM42" s="82">
        <f>IFERROR(GETPIVOTDATA("Sum of Qty",'[1]Store 3mio+ last month'!$A$6,"ID Store",$C42),0)</f>
        <v>14</v>
      </c>
      <c r="AN42" s="81">
        <f t="shared" si="22"/>
        <v>10.90909090909091</v>
      </c>
      <c r="AO42" s="81">
        <f t="shared" si="23"/>
        <v>-3.0909090909090899</v>
      </c>
      <c r="AP42" s="83">
        <f t="shared" si="24"/>
        <v>-0.22077922077922071</v>
      </c>
      <c r="AQ42" s="82">
        <f>IFERROR(GETPIVOTDATA("Sum of Qty",'[1]DATA LAST MONTH DEVICE'!$A$6,"ID Store",$C42,"Segment Price","3mio&gt;"),0)</f>
        <v>4</v>
      </c>
      <c r="AR42" s="84">
        <f t="shared" si="25"/>
        <v>2</v>
      </c>
      <c r="AS42" s="84">
        <f t="shared" si="26"/>
        <v>-2</v>
      </c>
      <c r="AT42" s="83">
        <f t="shared" si="27"/>
        <v>-0.5</v>
      </c>
      <c r="AU42" s="98">
        <f>IFERROR(GETPIVOTDATA("Sum of SRP",'[1]DATA LAST MONTH DEVICE'!$A$6,"ID Store",$C42),0)</f>
        <v>27294000</v>
      </c>
      <c r="AV42" s="98">
        <f t="shared" si="28"/>
        <v>19496000</v>
      </c>
      <c r="AW42" s="98">
        <f t="shared" si="29"/>
        <v>-7798000</v>
      </c>
      <c r="AX42" s="83">
        <f t="shared" si="30"/>
        <v>-0.28570381768886932</v>
      </c>
      <c r="AY42" s="98">
        <f>IFERROR(VLOOKUP(C42,'[1]DATA SALES LAST MONTH'!A:E,5,0),0)</f>
        <v>0</v>
      </c>
      <c r="AZ42" s="85">
        <f t="shared" si="31"/>
        <v>4874000</v>
      </c>
      <c r="BA42" s="85">
        <f t="shared" si="32"/>
        <v>4874000</v>
      </c>
      <c r="BB42" s="95">
        <f t="shared" si="33"/>
        <v>0</v>
      </c>
      <c r="BC42" s="78">
        <f>IFERROR(VLOOKUP(C42,'[1]TARGET THIS MONTH'!C:U,15,0),0)</f>
        <v>2</v>
      </c>
      <c r="BD42" s="99">
        <f>IFERROR(GETPIVOTDATA("Sum of Qty",[1]ACC!$A$5,"ID Store",$C42),0)</f>
        <v>0</v>
      </c>
      <c r="BE42" s="83">
        <f t="shared" si="34"/>
        <v>0</v>
      </c>
      <c r="BF42" s="100">
        <f>IFERROR(VLOOKUP(C42,'[1]TARGET THIS MONTH'!C:U,16,0),0)</f>
        <v>430000</v>
      </c>
      <c r="BG42" s="100">
        <f>IFERROR(GETPIVOTDATA("Sum of SRP",'[1]Insurance by Store'!$A$5,"ID Store",$C42,"Product Type","Qoala"),0)</f>
        <v>0</v>
      </c>
      <c r="BH42" s="83">
        <f t="shared" si="35"/>
        <v>0</v>
      </c>
      <c r="BI42" s="100">
        <f>IFERROR(VLOOKUP(C42,'[1]TARGET THIS MONTH'!C:U,17,0),0)</f>
        <v>86000</v>
      </c>
      <c r="BJ42" s="100">
        <f>IFERROR(GETPIVOTDATA("Sum of SRP",'[1]Insurance by Store'!$A$5,"ID Store",$C42,"Product Type","Vivo Care"),0)</f>
        <v>0</v>
      </c>
      <c r="BK42" s="83">
        <f t="shared" si="36"/>
        <v>0</v>
      </c>
      <c r="BL42" s="81">
        <f>IFERROR(VLOOKUP(C42,'[1]TARGET THIS MONTH'!C:U,18,0),0)</f>
        <v>0.6</v>
      </c>
      <c r="BM42" s="82">
        <f>IFERROR(GETPIVOTDATA("Sum of Qty",'[1]Operator by Store'!$A$5,"ID Store",$C42,"Product Type","Indosat"),0)</f>
        <v>0</v>
      </c>
      <c r="BN42" s="83">
        <f t="shared" si="37"/>
        <v>0</v>
      </c>
      <c r="BO42" s="81">
        <f>VLOOKUP(C42,'[1]TARGET THIS MONTH'!C:U,19,0)</f>
        <v>6</v>
      </c>
      <c r="BP42" s="82">
        <f>IFERROR(GETPIVOTDATA("Sum of Qty",'[1]Operator by Store'!$A$5,"ID Store",$C42,"Product Type","Telkomsel"),0)</f>
        <v>0</v>
      </c>
      <c r="BQ42" s="101">
        <f t="shared" si="38"/>
        <v>0</v>
      </c>
    </row>
    <row r="43" spans="1:69" x14ac:dyDescent="0.2">
      <c r="A43" s="72">
        <v>39</v>
      </c>
      <c r="B43" s="73" t="s">
        <v>99</v>
      </c>
      <c r="C43" s="74">
        <v>6150702</v>
      </c>
      <c r="D43" s="75" t="s">
        <v>100</v>
      </c>
      <c r="E43" s="103" t="s">
        <v>101</v>
      </c>
      <c r="F43" s="77">
        <v>2</v>
      </c>
      <c r="G43" s="78">
        <f>IFERROR(VLOOKUP(C43,'[1]TARGET THIS MONTH'!C:E,3,0),0)</f>
        <v>20</v>
      </c>
      <c r="H43" s="79">
        <f>IFERROR(VLOOKUP(C43,'[1]TARGET THIS MONTH'!C:M,11,0),0)</f>
        <v>80000000</v>
      </c>
      <c r="I43" s="78">
        <f>IFERROR(GETPIVOTDATA("Sum of Qty",'[1]DEVICE &amp; VALUE'!$A$6,"ID Store",$C43),0)</f>
        <v>3</v>
      </c>
      <c r="J43" s="80">
        <f t="shared" si="0"/>
        <v>0.15</v>
      </c>
      <c r="K43" s="81">
        <f t="shared" si="1"/>
        <v>-17</v>
      </c>
      <c r="L43" s="82">
        <f>IFERROR(GETPIVOTDATA("Sum of Qty",[1]PF!$A$5,"ID Store",$C43),0)</f>
        <v>3</v>
      </c>
      <c r="M43" s="82">
        <f>IFERROR(GETPIVOTDATA("Sum of Qty",'[1]DEVICE &amp; VALUE'!$A$6,"ID Store",$C43,"Segment Price","3mio&gt;"),0)</f>
        <v>3</v>
      </c>
      <c r="N43" s="83">
        <f t="shared" si="2"/>
        <v>1</v>
      </c>
      <c r="O43" s="84">
        <f>IFERROR(GETPIVOTDATA("Sum of Qty",[1]IQOO!$A$6,"ID Store",$C43),0)</f>
        <v>0</v>
      </c>
      <c r="P43" s="83">
        <f t="shared" si="3"/>
        <v>0</v>
      </c>
      <c r="Q43" s="83">
        <f t="shared" si="4"/>
        <v>1</v>
      </c>
      <c r="R43" s="85">
        <f>IFERROR(GETPIVOTDATA("Sum of SRP",'[1]DEVICE &amp; VALUE'!$A$6,"ID Store",$C43),0)</f>
        <v>13397000</v>
      </c>
      <c r="S43" s="83">
        <f t="shared" si="5"/>
        <v>0.16746249999999999</v>
      </c>
      <c r="T43" s="86">
        <f t="shared" si="6"/>
        <v>-66603000</v>
      </c>
      <c r="U43" s="87">
        <f t="shared" si="7"/>
        <v>8.1818181818181817</v>
      </c>
      <c r="V43" s="88">
        <f t="shared" si="8"/>
        <v>0.40909090909090906</v>
      </c>
      <c r="W43" s="89">
        <f t="shared" si="9"/>
        <v>-11.818181818181818</v>
      </c>
      <c r="X43" s="89">
        <f t="shared" si="10"/>
        <v>8.1818181818181817</v>
      </c>
      <c r="Y43" s="89">
        <f t="shared" si="11"/>
        <v>-11.818181818181818</v>
      </c>
      <c r="Z43" s="90">
        <f t="shared" si="12"/>
        <v>36537272.727272727</v>
      </c>
      <c r="AA43" s="90">
        <f t="shared" si="13"/>
        <v>-43462727.272727273</v>
      </c>
      <c r="AB43" s="91">
        <f t="shared" si="14"/>
        <v>0.45671590909090909</v>
      </c>
      <c r="AC43" s="92">
        <f t="shared" si="15"/>
        <v>0.89473684210526316</v>
      </c>
      <c r="AD43" s="93">
        <f t="shared" si="16"/>
        <v>3505421.0526315789</v>
      </c>
      <c r="AE43" s="78">
        <f>IFERROR(GETPIVOTDATA("Sum of Qty",'[1]DATA LAST MONTH IQOO'!$A$6,"ID Store",$C43),0)</f>
        <v>0</v>
      </c>
      <c r="AF43" s="94">
        <f>IFERROR(GETPIVOTDATA("Sum of Qty",[1]IQOO!$A$6,"ID Store",$C43),0)</f>
        <v>0</v>
      </c>
      <c r="AG43" s="81">
        <f t="shared" si="17"/>
        <v>0</v>
      </c>
      <c r="AH43" s="95">
        <f t="shared" si="18"/>
        <v>0</v>
      </c>
      <c r="AI43" s="96">
        <f>IFERROR(GETPIVOTDATA("Sum of Qty",'[1]DATA LAST MONTH DEVICE'!$A$6,"ID Store",$C43),0)</f>
        <v>2</v>
      </c>
      <c r="AJ43" s="97">
        <f t="shared" si="19"/>
        <v>3</v>
      </c>
      <c r="AK43" s="81">
        <f t="shared" si="20"/>
        <v>1</v>
      </c>
      <c r="AL43" s="83">
        <f t="shared" si="21"/>
        <v>0.5</v>
      </c>
      <c r="AM43" s="82">
        <f>IFERROR(GETPIVOTDATA("Sum of Qty",'[1]Store 3mio+ last month'!$A$6,"ID Store",$C43),0)</f>
        <v>8</v>
      </c>
      <c r="AN43" s="81">
        <f t="shared" si="22"/>
        <v>8.1818181818181817</v>
      </c>
      <c r="AO43" s="81">
        <f t="shared" si="23"/>
        <v>0.18181818181818166</v>
      </c>
      <c r="AP43" s="83">
        <f t="shared" si="24"/>
        <v>2.2727272727272707E-2</v>
      </c>
      <c r="AQ43" s="82">
        <f>IFERROR(GETPIVOTDATA("Sum of Qty",'[1]DATA LAST MONTH DEVICE'!$A$6,"ID Store",$C43,"Segment Price","3mio&gt;"),0)</f>
        <v>0</v>
      </c>
      <c r="AR43" s="84">
        <f t="shared" si="25"/>
        <v>3</v>
      </c>
      <c r="AS43" s="84">
        <f t="shared" si="26"/>
        <v>3</v>
      </c>
      <c r="AT43" s="83">
        <f t="shared" si="27"/>
        <v>0</v>
      </c>
      <c r="AU43" s="98">
        <f>IFERROR(GETPIVOTDATA("Sum of SRP",'[1]DATA LAST MONTH DEVICE'!$A$6,"ID Store",$C43),0)</f>
        <v>5198000</v>
      </c>
      <c r="AV43" s="98">
        <f t="shared" si="28"/>
        <v>13397000</v>
      </c>
      <c r="AW43" s="98">
        <f t="shared" si="29"/>
        <v>8199000</v>
      </c>
      <c r="AX43" s="83">
        <f t="shared" si="30"/>
        <v>1.5773374374759523</v>
      </c>
      <c r="AY43" s="98">
        <f>IFERROR(VLOOKUP(C43,'[1]DATA SALES LAST MONTH'!A:E,5,0),0)</f>
        <v>0</v>
      </c>
      <c r="AZ43" s="85">
        <f t="shared" si="31"/>
        <v>4465666.666666667</v>
      </c>
      <c r="BA43" s="85">
        <f t="shared" si="32"/>
        <v>4465666.666666667</v>
      </c>
      <c r="BB43" s="95">
        <f t="shared" si="33"/>
        <v>0</v>
      </c>
      <c r="BC43" s="78">
        <f>IFERROR(VLOOKUP(C43,'[1]TARGET THIS MONTH'!C:U,15,0),0)</f>
        <v>2</v>
      </c>
      <c r="BD43" s="99">
        <f>IFERROR(GETPIVOTDATA("Sum of Qty",[1]ACC!$A$5,"ID Store",$C43),0)</f>
        <v>0</v>
      </c>
      <c r="BE43" s="83">
        <f t="shared" si="34"/>
        <v>0</v>
      </c>
      <c r="BF43" s="100">
        <f>IFERROR(VLOOKUP(C43,'[1]TARGET THIS MONTH'!C:U,16,0),0)</f>
        <v>400000</v>
      </c>
      <c r="BG43" s="100">
        <f>IFERROR(GETPIVOTDATA("Sum of SRP",'[1]Insurance by Store'!$A$5,"ID Store",$C43,"Product Type","Qoala"),0)</f>
        <v>0</v>
      </c>
      <c r="BH43" s="83">
        <f t="shared" si="35"/>
        <v>0</v>
      </c>
      <c r="BI43" s="100">
        <f>IFERROR(VLOOKUP(C43,'[1]TARGET THIS MONTH'!C:U,17,0),0)</f>
        <v>80000</v>
      </c>
      <c r="BJ43" s="100">
        <f>IFERROR(GETPIVOTDATA("Sum of SRP",'[1]Insurance by Store'!$A$5,"ID Store",$C43,"Product Type","Vivo Care"),0)</f>
        <v>0</v>
      </c>
      <c r="BK43" s="83">
        <f t="shared" si="36"/>
        <v>0</v>
      </c>
      <c r="BL43" s="81">
        <f>IFERROR(VLOOKUP(C43,'[1]TARGET THIS MONTH'!C:U,18,0),0)</f>
        <v>0.6</v>
      </c>
      <c r="BM43" s="82">
        <f>IFERROR(GETPIVOTDATA("Sum of Qty",'[1]Operator by Store'!$A$5,"ID Store",$C43,"Product Type","Indosat"),0)</f>
        <v>0</v>
      </c>
      <c r="BN43" s="83">
        <f t="shared" si="37"/>
        <v>0</v>
      </c>
      <c r="BO43" s="81">
        <f>VLOOKUP(C43,'[1]TARGET THIS MONTH'!C:U,19,0)</f>
        <v>6</v>
      </c>
      <c r="BP43" s="82">
        <f>IFERROR(GETPIVOTDATA("Sum of Qty",'[1]Operator by Store'!$A$5,"ID Store",$C43,"Product Type","Telkomsel"),0)</f>
        <v>0</v>
      </c>
      <c r="BQ43" s="101">
        <f t="shared" si="38"/>
        <v>0</v>
      </c>
    </row>
    <row r="44" spans="1:69" x14ac:dyDescent="0.2">
      <c r="A44" s="72">
        <v>40</v>
      </c>
      <c r="B44" s="73" t="s">
        <v>102</v>
      </c>
      <c r="C44" s="74">
        <v>6130702</v>
      </c>
      <c r="D44" s="75" t="s">
        <v>103</v>
      </c>
      <c r="E44" s="102" t="s">
        <v>104</v>
      </c>
      <c r="F44" s="77">
        <v>3</v>
      </c>
      <c r="G44" s="78">
        <f>IFERROR(VLOOKUP(C44,'[1]TARGET THIS MONTH'!C:E,3,0),0)</f>
        <v>60</v>
      </c>
      <c r="H44" s="79">
        <f>IFERROR(VLOOKUP(C44,'[1]TARGET THIS MONTH'!C:M,11,0),0)</f>
        <v>300000000</v>
      </c>
      <c r="I44" s="78">
        <f>IFERROR(GETPIVOTDATA("Sum of Qty",'[1]DEVICE &amp; VALUE'!$A$6,"ID Store",$C44),0)</f>
        <v>15</v>
      </c>
      <c r="J44" s="80">
        <f t="shared" si="0"/>
        <v>0.25</v>
      </c>
      <c r="K44" s="81">
        <f t="shared" si="1"/>
        <v>-45</v>
      </c>
      <c r="L44" s="82">
        <f>IFERROR(GETPIVOTDATA("Sum of Qty",[1]PF!$A$5,"ID Store",$C44),0)</f>
        <v>4</v>
      </c>
      <c r="M44" s="82">
        <f>IFERROR(GETPIVOTDATA("Sum of Qty",'[1]DEVICE &amp; VALUE'!$A$6,"ID Store",$C44,"Segment Price","3mio&gt;"),0)</f>
        <v>11</v>
      </c>
      <c r="N44" s="83">
        <f t="shared" si="2"/>
        <v>0.73333333333333328</v>
      </c>
      <c r="O44" s="84">
        <f>IFERROR(GETPIVOTDATA("Sum of Qty",[1]IQOO!$A$6,"ID Store",$C44),0)</f>
        <v>3</v>
      </c>
      <c r="P44" s="83">
        <f t="shared" si="3"/>
        <v>0.2</v>
      </c>
      <c r="Q44" s="83">
        <f t="shared" si="4"/>
        <v>0.73333333333333328</v>
      </c>
      <c r="R44" s="85">
        <f>IFERROR(GETPIVOTDATA("Sum of SRP",'[1]DEVICE &amp; VALUE'!$A$6,"ID Store",$C44),0)</f>
        <v>90985000</v>
      </c>
      <c r="S44" s="83">
        <f t="shared" si="5"/>
        <v>0.30328333333333335</v>
      </c>
      <c r="T44" s="86">
        <f t="shared" si="6"/>
        <v>-209015000</v>
      </c>
      <c r="U44" s="87">
        <f t="shared" si="7"/>
        <v>40.909090909090907</v>
      </c>
      <c r="V44" s="88">
        <f t="shared" si="8"/>
        <v>0.68181818181818177</v>
      </c>
      <c r="W44" s="89">
        <f t="shared" si="9"/>
        <v>-19.090909090909093</v>
      </c>
      <c r="X44" s="89">
        <f t="shared" si="10"/>
        <v>30</v>
      </c>
      <c r="Y44" s="89">
        <f t="shared" si="11"/>
        <v>-30</v>
      </c>
      <c r="Z44" s="90">
        <f t="shared" si="12"/>
        <v>248140909.09090909</v>
      </c>
      <c r="AA44" s="90">
        <f t="shared" si="13"/>
        <v>-51859090.909090906</v>
      </c>
      <c r="AB44" s="91">
        <f t="shared" si="14"/>
        <v>0.82713636363636367</v>
      </c>
      <c r="AC44" s="92">
        <f t="shared" si="15"/>
        <v>2.3684210526315788</v>
      </c>
      <c r="AD44" s="93">
        <f t="shared" si="16"/>
        <v>11000789.47368421</v>
      </c>
      <c r="AE44" s="78">
        <f>IFERROR(GETPIVOTDATA("Sum of Qty",'[1]DATA LAST MONTH IQOO'!$A$6,"ID Store",$C44),0)</f>
        <v>7</v>
      </c>
      <c r="AF44" s="94">
        <f>IFERROR(GETPIVOTDATA("Sum of Qty",[1]IQOO!$A$6,"ID Store",$C44),0)</f>
        <v>3</v>
      </c>
      <c r="AG44" s="81">
        <f t="shared" si="17"/>
        <v>-4</v>
      </c>
      <c r="AH44" s="95">
        <f t="shared" si="18"/>
        <v>-0.5714285714285714</v>
      </c>
      <c r="AI44" s="96">
        <f>IFERROR(GETPIVOTDATA("Sum of Qty",'[1]DATA LAST MONTH DEVICE'!$A$6,"ID Store",$C44),0)</f>
        <v>19</v>
      </c>
      <c r="AJ44" s="97">
        <f t="shared" si="19"/>
        <v>15</v>
      </c>
      <c r="AK44" s="81">
        <f t="shared" si="20"/>
        <v>-4</v>
      </c>
      <c r="AL44" s="83">
        <f t="shared" si="21"/>
        <v>-0.21052631578947367</v>
      </c>
      <c r="AM44" s="82">
        <f>IFERROR(GETPIVOTDATA("Sum of Qty",'[1]Store 3mio+ last month'!$A$6,"ID Store",$C44),0)</f>
        <v>50</v>
      </c>
      <c r="AN44" s="81">
        <f t="shared" si="22"/>
        <v>40.909090909090907</v>
      </c>
      <c r="AO44" s="81">
        <f t="shared" si="23"/>
        <v>-9.0909090909090935</v>
      </c>
      <c r="AP44" s="83">
        <f t="shared" si="24"/>
        <v>-0.18181818181818188</v>
      </c>
      <c r="AQ44" s="82">
        <f>IFERROR(GETPIVOTDATA("Sum of Qty",'[1]DATA LAST MONTH DEVICE'!$A$6,"ID Store",$C44,"Segment Price","3mio&gt;"),0)</f>
        <v>16</v>
      </c>
      <c r="AR44" s="84">
        <f t="shared" si="25"/>
        <v>11</v>
      </c>
      <c r="AS44" s="84">
        <f t="shared" si="26"/>
        <v>-5</v>
      </c>
      <c r="AT44" s="83">
        <f t="shared" si="27"/>
        <v>-0.3125</v>
      </c>
      <c r="AU44" s="98">
        <f>IFERROR(GETPIVOTDATA("Sum of SRP",'[1]DATA LAST MONTH DEVICE'!$A$6,"ID Store",$C44),0)</f>
        <v>106681000</v>
      </c>
      <c r="AV44" s="98">
        <f t="shared" si="28"/>
        <v>90985000</v>
      </c>
      <c r="AW44" s="98">
        <f t="shared" si="29"/>
        <v>-15696000</v>
      </c>
      <c r="AX44" s="83">
        <f t="shared" si="30"/>
        <v>-0.14713022937542769</v>
      </c>
      <c r="AY44" s="98">
        <f>IFERROR(VLOOKUP(C44,'[1]DATA SALES LAST MONTH'!A:E,5,0),0)</f>
        <v>5614789.4736842103</v>
      </c>
      <c r="AZ44" s="85">
        <f t="shared" si="31"/>
        <v>6065666.666666667</v>
      </c>
      <c r="BA44" s="85">
        <f t="shared" si="32"/>
        <v>450877.19298245665</v>
      </c>
      <c r="BB44" s="95">
        <f t="shared" si="33"/>
        <v>8.0301709457791706E-2</v>
      </c>
      <c r="BC44" s="78">
        <f>IFERROR(VLOOKUP(C44,'[1]TARGET THIS MONTH'!C:U,15,0),0)</f>
        <v>6</v>
      </c>
      <c r="BD44" s="99">
        <f>IFERROR(GETPIVOTDATA("Sum of Qty",[1]ACC!$A$5,"ID Store",$C44),0)</f>
        <v>1</v>
      </c>
      <c r="BE44" s="83">
        <f t="shared" si="34"/>
        <v>0.16666666666666666</v>
      </c>
      <c r="BF44" s="100">
        <f>IFERROR(VLOOKUP(C44,'[1]TARGET THIS MONTH'!C:U,16,0),0)</f>
        <v>1500000</v>
      </c>
      <c r="BG44" s="100">
        <f>IFERROR(GETPIVOTDATA("Sum of SRP",'[1]Insurance by Store'!$A$5,"ID Store",$C44,"Product Type","Qoala"),0)</f>
        <v>329000</v>
      </c>
      <c r="BH44" s="83">
        <f t="shared" si="35"/>
        <v>0.21933333333333332</v>
      </c>
      <c r="BI44" s="100">
        <f>IFERROR(VLOOKUP(C44,'[1]TARGET THIS MONTH'!C:U,17,0),0)</f>
        <v>300000</v>
      </c>
      <c r="BJ44" s="100">
        <f>IFERROR(GETPIVOTDATA("Sum of SRP",'[1]Insurance by Store'!$A$5,"ID Store",$C44,"Product Type","Vivo Care"),0)</f>
        <v>0</v>
      </c>
      <c r="BK44" s="83">
        <f t="shared" si="36"/>
        <v>0</v>
      </c>
      <c r="BL44" s="81">
        <f>IFERROR(VLOOKUP(C44,'[1]TARGET THIS MONTH'!C:U,18,0),0)</f>
        <v>1.7999999999999998</v>
      </c>
      <c r="BM44" s="82">
        <f>IFERROR(GETPIVOTDATA("Sum of Qty",'[1]Operator by Store'!$A$5,"ID Store",$C44,"Product Type","Indosat"),0)</f>
        <v>0</v>
      </c>
      <c r="BN44" s="83">
        <f t="shared" si="37"/>
        <v>0</v>
      </c>
      <c r="BO44" s="81">
        <f>VLOOKUP(C44,'[1]TARGET THIS MONTH'!C:U,19,0)</f>
        <v>18</v>
      </c>
      <c r="BP44" s="82">
        <f>IFERROR(GETPIVOTDATA("Sum of Qty",'[1]Operator by Store'!$A$5,"ID Store",$C44,"Product Type","Telkomsel"),0)</f>
        <v>0</v>
      </c>
      <c r="BQ44" s="101">
        <f t="shared" si="38"/>
        <v>0</v>
      </c>
    </row>
    <row r="45" spans="1:69" x14ac:dyDescent="0.2">
      <c r="A45" s="72">
        <v>41</v>
      </c>
      <c r="B45" s="73" t="s">
        <v>105</v>
      </c>
      <c r="C45" s="74">
        <v>6100702</v>
      </c>
      <c r="D45" s="75" t="s">
        <v>106</v>
      </c>
      <c r="E45" s="103" t="s">
        <v>101</v>
      </c>
      <c r="F45" s="77">
        <v>1</v>
      </c>
      <c r="G45" s="78">
        <f>IFERROR(VLOOKUP(C45,'[1]TARGET THIS MONTH'!C:E,3,0),0)</f>
        <v>50</v>
      </c>
      <c r="H45" s="79">
        <f>IFERROR(VLOOKUP(C45,'[1]TARGET THIS MONTH'!C:M,11,0),0)</f>
        <v>350000000</v>
      </c>
      <c r="I45" s="78">
        <f>IFERROR(GETPIVOTDATA("Sum of Qty",'[1]DEVICE &amp; VALUE'!$A$6,"ID Store",$C45),0)</f>
        <v>11</v>
      </c>
      <c r="J45" s="80">
        <f t="shared" si="0"/>
        <v>0.22</v>
      </c>
      <c r="K45" s="81">
        <f t="shared" si="1"/>
        <v>-39</v>
      </c>
      <c r="L45" s="82">
        <f>IFERROR(GETPIVOTDATA("Sum of Qty",[1]PF!$A$5,"ID Store",$C45),0)</f>
        <v>5</v>
      </c>
      <c r="M45" s="82">
        <f>IFERROR(GETPIVOTDATA("Sum of Qty",'[1]DEVICE &amp; VALUE'!$A$6,"ID Store",$C45,"Segment Price","3mio&gt;"),0)</f>
        <v>8</v>
      </c>
      <c r="N45" s="83">
        <f t="shared" si="2"/>
        <v>0.72727272727272729</v>
      </c>
      <c r="O45" s="84">
        <f>IFERROR(GETPIVOTDATA("Sum of Qty",[1]IQOO!$A$6,"ID Store",$C45),0)</f>
        <v>1</v>
      </c>
      <c r="P45" s="83">
        <f t="shared" si="3"/>
        <v>9.0909090909090912E-2</v>
      </c>
      <c r="Q45" s="83">
        <f t="shared" si="4"/>
        <v>0.72727272727272729</v>
      </c>
      <c r="R45" s="85">
        <f>IFERROR(GETPIVOTDATA("Sum of SRP",'[1]DEVICE &amp; VALUE'!$A$6,"ID Store",$C45),0)</f>
        <v>50089000</v>
      </c>
      <c r="S45" s="83">
        <f t="shared" si="5"/>
        <v>0.14311142857142858</v>
      </c>
      <c r="T45" s="86">
        <f t="shared" si="6"/>
        <v>-299911000</v>
      </c>
      <c r="U45" s="87">
        <f t="shared" si="7"/>
        <v>30</v>
      </c>
      <c r="V45" s="88">
        <f t="shared" si="8"/>
        <v>0.6</v>
      </c>
      <c r="W45" s="89">
        <f t="shared" si="9"/>
        <v>-20</v>
      </c>
      <c r="X45" s="89">
        <f t="shared" si="10"/>
        <v>21.81818181818182</v>
      </c>
      <c r="Y45" s="89">
        <f t="shared" si="11"/>
        <v>-28.18181818181818</v>
      </c>
      <c r="Z45" s="90">
        <f t="shared" si="12"/>
        <v>136606363.63636363</v>
      </c>
      <c r="AA45" s="90">
        <f t="shared" si="13"/>
        <v>-213393636.36363637</v>
      </c>
      <c r="AB45" s="91">
        <f t="shared" si="14"/>
        <v>0.3903038961038961</v>
      </c>
      <c r="AC45" s="92">
        <f t="shared" si="15"/>
        <v>2.0526315789473686</v>
      </c>
      <c r="AD45" s="93">
        <f t="shared" si="16"/>
        <v>15784789.47368421</v>
      </c>
      <c r="AE45" s="78">
        <f>IFERROR(GETPIVOTDATA("Sum of Qty",'[1]DATA LAST MONTH IQOO'!$A$6,"ID Store",$C45),0)</f>
        <v>5</v>
      </c>
      <c r="AF45" s="94">
        <f>IFERROR(GETPIVOTDATA("Sum of Qty",[1]IQOO!$A$6,"ID Store",$C45),0)</f>
        <v>1</v>
      </c>
      <c r="AG45" s="81">
        <f t="shared" si="17"/>
        <v>-4</v>
      </c>
      <c r="AH45" s="95">
        <f t="shared" si="18"/>
        <v>-0.8</v>
      </c>
      <c r="AI45" s="96">
        <f>IFERROR(GETPIVOTDATA("Sum of Qty",'[1]DATA LAST MONTH DEVICE'!$A$6,"ID Store",$C45),0)</f>
        <v>18</v>
      </c>
      <c r="AJ45" s="97">
        <f t="shared" si="19"/>
        <v>11</v>
      </c>
      <c r="AK45" s="81">
        <f t="shared" si="20"/>
        <v>-7</v>
      </c>
      <c r="AL45" s="83">
        <f t="shared" si="21"/>
        <v>-0.3888888888888889</v>
      </c>
      <c r="AM45" s="82">
        <f>IFERROR(GETPIVOTDATA("Sum of Qty",'[1]Store 3mio+ last month'!$A$6,"ID Store",$C45),0)</f>
        <v>49</v>
      </c>
      <c r="AN45" s="81">
        <f t="shared" si="22"/>
        <v>30</v>
      </c>
      <c r="AO45" s="81">
        <f t="shared" si="23"/>
        <v>-19</v>
      </c>
      <c r="AP45" s="83">
        <f t="shared" si="24"/>
        <v>-0.38775510204081631</v>
      </c>
      <c r="AQ45" s="82">
        <f>IFERROR(GETPIVOTDATA("Sum of Qty",'[1]DATA LAST MONTH DEVICE'!$A$6,"ID Store",$C45,"Segment Price","3mio&gt;"),0)</f>
        <v>13</v>
      </c>
      <c r="AR45" s="84">
        <f t="shared" si="25"/>
        <v>8</v>
      </c>
      <c r="AS45" s="84">
        <f t="shared" si="26"/>
        <v>-5</v>
      </c>
      <c r="AT45" s="83">
        <f t="shared" si="27"/>
        <v>-0.38461538461538464</v>
      </c>
      <c r="AU45" s="98">
        <f>IFERROR(GETPIVOTDATA("Sum of SRP",'[1]DATA LAST MONTH DEVICE'!$A$6,"ID Store",$C45),0)</f>
        <v>102382000</v>
      </c>
      <c r="AV45" s="98">
        <f t="shared" si="28"/>
        <v>50089000</v>
      </c>
      <c r="AW45" s="98">
        <f t="shared" si="29"/>
        <v>-52293000</v>
      </c>
      <c r="AX45" s="83">
        <f t="shared" si="30"/>
        <v>-0.51076361079095933</v>
      </c>
      <c r="AY45" s="98">
        <f>IFERROR(VLOOKUP(C45,'[1]DATA SALES LAST MONTH'!A:E,5,0),0)</f>
        <v>5687888.888888889</v>
      </c>
      <c r="AZ45" s="85">
        <f t="shared" si="31"/>
        <v>4553545.4545454541</v>
      </c>
      <c r="BA45" s="85">
        <f t="shared" si="32"/>
        <v>-1134343.4343434349</v>
      </c>
      <c r="BB45" s="95">
        <f t="shared" si="33"/>
        <v>-0.19943136311247903</v>
      </c>
      <c r="BC45" s="78">
        <f>IFERROR(VLOOKUP(C45,'[1]TARGET THIS MONTH'!C:U,15,0),0)</f>
        <v>5</v>
      </c>
      <c r="BD45" s="99">
        <f>IFERROR(GETPIVOTDATA("Sum of Qty",[1]ACC!$A$5,"ID Store",$C45),0)</f>
        <v>0</v>
      </c>
      <c r="BE45" s="83">
        <f t="shared" si="34"/>
        <v>0</v>
      </c>
      <c r="BF45" s="100">
        <f>IFERROR(VLOOKUP(C45,'[1]TARGET THIS MONTH'!C:U,16,0),0)</f>
        <v>1750000</v>
      </c>
      <c r="BG45" s="100">
        <f>IFERROR(GETPIVOTDATA("Sum of SRP",'[1]Insurance by Store'!$A$5,"ID Store",$C45,"Product Type","Qoala"),0)</f>
        <v>0</v>
      </c>
      <c r="BH45" s="83">
        <f t="shared" si="35"/>
        <v>0</v>
      </c>
      <c r="BI45" s="100">
        <f>IFERROR(VLOOKUP(C45,'[1]TARGET THIS MONTH'!C:U,17,0),0)</f>
        <v>350000</v>
      </c>
      <c r="BJ45" s="100">
        <f>IFERROR(GETPIVOTDATA("Sum of SRP",'[1]Insurance by Store'!$A$5,"ID Store",$C45,"Product Type","Vivo Care"),0)</f>
        <v>0</v>
      </c>
      <c r="BK45" s="83">
        <f t="shared" si="36"/>
        <v>0</v>
      </c>
      <c r="BL45" s="81">
        <f>IFERROR(VLOOKUP(C45,'[1]TARGET THIS MONTH'!C:U,18,0),0)</f>
        <v>1.5</v>
      </c>
      <c r="BM45" s="82">
        <f>IFERROR(GETPIVOTDATA("Sum of Qty",'[1]Operator by Store'!$A$5,"ID Store",$C45,"Product Type","Indosat"),0)</f>
        <v>0</v>
      </c>
      <c r="BN45" s="83">
        <f t="shared" si="37"/>
        <v>0</v>
      </c>
      <c r="BO45" s="81">
        <f>VLOOKUP(C45,'[1]TARGET THIS MONTH'!C:U,19,0)</f>
        <v>15</v>
      </c>
      <c r="BP45" s="82">
        <f>IFERROR(GETPIVOTDATA("Sum of Qty",'[1]Operator by Store'!$A$5,"ID Store",$C45,"Product Type","Telkomsel"),0)</f>
        <v>0</v>
      </c>
      <c r="BQ45" s="101">
        <f t="shared" si="38"/>
        <v>0</v>
      </c>
    </row>
    <row r="46" spans="1:69" x14ac:dyDescent="0.2">
      <c r="A46" s="72">
        <v>42</v>
      </c>
      <c r="B46" s="73" t="s">
        <v>105</v>
      </c>
      <c r="C46" s="74">
        <v>6140706</v>
      </c>
      <c r="D46" s="75" t="s">
        <v>107</v>
      </c>
      <c r="E46" s="102" t="s">
        <v>108</v>
      </c>
      <c r="F46" s="77">
        <v>2</v>
      </c>
      <c r="G46" s="78">
        <f>IFERROR(VLOOKUP(C46,'[1]TARGET THIS MONTH'!C:E,3,0),0)</f>
        <v>30</v>
      </c>
      <c r="H46" s="79">
        <f>IFERROR(VLOOKUP(C46,'[1]TARGET THIS MONTH'!C:M,11,0),0)</f>
        <v>210000000</v>
      </c>
      <c r="I46" s="78">
        <f>IFERROR(GETPIVOTDATA("Sum of Qty",'[1]DEVICE &amp; VALUE'!$A$6,"ID Store",$C46),0)</f>
        <v>5</v>
      </c>
      <c r="J46" s="80">
        <f t="shared" si="0"/>
        <v>0.16666666666666666</v>
      </c>
      <c r="K46" s="81">
        <f t="shared" si="1"/>
        <v>-25</v>
      </c>
      <c r="L46" s="82">
        <f>IFERROR(GETPIVOTDATA("Sum of Qty",[1]PF!$A$5,"ID Store",$C46),0)</f>
        <v>1</v>
      </c>
      <c r="M46" s="82">
        <f>IFERROR(GETPIVOTDATA("Sum of Qty",'[1]DEVICE &amp; VALUE'!$A$6,"ID Store",$C46,"Segment Price","3mio&gt;"),0)</f>
        <v>3</v>
      </c>
      <c r="N46" s="83">
        <f t="shared" si="2"/>
        <v>0.6</v>
      </c>
      <c r="O46" s="84">
        <f>IFERROR(GETPIVOTDATA("Sum of Qty",[1]IQOO!$A$6,"ID Store",$C46),0)</f>
        <v>0</v>
      </c>
      <c r="P46" s="83">
        <f t="shared" si="3"/>
        <v>0</v>
      </c>
      <c r="Q46" s="83">
        <f t="shared" si="4"/>
        <v>0.6</v>
      </c>
      <c r="R46" s="85">
        <f>IFERROR(GETPIVOTDATA("Sum of SRP",'[1]DEVICE &amp; VALUE'!$A$6,"ID Store",$C46),0)</f>
        <v>45095000</v>
      </c>
      <c r="S46" s="83">
        <f t="shared" si="5"/>
        <v>0.21473809523809523</v>
      </c>
      <c r="T46" s="86">
        <f t="shared" si="6"/>
        <v>-164905000</v>
      </c>
      <c r="U46" s="87">
        <f t="shared" si="7"/>
        <v>13.636363636363637</v>
      </c>
      <c r="V46" s="88">
        <f t="shared" si="8"/>
        <v>0.45454545454545453</v>
      </c>
      <c r="W46" s="89">
        <f t="shared" si="9"/>
        <v>-16.363636363636363</v>
      </c>
      <c r="X46" s="89">
        <f t="shared" si="10"/>
        <v>8.1818181818181817</v>
      </c>
      <c r="Y46" s="89">
        <f t="shared" si="11"/>
        <v>-21.81818181818182</v>
      </c>
      <c r="Z46" s="90">
        <f t="shared" si="12"/>
        <v>122986363.63636364</v>
      </c>
      <c r="AA46" s="90">
        <f t="shared" si="13"/>
        <v>-87013636.36363636</v>
      </c>
      <c r="AB46" s="91">
        <f t="shared" si="14"/>
        <v>0.58564935064935064</v>
      </c>
      <c r="AC46" s="92">
        <f t="shared" si="15"/>
        <v>1.3157894736842106</v>
      </c>
      <c r="AD46" s="93">
        <f t="shared" si="16"/>
        <v>8679210.5263157897</v>
      </c>
      <c r="AE46" s="78">
        <f>IFERROR(GETPIVOTDATA("Sum of Qty",'[1]DATA LAST MONTH IQOO'!$A$6,"ID Store",$C46),0)</f>
        <v>1</v>
      </c>
      <c r="AF46" s="94">
        <f>IFERROR(GETPIVOTDATA("Sum of Qty",[1]IQOO!$A$6,"ID Store",$C46),0)</f>
        <v>0</v>
      </c>
      <c r="AG46" s="81">
        <f t="shared" si="17"/>
        <v>-1</v>
      </c>
      <c r="AH46" s="95">
        <f t="shared" si="18"/>
        <v>-1</v>
      </c>
      <c r="AI46" s="96">
        <f>IFERROR(GETPIVOTDATA("Sum of Qty",'[1]DATA LAST MONTH DEVICE'!$A$6,"ID Store",$C46),0)</f>
        <v>6</v>
      </c>
      <c r="AJ46" s="97">
        <f t="shared" si="19"/>
        <v>5</v>
      </c>
      <c r="AK46" s="81">
        <f t="shared" si="20"/>
        <v>-1</v>
      </c>
      <c r="AL46" s="83">
        <f t="shared" si="21"/>
        <v>-0.16666666666666666</v>
      </c>
      <c r="AM46" s="82">
        <f>IFERROR(GETPIVOTDATA("Sum of Qty",'[1]Store 3mio+ last month'!$A$6,"ID Store",$C46),0)</f>
        <v>29</v>
      </c>
      <c r="AN46" s="81">
        <f t="shared" si="22"/>
        <v>13.636363636363637</v>
      </c>
      <c r="AO46" s="81">
        <f t="shared" si="23"/>
        <v>-15.363636363636363</v>
      </c>
      <c r="AP46" s="83">
        <f t="shared" si="24"/>
        <v>-0.52978056426332287</v>
      </c>
      <c r="AQ46" s="82">
        <f>IFERROR(GETPIVOTDATA("Sum of Qty",'[1]DATA LAST MONTH DEVICE'!$A$6,"ID Store",$C46,"Segment Price","3mio&gt;"),0)</f>
        <v>5</v>
      </c>
      <c r="AR46" s="84">
        <f t="shared" si="25"/>
        <v>3</v>
      </c>
      <c r="AS46" s="84">
        <f t="shared" si="26"/>
        <v>-2</v>
      </c>
      <c r="AT46" s="83">
        <f t="shared" si="27"/>
        <v>-0.4</v>
      </c>
      <c r="AU46" s="98">
        <f>IFERROR(GETPIVOTDATA("Sum of SRP",'[1]DATA LAST MONTH DEVICE'!$A$6,"ID Store",$C46),0)</f>
        <v>42194000</v>
      </c>
      <c r="AV46" s="98">
        <f t="shared" si="28"/>
        <v>45095000</v>
      </c>
      <c r="AW46" s="98">
        <f t="shared" si="29"/>
        <v>2901000</v>
      </c>
      <c r="AX46" s="83">
        <f t="shared" si="30"/>
        <v>6.8753851258472762E-2</v>
      </c>
      <c r="AY46" s="98">
        <f>IFERROR(VLOOKUP(C46,'[1]DATA SALES LAST MONTH'!A:E,5,0),0)</f>
        <v>0</v>
      </c>
      <c r="AZ46" s="85">
        <f t="shared" si="31"/>
        <v>9019000</v>
      </c>
      <c r="BA46" s="85">
        <f t="shared" si="32"/>
        <v>9019000</v>
      </c>
      <c r="BB46" s="95">
        <f t="shared" si="33"/>
        <v>0</v>
      </c>
      <c r="BC46" s="78">
        <f>IFERROR(VLOOKUP(C46,'[1]TARGET THIS MONTH'!C:U,15,0),0)</f>
        <v>3</v>
      </c>
      <c r="BD46" s="99">
        <f>IFERROR(GETPIVOTDATA("Sum of Qty",[1]ACC!$A$5,"ID Store",$C46),0)</f>
        <v>0</v>
      </c>
      <c r="BE46" s="83">
        <f t="shared" si="34"/>
        <v>0</v>
      </c>
      <c r="BF46" s="100">
        <f>IFERROR(VLOOKUP(C46,'[1]TARGET THIS MONTH'!C:U,16,0),0)</f>
        <v>1050000</v>
      </c>
      <c r="BG46" s="100">
        <f>IFERROR(GETPIVOTDATA("Sum of SRP",'[1]Insurance by Store'!$A$5,"ID Store",$C46,"Product Type","Qoala"),0)</f>
        <v>0</v>
      </c>
      <c r="BH46" s="83">
        <f t="shared" si="35"/>
        <v>0</v>
      </c>
      <c r="BI46" s="100">
        <f>IFERROR(VLOOKUP(C46,'[1]TARGET THIS MONTH'!C:U,17,0),0)</f>
        <v>210000</v>
      </c>
      <c r="BJ46" s="100">
        <f>IFERROR(GETPIVOTDATA("Sum of SRP",'[1]Insurance by Store'!$A$5,"ID Store",$C46,"Product Type","Vivo Care"),0)</f>
        <v>0</v>
      </c>
      <c r="BK46" s="83">
        <f t="shared" si="36"/>
        <v>0</v>
      </c>
      <c r="BL46" s="81">
        <f>IFERROR(VLOOKUP(C46,'[1]TARGET THIS MONTH'!C:U,18,0),0)</f>
        <v>0.89999999999999991</v>
      </c>
      <c r="BM46" s="82">
        <f>IFERROR(GETPIVOTDATA("Sum of Qty",'[1]Operator by Store'!$A$5,"ID Store",$C46,"Product Type","Indosat"),0)</f>
        <v>0</v>
      </c>
      <c r="BN46" s="83">
        <f t="shared" si="37"/>
        <v>0</v>
      </c>
      <c r="BO46" s="81">
        <f>VLOOKUP(C46,'[1]TARGET THIS MONTH'!C:U,19,0)</f>
        <v>9</v>
      </c>
      <c r="BP46" s="82">
        <f>IFERROR(GETPIVOTDATA("Sum of Qty",'[1]Operator by Store'!$A$5,"ID Store",$C46,"Product Type","Telkomsel"),0)</f>
        <v>0</v>
      </c>
      <c r="BQ46" s="101">
        <f t="shared" si="38"/>
        <v>0</v>
      </c>
    </row>
    <row r="47" spans="1:69" x14ac:dyDescent="0.2">
      <c r="A47" s="104">
        <v>43</v>
      </c>
      <c r="B47" s="105" t="s">
        <v>105</v>
      </c>
      <c r="C47" s="106">
        <v>6140705</v>
      </c>
      <c r="D47" s="107" t="s">
        <v>109</v>
      </c>
      <c r="E47" s="108" t="s">
        <v>110</v>
      </c>
      <c r="F47" s="109">
        <v>3</v>
      </c>
      <c r="G47" s="110">
        <f>IFERROR(VLOOKUP(C47,'[1]TARGET THIS MONTH'!C:E,3,0),0)</f>
        <v>60</v>
      </c>
      <c r="H47" s="111">
        <f>IFERROR(VLOOKUP(C47,'[1]TARGET THIS MONTH'!C:M,11,0),0)</f>
        <v>420000000</v>
      </c>
      <c r="I47" s="110">
        <f>IFERROR(GETPIVOTDATA("Sum of Qty",'[1]DEVICE &amp; VALUE'!$A$6,"ID Store",$C47),0)</f>
        <v>20</v>
      </c>
      <c r="J47" s="112">
        <f t="shared" si="0"/>
        <v>0.33333333333333331</v>
      </c>
      <c r="K47" s="113">
        <f t="shared" si="1"/>
        <v>-40</v>
      </c>
      <c r="L47" s="114">
        <f>IFERROR(GETPIVOTDATA("Sum of Qty",[1]PF!$A$5,"ID Store",$C47),0)</f>
        <v>4</v>
      </c>
      <c r="M47" s="114">
        <f>IFERROR(GETPIVOTDATA("Sum of Qty",'[1]DEVICE &amp; VALUE'!$A$6,"ID Store",$C47,"Segment Price","3mio&gt;"),0)</f>
        <v>16</v>
      </c>
      <c r="N47" s="115">
        <f t="shared" si="2"/>
        <v>0.8</v>
      </c>
      <c r="O47" s="116">
        <f>IFERROR(GETPIVOTDATA("Sum of Qty",[1]IQOO!$A$6,"ID Store",$C47),0)</f>
        <v>6</v>
      </c>
      <c r="P47" s="115">
        <f t="shared" si="3"/>
        <v>0.3</v>
      </c>
      <c r="Q47" s="115">
        <f t="shared" si="4"/>
        <v>0.8</v>
      </c>
      <c r="R47" s="117">
        <f>IFERROR(GETPIVOTDATA("Sum of SRP",'[1]DEVICE &amp; VALUE'!$A$6,"ID Store",$C47),0)</f>
        <v>128680000</v>
      </c>
      <c r="S47" s="115">
        <f t="shared" si="5"/>
        <v>0.30638095238095236</v>
      </c>
      <c r="T47" s="118">
        <f t="shared" si="6"/>
        <v>-291320000</v>
      </c>
      <c r="U47" s="119">
        <f t="shared" si="7"/>
        <v>54.545454545454547</v>
      </c>
      <c r="V47" s="120">
        <f t="shared" si="8"/>
        <v>0.90909090909090906</v>
      </c>
      <c r="W47" s="121">
        <f t="shared" si="9"/>
        <v>-5.4545454545454533</v>
      </c>
      <c r="X47" s="121">
        <f t="shared" si="10"/>
        <v>43.63636363636364</v>
      </c>
      <c r="Y47" s="121">
        <f t="shared" si="11"/>
        <v>-16.36363636363636</v>
      </c>
      <c r="Z47" s="122">
        <f t="shared" si="12"/>
        <v>350945454.54545456</v>
      </c>
      <c r="AA47" s="122">
        <f t="shared" si="13"/>
        <v>-69054545.454545438</v>
      </c>
      <c r="AB47" s="123">
        <f t="shared" si="14"/>
        <v>0.83558441558441565</v>
      </c>
      <c r="AC47" s="124">
        <f t="shared" si="15"/>
        <v>2.1052631578947367</v>
      </c>
      <c r="AD47" s="125">
        <f t="shared" si="16"/>
        <v>15332631.578947369</v>
      </c>
      <c r="AE47" s="110">
        <f>IFERROR(GETPIVOTDATA("Sum of Qty",'[1]DATA LAST MONTH IQOO'!$A$6,"ID Store",$C47),0)</f>
        <v>7</v>
      </c>
      <c r="AF47" s="126">
        <f>IFERROR(GETPIVOTDATA("Sum of Qty",[1]IQOO!$A$6,"ID Store",$C47),0)</f>
        <v>6</v>
      </c>
      <c r="AG47" s="113">
        <f t="shared" si="17"/>
        <v>-1</v>
      </c>
      <c r="AH47" s="127">
        <f t="shared" si="18"/>
        <v>-0.14285714285714285</v>
      </c>
      <c r="AI47" s="128">
        <f>IFERROR(GETPIVOTDATA("Sum of Qty",'[1]DATA LAST MONTH DEVICE'!$A$6,"ID Store",$C47),0)</f>
        <v>23</v>
      </c>
      <c r="AJ47" s="129">
        <f t="shared" si="19"/>
        <v>20</v>
      </c>
      <c r="AK47" s="113">
        <f t="shared" si="20"/>
        <v>-3</v>
      </c>
      <c r="AL47" s="115">
        <f t="shared" si="21"/>
        <v>-0.13043478260869565</v>
      </c>
      <c r="AM47" s="114">
        <f>IFERROR(GETPIVOTDATA("Sum of Qty",'[1]Store 3mio+ last month'!$A$6,"ID Store",$C47),0)</f>
        <v>58</v>
      </c>
      <c r="AN47" s="113">
        <f t="shared" si="22"/>
        <v>54.545454545454547</v>
      </c>
      <c r="AO47" s="113">
        <f t="shared" si="23"/>
        <v>-3.4545454545454533</v>
      </c>
      <c r="AP47" s="115">
        <f t="shared" si="24"/>
        <v>-5.9561128526645746E-2</v>
      </c>
      <c r="AQ47" s="114">
        <f>IFERROR(GETPIVOTDATA("Sum of Qty",'[1]DATA LAST MONTH DEVICE'!$A$6,"ID Store",$C47,"Segment Price","3mio&gt;"),0)</f>
        <v>20</v>
      </c>
      <c r="AR47" s="116">
        <f t="shared" si="25"/>
        <v>16</v>
      </c>
      <c r="AS47" s="116">
        <f t="shared" si="26"/>
        <v>-4</v>
      </c>
      <c r="AT47" s="115">
        <f t="shared" si="27"/>
        <v>-0.2</v>
      </c>
      <c r="AU47" s="130">
        <f>IFERROR(GETPIVOTDATA("Sum of SRP",'[1]DATA LAST MONTH DEVICE'!$A$6,"ID Store",$C47),0)</f>
        <v>160177000</v>
      </c>
      <c r="AV47" s="130">
        <f t="shared" si="28"/>
        <v>128680000</v>
      </c>
      <c r="AW47" s="130">
        <f t="shared" si="29"/>
        <v>-31497000</v>
      </c>
      <c r="AX47" s="115">
        <f t="shared" si="30"/>
        <v>-0.19663871841775035</v>
      </c>
      <c r="AY47" s="130">
        <f>IFERROR(VLOOKUP(C47,'[1]DATA SALES LAST MONTH'!A:E,5,0),0)</f>
        <v>6964217.3913043477</v>
      </c>
      <c r="AZ47" s="117">
        <f t="shared" si="31"/>
        <v>6434000</v>
      </c>
      <c r="BA47" s="117">
        <f t="shared" si="32"/>
        <v>-530217.39130434766</v>
      </c>
      <c r="BB47" s="127">
        <f t="shared" si="33"/>
        <v>-7.6134526180412901E-2</v>
      </c>
      <c r="BC47" s="110">
        <f>IFERROR(VLOOKUP(C47,'[1]TARGET THIS MONTH'!C:U,15,0),0)</f>
        <v>6</v>
      </c>
      <c r="BD47" s="131">
        <f>IFERROR(GETPIVOTDATA("Sum of Qty",[1]ACC!$A$5,"ID Store",$C47),0)</f>
        <v>2</v>
      </c>
      <c r="BE47" s="115">
        <f t="shared" si="34"/>
        <v>0.33333333333333331</v>
      </c>
      <c r="BF47" s="132">
        <f>IFERROR(VLOOKUP(C47,'[1]TARGET THIS MONTH'!C:U,16,0),0)</f>
        <v>2100000</v>
      </c>
      <c r="BG47" s="132">
        <f>IFERROR(GETPIVOTDATA("Sum of SRP",'[1]Insurance by Store'!$A$5,"ID Store",$C47,"Product Type","Qoala"),0)</f>
        <v>748000</v>
      </c>
      <c r="BH47" s="115">
        <f t="shared" si="35"/>
        <v>0.35619047619047617</v>
      </c>
      <c r="BI47" s="132">
        <f>IFERROR(VLOOKUP(C47,'[1]TARGET THIS MONTH'!C:U,17,0),0)</f>
        <v>420000</v>
      </c>
      <c r="BJ47" s="132">
        <f>IFERROR(GETPIVOTDATA("Sum of SRP",'[1]Insurance by Store'!$A$5,"ID Store",$C47,"Product Type","Vivo Care"),0)</f>
        <v>0</v>
      </c>
      <c r="BK47" s="115">
        <f t="shared" si="36"/>
        <v>0</v>
      </c>
      <c r="BL47" s="113">
        <f>IFERROR(VLOOKUP(C47,'[1]TARGET THIS MONTH'!C:U,18,0),0)</f>
        <v>1.7999999999999998</v>
      </c>
      <c r="BM47" s="114">
        <f>IFERROR(GETPIVOTDATA("Sum of Qty",'[1]Operator by Store'!$A$5,"ID Store",$C47,"Product Type","Indosat"),0)</f>
        <v>0</v>
      </c>
      <c r="BN47" s="115">
        <f t="shared" si="37"/>
        <v>0</v>
      </c>
      <c r="BO47" s="113">
        <f>VLOOKUP(C47,'[1]TARGET THIS MONTH'!C:U,19,0)</f>
        <v>18</v>
      </c>
      <c r="BP47" s="114">
        <f>IFERROR(GETPIVOTDATA("Sum of Qty",'[1]Operator by Store'!$A$5,"ID Store",$C47,"Product Type","Telkomsel"),0)</f>
        <v>0</v>
      </c>
      <c r="BQ47" s="133">
        <f t="shared" si="38"/>
        <v>0</v>
      </c>
    </row>
    <row r="48" spans="1:69" x14ac:dyDescent="0.2">
      <c r="A48" s="152" t="s">
        <v>111</v>
      </c>
      <c r="B48" s="153"/>
      <c r="C48" s="153"/>
      <c r="D48" s="153"/>
      <c r="E48" s="153"/>
      <c r="F48" s="3">
        <f>SUM(F5:F47)</f>
        <v>114</v>
      </c>
      <c r="G48" s="4">
        <f>SUM(G5:G47)</f>
        <v>3400</v>
      </c>
      <c r="H48" s="5">
        <f>SUM(H5:H47)</f>
        <v>15659000000</v>
      </c>
      <c r="I48" s="4">
        <f>SUM(I5:I47)</f>
        <v>1285</v>
      </c>
      <c r="J48" s="6">
        <f t="shared" si="0"/>
        <v>0.37794117647058822</v>
      </c>
      <c r="K48" s="7">
        <f t="shared" si="1"/>
        <v>-2115</v>
      </c>
      <c r="L48" s="2">
        <f>SUM(L5:L47)</f>
        <v>283</v>
      </c>
      <c r="M48" s="2">
        <f>SUM(M5:M47)</f>
        <v>489</v>
      </c>
      <c r="N48" s="8">
        <f>M48/I48</f>
        <v>0.38054474708171204</v>
      </c>
      <c r="O48" s="7">
        <f>SUM(O5:O47)</f>
        <v>53</v>
      </c>
      <c r="P48" s="8">
        <f>O48/I48</f>
        <v>4.1245136186770427E-2</v>
      </c>
      <c r="Q48" s="8">
        <f>M48/I48</f>
        <v>0.38054474708171204</v>
      </c>
      <c r="R48" s="9">
        <f>SUM(R5:R47)</f>
        <v>4948415000</v>
      </c>
      <c r="S48" s="8">
        <f>R48/H48</f>
        <v>0.31601092023756305</v>
      </c>
      <c r="T48" s="10">
        <f t="shared" si="6"/>
        <v>-10710585000</v>
      </c>
      <c r="U48" s="11">
        <f>SUM(U5:U47)</f>
        <v>3504.545454545455</v>
      </c>
      <c r="V48" s="6">
        <f>U48/G48</f>
        <v>1.0307486631016043</v>
      </c>
      <c r="W48" s="7">
        <f t="shared" si="9"/>
        <v>104.54545454545496</v>
      </c>
      <c r="X48" s="7">
        <f>SUM(X5:X47)</f>
        <v>1333.636363636364</v>
      </c>
      <c r="Y48" s="7">
        <f t="shared" si="11"/>
        <v>-2066.363636363636</v>
      </c>
      <c r="Z48" s="9">
        <f>SUM(Z5:Z47)</f>
        <v>13495677272.727274</v>
      </c>
      <c r="AA48" s="9">
        <f t="shared" si="13"/>
        <v>-2163322727.2727261</v>
      </c>
      <c r="AB48" s="12">
        <f>Z48/H48</f>
        <v>0.86184796428426302</v>
      </c>
      <c r="AC48" s="13">
        <f>SUM(AC5:AC47)</f>
        <v>111.31578947368422</v>
      </c>
      <c r="AD48" s="5">
        <f>SUM(AD5:AD47)</f>
        <v>563715000.00000024</v>
      </c>
      <c r="AE48" s="4">
        <f>SUM(AE5:AE47)</f>
        <v>165</v>
      </c>
      <c r="AF48" s="14">
        <f>SUM(AF5:AF47)</f>
        <v>53</v>
      </c>
      <c r="AG48" s="7">
        <f t="shared" si="17"/>
        <v>-112</v>
      </c>
      <c r="AH48" s="12">
        <f>AG48/AE48</f>
        <v>-0.67878787878787883</v>
      </c>
      <c r="AI48" s="15">
        <f>SUM(AI5:AI47)</f>
        <v>1223</v>
      </c>
      <c r="AJ48" s="14">
        <f>SUM(AJ5:AJ47)</f>
        <v>1285</v>
      </c>
      <c r="AK48" s="7">
        <f t="shared" si="20"/>
        <v>62</v>
      </c>
      <c r="AL48" s="8">
        <f>AK48/AI48</f>
        <v>5.0695012264922325E-2</v>
      </c>
      <c r="AM48" s="2">
        <f>SUM(AM5:AM47)</f>
        <v>3442</v>
      </c>
      <c r="AN48" s="7">
        <f>SUM(AN5:AN47)</f>
        <v>3504.545454545455</v>
      </c>
      <c r="AO48" s="7">
        <f t="shared" si="23"/>
        <v>62.545454545454959</v>
      </c>
      <c r="AP48" s="8">
        <f>AO48/AM48</f>
        <v>1.8171253499551121E-2</v>
      </c>
      <c r="AQ48" s="2">
        <f>SUM(AQ5:AQ47)</f>
        <v>593</v>
      </c>
      <c r="AR48" s="7">
        <f>SUM(AR5:AR47)</f>
        <v>489</v>
      </c>
      <c r="AS48" s="7">
        <f t="shared" si="26"/>
        <v>-104</v>
      </c>
      <c r="AT48" s="8">
        <f>AS48/AQ48</f>
        <v>-0.17537942664418213</v>
      </c>
      <c r="AU48" s="9">
        <f>SUM(AU5:AU47)</f>
        <v>5626477000</v>
      </c>
      <c r="AV48" s="9">
        <f>SUM(AV5:AV47)</f>
        <v>4948415000</v>
      </c>
      <c r="AW48" s="9">
        <f t="shared" si="29"/>
        <v>-678062000</v>
      </c>
      <c r="AX48" s="8">
        <f>AW48/AU48</f>
        <v>-0.12051271159555083</v>
      </c>
      <c r="AY48" s="9">
        <f>AU48/AI48</f>
        <v>4600553.5568274735</v>
      </c>
      <c r="AZ48" s="9">
        <f>Z48/U48</f>
        <v>3850906.6147859921</v>
      </c>
      <c r="BA48" s="9">
        <f t="shared" si="32"/>
        <v>-749646.94204148138</v>
      </c>
      <c r="BB48" s="12">
        <f>BA48/AY48</f>
        <v>-0.16294711772868381</v>
      </c>
      <c r="BC48" s="4">
        <f>SUM(BC5:BC47)</f>
        <v>340</v>
      </c>
      <c r="BD48" s="16">
        <f>SUM(BD5:BD47)</f>
        <v>252</v>
      </c>
      <c r="BE48" s="8">
        <f>BD48/BC48</f>
        <v>0.74117647058823533</v>
      </c>
      <c r="BF48" s="9">
        <f>SUM(BF5:BF47)</f>
        <v>76290000</v>
      </c>
      <c r="BG48" s="9">
        <f>SUM(BG5:BG47)</f>
        <v>23460000</v>
      </c>
      <c r="BH48" s="8">
        <f>BG48/BF48</f>
        <v>0.30751081399921354</v>
      </c>
      <c r="BI48" s="9">
        <f>SUM(BI5:BI47)</f>
        <v>15508000</v>
      </c>
      <c r="BJ48" s="9">
        <f>SUM(BJ5:BJ47)</f>
        <v>1000000</v>
      </c>
      <c r="BK48" s="8">
        <f>BJ48/BI48</f>
        <v>6.4482847562548365E-2</v>
      </c>
      <c r="BL48" s="7">
        <f>SUM(BL5:BL47)</f>
        <v>102</v>
      </c>
      <c r="BM48" s="2">
        <f>SUM(BM5:BM47)</f>
        <v>20</v>
      </c>
      <c r="BN48" s="8">
        <f>BM48/BL48</f>
        <v>0.19607843137254902</v>
      </c>
      <c r="BO48" s="7">
        <f>SUM(BO5:BO47)</f>
        <v>1020</v>
      </c>
      <c r="BP48" s="2">
        <f>SUM(BP5:BP47)</f>
        <v>0</v>
      </c>
      <c r="BQ48" s="17">
        <f>BP48/BO48</f>
        <v>0</v>
      </c>
    </row>
  </sheetData>
  <mergeCells count="40">
    <mergeCell ref="BQ3:BQ4"/>
    <mergeCell ref="A1:C2"/>
    <mergeCell ref="G1:H3"/>
    <mergeCell ref="AC1:AD3"/>
    <mergeCell ref="I1:T3"/>
    <mergeCell ref="U1:AB3"/>
    <mergeCell ref="AE1:AH3"/>
    <mergeCell ref="AI1:BB2"/>
    <mergeCell ref="BL3:BL4"/>
    <mergeCell ref="BM3:BM4"/>
    <mergeCell ref="BN3:BN4"/>
    <mergeCell ref="BO3:BO4"/>
    <mergeCell ref="BP3:BP4"/>
    <mergeCell ref="BG3:BG4"/>
    <mergeCell ref="BH3:BH4"/>
    <mergeCell ref="BI3:BI4"/>
    <mergeCell ref="BJ3:BJ4"/>
    <mergeCell ref="BK3:BK4"/>
    <mergeCell ref="F3:F4"/>
    <mergeCell ref="BC3:BC4"/>
    <mergeCell ref="BD3:BD4"/>
    <mergeCell ref="BE3:BE4"/>
    <mergeCell ref="BF3:BF4"/>
    <mergeCell ref="AI3:AL3"/>
    <mergeCell ref="AM3:AP3"/>
    <mergeCell ref="AQ3:AT3"/>
    <mergeCell ref="AU3:AX3"/>
    <mergeCell ref="AY3:BB3"/>
    <mergeCell ref="A48:E48"/>
    <mergeCell ref="A3:A4"/>
    <mergeCell ref="B3:B4"/>
    <mergeCell ref="C3:C4"/>
    <mergeCell ref="D3:D4"/>
    <mergeCell ref="E3:E4"/>
    <mergeCell ref="BC1:BQ1"/>
    <mergeCell ref="BC2:BE2"/>
    <mergeCell ref="BF2:BH2"/>
    <mergeCell ref="BI2:BK2"/>
    <mergeCell ref="BL2:BN2"/>
    <mergeCell ref="BO2:BQ2"/>
  </mergeCells>
  <conditionalFormatting sqref="A5 C5:D5 A7 A9 A11 A13 A15 A17 A19 A21:A23 A25 A27 A29 A31 A33 A35 A37 A39:A41 A43 A45 A47">
    <cfRule type="duplicateValues" dxfId="53" priority="52"/>
  </conditionalFormatting>
  <conditionalFormatting sqref="A6 A8 A10 A12 A14 A16 A18 A20 A24 A26 A28 A30 A32 A34 A36 A38 A42 A44 A46">
    <cfRule type="duplicateValues" dxfId="52" priority="9"/>
  </conditionalFormatting>
  <conditionalFormatting sqref="A5:BQ47">
    <cfRule type="expression" dxfId="51" priority="53">
      <formula>MOD(ROW(),2)=0</formula>
    </cfRule>
  </conditionalFormatting>
  <conditionalFormatting sqref="B5:B47">
    <cfRule type="expression" dxfId="50" priority="54" stopIfTrue="1">
      <formula>AND(ROW()&gt;5,$B5=$B4)</formula>
    </cfRule>
  </conditionalFormatting>
  <conditionalFormatting sqref="B6:C6">
    <cfRule type="duplicateValues" dxfId="49" priority="51"/>
  </conditionalFormatting>
  <conditionalFormatting sqref="B7:C7">
    <cfRule type="duplicateValues" dxfId="48" priority="50"/>
  </conditionalFormatting>
  <conditionalFormatting sqref="B8:C8">
    <cfRule type="duplicateValues" dxfId="47" priority="49"/>
  </conditionalFormatting>
  <conditionalFormatting sqref="B9:C9">
    <cfRule type="duplicateValues" dxfId="46" priority="48"/>
  </conditionalFormatting>
  <conditionalFormatting sqref="B10:C10">
    <cfRule type="duplicateValues" dxfId="45" priority="47"/>
  </conditionalFormatting>
  <conditionalFormatting sqref="B11:C11">
    <cfRule type="duplicateValues" dxfId="44" priority="46"/>
  </conditionalFormatting>
  <conditionalFormatting sqref="B12:C12">
    <cfRule type="duplicateValues" dxfId="43" priority="45"/>
  </conditionalFormatting>
  <conditionalFormatting sqref="B13:C13">
    <cfRule type="duplicateValues" dxfId="42" priority="44"/>
  </conditionalFormatting>
  <conditionalFormatting sqref="B14:C14">
    <cfRule type="duplicateValues" dxfId="41" priority="43"/>
  </conditionalFormatting>
  <conditionalFormatting sqref="B15:C15">
    <cfRule type="duplicateValues" dxfId="40" priority="42"/>
  </conditionalFormatting>
  <conditionalFormatting sqref="B16:C16">
    <cfRule type="duplicateValues" dxfId="39" priority="41"/>
  </conditionalFormatting>
  <conditionalFormatting sqref="B17:C17">
    <cfRule type="duplicateValues" dxfId="38" priority="40"/>
  </conditionalFormatting>
  <conditionalFormatting sqref="B18:C18">
    <cfRule type="duplicateValues" dxfId="37" priority="39"/>
  </conditionalFormatting>
  <conditionalFormatting sqref="B19:C19">
    <cfRule type="duplicateValues" dxfId="36" priority="38"/>
  </conditionalFormatting>
  <conditionalFormatting sqref="B20:C20">
    <cfRule type="duplicateValues" dxfId="35" priority="37"/>
  </conditionalFormatting>
  <conditionalFormatting sqref="B21:C21">
    <cfRule type="duplicateValues" dxfId="34" priority="36"/>
  </conditionalFormatting>
  <conditionalFormatting sqref="B22:C22">
    <cfRule type="duplicateValues" dxfId="33" priority="35"/>
  </conditionalFormatting>
  <conditionalFormatting sqref="B23:C23">
    <cfRule type="duplicateValues" dxfId="32" priority="34"/>
  </conditionalFormatting>
  <conditionalFormatting sqref="B24:C24">
    <cfRule type="duplicateValues" dxfId="31" priority="33"/>
  </conditionalFormatting>
  <conditionalFormatting sqref="B25:C25">
    <cfRule type="duplicateValues" dxfId="30" priority="32"/>
  </conditionalFormatting>
  <conditionalFormatting sqref="B26:C26">
    <cfRule type="duplicateValues" dxfId="29" priority="31"/>
  </conditionalFormatting>
  <conditionalFormatting sqref="B27:C27">
    <cfRule type="duplicateValues" dxfId="28" priority="30"/>
  </conditionalFormatting>
  <conditionalFormatting sqref="B28:C28">
    <cfRule type="duplicateValues" dxfId="27" priority="29"/>
  </conditionalFormatting>
  <conditionalFormatting sqref="B29:C29">
    <cfRule type="duplicateValues" dxfId="26" priority="28"/>
  </conditionalFormatting>
  <conditionalFormatting sqref="B30:C30">
    <cfRule type="duplicateValues" dxfId="25" priority="27"/>
  </conditionalFormatting>
  <conditionalFormatting sqref="B31:C31">
    <cfRule type="duplicateValues" dxfId="24" priority="26"/>
  </conditionalFormatting>
  <conditionalFormatting sqref="B32:C32">
    <cfRule type="duplicateValues" dxfId="23" priority="25"/>
  </conditionalFormatting>
  <conditionalFormatting sqref="B33:C33">
    <cfRule type="duplicateValues" dxfId="22" priority="24"/>
  </conditionalFormatting>
  <conditionalFormatting sqref="B34:C34">
    <cfRule type="duplicateValues" dxfId="21" priority="23"/>
  </conditionalFormatting>
  <conditionalFormatting sqref="B35:C35">
    <cfRule type="duplicateValues" dxfId="20" priority="22"/>
  </conditionalFormatting>
  <conditionalFormatting sqref="B36:C36">
    <cfRule type="duplicateValues" dxfId="19" priority="21"/>
  </conditionalFormatting>
  <conditionalFormatting sqref="B37:C37">
    <cfRule type="duplicateValues" dxfId="18" priority="20"/>
  </conditionalFormatting>
  <conditionalFormatting sqref="B38:C38">
    <cfRule type="duplicateValues" dxfId="17" priority="19"/>
  </conditionalFormatting>
  <conditionalFormatting sqref="B39:C39">
    <cfRule type="duplicateValues" dxfId="16" priority="18"/>
  </conditionalFormatting>
  <conditionalFormatting sqref="B40:C40">
    <cfRule type="duplicateValues" dxfId="15" priority="17"/>
  </conditionalFormatting>
  <conditionalFormatting sqref="B41:C41">
    <cfRule type="duplicateValues" dxfId="14" priority="16"/>
  </conditionalFormatting>
  <conditionalFormatting sqref="B42:C42">
    <cfRule type="duplicateValues" dxfId="13" priority="15"/>
  </conditionalFormatting>
  <conditionalFormatting sqref="B43:C43">
    <cfRule type="duplicateValues" dxfId="12" priority="14"/>
  </conditionalFormatting>
  <conditionalFormatting sqref="B44:C44">
    <cfRule type="duplicateValues" dxfId="11" priority="13"/>
  </conditionalFormatting>
  <conditionalFormatting sqref="B45:C45">
    <cfRule type="duplicateValues" dxfId="10" priority="12"/>
  </conditionalFormatting>
  <conditionalFormatting sqref="B46:C46">
    <cfRule type="duplicateValues" dxfId="9" priority="11"/>
  </conditionalFormatting>
  <conditionalFormatting sqref="B47:C47">
    <cfRule type="duplicateValues" dxfId="8" priority="10"/>
  </conditionalFormatting>
  <conditionalFormatting sqref="J5:J47">
    <cfRule type="cellIs" dxfId="7" priority="8" operator="lessThan">
      <formula>$F$2</formula>
    </cfRule>
  </conditionalFormatting>
  <conditionalFormatting sqref="K5:K47">
    <cfRule type="cellIs" dxfId="6" priority="4" operator="lessThan">
      <formula>0</formula>
    </cfRule>
  </conditionalFormatting>
  <conditionalFormatting sqref="S5:S47">
    <cfRule type="cellIs" dxfId="5" priority="7" operator="lessThan">
      <formula>$F$2</formula>
    </cfRule>
  </conditionalFormatting>
  <conditionalFormatting sqref="AL5:AL47">
    <cfRule type="cellIs" dxfId="4" priority="6" operator="lessThan">
      <formula>0</formula>
    </cfRule>
  </conditionalFormatting>
  <conditionalFormatting sqref="AX5:AX47">
    <cfRule type="cellIs" dxfId="3" priority="5" operator="lessThan">
      <formula>0</formula>
    </cfRule>
  </conditionalFormatting>
  <conditionalFormatting sqref="BE5:BE47">
    <cfRule type="cellIs" dxfId="2" priority="3" operator="lessThan">
      <formula>$F$2</formula>
    </cfRule>
  </conditionalFormatting>
  <conditionalFormatting sqref="BH5:BH47">
    <cfRule type="cellIs" dxfId="1" priority="2" operator="lessThan">
      <formula>$F$2</formula>
    </cfRule>
  </conditionalFormatting>
  <conditionalFormatting sqref="BN5:BN47">
    <cfRule type="cellIs" dxfId="0" priority="1" operator="lessThan">
      <formula>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8579-B58F-D34A-8CCF-A346163FEBFD}">
  <dimension ref="A1:GZ60"/>
  <sheetViews>
    <sheetView topLeftCell="EE18" workbookViewId="0">
      <selection activeCell="FA48" sqref="FA48"/>
    </sheetView>
  </sheetViews>
  <sheetFormatPr baseColWidth="10" defaultRowHeight="13" x14ac:dyDescent="0.15"/>
  <cols>
    <col min="1" max="1" width="27.83203125" style="134" bestFit="1" customWidth="1"/>
    <col min="2" max="2" width="20.1640625" style="134" bestFit="1" customWidth="1"/>
    <col min="3" max="3" width="9.1640625" style="134" bestFit="1" customWidth="1"/>
    <col min="4" max="4" width="42.83203125" style="134" bestFit="1" customWidth="1"/>
    <col min="5" max="5" width="20" style="134" bestFit="1" customWidth="1"/>
    <col min="6" max="6" width="8" style="134" bestFit="1" customWidth="1"/>
    <col min="7" max="7" width="7.5" style="134" bestFit="1" customWidth="1"/>
    <col min="8" max="8" width="10.1640625" style="134" bestFit="1" customWidth="1"/>
    <col min="9" max="9" width="11.1640625" style="134" bestFit="1" customWidth="1"/>
    <col min="10" max="10" width="12.6640625" style="134" bestFit="1" customWidth="1"/>
    <col min="11" max="11" width="12.1640625" style="134" bestFit="1" customWidth="1"/>
    <col min="12" max="12" width="8" style="134" bestFit="1" customWidth="1"/>
    <col min="13" max="13" width="7.5" style="134" bestFit="1" customWidth="1"/>
    <col min="14" max="14" width="10.1640625" style="134" bestFit="1" customWidth="1"/>
    <col min="15" max="17" width="11.1640625" style="134" bestFit="1" customWidth="1"/>
    <col min="18" max="18" width="10.33203125" style="134" customWidth="1"/>
    <col min="19" max="19" width="7.5" style="134" bestFit="1" customWidth="1"/>
    <col min="20" max="20" width="10.1640625" style="134" bestFit="1" customWidth="1"/>
    <col min="21" max="21" width="9.1640625" style="134" bestFit="1" customWidth="1"/>
    <col min="22" max="22" width="9.33203125" style="134" bestFit="1" customWidth="1"/>
    <col min="23" max="23" width="10.1640625" style="134" bestFit="1" customWidth="1"/>
    <col min="24" max="24" width="8" style="134" bestFit="1" customWidth="1"/>
    <col min="25" max="25" width="7.5" style="134" bestFit="1" customWidth="1"/>
    <col min="26" max="26" width="10.1640625" style="134" bestFit="1" customWidth="1"/>
    <col min="27" max="28" width="11.1640625" style="134" bestFit="1" customWidth="1"/>
    <col min="29" max="29" width="12.1640625" style="134" bestFit="1" customWidth="1"/>
    <col min="30" max="30" width="8" style="134" bestFit="1" customWidth="1"/>
    <col min="31" max="31" width="7.5" style="134" bestFit="1" customWidth="1"/>
    <col min="32" max="32" width="10.1640625" style="134" bestFit="1" customWidth="1"/>
    <col min="33" max="35" width="11.1640625" style="134" bestFit="1" customWidth="1"/>
    <col min="36" max="36" width="8.6640625" style="134" bestFit="1" customWidth="1"/>
    <col min="37" max="37" width="7.5" style="134" bestFit="1" customWidth="1"/>
    <col min="38" max="38" width="10.1640625" style="134" bestFit="1" customWidth="1"/>
    <col min="39" max="39" width="11.1640625" style="134" bestFit="1" customWidth="1"/>
    <col min="40" max="40" width="10.1640625" style="134" bestFit="1" customWidth="1"/>
    <col min="41" max="41" width="11.1640625" style="134" bestFit="1" customWidth="1"/>
    <col min="42" max="42" width="8" style="134" bestFit="1" customWidth="1"/>
    <col min="43" max="43" width="7.5" style="134" bestFit="1" customWidth="1"/>
    <col min="44" max="46" width="10.1640625" style="134" bestFit="1" customWidth="1"/>
    <col min="47" max="47" width="11.1640625" style="134" bestFit="1" customWidth="1"/>
    <col min="48" max="48" width="8.83203125" style="134" bestFit="1" customWidth="1"/>
    <col min="49" max="49" width="7.5" style="134" bestFit="1" customWidth="1"/>
    <col min="50" max="51" width="10.1640625" style="134" bestFit="1" customWidth="1"/>
    <col min="52" max="52" width="11.1640625" style="134" bestFit="1" customWidth="1"/>
    <col min="53" max="53" width="12.1640625" style="134" bestFit="1" customWidth="1"/>
    <col min="54" max="54" width="8" style="134" bestFit="1" customWidth="1"/>
    <col min="55" max="55" width="7.5" style="134" bestFit="1" customWidth="1"/>
    <col min="56" max="56" width="10.1640625" style="134" bestFit="1" customWidth="1"/>
    <col min="57" max="59" width="11.1640625" style="134" bestFit="1" customWidth="1"/>
    <col min="60" max="60" width="8.83203125" style="134" bestFit="1" customWidth="1"/>
    <col min="61" max="61" width="7.5" style="134" bestFit="1" customWidth="1"/>
    <col min="62" max="63" width="10.1640625" style="134" bestFit="1" customWidth="1"/>
    <col min="64" max="64" width="11.1640625" style="134" bestFit="1" customWidth="1"/>
    <col min="65" max="65" width="12.1640625" style="134" bestFit="1" customWidth="1"/>
    <col min="66" max="66" width="8" style="134" bestFit="1" customWidth="1"/>
    <col min="67" max="67" width="7.5" style="134" bestFit="1" customWidth="1"/>
    <col min="68" max="68" width="10.1640625" style="134" bestFit="1" customWidth="1"/>
    <col min="69" max="71" width="11.1640625" style="134" bestFit="1" customWidth="1"/>
    <col min="72" max="72" width="9.33203125" style="134" bestFit="1" customWidth="1"/>
    <col min="73" max="73" width="7.5" style="134" bestFit="1" customWidth="1"/>
    <col min="74" max="75" width="10.1640625" style="134" bestFit="1" customWidth="1"/>
    <col min="76" max="76" width="11.1640625" style="134" bestFit="1" customWidth="1"/>
    <col min="77" max="77" width="12.1640625" style="134" bestFit="1" customWidth="1"/>
    <col min="78" max="78" width="8" style="134" bestFit="1" customWidth="1"/>
    <col min="79" max="79" width="7.5" style="134" bestFit="1" customWidth="1"/>
    <col min="80" max="80" width="10.1640625" style="134" bestFit="1" customWidth="1"/>
    <col min="81" max="81" width="11.1640625" style="134" bestFit="1" customWidth="1"/>
    <col min="82" max="82" width="10.1640625" style="134" bestFit="1" customWidth="1"/>
    <col min="83" max="83" width="11.1640625" style="134" bestFit="1" customWidth="1"/>
    <col min="84" max="84" width="9.6640625" style="134" bestFit="1" customWidth="1"/>
    <col min="85" max="85" width="7.5" style="134" bestFit="1" customWidth="1"/>
    <col min="86" max="86" width="10.1640625" style="134" bestFit="1" customWidth="1"/>
    <col min="87" max="87" width="11.1640625" style="134" bestFit="1" customWidth="1"/>
    <col min="88" max="88" width="10.1640625" style="134" bestFit="1" customWidth="1"/>
    <col min="89" max="89" width="11.1640625" style="134" bestFit="1" customWidth="1"/>
    <col min="90" max="90" width="8.1640625" style="134" bestFit="1" customWidth="1"/>
    <col min="91" max="91" width="7.5" style="134" bestFit="1" customWidth="1"/>
    <col min="92" max="93" width="10.1640625" style="134" bestFit="1" customWidth="1"/>
    <col min="94" max="94" width="11.1640625" style="134" bestFit="1" customWidth="1"/>
    <col min="95" max="95" width="12.1640625" style="134" bestFit="1" customWidth="1"/>
    <col min="96" max="96" width="10.1640625" style="134" bestFit="1" customWidth="1"/>
    <col min="97" max="97" width="7.5" style="134" bestFit="1" customWidth="1"/>
    <col min="98" max="99" width="10.1640625" style="134" bestFit="1" customWidth="1"/>
    <col min="100" max="100" width="11.1640625" style="134" bestFit="1" customWidth="1"/>
    <col min="101" max="101" width="12.1640625" style="134" bestFit="1" customWidth="1"/>
    <col min="102" max="102" width="9.1640625" style="134" bestFit="1" customWidth="1"/>
    <col min="103" max="103" width="7.5" style="134" bestFit="1" customWidth="1"/>
    <col min="104" max="104" width="10.1640625" style="134" bestFit="1" customWidth="1"/>
    <col min="105" max="107" width="11.1640625" style="134" bestFit="1" customWidth="1"/>
    <col min="108" max="108" width="10.1640625" style="134" bestFit="1" customWidth="1"/>
    <col min="109" max="109" width="7.5" style="134" bestFit="1" customWidth="1"/>
    <col min="110" max="110" width="10.1640625" style="134" bestFit="1" customWidth="1"/>
    <col min="111" max="111" width="8" style="134" bestFit="1" customWidth="1"/>
    <col min="112" max="112" width="9.33203125" style="134" bestFit="1" customWidth="1"/>
    <col min="113" max="113" width="10.1640625" style="134" bestFit="1" customWidth="1"/>
    <col min="114" max="114" width="10.5" style="134" bestFit="1" customWidth="1"/>
    <col min="115" max="115" width="7.5" style="134" bestFit="1" customWidth="1"/>
    <col min="116" max="116" width="10.1640625" style="134" bestFit="1" customWidth="1"/>
    <col min="117" max="117" width="8" style="134" bestFit="1" customWidth="1"/>
    <col min="118" max="118" width="11.1640625" style="134" bestFit="1" customWidth="1"/>
    <col min="119" max="119" width="12.1640625" style="134" bestFit="1" customWidth="1"/>
    <col min="120" max="120" width="10.1640625" style="134" bestFit="1" customWidth="1"/>
    <col min="121" max="121" width="7.5" style="134" bestFit="1" customWidth="1"/>
    <col min="122" max="122" width="10.1640625" style="134" bestFit="1" customWidth="1"/>
    <col min="123" max="123" width="8" style="134" bestFit="1" customWidth="1"/>
    <col min="124" max="124" width="10.1640625" style="134" bestFit="1" customWidth="1"/>
    <col min="125" max="125" width="11.1640625" style="134" bestFit="1" customWidth="1"/>
    <col min="126" max="126" width="10.1640625" style="134" bestFit="1" customWidth="1"/>
    <col min="127" max="127" width="7.5" style="134" bestFit="1" customWidth="1"/>
    <col min="128" max="128" width="10.1640625" style="134" bestFit="1" customWidth="1"/>
    <col min="129" max="129" width="8" style="134" bestFit="1" customWidth="1"/>
    <col min="130" max="130" width="11.1640625" style="134" bestFit="1" customWidth="1"/>
    <col min="131" max="131" width="12.1640625" style="134" bestFit="1" customWidth="1"/>
    <col min="132" max="132" width="10.1640625" style="134" bestFit="1" customWidth="1"/>
    <col min="133" max="133" width="7.5" style="134" bestFit="1" customWidth="1"/>
    <col min="134" max="134" width="10.1640625" style="134" bestFit="1" customWidth="1"/>
    <col min="135" max="135" width="8" style="134" bestFit="1" customWidth="1"/>
    <col min="136" max="136" width="10.1640625" style="134" bestFit="1" customWidth="1"/>
    <col min="137" max="137" width="11.1640625" style="134" bestFit="1" customWidth="1"/>
    <col min="138" max="138" width="10.1640625" style="134" bestFit="1" customWidth="1"/>
    <col min="139" max="139" width="7.5" style="134" bestFit="1" customWidth="1"/>
    <col min="140" max="140" width="10.1640625" style="134" bestFit="1" customWidth="1"/>
    <col min="141" max="141" width="8" style="134" bestFit="1" customWidth="1"/>
    <col min="142" max="142" width="10.1640625" style="134" bestFit="1" customWidth="1"/>
    <col min="143" max="143" width="11.1640625" style="134" bestFit="1" customWidth="1"/>
    <col min="144" max="144" width="10.1640625" style="134" bestFit="1" customWidth="1"/>
    <col min="145" max="145" width="7.5" style="134" bestFit="1" customWidth="1"/>
    <col min="146" max="146" width="10.1640625" style="134" bestFit="1" customWidth="1"/>
    <col min="147" max="147" width="8" style="134" bestFit="1" customWidth="1"/>
    <col min="148" max="148" width="12.6640625" style="134" bestFit="1" customWidth="1"/>
    <col min="149" max="149" width="13.6640625" style="134" bestFit="1" customWidth="1"/>
    <col min="150" max="150" width="10.1640625" style="134" bestFit="1" customWidth="1"/>
    <col min="151" max="151" width="7.5" style="134" bestFit="1" customWidth="1"/>
    <col min="152" max="152" width="10.1640625" style="134" bestFit="1" customWidth="1"/>
    <col min="153" max="153" width="8" style="134" bestFit="1" customWidth="1"/>
    <col min="154" max="154" width="9.33203125" style="134" bestFit="1" customWidth="1"/>
    <col min="155" max="155" width="6.83203125" style="134" bestFit="1" customWidth="1"/>
    <col min="156" max="156" width="8" style="134" bestFit="1" customWidth="1"/>
    <col min="157" max="157" width="7.5" style="134" bestFit="1" customWidth="1"/>
    <col min="158" max="158" width="10.1640625" style="134" bestFit="1" customWidth="1"/>
    <col min="159" max="159" width="12.6640625" style="134" bestFit="1" customWidth="1"/>
    <col min="160" max="161" width="13.6640625" style="134" bestFit="1" customWidth="1"/>
    <col min="162" max="16384" width="10.83203125" style="134"/>
  </cols>
  <sheetData>
    <row r="1" spans="1:208" ht="16" x14ac:dyDescent="0.2">
      <c r="A1" s="142" t="s">
        <v>114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  <c r="CD1" s="142"/>
      <c r="CE1" s="142"/>
      <c r="CF1" s="142"/>
      <c r="CG1" s="142"/>
      <c r="CH1" s="142"/>
      <c r="CI1" s="142"/>
      <c r="CJ1" s="142"/>
      <c r="CK1" s="142"/>
      <c r="CL1" s="142"/>
      <c r="CM1" s="142"/>
      <c r="CN1" s="142"/>
      <c r="CO1" s="142"/>
      <c r="CP1" s="142"/>
      <c r="CQ1" s="142"/>
      <c r="CR1" s="142"/>
      <c r="CS1" s="142"/>
      <c r="CT1" s="142"/>
      <c r="CU1" s="142"/>
      <c r="CV1" s="142"/>
      <c r="CW1" s="142"/>
      <c r="CX1" s="142"/>
      <c r="CY1" s="142"/>
      <c r="CZ1" s="142"/>
      <c r="DA1" s="142"/>
      <c r="DB1" s="142"/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2"/>
      <c r="DN1" s="142"/>
      <c r="DO1" s="142"/>
      <c r="DP1" s="142"/>
      <c r="DQ1" s="142"/>
      <c r="DR1" s="142"/>
      <c r="DS1" s="142"/>
      <c r="DT1" s="142"/>
      <c r="DU1" s="142"/>
      <c r="DV1" s="142"/>
      <c r="DW1" s="142"/>
      <c r="DX1" s="142"/>
      <c r="DY1" s="142"/>
      <c r="DZ1" s="142"/>
      <c r="EA1" s="142"/>
      <c r="EB1" s="142"/>
      <c r="EC1" s="142"/>
      <c r="ED1" s="142"/>
      <c r="EE1" s="142"/>
      <c r="EF1" s="142"/>
      <c r="EG1" s="142"/>
      <c r="EH1" s="142"/>
      <c r="EI1" s="142"/>
      <c r="EJ1" s="142"/>
      <c r="EK1" s="142"/>
      <c r="EL1" s="142"/>
      <c r="EM1" s="142"/>
      <c r="EN1" s="142"/>
      <c r="EO1" s="142"/>
      <c r="EP1" s="142"/>
      <c r="EQ1" s="142"/>
      <c r="ER1" s="142"/>
      <c r="ES1" s="142"/>
      <c r="ET1" s="142"/>
      <c r="EU1" s="142"/>
      <c r="EV1" s="142"/>
      <c r="EW1" s="142"/>
      <c r="EX1" s="142"/>
      <c r="EY1" s="142"/>
      <c r="EZ1" s="142"/>
      <c r="FA1" s="142"/>
      <c r="FB1" s="142"/>
      <c r="FC1" s="142"/>
      <c r="FD1" s="142"/>
      <c r="FE1" s="142"/>
      <c r="FF1" s="18"/>
      <c r="FG1" s="18" t="s">
        <v>115</v>
      </c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</row>
    <row r="2" spans="1:208" ht="28" x14ac:dyDescent="0.15">
      <c r="A2" s="135" t="s">
        <v>116</v>
      </c>
      <c r="B2" s="136" t="s">
        <v>117</v>
      </c>
      <c r="F2" s="187" t="s">
        <v>118</v>
      </c>
      <c r="G2" s="187"/>
      <c r="H2" s="187"/>
      <c r="I2" s="187"/>
      <c r="J2" s="187"/>
      <c r="K2" s="187"/>
      <c r="L2" s="187" t="s">
        <v>118</v>
      </c>
      <c r="M2" s="187"/>
      <c r="N2" s="187"/>
      <c r="O2" s="187"/>
      <c r="P2" s="187"/>
      <c r="Q2" s="187"/>
      <c r="R2" s="187" t="s">
        <v>118</v>
      </c>
      <c r="S2" s="187"/>
      <c r="T2" s="187"/>
      <c r="U2" s="187"/>
      <c r="V2" s="187"/>
      <c r="W2" s="187"/>
      <c r="X2" s="187" t="s">
        <v>118</v>
      </c>
      <c r="Y2" s="187"/>
      <c r="Z2" s="187"/>
      <c r="AA2" s="187"/>
      <c r="AB2" s="187"/>
      <c r="AC2" s="187"/>
      <c r="AD2" s="187" t="s">
        <v>119</v>
      </c>
      <c r="AE2" s="187"/>
      <c r="AF2" s="187"/>
      <c r="AG2" s="187"/>
      <c r="AH2" s="187"/>
      <c r="AI2" s="187"/>
      <c r="AJ2" s="187" t="s">
        <v>119</v>
      </c>
      <c r="AK2" s="187"/>
      <c r="AL2" s="187"/>
      <c r="AM2" s="187"/>
      <c r="AN2" s="187"/>
      <c r="AO2" s="187"/>
      <c r="AP2" s="187" t="s">
        <v>119</v>
      </c>
      <c r="AQ2" s="187"/>
      <c r="AR2" s="187"/>
      <c r="AS2" s="187"/>
      <c r="AT2" s="187"/>
      <c r="AU2" s="187"/>
      <c r="AV2" s="187" t="s">
        <v>119</v>
      </c>
      <c r="AW2" s="187"/>
      <c r="AX2" s="187"/>
      <c r="AY2" s="187"/>
      <c r="AZ2" s="187"/>
      <c r="BA2" s="187"/>
      <c r="BB2" s="187" t="s">
        <v>119</v>
      </c>
      <c r="BC2" s="187"/>
      <c r="BD2" s="187"/>
      <c r="BE2" s="187"/>
      <c r="BF2" s="187"/>
      <c r="BG2" s="187"/>
      <c r="BH2" s="187" t="s">
        <v>119</v>
      </c>
      <c r="BI2" s="187"/>
      <c r="BJ2" s="187"/>
      <c r="BK2" s="187"/>
      <c r="BL2" s="187"/>
      <c r="BM2" s="187"/>
      <c r="BN2" s="187" t="s">
        <v>119</v>
      </c>
      <c r="BO2" s="187"/>
      <c r="BP2" s="187"/>
      <c r="BQ2" s="187"/>
      <c r="BR2" s="187"/>
      <c r="BS2" s="187"/>
      <c r="BT2" s="187" t="s">
        <v>119</v>
      </c>
      <c r="BU2" s="187"/>
      <c r="BV2" s="187"/>
      <c r="BW2" s="187"/>
      <c r="BX2" s="187"/>
      <c r="BY2" s="187"/>
      <c r="BZ2" s="187" t="s">
        <v>119</v>
      </c>
      <c r="CA2" s="187"/>
      <c r="CB2" s="187"/>
      <c r="CC2" s="187"/>
      <c r="CD2" s="187"/>
      <c r="CE2" s="187"/>
      <c r="CF2" s="187" t="s">
        <v>119</v>
      </c>
      <c r="CG2" s="187"/>
      <c r="CH2" s="187"/>
      <c r="CI2" s="187"/>
      <c r="CJ2" s="187"/>
      <c r="CK2" s="187"/>
      <c r="CL2" s="187" t="s">
        <v>119</v>
      </c>
      <c r="CM2" s="187"/>
      <c r="CN2" s="187"/>
      <c r="CO2" s="187"/>
      <c r="CP2" s="187"/>
      <c r="CQ2" s="187"/>
      <c r="CR2" s="187" t="s">
        <v>119</v>
      </c>
      <c r="CS2" s="187"/>
      <c r="CT2" s="187"/>
      <c r="CU2" s="187"/>
      <c r="CV2" s="187"/>
      <c r="CW2" s="187"/>
      <c r="CX2" s="187" t="s">
        <v>119</v>
      </c>
      <c r="CY2" s="187"/>
      <c r="CZ2" s="187"/>
      <c r="DA2" s="187"/>
      <c r="DB2" s="187"/>
      <c r="DC2" s="187"/>
      <c r="DD2" s="187" t="s">
        <v>120</v>
      </c>
      <c r="DE2" s="187"/>
      <c r="DF2" s="187"/>
      <c r="DG2" s="187"/>
      <c r="DH2" s="187"/>
      <c r="DI2" s="187"/>
      <c r="DJ2" s="187" t="s">
        <v>121</v>
      </c>
      <c r="DK2" s="187"/>
      <c r="DL2" s="187"/>
      <c r="DM2" s="187"/>
      <c r="DN2" s="187"/>
      <c r="DO2" s="187"/>
      <c r="DP2" s="187" t="s">
        <v>121</v>
      </c>
      <c r="DQ2" s="187"/>
      <c r="DR2" s="187"/>
      <c r="DS2" s="187"/>
      <c r="DT2" s="187"/>
      <c r="DU2" s="187"/>
      <c r="DV2" s="187" t="s">
        <v>121</v>
      </c>
      <c r="DW2" s="187"/>
      <c r="DX2" s="187"/>
      <c r="DY2" s="187"/>
      <c r="DZ2" s="187"/>
      <c r="EA2" s="187"/>
      <c r="EB2" s="187" t="s">
        <v>121</v>
      </c>
      <c r="EC2" s="187"/>
      <c r="ED2" s="187"/>
      <c r="EE2" s="187"/>
      <c r="EF2" s="187"/>
      <c r="EG2" s="187"/>
      <c r="EH2" s="187" t="s">
        <v>121</v>
      </c>
      <c r="EI2" s="187"/>
      <c r="EJ2" s="187"/>
      <c r="EK2" s="187"/>
      <c r="EL2" s="187"/>
      <c r="EM2" s="187"/>
      <c r="EN2" s="187" t="s">
        <v>121</v>
      </c>
      <c r="EO2" s="187"/>
      <c r="EP2" s="187"/>
      <c r="EQ2" s="187"/>
      <c r="ER2" s="187"/>
      <c r="ES2" s="187"/>
      <c r="ET2" s="187" t="s">
        <v>121</v>
      </c>
      <c r="EU2" s="187"/>
      <c r="EV2" s="187"/>
      <c r="EW2" s="187"/>
      <c r="EX2" s="187"/>
      <c r="EY2" s="187"/>
      <c r="EZ2" s="187" t="s">
        <v>111</v>
      </c>
      <c r="FA2" s="187"/>
      <c r="FB2" s="187"/>
      <c r="FC2" s="187"/>
      <c r="FD2" s="187"/>
      <c r="FE2" s="187"/>
      <c r="FF2" s="18"/>
      <c r="FG2" s="18">
        <f>MATCH("Y11d",INDEX('[1]Sales per type juli'!$D$8:$BA$8,1,MATCH("3mio&gt;",'[1]Sales per type juli'!$D$7:$BA$7,0)):INDEX('[1]Sales per type juli'!$D$8:$BA$8,1,COLUMNS('[1]Sales per type juli'!$D$8:$BA$8)),0)+MATCH("3mio&gt;",'[1]Sales per type juli'!$D$7:$BA$7,0)-1</f>
        <v>13</v>
      </c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</row>
    <row r="3" spans="1:208" ht="30" customHeight="1" x14ac:dyDescent="0.15">
      <c r="A3" s="143" t="s">
        <v>16</v>
      </c>
      <c r="B3" s="143" t="s">
        <v>17</v>
      </c>
      <c r="C3" s="143" t="s">
        <v>113</v>
      </c>
      <c r="D3" s="143" t="s">
        <v>19</v>
      </c>
      <c r="E3" s="143" t="s">
        <v>112</v>
      </c>
      <c r="F3" s="188" t="s">
        <v>122</v>
      </c>
      <c r="G3" s="189"/>
      <c r="H3" s="189"/>
      <c r="I3" s="189"/>
      <c r="J3" s="189"/>
      <c r="K3" s="190"/>
      <c r="L3" s="188" t="s">
        <v>123</v>
      </c>
      <c r="M3" s="189"/>
      <c r="N3" s="189"/>
      <c r="O3" s="189"/>
      <c r="P3" s="189"/>
      <c r="Q3" s="190"/>
      <c r="R3" s="188" t="s">
        <v>124</v>
      </c>
      <c r="S3" s="189"/>
      <c r="T3" s="189"/>
      <c r="U3" s="189"/>
      <c r="V3" s="189"/>
      <c r="W3" s="190"/>
      <c r="X3" s="188" t="s">
        <v>125</v>
      </c>
      <c r="Y3" s="189"/>
      <c r="Z3" s="189"/>
      <c r="AA3" s="189"/>
      <c r="AB3" s="189"/>
      <c r="AC3" s="190"/>
      <c r="AD3" s="188" t="s">
        <v>126</v>
      </c>
      <c r="AE3" s="189"/>
      <c r="AF3" s="189"/>
      <c r="AG3" s="189"/>
      <c r="AH3" s="189"/>
      <c r="AI3" s="190"/>
      <c r="AJ3" s="188" t="s">
        <v>127</v>
      </c>
      <c r="AK3" s="189"/>
      <c r="AL3" s="189"/>
      <c r="AM3" s="189"/>
      <c r="AN3" s="189"/>
      <c r="AO3" s="190"/>
      <c r="AP3" s="188" t="s">
        <v>128</v>
      </c>
      <c r="AQ3" s="189"/>
      <c r="AR3" s="189"/>
      <c r="AS3" s="189"/>
      <c r="AT3" s="189"/>
      <c r="AU3" s="190"/>
      <c r="AV3" s="188" t="s">
        <v>129</v>
      </c>
      <c r="AW3" s="189"/>
      <c r="AX3" s="189"/>
      <c r="AY3" s="189"/>
      <c r="AZ3" s="189"/>
      <c r="BA3" s="190"/>
      <c r="BB3" s="188" t="s">
        <v>130</v>
      </c>
      <c r="BC3" s="189"/>
      <c r="BD3" s="189"/>
      <c r="BE3" s="189"/>
      <c r="BF3" s="189"/>
      <c r="BG3" s="190"/>
      <c r="BH3" s="188" t="s">
        <v>131</v>
      </c>
      <c r="BI3" s="189"/>
      <c r="BJ3" s="189"/>
      <c r="BK3" s="189"/>
      <c r="BL3" s="189"/>
      <c r="BM3" s="190"/>
      <c r="BN3" s="188" t="s">
        <v>132</v>
      </c>
      <c r="BO3" s="189"/>
      <c r="BP3" s="189"/>
      <c r="BQ3" s="189"/>
      <c r="BR3" s="189"/>
      <c r="BS3" s="190"/>
      <c r="BT3" s="188" t="s">
        <v>133</v>
      </c>
      <c r="BU3" s="189"/>
      <c r="BV3" s="189"/>
      <c r="BW3" s="189"/>
      <c r="BX3" s="189"/>
      <c r="BY3" s="190"/>
      <c r="BZ3" s="188" t="s">
        <v>134</v>
      </c>
      <c r="CA3" s="189"/>
      <c r="CB3" s="189"/>
      <c r="CC3" s="189"/>
      <c r="CD3" s="189"/>
      <c r="CE3" s="190"/>
      <c r="CF3" s="188" t="s">
        <v>135</v>
      </c>
      <c r="CG3" s="189"/>
      <c r="CH3" s="189"/>
      <c r="CI3" s="189"/>
      <c r="CJ3" s="189"/>
      <c r="CK3" s="190"/>
      <c r="CL3" s="188" t="s">
        <v>136</v>
      </c>
      <c r="CM3" s="189"/>
      <c r="CN3" s="189"/>
      <c r="CO3" s="189"/>
      <c r="CP3" s="189"/>
      <c r="CQ3" s="190"/>
      <c r="CR3" s="188" t="s">
        <v>137</v>
      </c>
      <c r="CS3" s="189"/>
      <c r="CT3" s="189"/>
      <c r="CU3" s="189"/>
      <c r="CV3" s="189"/>
      <c r="CW3" s="190"/>
      <c r="CX3" s="188" t="s">
        <v>138</v>
      </c>
      <c r="CY3" s="189"/>
      <c r="CZ3" s="189"/>
      <c r="DA3" s="189"/>
      <c r="DB3" s="189"/>
      <c r="DC3" s="190"/>
      <c r="DD3" s="188" t="s">
        <v>139</v>
      </c>
      <c r="DE3" s="189"/>
      <c r="DF3" s="189"/>
      <c r="DG3" s="189"/>
      <c r="DH3" s="189"/>
      <c r="DI3" s="190"/>
      <c r="DJ3" s="188" t="s">
        <v>140</v>
      </c>
      <c r="DK3" s="189"/>
      <c r="DL3" s="189"/>
      <c r="DM3" s="189"/>
      <c r="DN3" s="189"/>
      <c r="DO3" s="190"/>
      <c r="DP3" s="188" t="s">
        <v>141</v>
      </c>
      <c r="DQ3" s="189"/>
      <c r="DR3" s="189"/>
      <c r="DS3" s="189"/>
      <c r="DT3" s="189"/>
      <c r="DU3" s="190"/>
      <c r="DV3" s="188" t="s">
        <v>142</v>
      </c>
      <c r="DW3" s="189"/>
      <c r="DX3" s="189"/>
      <c r="DY3" s="189"/>
      <c r="DZ3" s="189"/>
      <c r="EA3" s="190"/>
      <c r="EB3" s="188" t="s">
        <v>143</v>
      </c>
      <c r="EC3" s="189"/>
      <c r="ED3" s="189"/>
      <c r="EE3" s="189"/>
      <c r="EF3" s="189"/>
      <c r="EG3" s="190"/>
      <c r="EH3" s="188" t="s">
        <v>144</v>
      </c>
      <c r="EI3" s="189"/>
      <c r="EJ3" s="189"/>
      <c r="EK3" s="189"/>
      <c r="EL3" s="189"/>
      <c r="EM3" s="190"/>
      <c r="EN3" s="188" t="s">
        <v>145</v>
      </c>
      <c r="EO3" s="189"/>
      <c r="EP3" s="189"/>
      <c r="EQ3" s="189"/>
      <c r="ER3" s="189"/>
      <c r="ES3" s="190"/>
      <c r="ET3" s="188" t="s">
        <v>146</v>
      </c>
      <c r="EU3" s="189"/>
      <c r="EV3" s="189"/>
      <c r="EW3" s="189"/>
      <c r="EX3" s="189"/>
      <c r="EY3" s="190"/>
      <c r="EZ3" s="188" t="s">
        <v>111</v>
      </c>
      <c r="FA3" s="189"/>
      <c r="FB3" s="189"/>
      <c r="FC3" s="189"/>
      <c r="FD3" s="189"/>
      <c r="FE3" s="190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</row>
    <row r="4" spans="1:208" ht="28" x14ac:dyDescent="0.15">
      <c r="A4" s="143"/>
      <c r="B4" s="143"/>
      <c r="C4" s="143"/>
      <c r="D4" s="143"/>
      <c r="E4" s="143"/>
      <c r="F4" s="191" t="s">
        <v>147</v>
      </c>
      <c r="G4" s="191" t="s">
        <v>148</v>
      </c>
      <c r="H4" s="191" t="s">
        <v>149</v>
      </c>
      <c r="I4" s="191" t="s">
        <v>150</v>
      </c>
      <c r="J4" s="191" t="s">
        <v>151</v>
      </c>
      <c r="K4" s="191" t="s">
        <v>152</v>
      </c>
      <c r="L4" s="191" t="s">
        <v>147</v>
      </c>
      <c r="M4" s="191" t="s">
        <v>148</v>
      </c>
      <c r="N4" s="191" t="s">
        <v>149</v>
      </c>
      <c r="O4" s="191" t="s">
        <v>150</v>
      </c>
      <c r="P4" s="191" t="s">
        <v>151</v>
      </c>
      <c r="Q4" s="191" t="s">
        <v>152</v>
      </c>
      <c r="R4" s="191" t="s">
        <v>147</v>
      </c>
      <c r="S4" s="191" t="s">
        <v>148</v>
      </c>
      <c r="T4" s="191" t="s">
        <v>149</v>
      </c>
      <c r="U4" s="191" t="s">
        <v>150</v>
      </c>
      <c r="V4" s="191" t="s">
        <v>151</v>
      </c>
      <c r="W4" s="191" t="s">
        <v>152</v>
      </c>
      <c r="X4" s="191" t="s">
        <v>147</v>
      </c>
      <c r="Y4" s="191" t="s">
        <v>148</v>
      </c>
      <c r="Z4" s="191" t="s">
        <v>149</v>
      </c>
      <c r="AA4" s="191" t="s">
        <v>150</v>
      </c>
      <c r="AB4" s="191" t="s">
        <v>151</v>
      </c>
      <c r="AC4" s="191" t="s">
        <v>152</v>
      </c>
      <c r="AD4" s="191" t="s">
        <v>147</v>
      </c>
      <c r="AE4" s="191" t="s">
        <v>148</v>
      </c>
      <c r="AF4" s="191" t="s">
        <v>149</v>
      </c>
      <c r="AG4" s="191" t="s">
        <v>150</v>
      </c>
      <c r="AH4" s="191" t="s">
        <v>151</v>
      </c>
      <c r="AI4" s="191" t="s">
        <v>152</v>
      </c>
      <c r="AJ4" s="191" t="s">
        <v>147</v>
      </c>
      <c r="AK4" s="191" t="s">
        <v>148</v>
      </c>
      <c r="AL4" s="191" t="s">
        <v>149</v>
      </c>
      <c r="AM4" s="191" t="s">
        <v>150</v>
      </c>
      <c r="AN4" s="191" t="s">
        <v>151</v>
      </c>
      <c r="AO4" s="191" t="s">
        <v>152</v>
      </c>
      <c r="AP4" s="191" t="s">
        <v>147</v>
      </c>
      <c r="AQ4" s="191" t="s">
        <v>148</v>
      </c>
      <c r="AR4" s="191" t="s">
        <v>149</v>
      </c>
      <c r="AS4" s="191" t="s">
        <v>150</v>
      </c>
      <c r="AT4" s="191" t="s">
        <v>151</v>
      </c>
      <c r="AU4" s="191" t="s">
        <v>152</v>
      </c>
      <c r="AV4" s="191" t="s">
        <v>147</v>
      </c>
      <c r="AW4" s="191" t="s">
        <v>148</v>
      </c>
      <c r="AX4" s="191" t="s">
        <v>149</v>
      </c>
      <c r="AY4" s="191" t="s">
        <v>150</v>
      </c>
      <c r="AZ4" s="191" t="s">
        <v>151</v>
      </c>
      <c r="BA4" s="191" t="s">
        <v>152</v>
      </c>
      <c r="BB4" s="191" t="s">
        <v>147</v>
      </c>
      <c r="BC4" s="191" t="s">
        <v>148</v>
      </c>
      <c r="BD4" s="191" t="s">
        <v>149</v>
      </c>
      <c r="BE4" s="191" t="s">
        <v>150</v>
      </c>
      <c r="BF4" s="191" t="s">
        <v>151</v>
      </c>
      <c r="BG4" s="191" t="s">
        <v>152</v>
      </c>
      <c r="BH4" s="191" t="s">
        <v>147</v>
      </c>
      <c r="BI4" s="191" t="s">
        <v>148</v>
      </c>
      <c r="BJ4" s="191" t="s">
        <v>149</v>
      </c>
      <c r="BK4" s="191" t="s">
        <v>150</v>
      </c>
      <c r="BL4" s="191" t="s">
        <v>151</v>
      </c>
      <c r="BM4" s="191" t="s">
        <v>152</v>
      </c>
      <c r="BN4" s="191" t="s">
        <v>147</v>
      </c>
      <c r="BO4" s="191" t="s">
        <v>148</v>
      </c>
      <c r="BP4" s="191" t="s">
        <v>149</v>
      </c>
      <c r="BQ4" s="191" t="s">
        <v>150</v>
      </c>
      <c r="BR4" s="191" t="s">
        <v>151</v>
      </c>
      <c r="BS4" s="191" t="s">
        <v>152</v>
      </c>
      <c r="BT4" s="191" t="s">
        <v>147</v>
      </c>
      <c r="BU4" s="191" t="s">
        <v>148</v>
      </c>
      <c r="BV4" s="191" t="s">
        <v>149</v>
      </c>
      <c r="BW4" s="191" t="s">
        <v>150</v>
      </c>
      <c r="BX4" s="191" t="s">
        <v>151</v>
      </c>
      <c r="BY4" s="191" t="s">
        <v>152</v>
      </c>
      <c r="BZ4" s="191" t="s">
        <v>147</v>
      </c>
      <c r="CA4" s="191" t="s">
        <v>148</v>
      </c>
      <c r="CB4" s="191" t="s">
        <v>149</v>
      </c>
      <c r="CC4" s="191" t="s">
        <v>150</v>
      </c>
      <c r="CD4" s="191" t="s">
        <v>151</v>
      </c>
      <c r="CE4" s="191" t="s">
        <v>152</v>
      </c>
      <c r="CF4" s="191" t="s">
        <v>147</v>
      </c>
      <c r="CG4" s="191" t="s">
        <v>148</v>
      </c>
      <c r="CH4" s="191" t="s">
        <v>149</v>
      </c>
      <c r="CI4" s="191" t="s">
        <v>150</v>
      </c>
      <c r="CJ4" s="191" t="s">
        <v>151</v>
      </c>
      <c r="CK4" s="191" t="s">
        <v>152</v>
      </c>
      <c r="CL4" s="191" t="s">
        <v>147</v>
      </c>
      <c r="CM4" s="191" t="s">
        <v>148</v>
      </c>
      <c r="CN4" s="191" t="s">
        <v>149</v>
      </c>
      <c r="CO4" s="191" t="s">
        <v>150</v>
      </c>
      <c r="CP4" s="191" t="s">
        <v>151</v>
      </c>
      <c r="CQ4" s="191" t="s">
        <v>152</v>
      </c>
      <c r="CR4" s="191" t="s">
        <v>147</v>
      </c>
      <c r="CS4" s="191" t="s">
        <v>148</v>
      </c>
      <c r="CT4" s="191" t="s">
        <v>149</v>
      </c>
      <c r="CU4" s="191" t="s">
        <v>150</v>
      </c>
      <c r="CV4" s="191" t="s">
        <v>151</v>
      </c>
      <c r="CW4" s="191" t="s">
        <v>152</v>
      </c>
      <c r="CX4" s="191" t="s">
        <v>147</v>
      </c>
      <c r="CY4" s="191" t="s">
        <v>148</v>
      </c>
      <c r="CZ4" s="191" t="s">
        <v>149</v>
      </c>
      <c r="DA4" s="191" t="s">
        <v>150</v>
      </c>
      <c r="DB4" s="191" t="s">
        <v>151</v>
      </c>
      <c r="DC4" s="191" t="s">
        <v>152</v>
      </c>
      <c r="DD4" s="191" t="s">
        <v>147</v>
      </c>
      <c r="DE4" s="191" t="s">
        <v>148</v>
      </c>
      <c r="DF4" s="191" t="s">
        <v>149</v>
      </c>
      <c r="DG4" s="191" t="s">
        <v>150</v>
      </c>
      <c r="DH4" s="191" t="s">
        <v>151</v>
      </c>
      <c r="DI4" s="191" t="s">
        <v>152</v>
      </c>
      <c r="DJ4" s="191" t="s">
        <v>147</v>
      </c>
      <c r="DK4" s="191" t="s">
        <v>148</v>
      </c>
      <c r="DL4" s="191" t="s">
        <v>149</v>
      </c>
      <c r="DM4" s="191" t="s">
        <v>150</v>
      </c>
      <c r="DN4" s="191" t="s">
        <v>151</v>
      </c>
      <c r="DO4" s="191" t="s">
        <v>152</v>
      </c>
      <c r="DP4" s="191" t="s">
        <v>147</v>
      </c>
      <c r="DQ4" s="191" t="s">
        <v>148</v>
      </c>
      <c r="DR4" s="191" t="s">
        <v>149</v>
      </c>
      <c r="DS4" s="191" t="s">
        <v>150</v>
      </c>
      <c r="DT4" s="191" t="s">
        <v>151</v>
      </c>
      <c r="DU4" s="191" t="s">
        <v>152</v>
      </c>
      <c r="DV4" s="191" t="s">
        <v>147</v>
      </c>
      <c r="DW4" s="191" t="s">
        <v>148</v>
      </c>
      <c r="DX4" s="191" t="s">
        <v>149</v>
      </c>
      <c r="DY4" s="191" t="s">
        <v>150</v>
      </c>
      <c r="DZ4" s="191" t="s">
        <v>151</v>
      </c>
      <c r="EA4" s="191" t="s">
        <v>152</v>
      </c>
      <c r="EB4" s="191" t="s">
        <v>147</v>
      </c>
      <c r="EC4" s="191" t="s">
        <v>148</v>
      </c>
      <c r="ED4" s="191" t="s">
        <v>149</v>
      </c>
      <c r="EE4" s="191" t="s">
        <v>150</v>
      </c>
      <c r="EF4" s="191" t="s">
        <v>151</v>
      </c>
      <c r="EG4" s="191" t="s">
        <v>152</v>
      </c>
      <c r="EH4" s="191" t="s">
        <v>147</v>
      </c>
      <c r="EI4" s="191" t="s">
        <v>148</v>
      </c>
      <c r="EJ4" s="191" t="s">
        <v>149</v>
      </c>
      <c r="EK4" s="191" t="s">
        <v>150</v>
      </c>
      <c r="EL4" s="191" t="s">
        <v>151</v>
      </c>
      <c r="EM4" s="191" t="s">
        <v>152</v>
      </c>
      <c r="EN4" s="191" t="s">
        <v>147</v>
      </c>
      <c r="EO4" s="191" t="s">
        <v>148</v>
      </c>
      <c r="EP4" s="191" t="s">
        <v>149</v>
      </c>
      <c r="EQ4" s="191" t="s">
        <v>150</v>
      </c>
      <c r="ER4" s="191" t="s">
        <v>151</v>
      </c>
      <c r="ES4" s="191" t="s">
        <v>152</v>
      </c>
      <c r="ET4" s="191" t="s">
        <v>147</v>
      </c>
      <c r="EU4" s="191" t="s">
        <v>148</v>
      </c>
      <c r="EV4" s="191" t="s">
        <v>149</v>
      </c>
      <c r="EW4" s="191" t="s">
        <v>150</v>
      </c>
      <c r="EX4" s="191" t="s">
        <v>151</v>
      </c>
      <c r="EY4" s="191" t="s">
        <v>152</v>
      </c>
      <c r="EZ4" s="191" t="s">
        <v>147</v>
      </c>
      <c r="FA4" s="191" t="s">
        <v>148</v>
      </c>
      <c r="FB4" s="191" t="s">
        <v>149</v>
      </c>
      <c r="FC4" s="191" t="s">
        <v>150</v>
      </c>
      <c r="FD4" s="191" t="s">
        <v>151</v>
      </c>
      <c r="FE4" s="191" t="s">
        <v>152</v>
      </c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</row>
    <row r="5" spans="1:208" ht="16" x14ac:dyDescent="0.2">
      <c r="A5" s="137">
        <f>'[1]ACHIEVEMENT STORE'!A5</f>
        <v>1</v>
      </c>
      <c r="B5" s="138" t="str">
        <f>'[1]ACHIEVEMENT STORE'!B5</f>
        <v>601 雅加达西北 JKT BU</v>
      </c>
      <c r="C5" s="137">
        <f>'[1]ACHIEVEMENT STORE'!C5</f>
        <v>6010708</v>
      </c>
      <c r="D5" s="138" t="str">
        <f>'[1]ACHIEVEMENT STORE'!D5</f>
        <v>6010708-MVS SHOWROOM CENTRAL PARK</v>
      </c>
      <c r="E5" s="138" t="str">
        <f>'[1]ACHIEVEMENT STORE'!E5</f>
        <v>NANDI FEBRIANA</v>
      </c>
      <c r="F5" s="192">
        <f>IFERROR(INDEX('[1]SALES PERTYPE'!$D$10:$D$52,MATCH($C5,'[1]SALES PERTYPE'!$B$10:$B$52,0)),0)</f>
        <v>7</v>
      </c>
      <c r="G5" s="192">
        <f>IFERROR(INDEX('[1]Sales per type juli'!$D$10:$BA$51,MATCH($C5,'[1]Sales per type juli'!$B$10:$B$51,0),MATCH("Y05",'[1]Sales per type juli'!$D$8:$BA$8,0)),0)</f>
        <v>21</v>
      </c>
      <c r="H5" s="192">
        <f>F5-G5</f>
        <v>-14</v>
      </c>
      <c r="I5" s="192">
        <f>IFERROR(INDEX('[1]SALES PERTYPE'!$E$10:$E$52,MATCH($C5,'[1]SALES PERTYPE'!$B$10:$B$52,0)),0)</f>
        <v>18193000</v>
      </c>
      <c r="J5" s="192" cm="1">
        <f t="array" ref="J5">IFERROR(INDEX('[1]Sales per type juli'!$D$10:$BA$51,MATCH($C5,'[1]Sales per type juli'!$B$10:$B$51,0),MATCH("Y05",'[1]Sales per type juli'!$D$8:$BA$8,0)+1),0)</f>
        <v>47979000</v>
      </c>
      <c r="K5" s="192">
        <f>I5-J5</f>
        <v>-29786000</v>
      </c>
      <c r="L5" s="192">
        <f>IFERROR(INDEX('[1]SALES PERTYPE'!$F$10:$F$52,MATCH($C5,'[1]SALES PERTYPE'!$B$10:$B$52,0)),0)</f>
        <v>4</v>
      </c>
      <c r="M5" s="192">
        <f>IFERROR(INDEX('[1]Sales per type juli'!$D$10:$BA$51,MATCH($C5,'[1]Sales per type juli'!$B$10:$B$51,0),MATCH("Y11d",'[1]Sales per type juli'!$D$8:$BA$8,0)),0)</f>
        <v>3</v>
      </c>
      <c r="N5" s="192">
        <f>L5-M5</f>
        <v>1</v>
      </c>
      <c r="O5" s="192">
        <f>IFERROR(INDEX('[1]SALES PERTYPE'!$G$10:$G$52,MATCH($C5,'[1]SALES PERTYPE'!$B$10:$B$52,0)),0)</f>
        <v>10396000</v>
      </c>
      <c r="P5" s="192" cm="1">
        <f t="array" ref="P5">IFERROR(INDEX('[1]Sales per type juli'!$D$10:$BA$51,MATCH($C5,'[1]Sales per type juli'!$B$10:$B$51,0),MATCH("Y11d",'[1]Sales per type juli'!$D$8:$BA$8,0)+1),0)</f>
        <v>7997000</v>
      </c>
      <c r="Q5" s="192">
        <f>O5-P5</f>
        <v>2399000</v>
      </c>
      <c r="R5" s="192">
        <f>IFERROR(INDEX('[1]SALES PERTYPE'!$H$10:$H$52,MATCH($C5,'[1]SALES PERTYPE'!$B$10:$B$52,0)),0)</f>
        <v>0</v>
      </c>
      <c r="S5" s="192">
        <f>IFERROR(INDEX('[1]Sales per type juli'!$D$10:$BA$51,MATCH($C5,'[1]Sales per type juli'!$B$10:$B$51,0),MATCH("Watch GT 2",'[1]Sales per type juli'!$D$8:$BA$8,0)),0)</f>
        <v>0</v>
      </c>
      <c r="T5" s="192">
        <f>R5-S5</f>
        <v>0</v>
      </c>
      <c r="U5" s="192">
        <f>IFERROR(INDEX('[1]SALES PERTYPE'!$I$10:$I$52,MATCH($C5,'[1]SALES PERTYPE'!$B$10:$B$52,0)),0)</f>
        <v>0</v>
      </c>
      <c r="V5" s="192" cm="1">
        <f t="array" ref="V5">IFERROR(INDEX('[1]Sales per type juli'!$D$10:$BA$51,MATCH($C5,'[1]Sales per type juli'!$B$10:$B$51,0),MATCH("Watch GT 2",'[1]Sales per type juli'!$D$8:$BA$8,0)+1),0)</f>
        <v>0</v>
      </c>
      <c r="W5" s="192">
        <f>U5-V5</f>
        <v>0</v>
      </c>
      <c r="X5" s="192">
        <f>IFERROR(INDEX('[1]SALES PERTYPE'!$J$10:$J$52,MATCH($C5,'[1]SALES PERTYPE'!$B$10:$B$52,0)),0)</f>
        <v>4</v>
      </c>
      <c r="Y5" s="192">
        <f>IFERROR(INDEX('[1]Sales per type juli'!$D$10:$BA$51,MATCH($C5,'[1]Sales per type juli'!$B$10:$B$51,0),MATCH("Y05e",'[1]Sales per type juli'!$D$8:$BA$8,0)),0)</f>
        <v>0</v>
      </c>
      <c r="Z5" s="192">
        <f>X5-Y5</f>
        <v>4</v>
      </c>
      <c r="AA5" s="192">
        <f>IFERROR(INDEX('[1]SALES PERTYPE'!$K$10:$K$52,MATCH($C5,'[1]SALES PERTYPE'!$B$10:$B$52,0)),0)</f>
        <v>8396000</v>
      </c>
      <c r="AB5" s="192" cm="1">
        <f t="array" ref="AB5">IFERROR(INDEX('[1]Sales per type juli'!$D$10:$BA$51,MATCH($C5,'[1]Sales per type juli'!$B$10:$B$51,0),MATCH("Y05e",'[1]Sales per type juli'!$D$8:$BA$8,0)+1),0)</f>
        <v>0</v>
      </c>
      <c r="AC5" s="192">
        <f>AA5-AB5</f>
        <v>8396000</v>
      </c>
      <c r="AD5" s="192">
        <f>IFERROR(INDEX('[1]SALES PERTYPE'!$L$10:$L$52,MATCH($C5,'[1]SALES PERTYPE'!$B$10:$B$52,0)),0)</f>
        <v>1</v>
      </c>
      <c r="AE5" s="192">
        <f>IFERROR(INDEX('[1]Sales per type juli'!$D$10:$BA$51,MATCH($C5,'[1]Sales per type juli'!$B$10:$B$51,0),MATCH("V70",'[1]Sales per type juli'!$D$8:$BA$8,0)),0)</f>
        <v>3</v>
      </c>
      <c r="AF5" s="192">
        <f>AD5-AE5</f>
        <v>-2</v>
      </c>
      <c r="AG5" s="192">
        <f>IFERROR(INDEX('[1]SALES PERTYPE'!$M$10:$M$52,MATCH($C5,'[1]SALES PERTYPE'!$B$10:$B$52,0)),0)</f>
        <v>9999000</v>
      </c>
      <c r="AH5" s="192" cm="1">
        <f t="array" ref="AH5">IFERROR(INDEX('[1]Sales per type juli'!$D$10:$BA$51,MATCH($C5,'[1]Sales per type juli'!$B$10:$B$51,0),MATCH("V70",'[1]Sales per type juli'!$D$8:$BA$8,0)+1),0)</f>
        <v>30997000</v>
      </c>
      <c r="AI5" s="192">
        <f>AG5-AH5</f>
        <v>-20998000</v>
      </c>
      <c r="AJ5" s="192">
        <f>IFERROR(INDEX('[1]SALES PERTYPE'!$N$10:$N$52,MATCH($C5,'[1]SALES PERTYPE'!$B$10:$B$52,0)),0)</f>
        <v>5</v>
      </c>
      <c r="AK5" s="192">
        <f>IFERROR(INDEX('[1]Sales per type juli'!$D$10:$BA$51,MATCH($C5,'[1]Sales per type juli'!$B$10:$B$51,0),MATCH("Y31d Pro",'[1]Sales per type juli'!$D$8:$BA$8,0)),0)</f>
        <v>2</v>
      </c>
      <c r="AL5" s="192">
        <f>AJ5-AK5</f>
        <v>3</v>
      </c>
      <c r="AM5" s="192">
        <f>IFERROR(INDEX('[1]SALES PERTYPE'!$O$10:$O$52,MATCH($C5,'[1]SALES PERTYPE'!$B$10:$B$52,0)),0)</f>
        <v>22695000</v>
      </c>
      <c r="AN5" s="192" cm="1">
        <f t="array" ref="AN5">IFERROR(INDEX('[1]Sales per type juli'!$D$10:$BA$51,MATCH($C5,'[1]Sales per type juli'!$B$10:$B$51,0),MATCH("Y31d Pro",'[1]Sales per type juli'!$D$8:$BA$8,0)+1),0)</f>
        <v>7798000</v>
      </c>
      <c r="AO5" s="192">
        <f>AM5-AN5</f>
        <v>14897000</v>
      </c>
      <c r="AP5" s="192">
        <f>IFERROR(INDEX('[1]SALES PERTYPE'!$P$10:$P$52,MATCH($C5,'[1]SALES PERTYPE'!$B$10:$B$52,0)),0)</f>
        <v>0</v>
      </c>
      <c r="AQ5" s="192" cm="1">
        <f t="array" ref="AQ5">IFERROR(INDEX('[1]Sales per type juli'!$D$10:$BA$51,MATCH($C5,'[1]Sales per type juli'!$B$10:$B$51,0),$FG$2),0)</f>
        <v>0</v>
      </c>
      <c r="AR5" s="192">
        <f>AP5-AQ5</f>
        <v>0</v>
      </c>
      <c r="AS5" s="192">
        <f>IFERROR(INDEX('[1]SALES PERTYPE'!$Q$10:$Q$52,MATCH($C5,'[1]SALES PERTYPE'!$B$10:$B$52,0)),0)</f>
        <v>0</v>
      </c>
      <c r="AT5" s="192" cm="1">
        <f t="array" ref="AT5">IFERROR(INDEX('[1]Sales per type juli'!$D$10:$BA$51,MATCH($C5,'[1]Sales per type juli'!$B$10:$B$51,0),$FG$2+1),0)</f>
        <v>0</v>
      </c>
      <c r="AU5" s="192">
        <f>AS5-AT5</f>
        <v>0</v>
      </c>
      <c r="AV5" s="192">
        <f>IFERROR(INDEX('[1]SALES PERTYPE'!$R$10:$R$52,MATCH($C5,'[1]SALES PERTYPE'!$B$10:$B$52,0)),0)</f>
        <v>0</v>
      </c>
      <c r="AW5" s="192">
        <f>IFERROR(INDEX('[1]Sales per type juli'!$D$10:$BA$51,MATCH($C5,'[1]Sales per type juli'!$B$10:$B$51,0),MATCH("Y31d ",'[1]Sales per type juli'!$D$8:$BA$8,0)),0)</f>
        <v>0</v>
      </c>
      <c r="AX5" s="192">
        <f>AV5-AW5</f>
        <v>0</v>
      </c>
      <c r="AY5" s="192">
        <f>IFERROR(INDEX('[1]SALES PERTYPE'!$S$10:$S$52,MATCH($C5,'[1]SALES PERTYPE'!$B$10:$B$52,0)),0)</f>
        <v>0</v>
      </c>
      <c r="AZ5" s="192" cm="1">
        <f t="array" ref="AZ5">IFERROR(INDEX('[1]Sales per type juli'!$D$10:$BA$51,MATCH($C5,'[1]Sales per type juli'!$B$10:$B$51,0),MATCH("Y31d ",'[1]Sales per type juli'!$D$8:$BA$8,0)+1),0)</f>
        <v>0</v>
      </c>
      <c r="BA5" s="192">
        <f>AY5-AZ5</f>
        <v>0</v>
      </c>
      <c r="BB5" s="192">
        <f>IFERROR(INDEX('[1]SALES PERTYPE'!$T$10:$T$52,MATCH($C5,'[1]SALES PERTYPE'!$B$10:$B$52,0)),0)</f>
        <v>1</v>
      </c>
      <c r="BC5" s="192">
        <f>IFERROR(INDEX('[1]Sales per type juli'!$D$10:$BA$51,MATCH($C5,'[1]Sales per type juli'!$B$10:$B$51,0),MATCH("V70 FE",'[1]Sales per type juli'!$D$8:$BA$8,0)),0)</f>
        <v>4</v>
      </c>
      <c r="BD5" s="192">
        <f>BB5-BC5</f>
        <v>-3</v>
      </c>
      <c r="BE5" s="192">
        <f>IFERROR(INDEX('[1]SALES PERTYPE'!$U$10:$U$52,MATCH($C5,'[1]SALES PERTYPE'!$B$10:$B$52,0)),0)</f>
        <v>7999000</v>
      </c>
      <c r="BF5" s="192" cm="1">
        <f t="array" ref="BF5">IFERROR(INDEX('[1]Sales per type juli'!$D$10:$BA$51,MATCH($C5,'[1]Sales per type juli'!$B$10:$B$51,0),MATCH("V70 FE",'[1]Sales per type juli'!$D$8:$BA$8,0)+1),0)</f>
        <v>26696000</v>
      </c>
      <c r="BG5" s="192">
        <f>BE5-BF5</f>
        <v>-18697000</v>
      </c>
      <c r="BH5" s="192">
        <f>IFERROR(INDEX('[1]SALES PERTYPE'!$V$10:$V$52,MATCH($C5,'[1]SALES PERTYPE'!$B$10:$B$52,0)),0)</f>
        <v>0</v>
      </c>
      <c r="BI5" s="192">
        <f>IFERROR(INDEX('[1]Sales per type juli'!$D$10:$BA$51,MATCH($C5,'[1]Sales per type juli'!$B$10:$B$51,0),MATCH("Y31d",'[1]Sales per type juli'!$D$8:$BA$8,0)),0)</f>
        <v>3</v>
      </c>
      <c r="BJ5" s="192">
        <f>BH5-BI5</f>
        <v>-3</v>
      </c>
      <c r="BK5" s="192">
        <f>IFERROR(INDEX('[1]SALES PERTYPE'!$W$10:$W$52,MATCH($C5,'[1]SALES PERTYPE'!$B$10:$B$52,0)),0)</f>
        <v>0</v>
      </c>
      <c r="BL5" s="192" cm="1">
        <f t="array" ref="BL5">IFERROR(INDEX('[1]Sales per type juli'!$D$10:$BA$51,MATCH($C5,'[1]Sales per type juli'!$B$10:$B$51,0),MATCH("Y31d",'[1]Sales per type juli'!$D$8:$BA$8,0)+1),0)</f>
        <v>10797000</v>
      </c>
      <c r="BM5" s="192">
        <f>BK5-BL5</f>
        <v>-10797000</v>
      </c>
      <c r="BN5" s="192">
        <f>IFERROR(INDEX('[1]SALES PERTYPE'!$X$10:$X$52,MATCH($C5,'[1]SALES PERTYPE'!$B$10:$B$52,0)),0)</f>
        <v>1</v>
      </c>
      <c r="BO5" s="192">
        <f>IFERROR(INDEX('[1]Sales per type juli'!$D$10:$BA$51,MATCH($C5,'[1]Sales per type juli'!$B$10:$B$51,0),MATCH("Y500",'[1]Sales per type juli'!$D$8:$BA$8,0)),0)</f>
        <v>1</v>
      </c>
      <c r="BP5" s="192">
        <f>BN5-BO5</f>
        <v>0</v>
      </c>
      <c r="BQ5" s="192">
        <f>IFERROR(INDEX('[1]SALES PERTYPE'!$Y$10:$Y$52,MATCH($C5,'[1]SALES PERTYPE'!$B$10:$B$52,0)),0)</f>
        <v>5499000</v>
      </c>
      <c r="BR5" s="192" cm="1">
        <f t="array" ref="BR5">IFERROR(INDEX('[1]Sales per type juli'!$D$10:$BA$51,MATCH($C5,'[1]Sales per type juli'!$B$10:$B$51,0),MATCH("Y500",'[1]Sales per type juli'!$D$8:$BA$8,0)+1),0)</f>
        <v>6299000</v>
      </c>
      <c r="BS5" s="192">
        <f>BQ5-BR5</f>
        <v>-800000</v>
      </c>
      <c r="BT5" s="192">
        <f>IFERROR(INDEX('[1]SALES PERTYPE'!$Z$10:$Z$52,MATCH($C5,'[1]SALES PERTYPE'!$B$10:$B$52,0)),0)</f>
        <v>0</v>
      </c>
      <c r="BU5" s="192">
        <f>IFERROR(INDEX('[1]Sales per type juli'!$D$10:$BA$51,MATCH($C5,'[1]Sales per type juli'!$B$10:$B$51,0),MATCH("IQOO 15R",'[1]Sales per type juli'!$D$8:$BA$8,0)),0)</f>
        <v>3</v>
      </c>
      <c r="BV5" s="192">
        <f>BT5-BU5</f>
        <v>-3</v>
      </c>
      <c r="BW5" s="192">
        <f>IFERROR(INDEX('[1]SALES PERTYPE'!$AA$10:$AA$52,MATCH($C5,'[1]SALES PERTYPE'!$B$10:$B$52,0)),0)</f>
        <v>0</v>
      </c>
      <c r="BX5" s="192" cm="1">
        <f t="array" ref="BX5">IFERROR(INDEX('[1]Sales per type juli'!$D$10:$BA$51,MATCH($C5,'[1]Sales per type juli'!$B$10:$B$51,0),MATCH("IQOO 15R",'[1]Sales per type juli'!$D$8:$BA$8,0)+1),0)</f>
        <v>29697000</v>
      </c>
      <c r="BY5" s="192">
        <f>BW5-BX5</f>
        <v>-29697000</v>
      </c>
      <c r="BZ5" s="192">
        <f>IFERROR(INDEX('[1]SALES PERTYPE'!$AB$10:$AB$52,MATCH($C5,'[1]SALES PERTYPE'!$B$10:$B$52,0)),0)</f>
        <v>4</v>
      </c>
      <c r="CA5" s="192">
        <f>IFERROR(INDEX('[1]Sales per type juli'!$D$10:$BA$51,MATCH($C5,'[1]Sales per type juli'!$B$10:$B$51,0),MATCH("V60 Lite",'[1]Sales per type juli'!$D$8:$BA$8,0)),0)</f>
        <v>2</v>
      </c>
      <c r="CB5" s="192">
        <f>BZ5-CA5</f>
        <v>2</v>
      </c>
      <c r="CC5" s="192">
        <f>IFERROR(INDEX('[1]SALES PERTYPE'!$AC$10:$AC$52,MATCH($C5,'[1]SALES PERTYPE'!$B$10:$B$52,0)),0)</f>
        <v>22996000</v>
      </c>
      <c r="CD5" s="192" cm="1">
        <f t="array" ref="CD5">IFERROR(INDEX('[1]Sales per type juli'!$D$10:$BA$51,MATCH($C5,'[1]Sales per type juli'!$B$10:$B$51,0),MATCH("V60 Lite",'[1]Sales per type juli'!$D$8:$BA$8,0)+1),0)</f>
        <v>11298000</v>
      </c>
      <c r="CE5" s="192">
        <f>CC5-CD5</f>
        <v>11698000</v>
      </c>
      <c r="CF5" s="192">
        <f>IFERROR(INDEX('[1]SALES PERTYPE'!$AD$10:$AD$52,MATCH($C5,'[1]SALES PERTYPE'!$B$10:$B$52,0)),0)</f>
        <v>0</v>
      </c>
      <c r="CG5" s="192">
        <f>IFERROR(INDEX('[1]Sales per type juli'!$D$10:$BA$51,MATCH($C5,'[1]Sales per type juli'!$B$10:$B$51,0),MATCH("X300 Ultra",'[1]Sales per type juli'!$D$8:$BA$8,0)),0)</f>
        <v>2</v>
      </c>
      <c r="CH5" s="192">
        <f>CF5-CG5</f>
        <v>-2</v>
      </c>
      <c r="CI5" s="192">
        <f>IFERROR(INDEX('[1]SALES PERTYPE'!$AE$10:$AE$52,MATCH($C5,'[1]SALES PERTYPE'!$B$10:$B$52,0)),0)</f>
        <v>0</v>
      </c>
      <c r="CJ5" s="192" cm="1">
        <f t="array" ref="CJ5">IFERROR(INDEX('[1]Sales per type juli'!$D$10:$BA$51,MATCH($C5,'[1]Sales per type juli'!$B$10:$B$51,0),MATCH("X300 Ultra",'[1]Sales per type juli'!$D$8:$BA$8,0)+1),0)</f>
        <v>51998000</v>
      </c>
      <c r="CK5" s="192">
        <f>CI5-CJ5</f>
        <v>-51998000</v>
      </c>
      <c r="CL5" s="192">
        <f>IFERROR(INDEX('[1]SALES PERTYPE'!$AF$10:$AF$52,MATCH($C5,'[1]SALES PERTYPE'!$B$10:$B$52,0)),0)</f>
        <v>0</v>
      </c>
      <c r="CM5" s="192">
        <f>IFERROR(INDEX('[1]Sales per type juli'!$D$10:$BA$51,MATCH($C5,'[1]Sales per type juli'!$B$10:$B$51,0),MATCH("IQOO 15",'[1]Sales per type juli'!$D$8:$BA$8,0)),0)</f>
        <v>2</v>
      </c>
      <c r="CN5" s="192">
        <f>CL5-CM5</f>
        <v>-2</v>
      </c>
      <c r="CO5" s="192">
        <f>IFERROR(INDEX('[1]SALES PERTYPE'!$AG$10:$AG$52,MATCH($C5,'[1]SALES PERTYPE'!$B$10:$B$52,0)),0)</f>
        <v>0</v>
      </c>
      <c r="CP5" s="192" cm="1">
        <f t="array" ref="CP5">IFERROR(INDEX('[1]Sales per type juli'!$D$10:$BA$51,MATCH($C5,'[1]Sales per type juli'!$B$10:$B$51,0),MATCH("IQOO 15",'[1]Sales per type juli'!$D$8:$BA$8,0)+1),0)</f>
        <v>27998000</v>
      </c>
      <c r="CQ5" s="192">
        <f>CO5-CP5</f>
        <v>-27998000</v>
      </c>
      <c r="CR5" s="192">
        <f>IFERROR(INDEX('[1]SALES PERTYPE'!$AH$10:$AH$52,MATCH($C5,'[1]SALES PERTYPE'!$B$10:$B$52,0)),0)</f>
        <v>1</v>
      </c>
      <c r="CS5" s="192">
        <f>IFERROR(INDEX('[1]Sales per type juli'!$D$10:$BA$51,MATCH($C5,'[1]Sales per type juli'!$B$10:$B$51,0),MATCH("IQOO Z11x",'[1]Sales per type juli'!$D$8:$BA$8,0)),0)</f>
        <v>1</v>
      </c>
      <c r="CT5" s="192">
        <f>CR5-CS5</f>
        <v>0</v>
      </c>
      <c r="CU5" s="192">
        <f>IFERROR(INDEX('[1]SALES PERTYPE'!$AI$10:$AI$52,MATCH($C5,'[1]SALES PERTYPE'!$B$10:$B$52,0)),0)</f>
        <v>5699000</v>
      </c>
      <c r="CV5" s="192" cm="1">
        <f t="array" ref="CV5">IFERROR(INDEX('[1]Sales per type juli'!$D$10:$BA$51,MATCH($C5,'[1]Sales per type juli'!$B$10:$B$51,0),MATCH("IQOO Z11x",'[1]Sales per type juli'!$D$8:$BA$8,0)+1),0)</f>
        <v>4799000</v>
      </c>
      <c r="CW5" s="192">
        <f>CU5-CV5</f>
        <v>900000</v>
      </c>
      <c r="CX5" s="192">
        <f>IFERROR(INDEX('[1]SALES PERTYPE'!$AJ$10:$AJ$52,MATCH($C5,'[1]SALES PERTYPE'!$B$10:$B$52,0)),0)</f>
        <v>1</v>
      </c>
      <c r="CY5" s="192">
        <f>IFERROR(INDEX('[1]Sales per type juli'!$D$10:$BA$51,MATCH($C5,'[1]Sales per type juli'!$B$10:$B$51,0),MATCH("IQOO Z11",'[1]Sales per type juli'!$D$8:$BA$8,0)),0)</f>
        <v>1</v>
      </c>
      <c r="CZ5" s="192">
        <f>CX5-CY5</f>
        <v>0</v>
      </c>
      <c r="DA5" s="192">
        <f>IFERROR(INDEX('[1]SALES PERTYPE'!$AK$10:$AK$52,MATCH($C5,'[1]SALES PERTYPE'!$B$10:$B$52,0)),0)</f>
        <v>8399000</v>
      </c>
      <c r="DB5" s="192" cm="1">
        <f t="array" ref="DB5">IFERROR(INDEX('[1]Sales per type juli'!$D$10:$BA$51,MATCH($C5,'[1]Sales per type juli'!$B$10:$B$51,0),MATCH("IQOO Z11",'[1]Sales per type juli'!$D$8:$BA$8,0)+1),0)</f>
        <v>5699000</v>
      </c>
      <c r="DC5" s="192">
        <f>DA5-DB5</f>
        <v>2700000</v>
      </c>
      <c r="DD5" s="192">
        <v>0</v>
      </c>
      <c r="DE5" s="192">
        <f>IFERROR(INDEX('[1]Sales per type juli'!$D$10:$BA$51,MATCH($C5,'[1]Sales per type juli'!$B$10:$B$51,0),MATCH("WATCH 3",'[1]Sales per type juli'!$D$8:$BA$8,0)),0)</f>
        <v>0</v>
      </c>
      <c r="DF5" s="192">
        <f>DD5-DE5</f>
        <v>0</v>
      </c>
      <c r="DG5" s="192">
        <v>0</v>
      </c>
      <c r="DH5" s="192" cm="1">
        <f t="array" ref="DH5">IFERROR(INDEX('[1]Sales per type juli'!$D$10:$BA$51,MATCH($C5,'[1]Sales per type juli'!$B$10:$B$51,0),MATCH("WATCH 3",'[1]Sales per type juli'!$D$8:$BA$8,0)+1),0)</f>
        <v>0</v>
      </c>
      <c r="DI5" s="192">
        <f>DG5-DH5</f>
        <v>0</v>
      </c>
      <c r="DJ5" s="192">
        <v>0</v>
      </c>
      <c r="DK5" s="192">
        <f>IFERROR(INDEX('[1]Sales per type juli'!$D$10:$BA$51,MATCH($C5,'[1]Sales per type juli'!$B$10:$B$51,0),MATCH("X300 Demo",'[1]Sales per type juli'!$D$8:$BA$8,0)),0)</f>
        <v>0</v>
      </c>
      <c r="DL5" s="192">
        <f>DJ5-DK5</f>
        <v>0</v>
      </c>
      <c r="DM5" s="192">
        <v>0</v>
      </c>
      <c r="DN5" s="192" cm="1">
        <f t="array" ref="DN5">IFERROR(INDEX('[1]Sales per type juli'!$D$10:$BA$51,MATCH($C5,'[1]Sales per type juli'!$B$10:$B$51,0),MATCH("X300 Demo",'[1]Sales per type juli'!$D$8:$BA$8,0)+1),0)</f>
        <v>0</v>
      </c>
      <c r="DO5" s="192">
        <f>DM5-DN5</f>
        <v>0</v>
      </c>
      <c r="DP5" s="192">
        <v>0</v>
      </c>
      <c r="DQ5" s="192">
        <f>IFERROR(INDEX('[1]Sales per type juli'!$D$10:$BA$51,MATCH($C5,'[1]Sales per type juli'!$B$10:$B$51,0),MATCH("X300 Pro Demo",'[1]Sales per type juli'!$D$8:$BA$8,0)),0)</f>
        <v>0</v>
      </c>
      <c r="DR5" s="192">
        <f>DP5-DQ5</f>
        <v>0</v>
      </c>
      <c r="DS5" s="192">
        <v>0</v>
      </c>
      <c r="DT5" s="192" cm="1">
        <f t="array" ref="DT5">IFERROR(INDEX('[1]Sales per type juli'!$D$10:$BA$51,MATCH($C5,'[1]Sales per type juli'!$B$10:$B$51,0),MATCH("X300 Pro Demo",'[1]Sales per type juli'!$D$8:$BA$8,0)+1),0)</f>
        <v>0</v>
      </c>
      <c r="DU5" s="192">
        <f>DS5-DT5</f>
        <v>0</v>
      </c>
      <c r="DV5" s="192">
        <v>0</v>
      </c>
      <c r="DW5" s="192">
        <f>IFERROR(INDEX('[1]Sales per type juli'!$D$10:$BA$51,MATCH($C5,'[1]Sales per type juli'!$B$10:$B$51,0),MATCH("X Fold5 DEMO",'[1]Sales per type juli'!$D$8:$BA$8,0)),0)</f>
        <v>0</v>
      </c>
      <c r="DX5" s="192">
        <f>DV5-DW5</f>
        <v>0</v>
      </c>
      <c r="DY5" s="192">
        <v>0</v>
      </c>
      <c r="DZ5" s="192" cm="1">
        <f t="array" ref="DZ5">IFERROR(INDEX('[1]Sales per type juli'!$D$10:$BA$51,MATCH($C5,'[1]Sales per type juli'!$B$10:$B$51,0),MATCH("X Fold5 DEMO",'[1]Sales per type juli'!$D$8:$BA$8,0)+1),0)</f>
        <v>0</v>
      </c>
      <c r="EA5" s="192">
        <f>DY5-DZ5</f>
        <v>0</v>
      </c>
      <c r="EB5" s="192">
        <v>0</v>
      </c>
      <c r="EC5" s="192">
        <f>IFERROR(INDEX('[1]Sales per type juli'!$D$10:$BA$51,MATCH($C5,'[1]Sales per type juli'!$B$10:$B$51,0),MATCH("X Fold5",'[1]Sales per type juli'!$D$8:$BA$8,0)),0)</f>
        <v>0</v>
      </c>
      <c r="ED5" s="192">
        <f>EB5-EC5</f>
        <v>0</v>
      </c>
      <c r="EE5" s="192">
        <v>0</v>
      </c>
      <c r="EF5" s="192" cm="1">
        <f t="array" ref="EF5">IFERROR(INDEX('[1]Sales per type juli'!$D$10:$BA$51,MATCH($C5,'[1]Sales per type juli'!$B$10:$B$51,0),MATCH("X Fold5",'[1]Sales per type juli'!$D$8:$BA$8,0)+1),0)</f>
        <v>0</v>
      </c>
      <c r="EG5" s="192">
        <f>EE5-EF5</f>
        <v>0</v>
      </c>
      <c r="EH5" s="192">
        <v>0</v>
      </c>
      <c r="EI5" s="192">
        <f>IFERROR(INDEX('[1]Sales per type juli'!$D$10:$BA$51,MATCH($C5,'[1]Sales per type juli'!$B$10:$B$51,0),MATCH("IQOO 15 Demo",'[1]Sales per type juli'!$D$8:$BA$8,0)),0)</f>
        <v>0</v>
      </c>
      <c r="EJ5" s="192">
        <f>EH5-EI5</f>
        <v>0</v>
      </c>
      <c r="EK5" s="192">
        <v>0</v>
      </c>
      <c r="EL5" s="192" cm="1">
        <f t="array" ref="EL5">IFERROR(INDEX('[1]Sales per type juli'!$D$10:$BA$51,MATCH($C5,'[1]Sales per type juli'!$B$10:$B$51,0),MATCH("IQOO 15 Demo",'[1]Sales per type juli'!$D$8:$BA$8,0)+1),0)</f>
        <v>0</v>
      </c>
      <c r="EM5" s="192">
        <f>EK5-EL5</f>
        <v>0</v>
      </c>
      <c r="EN5" s="192">
        <v>0</v>
      </c>
      <c r="EO5" s="192">
        <f>IFERROR(INDEX('[1]Sales per type juli'!$D$10:$BA$51,MATCH($C5,'[1]Sales per type juli'!$B$10:$B$51,0),MATCH("X300 PRO",'[1]Sales per type juli'!$D$8:$BA$8,0)),0)</f>
        <v>0</v>
      </c>
      <c r="EP5" s="192">
        <f>EN5-EO5</f>
        <v>0</v>
      </c>
      <c r="EQ5" s="192">
        <v>0</v>
      </c>
      <c r="ER5" s="192" cm="1">
        <f t="array" ref="ER5">IFERROR(INDEX('[1]Sales per type juli'!$D$10:$BA$51,MATCH($C5,'[1]Sales per type juli'!$B$10:$B$51,0),MATCH("X300 PRO",'[1]Sales per type juli'!$D$8:$BA$8,0)+1),0)</f>
        <v>0</v>
      </c>
      <c r="ES5" s="192">
        <f>EQ5-ER5</f>
        <v>0</v>
      </c>
      <c r="ET5" s="192">
        <v>0</v>
      </c>
      <c r="EU5" s="192">
        <f>IFERROR(INDEX('[1]Sales per type juli'!$D$10:$BA$51,MATCH($C5,'[1]Sales per type juli'!$B$10:$B$51,0),MATCH("X300 ",'[1]Sales per type juli'!$D$8:$BA$8,0)),0)</f>
        <v>2</v>
      </c>
      <c r="EV5" s="192">
        <f>ET5-EU5</f>
        <v>-2</v>
      </c>
      <c r="EW5" s="192">
        <v>0</v>
      </c>
      <c r="EX5" s="192" cm="1">
        <f t="array" ref="EX5">IFERROR(INDEX('[1]Sales per type juli'!$D$10:$BA$51,MATCH($C5,'[1]Sales per type juli'!$B$10:$B$51,0),MATCH("X300 ",'[1]Sales per type juli'!$D$8:$BA$8,0)+1),0)</f>
        <v>29998000</v>
      </c>
      <c r="EY5" s="192">
        <f>EW5-EX5</f>
        <v>-29998000</v>
      </c>
      <c r="EZ5" s="192">
        <f>F5+L5+R5+X5+AD5+AJ5+AP5+AV5+BB5+BH5+BN5+BT5+BZ5+CF5+CL5+CR5+CX5+DD5+DJ5+DP5+DV5+EB5+EH5+EN5+ET5</f>
        <v>29</v>
      </c>
      <c r="FA5" s="192">
        <f>G5+M5+S5+Y5+AE5+AK5+AQ5+AW5+BC5+BI5+BO5+BU5+CA5+CG5+CM5+CS5+CY5+DE5+DK5+DQ5+DW5+EC5+EI5+EO5+EU5</f>
        <v>50</v>
      </c>
      <c r="FB5" s="192">
        <f>EZ5-FA5</f>
        <v>-21</v>
      </c>
      <c r="FC5" s="192">
        <f>I5+O5+U5+AA5+AG5+AM5+AS5+AY5+BE5+BK5+BQ5+BW5+CC5+CI5+CO5+CU5+DA5+DG5+DM5+DS5+DY5+EE5+EK5+EQ5+EW5</f>
        <v>120271000</v>
      </c>
      <c r="FD5" s="192">
        <f>J5+P5+V5+AB5+AH5+AN5+AT5+AZ5+BF5+BL5+BR5+BX5+CD5+CJ5+CP5+CV5+DB5+DH5+DN5+DT5+DZ5+EF5+EL5+ER5+EX5</f>
        <v>300050000</v>
      </c>
      <c r="FE5" s="192">
        <f>FC5-FD5</f>
        <v>-179779000</v>
      </c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</row>
    <row r="6" spans="1:208" ht="16" x14ac:dyDescent="0.2">
      <c r="A6" s="139">
        <f>'[1]ACHIEVEMENT STORE'!A6</f>
        <v>2</v>
      </c>
      <c r="B6" s="140" t="str">
        <f>'[1]ACHIEVEMENT STORE'!B6</f>
        <v>601 雅加达西北 JKT BU</v>
      </c>
      <c r="C6" s="139">
        <f>'[1]ACHIEVEMENT STORE'!C6</f>
        <v>6010701</v>
      </c>
      <c r="D6" s="140" t="str">
        <f>'[1]ACHIEVEMENT STORE'!D6</f>
        <v>6010701-MVS ROXY SHOWROOM 21</v>
      </c>
      <c r="E6" s="140" t="str">
        <f>'[1]ACHIEVEMENT STORE'!E6</f>
        <v>ANGGARIA</v>
      </c>
      <c r="F6" s="192">
        <f>IFERROR(INDEX('[1]SALES PERTYPE'!$D$10:$D$52,MATCH($C6,'[1]SALES PERTYPE'!$B$10:$B$52,0)),0)</f>
        <v>23</v>
      </c>
      <c r="G6" s="192">
        <f>IFERROR(INDEX('[1]Sales per type juli'!$D$10:$BA$51,MATCH($C6,'[1]Sales per type juli'!$B$10:$B$51,0),MATCH("Y05",'[1]Sales per type juli'!$D$8:$BA$8,0)),0)</f>
        <v>46</v>
      </c>
      <c r="H6" s="192">
        <f>F6-G6</f>
        <v>-23</v>
      </c>
      <c r="I6" s="192">
        <f>IFERROR(INDEX('[1]SALES PERTYPE'!$E$10:$E$52,MATCH($C6,'[1]SALES PERTYPE'!$B$10:$B$52,0)),0)</f>
        <v>54077000</v>
      </c>
      <c r="J6" s="192" cm="1">
        <f t="array" ref="J6">IFERROR(INDEX('[1]Sales per type juli'!$D$10:$BA$51,MATCH($C6,'[1]Sales per type juli'!$B$10:$B$51,0),MATCH("Y05",'[1]Sales per type juli'!$D$8:$BA$8,0)+1),0)</f>
        <v>100154000</v>
      </c>
      <c r="K6" s="192">
        <f>I6-J6</f>
        <v>-46077000</v>
      </c>
      <c r="L6" s="192">
        <f>IFERROR(INDEX('[1]SALES PERTYPE'!$F$10:$F$52,MATCH($C6,'[1]SALES PERTYPE'!$B$10:$B$52,0)),0)</f>
        <v>17</v>
      </c>
      <c r="M6" s="192">
        <f>IFERROR(INDEX('[1]Sales per type juli'!$D$10:$BA$51,MATCH($C6,'[1]Sales per type juli'!$B$10:$B$51,0),MATCH("Y11d",'[1]Sales per type juli'!$D$8:$BA$8,0)),0)</f>
        <v>21</v>
      </c>
      <c r="N6" s="192">
        <f>L6-M6</f>
        <v>-4</v>
      </c>
      <c r="O6" s="192">
        <f>IFERROR(INDEX('[1]SALES PERTYPE'!$G$10:$G$52,MATCH($C6,'[1]SALES PERTYPE'!$B$10:$B$52,0)),0)</f>
        <v>45183000</v>
      </c>
      <c r="P6" s="192" cm="1">
        <f t="array" ref="P6">IFERROR(INDEX('[1]Sales per type juli'!$D$10:$BA$51,MATCH($C6,'[1]Sales per type juli'!$B$10:$B$51,0),MATCH("Y11d",'[1]Sales per type juli'!$D$8:$BA$8,0)+1),0)</f>
        <v>55179000</v>
      </c>
      <c r="Q6" s="192">
        <f>O6-P6</f>
        <v>-9996000</v>
      </c>
      <c r="R6" s="192">
        <f>IFERROR(INDEX('[1]SALES PERTYPE'!$H$10:$H$52,MATCH($C6,'[1]SALES PERTYPE'!$B$10:$B$52,0)),0)</f>
        <v>0</v>
      </c>
      <c r="S6" s="192">
        <f>IFERROR(INDEX('[1]Sales per type juli'!$D$10:$BA$51,MATCH($C6,'[1]Sales per type juli'!$B$10:$B$51,0),MATCH("Watch GT 2",'[1]Sales per type juli'!$D$8:$BA$8,0)),0)</f>
        <v>0</v>
      </c>
      <c r="T6" s="192">
        <f>R6-S6</f>
        <v>0</v>
      </c>
      <c r="U6" s="192">
        <f>IFERROR(INDEX('[1]SALES PERTYPE'!$I$10:$I$52,MATCH($C6,'[1]SALES PERTYPE'!$B$10:$B$52,0)),0)</f>
        <v>0</v>
      </c>
      <c r="V6" s="192" cm="1">
        <f t="array" ref="V6">IFERROR(INDEX('[1]Sales per type juli'!$D$10:$BA$51,MATCH($C6,'[1]Sales per type juli'!$B$10:$B$51,0),MATCH("Watch GT 2",'[1]Sales per type juli'!$D$8:$BA$8,0)+1),0)</f>
        <v>0</v>
      </c>
      <c r="W6" s="192">
        <f>U6-V6</f>
        <v>0</v>
      </c>
      <c r="X6" s="192">
        <f>IFERROR(INDEX('[1]SALES PERTYPE'!$J$10:$J$52,MATCH($C6,'[1]SALES PERTYPE'!$B$10:$B$52,0)),0)</f>
        <v>23</v>
      </c>
      <c r="Y6" s="192">
        <f>IFERROR(INDEX('[1]Sales per type juli'!$D$10:$BA$51,MATCH($C6,'[1]Sales per type juli'!$B$10:$B$51,0),MATCH("Y05e",'[1]Sales per type juli'!$D$8:$BA$8,0)),0)</f>
        <v>0</v>
      </c>
      <c r="Z6" s="192">
        <f>X6-Y6</f>
        <v>23</v>
      </c>
      <c r="AA6" s="192">
        <f>IFERROR(INDEX('[1]SALES PERTYPE'!$K$10:$K$52,MATCH($C6,'[1]SALES PERTYPE'!$B$10:$B$52,0)),0)</f>
        <v>48277000</v>
      </c>
      <c r="AB6" s="192" cm="1">
        <f t="array" ref="AB6">IFERROR(INDEX('[1]Sales per type juli'!$D$10:$BA$51,MATCH($C6,'[1]Sales per type juli'!$B$10:$B$51,0),MATCH("Y05e",'[1]Sales per type juli'!$D$8:$BA$8,0)+1),0)</f>
        <v>0</v>
      </c>
      <c r="AC6" s="192">
        <f>AA6-AB6</f>
        <v>48277000</v>
      </c>
      <c r="AD6" s="192">
        <f>IFERROR(INDEX('[1]SALES PERTYPE'!$L$10:$L$52,MATCH($C6,'[1]SALES PERTYPE'!$B$10:$B$52,0)),0)</f>
        <v>2</v>
      </c>
      <c r="AE6" s="192">
        <f>IFERROR(INDEX('[1]Sales per type juli'!$D$10:$BA$51,MATCH($C6,'[1]Sales per type juli'!$B$10:$B$51,0),MATCH("V70",'[1]Sales per type juli'!$D$8:$BA$8,0)),0)</f>
        <v>3</v>
      </c>
      <c r="AF6" s="192">
        <f>AD6-AE6</f>
        <v>-1</v>
      </c>
      <c r="AG6" s="192">
        <f>IFERROR(INDEX('[1]SALES PERTYPE'!$M$10:$M$52,MATCH($C6,'[1]SALES PERTYPE'!$B$10:$B$52,0)),0)</f>
        <v>19998000</v>
      </c>
      <c r="AH6" s="192" cm="1">
        <f t="array" ref="AH6">IFERROR(INDEX('[1]Sales per type juli'!$D$10:$BA$51,MATCH($C6,'[1]Sales per type juli'!$B$10:$B$51,0),MATCH("V70",'[1]Sales per type juli'!$D$8:$BA$8,0)+1),0)</f>
        <v>26997000</v>
      </c>
      <c r="AI6" s="192">
        <f>AG6-AH6</f>
        <v>-6999000</v>
      </c>
      <c r="AJ6" s="192">
        <f>IFERROR(INDEX('[1]SALES PERTYPE'!$N$10:$N$52,MATCH($C6,'[1]SALES PERTYPE'!$B$10:$B$52,0)),0)</f>
        <v>27</v>
      </c>
      <c r="AK6" s="192">
        <f>IFERROR(INDEX('[1]Sales per type juli'!$D$10:$BA$51,MATCH($C6,'[1]Sales per type juli'!$B$10:$B$51,0),MATCH("Y31d Pro",'[1]Sales per type juli'!$D$8:$BA$8,0)),0)</f>
        <v>8</v>
      </c>
      <c r="AL6" s="192">
        <f>AJ6-AK6</f>
        <v>19</v>
      </c>
      <c r="AM6" s="192">
        <f>IFERROR(INDEX('[1]SALES PERTYPE'!$O$10:$O$52,MATCH($C6,'[1]SALES PERTYPE'!$B$10:$B$52,0)),0)</f>
        <v>119273000</v>
      </c>
      <c r="AN6" s="192" cm="1">
        <f t="array" ref="AN6">IFERROR(INDEX('[1]Sales per type juli'!$D$10:$BA$51,MATCH($C6,'[1]Sales per type juli'!$B$10:$B$51,0),MATCH("Y31d Pro",'[1]Sales per type juli'!$D$8:$BA$8,0)+1),0)</f>
        <v>33792000</v>
      </c>
      <c r="AO6" s="192">
        <f>AM6-AN6</f>
        <v>85481000</v>
      </c>
      <c r="AP6" s="192">
        <f>IFERROR(INDEX('[1]SALES PERTYPE'!$P$10:$P$52,MATCH($C6,'[1]SALES PERTYPE'!$B$10:$B$52,0)),0)</f>
        <v>1</v>
      </c>
      <c r="AQ6" s="192" cm="1">
        <f t="array" ref="AQ6">IFERROR(INDEX('[1]Sales per type juli'!$D$10:$BA$51,MATCH($C6,'[1]Sales per type juli'!$B$10:$B$51,0),$FG$2),0)</f>
        <v>3</v>
      </c>
      <c r="AR6" s="192">
        <f>AP6-AQ6</f>
        <v>-2</v>
      </c>
      <c r="AS6" s="192">
        <f>IFERROR(INDEX('[1]SALES PERTYPE'!$Q$10:$Q$52,MATCH($C6,'[1]SALES PERTYPE'!$B$10:$B$52,0)),0)</f>
        <v>3599000</v>
      </c>
      <c r="AT6" s="192" cm="1">
        <f t="array" ref="AT6">IFERROR(INDEX('[1]Sales per type juli'!$D$10:$BA$51,MATCH($C6,'[1]Sales per type juli'!$B$10:$B$51,0),$FG$2+1),0)</f>
        <v>10797000</v>
      </c>
      <c r="AU6" s="192">
        <f>AS6-AT6</f>
        <v>-7198000</v>
      </c>
      <c r="AV6" s="192">
        <f>IFERROR(INDEX('[1]SALES PERTYPE'!$R$10:$R$52,MATCH($C6,'[1]SALES PERTYPE'!$B$10:$B$52,0)),0)</f>
        <v>3</v>
      </c>
      <c r="AW6" s="192">
        <f>IFERROR(INDEX('[1]Sales per type juli'!$D$10:$BA$51,MATCH($C6,'[1]Sales per type juli'!$B$10:$B$51,0),MATCH("Y31d ",'[1]Sales per type juli'!$D$8:$BA$8,0)),0)</f>
        <v>2</v>
      </c>
      <c r="AX6" s="192">
        <f>AV6-AW6</f>
        <v>1</v>
      </c>
      <c r="AY6" s="192">
        <f>IFERROR(INDEX('[1]SALES PERTYPE'!$S$10:$S$52,MATCH($C6,'[1]SALES PERTYPE'!$B$10:$B$52,0)),0)</f>
        <v>10797000</v>
      </c>
      <c r="AZ6" s="192" cm="1">
        <f t="array" ref="AZ6">IFERROR(INDEX('[1]Sales per type juli'!$D$10:$BA$51,MATCH($C6,'[1]Sales per type juli'!$B$10:$B$51,0),MATCH("Y31d ",'[1]Sales per type juli'!$D$8:$BA$8,0)+1),0)</f>
        <v>7198000</v>
      </c>
      <c r="BA6" s="192">
        <f>AY6-AZ6</f>
        <v>3599000</v>
      </c>
      <c r="BB6" s="192">
        <f>IFERROR(INDEX('[1]SALES PERTYPE'!$T$10:$T$52,MATCH($C6,'[1]SALES PERTYPE'!$B$10:$B$52,0)),0)</f>
        <v>2</v>
      </c>
      <c r="BC6" s="192">
        <f>IFERROR(INDEX('[1]Sales per type juli'!$D$10:$BA$51,MATCH($C6,'[1]Sales per type juli'!$B$10:$B$51,0),MATCH("V70 FE",'[1]Sales per type juli'!$D$8:$BA$8,0)),0)</f>
        <v>8</v>
      </c>
      <c r="BD6" s="192">
        <f>BB6-BC6</f>
        <v>-6</v>
      </c>
      <c r="BE6" s="192">
        <f>IFERROR(INDEX('[1]SALES PERTYPE'!$U$10:$U$52,MATCH($C6,'[1]SALES PERTYPE'!$B$10:$B$52,0)),0)</f>
        <v>15998000</v>
      </c>
      <c r="BF6" s="192" cm="1">
        <f t="array" ref="BF6">IFERROR(INDEX('[1]Sales per type juli'!$D$10:$BA$51,MATCH($C6,'[1]Sales per type juli'!$B$10:$B$51,0),MATCH("V70 FE",'[1]Sales per type juli'!$D$8:$BA$8,0)+1),0)</f>
        <v>53392000</v>
      </c>
      <c r="BG6" s="192">
        <f>BE6-BF6</f>
        <v>-37394000</v>
      </c>
      <c r="BH6" s="192">
        <f>IFERROR(INDEX('[1]SALES PERTYPE'!$V$10:$V$52,MATCH($C6,'[1]SALES PERTYPE'!$B$10:$B$52,0)),0)</f>
        <v>0</v>
      </c>
      <c r="BI6" s="192">
        <f>IFERROR(INDEX('[1]Sales per type juli'!$D$10:$BA$51,MATCH($C6,'[1]Sales per type juli'!$B$10:$B$51,0),MATCH("Y31d",'[1]Sales per type juli'!$D$8:$BA$8,0)),0)</f>
        <v>7</v>
      </c>
      <c r="BJ6" s="192">
        <f>BH6-BI6</f>
        <v>-7</v>
      </c>
      <c r="BK6" s="192">
        <f>IFERROR(INDEX('[1]SALES PERTYPE'!$W$10:$W$52,MATCH($C6,'[1]SALES PERTYPE'!$B$10:$B$52,0)),0)</f>
        <v>0</v>
      </c>
      <c r="BL6" s="192" cm="1">
        <f t="array" ref="BL6">IFERROR(INDEX('[1]Sales per type juli'!$D$10:$BA$51,MATCH($C6,'[1]Sales per type juli'!$B$10:$B$51,0),MATCH("Y31d",'[1]Sales per type juli'!$D$8:$BA$8,0)+1),0)</f>
        <v>25193000</v>
      </c>
      <c r="BM6" s="192">
        <f>BK6-BL6</f>
        <v>-25193000</v>
      </c>
      <c r="BN6" s="192">
        <f>IFERROR(INDEX('[1]SALES PERTYPE'!$X$10:$X$52,MATCH($C6,'[1]SALES PERTYPE'!$B$10:$B$52,0)),0)</f>
        <v>3</v>
      </c>
      <c r="BO6" s="192">
        <f>IFERROR(INDEX('[1]Sales per type juli'!$D$10:$BA$51,MATCH($C6,'[1]Sales per type juli'!$B$10:$B$51,0),MATCH("Y500",'[1]Sales per type juli'!$D$8:$BA$8,0)),0)</f>
        <v>5</v>
      </c>
      <c r="BP6" s="192">
        <f>BN6-BO6</f>
        <v>-2</v>
      </c>
      <c r="BQ6" s="192">
        <f>IFERROR(INDEX('[1]SALES PERTYPE'!$Y$10:$Y$52,MATCH($C6,'[1]SALES PERTYPE'!$B$10:$B$52,0)),0)</f>
        <v>18097000</v>
      </c>
      <c r="BR6" s="192" cm="1">
        <f t="array" ref="BR6">IFERROR(INDEX('[1]Sales per type juli'!$D$10:$BA$51,MATCH($C6,'[1]Sales per type juli'!$B$10:$B$51,0),MATCH("Y500",'[1]Sales per type juli'!$D$8:$BA$8,0)+1),0)</f>
        <v>29095000</v>
      </c>
      <c r="BS6" s="192">
        <f>BQ6-BR6</f>
        <v>-10998000</v>
      </c>
      <c r="BT6" s="192">
        <f>IFERROR(INDEX('[1]SALES PERTYPE'!$Z$10:$Z$52,MATCH($C6,'[1]SALES PERTYPE'!$B$10:$B$52,0)),0)</f>
        <v>0</v>
      </c>
      <c r="BU6" s="192">
        <f>IFERROR(INDEX('[1]Sales per type juli'!$D$10:$BA$51,MATCH($C6,'[1]Sales per type juli'!$B$10:$B$51,0),MATCH("IQOO 15R",'[1]Sales per type juli'!$D$8:$BA$8,0)),0)</f>
        <v>0</v>
      </c>
      <c r="BV6" s="192">
        <f>BT6-BU6</f>
        <v>0</v>
      </c>
      <c r="BW6" s="192">
        <f>IFERROR(INDEX('[1]SALES PERTYPE'!$AA$10:$AA$52,MATCH($C6,'[1]SALES PERTYPE'!$B$10:$B$52,0)),0)</f>
        <v>0</v>
      </c>
      <c r="BX6" s="192" cm="1">
        <f t="array" ref="BX6">IFERROR(INDEX('[1]Sales per type juli'!$D$10:$BA$51,MATCH($C6,'[1]Sales per type juli'!$B$10:$B$51,0),MATCH("IQOO 15R",'[1]Sales per type juli'!$D$8:$BA$8,0)+1),0)</f>
        <v>0</v>
      </c>
      <c r="BY6" s="192">
        <f>BW6-BX6</f>
        <v>0</v>
      </c>
      <c r="BZ6" s="192">
        <f>IFERROR(INDEX('[1]SALES PERTYPE'!$AB$10:$AB$52,MATCH($C6,'[1]SALES PERTYPE'!$B$10:$B$52,0)),0)</f>
        <v>0</v>
      </c>
      <c r="CA6" s="192">
        <f>IFERROR(INDEX('[1]Sales per type juli'!$D$10:$BA$51,MATCH($C6,'[1]Sales per type juli'!$B$10:$B$51,0),MATCH("V60 Lite",'[1]Sales per type juli'!$D$8:$BA$8,0)),0)</f>
        <v>3</v>
      </c>
      <c r="CB6" s="192">
        <f>BZ6-CA6</f>
        <v>-3</v>
      </c>
      <c r="CC6" s="192">
        <f>IFERROR(INDEX('[1]SALES PERTYPE'!$AC$10:$AC$52,MATCH($C6,'[1]SALES PERTYPE'!$B$10:$B$52,0)),0)</f>
        <v>0</v>
      </c>
      <c r="CD6" s="192" cm="1">
        <f t="array" ref="CD6">IFERROR(INDEX('[1]Sales per type juli'!$D$10:$BA$51,MATCH($C6,'[1]Sales per type juli'!$B$10:$B$51,0),MATCH("V60 Lite",'[1]Sales per type juli'!$D$8:$BA$8,0)+1),0)</f>
        <v>17297000</v>
      </c>
      <c r="CE6" s="192">
        <f>CC6-CD6</f>
        <v>-17297000</v>
      </c>
      <c r="CF6" s="192">
        <f>IFERROR(INDEX('[1]SALES PERTYPE'!$AD$10:$AD$52,MATCH($C6,'[1]SALES PERTYPE'!$B$10:$B$52,0)),0)</f>
        <v>1</v>
      </c>
      <c r="CG6" s="192">
        <f>IFERROR(INDEX('[1]Sales per type juli'!$D$10:$BA$51,MATCH($C6,'[1]Sales per type juli'!$B$10:$B$51,0),MATCH("X300 Ultra",'[1]Sales per type juli'!$D$8:$BA$8,0)),0)</f>
        <v>0</v>
      </c>
      <c r="CH6" s="192">
        <f>CF6-CG6</f>
        <v>1</v>
      </c>
      <c r="CI6" s="192">
        <f>IFERROR(INDEX('[1]SALES PERTYPE'!$AE$10:$AE$52,MATCH($C6,'[1]SALES PERTYPE'!$B$10:$B$52,0)),0)</f>
        <v>25999000</v>
      </c>
      <c r="CJ6" s="192" cm="1">
        <f t="array" ref="CJ6">IFERROR(INDEX('[1]Sales per type juli'!$D$10:$BA$51,MATCH($C6,'[1]Sales per type juli'!$B$10:$B$51,0),MATCH("X300 Ultra",'[1]Sales per type juli'!$D$8:$BA$8,0)+1),0)</f>
        <v>0</v>
      </c>
      <c r="CK6" s="192">
        <f>CI6-CJ6</f>
        <v>25999000</v>
      </c>
      <c r="CL6" s="192">
        <f>IFERROR(INDEX('[1]SALES PERTYPE'!$AF$10:$AF$52,MATCH($C6,'[1]SALES PERTYPE'!$B$10:$B$52,0)),0)</f>
        <v>0</v>
      </c>
      <c r="CM6" s="192">
        <f>IFERROR(INDEX('[1]Sales per type juli'!$D$10:$BA$51,MATCH($C6,'[1]Sales per type juli'!$B$10:$B$51,0),MATCH("IQOO 15",'[1]Sales per type juli'!$D$8:$BA$8,0)),0)</f>
        <v>0</v>
      </c>
      <c r="CN6" s="192">
        <f>CL6-CM6</f>
        <v>0</v>
      </c>
      <c r="CO6" s="192">
        <f>IFERROR(INDEX('[1]SALES PERTYPE'!$AG$10:$AG$52,MATCH($C6,'[1]SALES PERTYPE'!$B$10:$B$52,0)),0)</f>
        <v>0</v>
      </c>
      <c r="CP6" s="192" cm="1">
        <f t="array" ref="CP6">IFERROR(INDEX('[1]Sales per type juli'!$D$10:$BA$51,MATCH($C6,'[1]Sales per type juli'!$B$10:$B$51,0),MATCH("IQOO 15",'[1]Sales per type juli'!$D$8:$BA$8,0)+1),0)</f>
        <v>0</v>
      </c>
      <c r="CQ6" s="192">
        <f>CO6-CP6</f>
        <v>0</v>
      </c>
      <c r="CR6" s="192">
        <f>IFERROR(INDEX('[1]SALES PERTYPE'!$AH$10:$AH$52,MATCH($C6,'[1]SALES PERTYPE'!$B$10:$B$52,0)),0)</f>
        <v>1</v>
      </c>
      <c r="CS6" s="192">
        <f>IFERROR(INDEX('[1]Sales per type juli'!$D$10:$BA$51,MATCH($C6,'[1]Sales per type juli'!$B$10:$B$51,0),MATCH("IQOO Z11x",'[1]Sales per type juli'!$D$8:$BA$8,0)),0)</f>
        <v>2</v>
      </c>
      <c r="CT6" s="192">
        <f>CR6-CS6</f>
        <v>-1</v>
      </c>
      <c r="CU6" s="192">
        <f>IFERROR(INDEX('[1]SALES PERTYPE'!$AI$10:$AI$52,MATCH($C6,'[1]SALES PERTYPE'!$B$10:$B$52,0)),0)</f>
        <v>5699000</v>
      </c>
      <c r="CV6" s="192" cm="1">
        <f t="array" ref="CV6">IFERROR(INDEX('[1]Sales per type juli'!$D$10:$BA$51,MATCH($C6,'[1]Sales per type juli'!$B$10:$B$51,0),MATCH("IQOO Z11x",'[1]Sales per type juli'!$D$8:$BA$8,0)+1),0)</f>
        <v>9598000</v>
      </c>
      <c r="CW6" s="192">
        <f>CU6-CV6</f>
        <v>-3899000</v>
      </c>
      <c r="CX6" s="192">
        <f>IFERROR(INDEX('[1]SALES PERTYPE'!$AJ$10:$AJ$52,MATCH($C6,'[1]SALES PERTYPE'!$B$10:$B$52,0)),0)</f>
        <v>2</v>
      </c>
      <c r="CY6" s="192">
        <f>IFERROR(INDEX('[1]Sales per type juli'!$D$10:$BA$51,MATCH($C6,'[1]Sales per type juli'!$B$10:$B$51,0),MATCH("IQOO Z11",'[1]Sales per type juli'!$D$8:$BA$8,0)),0)</f>
        <v>5</v>
      </c>
      <c r="CZ6" s="192">
        <f>CX6-CY6</f>
        <v>-3</v>
      </c>
      <c r="DA6" s="192">
        <f>IFERROR(INDEX('[1]SALES PERTYPE'!$AK$10:$AK$52,MATCH($C6,'[1]SALES PERTYPE'!$B$10:$B$52,0)),0)</f>
        <v>15298000</v>
      </c>
      <c r="DB6" s="192" cm="1">
        <f t="array" ref="DB6">IFERROR(INDEX('[1]Sales per type juli'!$D$10:$BA$51,MATCH($C6,'[1]Sales per type juli'!$B$10:$B$51,0),MATCH("IQOO Z11",'[1]Sales per type juli'!$D$8:$BA$8,0)+1),0)</f>
        <v>28495000</v>
      </c>
      <c r="DC6" s="192">
        <f>DA6-DB6</f>
        <v>-13197000</v>
      </c>
      <c r="DD6" s="192">
        <v>0</v>
      </c>
      <c r="DE6" s="192">
        <f>IFERROR(INDEX('[1]Sales per type juli'!$D$10:$BA$51,MATCH($C6,'[1]Sales per type juli'!$B$10:$B$51,0),MATCH("WATCH 3",'[1]Sales per type juli'!$D$8:$BA$8,0)),0)</f>
        <v>0</v>
      </c>
      <c r="DF6" s="192">
        <f>DD6-DE6</f>
        <v>0</v>
      </c>
      <c r="DG6" s="192">
        <v>0</v>
      </c>
      <c r="DH6" s="192" cm="1">
        <f t="array" ref="DH6">IFERROR(INDEX('[1]Sales per type juli'!$D$10:$BA$51,MATCH($C6,'[1]Sales per type juli'!$B$10:$B$51,0),MATCH("WATCH 3",'[1]Sales per type juli'!$D$8:$BA$8,0)+1),0)</f>
        <v>0</v>
      </c>
      <c r="DI6" s="192">
        <f>DG6-DH6</f>
        <v>0</v>
      </c>
      <c r="DJ6" s="192">
        <v>0</v>
      </c>
      <c r="DK6" s="192">
        <f>IFERROR(INDEX('[1]Sales per type juli'!$D$10:$BA$51,MATCH($C6,'[1]Sales per type juli'!$B$10:$B$51,0),MATCH("X300 Demo",'[1]Sales per type juli'!$D$8:$BA$8,0)),0)</f>
        <v>0</v>
      </c>
      <c r="DL6" s="192">
        <f>DJ6-DK6</f>
        <v>0</v>
      </c>
      <c r="DM6" s="192">
        <v>0</v>
      </c>
      <c r="DN6" s="192" cm="1">
        <f t="array" ref="DN6">IFERROR(INDEX('[1]Sales per type juli'!$D$10:$BA$51,MATCH($C6,'[1]Sales per type juli'!$B$10:$B$51,0),MATCH("X300 Demo",'[1]Sales per type juli'!$D$8:$BA$8,0)+1),0)</f>
        <v>0</v>
      </c>
      <c r="DO6" s="192">
        <f>DM6-DN6</f>
        <v>0</v>
      </c>
      <c r="DP6" s="192">
        <v>0</v>
      </c>
      <c r="DQ6" s="192">
        <f>IFERROR(INDEX('[1]Sales per type juli'!$D$10:$BA$51,MATCH($C6,'[1]Sales per type juli'!$B$10:$B$51,0),MATCH("X300 Pro Demo",'[1]Sales per type juli'!$D$8:$BA$8,0)),0)</f>
        <v>0</v>
      </c>
      <c r="DR6" s="192">
        <f>DP6-DQ6</f>
        <v>0</v>
      </c>
      <c r="DS6" s="192">
        <v>0</v>
      </c>
      <c r="DT6" s="192" cm="1">
        <f t="array" ref="DT6">IFERROR(INDEX('[1]Sales per type juli'!$D$10:$BA$51,MATCH($C6,'[1]Sales per type juli'!$B$10:$B$51,0),MATCH("X300 Pro Demo",'[1]Sales per type juli'!$D$8:$BA$8,0)+1),0)</f>
        <v>0</v>
      </c>
      <c r="DU6" s="192">
        <f>DS6-DT6</f>
        <v>0</v>
      </c>
      <c r="DV6" s="192">
        <v>0</v>
      </c>
      <c r="DW6" s="192">
        <f>IFERROR(INDEX('[1]Sales per type juli'!$D$10:$BA$51,MATCH($C6,'[1]Sales per type juli'!$B$10:$B$51,0),MATCH("X Fold5 DEMO",'[1]Sales per type juli'!$D$8:$BA$8,0)),0)</f>
        <v>0</v>
      </c>
      <c r="DX6" s="192">
        <f>DV6-DW6</f>
        <v>0</v>
      </c>
      <c r="DY6" s="192">
        <v>0</v>
      </c>
      <c r="DZ6" s="192" cm="1">
        <f t="array" ref="DZ6">IFERROR(INDEX('[1]Sales per type juli'!$D$10:$BA$51,MATCH($C6,'[1]Sales per type juli'!$B$10:$B$51,0),MATCH("X Fold5 DEMO",'[1]Sales per type juli'!$D$8:$BA$8,0)+1),0)</f>
        <v>0</v>
      </c>
      <c r="EA6" s="192">
        <f>DY6-DZ6</f>
        <v>0</v>
      </c>
      <c r="EB6" s="192">
        <v>0</v>
      </c>
      <c r="EC6" s="192">
        <f>IFERROR(INDEX('[1]Sales per type juli'!$D$10:$BA$51,MATCH($C6,'[1]Sales per type juli'!$B$10:$B$51,0),MATCH("X Fold5",'[1]Sales per type juli'!$D$8:$BA$8,0)),0)</f>
        <v>0</v>
      </c>
      <c r="ED6" s="192">
        <f>EB6-EC6</f>
        <v>0</v>
      </c>
      <c r="EE6" s="192">
        <v>0</v>
      </c>
      <c r="EF6" s="192" cm="1">
        <f t="array" ref="EF6">IFERROR(INDEX('[1]Sales per type juli'!$D$10:$BA$51,MATCH($C6,'[1]Sales per type juli'!$B$10:$B$51,0),MATCH("X Fold5",'[1]Sales per type juli'!$D$8:$BA$8,0)+1),0)</f>
        <v>0</v>
      </c>
      <c r="EG6" s="192">
        <f>EE6-EF6</f>
        <v>0</v>
      </c>
      <c r="EH6" s="192">
        <v>0</v>
      </c>
      <c r="EI6" s="192">
        <f>IFERROR(INDEX('[1]Sales per type juli'!$D$10:$BA$51,MATCH($C6,'[1]Sales per type juli'!$B$10:$B$51,0),MATCH("IQOO 15 Demo",'[1]Sales per type juli'!$D$8:$BA$8,0)),0)</f>
        <v>0</v>
      </c>
      <c r="EJ6" s="192">
        <f>EH6-EI6</f>
        <v>0</v>
      </c>
      <c r="EK6" s="192">
        <v>0</v>
      </c>
      <c r="EL6" s="192" cm="1">
        <f t="array" ref="EL6">IFERROR(INDEX('[1]Sales per type juli'!$D$10:$BA$51,MATCH($C6,'[1]Sales per type juli'!$B$10:$B$51,0),MATCH("IQOO 15 Demo",'[1]Sales per type juli'!$D$8:$BA$8,0)+1),0)</f>
        <v>0</v>
      </c>
      <c r="EM6" s="192">
        <f>EK6-EL6</f>
        <v>0</v>
      </c>
      <c r="EN6" s="192">
        <v>0</v>
      </c>
      <c r="EO6" s="192">
        <f>IFERROR(INDEX('[1]Sales per type juli'!$D$10:$BA$51,MATCH($C6,'[1]Sales per type juli'!$B$10:$B$51,0),MATCH("X300 PRO",'[1]Sales per type juli'!$D$8:$BA$8,0)),0)</f>
        <v>0</v>
      </c>
      <c r="EP6" s="192">
        <f>EN6-EO6</f>
        <v>0</v>
      </c>
      <c r="EQ6" s="192">
        <v>0</v>
      </c>
      <c r="ER6" s="192" cm="1">
        <f t="array" ref="ER6">IFERROR(INDEX('[1]Sales per type juli'!$D$10:$BA$51,MATCH($C6,'[1]Sales per type juli'!$B$10:$B$51,0),MATCH("X300 PRO",'[1]Sales per type juli'!$D$8:$BA$8,0)+1),0)</f>
        <v>0</v>
      </c>
      <c r="ES6" s="192">
        <f>EQ6-ER6</f>
        <v>0</v>
      </c>
      <c r="ET6" s="192">
        <v>0</v>
      </c>
      <c r="EU6" s="192">
        <f>IFERROR(INDEX('[1]Sales per type juli'!$D$10:$BA$51,MATCH($C6,'[1]Sales per type juli'!$B$10:$B$51,0),MATCH("X300 ",'[1]Sales per type juli'!$D$8:$BA$8,0)),0)</f>
        <v>0</v>
      </c>
      <c r="EV6" s="192">
        <f>ET6-EU6</f>
        <v>0</v>
      </c>
      <c r="EW6" s="192">
        <v>0</v>
      </c>
      <c r="EX6" s="192" cm="1">
        <f t="array" ref="EX6">IFERROR(INDEX('[1]Sales per type juli'!$D$10:$BA$51,MATCH($C6,'[1]Sales per type juli'!$B$10:$B$51,0),MATCH("X300 ",'[1]Sales per type juli'!$D$8:$BA$8,0)+1),0)</f>
        <v>0</v>
      </c>
      <c r="EY6" s="192">
        <f>EW6-EX6</f>
        <v>0</v>
      </c>
      <c r="EZ6" s="192">
        <f>F6+L6+R6+X6+AD6+AJ6+AP6+AV6+BB6+BH6+BN6+BT6+BZ6+CF6+CL6+CR6+CX6+DD6+DJ6+DP6+DV6+EB6+EH6+EN6+ET6</f>
        <v>105</v>
      </c>
      <c r="FA6" s="192">
        <f>G6+M6+S6+Y6+AE6+AK6+AQ6+AW6+BC6+BI6+BO6+BU6+CA6+CG6+CM6+CS6+CY6+DE6+DK6+DQ6+DW6+EC6+EI6+EO6+EU6</f>
        <v>113</v>
      </c>
      <c r="FB6" s="192">
        <f>EZ6-FA6</f>
        <v>-8</v>
      </c>
      <c r="FC6" s="192">
        <f>I6+O6+U6+AA6+AG6+AM6+AS6+AY6+BE6+BK6+BQ6+BW6+CC6+CI6+CO6+CU6+DA6+DG6+DM6+DS6+DY6+EE6+EK6+EQ6+EW6</f>
        <v>382295000</v>
      </c>
      <c r="FD6" s="192">
        <f>J6+P6+V6+AB6+AH6+AN6+AT6+AZ6+BF6+BL6+BR6+BX6+CD6+CJ6+CP6+CV6+DB6+DH6+DN6+DT6+DZ6+EF6+EL6+ER6+EX6</f>
        <v>397187000</v>
      </c>
      <c r="FE6" s="192">
        <f>FC6-FD6</f>
        <v>-14892000</v>
      </c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</row>
    <row r="7" spans="1:208" ht="16" x14ac:dyDescent="0.2">
      <c r="A7" s="137">
        <f>'[1]ACHIEVEMENT STORE'!A7</f>
        <v>3</v>
      </c>
      <c r="B7" s="138" t="str">
        <f>'[1]ACHIEVEMENT STORE'!B7</f>
        <v>601 雅加达西北 JKT BU</v>
      </c>
      <c r="C7" s="137">
        <f>'[1]ACHIEVEMENT STORE'!C7</f>
        <v>6010702</v>
      </c>
      <c r="D7" s="138" t="str">
        <f>'[1]ACHIEVEMENT STORE'!D7</f>
        <v>6010702-ME ROXY PAMERAN TIMUR</v>
      </c>
      <c r="E7" s="138" t="str">
        <f>'[1]ACHIEVEMENT STORE'!E7</f>
        <v>ANGGARIA</v>
      </c>
      <c r="F7" s="192">
        <f>IFERROR(INDEX('[1]SALES PERTYPE'!$D$10:$D$52,MATCH($C7,'[1]SALES PERTYPE'!$B$10:$B$52,0)),0)</f>
        <v>19</v>
      </c>
      <c r="G7" s="192">
        <f>IFERROR(INDEX('[1]Sales per type juli'!$D$10:$BA$51,MATCH($C7,'[1]Sales per type juli'!$B$10:$B$51,0),MATCH("Y05",'[1]Sales per type juli'!$D$8:$BA$8,0)),0)</f>
        <v>63</v>
      </c>
      <c r="H7" s="192">
        <f>F7-G7</f>
        <v>-44</v>
      </c>
      <c r="I7" s="192">
        <f>IFERROR(INDEX('[1]SALES PERTYPE'!$E$10:$E$52,MATCH($C7,'[1]SALES PERTYPE'!$B$10:$B$52,0)),0)</f>
        <v>45481000</v>
      </c>
      <c r="J7" s="192" cm="1">
        <f t="array" ref="J7">IFERROR(INDEX('[1]Sales per type juli'!$D$10:$BA$51,MATCH($C7,'[1]Sales per type juli'!$B$10:$B$51,0),MATCH("Y05",'[1]Sales per type juli'!$D$8:$BA$8,0)+1),0)</f>
        <v>137037000</v>
      </c>
      <c r="K7" s="192">
        <f>I7-J7</f>
        <v>-91556000</v>
      </c>
      <c r="L7" s="192">
        <f>IFERROR(INDEX('[1]SALES PERTYPE'!$F$10:$F$52,MATCH($C7,'[1]SALES PERTYPE'!$B$10:$B$52,0)),0)</f>
        <v>25</v>
      </c>
      <c r="M7" s="192">
        <f>IFERROR(INDEX('[1]Sales per type juli'!$D$10:$BA$51,MATCH($C7,'[1]Sales per type juli'!$B$10:$B$51,0),MATCH("Y11d",'[1]Sales per type juli'!$D$8:$BA$8,0)),0)</f>
        <v>12</v>
      </c>
      <c r="N7" s="192">
        <f>L7-M7</f>
        <v>13</v>
      </c>
      <c r="O7" s="192">
        <f>IFERROR(INDEX('[1]SALES PERTYPE'!$G$10:$G$52,MATCH($C7,'[1]SALES PERTYPE'!$B$10:$B$52,0)),0)</f>
        <v>66775000</v>
      </c>
      <c r="P7" s="192" cm="1">
        <f t="array" ref="P7">IFERROR(INDEX('[1]Sales per type juli'!$D$10:$BA$51,MATCH($C7,'[1]Sales per type juli'!$B$10:$B$51,0),MATCH("Y11d",'[1]Sales per type juli'!$D$8:$BA$8,0)+1),0)</f>
        <v>31188000</v>
      </c>
      <c r="Q7" s="192">
        <f>O7-P7</f>
        <v>35587000</v>
      </c>
      <c r="R7" s="192">
        <f>IFERROR(INDEX('[1]SALES PERTYPE'!$H$10:$H$52,MATCH($C7,'[1]SALES PERTYPE'!$B$10:$B$52,0)),0)</f>
        <v>0</v>
      </c>
      <c r="S7" s="192">
        <f>IFERROR(INDEX('[1]Sales per type juli'!$D$10:$BA$51,MATCH($C7,'[1]Sales per type juli'!$B$10:$B$51,0),MATCH("Watch GT 2",'[1]Sales per type juli'!$D$8:$BA$8,0)),0)</f>
        <v>0</v>
      </c>
      <c r="T7" s="192">
        <f>R7-S7</f>
        <v>0</v>
      </c>
      <c r="U7" s="192">
        <f>IFERROR(INDEX('[1]SALES PERTYPE'!$I$10:$I$52,MATCH($C7,'[1]SALES PERTYPE'!$B$10:$B$52,0)),0)</f>
        <v>0</v>
      </c>
      <c r="V7" s="192" cm="1">
        <f t="array" ref="V7">IFERROR(INDEX('[1]Sales per type juli'!$D$10:$BA$51,MATCH($C7,'[1]Sales per type juli'!$B$10:$B$51,0),MATCH("Watch GT 2",'[1]Sales per type juli'!$D$8:$BA$8,0)+1),0)</f>
        <v>0</v>
      </c>
      <c r="W7" s="192">
        <f>U7-V7</f>
        <v>0</v>
      </c>
      <c r="X7" s="192">
        <f>IFERROR(INDEX('[1]SALES PERTYPE'!$J$10:$J$52,MATCH($C7,'[1]SALES PERTYPE'!$B$10:$B$52,0)),0)</f>
        <v>35</v>
      </c>
      <c r="Y7" s="192">
        <f>IFERROR(INDEX('[1]Sales per type juli'!$D$10:$BA$51,MATCH($C7,'[1]Sales per type juli'!$B$10:$B$51,0),MATCH("Y05e",'[1]Sales per type juli'!$D$8:$BA$8,0)),0)</f>
        <v>0</v>
      </c>
      <c r="Z7" s="192">
        <f>X7-Y7</f>
        <v>35</v>
      </c>
      <c r="AA7" s="192">
        <f>IFERROR(INDEX('[1]SALES PERTYPE'!$K$10:$K$52,MATCH($C7,'[1]SALES PERTYPE'!$B$10:$B$52,0)),0)</f>
        <v>73465000</v>
      </c>
      <c r="AB7" s="192" cm="1">
        <f t="array" ref="AB7">IFERROR(INDEX('[1]Sales per type juli'!$D$10:$BA$51,MATCH($C7,'[1]Sales per type juli'!$B$10:$B$51,0),MATCH("Y05e",'[1]Sales per type juli'!$D$8:$BA$8,0)+1),0)</f>
        <v>0</v>
      </c>
      <c r="AC7" s="192">
        <f>AA7-AB7</f>
        <v>73465000</v>
      </c>
      <c r="AD7" s="192">
        <f>IFERROR(INDEX('[1]SALES PERTYPE'!$L$10:$L$52,MATCH($C7,'[1]SALES PERTYPE'!$B$10:$B$52,0)),0)</f>
        <v>2</v>
      </c>
      <c r="AE7" s="192">
        <f>IFERROR(INDEX('[1]Sales per type juli'!$D$10:$BA$51,MATCH($C7,'[1]Sales per type juli'!$B$10:$B$51,0),MATCH("V70",'[1]Sales per type juli'!$D$8:$BA$8,0)),0)</f>
        <v>5</v>
      </c>
      <c r="AF7" s="192">
        <f>AD7-AE7</f>
        <v>-3</v>
      </c>
      <c r="AG7" s="192">
        <f>IFERROR(INDEX('[1]SALES PERTYPE'!$M$10:$M$52,MATCH($C7,'[1]SALES PERTYPE'!$B$10:$B$52,0)),0)</f>
        <v>19998000</v>
      </c>
      <c r="AH7" s="192" cm="1">
        <f t="array" ref="AH7">IFERROR(INDEX('[1]Sales per type juli'!$D$10:$BA$51,MATCH($C7,'[1]Sales per type juli'!$B$10:$B$51,0),MATCH("V70",'[1]Sales per type juli'!$D$8:$BA$8,0)+1),0)</f>
        <v>50995000</v>
      </c>
      <c r="AI7" s="192">
        <f>AG7-AH7</f>
        <v>-30997000</v>
      </c>
      <c r="AJ7" s="192">
        <f>IFERROR(INDEX('[1]SALES PERTYPE'!$N$10:$N$52,MATCH($C7,'[1]SALES PERTYPE'!$B$10:$B$52,0)),0)</f>
        <v>19</v>
      </c>
      <c r="AK7" s="192">
        <f>IFERROR(INDEX('[1]Sales per type juli'!$D$10:$BA$51,MATCH($C7,'[1]Sales per type juli'!$B$10:$B$51,0),MATCH("Y31d Pro",'[1]Sales per type juli'!$D$8:$BA$8,0)),0)</f>
        <v>9</v>
      </c>
      <c r="AL7" s="192">
        <f>AJ7-AK7</f>
        <v>10</v>
      </c>
      <c r="AM7" s="192">
        <f>IFERROR(INDEX('[1]SALES PERTYPE'!$O$10:$O$52,MATCH($C7,'[1]SALES PERTYPE'!$B$10:$B$52,0)),0)</f>
        <v>84681000</v>
      </c>
      <c r="AN7" s="192" cm="1">
        <f t="array" ref="AN7">IFERROR(INDEX('[1]Sales per type juli'!$D$10:$BA$51,MATCH($C7,'[1]Sales per type juli'!$B$10:$B$51,0),MATCH("Y31d Pro",'[1]Sales per type juli'!$D$8:$BA$8,0)+1),0)</f>
        <v>39491000</v>
      </c>
      <c r="AO7" s="192">
        <f>AM7-AN7</f>
        <v>45190000</v>
      </c>
      <c r="AP7" s="192">
        <f>IFERROR(INDEX('[1]SALES PERTYPE'!$P$10:$P$52,MATCH($C7,'[1]SALES PERTYPE'!$B$10:$B$52,0)),0)</f>
        <v>0</v>
      </c>
      <c r="AQ7" s="192" cm="1">
        <f t="array" ref="AQ7">IFERROR(INDEX('[1]Sales per type juli'!$D$10:$BA$51,MATCH($C7,'[1]Sales per type juli'!$B$10:$B$51,0),$FG$2),0)</f>
        <v>1</v>
      </c>
      <c r="AR7" s="192">
        <f>AP7-AQ7</f>
        <v>-1</v>
      </c>
      <c r="AS7" s="192">
        <f>IFERROR(INDEX('[1]SALES PERTYPE'!$Q$10:$Q$52,MATCH($C7,'[1]SALES PERTYPE'!$B$10:$B$52,0)),0)</f>
        <v>0</v>
      </c>
      <c r="AT7" s="192" cm="1">
        <f t="array" ref="AT7">IFERROR(INDEX('[1]Sales per type juli'!$D$10:$BA$51,MATCH($C7,'[1]Sales per type juli'!$B$10:$B$51,0),$FG$2+1),0)</f>
        <v>3599000</v>
      </c>
      <c r="AU7" s="192">
        <f>AS7-AT7</f>
        <v>-3599000</v>
      </c>
      <c r="AV7" s="192">
        <f>IFERROR(INDEX('[1]SALES PERTYPE'!$R$10:$R$52,MATCH($C7,'[1]SALES PERTYPE'!$B$10:$B$52,0)),0)</f>
        <v>0</v>
      </c>
      <c r="AW7" s="192">
        <f>IFERROR(INDEX('[1]Sales per type juli'!$D$10:$BA$51,MATCH($C7,'[1]Sales per type juli'!$B$10:$B$51,0),MATCH("Y31d ",'[1]Sales per type juli'!$D$8:$BA$8,0)),0)</f>
        <v>0</v>
      </c>
      <c r="AX7" s="192">
        <f>AV7-AW7</f>
        <v>0</v>
      </c>
      <c r="AY7" s="192">
        <f>IFERROR(INDEX('[1]SALES PERTYPE'!$S$10:$S$52,MATCH($C7,'[1]SALES PERTYPE'!$B$10:$B$52,0)),0)</f>
        <v>0</v>
      </c>
      <c r="AZ7" s="192" cm="1">
        <f t="array" ref="AZ7">IFERROR(INDEX('[1]Sales per type juli'!$D$10:$BA$51,MATCH($C7,'[1]Sales per type juli'!$B$10:$B$51,0),MATCH("Y31d ",'[1]Sales per type juli'!$D$8:$BA$8,0)+1),0)</f>
        <v>0</v>
      </c>
      <c r="BA7" s="192">
        <f>AY7-AZ7</f>
        <v>0</v>
      </c>
      <c r="BB7" s="192">
        <f>IFERROR(INDEX('[1]SALES PERTYPE'!$T$10:$T$52,MATCH($C7,'[1]SALES PERTYPE'!$B$10:$B$52,0)),0)</f>
        <v>1</v>
      </c>
      <c r="BC7" s="192">
        <f>IFERROR(INDEX('[1]Sales per type juli'!$D$10:$BA$51,MATCH($C7,'[1]Sales per type juli'!$B$10:$B$51,0),MATCH("V70 FE",'[1]Sales per type juli'!$D$8:$BA$8,0)),0)</f>
        <v>4</v>
      </c>
      <c r="BD7" s="192">
        <f>BB7-BC7</f>
        <v>-3</v>
      </c>
      <c r="BE7" s="192">
        <f>IFERROR(INDEX('[1]SALES PERTYPE'!$U$10:$U$52,MATCH($C7,'[1]SALES PERTYPE'!$B$10:$B$52,0)),0)</f>
        <v>7999000</v>
      </c>
      <c r="BF7" s="192" cm="1">
        <f t="array" ref="BF7">IFERROR(INDEX('[1]Sales per type juli'!$D$10:$BA$51,MATCH($C7,'[1]Sales per type juli'!$B$10:$B$51,0),MATCH("V70 FE",'[1]Sales per type juli'!$D$8:$BA$8,0)+1),0)</f>
        <v>26696000</v>
      </c>
      <c r="BG7" s="192">
        <f>BE7-BF7</f>
        <v>-18697000</v>
      </c>
      <c r="BH7" s="192">
        <f>IFERROR(INDEX('[1]SALES PERTYPE'!$V$10:$V$52,MATCH($C7,'[1]SALES PERTYPE'!$B$10:$B$52,0)),0)</f>
        <v>0</v>
      </c>
      <c r="BI7" s="192">
        <f>IFERROR(INDEX('[1]Sales per type juli'!$D$10:$BA$51,MATCH($C7,'[1]Sales per type juli'!$B$10:$B$51,0),MATCH("Y31d",'[1]Sales per type juli'!$D$8:$BA$8,0)),0)</f>
        <v>4</v>
      </c>
      <c r="BJ7" s="192">
        <f>BH7-BI7</f>
        <v>-4</v>
      </c>
      <c r="BK7" s="192">
        <f>IFERROR(INDEX('[1]SALES PERTYPE'!$W$10:$W$52,MATCH($C7,'[1]SALES PERTYPE'!$B$10:$B$52,0)),0)</f>
        <v>0</v>
      </c>
      <c r="BL7" s="192" cm="1">
        <f t="array" ref="BL7">IFERROR(INDEX('[1]Sales per type juli'!$D$10:$BA$51,MATCH($C7,'[1]Sales per type juli'!$B$10:$B$51,0),MATCH("Y31d",'[1]Sales per type juli'!$D$8:$BA$8,0)+1),0)</f>
        <v>14396000</v>
      </c>
      <c r="BM7" s="192">
        <f>BK7-BL7</f>
        <v>-14396000</v>
      </c>
      <c r="BN7" s="192">
        <f>IFERROR(INDEX('[1]SALES PERTYPE'!$X$10:$X$52,MATCH($C7,'[1]SALES PERTYPE'!$B$10:$B$52,0)),0)</f>
        <v>3</v>
      </c>
      <c r="BO7" s="192">
        <f>IFERROR(INDEX('[1]Sales per type juli'!$D$10:$BA$51,MATCH($C7,'[1]Sales per type juli'!$B$10:$B$51,0),MATCH("Y500",'[1]Sales per type juli'!$D$8:$BA$8,0)),0)</f>
        <v>1</v>
      </c>
      <c r="BP7" s="192">
        <f>BN7-BO7</f>
        <v>2</v>
      </c>
      <c r="BQ7" s="192">
        <f>IFERROR(INDEX('[1]SALES PERTYPE'!$Y$10:$Y$52,MATCH($C7,'[1]SALES PERTYPE'!$B$10:$B$52,0)),0)</f>
        <v>17297000</v>
      </c>
      <c r="BR7" s="192" cm="1">
        <f t="array" ref="BR7">IFERROR(INDEX('[1]Sales per type juli'!$D$10:$BA$51,MATCH($C7,'[1]Sales per type juli'!$B$10:$B$51,0),MATCH("Y500",'[1]Sales per type juli'!$D$8:$BA$8,0)+1),0)</f>
        <v>5499000</v>
      </c>
      <c r="BS7" s="192">
        <f>BQ7-BR7</f>
        <v>11798000</v>
      </c>
      <c r="BT7" s="192">
        <f>IFERROR(INDEX('[1]SALES PERTYPE'!$Z$10:$Z$52,MATCH($C7,'[1]SALES PERTYPE'!$B$10:$B$52,0)),0)</f>
        <v>0</v>
      </c>
      <c r="BU7" s="192">
        <f>IFERROR(INDEX('[1]Sales per type juli'!$D$10:$BA$51,MATCH($C7,'[1]Sales per type juli'!$B$10:$B$51,0),MATCH("IQOO 15R",'[1]Sales per type juli'!$D$8:$BA$8,0)),0)</f>
        <v>1</v>
      </c>
      <c r="BV7" s="192">
        <f>BT7-BU7</f>
        <v>-1</v>
      </c>
      <c r="BW7" s="192">
        <f>IFERROR(INDEX('[1]SALES PERTYPE'!$AA$10:$AA$52,MATCH($C7,'[1]SALES PERTYPE'!$B$10:$B$52,0)),0)</f>
        <v>0</v>
      </c>
      <c r="BX7" s="192" cm="1">
        <f t="array" ref="BX7">IFERROR(INDEX('[1]Sales per type juli'!$D$10:$BA$51,MATCH($C7,'[1]Sales per type juli'!$B$10:$B$51,0),MATCH("IQOO 15R",'[1]Sales per type juli'!$D$8:$BA$8,0)+1),0)</f>
        <v>9899000</v>
      </c>
      <c r="BY7" s="192">
        <f>BW7-BX7</f>
        <v>-9899000</v>
      </c>
      <c r="BZ7" s="192">
        <f>IFERROR(INDEX('[1]SALES PERTYPE'!$AB$10:$AB$52,MATCH($C7,'[1]SALES PERTYPE'!$B$10:$B$52,0)),0)</f>
        <v>1</v>
      </c>
      <c r="CA7" s="192">
        <f>IFERROR(INDEX('[1]Sales per type juli'!$D$10:$BA$51,MATCH($C7,'[1]Sales per type juli'!$B$10:$B$51,0),MATCH("V60 Lite",'[1]Sales per type juli'!$D$8:$BA$8,0)),0)</f>
        <v>1</v>
      </c>
      <c r="CB7" s="192">
        <f>BZ7-CA7</f>
        <v>0</v>
      </c>
      <c r="CC7" s="192">
        <f>IFERROR(INDEX('[1]SALES PERTYPE'!$AC$10:$AC$52,MATCH($C7,'[1]SALES PERTYPE'!$B$10:$B$52,0)),0)</f>
        <v>5299000</v>
      </c>
      <c r="CD7" s="192" cm="1">
        <f t="array" ref="CD7">IFERROR(INDEX('[1]Sales per type juli'!$D$10:$BA$51,MATCH($C7,'[1]Sales per type juli'!$B$10:$B$51,0),MATCH("V60 Lite",'[1]Sales per type juli'!$D$8:$BA$8,0)+1),0)</f>
        <v>5999000</v>
      </c>
      <c r="CE7" s="192">
        <f>CC7-CD7</f>
        <v>-700000</v>
      </c>
      <c r="CF7" s="192">
        <f>IFERROR(INDEX('[1]SALES PERTYPE'!$AD$10:$AD$52,MATCH($C7,'[1]SALES PERTYPE'!$B$10:$B$52,0)),0)</f>
        <v>0</v>
      </c>
      <c r="CG7" s="192">
        <f>IFERROR(INDEX('[1]Sales per type juli'!$D$10:$BA$51,MATCH($C7,'[1]Sales per type juli'!$B$10:$B$51,0),MATCH("X300 Ultra",'[1]Sales per type juli'!$D$8:$BA$8,0)),0)</f>
        <v>0</v>
      </c>
      <c r="CH7" s="192">
        <f>CF7-CG7</f>
        <v>0</v>
      </c>
      <c r="CI7" s="192">
        <f>IFERROR(INDEX('[1]SALES PERTYPE'!$AE$10:$AE$52,MATCH($C7,'[1]SALES PERTYPE'!$B$10:$B$52,0)),0)</f>
        <v>0</v>
      </c>
      <c r="CJ7" s="192" cm="1">
        <f t="array" ref="CJ7">IFERROR(INDEX('[1]Sales per type juli'!$D$10:$BA$51,MATCH($C7,'[1]Sales per type juli'!$B$10:$B$51,0),MATCH("X300 Ultra",'[1]Sales per type juli'!$D$8:$BA$8,0)+1),0)</f>
        <v>0</v>
      </c>
      <c r="CK7" s="192">
        <f>CI7-CJ7</f>
        <v>0</v>
      </c>
      <c r="CL7" s="192">
        <f>IFERROR(INDEX('[1]SALES PERTYPE'!$AF$10:$AF$52,MATCH($C7,'[1]SALES PERTYPE'!$B$10:$B$52,0)),0)</f>
        <v>0</v>
      </c>
      <c r="CM7" s="192">
        <f>IFERROR(INDEX('[1]Sales per type juli'!$D$10:$BA$51,MATCH($C7,'[1]Sales per type juli'!$B$10:$B$51,0),MATCH("IQOO 15",'[1]Sales per type juli'!$D$8:$BA$8,0)),0)</f>
        <v>0</v>
      </c>
      <c r="CN7" s="192">
        <f>CL7-CM7</f>
        <v>0</v>
      </c>
      <c r="CO7" s="192">
        <f>IFERROR(INDEX('[1]SALES PERTYPE'!$AG$10:$AG$52,MATCH($C7,'[1]SALES PERTYPE'!$B$10:$B$52,0)),0)</f>
        <v>0</v>
      </c>
      <c r="CP7" s="192" cm="1">
        <f t="array" ref="CP7">IFERROR(INDEX('[1]Sales per type juli'!$D$10:$BA$51,MATCH($C7,'[1]Sales per type juli'!$B$10:$B$51,0),MATCH("IQOO 15",'[1]Sales per type juli'!$D$8:$BA$8,0)+1),0)</f>
        <v>0</v>
      </c>
      <c r="CQ7" s="192">
        <f>CO7-CP7</f>
        <v>0</v>
      </c>
      <c r="CR7" s="192">
        <f>IFERROR(INDEX('[1]SALES PERTYPE'!$AH$10:$AH$52,MATCH($C7,'[1]SALES PERTYPE'!$B$10:$B$52,0)),0)</f>
        <v>1</v>
      </c>
      <c r="CS7" s="192">
        <f>IFERROR(INDEX('[1]Sales per type juli'!$D$10:$BA$51,MATCH($C7,'[1]Sales per type juli'!$B$10:$B$51,0),MATCH("IQOO Z11x",'[1]Sales per type juli'!$D$8:$BA$8,0)),0)</f>
        <v>0</v>
      </c>
      <c r="CT7" s="192">
        <f>CR7-CS7</f>
        <v>1</v>
      </c>
      <c r="CU7" s="192">
        <f>IFERROR(INDEX('[1]SALES PERTYPE'!$AI$10:$AI$52,MATCH($C7,'[1]SALES PERTYPE'!$B$10:$B$52,0)),0)</f>
        <v>5599000</v>
      </c>
      <c r="CV7" s="192" cm="1">
        <f t="array" ref="CV7">IFERROR(INDEX('[1]Sales per type juli'!$D$10:$BA$51,MATCH($C7,'[1]Sales per type juli'!$B$10:$B$51,0),MATCH("IQOO Z11x",'[1]Sales per type juli'!$D$8:$BA$8,0)+1),0)</f>
        <v>0</v>
      </c>
      <c r="CW7" s="192">
        <f>CU7-CV7</f>
        <v>5599000</v>
      </c>
      <c r="CX7" s="192">
        <f>IFERROR(INDEX('[1]SALES PERTYPE'!$AJ$10:$AJ$52,MATCH($C7,'[1]SALES PERTYPE'!$B$10:$B$52,0)),0)</f>
        <v>2</v>
      </c>
      <c r="CY7" s="192">
        <f>IFERROR(INDEX('[1]Sales per type juli'!$D$10:$BA$51,MATCH($C7,'[1]Sales per type juli'!$B$10:$B$51,0),MATCH("IQOO Z11",'[1]Sales per type juli'!$D$8:$BA$8,0)),0)</f>
        <v>4</v>
      </c>
      <c r="CZ7" s="192">
        <f>CX7-CY7</f>
        <v>-2</v>
      </c>
      <c r="DA7" s="192">
        <f>IFERROR(INDEX('[1]SALES PERTYPE'!$AK$10:$AK$52,MATCH($C7,'[1]SALES PERTYPE'!$B$10:$B$52,0)),0)</f>
        <v>13598000</v>
      </c>
      <c r="DB7" s="192" cm="1">
        <f t="array" ref="DB7">IFERROR(INDEX('[1]Sales per type juli'!$D$10:$BA$51,MATCH($C7,'[1]Sales per type juli'!$B$10:$B$51,0),MATCH("IQOO Z11",'[1]Sales per type juli'!$D$8:$BA$8,0)+1),0)</f>
        <v>22796000</v>
      </c>
      <c r="DC7" s="192">
        <f>DA7-DB7</f>
        <v>-9198000</v>
      </c>
      <c r="DD7" s="192">
        <v>0</v>
      </c>
      <c r="DE7" s="192">
        <f>IFERROR(INDEX('[1]Sales per type juli'!$D$10:$BA$51,MATCH($C7,'[1]Sales per type juli'!$B$10:$B$51,0),MATCH("WATCH 3",'[1]Sales per type juli'!$D$8:$BA$8,0)),0)</f>
        <v>0</v>
      </c>
      <c r="DF7" s="192">
        <f>DD7-DE7</f>
        <v>0</v>
      </c>
      <c r="DG7" s="192">
        <v>0</v>
      </c>
      <c r="DH7" s="192" cm="1">
        <f t="array" ref="DH7">IFERROR(INDEX('[1]Sales per type juli'!$D$10:$BA$51,MATCH($C7,'[1]Sales per type juli'!$B$10:$B$51,0),MATCH("WATCH 3",'[1]Sales per type juli'!$D$8:$BA$8,0)+1),0)</f>
        <v>0</v>
      </c>
      <c r="DI7" s="192">
        <f>DG7-DH7</f>
        <v>0</v>
      </c>
      <c r="DJ7" s="192">
        <v>0</v>
      </c>
      <c r="DK7" s="192">
        <f>IFERROR(INDEX('[1]Sales per type juli'!$D$10:$BA$51,MATCH($C7,'[1]Sales per type juli'!$B$10:$B$51,0),MATCH("X300 Demo",'[1]Sales per type juli'!$D$8:$BA$8,0)),0)</f>
        <v>0</v>
      </c>
      <c r="DL7" s="192">
        <f>DJ7-DK7</f>
        <v>0</v>
      </c>
      <c r="DM7" s="192">
        <v>0</v>
      </c>
      <c r="DN7" s="192" cm="1">
        <f t="array" ref="DN7">IFERROR(INDEX('[1]Sales per type juli'!$D$10:$BA$51,MATCH($C7,'[1]Sales per type juli'!$B$10:$B$51,0),MATCH("X300 Demo",'[1]Sales per type juli'!$D$8:$BA$8,0)+1),0)</f>
        <v>0</v>
      </c>
      <c r="DO7" s="192">
        <f>DM7-DN7</f>
        <v>0</v>
      </c>
      <c r="DP7" s="192">
        <v>0</v>
      </c>
      <c r="DQ7" s="192">
        <f>IFERROR(INDEX('[1]Sales per type juli'!$D$10:$BA$51,MATCH($C7,'[1]Sales per type juli'!$B$10:$B$51,0),MATCH("X300 Pro Demo",'[1]Sales per type juli'!$D$8:$BA$8,0)),0)</f>
        <v>0</v>
      </c>
      <c r="DR7" s="192">
        <f>DP7-DQ7</f>
        <v>0</v>
      </c>
      <c r="DS7" s="192">
        <v>0</v>
      </c>
      <c r="DT7" s="192" cm="1">
        <f t="array" ref="DT7">IFERROR(INDEX('[1]Sales per type juli'!$D$10:$BA$51,MATCH($C7,'[1]Sales per type juli'!$B$10:$B$51,0),MATCH("X300 Pro Demo",'[1]Sales per type juli'!$D$8:$BA$8,0)+1),0)</f>
        <v>0</v>
      </c>
      <c r="DU7" s="192">
        <f>DS7-DT7</f>
        <v>0</v>
      </c>
      <c r="DV7" s="192">
        <v>0</v>
      </c>
      <c r="DW7" s="192">
        <f>IFERROR(INDEX('[1]Sales per type juli'!$D$10:$BA$51,MATCH($C7,'[1]Sales per type juli'!$B$10:$B$51,0),MATCH("X Fold5 DEMO",'[1]Sales per type juli'!$D$8:$BA$8,0)),0)</f>
        <v>0</v>
      </c>
      <c r="DX7" s="192">
        <f>DV7-DW7</f>
        <v>0</v>
      </c>
      <c r="DY7" s="192">
        <v>0</v>
      </c>
      <c r="DZ7" s="192" cm="1">
        <f t="array" ref="DZ7">IFERROR(INDEX('[1]Sales per type juli'!$D$10:$BA$51,MATCH($C7,'[1]Sales per type juli'!$B$10:$B$51,0),MATCH("X Fold5 DEMO",'[1]Sales per type juli'!$D$8:$BA$8,0)+1),0)</f>
        <v>0</v>
      </c>
      <c r="EA7" s="192">
        <f>DY7-DZ7</f>
        <v>0</v>
      </c>
      <c r="EB7" s="192">
        <v>0</v>
      </c>
      <c r="EC7" s="192">
        <f>IFERROR(INDEX('[1]Sales per type juli'!$D$10:$BA$51,MATCH($C7,'[1]Sales per type juli'!$B$10:$B$51,0),MATCH("X Fold5",'[1]Sales per type juli'!$D$8:$BA$8,0)),0)</f>
        <v>0</v>
      </c>
      <c r="ED7" s="192">
        <f>EB7-EC7</f>
        <v>0</v>
      </c>
      <c r="EE7" s="192">
        <v>0</v>
      </c>
      <c r="EF7" s="192" cm="1">
        <f t="array" ref="EF7">IFERROR(INDEX('[1]Sales per type juli'!$D$10:$BA$51,MATCH($C7,'[1]Sales per type juli'!$B$10:$B$51,0),MATCH("X Fold5",'[1]Sales per type juli'!$D$8:$BA$8,0)+1),0)</f>
        <v>0</v>
      </c>
      <c r="EG7" s="192">
        <f>EE7-EF7</f>
        <v>0</v>
      </c>
      <c r="EH7" s="192">
        <v>0</v>
      </c>
      <c r="EI7" s="192">
        <f>IFERROR(INDEX('[1]Sales per type juli'!$D$10:$BA$51,MATCH($C7,'[1]Sales per type juli'!$B$10:$B$51,0),MATCH("IQOO 15 Demo",'[1]Sales per type juli'!$D$8:$BA$8,0)),0)</f>
        <v>0</v>
      </c>
      <c r="EJ7" s="192">
        <f>EH7-EI7</f>
        <v>0</v>
      </c>
      <c r="EK7" s="192">
        <v>0</v>
      </c>
      <c r="EL7" s="192" cm="1">
        <f t="array" ref="EL7">IFERROR(INDEX('[1]Sales per type juli'!$D$10:$BA$51,MATCH($C7,'[1]Sales per type juli'!$B$10:$B$51,0),MATCH("IQOO 15 Demo",'[1]Sales per type juli'!$D$8:$BA$8,0)+1),0)</f>
        <v>0</v>
      </c>
      <c r="EM7" s="192">
        <f>EK7-EL7</f>
        <v>0</v>
      </c>
      <c r="EN7" s="192">
        <v>0</v>
      </c>
      <c r="EO7" s="192">
        <f>IFERROR(INDEX('[1]Sales per type juli'!$D$10:$BA$51,MATCH($C7,'[1]Sales per type juli'!$B$10:$B$51,0),MATCH("X300 PRO",'[1]Sales per type juli'!$D$8:$BA$8,0)),0)</f>
        <v>0</v>
      </c>
      <c r="EP7" s="192">
        <f>EN7-EO7</f>
        <v>0</v>
      </c>
      <c r="EQ7" s="192">
        <v>0</v>
      </c>
      <c r="ER7" s="192" cm="1">
        <f t="array" ref="ER7">IFERROR(INDEX('[1]Sales per type juli'!$D$10:$BA$51,MATCH($C7,'[1]Sales per type juli'!$B$10:$B$51,0),MATCH("X300 PRO",'[1]Sales per type juli'!$D$8:$BA$8,0)+1),0)</f>
        <v>0</v>
      </c>
      <c r="ES7" s="192">
        <f>EQ7-ER7</f>
        <v>0</v>
      </c>
      <c r="ET7" s="192">
        <v>0</v>
      </c>
      <c r="EU7" s="192">
        <f>IFERROR(INDEX('[1]Sales per type juli'!$D$10:$BA$51,MATCH($C7,'[1]Sales per type juli'!$B$10:$B$51,0),MATCH("X300 ",'[1]Sales per type juli'!$D$8:$BA$8,0)),0)</f>
        <v>0</v>
      </c>
      <c r="EV7" s="192">
        <f>ET7-EU7</f>
        <v>0</v>
      </c>
      <c r="EW7" s="192">
        <v>0</v>
      </c>
      <c r="EX7" s="192" cm="1">
        <f t="array" ref="EX7">IFERROR(INDEX('[1]Sales per type juli'!$D$10:$BA$51,MATCH($C7,'[1]Sales per type juli'!$B$10:$B$51,0),MATCH("X300 ",'[1]Sales per type juli'!$D$8:$BA$8,0)+1),0)</f>
        <v>0</v>
      </c>
      <c r="EY7" s="192">
        <f>EW7-EX7</f>
        <v>0</v>
      </c>
      <c r="EZ7" s="192">
        <f>F7+L7+R7+X7+AD7+AJ7+AP7+AV7+BB7+BH7+BN7+BT7+BZ7+CF7+CL7+CR7+CX7+DD7+DJ7+DP7+DV7+EB7+EH7+EN7+ET7</f>
        <v>108</v>
      </c>
      <c r="FA7" s="192">
        <f>G7+M7+S7+Y7+AE7+AK7+AQ7+AW7+BC7+BI7+BO7+BU7+CA7+CG7+CM7+CS7+CY7+DE7+DK7+DQ7+DW7+EC7+EI7+EO7+EU7</f>
        <v>105</v>
      </c>
      <c r="FB7" s="192">
        <f>EZ7-FA7</f>
        <v>3</v>
      </c>
      <c r="FC7" s="192">
        <f>I7+O7+U7+AA7+AG7+AM7+AS7+AY7+BE7+BK7+BQ7+BW7+CC7+CI7+CO7+CU7+DA7+DG7+DM7+DS7+DY7+EE7+EK7+EQ7+EW7</f>
        <v>340192000</v>
      </c>
      <c r="FD7" s="192">
        <f>J7+P7+V7+AB7+AH7+AN7+AT7+AZ7+BF7+BL7+BR7+BX7+CD7+CJ7+CP7+CV7+DB7+DH7+DN7+DT7+DZ7+EF7+EL7+ER7+EX7</f>
        <v>347595000</v>
      </c>
      <c r="FE7" s="192">
        <f>FC7-FD7</f>
        <v>-7403000</v>
      </c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</row>
    <row r="8" spans="1:208" ht="16" x14ac:dyDescent="0.2">
      <c r="A8" s="139">
        <f>'[1]ACHIEVEMENT STORE'!A8</f>
        <v>4</v>
      </c>
      <c r="B8" s="140" t="str">
        <f>'[1]ACHIEVEMENT STORE'!B8</f>
        <v>601 雅加达西北 JKT BU</v>
      </c>
      <c r="C8" s="139">
        <f>'[1]ACHIEVEMENT STORE'!C8</f>
        <v>6010703</v>
      </c>
      <c r="D8" s="140" t="str">
        <f>'[1]ACHIEVEMENT STORE'!D8</f>
        <v>6010703-VIVO STORE WINSHOP</v>
      </c>
      <c r="E8" s="140" t="str">
        <f>'[1]ACHIEVEMENT STORE'!E8</f>
        <v>NUR IRAWATI</v>
      </c>
      <c r="F8" s="192">
        <f>IFERROR(INDEX('[1]SALES PERTYPE'!$D$10:$D$52,MATCH($C8,'[1]SALES PERTYPE'!$B$10:$B$52,0)),0)</f>
        <v>3</v>
      </c>
      <c r="G8" s="192">
        <f>IFERROR(INDEX('[1]Sales per type juli'!$D$10:$BA$51,MATCH($C8,'[1]Sales per type juli'!$B$10:$B$51,0),MATCH("Y05",'[1]Sales per type juli'!$D$8:$BA$8,0)),0)</f>
        <v>28</v>
      </c>
      <c r="H8" s="192">
        <f>F8-G8</f>
        <v>-25</v>
      </c>
      <c r="I8" s="192">
        <f>IFERROR(INDEX('[1]SALES PERTYPE'!$E$10:$E$52,MATCH($C8,'[1]SALES PERTYPE'!$B$10:$B$52,0)),0)</f>
        <v>7197000</v>
      </c>
      <c r="J8" s="192" cm="1">
        <f t="array" ref="J8">IFERROR(INDEX('[1]Sales per type juli'!$D$10:$BA$51,MATCH($C8,'[1]Sales per type juli'!$B$10:$B$51,0),MATCH("Y05",'[1]Sales per type juli'!$D$8:$BA$8,0)+1),0)</f>
        <v>59372000</v>
      </c>
      <c r="K8" s="192">
        <f>I8-J8</f>
        <v>-52175000</v>
      </c>
      <c r="L8" s="192">
        <f>IFERROR(INDEX('[1]SALES PERTYPE'!$F$10:$F$52,MATCH($C8,'[1]SALES PERTYPE'!$B$10:$B$52,0)),0)</f>
        <v>6</v>
      </c>
      <c r="M8" s="192">
        <f>IFERROR(INDEX('[1]Sales per type juli'!$D$10:$BA$51,MATCH($C8,'[1]Sales per type juli'!$B$10:$B$51,0),MATCH("Y11d",'[1]Sales per type juli'!$D$8:$BA$8,0)),0)</f>
        <v>6</v>
      </c>
      <c r="N8" s="192">
        <f>L8-M8</f>
        <v>0</v>
      </c>
      <c r="O8" s="192">
        <f>IFERROR(INDEX('[1]SALES PERTYPE'!$G$10:$G$52,MATCH($C8,'[1]SALES PERTYPE'!$B$10:$B$52,0)),0)</f>
        <v>15994000</v>
      </c>
      <c r="P8" s="192" cm="1">
        <f t="array" ref="P8">IFERROR(INDEX('[1]Sales per type juli'!$D$10:$BA$51,MATCH($C8,'[1]Sales per type juli'!$B$10:$B$51,0),MATCH("Y11d",'[1]Sales per type juli'!$D$8:$BA$8,0)+1),0)</f>
        <v>15994000</v>
      </c>
      <c r="Q8" s="192">
        <f>O8-P8</f>
        <v>0</v>
      </c>
      <c r="R8" s="192">
        <f>IFERROR(INDEX('[1]SALES PERTYPE'!$H$10:$H$52,MATCH($C8,'[1]SALES PERTYPE'!$B$10:$B$52,0)),0)</f>
        <v>0</v>
      </c>
      <c r="S8" s="192">
        <f>IFERROR(INDEX('[1]Sales per type juli'!$D$10:$BA$51,MATCH($C8,'[1]Sales per type juli'!$B$10:$B$51,0),MATCH("Watch GT 2",'[1]Sales per type juli'!$D$8:$BA$8,0)),0)</f>
        <v>0</v>
      </c>
      <c r="T8" s="192">
        <f>R8-S8</f>
        <v>0</v>
      </c>
      <c r="U8" s="192">
        <f>IFERROR(INDEX('[1]SALES PERTYPE'!$I$10:$I$52,MATCH($C8,'[1]SALES PERTYPE'!$B$10:$B$52,0)),0)</f>
        <v>0</v>
      </c>
      <c r="V8" s="192" cm="1">
        <f t="array" ref="V8">IFERROR(INDEX('[1]Sales per type juli'!$D$10:$BA$51,MATCH($C8,'[1]Sales per type juli'!$B$10:$B$51,0),MATCH("Watch GT 2",'[1]Sales per type juli'!$D$8:$BA$8,0)+1),0)</f>
        <v>0</v>
      </c>
      <c r="W8" s="192">
        <f>U8-V8</f>
        <v>0</v>
      </c>
      <c r="X8" s="192">
        <f>IFERROR(INDEX('[1]SALES PERTYPE'!$J$10:$J$52,MATCH($C8,'[1]SALES PERTYPE'!$B$10:$B$52,0)),0)</f>
        <v>39</v>
      </c>
      <c r="Y8" s="192">
        <f>IFERROR(INDEX('[1]Sales per type juli'!$D$10:$BA$51,MATCH($C8,'[1]Sales per type juli'!$B$10:$B$51,0),MATCH("Y05e",'[1]Sales per type juli'!$D$8:$BA$8,0)),0)</f>
        <v>0</v>
      </c>
      <c r="Z8" s="192">
        <f>X8-Y8</f>
        <v>39</v>
      </c>
      <c r="AA8" s="192">
        <f>IFERROR(INDEX('[1]SALES PERTYPE'!$K$10:$K$52,MATCH($C8,'[1]SALES PERTYPE'!$B$10:$B$52,0)),0)</f>
        <v>81861000</v>
      </c>
      <c r="AB8" s="192" cm="1">
        <f t="array" ref="AB8">IFERROR(INDEX('[1]Sales per type juli'!$D$10:$BA$51,MATCH($C8,'[1]Sales per type juli'!$B$10:$B$51,0),MATCH("Y05e",'[1]Sales per type juli'!$D$8:$BA$8,0)+1),0)</f>
        <v>0</v>
      </c>
      <c r="AC8" s="192">
        <f>AA8-AB8</f>
        <v>81861000</v>
      </c>
      <c r="AD8" s="192">
        <f>IFERROR(INDEX('[1]SALES PERTYPE'!$L$10:$L$52,MATCH($C8,'[1]SALES PERTYPE'!$B$10:$B$52,0)),0)</f>
        <v>0</v>
      </c>
      <c r="AE8" s="192">
        <f>IFERROR(INDEX('[1]Sales per type juli'!$D$10:$BA$51,MATCH($C8,'[1]Sales per type juli'!$B$10:$B$51,0),MATCH("V70",'[1]Sales per type juli'!$D$8:$BA$8,0)),0)</f>
        <v>0</v>
      </c>
      <c r="AF8" s="192">
        <f>AD8-AE8</f>
        <v>0</v>
      </c>
      <c r="AG8" s="192">
        <f>IFERROR(INDEX('[1]SALES PERTYPE'!$M$10:$M$52,MATCH($C8,'[1]SALES PERTYPE'!$B$10:$B$52,0)),0)</f>
        <v>0</v>
      </c>
      <c r="AH8" s="192" cm="1">
        <f t="array" ref="AH8">IFERROR(INDEX('[1]Sales per type juli'!$D$10:$BA$51,MATCH($C8,'[1]Sales per type juli'!$B$10:$B$51,0),MATCH("V70",'[1]Sales per type juli'!$D$8:$BA$8,0)+1),0)</f>
        <v>0</v>
      </c>
      <c r="AI8" s="192">
        <f>AG8-AH8</f>
        <v>0</v>
      </c>
      <c r="AJ8" s="192">
        <f>IFERROR(INDEX('[1]SALES PERTYPE'!$N$10:$N$52,MATCH($C8,'[1]SALES PERTYPE'!$B$10:$B$52,0)),0)</f>
        <v>7</v>
      </c>
      <c r="AK8" s="192">
        <f>IFERROR(INDEX('[1]Sales per type juli'!$D$10:$BA$51,MATCH($C8,'[1]Sales per type juli'!$B$10:$B$51,0),MATCH("Y31d Pro",'[1]Sales per type juli'!$D$8:$BA$8,0)),0)</f>
        <v>2</v>
      </c>
      <c r="AL8" s="192">
        <f>AJ8-AK8</f>
        <v>5</v>
      </c>
      <c r="AM8" s="192">
        <f>IFERROR(INDEX('[1]SALES PERTYPE'!$O$10:$O$52,MATCH($C8,'[1]SALES PERTYPE'!$B$10:$B$52,0)),0)</f>
        <v>28693000</v>
      </c>
      <c r="AN8" s="192" cm="1">
        <f t="array" ref="AN8">IFERROR(INDEX('[1]Sales per type juli'!$D$10:$BA$51,MATCH($C8,'[1]Sales per type juli'!$B$10:$B$51,0),MATCH("Y31d Pro",'[1]Sales per type juli'!$D$8:$BA$8,0)+1),0)</f>
        <v>8198000</v>
      </c>
      <c r="AO8" s="192">
        <f>AM8-AN8</f>
        <v>20495000</v>
      </c>
      <c r="AP8" s="192">
        <f>IFERROR(INDEX('[1]SALES PERTYPE'!$P$10:$P$52,MATCH($C8,'[1]SALES PERTYPE'!$B$10:$B$52,0)),0)</f>
        <v>0</v>
      </c>
      <c r="AQ8" s="192" cm="1">
        <f t="array" ref="AQ8">IFERROR(INDEX('[1]Sales per type juli'!$D$10:$BA$51,MATCH($C8,'[1]Sales per type juli'!$B$10:$B$51,0),$FG$2),0)</f>
        <v>1</v>
      </c>
      <c r="AR8" s="192">
        <f>AP8-AQ8</f>
        <v>-1</v>
      </c>
      <c r="AS8" s="192">
        <f>IFERROR(INDEX('[1]SALES PERTYPE'!$Q$10:$Q$52,MATCH($C8,'[1]SALES PERTYPE'!$B$10:$B$52,0)),0)</f>
        <v>0</v>
      </c>
      <c r="AT8" s="192" cm="1">
        <f t="array" ref="AT8">IFERROR(INDEX('[1]Sales per type juli'!$D$10:$BA$51,MATCH($C8,'[1]Sales per type juli'!$B$10:$B$51,0),$FG$2+1),0)</f>
        <v>3599000</v>
      </c>
      <c r="AU8" s="192">
        <f>AS8-AT8</f>
        <v>-3599000</v>
      </c>
      <c r="AV8" s="192">
        <f>IFERROR(INDEX('[1]SALES PERTYPE'!$R$10:$R$52,MATCH($C8,'[1]SALES PERTYPE'!$B$10:$B$52,0)),0)</f>
        <v>0</v>
      </c>
      <c r="AW8" s="192">
        <f>IFERROR(INDEX('[1]Sales per type juli'!$D$10:$BA$51,MATCH($C8,'[1]Sales per type juli'!$B$10:$B$51,0),MATCH("Y31d ",'[1]Sales per type juli'!$D$8:$BA$8,0)),0)</f>
        <v>0</v>
      </c>
      <c r="AX8" s="192">
        <f>AV8-AW8</f>
        <v>0</v>
      </c>
      <c r="AY8" s="192">
        <f>IFERROR(INDEX('[1]SALES PERTYPE'!$S$10:$S$52,MATCH($C8,'[1]SALES PERTYPE'!$B$10:$B$52,0)),0)</f>
        <v>0</v>
      </c>
      <c r="AZ8" s="192" cm="1">
        <f t="array" ref="AZ8">IFERROR(INDEX('[1]Sales per type juli'!$D$10:$BA$51,MATCH($C8,'[1]Sales per type juli'!$B$10:$B$51,0),MATCH("Y31d ",'[1]Sales per type juli'!$D$8:$BA$8,0)+1),0)</f>
        <v>0</v>
      </c>
      <c r="BA8" s="192">
        <f>AY8-AZ8</f>
        <v>0</v>
      </c>
      <c r="BB8" s="192">
        <f>IFERROR(INDEX('[1]SALES PERTYPE'!$T$10:$T$52,MATCH($C8,'[1]SALES PERTYPE'!$B$10:$B$52,0)),0)</f>
        <v>0</v>
      </c>
      <c r="BC8" s="192">
        <f>IFERROR(INDEX('[1]Sales per type juli'!$D$10:$BA$51,MATCH($C8,'[1]Sales per type juli'!$B$10:$B$51,0),MATCH("V70 FE",'[1]Sales per type juli'!$D$8:$BA$8,0)),0)</f>
        <v>1</v>
      </c>
      <c r="BD8" s="192">
        <f>BB8-BC8</f>
        <v>-1</v>
      </c>
      <c r="BE8" s="192">
        <f>IFERROR(INDEX('[1]SALES PERTYPE'!$U$10:$U$52,MATCH($C8,'[1]SALES PERTYPE'!$B$10:$B$52,0)),0)</f>
        <v>0</v>
      </c>
      <c r="BF8" s="192" cm="1">
        <f t="array" ref="BF8">IFERROR(INDEX('[1]Sales per type juli'!$D$10:$BA$51,MATCH($C8,'[1]Sales per type juli'!$B$10:$B$51,0),MATCH("V70 FE",'[1]Sales per type juli'!$D$8:$BA$8,0)+1),0)</f>
        <v>7199000</v>
      </c>
      <c r="BG8" s="192">
        <f>BE8-BF8</f>
        <v>-7199000</v>
      </c>
      <c r="BH8" s="192">
        <f>IFERROR(INDEX('[1]SALES PERTYPE'!$V$10:$V$52,MATCH($C8,'[1]SALES PERTYPE'!$B$10:$B$52,0)),0)</f>
        <v>0</v>
      </c>
      <c r="BI8" s="192">
        <f>IFERROR(INDEX('[1]Sales per type juli'!$D$10:$BA$51,MATCH($C8,'[1]Sales per type juli'!$B$10:$B$51,0),MATCH("Y31d",'[1]Sales per type juli'!$D$8:$BA$8,0)),0)</f>
        <v>3</v>
      </c>
      <c r="BJ8" s="192">
        <f>BH8-BI8</f>
        <v>-3</v>
      </c>
      <c r="BK8" s="192">
        <f>IFERROR(INDEX('[1]SALES PERTYPE'!$W$10:$W$52,MATCH($C8,'[1]SALES PERTYPE'!$B$10:$B$52,0)),0)</f>
        <v>0</v>
      </c>
      <c r="BL8" s="192" cm="1">
        <f t="array" ref="BL8">IFERROR(INDEX('[1]Sales per type juli'!$D$10:$BA$51,MATCH($C8,'[1]Sales per type juli'!$B$10:$B$51,0),MATCH("Y31d",'[1]Sales per type juli'!$D$8:$BA$8,0)+1),0)</f>
        <v>10797000</v>
      </c>
      <c r="BM8" s="192">
        <f>BK8-BL8</f>
        <v>-10797000</v>
      </c>
      <c r="BN8" s="192">
        <f>IFERROR(INDEX('[1]SALES PERTYPE'!$X$10:$X$52,MATCH($C8,'[1]SALES PERTYPE'!$B$10:$B$52,0)),0)</f>
        <v>2</v>
      </c>
      <c r="BO8" s="192">
        <f>IFERROR(INDEX('[1]Sales per type juli'!$D$10:$BA$51,MATCH($C8,'[1]Sales per type juli'!$B$10:$B$51,0),MATCH("Y500",'[1]Sales per type juli'!$D$8:$BA$8,0)),0)</f>
        <v>0</v>
      </c>
      <c r="BP8" s="192">
        <f>BN8-BO8</f>
        <v>2</v>
      </c>
      <c r="BQ8" s="192">
        <f>IFERROR(INDEX('[1]SALES PERTYPE'!$Y$10:$Y$52,MATCH($C8,'[1]SALES PERTYPE'!$B$10:$B$52,0)),0)</f>
        <v>11798000</v>
      </c>
      <c r="BR8" s="192" cm="1">
        <f t="array" ref="BR8">IFERROR(INDEX('[1]Sales per type juli'!$D$10:$BA$51,MATCH($C8,'[1]Sales per type juli'!$B$10:$B$51,0),MATCH("Y500",'[1]Sales per type juli'!$D$8:$BA$8,0)+1),0)</f>
        <v>0</v>
      </c>
      <c r="BS8" s="192">
        <f>BQ8-BR8</f>
        <v>11798000</v>
      </c>
      <c r="BT8" s="192">
        <f>IFERROR(INDEX('[1]SALES PERTYPE'!$Z$10:$Z$52,MATCH($C8,'[1]SALES PERTYPE'!$B$10:$B$52,0)),0)</f>
        <v>0</v>
      </c>
      <c r="BU8" s="192">
        <f>IFERROR(INDEX('[1]Sales per type juli'!$D$10:$BA$51,MATCH($C8,'[1]Sales per type juli'!$B$10:$B$51,0),MATCH("IQOO 15R",'[1]Sales per type juli'!$D$8:$BA$8,0)),0)</f>
        <v>0</v>
      </c>
      <c r="BV8" s="192">
        <f>BT8-BU8</f>
        <v>0</v>
      </c>
      <c r="BW8" s="192">
        <f>IFERROR(INDEX('[1]SALES PERTYPE'!$AA$10:$AA$52,MATCH($C8,'[1]SALES PERTYPE'!$B$10:$B$52,0)),0)</f>
        <v>0</v>
      </c>
      <c r="BX8" s="192" cm="1">
        <f t="array" ref="BX8">IFERROR(INDEX('[1]Sales per type juli'!$D$10:$BA$51,MATCH($C8,'[1]Sales per type juli'!$B$10:$B$51,0),MATCH("IQOO 15R",'[1]Sales per type juli'!$D$8:$BA$8,0)+1),0)</f>
        <v>0</v>
      </c>
      <c r="BY8" s="192">
        <f>BW8-BX8</f>
        <v>0</v>
      </c>
      <c r="BZ8" s="192">
        <f>IFERROR(INDEX('[1]SALES PERTYPE'!$AB$10:$AB$52,MATCH($C8,'[1]SALES PERTYPE'!$B$10:$B$52,0)),0)</f>
        <v>0</v>
      </c>
      <c r="CA8" s="192">
        <f>IFERROR(INDEX('[1]Sales per type juli'!$D$10:$BA$51,MATCH($C8,'[1]Sales per type juli'!$B$10:$B$51,0),MATCH("V60 Lite",'[1]Sales per type juli'!$D$8:$BA$8,0)),0)</f>
        <v>0</v>
      </c>
      <c r="CB8" s="192">
        <f>BZ8-CA8</f>
        <v>0</v>
      </c>
      <c r="CC8" s="192">
        <f>IFERROR(INDEX('[1]SALES PERTYPE'!$AC$10:$AC$52,MATCH($C8,'[1]SALES PERTYPE'!$B$10:$B$52,0)),0)</f>
        <v>0</v>
      </c>
      <c r="CD8" s="192" cm="1">
        <f t="array" ref="CD8">IFERROR(INDEX('[1]Sales per type juli'!$D$10:$BA$51,MATCH($C8,'[1]Sales per type juli'!$B$10:$B$51,0),MATCH("V60 Lite",'[1]Sales per type juli'!$D$8:$BA$8,0)+1),0)</f>
        <v>0</v>
      </c>
      <c r="CE8" s="192">
        <f>CC8-CD8</f>
        <v>0</v>
      </c>
      <c r="CF8" s="192">
        <f>IFERROR(INDEX('[1]SALES PERTYPE'!$AD$10:$AD$52,MATCH($C8,'[1]SALES PERTYPE'!$B$10:$B$52,0)),0)</f>
        <v>0</v>
      </c>
      <c r="CG8" s="192">
        <f>IFERROR(INDEX('[1]Sales per type juli'!$D$10:$BA$51,MATCH($C8,'[1]Sales per type juli'!$B$10:$B$51,0),MATCH("X300 Ultra",'[1]Sales per type juli'!$D$8:$BA$8,0)),0)</f>
        <v>0</v>
      </c>
      <c r="CH8" s="192">
        <f>CF8-CG8</f>
        <v>0</v>
      </c>
      <c r="CI8" s="192">
        <f>IFERROR(INDEX('[1]SALES PERTYPE'!$AE$10:$AE$52,MATCH($C8,'[1]SALES PERTYPE'!$B$10:$B$52,0)),0)</f>
        <v>0</v>
      </c>
      <c r="CJ8" s="192" cm="1">
        <f t="array" ref="CJ8">IFERROR(INDEX('[1]Sales per type juli'!$D$10:$BA$51,MATCH($C8,'[1]Sales per type juli'!$B$10:$B$51,0),MATCH("X300 Ultra",'[1]Sales per type juli'!$D$8:$BA$8,0)+1),0)</f>
        <v>0</v>
      </c>
      <c r="CK8" s="192">
        <f>CI8-CJ8</f>
        <v>0</v>
      </c>
      <c r="CL8" s="192">
        <f>IFERROR(INDEX('[1]SALES PERTYPE'!$AF$10:$AF$52,MATCH($C8,'[1]SALES PERTYPE'!$B$10:$B$52,0)),0)</f>
        <v>0</v>
      </c>
      <c r="CM8" s="192">
        <f>IFERROR(INDEX('[1]Sales per type juli'!$D$10:$BA$51,MATCH($C8,'[1]Sales per type juli'!$B$10:$B$51,0),MATCH("IQOO 15",'[1]Sales per type juli'!$D$8:$BA$8,0)),0)</f>
        <v>0</v>
      </c>
      <c r="CN8" s="192">
        <f>CL8-CM8</f>
        <v>0</v>
      </c>
      <c r="CO8" s="192">
        <f>IFERROR(INDEX('[1]SALES PERTYPE'!$AG$10:$AG$52,MATCH($C8,'[1]SALES PERTYPE'!$B$10:$B$52,0)),0)</f>
        <v>0</v>
      </c>
      <c r="CP8" s="192" cm="1">
        <f t="array" ref="CP8">IFERROR(INDEX('[1]Sales per type juli'!$D$10:$BA$51,MATCH($C8,'[1]Sales per type juli'!$B$10:$B$51,0),MATCH("IQOO 15",'[1]Sales per type juli'!$D$8:$BA$8,0)+1),0)</f>
        <v>0</v>
      </c>
      <c r="CQ8" s="192">
        <f>CO8-CP8</f>
        <v>0</v>
      </c>
      <c r="CR8" s="192">
        <f>IFERROR(INDEX('[1]SALES PERTYPE'!$AH$10:$AH$52,MATCH($C8,'[1]SALES PERTYPE'!$B$10:$B$52,0)),0)</f>
        <v>1</v>
      </c>
      <c r="CS8" s="192">
        <f>IFERROR(INDEX('[1]Sales per type juli'!$D$10:$BA$51,MATCH($C8,'[1]Sales per type juli'!$B$10:$B$51,0),MATCH("IQOO Z11x",'[1]Sales per type juli'!$D$8:$BA$8,0)),0)</f>
        <v>0</v>
      </c>
      <c r="CT8" s="192">
        <f>CR8-CS8</f>
        <v>1</v>
      </c>
      <c r="CU8" s="192">
        <f>IFERROR(INDEX('[1]SALES PERTYPE'!$AI$10:$AI$52,MATCH($C8,'[1]SALES PERTYPE'!$B$10:$B$52,0)),0)</f>
        <v>5699000</v>
      </c>
      <c r="CV8" s="192" cm="1">
        <f t="array" ref="CV8">IFERROR(INDEX('[1]Sales per type juli'!$D$10:$BA$51,MATCH($C8,'[1]Sales per type juli'!$B$10:$B$51,0),MATCH("IQOO Z11x",'[1]Sales per type juli'!$D$8:$BA$8,0)+1),0)</f>
        <v>0</v>
      </c>
      <c r="CW8" s="192">
        <f>CU8-CV8</f>
        <v>5699000</v>
      </c>
      <c r="CX8" s="192">
        <f>IFERROR(INDEX('[1]SALES PERTYPE'!$AJ$10:$AJ$52,MATCH($C8,'[1]SALES PERTYPE'!$B$10:$B$52,0)),0)</f>
        <v>0</v>
      </c>
      <c r="CY8" s="192">
        <f>IFERROR(INDEX('[1]Sales per type juli'!$D$10:$BA$51,MATCH($C8,'[1]Sales per type juli'!$B$10:$B$51,0),MATCH("IQOO Z11",'[1]Sales per type juli'!$D$8:$BA$8,0)),0)</f>
        <v>3</v>
      </c>
      <c r="CZ8" s="192">
        <f>CX8-CY8</f>
        <v>-3</v>
      </c>
      <c r="DA8" s="192">
        <f>IFERROR(INDEX('[1]SALES PERTYPE'!$AK$10:$AK$52,MATCH($C8,'[1]SALES PERTYPE'!$B$10:$B$52,0)),0)</f>
        <v>0</v>
      </c>
      <c r="DB8" s="192" cm="1">
        <f t="array" ref="DB8">IFERROR(INDEX('[1]Sales per type juli'!$D$10:$BA$51,MATCH($C8,'[1]Sales per type juli'!$B$10:$B$51,0),MATCH("IQOO Z11",'[1]Sales per type juli'!$D$8:$BA$8,0)+1),0)</f>
        <v>17097000</v>
      </c>
      <c r="DC8" s="192">
        <f>DA8-DB8</f>
        <v>-17097000</v>
      </c>
      <c r="DD8" s="192">
        <v>0</v>
      </c>
      <c r="DE8" s="192">
        <f>IFERROR(INDEX('[1]Sales per type juli'!$D$10:$BA$51,MATCH($C8,'[1]Sales per type juli'!$B$10:$B$51,0),MATCH("WATCH 3",'[1]Sales per type juli'!$D$8:$BA$8,0)),0)</f>
        <v>0</v>
      </c>
      <c r="DF8" s="192">
        <f>DD8-DE8</f>
        <v>0</v>
      </c>
      <c r="DG8" s="192">
        <v>0</v>
      </c>
      <c r="DH8" s="192" cm="1">
        <f t="array" ref="DH8">IFERROR(INDEX('[1]Sales per type juli'!$D$10:$BA$51,MATCH($C8,'[1]Sales per type juli'!$B$10:$B$51,0),MATCH("WATCH 3",'[1]Sales per type juli'!$D$8:$BA$8,0)+1),0)</f>
        <v>0</v>
      </c>
      <c r="DI8" s="192">
        <f>DG8-DH8</f>
        <v>0</v>
      </c>
      <c r="DJ8" s="192">
        <v>0</v>
      </c>
      <c r="DK8" s="192">
        <f>IFERROR(INDEX('[1]Sales per type juli'!$D$10:$BA$51,MATCH($C8,'[1]Sales per type juli'!$B$10:$B$51,0),MATCH("X300 Demo",'[1]Sales per type juli'!$D$8:$BA$8,0)),0)</f>
        <v>0</v>
      </c>
      <c r="DL8" s="192">
        <f>DJ8-DK8</f>
        <v>0</v>
      </c>
      <c r="DM8" s="192">
        <v>0</v>
      </c>
      <c r="DN8" s="192" cm="1">
        <f t="array" ref="DN8">IFERROR(INDEX('[1]Sales per type juli'!$D$10:$BA$51,MATCH($C8,'[1]Sales per type juli'!$B$10:$B$51,0),MATCH("X300 Demo",'[1]Sales per type juli'!$D$8:$BA$8,0)+1),0)</f>
        <v>0</v>
      </c>
      <c r="DO8" s="192">
        <f>DM8-DN8</f>
        <v>0</v>
      </c>
      <c r="DP8" s="192">
        <v>0</v>
      </c>
      <c r="DQ8" s="192">
        <f>IFERROR(INDEX('[1]Sales per type juli'!$D$10:$BA$51,MATCH($C8,'[1]Sales per type juli'!$B$10:$B$51,0),MATCH("X300 Pro Demo",'[1]Sales per type juli'!$D$8:$BA$8,0)),0)</f>
        <v>0</v>
      </c>
      <c r="DR8" s="192">
        <f>DP8-DQ8</f>
        <v>0</v>
      </c>
      <c r="DS8" s="192">
        <v>0</v>
      </c>
      <c r="DT8" s="192" cm="1">
        <f t="array" ref="DT8">IFERROR(INDEX('[1]Sales per type juli'!$D$10:$BA$51,MATCH($C8,'[1]Sales per type juli'!$B$10:$B$51,0),MATCH("X300 Pro Demo",'[1]Sales per type juli'!$D$8:$BA$8,0)+1),0)</f>
        <v>0</v>
      </c>
      <c r="DU8" s="192">
        <f>DS8-DT8</f>
        <v>0</v>
      </c>
      <c r="DV8" s="192">
        <v>0</v>
      </c>
      <c r="DW8" s="192">
        <f>IFERROR(INDEX('[1]Sales per type juli'!$D$10:$BA$51,MATCH($C8,'[1]Sales per type juli'!$B$10:$B$51,0),MATCH("X Fold5 DEMO",'[1]Sales per type juli'!$D$8:$BA$8,0)),0)</f>
        <v>0</v>
      </c>
      <c r="DX8" s="192">
        <f>DV8-DW8</f>
        <v>0</v>
      </c>
      <c r="DY8" s="192">
        <v>0</v>
      </c>
      <c r="DZ8" s="192" cm="1">
        <f t="array" ref="DZ8">IFERROR(INDEX('[1]Sales per type juli'!$D$10:$BA$51,MATCH($C8,'[1]Sales per type juli'!$B$10:$B$51,0),MATCH("X Fold5 DEMO",'[1]Sales per type juli'!$D$8:$BA$8,0)+1),0)</f>
        <v>0</v>
      </c>
      <c r="EA8" s="192">
        <f>DY8-DZ8</f>
        <v>0</v>
      </c>
      <c r="EB8" s="192">
        <v>0</v>
      </c>
      <c r="EC8" s="192">
        <f>IFERROR(INDEX('[1]Sales per type juli'!$D$10:$BA$51,MATCH($C8,'[1]Sales per type juli'!$B$10:$B$51,0),MATCH("X Fold5",'[1]Sales per type juli'!$D$8:$BA$8,0)),0)</f>
        <v>0</v>
      </c>
      <c r="ED8" s="192">
        <f>EB8-EC8</f>
        <v>0</v>
      </c>
      <c r="EE8" s="192">
        <v>0</v>
      </c>
      <c r="EF8" s="192" cm="1">
        <f t="array" ref="EF8">IFERROR(INDEX('[1]Sales per type juli'!$D$10:$BA$51,MATCH($C8,'[1]Sales per type juli'!$B$10:$B$51,0),MATCH("X Fold5",'[1]Sales per type juli'!$D$8:$BA$8,0)+1),0)</f>
        <v>0</v>
      </c>
      <c r="EG8" s="192">
        <f>EE8-EF8</f>
        <v>0</v>
      </c>
      <c r="EH8" s="192">
        <v>0</v>
      </c>
      <c r="EI8" s="192">
        <f>IFERROR(INDEX('[1]Sales per type juli'!$D$10:$BA$51,MATCH($C8,'[1]Sales per type juli'!$B$10:$B$51,0),MATCH("IQOO 15 Demo",'[1]Sales per type juli'!$D$8:$BA$8,0)),0)</f>
        <v>0</v>
      </c>
      <c r="EJ8" s="192">
        <f>EH8-EI8</f>
        <v>0</v>
      </c>
      <c r="EK8" s="192">
        <v>0</v>
      </c>
      <c r="EL8" s="192" cm="1">
        <f t="array" ref="EL8">IFERROR(INDEX('[1]Sales per type juli'!$D$10:$BA$51,MATCH($C8,'[1]Sales per type juli'!$B$10:$B$51,0),MATCH("IQOO 15 Demo",'[1]Sales per type juli'!$D$8:$BA$8,0)+1),0)</f>
        <v>0</v>
      </c>
      <c r="EM8" s="192">
        <f>EK8-EL8</f>
        <v>0</v>
      </c>
      <c r="EN8" s="192">
        <v>0</v>
      </c>
      <c r="EO8" s="192">
        <f>IFERROR(INDEX('[1]Sales per type juli'!$D$10:$BA$51,MATCH($C8,'[1]Sales per type juli'!$B$10:$B$51,0),MATCH("X300 PRO",'[1]Sales per type juli'!$D$8:$BA$8,0)),0)</f>
        <v>0</v>
      </c>
      <c r="EP8" s="192">
        <f>EN8-EO8</f>
        <v>0</v>
      </c>
      <c r="EQ8" s="192">
        <v>0</v>
      </c>
      <c r="ER8" s="192" cm="1">
        <f t="array" ref="ER8">IFERROR(INDEX('[1]Sales per type juli'!$D$10:$BA$51,MATCH($C8,'[1]Sales per type juli'!$B$10:$B$51,0),MATCH("X300 PRO",'[1]Sales per type juli'!$D$8:$BA$8,0)+1),0)</f>
        <v>0</v>
      </c>
      <c r="ES8" s="192">
        <f>EQ8-ER8</f>
        <v>0</v>
      </c>
      <c r="ET8" s="192">
        <v>0</v>
      </c>
      <c r="EU8" s="192">
        <f>IFERROR(INDEX('[1]Sales per type juli'!$D$10:$BA$51,MATCH($C8,'[1]Sales per type juli'!$B$10:$B$51,0),MATCH("X300 ",'[1]Sales per type juli'!$D$8:$BA$8,0)),0)</f>
        <v>0</v>
      </c>
      <c r="EV8" s="192">
        <f>ET8-EU8</f>
        <v>0</v>
      </c>
      <c r="EW8" s="192">
        <v>0</v>
      </c>
      <c r="EX8" s="192" cm="1">
        <f t="array" ref="EX8">IFERROR(INDEX('[1]Sales per type juli'!$D$10:$BA$51,MATCH($C8,'[1]Sales per type juli'!$B$10:$B$51,0),MATCH("X300 ",'[1]Sales per type juli'!$D$8:$BA$8,0)+1),0)</f>
        <v>0</v>
      </c>
      <c r="EY8" s="192">
        <f>EW8-EX8</f>
        <v>0</v>
      </c>
      <c r="EZ8" s="192">
        <f>F8+L8+R8+X8+AD8+AJ8+AP8+AV8+BB8+BH8+BN8+BT8+BZ8+CF8+CL8+CR8+CX8+DD8+DJ8+DP8+DV8+EB8+EH8+EN8+ET8</f>
        <v>58</v>
      </c>
      <c r="FA8" s="192">
        <f>G8+M8+S8+Y8+AE8+AK8+AQ8+AW8+BC8+BI8+BO8+BU8+CA8+CG8+CM8+CS8+CY8+DE8+DK8+DQ8+DW8+EC8+EI8+EO8+EU8</f>
        <v>44</v>
      </c>
      <c r="FB8" s="192">
        <f>EZ8-FA8</f>
        <v>14</v>
      </c>
      <c r="FC8" s="192">
        <f>I8+O8+U8+AA8+AG8+AM8+AS8+AY8+BE8+BK8+BQ8+BW8+CC8+CI8+CO8+CU8+DA8+DG8+DM8+DS8+DY8+EE8+EK8+EQ8+EW8</f>
        <v>151242000</v>
      </c>
      <c r="FD8" s="192">
        <f>J8+P8+V8+AB8+AH8+AN8+AT8+AZ8+BF8+BL8+BR8+BX8+CD8+CJ8+CP8+CV8+DB8+DH8+DN8+DT8+DZ8+EF8+EL8+ER8+EX8</f>
        <v>122256000</v>
      </c>
      <c r="FE8" s="192">
        <f>FC8-FD8</f>
        <v>28986000</v>
      </c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</row>
    <row r="9" spans="1:208" ht="16" x14ac:dyDescent="0.2">
      <c r="A9" s="137">
        <f>'[1]ACHIEVEMENT STORE'!A9</f>
        <v>5</v>
      </c>
      <c r="B9" s="138" t="str">
        <f>'[1]ACHIEVEMENT STORE'!B9</f>
        <v>601 雅加达西北 JKT BU</v>
      </c>
      <c r="C9" s="137">
        <f>'[1]ACHIEVEMENT STORE'!C9</f>
        <v>6010709</v>
      </c>
      <c r="D9" s="138" t="str">
        <f>'[1]ACHIEVEMENT STORE'!D9</f>
        <v>A100303-PAMERAN UTARA</v>
      </c>
      <c r="E9" s="138" t="str">
        <f>'[1]ACHIEVEMENT STORE'!E9</f>
        <v>NUR IRAWATI</v>
      </c>
      <c r="F9" s="192">
        <f>IFERROR(INDEX('[1]SALES PERTYPE'!$D$10:$D$52,MATCH($C9,'[1]SALES PERTYPE'!$B$10:$B$52,0)),0)</f>
        <v>31</v>
      </c>
      <c r="G9" s="192">
        <f>IFERROR(INDEX('[1]Sales per type juli'!$D$10:$BA$51,MATCH($C9,'[1]Sales per type juli'!$B$10:$B$51,0),MATCH("Y05",'[1]Sales per type juli'!$D$8:$BA$8,0)),0)</f>
        <v>99</v>
      </c>
      <c r="H9" s="192">
        <f>F9-G9</f>
        <v>-68</v>
      </c>
      <c r="I9" s="192">
        <f>IFERROR(INDEX('[1]SALES PERTYPE'!$E$10:$E$52,MATCH($C9,'[1]SALES PERTYPE'!$B$10:$B$52,0)),0)</f>
        <v>73669000</v>
      </c>
      <c r="J9" s="192" cm="1">
        <f t="array" ref="J9">IFERROR(INDEX('[1]Sales per type juli'!$D$10:$BA$51,MATCH($C9,'[1]Sales per type juli'!$B$10:$B$51,0),MATCH("Y05",'[1]Sales per type juli'!$D$8:$BA$8,0)+1),0)</f>
        <v>212601000</v>
      </c>
      <c r="K9" s="192">
        <f>I9-J9</f>
        <v>-138932000</v>
      </c>
      <c r="L9" s="192">
        <f>IFERROR(INDEX('[1]SALES PERTYPE'!$F$10:$F$52,MATCH($C9,'[1]SALES PERTYPE'!$B$10:$B$52,0)),0)</f>
        <v>29</v>
      </c>
      <c r="M9" s="192">
        <f>IFERROR(INDEX('[1]Sales per type juli'!$D$10:$BA$51,MATCH($C9,'[1]Sales per type juli'!$B$10:$B$51,0),MATCH("Y11d",'[1]Sales per type juli'!$D$8:$BA$8,0)),0)</f>
        <v>19</v>
      </c>
      <c r="N9" s="192">
        <f>L9-M9</f>
        <v>10</v>
      </c>
      <c r="O9" s="192">
        <f>IFERROR(INDEX('[1]SALES PERTYPE'!$G$10:$G$52,MATCH($C9,'[1]SALES PERTYPE'!$B$10:$B$52,0)),0)</f>
        <v>76371000</v>
      </c>
      <c r="P9" s="192" cm="1">
        <f t="array" ref="P9">IFERROR(INDEX('[1]Sales per type juli'!$D$10:$BA$51,MATCH($C9,'[1]Sales per type juli'!$B$10:$B$51,0),MATCH("Y11d",'[1]Sales per type juli'!$D$8:$BA$8,0)+1),0)</f>
        <v>50381000</v>
      </c>
      <c r="Q9" s="192">
        <f>O9-P9</f>
        <v>25990000</v>
      </c>
      <c r="R9" s="192">
        <f>IFERROR(INDEX('[1]SALES PERTYPE'!$H$10:$H$52,MATCH($C9,'[1]SALES PERTYPE'!$B$10:$B$52,0)),0)</f>
        <v>1</v>
      </c>
      <c r="S9" s="192">
        <f>IFERROR(INDEX('[1]Sales per type juli'!$D$10:$BA$51,MATCH($C9,'[1]Sales per type juli'!$B$10:$B$51,0),MATCH("Watch GT 2",'[1]Sales per type juli'!$D$8:$BA$8,0)),0)</f>
        <v>0</v>
      </c>
      <c r="T9" s="192">
        <f>R9-S9</f>
        <v>1</v>
      </c>
      <c r="U9" s="192">
        <f>IFERROR(INDEX('[1]SALES PERTYPE'!$I$10:$I$52,MATCH($C9,'[1]SALES PERTYPE'!$B$10:$B$52,0)),0)</f>
        <v>1799000</v>
      </c>
      <c r="V9" s="192" cm="1">
        <f t="array" ref="V9">IFERROR(INDEX('[1]Sales per type juli'!$D$10:$BA$51,MATCH($C9,'[1]Sales per type juli'!$B$10:$B$51,0),MATCH("Watch GT 2",'[1]Sales per type juli'!$D$8:$BA$8,0)+1),0)</f>
        <v>0</v>
      </c>
      <c r="W9" s="192">
        <f>U9-V9</f>
        <v>1799000</v>
      </c>
      <c r="X9" s="192">
        <f>IFERROR(INDEX('[1]SALES PERTYPE'!$J$10:$J$52,MATCH($C9,'[1]SALES PERTYPE'!$B$10:$B$52,0)),0)</f>
        <v>60</v>
      </c>
      <c r="Y9" s="192">
        <f>IFERROR(INDEX('[1]Sales per type juli'!$D$10:$BA$51,MATCH($C9,'[1]Sales per type juli'!$B$10:$B$51,0),MATCH("Y05e",'[1]Sales per type juli'!$D$8:$BA$8,0)),0)</f>
        <v>0</v>
      </c>
      <c r="Z9" s="192">
        <f>X9-Y9</f>
        <v>60</v>
      </c>
      <c r="AA9" s="192">
        <f>IFERROR(INDEX('[1]SALES PERTYPE'!$K$10:$K$52,MATCH($C9,'[1]SALES PERTYPE'!$B$10:$B$52,0)),0)</f>
        <v>125940000</v>
      </c>
      <c r="AB9" s="192" cm="1">
        <f t="array" ref="AB9">IFERROR(INDEX('[1]Sales per type juli'!$D$10:$BA$51,MATCH($C9,'[1]Sales per type juli'!$B$10:$B$51,0),MATCH("Y05e",'[1]Sales per type juli'!$D$8:$BA$8,0)+1),0)</f>
        <v>0</v>
      </c>
      <c r="AC9" s="192">
        <f>AA9-AB9</f>
        <v>125940000</v>
      </c>
      <c r="AD9" s="192">
        <f>IFERROR(INDEX('[1]SALES PERTYPE'!$L$10:$L$52,MATCH($C9,'[1]SALES PERTYPE'!$B$10:$B$52,0)),0)</f>
        <v>2</v>
      </c>
      <c r="AE9" s="192">
        <f>IFERROR(INDEX('[1]Sales per type juli'!$D$10:$BA$51,MATCH($C9,'[1]Sales per type juli'!$B$10:$B$51,0),MATCH("V70",'[1]Sales per type juli'!$D$8:$BA$8,0)),0)</f>
        <v>1</v>
      </c>
      <c r="AF9" s="192">
        <f>AD9-AE9</f>
        <v>1</v>
      </c>
      <c r="AG9" s="192">
        <f>IFERROR(INDEX('[1]SALES PERTYPE'!$M$10:$M$52,MATCH($C9,'[1]SALES PERTYPE'!$B$10:$B$52,0)),0)</f>
        <v>18998000</v>
      </c>
      <c r="AH9" s="192" cm="1">
        <f t="array" ref="AH9">IFERROR(INDEX('[1]Sales per type juli'!$D$10:$BA$51,MATCH($C9,'[1]Sales per type juli'!$B$10:$B$51,0),MATCH("V70",'[1]Sales per type juli'!$D$8:$BA$8,0)+1),0)</f>
        <v>8999000</v>
      </c>
      <c r="AI9" s="192">
        <f>AG9-AH9</f>
        <v>9999000</v>
      </c>
      <c r="AJ9" s="192">
        <f>IFERROR(INDEX('[1]SALES PERTYPE'!$N$10:$N$52,MATCH($C9,'[1]SALES PERTYPE'!$B$10:$B$52,0)),0)</f>
        <v>8</v>
      </c>
      <c r="AK9" s="192">
        <f>IFERROR(INDEX('[1]Sales per type juli'!$D$10:$BA$51,MATCH($C9,'[1]Sales per type juli'!$B$10:$B$51,0),MATCH("Y31d Pro",'[1]Sales per type juli'!$D$8:$BA$8,0)),0)</f>
        <v>8</v>
      </c>
      <c r="AL9" s="192">
        <f>AJ9-AK9</f>
        <v>0</v>
      </c>
      <c r="AM9" s="192">
        <f>IFERROR(INDEX('[1]SALES PERTYPE'!$O$10:$O$52,MATCH($C9,'[1]SALES PERTYPE'!$B$10:$B$52,0)),0)</f>
        <v>32792000</v>
      </c>
      <c r="AN9" s="192" cm="1">
        <f t="array" ref="AN9">IFERROR(INDEX('[1]Sales per type juli'!$D$10:$BA$51,MATCH($C9,'[1]Sales per type juli'!$B$10:$B$51,0),MATCH("Y31d Pro",'[1]Sales per type juli'!$D$8:$BA$8,0)+1),0)</f>
        <v>36392000</v>
      </c>
      <c r="AO9" s="192">
        <f>AM9-AN9</f>
        <v>-3600000</v>
      </c>
      <c r="AP9" s="192">
        <f>IFERROR(INDEX('[1]SALES PERTYPE'!$P$10:$P$52,MATCH($C9,'[1]SALES PERTYPE'!$B$10:$B$52,0)),0)</f>
        <v>2</v>
      </c>
      <c r="AQ9" s="192" cm="1">
        <f t="array" ref="AQ9">IFERROR(INDEX('[1]Sales per type juli'!$D$10:$BA$51,MATCH($C9,'[1]Sales per type juli'!$B$10:$B$51,0),$FG$2),0)</f>
        <v>2</v>
      </c>
      <c r="AR9" s="192">
        <f>AP9-AQ9</f>
        <v>0</v>
      </c>
      <c r="AS9" s="192">
        <f>IFERROR(INDEX('[1]SALES PERTYPE'!$Q$10:$Q$52,MATCH($C9,'[1]SALES PERTYPE'!$B$10:$B$52,0)),0)</f>
        <v>7198000</v>
      </c>
      <c r="AT9" s="192" cm="1">
        <f t="array" ref="AT9">IFERROR(INDEX('[1]Sales per type juli'!$D$10:$BA$51,MATCH($C9,'[1]Sales per type juli'!$B$10:$B$51,0),$FG$2+1),0)</f>
        <v>7198000</v>
      </c>
      <c r="AU9" s="192">
        <f>AS9-AT9</f>
        <v>0</v>
      </c>
      <c r="AV9" s="192">
        <f>IFERROR(INDEX('[1]SALES PERTYPE'!$R$10:$R$52,MATCH($C9,'[1]SALES PERTYPE'!$B$10:$B$52,0)),0)</f>
        <v>4</v>
      </c>
      <c r="AW9" s="192">
        <f>IFERROR(INDEX('[1]Sales per type juli'!$D$10:$BA$51,MATCH($C9,'[1]Sales per type juli'!$B$10:$B$51,0),MATCH("Y31d ",'[1]Sales per type juli'!$D$8:$BA$8,0)),0)</f>
        <v>2</v>
      </c>
      <c r="AX9" s="192">
        <f>AV9-AW9</f>
        <v>2</v>
      </c>
      <c r="AY9" s="192">
        <f>IFERROR(INDEX('[1]SALES PERTYPE'!$S$10:$S$52,MATCH($C9,'[1]SALES PERTYPE'!$B$10:$B$52,0)),0)</f>
        <v>14396000</v>
      </c>
      <c r="AZ9" s="192" cm="1">
        <f t="array" ref="AZ9">IFERROR(INDEX('[1]Sales per type juli'!$D$10:$BA$51,MATCH($C9,'[1]Sales per type juli'!$B$10:$B$51,0),MATCH("Y31d ",'[1]Sales per type juli'!$D$8:$BA$8,0)+1),0)</f>
        <v>7198000</v>
      </c>
      <c r="BA9" s="192">
        <f>AY9-AZ9</f>
        <v>7198000</v>
      </c>
      <c r="BB9" s="192">
        <f>IFERROR(INDEX('[1]SALES PERTYPE'!$T$10:$T$52,MATCH($C9,'[1]SALES PERTYPE'!$B$10:$B$52,0)),0)</f>
        <v>2</v>
      </c>
      <c r="BC9" s="192">
        <f>IFERROR(INDEX('[1]Sales per type juli'!$D$10:$BA$51,MATCH($C9,'[1]Sales per type juli'!$B$10:$B$51,0),MATCH("V70 FE",'[1]Sales per type juli'!$D$8:$BA$8,0)),0)</f>
        <v>2</v>
      </c>
      <c r="BD9" s="192">
        <f>BB9-BC9</f>
        <v>0</v>
      </c>
      <c r="BE9" s="192">
        <f>IFERROR(INDEX('[1]SALES PERTYPE'!$U$10:$U$52,MATCH($C9,'[1]SALES PERTYPE'!$B$10:$B$52,0)),0)</f>
        <v>14498000</v>
      </c>
      <c r="BF9" s="192" cm="1">
        <f t="array" ref="BF9">IFERROR(INDEX('[1]Sales per type juli'!$D$10:$BA$51,MATCH($C9,'[1]Sales per type juli'!$B$10:$B$51,0),MATCH("V70 FE",'[1]Sales per type juli'!$D$8:$BA$8,0)+1),0)</f>
        <v>13698000</v>
      </c>
      <c r="BG9" s="192">
        <f>BE9-BF9</f>
        <v>800000</v>
      </c>
      <c r="BH9" s="192">
        <f>IFERROR(INDEX('[1]SALES PERTYPE'!$V$10:$V$52,MATCH($C9,'[1]SALES PERTYPE'!$B$10:$B$52,0)),0)</f>
        <v>7</v>
      </c>
      <c r="BI9" s="192">
        <f>IFERROR(INDEX('[1]Sales per type juli'!$D$10:$BA$51,MATCH($C9,'[1]Sales per type juli'!$B$10:$B$51,0),MATCH("Y31d",'[1]Sales per type juli'!$D$8:$BA$8,0)),0)</f>
        <v>6</v>
      </c>
      <c r="BJ9" s="192">
        <f>BH9-BI9</f>
        <v>1</v>
      </c>
      <c r="BK9" s="192">
        <f>IFERROR(INDEX('[1]SALES PERTYPE'!$W$10:$W$52,MATCH($C9,'[1]SALES PERTYPE'!$B$10:$B$52,0)),0)</f>
        <v>25193000</v>
      </c>
      <c r="BL9" s="192" cm="1">
        <f t="array" ref="BL9">IFERROR(INDEX('[1]Sales per type juli'!$D$10:$BA$51,MATCH($C9,'[1]Sales per type juli'!$B$10:$B$51,0),MATCH("Y31d",'[1]Sales per type juli'!$D$8:$BA$8,0)+1),0)</f>
        <v>21594000</v>
      </c>
      <c r="BM9" s="192">
        <f>BK9-BL9</f>
        <v>3599000</v>
      </c>
      <c r="BN9" s="192">
        <f>IFERROR(INDEX('[1]SALES PERTYPE'!$X$10:$X$52,MATCH($C9,'[1]SALES PERTYPE'!$B$10:$B$52,0)),0)</f>
        <v>3</v>
      </c>
      <c r="BO9" s="192">
        <f>IFERROR(INDEX('[1]Sales per type juli'!$D$10:$BA$51,MATCH($C9,'[1]Sales per type juli'!$B$10:$B$51,0),MATCH("Y500",'[1]Sales per type juli'!$D$8:$BA$8,0)),0)</f>
        <v>3</v>
      </c>
      <c r="BP9" s="192">
        <f>BN9-BO9</f>
        <v>0</v>
      </c>
      <c r="BQ9" s="192">
        <f>IFERROR(INDEX('[1]SALES PERTYPE'!$Y$10:$Y$52,MATCH($C9,'[1]SALES PERTYPE'!$B$10:$B$52,0)),0)</f>
        <v>16497000</v>
      </c>
      <c r="BR9" s="192" cm="1">
        <f t="array" ref="BR9">IFERROR(INDEX('[1]Sales per type juli'!$D$10:$BA$51,MATCH($C9,'[1]Sales per type juli'!$B$10:$B$51,0),MATCH("Y500",'[1]Sales per type juli'!$D$8:$BA$8,0)+1),0)</f>
        <v>16497000</v>
      </c>
      <c r="BS9" s="192">
        <f>BQ9-BR9</f>
        <v>0</v>
      </c>
      <c r="BT9" s="192">
        <f>IFERROR(INDEX('[1]SALES PERTYPE'!$Z$10:$Z$52,MATCH($C9,'[1]SALES PERTYPE'!$B$10:$B$52,0)),0)</f>
        <v>0</v>
      </c>
      <c r="BU9" s="192">
        <f>IFERROR(INDEX('[1]Sales per type juli'!$D$10:$BA$51,MATCH($C9,'[1]Sales per type juli'!$B$10:$B$51,0),MATCH("IQOO 15R",'[1]Sales per type juli'!$D$8:$BA$8,0)),0)</f>
        <v>1</v>
      </c>
      <c r="BV9" s="192">
        <f>BT9-BU9</f>
        <v>-1</v>
      </c>
      <c r="BW9" s="192">
        <f>IFERROR(INDEX('[1]SALES PERTYPE'!$AA$10:$AA$52,MATCH($C9,'[1]SALES PERTYPE'!$B$10:$B$52,0)),0)</f>
        <v>0</v>
      </c>
      <c r="BX9" s="192" cm="1">
        <f t="array" ref="BX9">IFERROR(INDEX('[1]Sales per type juli'!$D$10:$BA$51,MATCH($C9,'[1]Sales per type juli'!$B$10:$B$51,0),MATCH("IQOO 15R",'[1]Sales per type juli'!$D$8:$BA$8,0)+1),0)</f>
        <v>9899000</v>
      </c>
      <c r="BY9" s="192">
        <f>BW9-BX9</f>
        <v>-9899000</v>
      </c>
      <c r="BZ9" s="192">
        <f>IFERROR(INDEX('[1]SALES PERTYPE'!$AB$10:$AB$52,MATCH($C9,'[1]SALES PERTYPE'!$B$10:$B$52,0)),0)</f>
        <v>4</v>
      </c>
      <c r="CA9" s="192">
        <f>IFERROR(INDEX('[1]Sales per type juli'!$D$10:$BA$51,MATCH($C9,'[1]Sales per type juli'!$B$10:$B$51,0),MATCH("V60 Lite",'[1]Sales per type juli'!$D$8:$BA$8,0)),0)</f>
        <v>1</v>
      </c>
      <c r="CB9" s="192">
        <f>BZ9-CA9</f>
        <v>3</v>
      </c>
      <c r="CC9" s="192">
        <f>IFERROR(INDEX('[1]SALES PERTYPE'!$AC$10:$AC$52,MATCH($C9,'[1]SALES PERTYPE'!$B$10:$B$52,0)),0)</f>
        <v>22996000</v>
      </c>
      <c r="CD9" s="192" cm="1">
        <f t="array" ref="CD9">IFERROR(INDEX('[1]Sales per type juli'!$D$10:$BA$51,MATCH($C9,'[1]Sales per type juli'!$B$10:$B$51,0),MATCH("V60 Lite",'[1]Sales per type juli'!$D$8:$BA$8,0)+1),0)</f>
        <v>5299000</v>
      </c>
      <c r="CE9" s="192">
        <f>CC9-CD9</f>
        <v>17697000</v>
      </c>
      <c r="CF9" s="192">
        <f>IFERROR(INDEX('[1]SALES PERTYPE'!$AD$10:$AD$52,MATCH($C9,'[1]SALES PERTYPE'!$B$10:$B$52,0)),0)</f>
        <v>0</v>
      </c>
      <c r="CG9" s="192">
        <f>IFERROR(INDEX('[1]Sales per type juli'!$D$10:$BA$51,MATCH($C9,'[1]Sales per type juli'!$B$10:$B$51,0),MATCH("X300 Ultra",'[1]Sales per type juli'!$D$8:$BA$8,0)),0)</f>
        <v>0</v>
      </c>
      <c r="CH9" s="192">
        <f>CF9-CG9</f>
        <v>0</v>
      </c>
      <c r="CI9" s="192">
        <f>IFERROR(INDEX('[1]SALES PERTYPE'!$AE$10:$AE$52,MATCH($C9,'[1]SALES PERTYPE'!$B$10:$B$52,0)),0)</f>
        <v>0</v>
      </c>
      <c r="CJ9" s="192" cm="1">
        <f t="array" ref="CJ9">IFERROR(INDEX('[1]Sales per type juli'!$D$10:$BA$51,MATCH($C9,'[1]Sales per type juli'!$B$10:$B$51,0),MATCH("X300 Ultra",'[1]Sales per type juli'!$D$8:$BA$8,0)+1),0)</f>
        <v>0</v>
      </c>
      <c r="CK9" s="192">
        <f>CI9-CJ9</f>
        <v>0</v>
      </c>
      <c r="CL9" s="192">
        <f>IFERROR(INDEX('[1]SALES PERTYPE'!$AF$10:$AF$52,MATCH($C9,'[1]SALES PERTYPE'!$B$10:$B$52,0)),0)</f>
        <v>0</v>
      </c>
      <c r="CM9" s="192">
        <f>IFERROR(INDEX('[1]Sales per type juli'!$D$10:$BA$51,MATCH($C9,'[1]Sales per type juli'!$B$10:$B$51,0),MATCH("IQOO 15",'[1]Sales per type juli'!$D$8:$BA$8,0)),0)</f>
        <v>0</v>
      </c>
      <c r="CN9" s="192">
        <f>CL9-CM9</f>
        <v>0</v>
      </c>
      <c r="CO9" s="192">
        <f>IFERROR(INDEX('[1]SALES PERTYPE'!$AG$10:$AG$52,MATCH($C9,'[1]SALES PERTYPE'!$B$10:$B$52,0)),0)</f>
        <v>0</v>
      </c>
      <c r="CP9" s="192" cm="1">
        <f t="array" ref="CP9">IFERROR(INDEX('[1]Sales per type juli'!$D$10:$BA$51,MATCH($C9,'[1]Sales per type juli'!$B$10:$B$51,0),MATCH("IQOO 15",'[1]Sales per type juli'!$D$8:$BA$8,0)+1),0)</f>
        <v>0</v>
      </c>
      <c r="CQ9" s="192">
        <f>CO9-CP9</f>
        <v>0</v>
      </c>
      <c r="CR9" s="192">
        <f>IFERROR(INDEX('[1]SALES PERTYPE'!$AH$10:$AH$52,MATCH($C9,'[1]SALES PERTYPE'!$B$10:$B$52,0)),0)</f>
        <v>1</v>
      </c>
      <c r="CS9" s="192">
        <f>IFERROR(INDEX('[1]Sales per type juli'!$D$10:$BA$51,MATCH($C9,'[1]Sales per type juli'!$B$10:$B$51,0),MATCH("IQOO Z11x",'[1]Sales per type juli'!$D$8:$BA$8,0)),0)</f>
        <v>4</v>
      </c>
      <c r="CT9" s="192">
        <f>CR9-CS9</f>
        <v>-3</v>
      </c>
      <c r="CU9" s="192">
        <f>IFERROR(INDEX('[1]SALES PERTYPE'!$AI$10:$AI$52,MATCH($C9,'[1]SALES PERTYPE'!$B$10:$B$52,0)),0)</f>
        <v>5699000</v>
      </c>
      <c r="CV9" s="192" cm="1">
        <f t="array" ref="CV9">IFERROR(INDEX('[1]Sales per type juli'!$D$10:$BA$51,MATCH($C9,'[1]Sales per type juli'!$B$10:$B$51,0),MATCH("IQOO Z11x",'[1]Sales per type juli'!$D$8:$BA$8,0)+1),0)</f>
        <v>19196000</v>
      </c>
      <c r="CW9" s="192">
        <f>CU9-CV9</f>
        <v>-13497000</v>
      </c>
      <c r="CX9" s="192">
        <f>IFERROR(INDEX('[1]SALES PERTYPE'!$AJ$10:$AJ$52,MATCH($C9,'[1]SALES PERTYPE'!$B$10:$B$52,0)),0)</f>
        <v>1</v>
      </c>
      <c r="CY9" s="192">
        <f>IFERROR(INDEX('[1]Sales per type juli'!$D$10:$BA$51,MATCH($C9,'[1]Sales per type juli'!$B$10:$B$51,0),MATCH("IQOO Z11",'[1]Sales per type juli'!$D$8:$BA$8,0)),0)</f>
        <v>4</v>
      </c>
      <c r="CZ9" s="192">
        <f>CX9-CY9</f>
        <v>-3</v>
      </c>
      <c r="DA9" s="192">
        <f>IFERROR(INDEX('[1]SALES PERTYPE'!$AK$10:$AK$52,MATCH($C9,'[1]SALES PERTYPE'!$B$10:$B$52,0)),0)</f>
        <v>6899000</v>
      </c>
      <c r="DB9" s="192" cm="1">
        <f t="array" ref="DB9">IFERROR(INDEX('[1]Sales per type juli'!$D$10:$BA$51,MATCH($C9,'[1]Sales per type juli'!$B$10:$B$51,0),MATCH("IQOO Z11",'[1]Sales per type juli'!$D$8:$BA$8,0)+1),0)</f>
        <v>22796000</v>
      </c>
      <c r="DC9" s="192">
        <f>DA9-DB9</f>
        <v>-15897000</v>
      </c>
      <c r="DD9" s="192">
        <v>0</v>
      </c>
      <c r="DE9" s="192">
        <f>IFERROR(INDEX('[1]Sales per type juli'!$D$10:$BA$51,MATCH($C9,'[1]Sales per type juli'!$B$10:$B$51,0),MATCH("WATCH 3",'[1]Sales per type juli'!$D$8:$BA$8,0)),0)</f>
        <v>0</v>
      </c>
      <c r="DF9" s="192">
        <f>DD9-DE9</f>
        <v>0</v>
      </c>
      <c r="DG9" s="192">
        <v>0</v>
      </c>
      <c r="DH9" s="192" cm="1">
        <f t="array" ref="DH9">IFERROR(INDEX('[1]Sales per type juli'!$D$10:$BA$51,MATCH($C9,'[1]Sales per type juli'!$B$10:$B$51,0),MATCH("WATCH 3",'[1]Sales per type juli'!$D$8:$BA$8,0)+1),0)</f>
        <v>0</v>
      </c>
      <c r="DI9" s="192">
        <f>DG9-DH9</f>
        <v>0</v>
      </c>
      <c r="DJ9" s="192">
        <v>0</v>
      </c>
      <c r="DK9" s="192">
        <f>IFERROR(INDEX('[1]Sales per type juli'!$D$10:$BA$51,MATCH($C9,'[1]Sales per type juli'!$B$10:$B$51,0),MATCH("X300 Demo",'[1]Sales per type juli'!$D$8:$BA$8,0)),0)</f>
        <v>0</v>
      </c>
      <c r="DL9" s="192">
        <f>DJ9-DK9</f>
        <v>0</v>
      </c>
      <c r="DM9" s="192">
        <v>0</v>
      </c>
      <c r="DN9" s="192" cm="1">
        <f t="array" ref="DN9">IFERROR(INDEX('[1]Sales per type juli'!$D$10:$BA$51,MATCH($C9,'[1]Sales per type juli'!$B$10:$B$51,0),MATCH("X300 Demo",'[1]Sales per type juli'!$D$8:$BA$8,0)+1),0)</f>
        <v>0</v>
      </c>
      <c r="DO9" s="192">
        <f>DM9-DN9</f>
        <v>0</v>
      </c>
      <c r="DP9" s="192">
        <v>0</v>
      </c>
      <c r="DQ9" s="192">
        <f>IFERROR(INDEX('[1]Sales per type juli'!$D$10:$BA$51,MATCH($C9,'[1]Sales per type juli'!$B$10:$B$51,0),MATCH("X300 Pro Demo",'[1]Sales per type juli'!$D$8:$BA$8,0)),0)</f>
        <v>0</v>
      </c>
      <c r="DR9" s="192">
        <f>DP9-DQ9</f>
        <v>0</v>
      </c>
      <c r="DS9" s="192">
        <v>0</v>
      </c>
      <c r="DT9" s="192" cm="1">
        <f t="array" ref="DT9">IFERROR(INDEX('[1]Sales per type juli'!$D$10:$BA$51,MATCH($C9,'[1]Sales per type juli'!$B$10:$B$51,0),MATCH("X300 Pro Demo",'[1]Sales per type juli'!$D$8:$BA$8,0)+1),0)</f>
        <v>0</v>
      </c>
      <c r="DU9" s="192">
        <f>DS9-DT9</f>
        <v>0</v>
      </c>
      <c r="DV9" s="192">
        <v>0</v>
      </c>
      <c r="DW9" s="192">
        <f>IFERROR(INDEX('[1]Sales per type juli'!$D$10:$BA$51,MATCH($C9,'[1]Sales per type juli'!$B$10:$B$51,0),MATCH("X Fold5 DEMO",'[1]Sales per type juli'!$D$8:$BA$8,0)),0)</f>
        <v>0</v>
      </c>
      <c r="DX9" s="192">
        <f>DV9-DW9</f>
        <v>0</v>
      </c>
      <c r="DY9" s="192">
        <v>0</v>
      </c>
      <c r="DZ9" s="192" cm="1">
        <f t="array" ref="DZ9">IFERROR(INDEX('[1]Sales per type juli'!$D$10:$BA$51,MATCH($C9,'[1]Sales per type juli'!$B$10:$B$51,0),MATCH("X Fold5 DEMO",'[1]Sales per type juli'!$D$8:$BA$8,0)+1),0)</f>
        <v>0</v>
      </c>
      <c r="EA9" s="192">
        <f>DY9-DZ9</f>
        <v>0</v>
      </c>
      <c r="EB9" s="192">
        <v>0</v>
      </c>
      <c r="EC9" s="192">
        <f>IFERROR(INDEX('[1]Sales per type juli'!$D$10:$BA$51,MATCH($C9,'[1]Sales per type juli'!$B$10:$B$51,0),MATCH("X Fold5",'[1]Sales per type juli'!$D$8:$BA$8,0)),0)</f>
        <v>0</v>
      </c>
      <c r="ED9" s="192">
        <f>EB9-EC9</f>
        <v>0</v>
      </c>
      <c r="EE9" s="192">
        <v>0</v>
      </c>
      <c r="EF9" s="192" cm="1">
        <f t="array" ref="EF9">IFERROR(INDEX('[1]Sales per type juli'!$D$10:$BA$51,MATCH($C9,'[1]Sales per type juli'!$B$10:$B$51,0),MATCH("X Fold5",'[1]Sales per type juli'!$D$8:$BA$8,0)+1),0)</f>
        <v>0</v>
      </c>
      <c r="EG9" s="192">
        <f>EE9-EF9</f>
        <v>0</v>
      </c>
      <c r="EH9" s="192">
        <v>0</v>
      </c>
      <c r="EI9" s="192">
        <f>IFERROR(INDEX('[1]Sales per type juli'!$D$10:$BA$51,MATCH($C9,'[1]Sales per type juli'!$B$10:$B$51,0),MATCH("IQOO 15 Demo",'[1]Sales per type juli'!$D$8:$BA$8,0)),0)</f>
        <v>0</v>
      </c>
      <c r="EJ9" s="192">
        <f>EH9-EI9</f>
        <v>0</v>
      </c>
      <c r="EK9" s="192">
        <v>0</v>
      </c>
      <c r="EL9" s="192" cm="1">
        <f t="array" ref="EL9">IFERROR(INDEX('[1]Sales per type juli'!$D$10:$BA$51,MATCH($C9,'[1]Sales per type juli'!$B$10:$B$51,0),MATCH("IQOO 15 Demo",'[1]Sales per type juli'!$D$8:$BA$8,0)+1),0)</f>
        <v>0</v>
      </c>
      <c r="EM9" s="192">
        <f>EK9-EL9</f>
        <v>0</v>
      </c>
      <c r="EN9" s="192">
        <v>0</v>
      </c>
      <c r="EO9" s="192">
        <f>IFERROR(INDEX('[1]Sales per type juli'!$D$10:$BA$51,MATCH($C9,'[1]Sales per type juli'!$B$10:$B$51,0),MATCH("X300 PRO",'[1]Sales per type juli'!$D$8:$BA$8,0)),0)</f>
        <v>0</v>
      </c>
      <c r="EP9" s="192">
        <f>EN9-EO9</f>
        <v>0</v>
      </c>
      <c r="EQ9" s="192">
        <v>0</v>
      </c>
      <c r="ER9" s="192" cm="1">
        <f t="array" ref="ER9">IFERROR(INDEX('[1]Sales per type juli'!$D$10:$BA$51,MATCH($C9,'[1]Sales per type juli'!$B$10:$B$51,0),MATCH("X300 PRO",'[1]Sales per type juli'!$D$8:$BA$8,0)+1),0)</f>
        <v>0</v>
      </c>
      <c r="ES9" s="192">
        <f>EQ9-ER9</f>
        <v>0</v>
      </c>
      <c r="ET9" s="192">
        <v>0</v>
      </c>
      <c r="EU9" s="192">
        <f>IFERROR(INDEX('[1]Sales per type juli'!$D$10:$BA$51,MATCH($C9,'[1]Sales per type juli'!$B$10:$B$51,0),MATCH("X300 ",'[1]Sales per type juli'!$D$8:$BA$8,0)),0)</f>
        <v>0</v>
      </c>
      <c r="EV9" s="192">
        <f>ET9-EU9</f>
        <v>0</v>
      </c>
      <c r="EW9" s="192">
        <v>0</v>
      </c>
      <c r="EX9" s="192" cm="1">
        <f t="array" ref="EX9">IFERROR(INDEX('[1]Sales per type juli'!$D$10:$BA$51,MATCH($C9,'[1]Sales per type juli'!$B$10:$B$51,0),MATCH("X300 ",'[1]Sales per type juli'!$D$8:$BA$8,0)+1),0)</f>
        <v>0</v>
      </c>
      <c r="EY9" s="192">
        <f>EW9-EX9</f>
        <v>0</v>
      </c>
      <c r="EZ9" s="192">
        <f>F9+L9+R9+X9+AD9+AJ9+AP9+AV9+BB9+BH9+BN9+BT9+BZ9+CF9+CL9+CR9+CX9+DD9+DJ9+DP9+DV9+EB9+EH9+EN9+ET9</f>
        <v>155</v>
      </c>
      <c r="FA9" s="192">
        <f>G9+M9+S9+Y9+AE9+AK9+AQ9+AW9+BC9+BI9+BO9+BU9+CA9+CG9+CM9+CS9+CY9+DE9+DK9+DQ9+DW9+EC9+EI9+EO9+EU9</f>
        <v>152</v>
      </c>
      <c r="FB9" s="192">
        <f>EZ9-FA9</f>
        <v>3</v>
      </c>
      <c r="FC9" s="192">
        <f>I9+O9+U9+AA9+AG9+AM9+AS9+AY9+BE9+BK9+BQ9+BW9+CC9+CI9+CO9+CU9+DA9+DG9+DM9+DS9+DY9+EE9+EK9+EQ9+EW9</f>
        <v>442945000</v>
      </c>
      <c r="FD9" s="192">
        <f>J9+P9+V9+AB9+AH9+AN9+AT9+AZ9+BF9+BL9+BR9+BX9+CD9+CJ9+CP9+CV9+DB9+DH9+DN9+DT9+DZ9+EF9+EL9+ER9+EX9</f>
        <v>431748000</v>
      </c>
      <c r="FE9" s="192">
        <f>FC9-FD9</f>
        <v>11197000</v>
      </c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</row>
    <row r="10" spans="1:208" ht="16" x14ac:dyDescent="0.2">
      <c r="A10" s="139">
        <f>'[1]ACHIEVEMENT STORE'!A10</f>
        <v>6</v>
      </c>
      <c r="B10" s="140" t="str">
        <f>'[1]ACHIEVEMENT STORE'!B10</f>
        <v>601 雅加达西北 JKT BU</v>
      </c>
      <c r="C10" s="139">
        <f>'[1]ACHIEVEMENT STORE'!C10</f>
        <v>6010710</v>
      </c>
      <c r="D10" s="140" t="str">
        <f>'[1]ACHIEVEMENT STORE'!D10</f>
        <v>A100304-PAMERAN SELATAN</v>
      </c>
      <c r="E10" s="140" t="str">
        <f>'[1]ACHIEVEMENT STORE'!E10</f>
        <v>NUR IRAWATI</v>
      </c>
      <c r="F10" s="192">
        <f>IFERROR(INDEX('[1]SALES PERTYPE'!$D$10:$D$52,MATCH($C10,'[1]SALES PERTYPE'!$B$10:$B$52,0)),0)</f>
        <v>8</v>
      </c>
      <c r="G10" s="192">
        <f>IFERROR(INDEX('[1]Sales per type juli'!$D$10:$BA$51,MATCH($C10,'[1]Sales per type juli'!$B$10:$B$51,0),MATCH("Y05",'[1]Sales per type juli'!$D$8:$BA$8,0)),0)</f>
        <v>26</v>
      </c>
      <c r="H10" s="192">
        <f>F10-G10</f>
        <v>-18</v>
      </c>
      <c r="I10" s="192">
        <f>IFERROR(INDEX('[1]SALES PERTYPE'!$E$10:$E$52,MATCH($C10,'[1]SALES PERTYPE'!$B$10:$B$52,0)),0)</f>
        <v>19592000</v>
      </c>
      <c r="J10" s="192" cm="1">
        <f t="array" ref="J10">IFERROR(INDEX('[1]Sales per type juli'!$D$10:$BA$51,MATCH($C10,'[1]Sales per type juli'!$B$10:$B$51,0),MATCH("Y05",'[1]Sales per type juli'!$D$8:$BA$8,0)+1),0)</f>
        <v>55774000</v>
      </c>
      <c r="K10" s="192">
        <f>I10-J10</f>
        <v>-36182000</v>
      </c>
      <c r="L10" s="192">
        <f>IFERROR(INDEX('[1]SALES PERTYPE'!$F$10:$F$52,MATCH($C10,'[1]SALES PERTYPE'!$B$10:$B$52,0)),0)</f>
        <v>7</v>
      </c>
      <c r="M10" s="192">
        <f>IFERROR(INDEX('[1]Sales per type juli'!$D$10:$BA$51,MATCH($C10,'[1]Sales per type juli'!$B$10:$B$51,0),MATCH("Y11d",'[1]Sales per type juli'!$D$8:$BA$8,0)),0)</f>
        <v>2</v>
      </c>
      <c r="N10" s="192">
        <f>L10-M10</f>
        <v>5</v>
      </c>
      <c r="O10" s="192">
        <f>IFERROR(INDEX('[1]SALES PERTYPE'!$G$10:$G$52,MATCH($C10,'[1]SALES PERTYPE'!$B$10:$B$52,0)),0)</f>
        <v>18393000</v>
      </c>
      <c r="P10" s="192" cm="1">
        <f t="array" ref="P10">IFERROR(INDEX('[1]Sales per type juli'!$D$10:$BA$51,MATCH($C10,'[1]Sales per type juli'!$B$10:$B$51,0),MATCH("Y11d",'[1]Sales per type juli'!$D$8:$BA$8,0)+1),0)</f>
        <v>5198000</v>
      </c>
      <c r="Q10" s="192">
        <f>O10-P10</f>
        <v>13195000</v>
      </c>
      <c r="R10" s="192">
        <f>IFERROR(INDEX('[1]SALES PERTYPE'!$H$10:$H$52,MATCH($C10,'[1]SALES PERTYPE'!$B$10:$B$52,0)),0)</f>
        <v>0</v>
      </c>
      <c r="S10" s="192">
        <f>IFERROR(INDEX('[1]Sales per type juli'!$D$10:$BA$51,MATCH($C10,'[1]Sales per type juli'!$B$10:$B$51,0),MATCH("Watch GT 2",'[1]Sales per type juli'!$D$8:$BA$8,0)),0)</f>
        <v>0</v>
      </c>
      <c r="T10" s="192">
        <f>R10-S10</f>
        <v>0</v>
      </c>
      <c r="U10" s="192">
        <f>IFERROR(INDEX('[1]SALES PERTYPE'!$I$10:$I$52,MATCH($C10,'[1]SALES PERTYPE'!$B$10:$B$52,0)),0)</f>
        <v>0</v>
      </c>
      <c r="V10" s="192" cm="1">
        <f t="array" ref="V10">IFERROR(INDEX('[1]Sales per type juli'!$D$10:$BA$51,MATCH($C10,'[1]Sales per type juli'!$B$10:$B$51,0),MATCH("Watch GT 2",'[1]Sales per type juli'!$D$8:$BA$8,0)+1),0)</f>
        <v>0</v>
      </c>
      <c r="W10" s="192">
        <f>U10-V10</f>
        <v>0</v>
      </c>
      <c r="X10" s="192">
        <f>IFERROR(INDEX('[1]SALES PERTYPE'!$J$10:$J$52,MATCH($C10,'[1]SALES PERTYPE'!$B$10:$B$52,0)),0)</f>
        <v>31</v>
      </c>
      <c r="Y10" s="192">
        <f>IFERROR(INDEX('[1]Sales per type juli'!$D$10:$BA$51,MATCH($C10,'[1]Sales per type juli'!$B$10:$B$51,0),MATCH("Y05e",'[1]Sales per type juli'!$D$8:$BA$8,0)),0)</f>
        <v>0</v>
      </c>
      <c r="Z10" s="192">
        <f>X10-Y10</f>
        <v>31</v>
      </c>
      <c r="AA10" s="192">
        <f>IFERROR(INDEX('[1]SALES PERTYPE'!$K$10:$K$52,MATCH($C10,'[1]SALES PERTYPE'!$B$10:$B$52,0)),0)</f>
        <v>65069000</v>
      </c>
      <c r="AB10" s="192" cm="1">
        <f t="array" ref="AB10">IFERROR(INDEX('[1]Sales per type juli'!$D$10:$BA$51,MATCH($C10,'[1]Sales per type juli'!$B$10:$B$51,0),MATCH("Y05e",'[1]Sales per type juli'!$D$8:$BA$8,0)+1),0)</f>
        <v>0</v>
      </c>
      <c r="AC10" s="192">
        <f>AA10-AB10</f>
        <v>65069000</v>
      </c>
      <c r="AD10" s="192">
        <f>IFERROR(INDEX('[1]SALES PERTYPE'!$L$10:$L$52,MATCH($C10,'[1]SALES PERTYPE'!$B$10:$B$52,0)),0)</f>
        <v>0</v>
      </c>
      <c r="AE10" s="192">
        <f>IFERROR(INDEX('[1]Sales per type juli'!$D$10:$BA$51,MATCH($C10,'[1]Sales per type juli'!$B$10:$B$51,0),MATCH("V70",'[1]Sales per type juli'!$D$8:$BA$8,0)),0)</f>
        <v>1</v>
      </c>
      <c r="AF10" s="192">
        <f>AD10-AE10</f>
        <v>-1</v>
      </c>
      <c r="AG10" s="192">
        <f>IFERROR(INDEX('[1]SALES PERTYPE'!$M$10:$M$52,MATCH($C10,'[1]SALES PERTYPE'!$B$10:$B$52,0)),0)</f>
        <v>0</v>
      </c>
      <c r="AH10" s="192" cm="1">
        <f t="array" ref="AH10">IFERROR(INDEX('[1]Sales per type juli'!$D$10:$BA$51,MATCH($C10,'[1]Sales per type juli'!$B$10:$B$51,0),MATCH("V70",'[1]Sales per type juli'!$D$8:$BA$8,0)+1),0)</f>
        <v>8999000</v>
      </c>
      <c r="AI10" s="192">
        <f>AG10-AH10</f>
        <v>-8999000</v>
      </c>
      <c r="AJ10" s="192">
        <f>IFERROR(INDEX('[1]SALES PERTYPE'!$N$10:$N$52,MATCH($C10,'[1]SALES PERTYPE'!$B$10:$B$52,0)),0)</f>
        <v>8</v>
      </c>
      <c r="AK10" s="192">
        <f>IFERROR(INDEX('[1]Sales per type juli'!$D$10:$BA$51,MATCH($C10,'[1]Sales per type juli'!$B$10:$B$51,0),MATCH("Y31d Pro",'[1]Sales per type juli'!$D$8:$BA$8,0)),0)</f>
        <v>2</v>
      </c>
      <c r="AL10" s="192">
        <f>AJ10-AK10</f>
        <v>6</v>
      </c>
      <c r="AM10" s="192">
        <f>IFERROR(INDEX('[1]SALES PERTYPE'!$O$10:$O$52,MATCH($C10,'[1]SALES PERTYPE'!$B$10:$B$52,0)),0)</f>
        <v>34992000</v>
      </c>
      <c r="AN10" s="192" cm="1">
        <f t="array" ref="AN10">IFERROR(INDEX('[1]Sales per type juli'!$D$10:$BA$51,MATCH($C10,'[1]Sales per type juli'!$B$10:$B$51,0),MATCH("Y31d Pro",'[1]Sales per type juli'!$D$8:$BA$8,0)+1),0)</f>
        <v>7798000</v>
      </c>
      <c r="AO10" s="192">
        <f>AM10-AN10</f>
        <v>27194000</v>
      </c>
      <c r="AP10" s="192">
        <f>IFERROR(INDEX('[1]SALES PERTYPE'!$P$10:$P$52,MATCH($C10,'[1]SALES PERTYPE'!$B$10:$B$52,0)),0)</f>
        <v>0</v>
      </c>
      <c r="AQ10" s="192" cm="1">
        <f t="array" ref="AQ10">IFERROR(INDEX('[1]Sales per type juli'!$D$10:$BA$51,MATCH($C10,'[1]Sales per type juli'!$B$10:$B$51,0),$FG$2),0)</f>
        <v>0</v>
      </c>
      <c r="AR10" s="192">
        <f>AP10-AQ10</f>
        <v>0</v>
      </c>
      <c r="AS10" s="192">
        <f>IFERROR(INDEX('[1]SALES PERTYPE'!$Q$10:$Q$52,MATCH($C10,'[1]SALES PERTYPE'!$B$10:$B$52,0)),0)</f>
        <v>0</v>
      </c>
      <c r="AT10" s="192" cm="1">
        <f t="array" ref="AT10">IFERROR(INDEX('[1]Sales per type juli'!$D$10:$BA$51,MATCH($C10,'[1]Sales per type juli'!$B$10:$B$51,0),$FG$2+1),0)</f>
        <v>0</v>
      </c>
      <c r="AU10" s="192">
        <f>AS10-AT10</f>
        <v>0</v>
      </c>
      <c r="AV10" s="192">
        <f>IFERROR(INDEX('[1]SALES PERTYPE'!$R$10:$R$52,MATCH($C10,'[1]SALES PERTYPE'!$B$10:$B$52,0)),0)</f>
        <v>2</v>
      </c>
      <c r="AW10" s="192">
        <f>IFERROR(INDEX('[1]Sales per type juli'!$D$10:$BA$51,MATCH($C10,'[1]Sales per type juli'!$B$10:$B$51,0),MATCH("Y31d ",'[1]Sales per type juli'!$D$8:$BA$8,0)),0)</f>
        <v>0</v>
      </c>
      <c r="AX10" s="192">
        <f>AV10-AW10</f>
        <v>2</v>
      </c>
      <c r="AY10" s="192">
        <f>IFERROR(INDEX('[1]SALES PERTYPE'!$S$10:$S$52,MATCH($C10,'[1]SALES PERTYPE'!$B$10:$B$52,0)),0)</f>
        <v>7198000</v>
      </c>
      <c r="AZ10" s="192" cm="1">
        <f t="array" ref="AZ10">IFERROR(INDEX('[1]Sales per type juli'!$D$10:$BA$51,MATCH($C10,'[1]Sales per type juli'!$B$10:$B$51,0),MATCH("Y31d ",'[1]Sales per type juli'!$D$8:$BA$8,0)+1),0)</f>
        <v>0</v>
      </c>
      <c r="BA10" s="192">
        <f>AY10-AZ10</f>
        <v>7198000</v>
      </c>
      <c r="BB10" s="192">
        <f>IFERROR(INDEX('[1]SALES PERTYPE'!$T$10:$T$52,MATCH($C10,'[1]SALES PERTYPE'!$B$10:$B$52,0)),0)</f>
        <v>0</v>
      </c>
      <c r="BC10" s="192">
        <f>IFERROR(INDEX('[1]Sales per type juli'!$D$10:$BA$51,MATCH($C10,'[1]Sales per type juli'!$B$10:$B$51,0),MATCH("V70 FE",'[1]Sales per type juli'!$D$8:$BA$8,0)),0)</f>
        <v>3</v>
      </c>
      <c r="BD10" s="192">
        <f>BB10-BC10</f>
        <v>-3</v>
      </c>
      <c r="BE10" s="192">
        <f>IFERROR(INDEX('[1]SALES PERTYPE'!$U$10:$U$52,MATCH($C10,'[1]SALES PERTYPE'!$B$10:$B$52,0)),0)</f>
        <v>0</v>
      </c>
      <c r="BF10" s="192" cm="1">
        <f t="array" ref="BF10">IFERROR(INDEX('[1]Sales per type juli'!$D$10:$BA$51,MATCH($C10,'[1]Sales per type juli'!$B$10:$B$51,0),MATCH("V70 FE",'[1]Sales per type juli'!$D$8:$BA$8,0)+1),0)</f>
        <v>19497000</v>
      </c>
      <c r="BG10" s="192">
        <f>BE10-BF10</f>
        <v>-19497000</v>
      </c>
      <c r="BH10" s="192">
        <f>IFERROR(INDEX('[1]SALES PERTYPE'!$V$10:$V$52,MATCH($C10,'[1]SALES PERTYPE'!$B$10:$B$52,0)),0)</f>
        <v>0</v>
      </c>
      <c r="BI10" s="192">
        <f>IFERROR(INDEX('[1]Sales per type juli'!$D$10:$BA$51,MATCH($C10,'[1]Sales per type juli'!$B$10:$B$51,0),MATCH("Y31d",'[1]Sales per type juli'!$D$8:$BA$8,0)),0)</f>
        <v>5</v>
      </c>
      <c r="BJ10" s="192">
        <f>BH10-BI10</f>
        <v>-5</v>
      </c>
      <c r="BK10" s="192">
        <f>IFERROR(INDEX('[1]SALES PERTYPE'!$W$10:$W$52,MATCH($C10,'[1]SALES PERTYPE'!$B$10:$B$52,0)),0)</f>
        <v>0</v>
      </c>
      <c r="BL10" s="192" cm="1">
        <f t="array" ref="BL10">IFERROR(INDEX('[1]Sales per type juli'!$D$10:$BA$51,MATCH($C10,'[1]Sales per type juli'!$B$10:$B$51,0),MATCH("Y31d",'[1]Sales per type juli'!$D$8:$BA$8,0)+1),0)</f>
        <v>17995000</v>
      </c>
      <c r="BM10" s="192">
        <f>BK10-BL10</f>
        <v>-17995000</v>
      </c>
      <c r="BN10" s="192">
        <f>IFERROR(INDEX('[1]SALES PERTYPE'!$X$10:$X$52,MATCH($C10,'[1]SALES PERTYPE'!$B$10:$B$52,0)),0)</f>
        <v>2</v>
      </c>
      <c r="BO10" s="192">
        <f>IFERROR(INDEX('[1]Sales per type juli'!$D$10:$BA$51,MATCH($C10,'[1]Sales per type juli'!$B$10:$B$51,0),MATCH("Y500",'[1]Sales per type juli'!$D$8:$BA$8,0)),0)</f>
        <v>2</v>
      </c>
      <c r="BP10" s="192">
        <f>BN10-BO10</f>
        <v>0</v>
      </c>
      <c r="BQ10" s="192">
        <f>IFERROR(INDEX('[1]SALES PERTYPE'!$Y$10:$Y$52,MATCH($C10,'[1]SALES PERTYPE'!$B$10:$B$52,0)),0)</f>
        <v>11798000</v>
      </c>
      <c r="BR10" s="192" cm="1">
        <f t="array" ref="BR10">IFERROR(INDEX('[1]Sales per type juli'!$D$10:$BA$51,MATCH($C10,'[1]Sales per type juli'!$B$10:$B$51,0),MATCH("Y500",'[1]Sales per type juli'!$D$8:$BA$8,0)+1),0)</f>
        <v>10998000</v>
      </c>
      <c r="BS10" s="192">
        <f>BQ10-BR10</f>
        <v>800000</v>
      </c>
      <c r="BT10" s="192">
        <f>IFERROR(INDEX('[1]SALES PERTYPE'!$Z$10:$Z$52,MATCH($C10,'[1]SALES PERTYPE'!$B$10:$B$52,0)),0)</f>
        <v>0</v>
      </c>
      <c r="BU10" s="192">
        <f>IFERROR(INDEX('[1]Sales per type juli'!$D$10:$BA$51,MATCH($C10,'[1]Sales per type juli'!$B$10:$B$51,0),MATCH("IQOO 15R",'[1]Sales per type juli'!$D$8:$BA$8,0)),0)</f>
        <v>0</v>
      </c>
      <c r="BV10" s="192">
        <f>BT10-BU10</f>
        <v>0</v>
      </c>
      <c r="BW10" s="192">
        <f>IFERROR(INDEX('[1]SALES PERTYPE'!$AA$10:$AA$52,MATCH($C10,'[1]SALES PERTYPE'!$B$10:$B$52,0)),0)</f>
        <v>0</v>
      </c>
      <c r="BX10" s="192" cm="1">
        <f t="array" ref="BX10">IFERROR(INDEX('[1]Sales per type juli'!$D$10:$BA$51,MATCH($C10,'[1]Sales per type juli'!$B$10:$B$51,0),MATCH("IQOO 15R",'[1]Sales per type juli'!$D$8:$BA$8,0)+1),0)</f>
        <v>0</v>
      </c>
      <c r="BY10" s="192">
        <f>BW10-BX10</f>
        <v>0</v>
      </c>
      <c r="BZ10" s="192">
        <f>IFERROR(INDEX('[1]SALES PERTYPE'!$AB$10:$AB$52,MATCH($C10,'[1]SALES PERTYPE'!$B$10:$B$52,0)),0)</f>
        <v>0</v>
      </c>
      <c r="CA10" s="192">
        <f>IFERROR(INDEX('[1]Sales per type juli'!$D$10:$BA$51,MATCH($C10,'[1]Sales per type juli'!$B$10:$B$51,0),MATCH("V60 Lite",'[1]Sales per type juli'!$D$8:$BA$8,0)),0)</f>
        <v>0</v>
      </c>
      <c r="CB10" s="192">
        <f>BZ10-CA10</f>
        <v>0</v>
      </c>
      <c r="CC10" s="192">
        <f>IFERROR(INDEX('[1]SALES PERTYPE'!$AC$10:$AC$52,MATCH($C10,'[1]SALES PERTYPE'!$B$10:$B$52,0)),0)</f>
        <v>0</v>
      </c>
      <c r="CD10" s="192" cm="1">
        <f t="array" ref="CD10">IFERROR(INDEX('[1]Sales per type juli'!$D$10:$BA$51,MATCH($C10,'[1]Sales per type juli'!$B$10:$B$51,0),MATCH("V60 Lite",'[1]Sales per type juli'!$D$8:$BA$8,0)+1),0)</f>
        <v>0</v>
      </c>
      <c r="CE10" s="192">
        <f>CC10-CD10</f>
        <v>0</v>
      </c>
      <c r="CF10" s="192">
        <f>IFERROR(INDEX('[1]SALES PERTYPE'!$AD$10:$AD$52,MATCH($C10,'[1]SALES PERTYPE'!$B$10:$B$52,0)),0)</f>
        <v>0</v>
      </c>
      <c r="CG10" s="192">
        <f>IFERROR(INDEX('[1]Sales per type juli'!$D$10:$BA$51,MATCH($C10,'[1]Sales per type juli'!$B$10:$B$51,0),MATCH("X300 Ultra",'[1]Sales per type juli'!$D$8:$BA$8,0)),0)</f>
        <v>0</v>
      </c>
      <c r="CH10" s="192">
        <f>CF10-CG10</f>
        <v>0</v>
      </c>
      <c r="CI10" s="192">
        <f>IFERROR(INDEX('[1]SALES PERTYPE'!$AE$10:$AE$52,MATCH($C10,'[1]SALES PERTYPE'!$B$10:$B$52,0)),0)</f>
        <v>0</v>
      </c>
      <c r="CJ10" s="192" cm="1">
        <f t="array" ref="CJ10">IFERROR(INDEX('[1]Sales per type juli'!$D$10:$BA$51,MATCH($C10,'[1]Sales per type juli'!$B$10:$B$51,0),MATCH("X300 Ultra",'[1]Sales per type juli'!$D$8:$BA$8,0)+1),0)</f>
        <v>0</v>
      </c>
      <c r="CK10" s="192">
        <f>CI10-CJ10</f>
        <v>0</v>
      </c>
      <c r="CL10" s="192">
        <f>IFERROR(INDEX('[1]SALES PERTYPE'!$AF$10:$AF$52,MATCH($C10,'[1]SALES PERTYPE'!$B$10:$B$52,0)),0)</f>
        <v>0</v>
      </c>
      <c r="CM10" s="192">
        <f>IFERROR(INDEX('[1]Sales per type juli'!$D$10:$BA$51,MATCH($C10,'[1]Sales per type juli'!$B$10:$B$51,0),MATCH("IQOO 15",'[1]Sales per type juli'!$D$8:$BA$8,0)),0)</f>
        <v>0</v>
      </c>
      <c r="CN10" s="192">
        <f>CL10-CM10</f>
        <v>0</v>
      </c>
      <c r="CO10" s="192">
        <f>IFERROR(INDEX('[1]SALES PERTYPE'!$AG$10:$AG$52,MATCH($C10,'[1]SALES PERTYPE'!$B$10:$B$52,0)),0)</f>
        <v>0</v>
      </c>
      <c r="CP10" s="192" cm="1">
        <f t="array" ref="CP10">IFERROR(INDEX('[1]Sales per type juli'!$D$10:$BA$51,MATCH($C10,'[1]Sales per type juli'!$B$10:$B$51,0),MATCH("IQOO 15",'[1]Sales per type juli'!$D$8:$BA$8,0)+1),0)</f>
        <v>0</v>
      </c>
      <c r="CQ10" s="192">
        <f>CO10-CP10</f>
        <v>0</v>
      </c>
      <c r="CR10" s="192">
        <f>IFERROR(INDEX('[1]SALES PERTYPE'!$AH$10:$AH$52,MATCH($C10,'[1]SALES PERTYPE'!$B$10:$B$52,0)),0)</f>
        <v>0</v>
      </c>
      <c r="CS10" s="192">
        <f>IFERROR(INDEX('[1]Sales per type juli'!$D$10:$BA$51,MATCH($C10,'[1]Sales per type juli'!$B$10:$B$51,0),MATCH("IQOO Z11x",'[1]Sales per type juli'!$D$8:$BA$8,0)),0)</f>
        <v>1</v>
      </c>
      <c r="CT10" s="192">
        <f>CR10-CS10</f>
        <v>-1</v>
      </c>
      <c r="CU10" s="192">
        <f>IFERROR(INDEX('[1]SALES PERTYPE'!$AI$10:$AI$52,MATCH($C10,'[1]SALES PERTYPE'!$B$10:$B$52,0)),0)</f>
        <v>0</v>
      </c>
      <c r="CV10" s="192" cm="1">
        <f t="array" ref="CV10">IFERROR(INDEX('[1]Sales per type juli'!$D$10:$BA$51,MATCH($C10,'[1]Sales per type juli'!$B$10:$B$51,0),MATCH("IQOO Z11x",'[1]Sales per type juli'!$D$8:$BA$8,0)+1),0)</f>
        <v>4799000</v>
      </c>
      <c r="CW10" s="192">
        <f>CU10-CV10</f>
        <v>-4799000</v>
      </c>
      <c r="CX10" s="192">
        <f>IFERROR(INDEX('[1]SALES PERTYPE'!$AJ$10:$AJ$52,MATCH($C10,'[1]SALES PERTYPE'!$B$10:$B$52,0)),0)</f>
        <v>0</v>
      </c>
      <c r="CY10" s="192">
        <f>IFERROR(INDEX('[1]Sales per type juli'!$D$10:$BA$51,MATCH($C10,'[1]Sales per type juli'!$B$10:$B$51,0),MATCH("IQOO Z11",'[1]Sales per type juli'!$D$8:$BA$8,0)),0)</f>
        <v>1</v>
      </c>
      <c r="CZ10" s="192">
        <f>CX10-CY10</f>
        <v>-1</v>
      </c>
      <c r="DA10" s="192">
        <f>IFERROR(INDEX('[1]SALES PERTYPE'!$AK$10:$AK$52,MATCH($C10,'[1]SALES PERTYPE'!$B$10:$B$52,0)),0)</f>
        <v>0</v>
      </c>
      <c r="DB10" s="192" cm="1">
        <f t="array" ref="DB10">IFERROR(INDEX('[1]Sales per type juli'!$D$10:$BA$51,MATCH($C10,'[1]Sales per type juli'!$B$10:$B$51,0),MATCH("IQOO Z11",'[1]Sales per type juli'!$D$8:$BA$8,0)+1),0)</f>
        <v>5699000</v>
      </c>
      <c r="DC10" s="192">
        <f>DA10-DB10</f>
        <v>-5699000</v>
      </c>
      <c r="DD10" s="192">
        <v>0</v>
      </c>
      <c r="DE10" s="192">
        <f>IFERROR(INDEX('[1]Sales per type juli'!$D$10:$BA$51,MATCH($C10,'[1]Sales per type juli'!$B$10:$B$51,0),MATCH("WATCH 3",'[1]Sales per type juli'!$D$8:$BA$8,0)),0)</f>
        <v>0</v>
      </c>
      <c r="DF10" s="192">
        <f>DD10-DE10</f>
        <v>0</v>
      </c>
      <c r="DG10" s="192">
        <v>0</v>
      </c>
      <c r="DH10" s="192" cm="1">
        <f t="array" ref="DH10">IFERROR(INDEX('[1]Sales per type juli'!$D$10:$BA$51,MATCH($C10,'[1]Sales per type juli'!$B$10:$B$51,0),MATCH("WATCH 3",'[1]Sales per type juli'!$D$8:$BA$8,0)+1),0)</f>
        <v>0</v>
      </c>
      <c r="DI10" s="192">
        <f>DG10-DH10</f>
        <v>0</v>
      </c>
      <c r="DJ10" s="192">
        <v>0</v>
      </c>
      <c r="DK10" s="192">
        <f>IFERROR(INDEX('[1]Sales per type juli'!$D$10:$BA$51,MATCH($C10,'[1]Sales per type juli'!$B$10:$B$51,0),MATCH("X300 Demo",'[1]Sales per type juli'!$D$8:$BA$8,0)),0)</f>
        <v>1</v>
      </c>
      <c r="DL10" s="192">
        <f>DJ10-DK10</f>
        <v>-1</v>
      </c>
      <c r="DM10" s="192">
        <v>0</v>
      </c>
      <c r="DN10" s="192" cm="1">
        <f t="array" ref="DN10">IFERROR(INDEX('[1]Sales per type juli'!$D$10:$BA$51,MATCH($C10,'[1]Sales per type juli'!$B$10:$B$51,0),MATCH("X300 Demo",'[1]Sales per type juli'!$D$8:$BA$8,0)+1),0)</f>
        <v>18999000</v>
      </c>
      <c r="DO10" s="192">
        <f>DM10-DN10</f>
        <v>-18999000</v>
      </c>
      <c r="DP10" s="192">
        <v>0</v>
      </c>
      <c r="DQ10" s="192">
        <f>IFERROR(INDEX('[1]Sales per type juli'!$D$10:$BA$51,MATCH($C10,'[1]Sales per type juli'!$B$10:$B$51,0),MATCH("X300 Pro Demo",'[1]Sales per type juli'!$D$8:$BA$8,0)),0)</f>
        <v>0</v>
      </c>
      <c r="DR10" s="192">
        <f>DP10-DQ10</f>
        <v>0</v>
      </c>
      <c r="DS10" s="192">
        <v>0</v>
      </c>
      <c r="DT10" s="192" cm="1">
        <f t="array" ref="DT10">IFERROR(INDEX('[1]Sales per type juli'!$D$10:$BA$51,MATCH($C10,'[1]Sales per type juli'!$B$10:$B$51,0),MATCH("X300 Pro Demo",'[1]Sales per type juli'!$D$8:$BA$8,0)+1),0)</f>
        <v>0</v>
      </c>
      <c r="DU10" s="192">
        <f>DS10-DT10</f>
        <v>0</v>
      </c>
      <c r="DV10" s="192">
        <v>0</v>
      </c>
      <c r="DW10" s="192">
        <f>IFERROR(INDEX('[1]Sales per type juli'!$D$10:$BA$51,MATCH($C10,'[1]Sales per type juli'!$B$10:$B$51,0),MATCH("X Fold5 DEMO",'[1]Sales per type juli'!$D$8:$BA$8,0)),0)</f>
        <v>0</v>
      </c>
      <c r="DX10" s="192">
        <f>DV10-DW10</f>
        <v>0</v>
      </c>
      <c r="DY10" s="192">
        <v>0</v>
      </c>
      <c r="DZ10" s="192" cm="1">
        <f t="array" ref="DZ10">IFERROR(INDEX('[1]Sales per type juli'!$D$10:$BA$51,MATCH($C10,'[1]Sales per type juli'!$B$10:$B$51,0),MATCH("X Fold5 DEMO",'[1]Sales per type juli'!$D$8:$BA$8,0)+1),0)</f>
        <v>0</v>
      </c>
      <c r="EA10" s="192">
        <f>DY10-DZ10</f>
        <v>0</v>
      </c>
      <c r="EB10" s="192">
        <v>0</v>
      </c>
      <c r="EC10" s="192">
        <f>IFERROR(INDEX('[1]Sales per type juli'!$D$10:$BA$51,MATCH($C10,'[1]Sales per type juli'!$B$10:$B$51,0),MATCH("X Fold5",'[1]Sales per type juli'!$D$8:$BA$8,0)),0)</f>
        <v>0</v>
      </c>
      <c r="ED10" s="192">
        <f>EB10-EC10</f>
        <v>0</v>
      </c>
      <c r="EE10" s="192">
        <v>0</v>
      </c>
      <c r="EF10" s="192" cm="1">
        <f t="array" ref="EF10">IFERROR(INDEX('[1]Sales per type juli'!$D$10:$BA$51,MATCH($C10,'[1]Sales per type juli'!$B$10:$B$51,0),MATCH("X Fold5",'[1]Sales per type juli'!$D$8:$BA$8,0)+1),0)</f>
        <v>0</v>
      </c>
      <c r="EG10" s="192">
        <f>EE10-EF10</f>
        <v>0</v>
      </c>
      <c r="EH10" s="192">
        <v>0</v>
      </c>
      <c r="EI10" s="192">
        <f>IFERROR(INDEX('[1]Sales per type juli'!$D$10:$BA$51,MATCH($C10,'[1]Sales per type juli'!$B$10:$B$51,0),MATCH("IQOO 15 Demo",'[1]Sales per type juli'!$D$8:$BA$8,0)),0)</f>
        <v>0</v>
      </c>
      <c r="EJ10" s="192">
        <f>EH10-EI10</f>
        <v>0</v>
      </c>
      <c r="EK10" s="192">
        <v>0</v>
      </c>
      <c r="EL10" s="192" cm="1">
        <f t="array" ref="EL10">IFERROR(INDEX('[1]Sales per type juli'!$D$10:$BA$51,MATCH($C10,'[1]Sales per type juli'!$B$10:$B$51,0),MATCH("IQOO 15 Demo",'[1]Sales per type juli'!$D$8:$BA$8,0)+1),0)</f>
        <v>0</v>
      </c>
      <c r="EM10" s="192">
        <f>EK10-EL10</f>
        <v>0</v>
      </c>
      <c r="EN10" s="192">
        <v>0</v>
      </c>
      <c r="EO10" s="192">
        <f>IFERROR(INDEX('[1]Sales per type juli'!$D$10:$BA$51,MATCH($C10,'[1]Sales per type juli'!$B$10:$B$51,0),MATCH("X300 PRO",'[1]Sales per type juli'!$D$8:$BA$8,0)),0)</f>
        <v>0</v>
      </c>
      <c r="EP10" s="192">
        <f>EN10-EO10</f>
        <v>0</v>
      </c>
      <c r="EQ10" s="192">
        <v>0</v>
      </c>
      <c r="ER10" s="192" cm="1">
        <f t="array" ref="ER10">IFERROR(INDEX('[1]Sales per type juli'!$D$10:$BA$51,MATCH($C10,'[1]Sales per type juli'!$B$10:$B$51,0),MATCH("X300 PRO",'[1]Sales per type juli'!$D$8:$BA$8,0)+1),0)</f>
        <v>0</v>
      </c>
      <c r="ES10" s="192">
        <f>EQ10-ER10</f>
        <v>0</v>
      </c>
      <c r="ET10" s="192">
        <v>0</v>
      </c>
      <c r="EU10" s="192">
        <f>IFERROR(INDEX('[1]Sales per type juli'!$D$10:$BA$51,MATCH($C10,'[1]Sales per type juli'!$B$10:$B$51,0),MATCH("X300 ",'[1]Sales per type juli'!$D$8:$BA$8,0)),0)</f>
        <v>0</v>
      </c>
      <c r="EV10" s="192">
        <f>ET10-EU10</f>
        <v>0</v>
      </c>
      <c r="EW10" s="192">
        <v>0</v>
      </c>
      <c r="EX10" s="192" cm="1">
        <f t="array" ref="EX10">IFERROR(INDEX('[1]Sales per type juli'!$D$10:$BA$51,MATCH($C10,'[1]Sales per type juli'!$B$10:$B$51,0),MATCH("X300 ",'[1]Sales per type juli'!$D$8:$BA$8,0)+1),0)</f>
        <v>0</v>
      </c>
      <c r="EY10" s="192">
        <f>EW10-EX10</f>
        <v>0</v>
      </c>
      <c r="EZ10" s="192">
        <f>F10+L10+R10+X10+AD10+AJ10+AP10+AV10+BB10+BH10+BN10+BT10+BZ10+CF10+CL10+CR10+CX10+DD10+DJ10+DP10+DV10+EB10+EH10+EN10+ET10</f>
        <v>58</v>
      </c>
      <c r="FA10" s="192">
        <f>G10+M10+S10+Y10+AE10+AK10+AQ10+AW10+BC10+BI10+BO10+BU10+CA10+CG10+CM10+CS10+CY10+DE10+DK10+DQ10+DW10+EC10+EI10+EO10+EU10</f>
        <v>44</v>
      </c>
      <c r="FB10" s="192">
        <f>EZ10-FA10</f>
        <v>14</v>
      </c>
      <c r="FC10" s="192">
        <f>I10+O10+U10+AA10+AG10+AM10+AS10+AY10+BE10+BK10+BQ10+BW10+CC10+CI10+CO10+CU10+DA10+DG10+DM10+DS10+DY10+EE10+EK10+EQ10+EW10</f>
        <v>157042000</v>
      </c>
      <c r="FD10" s="192">
        <f>J10+P10+V10+AB10+AH10+AN10+AT10+AZ10+BF10+BL10+BR10+BX10+CD10+CJ10+CP10+CV10+DB10+DH10+DN10+DT10+DZ10+EF10+EL10+ER10+EX10</f>
        <v>155756000</v>
      </c>
      <c r="FE10" s="192">
        <f>FC10-FD10</f>
        <v>1286000</v>
      </c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</row>
    <row r="11" spans="1:208" ht="16" x14ac:dyDescent="0.2">
      <c r="A11" s="137">
        <f>'[1]ACHIEVEMENT STORE'!A11</f>
        <v>7</v>
      </c>
      <c r="B11" s="138" t="str">
        <f>'[1]ACHIEVEMENT STORE'!B11</f>
        <v>601 雅加达西北 JKT BU</v>
      </c>
      <c r="C11" s="137">
        <f>'[1]ACHIEVEMENT STORE'!C11</f>
        <v>6020711</v>
      </c>
      <c r="D11" s="138" t="str">
        <f>'[1]ACHIEVEMENT STORE'!D11</f>
        <v>6020711-vivostore emporium</v>
      </c>
      <c r="E11" s="138" t="str">
        <f>'[1]ACHIEVEMENT STORE'!E11</f>
        <v>M KHOIRUDIN</v>
      </c>
      <c r="F11" s="192">
        <f>IFERROR(INDEX('[1]SALES PERTYPE'!$D$10:$D$52,MATCH($C11,'[1]SALES PERTYPE'!$B$10:$B$52,0)),0)</f>
        <v>7</v>
      </c>
      <c r="G11" s="192">
        <f>IFERROR(INDEX('[1]Sales per type juli'!$D$10:$BA$51,MATCH($C11,'[1]Sales per type juli'!$B$10:$B$51,0),MATCH("Y05",'[1]Sales per type juli'!$D$8:$BA$8,0)),0)</f>
        <v>10</v>
      </c>
      <c r="H11" s="192">
        <f>F11-G11</f>
        <v>-3</v>
      </c>
      <c r="I11" s="192">
        <f>IFERROR(INDEX('[1]SALES PERTYPE'!$E$10:$E$52,MATCH($C11,'[1]SALES PERTYPE'!$B$10:$B$52,0)),0)</f>
        <v>16393000</v>
      </c>
      <c r="J11" s="192" cm="1">
        <f t="array" ref="J11">IFERROR(INDEX('[1]Sales per type juli'!$D$10:$BA$51,MATCH($C11,'[1]Sales per type juli'!$B$10:$B$51,0),MATCH("Y05",'[1]Sales per type juli'!$D$8:$BA$8,0)+1),0)</f>
        <v>22190000</v>
      </c>
      <c r="K11" s="192">
        <f>I11-J11</f>
        <v>-5797000</v>
      </c>
      <c r="L11" s="192">
        <f>IFERROR(INDEX('[1]SALES PERTYPE'!$F$10:$F$52,MATCH($C11,'[1]SALES PERTYPE'!$B$10:$B$52,0)),0)</f>
        <v>7</v>
      </c>
      <c r="M11" s="192">
        <f>IFERROR(INDEX('[1]Sales per type juli'!$D$10:$BA$51,MATCH($C11,'[1]Sales per type juli'!$B$10:$B$51,0),MATCH("Y11d",'[1]Sales per type juli'!$D$8:$BA$8,0)),0)</f>
        <v>8</v>
      </c>
      <c r="N11" s="192">
        <f>L11-M11</f>
        <v>-1</v>
      </c>
      <c r="O11" s="192">
        <f>IFERROR(INDEX('[1]SALES PERTYPE'!$G$10:$G$52,MATCH($C11,'[1]SALES PERTYPE'!$B$10:$B$52,0)),0)</f>
        <v>17193000</v>
      </c>
      <c r="P11" s="192" cm="1">
        <f t="array" ref="P11">IFERROR(INDEX('[1]Sales per type juli'!$D$10:$BA$51,MATCH($C11,'[1]Sales per type juli'!$B$10:$B$51,0),MATCH("Y11d",'[1]Sales per type juli'!$D$8:$BA$8,0)+1),0)</f>
        <v>21192000</v>
      </c>
      <c r="Q11" s="192">
        <f>O11-P11</f>
        <v>-3999000</v>
      </c>
      <c r="R11" s="192">
        <f>IFERROR(INDEX('[1]SALES PERTYPE'!$H$10:$H$52,MATCH($C11,'[1]SALES PERTYPE'!$B$10:$B$52,0)),0)</f>
        <v>0</v>
      </c>
      <c r="S11" s="192">
        <f>IFERROR(INDEX('[1]Sales per type juli'!$D$10:$BA$51,MATCH($C11,'[1]Sales per type juli'!$B$10:$B$51,0),MATCH("Watch GT 2",'[1]Sales per type juli'!$D$8:$BA$8,0)),0)</f>
        <v>0</v>
      </c>
      <c r="T11" s="192">
        <f>R11-S11</f>
        <v>0</v>
      </c>
      <c r="U11" s="192">
        <f>IFERROR(INDEX('[1]SALES PERTYPE'!$I$10:$I$52,MATCH($C11,'[1]SALES PERTYPE'!$B$10:$B$52,0)),0)</f>
        <v>0</v>
      </c>
      <c r="V11" s="192" cm="1">
        <f t="array" ref="V11">IFERROR(INDEX('[1]Sales per type juli'!$D$10:$BA$51,MATCH($C11,'[1]Sales per type juli'!$B$10:$B$51,0),MATCH("Watch GT 2",'[1]Sales per type juli'!$D$8:$BA$8,0)+1),0)</f>
        <v>0</v>
      </c>
      <c r="W11" s="192">
        <f>U11-V11</f>
        <v>0</v>
      </c>
      <c r="X11" s="192">
        <f>IFERROR(INDEX('[1]SALES PERTYPE'!$J$10:$J$52,MATCH($C11,'[1]SALES PERTYPE'!$B$10:$B$52,0)),0)</f>
        <v>3</v>
      </c>
      <c r="Y11" s="192">
        <f>IFERROR(INDEX('[1]Sales per type juli'!$D$10:$BA$51,MATCH($C11,'[1]Sales per type juli'!$B$10:$B$51,0),MATCH("Y05e",'[1]Sales per type juli'!$D$8:$BA$8,0)),0)</f>
        <v>0</v>
      </c>
      <c r="Z11" s="192">
        <f>X11-Y11</f>
        <v>3</v>
      </c>
      <c r="AA11" s="192">
        <f>IFERROR(INDEX('[1]SALES PERTYPE'!$K$10:$K$52,MATCH($C11,'[1]SALES PERTYPE'!$B$10:$B$52,0)),0)</f>
        <v>6297000</v>
      </c>
      <c r="AB11" s="192" cm="1">
        <f t="array" ref="AB11">IFERROR(INDEX('[1]Sales per type juli'!$D$10:$BA$51,MATCH($C11,'[1]Sales per type juli'!$B$10:$B$51,0),MATCH("Y05e",'[1]Sales per type juli'!$D$8:$BA$8,0)+1),0)</f>
        <v>0</v>
      </c>
      <c r="AC11" s="192">
        <f>AA11-AB11</f>
        <v>6297000</v>
      </c>
      <c r="AD11" s="192">
        <f>IFERROR(INDEX('[1]SALES PERTYPE'!$L$10:$L$52,MATCH($C11,'[1]SALES PERTYPE'!$B$10:$B$52,0)),0)</f>
        <v>2</v>
      </c>
      <c r="AE11" s="192">
        <f>IFERROR(INDEX('[1]Sales per type juli'!$D$10:$BA$51,MATCH($C11,'[1]Sales per type juli'!$B$10:$B$51,0),MATCH("V70",'[1]Sales per type juli'!$D$8:$BA$8,0)),0)</f>
        <v>5</v>
      </c>
      <c r="AF11" s="192">
        <f>AD11-AE11</f>
        <v>-3</v>
      </c>
      <c r="AG11" s="192">
        <f>IFERROR(INDEX('[1]SALES PERTYPE'!$M$10:$M$52,MATCH($C11,'[1]SALES PERTYPE'!$B$10:$B$52,0)),0)</f>
        <v>19998000</v>
      </c>
      <c r="AH11" s="192" cm="1">
        <f t="array" ref="AH11">IFERROR(INDEX('[1]Sales per type juli'!$D$10:$BA$51,MATCH($C11,'[1]Sales per type juli'!$B$10:$B$51,0),MATCH("V70",'[1]Sales per type juli'!$D$8:$BA$8,0)+1),0)</f>
        <v>46995000</v>
      </c>
      <c r="AI11" s="192">
        <f>AG11-AH11</f>
        <v>-26997000</v>
      </c>
      <c r="AJ11" s="192">
        <f>IFERROR(INDEX('[1]SALES PERTYPE'!$N$10:$N$52,MATCH($C11,'[1]SALES PERTYPE'!$B$10:$B$52,0)),0)</f>
        <v>5</v>
      </c>
      <c r="AK11" s="192">
        <f>IFERROR(INDEX('[1]Sales per type juli'!$D$10:$BA$51,MATCH($C11,'[1]Sales per type juli'!$B$10:$B$51,0),MATCH("Y31d Pro",'[1]Sales per type juli'!$D$8:$BA$8,0)),0)</f>
        <v>3</v>
      </c>
      <c r="AL11" s="192">
        <f>AJ11-AK11</f>
        <v>2</v>
      </c>
      <c r="AM11" s="192">
        <f>IFERROR(INDEX('[1]SALES PERTYPE'!$O$10:$O$52,MATCH($C11,'[1]SALES PERTYPE'!$B$10:$B$52,0)),0)</f>
        <v>23095000</v>
      </c>
      <c r="AN11" s="192" cm="1">
        <f t="array" ref="AN11">IFERROR(INDEX('[1]Sales per type juli'!$D$10:$BA$51,MATCH($C11,'[1]Sales per type juli'!$B$10:$B$51,0),MATCH("Y31d Pro",'[1]Sales per type juli'!$D$8:$BA$8,0)+1),0)</f>
        <v>12097000</v>
      </c>
      <c r="AO11" s="192">
        <f>AM11-AN11</f>
        <v>10998000</v>
      </c>
      <c r="AP11" s="192">
        <f>IFERROR(INDEX('[1]SALES PERTYPE'!$P$10:$P$52,MATCH($C11,'[1]SALES PERTYPE'!$B$10:$B$52,0)),0)</f>
        <v>0</v>
      </c>
      <c r="AQ11" s="192" cm="1">
        <f t="array" ref="AQ11">IFERROR(INDEX('[1]Sales per type juli'!$D$10:$BA$51,MATCH($C11,'[1]Sales per type juli'!$B$10:$B$51,0),$FG$2),0)</f>
        <v>2</v>
      </c>
      <c r="AR11" s="192">
        <f>AP11-AQ11</f>
        <v>-2</v>
      </c>
      <c r="AS11" s="192">
        <f>IFERROR(INDEX('[1]SALES PERTYPE'!$Q$10:$Q$52,MATCH($C11,'[1]SALES PERTYPE'!$B$10:$B$52,0)),0)</f>
        <v>0</v>
      </c>
      <c r="AT11" s="192" cm="1">
        <f t="array" ref="AT11">IFERROR(INDEX('[1]Sales per type juli'!$D$10:$BA$51,MATCH($C11,'[1]Sales per type juli'!$B$10:$B$51,0),$FG$2+1),0)</f>
        <v>7198000</v>
      </c>
      <c r="AU11" s="192">
        <f>AS11-AT11</f>
        <v>-7198000</v>
      </c>
      <c r="AV11" s="192">
        <f>IFERROR(INDEX('[1]SALES PERTYPE'!$R$10:$R$52,MATCH($C11,'[1]SALES PERTYPE'!$B$10:$B$52,0)),0)</f>
        <v>0</v>
      </c>
      <c r="AW11" s="192">
        <f>IFERROR(INDEX('[1]Sales per type juli'!$D$10:$BA$51,MATCH($C11,'[1]Sales per type juli'!$B$10:$B$51,0),MATCH("Y31d ",'[1]Sales per type juli'!$D$8:$BA$8,0)),0)</f>
        <v>1</v>
      </c>
      <c r="AX11" s="192">
        <f>AV11-AW11</f>
        <v>-1</v>
      </c>
      <c r="AY11" s="192">
        <f>IFERROR(INDEX('[1]SALES PERTYPE'!$S$10:$S$52,MATCH($C11,'[1]SALES PERTYPE'!$B$10:$B$52,0)),0)</f>
        <v>0</v>
      </c>
      <c r="AZ11" s="192" cm="1">
        <f t="array" ref="AZ11">IFERROR(INDEX('[1]Sales per type juli'!$D$10:$BA$51,MATCH($C11,'[1]Sales per type juli'!$B$10:$B$51,0),MATCH("Y31d ",'[1]Sales per type juli'!$D$8:$BA$8,0)+1),0)</f>
        <v>3599000</v>
      </c>
      <c r="BA11" s="192">
        <f>AY11-AZ11</f>
        <v>-3599000</v>
      </c>
      <c r="BB11" s="192">
        <f>IFERROR(INDEX('[1]SALES PERTYPE'!$T$10:$T$52,MATCH($C11,'[1]SALES PERTYPE'!$B$10:$B$52,0)),0)</f>
        <v>4</v>
      </c>
      <c r="BC11" s="192">
        <f>IFERROR(INDEX('[1]Sales per type juli'!$D$10:$BA$51,MATCH($C11,'[1]Sales per type juli'!$B$10:$B$51,0),MATCH("V70 FE",'[1]Sales per type juli'!$D$8:$BA$8,0)),0)</f>
        <v>4</v>
      </c>
      <c r="BD11" s="192">
        <f>BB11-BC11</f>
        <v>0</v>
      </c>
      <c r="BE11" s="192">
        <f>IFERROR(INDEX('[1]SALES PERTYPE'!$U$10:$U$52,MATCH($C11,'[1]SALES PERTYPE'!$B$10:$B$52,0)),0)</f>
        <v>29496000</v>
      </c>
      <c r="BF11" s="192" cm="1">
        <f t="array" ref="BF11">IFERROR(INDEX('[1]Sales per type juli'!$D$10:$BA$51,MATCH($C11,'[1]Sales per type juli'!$B$10:$B$51,0),MATCH("V70 FE",'[1]Sales per type juli'!$D$8:$BA$8,0)+1),0)</f>
        <v>26696000</v>
      </c>
      <c r="BG11" s="192">
        <f>BE11-BF11</f>
        <v>2800000</v>
      </c>
      <c r="BH11" s="192">
        <f>IFERROR(INDEX('[1]SALES PERTYPE'!$V$10:$V$52,MATCH($C11,'[1]SALES PERTYPE'!$B$10:$B$52,0)),0)</f>
        <v>0</v>
      </c>
      <c r="BI11" s="192">
        <f>IFERROR(INDEX('[1]Sales per type juli'!$D$10:$BA$51,MATCH($C11,'[1]Sales per type juli'!$B$10:$B$51,0),MATCH("Y31d",'[1]Sales per type juli'!$D$8:$BA$8,0)),0)</f>
        <v>1</v>
      </c>
      <c r="BJ11" s="192">
        <f>BH11-BI11</f>
        <v>-1</v>
      </c>
      <c r="BK11" s="192">
        <f>IFERROR(INDEX('[1]SALES PERTYPE'!$W$10:$W$52,MATCH($C11,'[1]SALES PERTYPE'!$B$10:$B$52,0)),0)</f>
        <v>0</v>
      </c>
      <c r="BL11" s="192" cm="1">
        <f t="array" ref="BL11">IFERROR(INDEX('[1]Sales per type juli'!$D$10:$BA$51,MATCH($C11,'[1]Sales per type juli'!$B$10:$B$51,0),MATCH("Y31d",'[1]Sales per type juli'!$D$8:$BA$8,0)+1),0)</f>
        <v>3599000</v>
      </c>
      <c r="BM11" s="192">
        <f>BK11-BL11</f>
        <v>-3599000</v>
      </c>
      <c r="BN11" s="192">
        <f>IFERROR(INDEX('[1]SALES PERTYPE'!$X$10:$X$52,MATCH($C11,'[1]SALES PERTYPE'!$B$10:$B$52,0)),0)</f>
        <v>0</v>
      </c>
      <c r="BO11" s="192">
        <f>IFERROR(INDEX('[1]Sales per type juli'!$D$10:$BA$51,MATCH($C11,'[1]Sales per type juli'!$B$10:$B$51,0),MATCH("Y500",'[1]Sales per type juli'!$D$8:$BA$8,0)),0)</f>
        <v>0</v>
      </c>
      <c r="BP11" s="192">
        <f>BN11-BO11</f>
        <v>0</v>
      </c>
      <c r="BQ11" s="192">
        <f>IFERROR(INDEX('[1]SALES PERTYPE'!$Y$10:$Y$52,MATCH($C11,'[1]SALES PERTYPE'!$B$10:$B$52,0)),0)</f>
        <v>0</v>
      </c>
      <c r="BR11" s="192" cm="1">
        <f t="array" ref="BR11">IFERROR(INDEX('[1]Sales per type juli'!$D$10:$BA$51,MATCH($C11,'[1]Sales per type juli'!$B$10:$B$51,0),MATCH("Y500",'[1]Sales per type juli'!$D$8:$BA$8,0)+1),0)</f>
        <v>0</v>
      </c>
      <c r="BS11" s="192">
        <f>BQ11-BR11</f>
        <v>0</v>
      </c>
      <c r="BT11" s="192">
        <f>IFERROR(INDEX('[1]SALES PERTYPE'!$Z$10:$Z$52,MATCH($C11,'[1]SALES PERTYPE'!$B$10:$B$52,0)),0)</f>
        <v>0</v>
      </c>
      <c r="BU11" s="192">
        <f>IFERROR(INDEX('[1]Sales per type juli'!$D$10:$BA$51,MATCH($C11,'[1]Sales per type juli'!$B$10:$B$51,0),MATCH("IQOO 15R",'[1]Sales per type juli'!$D$8:$BA$8,0)),0)</f>
        <v>1</v>
      </c>
      <c r="BV11" s="192">
        <f>BT11-BU11</f>
        <v>-1</v>
      </c>
      <c r="BW11" s="192">
        <f>IFERROR(INDEX('[1]SALES PERTYPE'!$AA$10:$AA$52,MATCH($C11,'[1]SALES PERTYPE'!$B$10:$B$52,0)),0)</f>
        <v>0</v>
      </c>
      <c r="BX11" s="192" cm="1">
        <f t="array" ref="BX11">IFERROR(INDEX('[1]Sales per type juli'!$D$10:$BA$51,MATCH($C11,'[1]Sales per type juli'!$B$10:$B$51,0),MATCH("IQOO 15R",'[1]Sales per type juli'!$D$8:$BA$8,0)+1),0)</f>
        <v>9899000</v>
      </c>
      <c r="BY11" s="192">
        <f>BW11-BX11</f>
        <v>-9899000</v>
      </c>
      <c r="BZ11" s="192">
        <f>IFERROR(INDEX('[1]SALES PERTYPE'!$AB$10:$AB$52,MATCH($C11,'[1]SALES PERTYPE'!$B$10:$B$52,0)),0)</f>
        <v>1</v>
      </c>
      <c r="CA11" s="192">
        <f>IFERROR(INDEX('[1]Sales per type juli'!$D$10:$BA$51,MATCH($C11,'[1]Sales per type juli'!$B$10:$B$51,0),MATCH("V60 Lite",'[1]Sales per type juli'!$D$8:$BA$8,0)),0)</f>
        <v>1</v>
      </c>
      <c r="CB11" s="192">
        <f>BZ11-CA11</f>
        <v>0</v>
      </c>
      <c r="CC11" s="192">
        <f>IFERROR(INDEX('[1]SALES PERTYPE'!$AC$10:$AC$52,MATCH($C11,'[1]SALES PERTYPE'!$B$10:$B$52,0)),0)</f>
        <v>5899000</v>
      </c>
      <c r="CD11" s="192" cm="1">
        <f t="array" ref="CD11">IFERROR(INDEX('[1]Sales per type juli'!$D$10:$BA$51,MATCH($C11,'[1]Sales per type juli'!$B$10:$B$51,0),MATCH("V60 Lite",'[1]Sales per type juli'!$D$8:$BA$8,0)+1),0)</f>
        <v>5999000</v>
      </c>
      <c r="CE11" s="192">
        <f>CC11-CD11</f>
        <v>-100000</v>
      </c>
      <c r="CF11" s="192">
        <f>IFERROR(INDEX('[1]SALES PERTYPE'!$AD$10:$AD$52,MATCH($C11,'[1]SALES PERTYPE'!$B$10:$B$52,0)),0)</f>
        <v>3</v>
      </c>
      <c r="CG11" s="192">
        <f>IFERROR(INDEX('[1]Sales per type juli'!$D$10:$BA$51,MATCH($C11,'[1]Sales per type juli'!$B$10:$B$51,0),MATCH("X300 Ultra",'[1]Sales per type juli'!$D$8:$BA$8,0)),0)</f>
        <v>0</v>
      </c>
      <c r="CH11" s="192">
        <f>CF11-CG11</f>
        <v>3</v>
      </c>
      <c r="CI11" s="192">
        <f>IFERROR(INDEX('[1]SALES PERTYPE'!$AE$10:$AE$52,MATCH($C11,'[1]SALES PERTYPE'!$B$10:$B$52,0)),0)</f>
        <v>81997000</v>
      </c>
      <c r="CJ11" s="192" cm="1">
        <f t="array" ref="CJ11">IFERROR(INDEX('[1]Sales per type juli'!$D$10:$BA$51,MATCH($C11,'[1]Sales per type juli'!$B$10:$B$51,0),MATCH("X300 Ultra",'[1]Sales per type juli'!$D$8:$BA$8,0)+1),0)</f>
        <v>0</v>
      </c>
      <c r="CK11" s="192">
        <f>CI11-CJ11</f>
        <v>81997000</v>
      </c>
      <c r="CL11" s="192">
        <f>IFERROR(INDEX('[1]SALES PERTYPE'!$AF$10:$AF$52,MATCH($C11,'[1]SALES PERTYPE'!$B$10:$B$52,0)),0)</f>
        <v>0</v>
      </c>
      <c r="CM11" s="192">
        <f>IFERROR(INDEX('[1]Sales per type juli'!$D$10:$BA$51,MATCH($C11,'[1]Sales per type juli'!$B$10:$B$51,0),MATCH("IQOO 15",'[1]Sales per type juli'!$D$8:$BA$8,0)),0)</f>
        <v>1</v>
      </c>
      <c r="CN11" s="192">
        <f>CL11-CM11</f>
        <v>-1</v>
      </c>
      <c r="CO11" s="192">
        <f>IFERROR(INDEX('[1]SALES PERTYPE'!$AG$10:$AG$52,MATCH($C11,'[1]SALES PERTYPE'!$B$10:$B$52,0)),0)</f>
        <v>0</v>
      </c>
      <c r="CP11" s="192" cm="1">
        <f t="array" ref="CP11">IFERROR(INDEX('[1]Sales per type juli'!$D$10:$BA$51,MATCH($C11,'[1]Sales per type juli'!$B$10:$B$51,0),MATCH("IQOO 15",'[1]Sales per type juli'!$D$8:$BA$8,0)+1),0)</f>
        <v>13999000</v>
      </c>
      <c r="CQ11" s="192">
        <f>CO11-CP11</f>
        <v>-13999000</v>
      </c>
      <c r="CR11" s="192">
        <f>IFERROR(INDEX('[1]SALES PERTYPE'!$AH$10:$AH$52,MATCH($C11,'[1]SALES PERTYPE'!$B$10:$B$52,0)),0)</f>
        <v>0</v>
      </c>
      <c r="CS11" s="192">
        <f>IFERROR(INDEX('[1]Sales per type juli'!$D$10:$BA$51,MATCH($C11,'[1]Sales per type juli'!$B$10:$B$51,0),MATCH("IQOO Z11x",'[1]Sales per type juli'!$D$8:$BA$8,0)),0)</f>
        <v>1</v>
      </c>
      <c r="CT11" s="192">
        <f>CR11-CS11</f>
        <v>-1</v>
      </c>
      <c r="CU11" s="192">
        <f>IFERROR(INDEX('[1]SALES PERTYPE'!$AI$10:$AI$52,MATCH($C11,'[1]SALES PERTYPE'!$B$10:$B$52,0)),0)</f>
        <v>0</v>
      </c>
      <c r="CV11" s="192" cm="1">
        <f t="array" ref="CV11">IFERROR(INDEX('[1]Sales per type juli'!$D$10:$BA$51,MATCH($C11,'[1]Sales per type juli'!$B$10:$B$51,0),MATCH("IQOO Z11x",'[1]Sales per type juli'!$D$8:$BA$8,0)+1),0)</f>
        <v>4799000</v>
      </c>
      <c r="CW11" s="192">
        <f>CU11-CV11</f>
        <v>-4799000</v>
      </c>
      <c r="CX11" s="192">
        <f>IFERROR(INDEX('[1]SALES PERTYPE'!$AJ$10:$AJ$52,MATCH($C11,'[1]SALES PERTYPE'!$B$10:$B$52,0)),0)</f>
        <v>1</v>
      </c>
      <c r="CY11" s="192">
        <f>IFERROR(INDEX('[1]Sales per type juli'!$D$10:$BA$51,MATCH($C11,'[1]Sales per type juli'!$B$10:$B$51,0),MATCH("IQOO Z11",'[1]Sales per type juli'!$D$8:$BA$8,0)),0)</f>
        <v>0</v>
      </c>
      <c r="CZ11" s="192">
        <f>CX11-CY11</f>
        <v>1</v>
      </c>
      <c r="DA11" s="192">
        <f>IFERROR(INDEX('[1]SALES PERTYPE'!$AK$10:$AK$52,MATCH($C11,'[1]SALES PERTYPE'!$B$10:$B$52,0)),0)</f>
        <v>6899000</v>
      </c>
      <c r="DB11" s="192" cm="1">
        <f t="array" ref="DB11">IFERROR(INDEX('[1]Sales per type juli'!$D$10:$BA$51,MATCH($C11,'[1]Sales per type juli'!$B$10:$B$51,0),MATCH("IQOO Z11",'[1]Sales per type juli'!$D$8:$BA$8,0)+1),0)</f>
        <v>0</v>
      </c>
      <c r="DC11" s="192">
        <f>DA11-DB11</f>
        <v>6899000</v>
      </c>
      <c r="DD11" s="192">
        <v>0</v>
      </c>
      <c r="DE11" s="192">
        <f>IFERROR(INDEX('[1]Sales per type juli'!$D$10:$BA$51,MATCH($C11,'[1]Sales per type juli'!$B$10:$B$51,0),MATCH("WATCH 3",'[1]Sales per type juli'!$D$8:$BA$8,0)),0)</f>
        <v>0</v>
      </c>
      <c r="DF11" s="192">
        <f>DD11-DE11</f>
        <v>0</v>
      </c>
      <c r="DG11" s="192">
        <v>0</v>
      </c>
      <c r="DH11" s="192" cm="1">
        <f t="array" ref="DH11">IFERROR(INDEX('[1]Sales per type juli'!$D$10:$BA$51,MATCH($C11,'[1]Sales per type juli'!$B$10:$B$51,0),MATCH("WATCH 3",'[1]Sales per type juli'!$D$8:$BA$8,0)+1),0)</f>
        <v>0</v>
      </c>
      <c r="DI11" s="192">
        <f>DG11-DH11</f>
        <v>0</v>
      </c>
      <c r="DJ11" s="192">
        <v>0</v>
      </c>
      <c r="DK11" s="192">
        <f>IFERROR(INDEX('[1]Sales per type juli'!$D$10:$BA$51,MATCH($C11,'[1]Sales per type juli'!$B$10:$B$51,0),MATCH("X300 Demo",'[1]Sales per type juli'!$D$8:$BA$8,0)),0)</f>
        <v>0</v>
      </c>
      <c r="DL11" s="192">
        <f>DJ11-DK11</f>
        <v>0</v>
      </c>
      <c r="DM11" s="192">
        <v>0</v>
      </c>
      <c r="DN11" s="192" cm="1">
        <f t="array" ref="DN11">IFERROR(INDEX('[1]Sales per type juli'!$D$10:$BA$51,MATCH($C11,'[1]Sales per type juli'!$B$10:$B$51,0),MATCH("X300 Demo",'[1]Sales per type juli'!$D$8:$BA$8,0)+1),0)</f>
        <v>0</v>
      </c>
      <c r="DO11" s="192">
        <f>DM11-DN11</f>
        <v>0</v>
      </c>
      <c r="DP11" s="192">
        <v>0</v>
      </c>
      <c r="DQ11" s="192">
        <f>IFERROR(INDEX('[1]Sales per type juli'!$D$10:$BA$51,MATCH($C11,'[1]Sales per type juli'!$B$10:$B$51,0),MATCH("X300 Pro Demo",'[1]Sales per type juli'!$D$8:$BA$8,0)),0)</f>
        <v>0</v>
      </c>
      <c r="DR11" s="192">
        <f>DP11-DQ11</f>
        <v>0</v>
      </c>
      <c r="DS11" s="192">
        <v>0</v>
      </c>
      <c r="DT11" s="192" cm="1">
        <f t="array" ref="DT11">IFERROR(INDEX('[1]Sales per type juli'!$D$10:$BA$51,MATCH($C11,'[1]Sales per type juli'!$B$10:$B$51,0),MATCH("X300 Pro Demo",'[1]Sales per type juli'!$D$8:$BA$8,0)+1),0)</f>
        <v>0</v>
      </c>
      <c r="DU11" s="192">
        <f>DS11-DT11</f>
        <v>0</v>
      </c>
      <c r="DV11" s="192">
        <v>0</v>
      </c>
      <c r="DW11" s="192">
        <f>IFERROR(INDEX('[1]Sales per type juli'!$D$10:$BA$51,MATCH($C11,'[1]Sales per type juli'!$B$10:$B$51,0),MATCH("X Fold5 DEMO",'[1]Sales per type juli'!$D$8:$BA$8,0)),0)</f>
        <v>0</v>
      </c>
      <c r="DX11" s="192">
        <f>DV11-DW11</f>
        <v>0</v>
      </c>
      <c r="DY11" s="192">
        <v>0</v>
      </c>
      <c r="DZ11" s="192" cm="1">
        <f t="array" ref="DZ11">IFERROR(INDEX('[1]Sales per type juli'!$D$10:$BA$51,MATCH($C11,'[1]Sales per type juli'!$B$10:$B$51,0),MATCH("X Fold5 DEMO",'[1]Sales per type juli'!$D$8:$BA$8,0)+1),0)</f>
        <v>0</v>
      </c>
      <c r="EA11" s="192">
        <f>DY11-DZ11</f>
        <v>0</v>
      </c>
      <c r="EB11" s="192">
        <v>0</v>
      </c>
      <c r="EC11" s="192">
        <f>IFERROR(INDEX('[1]Sales per type juli'!$D$10:$BA$51,MATCH($C11,'[1]Sales per type juli'!$B$10:$B$51,0),MATCH("X Fold5",'[1]Sales per type juli'!$D$8:$BA$8,0)),0)</f>
        <v>0</v>
      </c>
      <c r="ED11" s="192">
        <f>EB11-EC11</f>
        <v>0</v>
      </c>
      <c r="EE11" s="192">
        <v>0</v>
      </c>
      <c r="EF11" s="192" cm="1">
        <f t="array" ref="EF11">IFERROR(INDEX('[1]Sales per type juli'!$D$10:$BA$51,MATCH($C11,'[1]Sales per type juli'!$B$10:$B$51,0),MATCH("X Fold5",'[1]Sales per type juli'!$D$8:$BA$8,0)+1),0)</f>
        <v>0</v>
      </c>
      <c r="EG11" s="192">
        <f>EE11-EF11</f>
        <v>0</v>
      </c>
      <c r="EH11" s="192">
        <v>0</v>
      </c>
      <c r="EI11" s="192">
        <f>IFERROR(INDEX('[1]Sales per type juli'!$D$10:$BA$51,MATCH($C11,'[1]Sales per type juli'!$B$10:$B$51,0),MATCH("IQOO 15 Demo",'[1]Sales per type juli'!$D$8:$BA$8,0)),0)</f>
        <v>0</v>
      </c>
      <c r="EJ11" s="192">
        <f>EH11-EI11</f>
        <v>0</v>
      </c>
      <c r="EK11" s="192">
        <v>0</v>
      </c>
      <c r="EL11" s="192" cm="1">
        <f t="array" ref="EL11">IFERROR(INDEX('[1]Sales per type juli'!$D$10:$BA$51,MATCH($C11,'[1]Sales per type juli'!$B$10:$B$51,0),MATCH("IQOO 15 Demo",'[1]Sales per type juli'!$D$8:$BA$8,0)+1),0)</f>
        <v>0</v>
      </c>
      <c r="EM11" s="192">
        <f>EK11-EL11</f>
        <v>0</v>
      </c>
      <c r="EN11" s="192">
        <v>0</v>
      </c>
      <c r="EO11" s="192">
        <f>IFERROR(INDEX('[1]Sales per type juli'!$D$10:$BA$51,MATCH($C11,'[1]Sales per type juli'!$B$10:$B$51,0),MATCH("X300 PRO",'[1]Sales per type juli'!$D$8:$BA$8,0)),0)</f>
        <v>0</v>
      </c>
      <c r="EP11" s="192">
        <f>EN11-EO11</f>
        <v>0</v>
      </c>
      <c r="EQ11" s="192">
        <v>0</v>
      </c>
      <c r="ER11" s="192" cm="1">
        <f t="array" ref="ER11">IFERROR(INDEX('[1]Sales per type juli'!$D$10:$BA$51,MATCH($C11,'[1]Sales per type juli'!$B$10:$B$51,0),MATCH("X300 PRO",'[1]Sales per type juli'!$D$8:$BA$8,0)+1),0)</f>
        <v>0</v>
      </c>
      <c r="ES11" s="192">
        <f>EQ11-ER11</f>
        <v>0</v>
      </c>
      <c r="ET11" s="192">
        <v>0</v>
      </c>
      <c r="EU11" s="192">
        <f>IFERROR(INDEX('[1]Sales per type juli'!$D$10:$BA$51,MATCH($C11,'[1]Sales per type juli'!$B$10:$B$51,0),MATCH("X300 ",'[1]Sales per type juli'!$D$8:$BA$8,0)),0)</f>
        <v>1</v>
      </c>
      <c r="EV11" s="192">
        <f>ET11-EU11</f>
        <v>-1</v>
      </c>
      <c r="EW11" s="192">
        <v>0</v>
      </c>
      <c r="EX11" s="192" cm="1">
        <f t="array" ref="EX11">IFERROR(INDEX('[1]Sales per type juli'!$D$10:$BA$51,MATCH($C11,'[1]Sales per type juli'!$B$10:$B$51,0),MATCH("X300 ",'[1]Sales per type juli'!$D$8:$BA$8,0)+1),0)</f>
        <v>14999000</v>
      </c>
      <c r="EY11" s="192">
        <f>EW11-EX11</f>
        <v>-14999000</v>
      </c>
      <c r="EZ11" s="192">
        <f>F11+L11+R11+X11+AD11+AJ11+AP11+AV11+BB11+BH11+BN11+BT11+BZ11+CF11+CL11+CR11+CX11+DD11+DJ11+DP11+DV11+EB11+EH11+EN11+ET11</f>
        <v>33</v>
      </c>
      <c r="FA11" s="192">
        <f>G11+M11+S11+Y11+AE11+AK11+AQ11+AW11+BC11+BI11+BO11+BU11+CA11+CG11+CM11+CS11+CY11+DE11+DK11+DQ11+DW11+EC11+EI11+EO11+EU11</f>
        <v>39</v>
      </c>
      <c r="FB11" s="192">
        <f>EZ11-FA11</f>
        <v>-6</v>
      </c>
      <c r="FC11" s="192">
        <f>I11+O11+U11+AA11+AG11+AM11+AS11+AY11+BE11+BK11+BQ11+BW11+CC11+CI11+CO11+CU11+DA11+DG11+DM11+DS11+DY11+EE11+EK11+EQ11+EW11</f>
        <v>207267000</v>
      </c>
      <c r="FD11" s="192">
        <f>J11+P11+V11+AB11+AH11+AN11+AT11+AZ11+BF11+BL11+BR11+BX11+CD11+CJ11+CP11+CV11+DB11+DH11+DN11+DT11+DZ11+EF11+EL11+ER11+EX11</f>
        <v>193261000</v>
      </c>
      <c r="FE11" s="192">
        <f>FC11-FD11</f>
        <v>14006000</v>
      </c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</row>
    <row r="12" spans="1:208" ht="16" x14ac:dyDescent="0.2">
      <c r="A12" s="139">
        <f>'[1]ACHIEVEMENT STORE'!A12</f>
        <v>8</v>
      </c>
      <c r="B12" s="140" t="str">
        <f>'[1]ACHIEVEMENT STORE'!B12</f>
        <v>601 雅加达西北 JKT BU</v>
      </c>
      <c r="C12" s="139">
        <f>'[1]ACHIEVEMENT STORE'!C12</f>
        <v>6010711</v>
      </c>
      <c r="D12" s="140" t="str">
        <f>'[1]ACHIEVEMENT STORE'!D12</f>
        <v>6010711-LIPPO MALL PURI 1FK02</v>
      </c>
      <c r="E12" s="140" t="str">
        <f>'[1]ACHIEVEMENT STORE'!E12</f>
        <v>HERRU ILYASA</v>
      </c>
      <c r="F12" s="192">
        <f>IFERROR(INDEX('[1]SALES PERTYPE'!$D$10:$D$52,MATCH($C12,'[1]SALES PERTYPE'!$B$10:$B$52,0)),0)</f>
        <v>3</v>
      </c>
      <c r="G12" s="192">
        <f>IFERROR(INDEX('[1]Sales per type juli'!$D$10:$BA$51,MATCH($C12,'[1]Sales per type juli'!$B$10:$B$51,0),MATCH("Y05",'[1]Sales per type juli'!$D$8:$BA$8,0)),0)</f>
        <v>0</v>
      </c>
      <c r="H12" s="192">
        <f>F12-G12</f>
        <v>3</v>
      </c>
      <c r="I12" s="192">
        <f>IFERROR(INDEX('[1]SALES PERTYPE'!$E$10:$E$52,MATCH($C12,'[1]SALES PERTYPE'!$B$10:$B$52,0)),0)</f>
        <v>7197000</v>
      </c>
      <c r="J12" s="192" cm="1">
        <f t="array" ref="J12">IFERROR(INDEX('[1]Sales per type juli'!$D$10:$BA$51,MATCH($C12,'[1]Sales per type juli'!$B$10:$B$51,0),MATCH("Y05",'[1]Sales per type juli'!$D$8:$BA$8,0)+1),0)</f>
        <v>0</v>
      </c>
      <c r="K12" s="192">
        <f>I12-J12</f>
        <v>7197000</v>
      </c>
      <c r="L12" s="192">
        <f>IFERROR(INDEX('[1]SALES PERTYPE'!$F$10:$F$52,MATCH($C12,'[1]SALES PERTYPE'!$B$10:$B$52,0)),0)</f>
        <v>4</v>
      </c>
      <c r="M12" s="192">
        <f>IFERROR(INDEX('[1]Sales per type juli'!$D$10:$BA$51,MATCH($C12,'[1]Sales per type juli'!$B$10:$B$51,0),MATCH("Y11d",'[1]Sales per type juli'!$D$8:$BA$8,0)),0)</f>
        <v>2</v>
      </c>
      <c r="N12" s="192">
        <f>L12-M12</f>
        <v>2</v>
      </c>
      <c r="O12" s="192">
        <f>IFERROR(INDEX('[1]SALES PERTYPE'!$G$10:$G$52,MATCH($C12,'[1]SALES PERTYPE'!$B$10:$B$52,0)),0)</f>
        <v>10796000</v>
      </c>
      <c r="P12" s="192" cm="1">
        <f t="array" ref="P12">IFERROR(INDEX('[1]Sales per type juli'!$D$10:$BA$51,MATCH($C12,'[1]Sales per type juli'!$B$10:$B$51,0),MATCH("Y11d",'[1]Sales per type juli'!$D$8:$BA$8,0)+1),0)</f>
        <v>5598000</v>
      </c>
      <c r="Q12" s="192">
        <f>O12-P12</f>
        <v>5198000</v>
      </c>
      <c r="R12" s="192">
        <f>IFERROR(INDEX('[1]SALES PERTYPE'!$H$10:$H$52,MATCH($C12,'[1]SALES PERTYPE'!$B$10:$B$52,0)),0)</f>
        <v>0</v>
      </c>
      <c r="S12" s="192">
        <f>IFERROR(INDEX('[1]Sales per type juli'!$D$10:$BA$51,MATCH($C12,'[1]Sales per type juli'!$B$10:$B$51,0),MATCH("Watch GT 2",'[1]Sales per type juli'!$D$8:$BA$8,0)),0)</f>
        <v>0</v>
      </c>
      <c r="T12" s="192">
        <f>R12-S12</f>
        <v>0</v>
      </c>
      <c r="U12" s="192">
        <f>IFERROR(INDEX('[1]SALES PERTYPE'!$I$10:$I$52,MATCH($C12,'[1]SALES PERTYPE'!$B$10:$B$52,0)),0)</f>
        <v>0</v>
      </c>
      <c r="V12" s="192" cm="1">
        <f t="array" ref="V12">IFERROR(INDEX('[1]Sales per type juli'!$D$10:$BA$51,MATCH($C12,'[1]Sales per type juli'!$B$10:$B$51,0),MATCH("Watch GT 2",'[1]Sales per type juli'!$D$8:$BA$8,0)+1),0)</f>
        <v>0</v>
      </c>
      <c r="W12" s="192">
        <f>U12-V12</f>
        <v>0</v>
      </c>
      <c r="X12" s="192">
        <f>IFERROR(INDEX('[1]SALES PERTYPE'!$J$10:$J$52,MATCH($C12,'[1]SALES PERTYPE'!$B$10:$B$52,0)),0)</f>
        <v>2</v>
      </c>
      <c r="Y12" s="192">
        <f>IFERROR(INDEX('[1]Sales per type juli'!$D$10:$BA$51,MATCH($C12,'[1]Sales per type juli'!$B$10:$B$51,0),MATCH("Y05e",'[1]Sales per type juli'!$D$8:$BA$8,0)),0)</f>
        <v>0</v>
      </c>
      <c r="Z12" s="192">
        <f>X12-Y12</f>
        <v>2</v>
      </c>
      <c r="AA12" s="192">
        <f>IFERROR(INDEX('[1]SALES PERTYPE'!$K$10:$K$52,MATCH($C12,'[1]SALES PERTYPE'!$B$10:$B$52,0)),0)</f>
        <v>4198000</v>
      </c>
      <c r="AB12" s="192" cm="1">
        <f t="array" ref="AB12">IFERROR(INDEX('[1]Sales per type juli'!$D$10:$BA$51,MATCH($C12,'[1]Sales per type juli'!$B$10:$B$51,0),MATCH("Y05e",'[1]Sales per type juli'!$D$8:$BA$8,0)+1),0)</f>
        <v>0</v>
      </c>
      <c r="AC12" s="192">
        <f>AA12-AB12</f>
        <v>4198000</v>
      </c>
      <c r="AD12" s="192">
        <f>IFERROR(INDEX('[1]SALES PERTYPE'!$L$10:$L$52,MATCH($C12,'[1]SALES PERTYPE'!$B$10:$B$52,0)),0)</f>
        <v>0</v>
      </c>
      <c r="AE12" s="192">
        <f>IFERROR(INDEX('[1]Sales per type juli'!$D$10:$BA$51,MATCH($C12,'[1]Sales per type juli'!$B$10:$B$51,0),MATCH("V70",'[1]Sales per type juli'!$D$8:$BA$8,0)),0)</f>
        <v>0</v>
      </c>
      <c r="AF12" s="192">
        <f>AD12-AE12</f>
        <v>0</v>
      </c>
      <c r="AG12" s="192">
        <f>IFERROR(INDEX('[1]SALES PERTYPE'!$M$10:$M$52,MATCH($C12,'[1]SALES PERTYPE'!$B$10:$B$52,0)),0)</f>
        <v>0</v>
      </c>
      <c r="AH12" s="192" cm="1">
        <f t="array" ref="AH12">IFERROR(INDEX('[1]Sales per type juli'!$D$10:$BA$51,MATCH($C12,'[1]Sales per type juli'!$B$10:$B$51,0),MATCH("V70",'[1]Sales per type juli'!$D$8:$BA$8,0)+1),0)</f>
        <v>0</v>
      </c>
      <c r="AI12" s="192">
        <f>AG12-AH12</f>
        <v>0</v>
      </c>
      <c r="AJ12" s="192">
        <f>IFERROR(INDEX('[1]SALES PERTYPE'!$N$10:$N$52,MATCH($C12,'[1]SALES PERTYPE'!$B$10:$B$52,0)),0)</f>
        <v>4</v>
      </c>
      <c r="AK12" s="192">
        <f>IFERROR(INDEX('[1]Sales per type juli'!$D$10:$BA$51,MATCH($C12,'[1]Sales per type juli'!$B$10:$B$51,0),MATCH("Y31d Pro",'[1]Sales per type juli'!$D$8:$BA$8,0)),0)</f>
        <v>2</v>
      </c>
      <c r="AL12" s="192">
        <f>AJ12-AK12</f>
        <v>2</v>
      </c>
      <c r="AM12" s="192">
        <f>IFERROR(INDEX('[1]SALES PERTYPE'!$O$10:$O$52,MATCH($C12,'[1]SALES PERTYPE'!$B$10:$B$52,0)),0)</f>
        <v>16396000</v>
      </c>
      <c r="AN12" s="192" cm="1">
        <f t="array" ref="AN12">IFERROR(INDEX('[1]Sales per type juli'!$D$10:$BA$51,MATCH($C12,'[1]Sales per type juli'!$B$10:$B$51,0),MATCH("Y31d Pro",'[1]Sales per type juli'!$D$8:$BA$8,0)+1),0)</f>
        <v>7798000</v>
      </c>
      <c r="AO12" s="192">
        <f>AM12-AN12</f>
        <v>8598000</v>
      </c>
      <c r="AP12" s="192">
        <f>IFERROR(INDEX('[1]SALES PERTYPE'!$P$10:$P$52,MATCH($C12,'[1]SALES PERTYPE'!$B$10:$B$52,0)),0)</f>
        <v>0</v>
      </c>
      <c r="AQ12" s="192" cm="1">
        <f t="array" ref="AQ12">IFERROR(INDEX('[1]Sales per type juli'!$D$10:$BA$51,MATCH($C12,'[1]Sales per type juli'!$B$10:$B$51,0),$FG$2),0)</f>
        <v>0</v>
      </c>
      <c r="AR12" s="192">
        <f>AP12-AQ12</f>
        <v>0</v>
      </c>
      <c r="AS12" s="192">
        <f>IFERROR(INDEX('[1]SALES PERTYPE'!$Q$10:$Q$52,MATCH($C12,'[1]SALES PERTYPE'!$B$10:$B$52,0)),0)</f>
        <v>0</v>
      </c>
      <c r="AT12" s="192" cm="1">
        <f t="array" ref="AT12">IFERROR(INDEX('[1]Sales per type juli'!$D$10:$BA$51,MATCH($C12,'[1]Sales per type juli'!$B$10:$B$51,0),$FG$2+1),0)</f>
        <v>0</v>
      </c>
      <c r="AU12" s="192">
        <f>AS12-AT12</f>
        <v>0</v>
      </c>
      <c r="AV12" s="192">
        <f>IFERROR(INDEX('[1]SALES PERTYPE'!$R$10:$R$52,MATCH($C12,'[1]SALES PERTYPE'!$B$10:$B$52,0)),0)</f>
        <v>0</v>
      </c>
      <c r="AW12" s="192">
        <f>IFERROR(INDEX('[1]Sales per type juli'!$D$10:$BA$51,MATCH($C12,'[1]Sales per type juli'!$B$10:$B$51,0),MATCH("Y31d ",'[1]Sales per type juli'!$D$8:$BA$8,0)),0)</f>
        <v>0</v>
      </c>
      <c r="AX12" s="192">
        <f>AV12-AW12</f>
        <v>0</v>
      </c>
      <c r="AY12" s="192">
        <f>IFERROR(INDEX('[1]SALES PERTYPE'!$S$10:$S$52,MATCH($C12,'[1]SALES PERTYPE'!$B$10:$B$52,0)),0)</f>
        <v>0</v>
      </c>
      <c r="AZ12" s="192" cm="1">
        <f t="array" ref="AZ12">IFERROR(INDEX('[1]Sales per type juli'!$D$10:$BA$51,MATCH($C12,'[1]Sales per type juli'!$B$10:$B$51,0),MATCH("Y31d ",'[1]Sales per type juli'!$D$8:$BA$8,0)+1),0)</f>
        <v>0</v>
      </c>
      <c r="BA12" s="192">
        <f>AY12-AZ12</f>
        <v>0</v>
      </c>
      <c r="BB12" s="192">
        <f>IFERROR(INDEX('[1]SALES PERTYPE'!$T$10:$T$52,MATCH($C12,'[1]SALES PERTYPE'!$B$10:$B$52,0)),0)</f>
        <v>0</v>
      </c>
      <c r="BC12" s="192">
        <f>IFERROR(INDEX('[1]Sales per type juli'!$D$10:$BA$51,MATCH($C12,'[1]Sales per type juli'!$B$10:$B$51,0),MATCH("V70 FE",'[1]Sales per type juli'!$D$8:$BA$8,0)),0)</f>
        <v>1</v>
      </c>
      <c r="BD12" s="192">
        <f>BB12-BC12</f>
        <v>-1</v>
      </c>
      <c r="BE12" s="192">
        <f>IFERROR(INDEX('[1]SALES PERTYPE'!$U$10:$U$52,MATCH($C12,'[1]SALES PERTYPE'!$B$10:$B$52,0)),0)</f>
        <v>0</v>
      </c>
      <c r="BF12" s="192" cm="1">
        <f t="array" ref="BF12">IFERROR(INDEX('[1]Sales per type juli'!$D$10:$BA$51,MATCH($C12,'[1]Sales per type juli'!$B$10:$B$51,0),MATCH("V70 FE",'[1]Sales per type juli'!$D$8:$BA$8,0)+1),0)</f>
        <v>7199000</v>
      </c>
      <c r="BG12" s="192">
        <f>BE12-BF12</f>
        <v>-7199000</v>
      </c>
      <c r="BH12" s="192">
        <f>IFERROR(INDEX('[1]SALES PERTYPE'!$V$10:$V$52,MATCH($C12,'[1]SALES PERTYPE'!$B$10:$B$52,0)),0)</f>
        <v>0</v>
      </c>
      <c r="BI12" s="192">
        <f>IFERROR(INDEX('[1]Sales per type juli'!$D$10:$BA$51,MATCH($C12,'[1]Sales per type juli'!$B$10:$B$51,0),MATCH("Y31d",'[1]Sales per type juli'!$D$8:$BA$8,0)),0)</f>
        <v>0</v>
      </c>
      <c r="BJ12" s="192">
        <f>BH12-BI12</f>
        <v>0</v>
      </c>
      <c r="BK12" s="192">
        <f>IFERROR(INDEX('[1]SALES PERTYPE'!$W$10:$W$52,MATCH($C12,'[1]SALES PERTYPE'!$B$10:$B$52,0)),0)</f>
        <v>0</v>
      </c>
      <c r="BL12" s="192" cm="1">
        <f t="array" ref="BL12">IFERROR(INDEX('[1]Sales per type juli'!$D$10:$BA$51,MATCH($C12,'[1]Sales per type juli'!$B$10:$B$51,0),MATCH("Y31d",'[1]Sales per type juli'!$D$8:$BA$8,0)+1),0)</f>
        <v>0</v>
      </c>
      <c r="BM12" s="192">
        <f>BK12-BL12</f>
        <v>0</v>
      </c>
      <c r="BN12" s="192">
        <f>IFERROR(INDEX('[1]SALES PERTYPE'!$X$10:$X$52,MATCH($C12,'[1]SALES PERTYPE'!$B$10:$B$52,0)),0)</f>
        <v>1</v>
      </c>
      <c r="BO12" s="192">
        <f>IFERROR(INDEX('[1]Sales per type juli'!$D$10:$BA$51,MATCH($C12,'[1]Sales per type juli'!$B$10:$B$51,0),MATCH("Y500",'[1]Sales per type juli'!$D$8:$BA$8,0)),0)</f>
        <v>0</v>
      </c>
      <c r="BP12" s="192">
        <f>BN12-BO12</f>
        <v>1</v>
      </c>
      <c r="BQ12" s="192">
        <f>IFERROR(INDEX('[1]SALES PERTYPE'!$Y$10:$Y$52,MATCH($C12,'[1]SALES PERTYPE'!$B$10:$B$52,0)),0)</f>
        <v>5499000</v>
      </c>
      <c r="BR12" s="192" cm="1">
        <f t="array" ref="BR12">IFERROR(INDEX('[1]Sales per type juli'!$D$10:$BA$51,MATCH($C12,'[1]Sales per type juli'!$B$10:$B$51,0),MATCH("Y500",'[1]Sales per type juli'!$D$8:$BA$8,0)+1),0)</f>
        <v>0</v>
      </c>
      <c r="BS12" s="192">
        <f>BQ12-BR12</f>
        <v>5499000</v>
      </c>
      <c r="BT12" s="192">
        <f>IFERROR(INDEX('[1]SALES PERTYPE'!$Z$10:$Z$52,MATCH($C12,'[1]SALES PERTYPE'!$B$10:$B$52,0)),0)</f>
        <v>0</v>
      </c>
      <c r="BU12" s="192">
        <f>IFERROR(INDEX('[1]Sales per type juli'!$D$10:$BA$51,MATCH($C12,'[1]Sales per type juli'!$B$10:$B$51,0),MATCH("IQOO 15R",'[1]Sales per type juli'!$D$8:$BA$8,0)),0)</f>
        <v>0</v>
      </c>
      <c r="BV12" s="192">
        <f>BT12-BU12</f>
        <v>0</v>
      </c>
      <c r="BW12" s="192">
        <f>IFERROR(INDEX('[1]SALES PERTYPE'!$AA$10:$AA$52,MATCH($C12,'[1]SALES PERTYPE'!$B$10:$B$52,0)),0)</f>
        <v>0</v>
      </c>
      <c r="BX12" s="192" cm="1">
        <f t="array" ref="BX12">IFERROR(INDEX('[1]Sales per type juli'!$D$10:$BA$51,MATCH($C12,'[1]Sales per type juli'!$B$10:$B$51,0),MATCH("IQOO 15R",'[1]Sales per type juli'!$D$8:$BA$8,0)+1),0)</f>
        <v>0</v>
      </c>
      <c r="BY12" s="192">
        <f>BW12-BX12</f>
        <v>0</v>
      </c>
      <c r="BZ12" s="192">
        <f>IFERROR(INDEX('[1]SALES PERTYPE'!$AB$10:$AB$52,MATCH($C12,'[1]SALES PERTYPE'!$B$10:$B$52,0)),0)</f>
        <v>1</v>
      </c>
      <c r="CA12" s="192">
        <f>IFERROR(INDEX('[1]Sales per type juli'!$D$10:$BA$51,MATCH($C12,'[1]Sales per type juli'!$B$10:$B$51,0),MATCH("V60 Lite",'[1]Sales per type juli'!$D$8:$BA$8,0)),0)</f>
        <v>0</v>
      </c>
      <c r="CB12" s="192">
        <f>BZ12-CA12</f>
        <v>1</v>
      </c>
      <c r="CC12" s="192">
        <f>IFERROR(INDEX('[1]SALES PERTYPE'!$AC$10:$AC$52,MATCH($C12,'[1]SALES PERTYPE'!$B$10:$B$52,0)),0)</f>
        <v>6499000</v>
      </c>
      <c r="CD12" s="192" cm="1">
        <f t="array" ref="CD12">IFERROR(INDEX('[1]Sales per type juli'!$D$10:$BA$51,MATCH($C12,'[1]Sales per type juli'!$B$10:$B$51,0),MATCH("V60 Lite",'[1]Sales per type juli'!$D$8:$BA$8,0)+1),0)</f>
        <v>0</v>
      </c>
      <c r="CE12" s="192">
        <f>CC12-CD12</f>
        <v>6499000</v>
      </c>
      <c r="CF12" s="192">
        <f>IFERROR(INDEX('[1]SALES PERTYPE'!$AD$10:$AD$52,MATCH($C12,'[1]SALES PERTYPE'!$B$10:$B$52,0)),0)</f>
        <v>3</v>
      </c>
      <c r="CG12" s="192">
        <f>IFERROR(INDEX('[1]Sales per type juli'!$D$10:$BA$51,MATCH($C12,'[1]Sales per type juli'!$B$10:$B$51,0),MATCH("X300 Ultra",'[1]Sales per type juli'!$D$8:$BA$8,0)),0)</f>
        <v>0</v>
      </c>
      <c r="CH12" s="192">
        <f>CF12-CG12</f>
        <v>3</v>
      </c>
      <c r="CI12" s="192">
        <f>IFERROR(INDEX('[1]SALES PERTYPE'!$AE$10:$AE$52,MATCH($C12,'[1]SALES PERTYPE'!$B$10:$B$52,0)),0)</f>
        <v>81997000</v>
      </c>
      <c r="CJ12" s="192" cm="1">
        <f t="array" ref="CJ12">IFERROR(INDEX('[1]Sales per type juli'!$D$10:$BA$51,MATCH($C12,'[1]Sales per type juli'!$B$10:$B$51,0),MATCH("X300 Ultra",'[1]Sales per type juli'!$D$8:$BA$8,0)+1),0)</f>
        <v>0</v>
      </c>
      <c r="CK12" s="192">
        <f>CI12-CJ12</f>
        <v>81997000</v>
      </c>
      <c r="CL12" s="192">
        <f>IFERROR(INDEX('[1]SALES PERTYPE'!$AF$10:$AF$52,MATCH($C12,'[1]SALES PERTYPE'!$B$10:$B$52,0)),0)</f>
        <v>1</v>
      </c>
      <c r="CM12" s="192">
        <f>IFERROR(INDEX('[1]Sales per type juli'!$D$10:$BA$51,MATCH($C12,'[1]Sales per type juli'!$B$10:$B$51,0),MATCH("IQOO 15",'[1]Sales per type juli'!$D$8:$BA$8,0)),0)</f>
        <v>0</v>
      </c>
      <c r="CN12" s="192">
        <f>CL12-CM12</f>
        <v>1</v>
      </c>
      <c r="CO12" s="192">
        <f>IFERROR(INDEX('[1]SALES PERTYPE'!$AG$10:$AG$52,MATCH($C12,'[1]SALES PERTYPE'!$B$10:$B$52,0)),0)</f>
        <v>15999000</v>
      </c>
      <c r="CP12" s="192" cm="1">
        <f t="array" ref="CP12">IFERROR(INDEX('[1]Sales per type juli'!$D$10:$BA$51,MATCH($C12,'[1]Sales per type juli'!$B$10:$B$51,0),MATCH("IQOO 15",'[1]Sales per type juli'!$D$8:$BA$8,0)+1),0)</f>
        <v>0</v>
      </c>
      <c r="CQ12" s="192">
        <f>CO12-CP12</f>
        <v>15999000</v>
      </c>
      <c r="CR12" s="192">
        <f>IFERROR(INDEX('[1]SALES PERTYPE'!$AH$10:$AH$52,MATCH($C12,'[1]SALES PERTYPE'!$B$10:$B$52,0)),0)</f>
        <v>0</v>
      </c>
      <c r="CS12" s="192">
        <f>IFERROR(INDEX('[1]Sales per type juli'!$D$10:$BA$51,MATCH($C12,'[1]Sales per type juli'!$B$10:$B$51,0),MATCH("IQOO Z11x",'[1]Sales per type juli'!$D$8:$BA$8,0)),0)</f>
        <v>0</v>
      </c>
      <c r="CT12" s="192">
        <f>CR12-CS12</f>
        <v>0</v>
      </c>
      <c r="CU12" s="192">
        <f>IFERROR(INDEX('[1]SALES PERTYPE'!$AI$10:$AI$52,MATCH($C12,'[1]SALES PERTYPE'!$B$10:$B$52,0)),0)</f>
        <v>0</v>
      </c>
      <c r="CV12" s="192" cm="1">
        <f t="array" ref="CV12">IFERROR(INDEX('[1]Sales per type juli'!$D$10:$BA$51,MATCH($C12,'[1]Sales per type juli'!$B$10:$B$51,0),MATCH("IQOO Z11x",'[1]Sales per type juli'!$D$8:$BA$8,0)+1),0)</f>
        <v>0</v>
      </c>
      <c r="CW12" s="192">
        <f>CU12-CV12</f>
        <v>0</v>
      </c>
      <c r="CX12" s="192">
        <f>IFERROR(INDEX('[1]SALES PERTYPE'!$AJ$10:$AJ$52,MATCH($C12,'[1]SALES PERTYPE'!$B$10:$B$52,0)),0)</f>
        <v>2</v>
      </c>
      <c r="CY12" s="192">
        <f>IFERROR(INDEX('[1]Sales per type juli'!$D$10:$BA$51,MATCH($C12,'[1]Sales per type juli'!$B$10:$B$51,0),MATCH("IQOO Z11",'[1]Sales per type juli'!$D$8:$BA$8,0)),0)</f>
        <v>1</v>
      </c>
      <c r="CZ12" s="192">
        <f>CX12-CY12</f>
        <v>1</v>
      </c>
      <c r="DA12" s="192">
        <f>IFERROR(INDEX('[1]SALES PERTYPE'!$AK$10:$AK$52,MATCH($C12,'[1]SALES PERTYPE'!$B$10:$B$52,0)),0)</f>
        <v>16398000</v>
      </c>
      <c r="DB12" s="192" cm="1">
        <f t="array" ref="DB12">IFERROR(INDEX('[1]Sales per type juli'!$D$10:$BA$51,MATCH($C12,'[1]Sales per type juli'!$B$10:$B$51,0),MATCH("IQOO Z11",'[1]Sales per type juli'!$D$8:$BA$8,0)+1),0)</f>
        <v>5699000</v>
      </c>
      <c r="DC12" s="192">
        <f>DA12-DB12</f>
        <v>10699000</v>
      </c>
      <c r="DD12" s="192">
        <v>0</v>
      </c>
      <c r="DE12" s="192">
        <f>IFERROR(INDEX('[1]Sales per type juli'!$D$10:$BA$51,MATCH($C12,'[1]Sales per type juli'!$B$10:$B$51,0),MATCH("WATCH 3",'[1]Sales per type juli'!$D$8:$BA$8,0)),0)</f>
        <v>0</v>
      </c>
      <c r="DF12" s="192">
        <f>DD12-DE12</f>
        <v>0</v>
      </c>
      <c r="DG12" s="192">
        <v>0</v>
      </c>
      <c r="DH12" s="192" cm="1">
        <f t="array" ref="DH12">IFERROR(INDEX('[1]Sales per type juli'!$D$10:$BA$51,MATCH($C12,'[1]Sales per type juli'!$B$10:$B$51,0),MATCH("WATCH 3",'[1]Sales per type juli'!$D$8:$BA$8,0)+1),0)</f>
        <v>0</v>
      </c>
      <c r="DI12" s="192">
        <f>DG12-DH12</f>
        <v>0</v>
      </c>
      <c r="DJ12" s="192">
        <v>0</v>
      </c>
      <c r="DK12" s="192">
        <f>IFERROR(INDEX('[1]Sales per type juli'!$D$10:$BA$51,MATCH($C12,'[1]Sales per type juli'!$B$10:$B$51,0),MATCH("X300 Demo",'[1]Sales per type juli'!$D$8:$BA$8,0)),0)</f>
        <v>0</v>
      </c>
      <c r="DL12" s="192">
        <f>DJ12-DK12</f>
        <v>0</v>
      </c>
      <c r="DM12" s="192">
        <v>0</v>
      </c>
      <c r="DN12" s="192" cm="1">
        <f t="array" ref="DN12">IFERROR(INDEX('[1]Sales per type juli'!$D$10:$BA$51,MATCH($C12,'[1]Sales per type juli'!$B$10:$B$51,0),MATCH("X300 Demo",'[1]Sales per type juli'!$D$8:$BA$8,0)+1),0)</f>
        <v>0</v>
      </c>
      <c r="DO12" s="192">
        <f>DM12-DN12</f>
        <v>0</v>
      </c>
      <c r="DP12" s="192">
        <v>0</v>
      </c>
      <c r="DQ12" s="192">
        <f>IFERROR(INDEX('[1]Sales per type juli'!$D$10:$BA$51,MATCH($C12,'[1]Sales per type juli'!$B$10:$B$51,0),MATCH("X300 Pro Demo",'[1]Sales per type juli'!$D$8:$BA$8,0)),0)</f>
        <v>0</v>
      </c>
      <c r="DR12" s="192">
        <f>DP12-DQ12</f>
        <v>0</v>
      </c>
      <c r="DS12" s="192">
        <v>0</v>
      </c>
      <c r="DT12" s="192" cm="1">
        <f t="array" ref="DT12">IFERROR(INDEX('[1]Sales per type juli'!$D$10:$BA$51,MATCH($C12,'[1]Sales per type juli'!$B$10:$B$51,0),MATCH("X300 Pro Demo",'[1]Sales per type juli'!$D$8:$BA$8,0)+1),0)</f>
        <v>0</v>
      </c>
      <c r="DU12" s="192">
        <f>DS12-DT12</f>
        <v>0</v>
      </c>
      <c r="DV12" s="192">
        <v>0</v>
      </c>
      <c r="DW12" s="192">
        <f>IFERROR(INDEX('[1]Sales per type juli'!$D$10:$BA$51,MATCH($C12,'[1]Sales per type juli'!$B$10:$B$51,0),MATCH("X Fold5 DEMO",'[1]Sales per type juli'!$D$8:$BA$8,0)),0)</f>
        <v>0</v>
      </c>
      <c r="DX12" s="192">
        <f>DV12-DW12</f>
        <v>0</v>
      </c>
      <c r="DY12" s="192">
        <v>0</v>
      </c>
      <c r="DZ12" s="192" cm="1">
        <f t="array" ref="DZ12">IFERROR(INDEX('[1]Sales per type juli'!$D$10:$BA$51,MATCH($C12,'[1]Sales per type juli'!$B$10:$B$51,0),MATCH("X Fold5 DEMO",'[1]Sales per type juli'!$D$8:$BA$8,0)+1),0)</f>
        <v>0</v>
      </c>
      <c r="EA12" s="192">
        <f>DY12-DZ12</f>
        <v>0</v>
      </c>
      <c r="EB12" s="192">
        <v>0</v>
      </c>
      <c r="EC12" s="192">
        <f>IFERROR(INDEX('[1]Sales per type juli'!$D$10:$BA$51,MATCH($C12,'[1]Sales per type juli'!$B$10:$B$51,0),MATCH("X Fold5",'[1]Sales per type juli'!$D$8:$BA$8,0)),0)</f>
        <v>0</v>
      </c>
      <c r="ED12" s="192">
        <f>EB12-EC12</f>
        <v>0</v>
      </c>
      <c r="EE12" s="192">
        <v>0</v>
      </c>
      <c r="EF12" s="192" cm="1">
        <f t="array" ref="EF12">IFERROR(INDEX('[1]Sales per type juli'!$D$10:$BA$51,MATCH($C12,'[1]Sales per type juli'!$B$10:$B$51,0),MATCH("X Fold5",'[1]Sales per type juli'!$D$8:$BA$8,0)+1),0)</f>
        <v>0</v>
      </c>
      <c r="EG12" s="192">
        <f>EE12-EF12</f>
        <v>0</v>
      </c>
      <c r="EH12" s="192">
        <v>0</v>
      </c>
      <c r="EI12" s="192">
        <f>IFERROR(INDEX('[1]Sales per type juli'!$D$10:$BA$51,MATCH($C12,'[1]Sales per type juli'!$B$10:$B$51,0),MATCH("IQOO 15 Demo",'[1]Sales per type juli'!$D$8:$BA$8,0)),0)</f>
        <v>0</v>
      </c>
      <c r="EJ12" s="192">
        <f>EH12-EI12</f>
        <v>0</v>
      </c>
      <c r="EK12" s="192">
        <v>0</v>
      </c>
      <c r="EL12" s="192" cm="1">
        <f t="array" ref="EL12">IFERROR(INDEX('[1]Sales per type juli'!$D$10:$BA$51,MATCH($C12,'[1]Sales per type juli'!$B$10:$B$51,0),MATCH("IQOO 15 Demo",'[1]Sales per type juli'!$D$8:$BA$8,0)+1),0)</f>
        <v>0</v>
      </c>
      <c r="EM12" s="192">
        <f>EK12-EL12</f>
        <v>0</v>
      </c>
      <c r="EN12" s="192">
        <v>0</v>
      </c>
      <c r="EO12" s="192">
        <f>IFERROR(INDEX('[1]Sales per type juli'!$D$10:$BA$51,MATCH($C12,'[1]Sales per type juli'!$B$10:$B$51,0),MATCH("X300 PRO",'[1]Sales per type juli'!$D$8:$BA$8,0)),0)</f>
        <v>0</v>
      </c>
      <c r="EP12" s="192">
        <f>EN12-EO12</f>
        <v>0</v>
      </c>
      <c r="EQ12" s="192">
        <v>0</v>
      </c>
      <c r="ER12" s="192" cm="1">
        <f t="array" ref="ER12">IFERROR(INDEX('[1]Sales per type juli'!$D$10:$BA$51,MATCH($C12,'[1]Sales per type juli'!$B$10:$B$51,0),MATCH("X300 PRO",'[1]Sales per type juli'!$D$8:$BA$8,0)+1),0)</f>
        <v>0</v>
      </c>
      <c r="ES12" s="192">
        <f>EQ12-ER12</f>
        <v>0</v>
      </c>
      <c r="ET12" s="192">
        <v>0</v>
      </c>
      <c r="EU12" s="192">
        <f>IFERROR(INDEX('[1]Sales per type juli'!$D$10:$BA$51,MATCH($C12,'[1]Sales per type juli'!$B$10:$B$51,0),MATCH("X300 ",'[1]Sales per type juli'!$D$8:$BA$8,0)),0)</f>
        <v>1</v>
      </c>
      <c r="EV12" s="192">
        <f>ET12-EU12</f>
        <v>-1</v>
      </c>
      <c r="EW12" s="192">
        <v>0</v>
      </c>
      <c r="EX12" s="192" cm="1">
        <f t="array" ref="EX12">IFERROR(INDEX('[1]Sales per type juli'!$D$10:$BA$51,MATCH($C12,'[1]Sales per type juli'!$B$10:$B$51,0),MATCH("X300 ",'[1]Sales per type juli'!$D$8:$BA$8,0)+1),0)</f>
        <v>14999000</v>
      </c>
      <c r="EY12" s="192">
        <f>EW12-EX12</f>
        <v>-14999000</v>
      </c>
      <c r="EZ12" s="192">
        <f>F12+L12+R12+X12+AD12+AJ12+AP12+AV12+BB12+BH12+BN12+BT12+BZ12+CF12+CL12+CR12+CX12+DD12+DJ12+DP12+DV12+EB12+EH12+EN12+ET12</f>
        <v>21</v>
      </c>
      <c r="FA12" s="192">
        <f>G12+M12+S12+Y12+AE12+AK12+AQ12+AW12+BC12+BI12+BO12+BU12+CA12+CG12+CM12+CS12+CY12+DE12+DK12+DQ12+DW12+EC12+EI12+EO12+EU12</f>
        <v>7</v>
      </c>
      <c r="FB12" s="192">
        <f>EZ12-FA12</f>
        <v>14</v>
      </c>
      <c r="FC12" s="192">
        <f>I12+O12+U12+AA12+AG12+AM12+AS12+AY12+BE12+BK12+BQ12+BW12+CC12+CI12+CO12+CU12+DA12+DG12+DM12+DS12+DY12+EE12+EK12+EQ12+EW12</f>
        <v>164979000</v>
      </c>
      <c r="FD12" s="192">
        <f>J12+P12+V12+AB12+AH12+AN12+AT12+AZ12+BF12+BL12+BR12+BX12+CD12+CJ12+CP12+CV12+DB12+DH12+DN12+DT12+DZ12+EF12+EL12+ER12+EX12</f>
        <v>41293000</v>
      </c>
      <c r="FE12" s="192">
        <f>FC12-FD12</f>
        <v>123686000</v>
      </c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</row>
    <row r="13" spans="1:208" ht="16" x14ac:dyDescent="0.2">
      <c r="A13" s="137">
        <f>'[1]ACHIEVEMENT STORE'!A13</f>
        <v>9</v>
      </c>
      <c r="B13" s="138" t="str">
        <f>'[1]ACHIEVEMENT STORE'!B13</f>
        <v>601 雅加达西北 JKT BU</v>
      </c>
      <c r="C13" s="137">
        <f>'[1]ACHIEVEMENT STORE'!C13</f>
        <v>6020706</v>
      </c>
      <c r="D13" s="138" t="str">
        <f>'[1]ACHIEVEMENT STORE'!D13</f>
        <v>6020706-MVS CEMPAKA SHOWROOM 2 (454)</v>
      </c>
      <c r="E13" s="138" t="str">
        <f>'[1]ACHIEVEMENT STORE'!E13</f>
        <v>NOVIA HARYANTI</v>
      </c>
      <c r="F13" s="192">
        <f>IFERROR(INDEX('[1]SALES PERTYPE'!$D$10:$D$52,MATCH($C13,'[1]SALES PERTYPE'!$B$10:$B$52,0)),0)</f>
        <v>13</v>
      </c>
      <c r="G13" s="192">
        <f>IFERROR(INDEX('[1]Sales per type juli'!$D$10:$BA$51,MATCH($C13,'[1]Sales per type juli'!$B$10:$B$51,0),MATCH("Y05",'[1]Sales per type juli'!$D$8:$BA$8,0)),0)</f>
        <v>20</v>
      </c>
      <c r="H13" s="192">
        <f>F13-G13</f>
        <v>-7</v>
      </c>
      <c r="I13" s="192">
        <f>IFERROR(INDEX('[1]SALES PERTYPE'!$E$10:$E$52,MATCH($C13,'[1]SALES PERTYPE'!$B$10:$B$52,0)),0)</f>
        <v>31987000</v>
      </c>
      <c r="J13" s="192" cm="1">
        <f t="array" ref="J13">IFERROR(INDEX('[1]Sales per type juli'!$D$10:$BA$51,MATCH($C13,'[1]Sales per type juli'!$B$10:$B$51,0),MATCH("Y05",'[1]Sales per type juli'!$D$8:$BA$8,0)+1),0)</f>
        <v>44980000</v>
      </c>
      <c r="K13" s="192">
        <f>I13-J13</f>
        <v>-12993000</v>
      </c>
      <c r="L13" s="192">
        <f>IFERROR(INDEX('[1]SALES PERTYPE'!$F$10:$F$52,MATCH($C13,'[1]SALES PERTYPE'!$B$10:$B$52,0)),0)</f>
        <v>5</v>
      </c>
      <c r="M13" s="192">
        <f>IFERROR(INDEX('[1]Sales per type juli'!$D$10:$BA$51,MATCH($C13,'[1]Sales per type juli'!$B$10:$B$51,0),MATCH("Y11d",'[1]Sales per type juli'!$D$8:$BA$8,0)),0)</f>
        <v>2</v>
      </c>
      <c r="N13" s="192">
        <f>L13-M13</f>
        <v>3</v>
      </c>
      <c r="O13" s="192">
        <f>IFERROR(INDEX('[1]SALES PERTYPE'!$G$10:$G$52,MATCH($C13,'[1]SALES PERTYPE'!$B$10:$B$52,0)),0)</f>
        <v>13995000</v>
      </c>
      <c r="P13" s="192" cm="1">
        <f t="array" ref="P13">IFERROR(INDEX('[1]Sales per type juli'!$D$10:$BA$51,MATCH($C13,'[1]Sales per type juli'!$B$10:$B$51,0),MATCH("Y11d",'[1]Sales per type juli'!$D$8:$BA$8,0)+1),0)</f>
        <v>5598000</v>
      </c>
      <c r="Q13" s="192">
        <f>O13-P13</f>
        <v>8397000</v>
      </c>
      <c r="R13" s="192">
        <f>IFERROR(INDEX('[1]SALES PERTYPE'!$H$10:$H$52,MATCH($C13,'[1]SALES PERTYPE'!$B$10:$B$52,0)),0)</f>
        <v>0</v>
      </c>
      <c r="S13" s="192">
        <f>IFERROR(INDEX('[1]Sales per type juli'!$D$10:$BA$51,MATCH($C13,'[1]Sales per type juli'!$B$10:$B$51,0),MATCH("Watch GT 2",'[1]Sales per type juli'!$D$8:$BA$8,0)),0)</f>
        <v>0</v>
      </c>
      <c r="T13" s="192">
        <f>R13-S13</f>
        <v>0</v>
      </c>
      <c r="U13" s="192">
        <f>IFERROR(INDEX('[1]SALES PERTYPE'!$I$10:$I$52,MATCH($C13,'[1]SALES PERTYPE'!$B$10:$B$52,0)),0)</f>
        <v>0</v>
      </c>
      <c r="V13" s="192" cm="1">
        <f t="array" ref="V13">IFERROR(INDEX('[1]Sales per type juli'!$D$10:$BA$51,MATCH($C13,'[1]Sales per type juli'!$B$10:$B$51,0),MATCH("Watch GT 2",'[1]Sales per type juli'!$D$8:$BA$8,0)+1),0)</f>
        <v>0</v>
      </c>
      <c r="W13" s="192">
        <f>U13-V13</f>
        <v>0</v>
      </c>
      <c r="X13" s="192">
        <f>IFERROR(INDEX('[1]SALES PERTYPE'!$J$10:$J$52,MATCH($C13,'[1]SALES PERTYPE'!$B$10:$B$52,0)),0)</f>
        <v>5</v>
      </c>
      <c r="Y13" s="192">
        <f>IFERROR(INDEX('[1]Sales per type juli'!$D$10:$BA$51,MATCH($C13,'[1]Sales per type juli'!$B$10:$B$51,0),MATCH("Y05e",'[1]Sales per type juli'!$D$8:$BA$8,0)),0)</f>
        <v>0</v>
      </c>
      <c r="Z13" s="192">
        <f>X13-Y13</f>
        <v>5</v>
      </c>
      <c r="AA13" s="192">
        <f>IFERROR(INDEX('[1]SALES PERTYPE'!$K$10:$K$52,MATCH($C13,'[1]SALES PERTYPE'!$B$10:$B$52,0)),0)</f>
        <v>10495000</v>
      </c>
      <c r="AB13" s="192" cm="1">
        <f t="array" ref="AB13">IFERROR(INDEX('[1]Sales per type juli'!$D$10:$BA$51,MATCH($C13,'[1]Sales per type juli'!$B$10:$B$51,0),MATCH("Y05e",'[1]Sales per type juli'!$D$8:$BA$8,0)+1),0)</f>
        <v>0</v>
      </c>
      <c r="AC13" s="192">
        <f>AA13-AB13</f>
        <v>10495000</v>
      </c>
      <c r="AD13" s="192">
        <f>IFERROR(INDEX('[1]SALES PERTYPE'!$L$10:$L$52,MATCH($C13,'[1]SALES PERTYPE'!$B$10:$B$52,0)),0)</f>
        <v>0</v>
      </c>
      <c r="AE13" s="192">
        <f>IFERROR(INDEX('[1]Sales per type juli'!$D$10:$BA$51,MATCH($C13,'[1]Sales per type juli'!$B$10:$B$51,0),MATCH("V70",'[1]Sales per type juli'!$D$8:$BA$8,0)),0)</f>
        <v>1</v>
      </c>
      <c r="AF13" s="192">
        <f>AD13-AE13</f>
        <v>-1</v>
      </c>
      <c r="AG13" s="192">
        <f>IFERROR(INDEX('[1]SALES PERTYPE'!$M$10:$M$52,MATCH($C13,'[1]SALES PERTYPE'!$B$10:$B$52,0)),0)</f>
        <v>0</v>
      </c>
      <c r="AH13" s="192" cm="1">
        <f t="array" ref="AH13">IFERROR(INDEX('[1]Sales per type juli'!$D$10:$BA$51,MATCH($C13,'[1]Sales per type juli'!$B$10:$B$51,0),MATCH("V70",'[1]Sales per type juli'!$D$8:$BA$8,0)+1),0)</f>
        <v>8999000</v>
      </c>
      <c r="AI13" s="192">
        <f>AG13-AH13</f>
        <v>-8999000</v>
      </c>
      <c r="AJ13" s="192">
        <f>IFERROR(INDEX('[1]SALES PERTYPE'!$N$10:$N$52,MATCH($C13,'[1]SALES PERTYPE'!$B$10:$B$52,0)),0)</f>
        <v>7</v>
      </c>
      <c r="AK13" s="192">
        <f>IFERROR(INDEX('[1]Sales per type juli'!$D$10:$BA$51,MATCH($C13,'[1]Sales per type juli'!$B$10:$B$51,0),MATCH("Y31d Pro",'[1]Sales per type juli'!$D$8:$BA$8,0)),0)</f>
        <v>8</v>
      </c>
      <c r="AL13" s="192">
        <f>AJ13-AK13</f>
        <v>-1</v>
      </c>
      <c r="AM13" s="192">
        <f>IFERROR(INDEX('[1]SALES PERTYPE'!$O$10:$O$52,MATCH($C13,'[1]SALES PERTYPE'!$B$10:$B$52,0)),0)</f>
        <v>31693000</v>
      </c>
      <c r="AN13" s="192" cm="1">
        <f t="array" ref="AN13">IFERROR(INDEX('[1]Sales per type juli'!$D$10:$BA$51,MATCH($C13,'[1]Sales per type juli'!$B$10:$B$51,0),MATCH("Y31d Pro",'[1]Sales per type juli'!$D$8:$BA$8,0)+1),0)</f>
        <v>33792000</v>
      </c>
      <c r="AO13" s="192">
        <f>AM13-AN13</f>
        <v>-2099000</v>
      </c>
      <c r="AP13" s="192">
        <f>IFERROR(INDEX('[1]SALES PERTYPE'!$P$10:$P$52,MATCH($C13,'[1]SALES PERTYPE'!$B$10:$B$52,0)),0)</f>
        <v>0</v>
      </c>
      <c r="AQ13" s="192" cm="1">
        <f t="array" ref="AQ13">IFERROR(INDEX('[1]Sales per type juli'!$D$10:$BA$51,MATCH($C13,'[1]Sales per type juli'!$B$10:$B$51,0),$FG$2),0)</f>
        <v>0</v>
      </c>
      <c r="AR13" s="192">
        <f>AP13-AQ13</f>
        <v>0</v>
      </c>
      <c r="AS13" s="192">
        <f>IFERROR(INDEX('[1]SALES PERTYPE'!$Q$10:$Q$52,MATCH($C13,'[1]SALES PERTYPE'!$B$10:$B$52,0)),0)</f>
        <v>0</v>
      </c>
      <c r="AT13" s="192" cm="1">
        <f t="array" ref="AT13">IFERROR(INDEX('[1]Sales per type juli'!$D$10:$BA$51,MATCH($C13,'[1]Sales per type juli'!$B$10:$B$51,0),$FG$2+1),0)</f>
        <v>0</v>
      </c>
      <c r="AU13" s="192">
        <f>AS13-AT13</f>
        <v>0</v>
      </c>
      <c r="AV13" s="192">
        <f>IFERROR(INDEX('[1]SALES PERTYPE'!$R$10:$R$52,MATCH($C13,'[1]SALES PERTYPE'!$B$10:$B$52,0)),0)</f>
        <v>3</v>
      </c>
      <c r="AW13" s="192">
        <f>IFERROR(INDEX('[1]Sales per type juli'!$D$10:$BA$51,MATCH($C13,'[1]Sales per type juli'!$B$10:$B$51,0),MATCH("Y31d ",'[1]Sales per type juli'!$D$8:$BA$8,0)),0)</f>
        <v>0</v>
      </c>
      <c r="AX13" s="192">
        <f>AV13-AW13</f>
        <v>3</v>
      </c>
      <c r="AY13" s="192">
        <f>IFERROR(INDEX('[1]SALES PERTYPE'!$S$10:$S$52,MATCH($C13,'[1]SALES PERTYPE'!$B$10:$B$52,0)),0)</f>
        <v>10797000</v>
      </c>
      <c r="AZ13" s="192" cm="1">
        <f t="array" ref="AZ13">IFERROR(INDEX('[1]Sales per type juli'!$D$10:$BA$51,MATCH($C13,'[1]Sales per type juli'!$B$10:$B$51,0),MATCH("Y31d ",'[1]Sales per type juli'!$D$8:$BA$8,0)+1),0)</f>
        <v>0</v>
      </c>
      <c r="BA13" s="192">
        <f>AY13-AZ13</f>
        <v>10797000</v>
      </c>
      <c r="BB13" s="192">
        <f>IFERROR(INDEX('[1]SALES PERTYPE'!$T$10:$T$52,MATCH($C13,'[1]SALES PERTYPE'!$B$10:$B$52,0)),0)</f>
        <v>0</v>
      </c>
      <c r="BC13" s="192">
        <f>IFERROR(INDEX('[1]Sales per type juli'!$D$10:$BA$51,MATCH($C13,'[1]Sales per type juli'!$B$10:$B$51,0),MATCH("V70 FE",'[1]Sales per type juli'!$D$8:$BA$8,0)),0)</f>
        <v>7</v>
      </c>
      <c r="BD13" s="192">
        <f>BB13-BC13</f>
        <v>-7</v>
      </c>
      <c r="BE13" s="192">
        <f>IFERROR(INDEX('[1]SALES PERTYPE'!$U$10:$U$52,MATCH($C13,'[1]SALES PERTYPE'!$B$10:$B$52,0)),0)</f>
        <v>0</v>
      </c>
      <c r="BF13" s="192" cm="1">
        <f t="array" ref="BF13">IFERROR(INDEX('[1]Sales per type juli'!$D$10:$BA$51,MATCH($C13,'[1]Sales per type juli'!$B$10:$B$51,0),MATCH("V70 FE",'[1]Sales per type juli'!$D$8:$BA$8,0)+1),0)</f>
        <v>47593000</v>
      </c>
      <c r="BG13" s="192">
        <f>BE13-BF13</f>
        <v>-47593000</v>
      </c>
      <c r="BH13" s="192">
        <f>IFERROR(INDEX('[1]SALES PERTYPE'!$V$10:$V$52,MATCH($C13,'[1]SALES PERTYPE'!$B$10:$B$52,0)),0)</f>
        <v>0</v>
      </c>
      <c r="BI13" s="192">
        <f>IFERROR(INDEX('[1]Sales per type juli'!$D$10:$BA$51,MATCH($C13,'[1]Sales per type juli'!$B$10:$B$51,0),MATCH("Y31d",'[1]Sales per type juli'!$D$8:$BA$8,0)),0)</f>
        <v>0</v>
      </c>
      <c r="BJ13" s="192">
        <f>BH13-BI13</f>
        <v>0</v>
      </c>
      <c r="BK13" s="192">
        <f>IFERROR(INDEX('[1]SALES PERTYPE'!$W$10:$W$52,MATCH($C13,'[1]SALES PERTYPE'!$B$10:$B$52,0)),0)</f>
        <v>0</v>
      </c>
      <c r="BL13" s="192" cm="1">
        <f t="array" ref="BL13">IFERROR(INDEX('[1]Sales per type juli'!$D$10:$BA$51,MATCH($C13,'[1]Sales per type juli'!$B$10:$B$51,0),MATCH("Y31d",'[1]Sales per type juli'!$D$8:$BA$8,0)+1),0)</f>
        <v>0</v>
      </c>
      <c r="BM13" s="192">
        <f>BK13-BL13</f>
        <v>0</v>
      </c>
      <c r="BN13" s="192">
        <f>IFERROR(INDEX('[1]SALES PERTYPE'!$X$10:$X$52,MATCH($C13,'[1]SALES PERTYPE'!$B$10:$B$52,0)),0)</f>
        <v>2</v>
      </c>
      <c r="BO13" s="192">
        <f>IFERROR(INDEX('[1]Sales per type juli'!$D$10:$BA$51,MATCH($C13,'[1]Sales per type juli'!$B$10:$B$51,0),MATCH("Y500",'[1]Sales per type juli'!$D$8:$BA$8,0)),0)</f>
        <v>0</v>
      </c>
      <c r="BP13" s="192">
        <f>BN13-BO13</f>
        <v>2</v>
      </c>
      <c r="BQ13" s="192">
        <f>IFERROR(INDEX('[1]SALES PERTYPE'!$Y$10:$Y$52,MATCH($C13,'[1]SALES PERTYPE'!$B$10:$B$52,0)),0)</f>
        <v>12598000</v>
      </c>
      <c r="BR13" s="192" cm="1">
        <f t="array" ref="BR13">IFERROR(INDEX('[1]Sales per type juli'!$D$10:$BA$51,MATCH($C13,'[1]Sales per type juli'!$B$10:$B$51,0),MATCH("Y500",'[1]Sales per type juli'!$D$8:$BA$8,0)+1),0)</f>
        <v>0</v>
      </c>
      <c r="BS13" s="192">
        <f>BQ13-BR13</f>
        <v>12598000</v>
      </c>
      <c r="BT13" s="192">
        <f>IFERROR(INDEX('[1]SALES PERTYPE'!$Z$10:$Z$52,MATCH($C13,'[1]SALES PERTYPE'!$B$10:$B$52,0)),0)</f>
        <v>0</v>
      </c>
      <c r="BU13" s="192">
        <f>IFERROR(INDEX('[1]Sales per type juli'!$D$10:$BA$51,MATCH($C13,'[1]Sales per type juli'!$B$10:$B$51,0),MATCH("IQOO 15R",'[1]Sales per type juli'!$D$8:$BA$8,0)),0)</f>
        <v>2</v>
      </c>
      <c r="BV13" s="192">
        <f>BT13-BU13</f>
        <v>-2</v>
      </c>
      <c r="BW13" s="192">
        <f>IFERROR(INDEX('[1]SALES PERTYPE'!$AA$10:$AA$52,MATCH($C13,'[1]SALES PERTYPE'!$B$10:$B$52,0)),0)</f>
        <v>0</v>
      </c>
      <c r="BX13" s="192" cm="1">
        <f t="array" ref="BX13">IFERROR(INDEX('[1]Sales per type juli'!$D$10:$BA$51,MATCH($C13,'[1]Sales per type juli'!$B$10:$B$51,0),MATCH("IQOO 15R",'[1]Sales per type juli'!$D$8:$BA$8,0)+1),0)</f>
        <v>19798000</v>
      </c>
      <c r="BY13" s="192">
        <f>BW13-BX13</f>
        <v>-19798000</v>
      </c>
      <c r="BZ13" s="192">
        <f>IFERROR(INDEX('[1]SALES PERTYPE'!$AB$10:$AB$52,MATCH($C13,'[1]SALES PERTYPE'!$B$10:$B$52,0)),0)</f>
        <v>3</v>
      </c>
      <c r="CA13" s="192">
        <f>IFERROR(INDEX('[1]Sales per type juli'!$D$10:$BA$51,MATCH($C13,'[1]Sales per type juli'!$B$10:$B$51,0),MATCH("V60 Lite",'[1]Sales per type juli'!$D$8:$BA$8,0)),0)</f>
        <v>0</v>
      </c>
      <c r="CB13" s="192">
        <f>BZ13-CA13</f>
        <v>3</v>
      </c>
      <c r="CC13" s="192">
        <f>IFERROR(INDEX('[1]SALES PERTYPE'!$AC$10:$AC$52,MATCH($C13,'[1]SALES PERTYPE'!$B$10:$B$52,0)),0)</f>
        <v>17197000</v>
      </c>
      <c r="CD13" s="192" cm="1">
        <f t="array" ref="CD13">IFERROR(INDEX('[1]Sales per type juli'!$D$10:$BA$51,MATCH($C13,'[1]Sales per type juli'!$B$10:$B$51,0),MATCH("V60 Lite",'[1]Sales per type juli'!$D$8:$BA$8,0)+1),0)</f>
        <v>0</v>
      </c>
      <c r="CE13" s="192">
        <f>CC13-CD13</f>
        <v>17197000</v>
      </c>
      <c r="CF13" s="192">
        <f>IFERROR(INDEX('[1]SALES PERTYPE'!$AD$10:$AD$52,MATCH($C13,'[1]SALES PERTYPE'!$B$10:$B$52,0)),0)</f>
        <v>0</v>
      </c>
      <c r="CG13" s="192">
        <f>IFERROR(INDEX('[1]Sales per type juli'!$D$10:$BA$51,MATCH($C13,'[1]Sales per type juli'!$B$10:$B$51,0),MATCH("X300 Ultra",'[1]Sales per type juli'!$D$8:$BA$8,0)),0)</f>
        <v>0</v>
      </c>
      <c r="CH13" s="192">
        <f>CF13-CG13</f>
        <v>0</v>
      </c>
      <c r="CI13" s="192">
        <f>IFERROR(INDEX('[1]SALES PERTYPE'!$AE$10:$AE$52,MATCH($C13,'[1]SALES PERTYPE'!$B$10:$B$52,0)),0)</f>
        <v>0</v>
      </c>
      <c r="CJ13" s="192" cm="1">
        <f t="array" ref="CJ13">IFERROR(INDEX('[1]Sales per type juli'!$D$10:$BA$51,MATCH($C13,'[1]Sales per type juli'!$B$10:$B$51,0),MATCH("X300 Ultra",'[1]Sales per type juli'!$D$8:$BA$8,0)+1),0)</f>
        <v>0</v>
      </c>
      <c r="CK13" s="192">
        <f>CI13-CJ13</f>
        <v>0</v>
      </c>
      <c r="CL13" s="192">
        <f>IFERROR(INDEX('[1]SALES PERTYPE'!$AF$10:$AF$52,MATCH($C13,'[1]SALES PERTYPE'!$B$10:$B$52,0)),0)</f>
        <v>0</v>
      </c>
      <c r="CM13" s="192">
        <f>IFERROR(INDEX('[1]Sales per type juli'!$D$10:$BA$51,MATCH($C13,'[1]Sales per type juli'!$B$10:$B$51,0),MATCH("IQOO 15",'[1]Sales per type juli'!$D$8:$BA$8,0)),0)</f>
        <v>0</v>
      </c>
      <c r="CN13" s="192">
        <f>CL13-CM13</f>
        <v>0</v>
      </c>
      <c r="CO13" s="192">
        <f>IFERROR(INDEX('[1]SALES PERTYPE'!$AG$10:$AG$52,MATCH($C13,'[1]SALES PERTYPE'!$B$10:$B$52,0)),0)</f>
        <v>0</v>
      </c>
      <c r="CP13" s="192" cm="1">
        <f t="array" ref="CP13">IFERROR(INDEX('[1]Sales per type juli'!$D$10:$BA$51,MATCH($C13,'[1]Sales per type juli'!$B$10:$B$51,0),MATCH("IQOO 15",'[1]Sales per type juli'!$D$8:$BA$8,0)+1),0)</f>
        <v>0</v>
      </c>
      <c r="CQ13" s="192">
        <f>CO13-CP13</f>
        <v>0</v>
      </c>
      <c r="CR13" s="192">
        <f>IFERROR(INDEX('[1]SALES PERTYPE'!$AH$10:$AH$52,MATCH($C13,'[1]SALES PERTYPE'!$B$10:$B$52,0)),0)</f>
        <v>1</v>
      </c>
      <c r="CS13" s="192">
        <f>IFERROR(INDEX('[1]Sales per type juli'!$D$10:$BA$51,MATCH($C13,'[1]Sales per type juli'!$B$10:$B$51,0),MATCH("IQOO Z11x",'[1]Sales per type juli'!$D$8:$BA$8,0)),0)</f>
        <v>1</v>
      </c>
      <c r="CT13" s="192">
        <f>CR13-CS13</f>
        <v>0</v>
      </c>
      <c r="CU13" s="192">
        <f>IFERROR(INDEX('[1]SALES PERTYPE'!$AI$10:$AI$52,MATCH($C13,'[1]SALES PERTYPE'!$B$10:$B$52,0)),0)</f>
        <v>5699000</v>
      </c>
      <c r="CV13" s="192" cm="1">
        <f t="array" ref="CV13">IFERROR(INDEX('[1]Sales per type juli'!$D$10:$BA$51,MATCH($C13,'[1]Sales per type juli'!$B$10:$B$51,0),MATCH("IQOO Z11x",'[1]Sales per type juli'!$D$8:$BA$8,0)+1),0)</f>
        <v>4799000</v>
      </c>
      <c r="CW13" s="192">
        <f>CU13-CV13</f>
        <v>900000</v>
      </c>
      <c r="CX13" s="192">
        <f>IFERROR(INDEX('[1]SALES PERTYPE'!$AJ$10:$AJ$52,MATCH($C13,'[1]SALES PERTYPE'!$B$10:$B$52,0)),0)</f>
        <v>0</v>
      </c>
      <c r="CY13" s="192">
        <f>IFERROR(INDEX('[1]Sales per type juli'!$D$10:$BA$51,MATCH($C13,'[1]Sales per type juli'!$B$10:$B$51,0),MATCH("IQOO Z11",'[1]Sales per type juli'!$D$8:$BA$8,0)),0)</f>
        <v>6</v>
      </c>
      <c r="CZ13" s="192">
        <f>CX13-CY13</f>
        <v>-6</v>
      </c>
      <c r="DA13" s="192">
        <f>IFERROR(INDEX('[1]SALES PERTYPE'!$AK$10:$AK$52,MATCH($C13,'[1]SALES PERTYPE'!$B$10:$B$52,0)),0)</f>
        <v>0</v>
      </c>
      <c r="DB13" s="192" cm="1">
        <f t="array" ref="DB13">IFERROR(INDEX('[1]Sales per type juli'!$D$10:$BA$51,MATCH($C13,'[1]Sales per type juli'!$B$10:$B$51,0),MATCH("IQOO Z11",'[1]Sales per type juli'!$D$8:$BA$8,0)+1),0)</f>
        <v>34194000</v>
      </c>
      <c r="DC13" s="192">
        <f>DA13-DB13</f>
        <v>-34194000</v>
      </c>
      <c r="DD13" s="192">
        <v>0</v>
      </c>
      <c r="DE13" s="192">
        <f>IFERROR(INDEX('[1]Sales per type juli'!$D$10:$BA$51,MATCH($C13,'[1]Sales per type juli'!$B$10:$B$51,0),MATCH("WATCH 3",'[1]Sales per type juli'!$D$8:$BA$8,0)),0)</f>
        <v>0</v>
      </c>
      <c r="DF13" s="192">
        <f>DD13-DE13</f>
        <v>0</v>
      </c>
      <c r="DG13" s="192">
        <v>0</v>
      </c>
      <c r="DH13" s="192" cm="1">
        <f t="array" ref="DH13">IFERROR(INDEX('[1]Sales per type juli'!$D$10:$BA$51,MATCH($C13,'[1]Sales per type juli'!$B$10:$B$51,0),MATCH("WATCH 3",'[1]Sales per type juli'!$D$8:$BA$8,0)+1),0)</f>
        <v>0</v>
      </c>
      <c r="DI13" s="192">
        <f>DG13-DH13</f>
        <v>0</v>
      </c>
      <c r="DJ13" s="192">
        <v>0</v>
      </c>
      <c r="DK13" s="192">
        <f>IFERROR(INDEX('[1]Sales per type juli'!$D$10:$BA$51,MATCH($C13,'[1]Sales per type juli'!$B$10:$B$51,0),MATCH("X300 Demo",'[1]Sales per type juli'!$D$8:$BA$8,0)),0)</f>
        <v>0</v>
      </c>
      <c r="DL13" s="192">
        <f>DJ13-DK13</f>
        <v>0</v>
      </c>
      <c r="DM13" s="192">
        <v>0</v>
      </c>
      <c r="DN13" s="192" cm="1">
        <f t="array" ref="DN13">IFERROR(INDEX('[1]Sales per type juli'!$D$10:$BA$51,MATCH($C13,'[1]Sales per type juli'!$B$10:$B$51,0),MATCH("X300 Demo",'[1]Sales per type juli'!$D$8:$BA$8,0)+1),0)</f>
        <v>0</v>
      </c>
      <c r="DO13" s="192">
        <f>DM13-DN13</f>
        <v>0</v>
      </c>
      <c r="DP13" s="192">
        <v>0</v>
      </c>
      <c r="DQ13" s="192">
        <f>IFERROR(INDEX('[1]Sales per type juli'!$D$10:$BA$51,MATCH($C13,'[1]Sales per type juli'!$B$10:$B$51,0),MATCH("X300 Pro Demo",'[1]Sales per type juli'!$D$8:$BA$8,0)),0)</f>
        <v>0</v>
      </c>
      <c r="DR13" s="192">
        <f>DP13-DQ13</f>
        <v>0</v>
      </c>
      <c r="DS13" s="192">
        <v>0</v>
      </c>
      <c r="DT13" s="192" cm="1">
        <f t="array" ref="DT13">IFERROR(INDEX('[1]Sales per type juli'!$D$10:$BA$51,MATCH($C13,'[1]Sales per type juli'!$B$10:$B$51,0),MATCH("X300 Pro Demo",'[1]Sales per type juli'!$D$8:$BA$8,0)+1),0)</f>
        <v>0</v>
      </c>
      <c r="DU13" s="192">
        <f>DS13-DT13</f>
        <v>0</v>
      </c>
      <c r="DV13" s="192">
        <v>0</v>
      </c>
      <c r="DW13" s="192">
        <f>IFERROR(INDEX('[1]Sales per type juli'!$D$10:$BA$51,MATCH($C13,'[1]Sales per type juli'!$B$10:$B$51,0),MATCH("X Fold5 DEMO",'[1]Sales per type juli'!$D$8:$BA$8,0)),0)</f>
        <v>0</v>
      </c>
      <c r="DX13" s="192">
        <f>DV13-DW13</f>
        <v>0</v>
      </c>
      <c r="DY13" s="192">
        <v>0</v>
      </c>
      <c r="DZ13" s="192" cm="1">
        <f t="array" ref="DZ13">IFERROR(INDEX('[1]Sales per type juli'!$D$10:$BA$51,MATCH($C13,'[1]Sales per type juli'!$B$10:$B$51,0),MATCH("X Fold5 DEMO",'[1]Sales per type juli'!$D$8:$BA$8,0)+1),0)</f>
        <v>0</v>
      </c>
      <c r="EA13" s="192">
        <f>DY13-DZ13</f>
        <v>0</v>
      </c>
      <c r="EB13" s="192">
        <v>0</v>
      </c>
      <c r="EC13" s="192">
        <f>IFERROR(INDEX('[1]Sales per type juli'!$D$10:$BA$51,MATCH($C13,'[1]Sales per type juli'!$B$10:$B$51,0),MATCH("X Fold5",'[1]Sales per type juli'!$D$8:$BA$8,0)),0)</f>
        <v>0</v>
      </c>
      <c r="ED13" s="192">
        <f>EB13-EC13</f>
        <v>0</v>
      </c>
      <c r="EE13" s="192">
        <v>0</v>
      </c>
      <c r="EF13" s="192" cm="1">
        <f t="array" ref="EF13">IFERROR(INDEX('[1]Sales per type juli'!$D$10:$BA$51,MATCH($C13,'[1]Sales per type juli'!$B$10:$B$51,0),MATCH("X Fold5",'[1]Sales per type juli'!$D$8:$BA$8,0)+1),0)</f>
        <v>0</v>
      </c>
      <c r="EG13" s="192">
        <f>EE13-EF13</f>
        <v>0</v>
      </c>
      <c r="EH13" s="192">
        <v>0</v>
      </c>
      <c r="EI13" s="192">
        <f>IFERROR(INDEX('[1]Sales per type juli'!$D$10:$BA$51,MATCH($C13,'[1]Sales per type juli'!$B$10:$B$51,0),MATCH("IQOO 15 Demo",'[1]Sales per type juli'!$D$8:$BA$8,0)),0)</f>
        <v>0</v>
      </c>
      <c r="EJ13" s="192">
        <f>EH13-EI13</f>
        <v>0</v>
      </c>
      <c r="EK13" s="192">
        <v>0</v>
      </c>
      <c r="EL13" s="192" cm="1">
        <f t="array" ref="EL13">IFERROR(INDEX('[1]Sales per type juli'!$D$10:$BA$51,MATCH($C13,'[1]Sales per type juli'!$B$10:$B$51,0),MATCH("IQOO 15 Demo",'[1]Sales per type juli'!$D$8:$BA$8,0)+1),0)</f>
        <v>0</v>
      </c>
      <c r="EM13" s="192">
        <f>EK13-EL13</f>
        <v>0</v>
      </c>
      <c r="EN13" s="192">
        <v>0</v>
      </c>
      <c r="EO13" s="192">
        <f>IFERROR(INDEX('[1]Sales per type juli'!$D$10:$BA$51,MATCH($C13,'[1]Sales per type juli'!$B$10:$B$51,0),MATCH("X300 PRO",'[1]Sales per type juli'!$D$8:$BA$8,0)),0)</f>
        <v>0</v>
      </c>
      <c r="EP13" s="192">
        <f>EN13-EO13</f>
        <v>0</v>
      </c>
      <c r="EQ13" s="192">
        <v>0</v>
      </c>
      <c r="ER13" s="192" cm="1">
        <f t="array" ref="ER13">IFERROR(INDEX('[1]Sales per type juli'!$D$10:$BA$51,MATCH($C13,'[1]Sales per type juli'!$B$10:$B$51,0),MATCH("X300 PRO",'[1]Sales per type juli'!$D$8:$BA$8,0)+1),0)</f>
        <v>0</v>
      </c>
      <c r="ES13" s="192">
        <f>EQ13-ER13</f>
        <v>0</v>
      </c>
      <c r="ET13" s="192">
        <v>0</v>
      </c>
      <c r="EU13" s="192">
        <f>IFERROR(INDEX('[1]Sales per type juli'!$D$10:$BA$51,MATCH($C13,'[1]Sales per type juli'!$B$10:$B$51,0),MATCH("X300 ",'[1]Sales per type juli'!$D$8:$BA$8,0)),0)</f>
        <v>0</v>
      </c>
      <c r="EV13" s="192">
        <f>ET13-EU13</f>
        <v>0</v>
      </c>
      <c r="EW13" s="192">
        <v>0</v>
      </c>
      <c r="EX13" s="192" cm="1">
        <f t="array" ref="EX13">IFERROR(INDEX('[1]Sales per type juli'!$D$10:$BA$51,MATCH($C13,'[1]Sales per type juli'!$B$10:$B$51,0),MATCH("X300 ",'[1]Sales per type juli'!$D$8:$BA$8,0)+1),0)</f>
        <v>0</v>
      </c>
      <c r="EY13" s="192">
        <f>EW13-EX13</f>
        <v>0</v>
      </c>
      <c r="EZ13" s="192">
        <f>F13+L13+R13+X13+AD13+AJ13+AP13+AV13+BB13+BH13+BN13+BT13+BZ13+CF13+CL13+CR13+CX13+DD13+DJ13+DP13+DV13+EB13+EH13+EN13+ET13</f>
        <v>39</v>
      </c>
      <c r="FA13" s="192">
        <f>G13+M13+S13+Y13+AE13+AK13+AQ13+AW13+BC13+BI13+BO13+BU13+CA13+CG13+CM13+CS13+CY13+DE13+DK13+DQ13+DW13+EC13+EI13+EO13+EU13</f>
        <v>47</v>
      </c>
      <c r="FB13" s="192">
        <f>EZ13-FA13</f>
        <v>-8</v>
      </c>
      <c r="FC13" s="192">
        <f>I13+O13+U13+AA13+AG13+AM13+AS13+AY13+BE13+BK13+BQ13+BW13+CC13+CI13+CO13+CU13+DA13+DG13+DM13+DS13+DY13+EE13+EK13+EQ13+EW13</f>
        <v>134461000</v>
      </c>
      <c r="FD13" s="192">
        <f>J13+P13+V13+AB13+AH13+AN13+AT13+AZ13+BF13+BL13+BR13+BX13+CD13+CJ13+CP13+CV13+DB13+DH13+DN13+DT13+DZ13+EF13+EL13+ER13+EX13</f>
        <v>199753000</v>
      </c>
      <c r="FE13" s="192">
        <f>FC13-FD13</f>
        <v>-65292000</v>
      </c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</row>
    <row r="14" spans="1:208" ht="16" x14ac:dyDescent="0.2">
      <c r="A14" s="139">
        <f>'[1]ACHIEVEMENT STORE'!A14</f>
        <v>10</v>
      </c>
      <c r="B14" s="140" t="str">
        <f>'[1]ACHIEVEMENT STORE'!B14</f>
        <v>601 雅加达西北 JKT BU</v>
      </c>
      <c r="C14" s="139">
        <f>'[1]ACHIEVEMENT STORE'!C14</f>
        <v>6020704</v>
      </c>
      <c r="D14" s="140" t="str">
        <f>'[1]ACHIEVEMENT STORE'!D14</f>
        <v>6020704-MVS CEMPAKA SHOWROOM 14 (8TOKO)</v>
      </c>
      <c r="E14" s="140" t="str">
        <f>'[1]ACHIEVEMENT STORE'!E14</f>
        <v>NOVIA HARYANTI</v>
      </c>
      <c r="F14" s="192">
        <f>IFERROR(INDEX('[1]SALES PERTYPE'!$D$10:$D$52,MATCH($C14,'[1]SALES PERTYPE'!$B$10:$B$52,0)),0)</f>
        <v>2</v>
      </c>
      <c r="G14" s="192">
        <f>IFERROR(INDEX('[1]Sales per type juli'!$D$10:$BA$51,MATCH($C14,'[1]Sales per type juli'!$B$10:$B$51,0),MATCH("Y05",'[1]Sales per type juli'!$D$8:$BA$8,0)),0)</f>
        <v>16</v>
      </c>
      <c r="H14" s="192">
        <f>F14-G14</f>
        <v>-14</v>
      </c>
      <c r="I14" s="192">
        <f>IFERROR(INDEX('[1]SALES PERTYPE'!$E$10:$E$52,MATCH($C14,'[1]SALES PERTYPE'!$B$10:$B$52,0)),0)</f>
        <v>4898000</v>
      </c>
      <c r="J14" s="192" cm="1">
        <f t="array" ref="J14">IFERROR(INDEX('[1]Sales per type juli'!$D$10:$BA$51,MATCH($C14,'[1]Sales per type juli'!$B$10:$B$51,0),MATCH("Y05",'[1]Sales per type juli'!$D$8:$BA$8,0)+1),0)</f>
        <v>36884000</v>
      </c>
      <c r="K14" s="192">
        <f>I14-J14</f>
        <v>-31986000</v>
      </c>
      <c r="L14" s="192">
        <f>IFERROR(INDEX('[1]SALES PERTYPE'!$F$10:$F$52,MATCH($C14,'[1]SALES PERTYPE'!$B$10:$B$52,0)),0)</f>
        <v>4</v>
      </c>
      <c r="M14" s="192">
        <f>IFERROR(INDEX('[1]Sales per type juli'!$D$10:$BA$51,MATCH($C14,'[1]Sales per type juli'!$B$10:$B$51,0),MATCH("Y11d",'[1]Sales per type juli'!$D$8:$BA$8,0)),0)</f>
        <v>1</v>
      </c>
      <c r="N14" s="192">
        <f>L14-M14</f>
        <v>3</v>
      </c>
      <c r="O14" s="192">
        <f>IFERROR(INDEX('[1]SALES PERTYPE'!$G$10:$G$52,MATCH($C14,'[1]SALES PERTYPE'!$B$10:$B$52,0)),0)</f>
        <v>11196000</v>
      </c>
      <c r="P14" s="192" cm="1">
        <f t="array" ref="P14">IFERROR(INDEX('[1]Sales per type juli'!$D$10:$BA$51,MATCH($C14,'[1]Sales per type juli'!$B$10:$B$51,0),MATCH("Y11d",'[1]Sales per type juli'!$D$8:$BA$8,0)+1),0)</f>
        <v>2799000</v>
      </c>
      <c r="Q14" s="192">
        <f>O14-P14</f>
        <v>8397000</v>
      </c>
      <c r="R14" s="192">
        <f>IFERROR(INDEX('[1]SALES PERTYPE'!$H$10:$H$52,MATCH($C14,'[1]SALES PERTYPE'!$B$10:$B$52,0)),0)</f>
        <v>0</v>
      </c>
      <c r="S14" s="192">
        <f>IFERROR(INDEX('[1]Sales per type juli'!$D$10:$BA$51,MATCH($C14,'[1]Sales per type juli'!$B$10:$B$51,0),MATCH("Watch GT 2",'[1]Sales per type juli'!$D$8:$BA$8,0)),0)</f>
        <v>0</v>
      </c>
      <c r="T14" s="192">
        <f>R14-S14</f>
        <v>0</v>
      </c>
      <c r="U14" s="192">
        <f>IFERROR(INDEX('[1]SALES PERTYPE'!$I$10:$I$52,MATCH($C14,'[1]SALES PERTYPE'!$B$10:$B$52,0)),0)</f>
        <v>0</v>
      </c>
      <c r="V14" s="192" cm="1">
        <f t="array" ref="V14">IFERROR(INDEX('[1]Sales per type juli'!$D$10:$BA$51,MATCH($C14,'[1]Sales per type juli'!$B$10:$B$51,0),MATCH("Watch GT 2",'[1]Sales per type juli'!$D$8:$BA$8,0)+1),0)</f>
        <v>0</v>
      </c>
      <c r="W14" s="192">
        <f>U14-V14</f>
        <v>0</v>
      </c>
      <c r="X14" s="192">
        <f>IFERROR(INDEX('[1]SALES PERTYPE'!$J$10:$J$52,MATCH($C14,'[1]SALES PERTYPE'!$B$10:$B$52,0)),0)</f>
        <v>2</v>
      </c>
      <c r="Y14" s="192">
        <f>IFERROR(INDEX('[1]Sales per type juli'!$D$10:$BA$51,MATCH($C14,'[1]Sales per type juli'!$B$10:$B$51,0),MATCH("Y05e",'[1]Sales per type juli'!$D$8:$BA$8,0)),0)</f>
        <v>0</v>
      </c>
      <c r="Z14" s="192">
        <f>X14-Y14</f>
        <v>2</v>
      </c>
      <c r="AA14" s="192">
        <f>IFERROR(INDEX('[1]SALES PERTYPE'!$K$10:$K$52,MATCH($C14,'[1]SALES PERTYPE'!$B$10:$B$52,0)),0)</f>
        <v>4198000</v>
      </c>
      <c r="AB14" s="192" cm="1">
        <f t="array" ref="AB14">IFERROR(INDEX('[1]Sales per type juli'!$D$10:$BA$51,MATCH($C14,'[1]Sales per type juli'!$B$10:$B$51,0),MATCH("Y05e",'[1]Sales per type juli'!$D$8:$BA$8,0)+1),0)</f>
        <v>0</v>
      </c>
      <c r="AC14" s="192">
        <f>AA14-AB14</f>
        <v>4198000</v>
      </c>
      <c r="AD14" s="192">
        <f>IFERROR(INDEX('[1]SALES PERTYPE'!$L$10:$L$52,MATCH($C14,'[1]SALES PERTYPE'!$B$10:$B$52,0)),0)</f>
        <v>0</v>
      </c>
      <c r="AE14" s="192">
        <f>IFERROR(INDEX('[1]Sales per type juli'!$D$10:$BA$51,MATCH($C14,'[1]Sales per type juli'!$B$10:$B$51,0),MATCH("V70",'[1]Sales per type juli'!$D$8:$BA$8,0)),0)</f>
        <v>1</v>
      </c>
      <c r="AF14" s="192">
        <f>AD14-AE14</f>
        <v>-1</v>
      </c>
      <c r="AG14" s="192">
        <f>IFERROR(INDEX('[1]SALES PERTYPE'!$M$10:$M$52,MATCH($C14,'[1]SALES PERTYPE'!$B$10:$B$52,0)),0)</f>
        <v>0</v>
      </c>
      <c r="AH14" s="192" cm="1">
        <f t="array" ref="AH14">IFERROR(INDEX('[1]Sales per type juli'!$D$10:$BA$51,MATCH($C14,'[1]Sales per type juli'!$B$10:$B$51,0),MATCH("V70",'[1]Sales per type juli'!$D$8:$BA$8,0)+1),0)</f>
        <v>8999000</v>
      </c>
      <c r="AI14" s="192">
        <f>AG14-AH14</f>
        <v>-8999000</v>
      </c>
      <c r="AJ14" s="192">
        <f>IFERROR(INDEX('[1]SALES PERTYPE'!$N$10:$N$52,MATCH($C14,'[1]SALES PERTYPE'!$B$10:$B$52,0)),0)</f>
        <v>4</v>
      </c>
      <c r="AK14" s="192">
        <f>IFERROR(INDEX('[1]Sales per type juli'!$D$10:$BA$51,MATCH($C14,'[1]Sales per type juli'!$B$10:$B$51,0),MATCH("Y31d Pro",'[1]Sales per type juli'!$D$8:$BA$8,0)),0)</f>
        <v>4</v>
      </c>
      <c r="AL14" s="192">
        <f>AJ14-AK14</f>
        <v>0</v>
      </c>
      <c r="AM14" s="192">
        <f>IFERROR(INDEX('[1]SALES PERTYPE'!$O$10:$O$52,MATCH($C14,'[1]SALES PERTYPE'!$B$10:$B$52,0)),0)</f>
        <v>16396000</v>
      </c>
      <c r="AN14" s="192" cm="1">
        <f t="array" ref="AN14">IFERROR(INDEX('[1]Sales per type juli'!$D$10:$BA$51,MATCH($C14,'[1]Sales per type juli'!$B$10:$B$51,0),MATCH("Y31d Pro",'[1]Sales per type juli'!$D$8:$BA$8,0)+1),0)</f>
        <v>17996000</v>
      </c>
      <c r="AO14" s="192">
        <f>AM14-AN14</f>
        <v>-1600000</v>
      </c>
      <c r="AP14" s="192">
        <f>IFERROR(INDEX('[1]SALES PERTYPE'!$P$10:$P$52,MATCH($C14,'[1]SALES PERTYPE'!$B$10:$B$52,0)),0)</f>
        <v>0</v>
      </c>
      <c r="AQ14" s="192" cm="1">
        <f t="array" ref="AQ14">IFERROR(INDEX('[1]Sales per type juli'!$D$10:$BA$51,MATCH($C14,'[1]Sales per type juli'!$B$10:$B$51,0),$FG$2),0)</f>
        <v>0</v>
      </c>
      <c r="AR14" s="192">
        <f>AP14-AQ14</f>
        <v>0</v>
      </c>
      <c r="AS14" s="192">
        <f>IFERROR(INDEX('[1]SALES PERTYPE'!$Q$10:$Q$52,MATCH($C14,'[1]SALES PERTYPE'!$B$10:$B$52,0)),0)</f>
        <v>0</v>
      </c>
      <c r="AT14" s="192" cm="1">
        <f t="array" ref="AT14">IFERROR(INDEX('[1]Sales per type juli'!$D$10:$BA$51,MATCH($C14,'[1]Sales per type juli'!$B$10:$B$51,0),$FG$2+1),0)</f>
        <v>0</v>
      </c>
      <c r="AU14" s="192">
        <f>AS14-AT14</f>
        <v>0</v>
      </c>
      <c r="AV14" s="192">
        <f>IFERROR(INDEX('[1]SALES PERTYPE'!$R$10:$R$52,MATCH($C14,'[1]SALES PERTYPE'!$B$10:$B$52,0)),0)</f>
        <v>1</v>
      </c>
      <c r="AW14" s="192">
        <f>IFERROR(INDEX('[1]Sales per type juli'!$D$10:$BA$51,MATCH($C14,'[1]Sales per type juli'!$B$10:$B$51,0),MATCH("Y31d ",'[1]Sales per type juli'!$D$8:$BA$8,0)),0)</f>
        <v>1</v>
      </c>
      <c r="AX14" s="192">
        <f>AV14-AW14</f>
        <v>0</v>
      </c>
      <c r="AY14" s="192">
        <f>IFERROR(INDEX('[1]SALES PERTYPE'!$S$10:$S$52,MATCH($C14,'[1]SALES PERTYPE'!$B$10:$B$52,0)),0)</f>
        <v>3599000</v>
      </c>
      <c r="AZ14" s="192" cm="1">
        <f t="array" ref="AZ14">IFERROR(INDEX('[1]Sales per type juli'!$D$10:$BA$51,MATCH($C14,'[1]Sales per type juli'!$B$10:$B$51,0),MATCH("Y31d ",'[1]Sales per type juli'!$D$8:$BA$8,0)+1),0)</f>
        <v>3599000</v>
      </c>
      <c r="BA14" s="192">
        <f>AY14-AZ14</f>
        <v>0</v>
      </c>
      <c r="BB14" s="192">
        <f>IFERROR(INDEX('[1]SALES PERTYPE'!$T$10:$T$52,MATCH($C14,'[1]SALES PERTYPE'!$B$10:$B$52,0)),0)</f>
        <v>2</v>
      </c>
      <c r="BC14" s="192">
        <f>IFERROR(INDEX('[1]Sales per type juli'!$D$10:$BA$51,MATCH($C14,'[1]Sales per type juli'!$B$10:$B$51,0),MATCH("V70 FE",'[1]Sales per type juli'!$D$8:$BA$8,0)),0)</f>
        <v>1</v>
      </c>
      <c r="BD14" s="192">
        <f>BB14-BC14</f>
        <v>1</v>
      </c>
      <c r="BE14" s="192">
        <f>IFERROR(INDEX('[1]SALES PERTYPE'!$U$10:$U$52,MATCH($C14,'[1]SALES PERTYPE'!$B$10:$B$52,0)),0)</f>
        <v>14998000</v>
      </c>
      <c r="BF14" s="192" cm="1">
        <f t="array" ref="BF14">IFERROR(INDEX('[1]Sales per type juli'!$D$10:$BA$51,MATCH($C14,'[1]Sales per type juli'!$B$10:$B$51,0),MATCH("V70 FE",'[1]Sales per type juli'!$D$8:$BA$8,0)+1),0)</f>
        <v>6499000</v>
      </c>
      <c r="BG14" s="192">
        <f>BE14-BF14</f>
        <v>8499000</v>
      </c>
      <c r="BH14" s="192">
        <f>IFERROR(INDEX('[1]SALES PERTYPE'!$V$10:$V$52,MATCH($C14,'[1]SALES PERTYPE'!$B$10:$B$52,0)),0)</f>
        <v>1</v>
      </c>
      <c r="BI14" s="192">
        <f>IFERROR(INDEX('[1]Sales per type juli'!$D$10:$BA$51,MATCH($C14,'[1]Sales per type juli'!$B$10:$B$51,0),MATCH("Y31d",'[1]Sales per type juli'!$D$8:$BA$8,0)),0)</f>
        <v>0</v>
      </c>
      <c r="BJ14" s="192">
        <f>BH14-BI14</f>
        <v>1</v>
      </c>
      <c r="BK14" s="192">
        <f>IFERROR(INDEX('[1]SALES PERTYPE'!$W$10:$W$52,MATCH($C14,'[1]SALES PERTYPE'!$B$10:$B$52,0)),0)</f>
        <v>3599000</v>
      </c>
      <c r="BL14" s="192" cm="1">
        <f t="array" ref="BL14">IFERROR(INDEX('[1]Sales per type juli'!$D$10:$BA$51,MATCH($C14,'[1]Sales per type juli'!$B$10:$B$51,0),MATCH("Y31d",'[1]Sales per type juli'!$D$8:$BA$8,0)+1),0)</f>
        <v>0</v>
      </c>
      <c r="BM14" s="192">
        <f>BK14-BL14</f>
        <v>3599000</v>
      </c>
      <c r="BN14" s="192">
        <f>IFERROR(INDEX('[1]SALES PERTYPE'!$X$10:$X$52,MATCH($C14,'[1]SALES PERTYPE'!$B$10:$B$52,0)),0)</f>
        <v>0</v>
      </c>
      <c r="BO14" s="192">
        <f>IFERROR(INDEX('[1]Sales per type juli'!$D$10:$BA$51,MATCH($C14,'[1]Sales per type juli'!$B$10:$B$51,0),MATCH("Y500",'[1]Sales per type juli'!$D$8:$BA$8,0)),0)</f>
        <v>1</v>
      </c>
      <c r="BP14" s="192">
        <f>BN14-BO14</f>
        <v>-1</v>
      </c>
      <c r="BQ14" s="192">
        <f>IFERROR(INDEX('[1]SALES PERTYPE'!$Y$10:$Y$52,MATCH($C14,'[1]SALES PERTYPE'!$B$10:$B$52,0)),0)</f>
        <v>0</v>
      </c>
      <c r="BR14" s="192" cm="1">
        <f t="array" ref="BR14">IFERROR(INDEX('[1]Sales per type juli'!$D$10:$BA$51,MATCH($C14,'[1]Sales per type juli'!$B$10:$B$51,0),MATCH("Y500",'[1]Sales per type juli'!$D$8:$BA$8,0)+1),0)</f>
        <v>5499000</v>
      </c>
      <c r="BS14" s="192">
        <f>BQ14-BR14</f>
        <v>-5499000</v>
      </c>
      <c r="BT14" s="192">
        <f>IFERROR(INDEX('[1]SALES PERTYPE'!$Z$10:$Z$52,MATCH($C14,'[1]SALES PERTYPE'!$B$10:$B$52,0)),0)</f>
        <v>0</v>
      </c>
      <c r="BU14" s="192">
        <f>IFERROR(INDEX('[1]Sales per type juli'!$D$10:$BA$51,MATCH($C14,'[1]Sales per type juli'!$B$10:$B$51,0),MATCH("IQOO 15R",'[1]Sales per type juli'!$D$8:$BA$8,0)),0)</f>
        <v>0</v>
      </c>
      <c r="BV14" s="192">
        <f>BT14-BU14</f>
        <v>0</v>
      </c>
      <c r="BW14" s="192">
        <f>IFERROR(INDEX('[1]SALES PERTYPE'!$AA$10:$AA$52,MATCH($C14,'[1]SALES PERTYPE'!$B$10:$B$52,0)),0)</f>
        <v>0</v>
      </c>
      <c r="BX14" s="192" cm="1">
        <f t="array" ref="BX14">IFERROR(INDEX('[1]Sales per type juli'!$D$10:$BA$51,MATCH($C14,'[1]Sales per type juli'!$B$10:$B$51,0),MATCH("IQOO 15R",'[1]Sales per type juli'!$D$8:$BA$8,0)+1),0)</f>
        <v>0</v>
      </c>
      <c r="BY14" s="192">
        <f>BW14-BX14</f>
        <v>0</v>
      </c>
      <c r="BZ14" s="192">
        <f>IFERROR(INDEX('[1]SALES PERTYPE'!$AB$10:$AB$52,MATCH($C14,'[1]SALES PERTYPE'!$B$10:$B$52,0)),0)</f>
        <v>1</v>
      </c>
      <c r="CA14" s="192">
        <f>IFERROR(INDEX('[1]Sales per type juli'!$D$10:$BA$51,MATCH($C14,'[1]Sales per type juli'!$B$10:$B$51,0),MATCH("V60 Lite",'[1]Sales per type juli'!$D$8:$BA$8,0)),0)</f>
        <v>0</v>
      </c>
      <c r="CB14" s="192">
        <f>BZ14-CA14</f>
        <v>1</v>
      </c>
      <c r="CC14" s="192">
        <f>IFERROR(INDEX('[1]SALES PERTYPE'!$AC$10:$AC$52,MATCH($C14,'[1]SALES PERTYPE'!$B$10:$B$52,0)),0)</f>
        <v>5299000</v>
      </c>
      <c r="CD14" s="192" cm="1">
        <f t="array" ref="CD14">IFERROR(INDEX('[1]Sales per type juli'!$D$10:$BA$51,MATCH($C14,'[1]Sales per type juli'!$B$10:$B$51,0),MATCH("V60 Lite",'[1]Sales per type juli'!$D$8:$BA$8,0)+1),0)</f>
        <v>0</v>
      </c>
      <c r="CE14" s="192">
        <f>CC14-CD14</f>
        <v>5299000</v>
      </c>
      <c r="CF14" s="192">
        <f>IFERROR(INDEX('[1]SALES PERTYPE'!$AD$10:$AD$52,MATCH($C14,'[1]SALES PERTYPE'!$B$10:$B$52,0)),0)</f>
        <v>0</v>
      </c>
      <c r="CG14" s="192">
        <f>IFERROR(INDEX('[1]Sales per type juli'!$D$10:$BA$51,MATCH($C14,'[1]Sales per type juli'!$B$10:$B$51,0),MATCH("X300 Ultra",'[1]Sales per type juli'!$D$8:$BA$8,0)),0)</f>
        <v>0</v>
      </c>
      <c r="CH14" s="192">
        <f>CF14-CG14</f>
        <v>0</v>
      </c>
      <c r="CI14" s="192">
        <f>IFERROR(INDEX('[1]SALES PERTYPE'!$AE$10:$AE$52,MATCH($C14,'[1]SALES PERTYPE'!$B$10:$B$52,0)),0)</f>
        <v>0</v>
      </c>
      <c r="CJ14" s="192" cm="1">
        <f t="array" ref="CJ14">IFERROR(INDEX('[1]Sales per type juli'!$D$10:$BA$51,MATCH($C14,'[1]Sales per type juli'!$B$10:$B$51,0),MATCH("X300 Ultra",'[1]Sales per type juli'!$D$8:$BA$8,0)+1),0)</f>
        <v>0</v>
      </c>
      <c r="CK14" s="192">
        <f>CI14-CJ14</f>
        <v>0</v>
      </c>
      <c r="CL14" s="192">
        <f>IFERROR(INDEX('[1]SALES PERTYPE'!$AF$10:$AF$52,MATCH($C14,'[1]SALES PERTYPE'!$B$10:$B$52,0)),0)</f>
        <v>0</v>
      </c>
      <c r="CM14" s="192">
        <f>IFERROR(INDEX('[1]Sales per type juli'!$D$10:$BA$51,MATCH($C14,'[1]Sales per type juli'!$B$10:$B$51,0),MATCH("IQOO 15",'[1]Sales per type juli'!$D$8:$BA$8,0)),0)</f>
        <v>0</v>
      </c>
      <c r="CN14" s="192">
        <f>CL14-CM14</f>
        <v>0</v>
      </c>
      <c r="CO14" s="192">
        <f>IFERROR(INDEX('[1]SALES PERTYPE'!$AG$10:$AG$52,MATCH($C14,'[1]SALES PERTYPE'!$B$10:$B$52,0)),0)</f>
        <v>0</v>
      </c>
      <c r="CP14" s="192" cm="1">
        <f t="array" ref="CP14">IFERROR(INDEX('[1]Sales per type juli'!$D$10:$BA$51,MATCH($C14,'[1]Sales per type juli'!$B$10:$B$51,0),MATCH("IQOO 15",'[1]Sales per type juli'!$D$8:$BA$8,0)+1),0)</f>
        <v>0</v>
      </c>
      <c r="CQ14" s="192">
        <f>CO14-CP14</f>
        <v>0</v>
      </c>
      <c r="CR14" s="192">
        <f>IFERROR(INDEX('[1]SALES PERTYPE'!$AH$10:$AH$52,MATCH($C14,'[1]SALES PERTYPE'!$B$10:$B$52,0)),0)</f>
        <v>0</v>
      </c>
      <c r="CS14" s="192">
        <f>IFERROR(INDEX('[1]Sales per type juli'!$D$10:$BA$51,MATCH($C14,'[1]Sales per type juli'!$B$10:$B$51,0),MATCH("IQOO Z11x",'[1]Sales per type juli'!$D$8:$BA$8,0)),0)</f>
        <v>2</v>
      </c>
      <c r="CT14" s="192">
        <f>CR14-CS14</f>
        <v>-2</v>
      </c>
      <c r="CU14" s="192">
        <f>IFERROR(INDEX('[1]SALES PERTYPE'!$AI$10:$AI$52,MATCH($C14,'[1]SALES PERTYPE'!$B$10:$B$52,0)),0)</f>
        <v>0</v>
      </c>
      <c r="CV14" s="192" cm="1">
        <f t="array" ref="CV14">IFERROR(INDEX('[1]Sales per type juli'!$D$10:$BA$51,MATCH($C14,'[1]Sales per type juli'!$B$10:$B$51,0),MATCH("IQOO Z11x",'[1]Sales per type juli'!$D$8:$BA$8,0)+1),0)</f>
        <v>9598000</v>
      </c>
      <c r="CW14" s="192">
        <f>CU14-CV14</f>
        <v>-9598000</v>
      </c>
      <c r="CX14" s="192">
        <f>IFERROR(INDEX('[1]SALES PERTYPE'!$AJ$10:$AJ$52,MATCH($C14,'[1]SALES PERTYPE'!$B$10:$B$52,0)),0)</f>
        <v>1</v>
      </c>
      <c r="CY14" s="192">
        <f>IFERROR(INDEX('[1]Sales per type juli'!$D$10:$BA$51,MATCH($C14,'[1]Sales per type juli'!$B$10:$B$51,0),MATCH("IQOO Z11",'[1]Sales per type juli'!$D$8:$BA$8,0)),0)</f>
        <v>0</v>
      </c>
      <c r="CZ14" s="192">
        <f>CX14-CY14</f>
        <v>1</v>
      </c>
      <c r="DA14" s="192">
        <f>IFERROR(INDEX('[1]SALES PERTYPE'!$AK$10:$AK$52,MATCH($C14,'[1]SALES PERTYPE'!$B$10:$B$52,0)),0)</f>
        <v>6899000</v>
      </c>
      <c r="DB14" s="192" cm="1">
        <f t="array" ref="DB14">IFERROR(INDEX('[1]Sales per type juli'!$D$10:$BA$51,MATCH($C14,'[1]Sales per type juli'!$B$10:$B$51,0),MATCH("IQOO Z11",'[1]Sales per type juli'!$D$8:$BA$8,0)+1),0)</f>
        <v>0</v>
      </c>
      <c r="DC14" s="192">
        <f>DA14-DB14</f>
        <v>6899000</v>
      </c>
      <c r="DD14" s="192">
        <v>0</v>
      </c>
      <c r="DE14" s="192">
        <f>IFERROR(INDEX('[1]Sales per type juli'!$D$10:$BA$51,MATCH($C14,'[1]Sales per type juli'!$B$10:$B$51,0),MATCH("WATCH 3",'[1]Sales per type juli'!$D$8:$BA$8,0)),0)</f>
        <v>0</v>
      </c>
      <c r="DF14" s="192">
        <f>DD14-DE14</f>
        <v>0</v>
      </c>
      <c r="DG14" s="192">
        <v>0</v>
      </c>
      <c r="DH14" s="192" cm="1">
        <f t="array" ref="DH14">IFERROR(INDEX('[1]Sales per type juli'!$D$10:$BA$51,MATCH($C14,'[1]Sales per type juli'!$B$10:$B$51,0),MATCH("WATCH 3",'[1]Sales per type juli'!$D$8:$BA$8,0)+1),0)</f>
        <v>0</v>
      </c>
      <c r="DI14" s="192">
        <f>DG14-DH14</f>
        <v>0</v>
      </c>
      <c r="DJ14" s="192">
        <v>0</v>
      </c>
      <c r="DK14" s="192">
        <f>IFERROR(INDEX('[1]Sales per type juli'!$D$10:$BA$51,MATCH($C14,'[1]Sales per type juli'!$B$10:$B$51,0),MATCH("X300 Demo",'[1]Sales per type juli'!$D$8:$BA$8,0)),0)</f>
        <v>0</v>
      </c>
      <c r="DL14" s="192">
        <f>DJ14-DK14</f>
        <v>0</v>
      </c>
      <c r="DM14" s="192">
        <v>0</v>
      </c>
      <c r="DN14" s="192" cm="1">
        <f t="array" ref="DN14">IFERROR(INDEX('[1]Sales per type juli'!$D$10:$BA$51,MATCH($C14,'[1]Sales per type juli'!$B$10:$B$51,0),MATCH("X300 Demo",'[1]Sales per type juli'!$D$8:$BA$8,0)+1),0)</f>
        <v>0</v>
      </c>
      <c r="DO14" s="192">
        <f>DM14-DN14</f>
        <v>0</v>
      </c>
      <c r="DP14" s="192">
        <v>0</v>
      </c>
      <c r="DQ14" s="192">
        <f>IFERROR(INDEX('[1]Sales per type juli'!$D$10:$BA$51,MATCH($C14,'[1]Sales per type juli'!$B$10:$B$51,0),MATCH("X300 Pro Demo",'[1]Sales per type juli'!$D$8:$BA$8,0)),0)</f>
        <v>0</v>
      </c>
      <c r="DR14" s="192">
        <f>DP14-DQ14</f>
        <v>0</v>
      </c>
      <c r="DS14" s="192">
        <v>0</v>
      </c>
      <c r="DT14" s="192" cm="1">
        <f t="array" ref="DT14">IFERROR(INDEX('[1]Sales per type juli'!$D$10:$BA$51,MATCH($C14,'[1]Sales per type juli'!$B$10:$B$51,0),MATCH("X300 Pro Demo",'[1]Sales per type juli'!$D$8:$BA$8,0)+1),0)</f>
        <v>0</v>
      </c>
      <c r="DU14" s="192">
        <f>DS14-DT14</f>
        <v>0</v>
      </c>
      <c r="DV14" s="192">
        <v>0</v>
      </c>
      <c r="DW14" s="192">
        <f>IFERROR(INDEX('[1]Sales per type juli'!$D$10:$BA$51,MATCH($C14,'[1]Sales per type juli'!$B$10:$B$51,0),MATCH("X Fold5 DEMO",'[1]Sales per type juli'!$D$8:$BA$8,0)),0)</f>
        <v>0</v>
      </c>
      <c r="DX14" s="192">
        <f>DV14-DW14</f>
        <v>0</v>
      </c>
      <c r="DY14" s="192">
        <v>0</v>
      </c>
      <c r="DZ14" s="192" cm="1">
        <f t="array" ref="DZ14">IFERROR(INDEX('[1]Sales per type juli'!$D$10:$BA$51,MATCH($C14,'[1]Sales per type juli'!$B$10:$B$51,0),MATCH("X Fold5 DEMO",'[1]Sales per type juli'!$D$8:$BA$8,0)+1),0)</f>
        <v>0</v>
      </c>
      <c r="EA14" s="192">
        <f>DY14-DZ14</f>
        <v>0</v>
      </c>
      <c r="EB14" s="192">
        <v>0</v>
      </c>
      <c r="EC14" s="192">
        <f>IFERROR(INDEX('[1]Sales per type juli'!$D$10:$BA$51,MATCH($C14,'[1]Sales per type juli'!$B$10:$B$51,0),MATCH("X Fold5",'[1]Sales per type juli'!$D$8:$BA$8,0)),0)</f>
        <v>0</v>
      </c>
      <c r="ED14" s="192">
        <f>EB14-EC14</f>
        <v>0</v>
      </c>
      <c r="EE14" s="192">
        <v>0</v>
      </c>
      <c r="EF14" s="192" cm="1">
        <f t="array" ref="EF14">IFERROR(INDEX('[1]Sales per type juli'!$D$10:$BA$51,MATCH($C14,'[1]Sales per type juli'!$B$10:$B$51,0),MATCH("X Fold5",'[1]Sales per type juli'!$D$8:$BA$8,0)+1),0)</f>
        <v>0</v>
      </c>
      <c r="EG14" s="192">
        <f>EE14-EF14</f>
        <v>0</v>
      </c>
      <c r="EH14" s="192">
        <v>0</v>
      </c>
      <c r="EI14" s="192">
        <f>IFERROR(INDEX('[1]Sales per type juli'!$D$10:$BA$51,MATCH($C14,'[1]Sales per type juli'!$B$10:$B$51,0),MATCH("IQOO 15 Demo",'[1]Sales per type juli'!$D$8:$BA$8,0)),0)</f>
        <v>0</v>
      </c>
      <c r="EJ14" s="192">
        <f>EH14-EI14</f>
        <v>0</v>
      </c>
      <c r="EK14" s="192">
        <v>0</v>
      </c>
      <c r="EL14" s="192" cm="1">
        <f t="array" ref="EL14">IFERROR(INDEX('[1]Sales per type juli'!$D$10:$BA$51,MATCH($C14,'[1]Sales per type juli'!$B$10:$B$51,0),MATCH("IQOO 15 Demo",'[1]Sales per type juli'!$D$8:$BA$8,0)+1),0)</f>
        <v>0</v>
      </c>
      <c r="EM14" s="192">
        <f>EK14-EL14</f>
        <v>0</v>
      </c>
      <c r="EN14" s="192">
        <v>0</v>
      </c>
      <c r="EO14" s="192">
        <f>IFERROR(INDEX('[1]Sales per type juli'!$D$10:$BA$51,MATCH($C14,'[1]Sales per type juli'!$B$10:$B$51,0),MATCH("X300 PRO",'[1]Sales per type juli'!$D$8:$BA$8,0)),0)</f>
        <v>0</v>
      </c>
      <c r="EP14" s="192">
        <f>EN14-EO14</f>
        <v>0</v>
      </c>
      <c r="EQ14" s="192">
        <v>0</v>
      </c>
      <c r="ER14" s="192" cm="1">
        <f t="array" ref="ER14">IFERROR(INDEX('[1]Sales per type juli'!$D$10:$BA$51,MATCH($C14,'[1]Sales per type juli'!$B$10:$B$51,0),MATCH("X300 PRO",'[1]Sales per type juli'!$D$8:$BA$8,0)+1),0)</f>
        <v>0</v>
      </c>
      <c r="ES14" s="192">
        <f>EQ14-ER14</f>
        <v>0</v>
      </c>
      <c r="ET14" s="192">
        <v>0</v>
      </c>
      <c r="EU14" s="192">
        <f>IFERROR(INDEX('[1]Sales per type juli'!$D$10:$BA$51,MATCH($C14,'[1]Sales per type juli'!$B$10:$B$51,0),MATCH("X300 ",'[1]Sales per type juli'!$D$8:$BA$8,0)),0)</f>
        <v>0</v>
      </c>
      <c r="EV14" s="192">
        <f>ET14-EU14</f>
        <v>0</v>
      </c>
      <c r="EW14" s="192">
        <v>0</v>
      </c>
      <c r="EX14" s="192" cm="1">
        <f t="array" ref="EX14">IFERROR(INDEX('[1]Sales per type juli'!$D$10:$BA$51,MATCH($C14,'[1]Sales per type juli'!$B$10:$B$51,0),MATCH("X300 ",'[1]Sales per type juli'!$D$8:$BA$8,0)+1),0)</f>
        <v>0</v>
      </c>
      <c r="EY14" s="192">
        <f>EW14-EX14</f>
        <v>0</v>
      </c>
      <c r="EZ14" s="192">
        <f>F14+L14+R14+X14+AD14+AJ14+AP14+AV14+BB14+BH14+BN14+BT14+BZ14+CF14+CL14+CR14+CX14+DD14+DJ14+DP14+DV14+EB14+EH14+EN14+ET14</f>
        <v>18</v>
      </c>
      <c r="FA14" s="192">
        <f>G14+M14+S14+Y14+AE14+AK14+AQ14+AW14+BC14+BI14+BO14+BU14+CA14+CG14+CM14+CS14+CY14+DE14+DK14+DQ14+DW14+EC14+EI14+EO14+EU14</f>
        <v>27</v>
      </c>
      <c r="FB14" s="192">
        <f>EZ14-FA14</f>
        <v>-9</v>
      </c>
      <c r="FC14" s="192">
        <f>I14+O14+U14+AA14+AG14+AM14+AS14+AY14+BE14+BK14+BQ14+BW14+CC14+CI14+CO14+CU14+DA14+DG14+DM14+DS14+DY14+EE14+EK14+EQ14+EW14</f>
        <v>71082000</v>
      </c>
      <c r="FD14" s="192">
        <f>J14+P14+V14+AB14+AH14+AN14+AT14+AZ14+BF14+BL14+BR14+BX14+CD14+CJ14+CP14+CV14+DB14+DH14+DN14+DT14+DZ14+EF14+EL14+ER14+EX14</f>
        <v>91873000</v>
      </c>
      <c r="FE14" s="192">
        <f>FC14-FD14</f>
        <v>-20791000</v>
      </c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</row>
    <row r="15" spans="1:208" ht="16" x14ac:dyDescent="0.2">
      <c r="A15" s="137">
        <f>'[1]ACHIEVEMENT STORE'!A15</f>
        <v>11</v>
      </c>
      <c r="B15" s="138" t="str">
        <f>'[1]ACHIEVEMENT STORE'!B15</f>
        <v>604 雅加达东南 JKT TS</v>
      </c>
      <c r="C15" s="137">
        <f>'[1]ACHIEVEMENT STORE'!C15</f>
        <v>6040701</v>
      </c>
      <c r="D15" s="138" t="str">
        <f>'[1]ACHIEVEMENT STORE'!D15</f>
        <v>A200402-ITC-VIVO STORE 1</v>
      </c>
      <c r="E15" s="138" t="str">
        <f>'[1]ACHIEVEMENT STORE'!E15</f>
        <v>Erlangga Pradita</v>
      </c>
      <c r="F15" s="192">
        <f>IFERROR(INDEX('[1]SALES PERTYPE'!$D$10:$D$52,MATCH($C15,'[1]SALES PERTYPE'!$B$10:$B$52,0)),0)</f>
        <v>6</v>
      </c>
      <c r="G15" s="192">
        <f>IFERROR(INDEX('[1]Sales per type juli'!$D$10:$BA$51,MATCH($C15,'[1]Sales per type juli'!$B$10:$B$51,0),MATCH("Y05",'[1]Sales per type juli'!$D$8:$BA$8,0)),0)</f>
        <v>6</v>
      </c>
      <c r="H15" s="192">
        <f>F15-G15</f>
        <v>0</v>
      </c>
      <c r="I15" s="192">
        <f>IFERROR(INDEX('[1]SALES PERTYPE'!$E$10:$E$52,MATCH($C15,'[1]SALES PERTYPE'!$B$10:$B$52,0)),0)</f>
        <v>15294000</v>
      </c>
      <c r="J15" s="192" cm="1">
        <f t="array" ref="J15">IFERROR(INDEX('[1]Sales per type juli'!$D$10:$BA$51,MATCH($C15,'[1]Sales per type juli'!$B$10:$B$51,0),MATCH("Y05",'[1]Sales per type juli'!$D$8:$BA$8,0)+1),0)</f>
        <v>13794000</v>
      </c>
      <c r="K15" s="192">
        <f>I15-J15</f>
        <v>1500000</v>
      </c>
      <c r="L15" s="192">
        <f>IFERROR(INDEX('[1]SALES PERTYPE'!$F$10:$F$52,MATCH($C15,'[1]SALES PERTYPE'!$B$10:$B$52,0)),0)</f>
        <v>6</v>
      </c>
      <c r="M15" s="192">
        <f>IFERROR(INDEX('[1]Sales per type juli'!$D$10:$BA$51,MATCH($C15,'[1]Sales per type juli'!$B$10:$B$51,0),MATCH("Y11d",'[1]Sales per type juli'!$D$8:$BA$8,0)),0)</f>
        <v>7</v>
      </c>
      <c r="N15" s="192">
        <f>L15-M15</f>
        <v>-1</v>
      </c>
      <c r="O15" s="192">
        <f>IFERROR(INDEX('[1]SALES PERTYPE'!$G$10:$G$52,MATCH($C15,'[1]SALES PERTYPE'!$B$10:$B$52,0)),0)</f>
        <v>15594000</v>
      </c>
      <c r="P15" s="192" cm="1">
        <f t="array" ref="P15">IFERROR(INDEX('[1]Sales per type juli'!$D$10:$BA$51,MATCH($C15,'[1]Sales per type juli'!$B$10:$B$51,0),MATCH("Y11d",'[1]Sales per type juli'!$D$8:$BA$8,0)+1),0)</f>
        <v>17593000</v>
      </c>
      <c r="Q15" s="192">
        <f>O15-P15</f>
        <v>-1999000</v>
      </c>
      <c r="R15" s="192">
        <f>IFERROR(INDEX('[1]SALES PERTYPE'!$H$10:$H$52,MATCH($C15,'[1]SALES PERTYPE'!$B$10:$B$52,0)),0)</f>
        <v>0</v>
      </c>
      <c r="S15" s="192">
        <f>IFERROR(INDEX('[1]Sales per type juli'!$D$10:$BA$51,MATCH($C15,'[1]Sales per type juli'!$B$10:$B$51,0),MATCH("Watch GT 2",'[1]Sales per type juli'!$D$8:$BA$8,0)),0)</f>
        <v>0</v>
      </c>
      <c r="T15" s="192">
        <f>R15-S15</f>
        <v>0</v>
      </c>
      <c r="U15" s="192">
        <f>IFERROR(INDEX('[1]SALES PERTYPE'!$I$10:$I$52,MATCH($C15,'[1]SALES PERTYPE'!$B$10:$B$52,0)),0)</f>
        <v>0</v>
      </c>
      <c r="V15" s="192" cm="1">
        <f t="array" ref="V15">IFERROR(INDEX('[1]Sales per type juli'!$D$10:$BA$51,MATCH($C15,'[1]Sales per type juli'!$B$10:$B$51,0),MATCH("Watch GT 2",'[1]Sales per type juli'!$D$8:$BA$8,0)+1),0)</f>
        <v>0</v>
      </c>
      <c r="W15" s="192">
        <f>U15-V15</f>
        <v>0</v>
      </c>
      <c r="X15" s="192">
        <f>IFERROR(INDEX('[1]SALES PERTYPE'!$J$10:$J$52,MATCH($C15,'[1]SALES PERTYPE'!$B$10:$B$52,0)),0)</f>
        <v>1</v>
      </c>
      <c r="Y15" s="192">
        <f>IFERROR(INDEX('[1]Sales per type juli'!$D$10:$BA$51,MATCH($C15,'[1]Sales per type juli'!$B$10:$B$51,0),MATCH("Y05e",'[1]Sales per type juli'!$D$8:$BA$8,0)),0)</f>
        <v>0</v>
      </c>
      <c r="Z15" s="192">
        <f>X15-Y15</f>
        <v>1</v>
      </c>
      <c r="AA15" s="192">
        <f>IFERROR(INDEX('[1]SALES PERTYPE'!$K$10:$K$52,MATCH($C15,'[1]SALES PERTYPE'!$B$10:$B$52,0)),0)</f>
        <v>2099000</v>
      </c>
      <c r="AB15" s="192" cm="1">
        <f t="array" ref="AB15">IFERROR(INDEX('[1]Sales per type juli'!$D$10:$BA$51,MATCH($C15,'[1]Sales per type juli'!$B$10:$B$51,0),MATCH("Y05e",'[1]Sales per type juli'!$D$8:$BA$8,0)+1),0)</f>
        <v>0</v>
      </c>
      <c r="AC15" s="192">
        <f>AA15-AB15</f>
        <v>2099000</v>
      </c>
      <c r="AD15" s="192">
        <f>IFERROR(INDEX('[1]SALES PERTYPE'!$L$10:$L$52,MATCH($C15,'[1]SALES PERTYPE'!$B$10:$B$52,0)),0)</f>
        <v>0</v>
      </c>
      <c r="AE15" s="192">
        <f>IFERROR(INDEX('[1]Sales per type juli'!$D$10:$BA$51,MATCH($C15,'[1]Sales per type juli'!$B$10:$B$51,0),MATCH("V70",'[1]Sales per type juli'!$D$8:$BA$8,0)),0)</f>
        <v>2</v>
      </c>
      <c r="AF15" s="192">
        <f>AD15-AE15</f>
        <v>-2</v>
      </c>
      <c r="AG15" s="192">
        <f>IFERROR(INDEX('[1]SALES PERTYPE'!$M$10:$M$52,MATCH($C15,'[1]SALES PERTYPE'!$B$10:$B$52,0)),0)</f>
        <v>0</v>
      </c>
      <c r="AH15" s="192" cm="1">
        <f t="array" ref="AH15">IFERROR(INDEX('[1]Sales per type juli'!$D$10:$BA$51,MATCH($C15,'[1]Sales per type juli'!$B$10:$B$51,0),MATCH("V70",'[1]Sales per type juli'!$D$8:$BA$8,0)+1),0)</f>
        <v>17998000</v>
      </c>
      <c r="AI15" s="192">
        <f>AG15-AH15</f>
        <v>-17998000</v>
      </c>
      <c r="AJ15" s="192">
        <f>IFERROR(INDEX('[1]SALES PERTYPE'!$N$10:$N$52,MATCH($C15,'[1]SALES PERTYPE'!$B$10:$B$52,0)),0)</f>
        <v>7</v>
      </c>
      <c r="AK15" s="192">
        <f>IFERROR(INDEX('[1]Sales per type juli'!$D$10:$BA$51,MATCH($C15,'[1]Sales per type juli'!$B$10:$B$51,0),MATCH("Y31d Pro",'[1]Sales per type juli'!$D$8:$BA$8,0)),0)</f>
        <v>3</v>
      </c>
      <c r="AL15" s="192">
        <f>AJ15-AK15</f>
        <v>4</v>
      </c>
      <c r="AM15" s="192">
        <f>IFERROR(INDEX('[1]SALES PERTYPE'!$O$10:$O$52,MATCH($C15,'[1]SALES PERTYPE'!$B$10:$B$52,0)),0)</f>
        <v>31293000</v>
      </c>
      <c r="AN15" s="192" cm="1">
        <f t="array" ref="AN15">IFERROR(INDEX('[1]Sales per type juli'!$D$10:$BA$51,MATCH($C15,'[1]Sales per type juli'!$B$10:$B$51,0),MATCH("Y31d Pro",'[1]Sales per type juli'!$D$8:$BA$8,0)+1),0)</f>
        <v>11697000</v>
      </c>
      <c r="AO15" s="192">
        <f>AM15-AN15</f>
        <v>19596000</v>
      </c>
      <c r="AP15" s="192">
        <f>IFERROR(INDEX('[1]SALES PERTYPE'!$P$10:$P$52,MATCH($C15,'[1]SALES PERTYPE'!$B$10:$B$52,0)),0)</f>
        <v>0</v>
      </c>
      <c r="AQ15" s="192" cm="1">
        <f t="array" ref="AQ15">IFERROR(INDEX('[1]Sales per type juli'!$D$10:$BA$51,MATCH($C15,'[1]Sales per type juli'!$B$10:$B$51,0),$FG$2),0)</f>
        <v>0</v>
      </c>
      <c r="AR15" s="192">
        <f>AP15-AQ15</f>
        <v>0</v>
      </c>
      <c r="AS15" s="192">
        <f>IFERROR(INDEX('[1]SALES PERTYPE'!$Q$10:$Q$52,MATCH($C15,'[1]SALES PERTYPE'!$B$10:$B$52,0)),0)</f>
        <v>0</v>
      </c>
      <c r="AT15" s="192" cm="1">
        <f t="array" ref="AT15">IFERROR(INDEX('[1]Sales per type juli'!$D$10:$BA$51,MATCH($C15,'[1]Sales per type juli'!$B$10:$B$51,0),$FG$2+1),0)</f>
        <v>0</v>
      </c>
      <c r="AU15" s="192">
        <f>AS15-AT15</f>
        <v>0</v>
      </c>
      <c r="AV15" s="192">
        <f>IFERROR(INDEX('[1]SALES PERTYPE'!$R$10:$R$52,MATCH($C15,'[1]SALES PERTYPE'!$B$10:$B$52,0)),0)</f>
        <v>0</v>
      </c>
      <c r="AW15" s="192">
        <f>IFERROR(INDEX('[1]Sales per type juli'!$D$10:$BA$51,MATCH($C15,'[1]Sales per type juli'!$B$10:$B$51,0),MATCH("Y31d ",'[1]Sales per type juli'!$D$8:$BA$8,0)),0)</f>
        <v>1</v>
      </c>
      <c r="AX15" s="192">
        <f>AV15-AW15</f>
        <v>-1</v>
      </c>
      <c r="AY15" s="192">
        <f>IFERROR(INDEX('[1]SALES PERTYPE'!$S$10:$S$52,MATCH($C15,'[1]SALES PERTYPE'!$B$10:$B$52,0)),0)</f>
        <v>0</v>
      </c>
      <c r="AZ15" s="192" cm="1">
        <f t="array" ref="AZ15">IFERROR(INDEX('[1]Sales per type juli'!$D$10:$BA$51,MATCH($C15,'[1]Sales per type juli'!$B$10:$B$51,0),MATCH("Y31d ",'[1]Sales per type juli'!$D$8:$BA$8,0)+1),0)</f>
        <v>3599000</v>
      </c>
      <c r="BA15" s="192">
        <f>AY15-AZ15</f>
        <v>-3599000</v>
      </c>
      <c r="BB15" s="192">
        <f>IFERROR(INDEX('[1]SALES PERTYPE'!$T$10:$T$52,MATCH($C15,'[1]SALES PERTYPE'!$B$10:$B$52,0)),0)</f>
        <v>3</v>
      </c>
      <c r="BC15" s="192">
        <f>IFERROR(INDEX('[1]Sales per type juli'!$D$10:$BA$51,MATCH($C15,'[1]Sales per type juli'!$B$10:$B$51,0),MATCH("V70 FE",'[1]Sales per type juli'!$D$8:$BA$8,0)),0)</f>
        <v>3</v>
      </c>
      <c r="BD15" s="192">
        <f>BB15-BC15</f>
        <v>0</v>
      </c>
      <c r="BE15" s="192">
        <f>IFERROR(INDEX('[1]SALES PERTYPE'!$U$10:$U$52,MATCH($C15,'[1]SALES PERTYPE'!$B$10:$B$52,0)),0)</f>
        <v>21197000</v>
      </c>
      <c r="BF15" s="192" cm="1">
        <f t="array" ref="BF15">IFERROR(INDEX('[1]Sales per type juli'!$D$10:$BA$51,MATCH($C15,'[1]Sales per type juli'!$B$10:$B$51,0),MATCH("V70 FE",'[1]Sales per type juli'!$D$8:$BA$8,0)+1),0)</f>
        <v>19497000</v>
      </c>
      <c r="BG15" s="192">
        <f>BE15-BF15</f>
        <v>1700000</v>
      </c>
      <c r="BH15" s="192">
        <f>IFERROR(INDEX('[1]SALES PERTYPE'!$V$10:$V$52,MATCH($C15,'[1]SALES PERTYPE'!$B$10:$B$52,0)),0)</f>
        <v>0</v>
      </c>
      <c r="BI15" s="192">
        <f>IFERROR(INDEX('[1]Sales per type juli'!$D$10:$BA$51,MATCH($C15,'[1]Sales per type juli'!$B$10:$B$51,0),MATCH("Y31d",'[1]Sales per type juli'!$D$8:$BA$8,0)),0)</f>
        <v>0</v>
      </c>
      <c r="BJ15" s="192">
        <f>BH15-BI15</f>
        <v>0</v>
      </c>
      <c r="BK15" s="192">
        <f>IFERROR(INDEX('[1]SALES PERTYPE'!$W$10:$W$52,MATCH($C15,'[1]SALES PERTYPE'!$B$10:$B$52,0)),0)</f>
        <v>0</v>
      </c>
      <c r="BL15" s="192" cm="1">
        <f t="array" ref="BL15">IFERROR(INDEX('[1]Sales per type juli'!$D$10:$BA$51,MATCH($C15,'[1]Sales per type juli'!$B$10:$B$51,0),MATCH("Y31d",'[1]Sales per type juli'!$D$8:$BA$8,0)+1),0)</f>
        <v>0</v>
      </c>
      <c r="BM15" s="192">
        <f>BK15-BL15</f>
        <v>0</v>
      </c>
      <c r="BN15" s="192">
        <f>IFERROR(INDEX('[1]SALES PERTYPE'!$X$10:$X$52,MATCH($C15,'[1]SALES PERTYPE'!$B$10:$B$52,0)),0)</f>
        <v>2</v>
      </c>
      <c r="BO15" s="192">
        <f>IFERROR(INDEX('[1]Sales per type juli'!$D$10:$BA$51,MATCH($C15,'[1]Sales per type juli'!$B$10:$B$51,0),MATCH("Y500",'[1]Sales per type juli'!$D$8:$BA$8,0)),0)</f>
        <v>4</v>
      </c>
      <c r="BP15" s="192">
        <f>BN15-BO15</f>
        <v>-2</v>
      </c>
      <c r="BQ15" s="192">
        <f>IFERROR(INDEX('[1]SALES PERTYPE'!$Y$10:$Y$52,MATCH($C15,'[1]SALES PERTYPE'!$B$10:$B$52,0)),0)</f>
        <v>11798000</v>
      </c>
      <c r="BR15" s="192" cm="1">
        <f t="array" ref="BR15">IFERROR(INDEX('[1]Sales per type juli'!$D$10:$BA$51,MATCH($C15,'[1]Sales per type juli'!$B$10:$B$51,0),MATCH("Y500",'[1]Sales per type juli'!$D$8:$BA$8,0)+1),0)</f>
        <v>22796000</v>
      </c>
      <c r="BS15" s="192">
        <f>BQ15-BR15</f>
        <v>-10998000</v>
      </c>
      <c r="BT15" s="192">
        <f>IFERROR(INDEX('[1]SALES PERTYPE'!$Z$10:$Z$52,MATCH($C15,'[1]SALES PERTYPE'!$B$10:$B$52,0)),0)</f>
        <v>0</v>
      </c>
      <c r="BU15" s="192">
        <f>IFERROR(INDEX('[1]Sales per type juli'!$D$10:$BA$51,MATCH($C15,'[1]Sales per type juli'!$B$10:$B$51,0),MATCH("IQOO 15R",'[1]Sales per type juli'!$D$8:$BA$8,0)),0)</f>
        <v>2</v>
      </c>
      <c r="BV15" s="192">
        <f>BT15-BU15</f>
        <v>-2</v>
      </c>
      <c r="BW15" s="192">
        <f>IFERROR(INDEX('[1]SALES PERTYPE'!$AA$10:$AA$52,MATCH($C15,'[1]SALES PERTYPE'!$B$10:$B$52,0)),0)</f>
        <v>0</v>
      </c>
      <c r="BX15" s="192" cm="1">
        <f t="array" ref="BX15">IFERROR(INDEX('[1]Sales per type juli'!$D$10:$BA$51,MATCH($C15,'[1]Sales per type juli'!$B$10:$B$51,0),MATCH("IQOO 15R",'[1]Sales per type juli'!$D$8:$BA$8,0)+1),0)</f>
        <v>19798000</v>
      </c>
      <c r="BY15" s="192">
        <f>BW15-BX15</f>
        <v>-19798000</v>
      </c>
      <c r="BZ15" s="192">
        <f>IFERROR(INDEX('[1]SALES PERTYPE'!$AB$10:$AB$52,MATCH($C15,'[1]SALES PERTYPE'!$B$10:$B$52,0)),0)</f>
        <v>0</v>
      </c>
      <c r="CA15" s="192">
        <f>IFERROR(INDEX('[1]Sales per type juli'!$D$10:$BA$51,MATCH($C15,'[1]Sales per type juli'!$B$10:$B$51,0),MATCH("V60 Lite",'[1]Sales per type juli'!$D$8:$BA$8,0)),0)</f>
        <v>1</v>
      </c>
      <c r="CB15" s="192">
        <f>BZ15-CA15</f>
        <v>-1</v>
      </c>
      <c r="CC15" s="192">
        <f>IFERROR(INDEX('[1]SALES PERTYPE'!$AC$10:$AC$52,MATCH($C15,'[1]SALES PERTYPE'!$B$10:$B$52,0)),0)</f>
        <v>0</v>
      </c>
      <c r="CD15" s="192" cm="1">
        <f t="array" ref="CD15">IFERROR(INDEX('[1]Sales per type juli'!$D$10:$BA$51,MATCH($C15,'[1]Sales per type juli'!$B$10:$B$51,0),MATCH("V60 Lite",'[1]Sales per type juli'!$D$8:$BA$8,0)+1),0)</f>
        <v>5299000</v>
      </c>
      <c r="CE15" s="192">
        <f>CC15-CD15</f>
        <v>-5299000</v>
      </c>
      <c r="CF15" s="192">
        <f>IFERROR(INDEX('[1]SALES PERTYPE'!$AD$10:$AD$52,MATCH($C15,'[1]SALES PERTYPE'!$B$10:$B$52,0)),0)</f>
        <v>0</v>
      </c>
      <c r="CG15" s="192">
        <f>IFERROR(INDEX('[1]Sales per type juli'!$D$10:$BA$51,MATCH($C15,'[1]Sales per type juli'!$B$10:$B$51,0),MATCH("X300 Ultra",'[1]Sales per type juli'!$D$8:$BA$8,0)),0)</f>
        <v>0</v>
      </c>
      <c r="CH15" s="192">
        <f>CF15-CG15</f>
        <v>0</v>
      </c>
      <c r="CI15" s="192">
        <f>IFERROR(INDEX('[1]SALES PERTYPE'!$AE$10:$AE$52,MATCH($C15,'[1]SALES PERTYPE'!$B$10:$B$52,0)),0)</f>
        <v>0</v>
      </c>
      <c r="CJ15" s="192" cm="1">
        <f t="array" ref="CJ15">IFERROR(INDEX('[1]Sales per type juli'!$D$10:$BA$51,MATCH($C15,'[1]Sales per type juli'!$B$10:$B$51,0),MATCH("X300 Ultra",'[1]Sales per type juli'!$D$8:$BA$8,0)+1),0)</f>
        <v>0</v>
      </c>
      <c r="CK15" s="192">
        <f>CI15-CJ15</f>
        <v>0</v>
      </c>
      <c r="CL15" s="192">
        <f>IFERROR(INDEX('[1]SALES PERTYPE'!$AF$10:$AF$52,MATCH($C15,'[1]SALES PERTYPE'!$B$10:$B$52,0)),0)</f>
        <v>0</v>
      </c>
      <c r="CM15" s="192">
        <f>IFERROR(INDEX('[1]Sales per type juli'!$D$10:$BA$51,MATCH($C15,'[1]Sales per type juli'!$B$10:$B$51,0),MATCH("IQOO 15",'[1]Sales per type juli'!$D$8:$BA$8,0)),0)</f>
        <v>1</v>
      </c>
      <c r="CN15" s="192">
        <f>CL15-CM15</f>
        <v>-1</v>
      </c>
      <c r="CO15" s="192">
        <f>IFERROR(INDEX('[1]SALES PERTYPE'!$AG$10:$AG$52,MATCH($C15,'[1]SALES PERTYPE'!$B$10:$B$52,0)),0)</f>
        <v>0</v>
      </c>
      <c r="CP15" s="192" cm="1">
        <f t="array" ref="CP15">IFERROR(INDEX('[1]Sales per type juli'!$D$10:$BA$51,MATCH($C15,'[1]Sales per type juli'!$B$10:$B$51,0),MATCH("IQOO 15",'[1]Sales per type juli'!$D$8:$BA$8,0)+1),0)</f>
        <v>13999000</v>
      </c>
      <c r="CQ15" s="192">
        <f>CO15-CP15</f>
        <v>-13999000</v>
      </c>
      <c r="CR15" s="192">
        <f>IFERROR(INDEX('[1]SALES PERTYPE'!$AH$10:$AH$52,MATCH($C15,'[1]SALES PERTYPE'!$B$10:$B$52,0)),0)</f>
        <v>0</v>
      </c>
      <c r="CS15" s="192">
        <f>IFERROR(INDEX('[1]Sales per type juli'!$D$10:$BA$51,MATCH($C15,'[1]Sales per type juli'!$B$10:$B$51,0),MATCH("IQOO Z11x",'[1]Sales per type juli'!$D$8:$BA$8,0)),0)</f>
        <v>0</v>
      </c>
      <c r="CT15" s="192">
        <f>CR15-CS15</f>
        <v>0</v>
      </c>
      <c r="CU15" s="192">
        <f>IFERROR(INDEX('[1]SALES PERTYPE'!$AI$10:$AI$52,MATCH($C15,'[1]SALES PERTYPE'!$B$10:$B$52,0)),0)</f>
        <v>0</v>
      </c>
      <c r="CV15" s="192" cm="1">
        <f t="array" ref="CV15">IFERROR(INDEX('[1]Sales per type juli'!$D$10:$BA$51,MATCH($C15,'[1]Sales per type juli'!$B$10:$B$51,0),MATCH("IQOO Z11x",'[1]Sales per type juli'!$D$8:$BA$8,0)+1),0)</f>
        <v>0</v>
      </c>
      <c r="CW15" s="192">
        <f>CU15-CV15</f>
        <v>0</v>
      </c>
      <c r="CX15" s="192">
        <f>IFERROR(INDEX('[1]SALES PERTYPE'!$AJ$10:$AJ$52,MATCH($C15,'[1]SALES PERTYPE'!$B$10:$B$52,0)),0)</f>
        <v>1</v>
      </c>
      <c r="CY15" s="192">
        <f>IFERROR(INDEX('[1]Sales per type juli'!$D$10:$BA$51,MATCH($C15,'[1]Sales per type juli'!$B$10:$B$51,0),MATCH("IQOO Z11",'[1]Sales per type juli'!$D$8:$BA$8,0)),0)</f>
        <v>3</v>
      </c>
      <c r="CZ15" s="192">
        <f>CX15-CY15</f>
        <v>-2</v>
      </c>
      <c r="DA15" s="192">
        <f>IFERROR(INDEX('[1]SALES PERTYPE'!$AK$10:$AK$52,MATCH($C15,'[1]SALES PERTYPE'!$B$10:$B$52,0)),0)</f>
        <v>6899000</v>
      </c>
      <c r="DB15" s="192" cm="1">
        <f t="array" ref="DB15">IFERROR(INDEX('[1]Sales per type juli'!$D$10:$BA$51,MATCH($C15,'[1]Sales per type juli'!$B$10:$B$51,0),MATCH("IQOO Z11",'[1]Sales per type juli'!$D$8:$BA$8,0)+1),0)</f>
        <v>17097000</v>
      </c>
      <c r="DC15" s="192">
        <f>DA15-DB15</f>
        <v>-10198000</v>
      </c>
      <c r="DD15" s="192">
        <v>0</v>
      </c>
      <c r="DE15" s="192">
        <f>IFERROR(INDEX('[1]Sales per type juli'!$D$10:$BA$51,MATCH($C15,'[1]Sales per type juli'!$B$10:$B$51,0),MATCH("WATCH 3",'[1]Sales per type juli'!$D$8:$BA$8,0)),0)</f>
        <v>0</v>
      </c>
      <c r="DF15" s="192">
        <f>DD15-DE15</f>
        <v>0</v>
      </c>
      <c r="DG15" s="192">
        <v>0</v>
      </c>
      <c r="DH15" s="192" cm="1">
        <f t="array" ref="DH15">IFERROR(INDEX('[1]Sales per type juli'!$D$10:$BA$51,MATCH($C15,'[1]Sales per type juli'!$B$10:$B$51,0),MATCH("WATCH 3",'[1]Sales per type juli'!$D$8:$BA$8,0)+1),0)</f>
        <v>0</v>
      </c>
      <c r="DI15" s="192">
        <f>DG15-DH15</f>
        <v>0</v>
      </c>
      <c r="DJ15" s="192">
        <v>0</v>
      </c>
      <c r="DK15" s="192">
        <f>IFERROR(INDEX('[1]Sales per type juli'!$D$10:$BA$51,MATCH($C15,'[1]Sales per type juli'!$B$10:$B$51,0),MATCH("X300 Demo",'[1]Sales per type juli'!$D$8:$BA$8,0)),0)</f>
        <v>0</v>
      </c>
      <c r="DL15" s="192">
        <f>DJ15-DK15</f>
        <v>0</v>
      </c>
      <c r="DM15" s="192">
        <v>0</v>
      </c>
      <c r="DN15" s="192" cm="1">
        <f t="array" ref="DN15">IFERROR(INDEX('[1]Sales per type juli'!$D$10:$BA$51,MATCH($C15,'[1]Sales per type juli'!$B$10:$B$51,0),MATCH("X300 Demo",'[1]Sales per type juli'!$D$8:$BA$8,0)+1),0)</f>
        <v>0</v>
      </c>
      <c r="DO15" s="192">
        <f>DM15-DN15</f>
        <v>0</v>
      </c>
      <c r="DP15" s="192">
        <v>0</v>
      </c>
      <c r="DQ15" s="192">
        <f>IFERROR(INDEX('[1]Sales per type juli'!$D$10:$BA$51,MATCH($C15,'[1]Sales per type juli'!$B$10:$B$51,0),MATCH("X300 Pro Demo",'[1]Sales per type juli'!$D$8:$BA$8,0)),0)</f>
        <v>0</v>
      </c>
      <c r="DR15" s="192">
        <f>DP15-DQ15</f>
        <v>0</v>
      </c>
      <c r="DS15" s="192">
        <v>0</v>
      </c>
      <c r="DT15" s="192" cm="1">
        <f t="array" ref="DT15">IFERROR(INDEX('[1]Sales per type juli'!$D$10:$BA$51,MATCH($C15,'[1]Sales per type juli'!$B$10:$B$51,0),MATCH("X300 Pro Demo",'[1]Sales per type juli'!$D$8:$BA$8,0)+1),0)</f>
        <v>0</v>
      </c>
      <c r="DU15" s="192">
        <f>DS15-DT15</f>
        <v>0</v>
      </c>
      <c r="DV15" s="192">
        <v>0</v>
      </c>
      <c r="DW15" s="192">
        <f>IFERROR(INDEX('[1]Sales per type juli'!$D$10:$BA$51,MATCH($C15,'[1]Sales per type juli'!$B$10:$B$51,0),MATCH("X Fold5 DEMO",'[1]Sales per type juli'!$D$8:$BA$8,0)),0)</f>
        <v>0</v>
      </c>
      <c r="DX15" s="192">
        <f>DV15-DW15</f>
        <v>0</v>
      </c>
      <c r="DY15" s="192">
        <v>0</v>
      </c>
      <c r="DZ15" s="192" cm="1">
        <f t="array" ref="DZ15">IFERROR(INDEX('[1]Sales per type juli'!$D$10:$BA$51,MATCH($C15,'[1]Sales per type juli'!$B$10:$B$51,0),MATCH("X Fold5 DEMO",'[1]Sales per type juli'!$D$8:$BA$8,0)+1),0)</f>
        <v>0</v>
      </c>
      <c r="EA15" s="192">
        <f>DY15-DZ15</f>
        <v>0</v>
      </c>
      <c r="EB15" s="192">
        <v>0</v>
      </c>
      <c r="EC15" s="192">
        <f>IFERROR(INDEX('[1]Sales per type juli'!$D$10:$BA$51,MATCH($C15,'[1]Sales per type juli'!$B$10:$B$51,0),MATCH("X Fold5",'[1]Sales per type juli'!$D$8:$BA$8,0)),0)</f>
        <v>0</v>
      </c>
      <c r="ED15" s="192">
        <f>EB15-EC15</f>
        <v>0</v>
      </c>
      <c r="EE15" s="192">
        <v>0</v>
      </c>
      <c r="EF15" s="192" cm="1">
        <f t="array" ref="EF15">IFERROR(INDEX('[1]Sales per type juli'!$D$10:$BA$51,MATCH($C15,'[1]Sales per type juli'!$B$10:$B$51,0),MATCH("X Fold5",'[1]Sales per type juli'!$D$8:$BA$8,0)+1),0)</f>
        <v>0</v>
      </c>
      <c r="EG15" s="192">
        <f>EE15-EF15</f>
        <v>0</v>
      </c>
      <c r="EH15" s="192">
        <v>0</v>
      </c>
      <c r="EI15" s="192">
        <f>IFERROR(INDEX('[1]Sales per type juli'!$D$10:$BA$51,MATCH($C15,'[1]Sales per type juli'!$B$10:$B$51,0),MATCH("IQOO 15 Demo",'[1]Sales per type juli'!$D$8:$BA$8,0)),0)</f>
        <v>0</v>
      </c>
      <c r="EJ15" s="192">
        <f>EH15-EI15</f>
        <v>0</v>
      </c>
      <c r="EK15" s="192">
        <v>0</v>
      </c>
      <c r="EL15" s="192" cm="1">
        <f t="array" ref="EL15">IFERROR(INDEX('[1]Sales per type juli'!$D$10:$BA$51,MATCH($C15,'[1]Sales per type juli'!$B$10:$B$51,0),MATCH("IQOO 15 Demo",'[1]Sales per type juli'!$D$8:$BA$8,0)+1),0)</f>
        <v>0</v>
      </c>
      <c r="EM15" s="192">
        <f>EK15-EL15</f>
        <v>0</v>
      </c>
      <c r="EN15" s="192">
        <v>0</v>
      </c>
      <c r="EO15" s="192">
        <f>IFERROR(INDEX('[1]Sales per type juli'!$D$10:$BA$51,MATCH($C15,'[1]Sales per type juli'!$B$10:$B$51,0),MATCH("X300 PRO",'[1]Sales per type juli'!$D$8:$BA$8,0)),0)</f>
        <v>0</v>
      </c>
      <c r="EP15" s="192">
        <f>EN15-EO15</f>
        <v>0</v>
      </c>
      <c r="EQ15" s="192">
        <v>0</v>
      </c>
      <c r="ER15" s="192" cm="1">
        <f t="array" ref="ER15">IFERROR(INDEX('[1]Sales per type juli'!$D$10:$BA$51,MATCH($C15,'[1]Sales per type juli'!$B$10:$B$51,0),MATCH("X300 PRO",'[1]Sales per type juli'!$D$8:$BA$8,0)+1),0)</f>
        <v>0</v>
      </c>
      <c r="ES15" s="192">
        <f>EQ15-ER15</f>
        <v>0</v>
      </c>
      <c r="ET15" s="192">
        <v>0</v>
      </c>
      <c r="EU15" s="192">
        <f>IFERROR(INDEX('[1]Sales per type juli'!$D$10:$BA$51,MATCH($C15,'[1]Sales per type juli'!$B$10:$B$51,0),MATCH("X300 ",'[1]Sales per type juli'!$D$8:$BA$8,0)),0)</f>
        <v>0</v>
      </c>
      <c r="EV15" s="192">
        <f>ET15-EU15</f>
        <v>0</v>
      </c>
      <c r="EW15" s="192">
        <v>0</v>
      </c>
      <c r="EX15" s="192" cm="1">
        <f t="array" ref="EX15">IFERROR(INDEX('[1]Sales per type juli'!$D$10:$BA$51,MATCH($C15,'[1]Sales per type juli'!$B$10:$B$51,0),MATCH("X300 ",'[1]Sales per type juli'!$D$8:$BA$8,0)+1),0)</f>
        <v>0</v>
      </c>
      <c r="EY15" s="192">
        <f>EW15-EX15</f>
        <v>0</v>
      </c>
      <c r="EZ15" s="192">
        <f>F15+L15+R15+X15+AD15+AJ15+AP15+AV15+BB15+BH15+BN15+BT15+BZ15+CF15+CL15+CR15+CX15+DD15+DJ15+DP15+DV15+EB15+EH15+EN15+ET15</f>
        <v>26</v>
      </c>
      <c r="FA15" s="192">
        <f>G15+M15+S15+Y15+AE15+AK15+AQ15+AW15+BC15+BI15+BO15+BU15+CA15+CG15+CM15+CS15+CY15+DE15+DK15+DQ15+DW15+EC15+EI15+EO15+EU15</f>
        <v>33</v>
      </c>
      <c r="FB15" s="192">
        <f>EZ15-FA15</f>
        <v>-7</v>
      </c>
      <c r="FC15" s="192">
        <f>I15+O15+U15+AA15+AG15+AM15+AS15+AY15+BE15+BK15+BQ15+BW15+CC15+CI15+CO15+CU15+DA15+DG15+DM15+DS15+DY15+EE15+EK15+EQ15+EW15</f>
        <v>104174000</v>
      </c>
      <c r="FD15" s="192">
        <f>J15+P15+V15+AB15+AH15+AN15+AT15+AZ15+BF15+BL15+BR15+BX15+CD15+CJ15+CP15+CV15+DB15+DH15+DN15+DT15+DZ15+EF15+EL15+ER15+EX15</f>
        <v>163167000</v>
      </c>
      <c r="FE15" s="192">
        <f>FC15-FD15</f>
        <v>-58993000</v>
      </c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</row>
    <row r="16" spans="1:208" ht="16" x14ac:dyDescent="0.2">
      <c r="A16" s="139">
        <f>'[1]ACHIEVEMENT STORE'!A16</f>
        <v>12</v>
      </c>
      <c r="B16" s="140" t="str">
        <f>'[1]ACHIEVEMENT STORE'!B16</f>
        <v>604 雅加达东南 JKT TS</v>
      </c>
      <c r="C16" s="139">
        <f>'[1]ACHIEVEMENT STORE'!C16</f>
        <v>6080712</v>
      </c>
      <c r="D16" s="140" t="str">
        <f>'[1]ACHIEVEMENT STORE'!D16</f>
        <v>6080712-MVS ITC DEPOK VIVO STORE 2</v>
      </c>
      <c r="E16" s="140" t="str">
        <f>'[1]ACHIEVEMENT STORE'!E16</f>
        <v>Erlangga Pradita</v>
      </c>
      <c r="F16" s="192">
        <f>IFERROR(INDEX('[1]SALES PERTYPE'!$D$10:$D$52,MATCH($C16,'[1]SALES PERTYPE'!$B$10:$B$52,0)),0)</f>
        <v>1</v>
      </c>
      <c r="G16" s="192">
        <f>IFERROR(INDEX('[1]Sales per type juli'!$D$10:$BA$51,MATCH($C16,'[1]Sales per type juli'!$B$10:$B$51,0),MATCH("Y05",'[1]Sales per type juli'!$D$8:$BA$8,0)),0)</f>
        <v>6</v>
      </c>
      <c r="H16" s="192">
        <f>F16-G16</f>
        <v>-5</v>
      </c>
      <c r="I16" s="192">
        <f>IFERROR(INDEX('[1]SALES PERTYPE'!$E$10:$E$52,MATCH($C16,'[1]SALES PERTYPE'!$B$10:$B$52,0)),0)</f>
        <v>2599000</v>
      </c>
      <c r="J16" s="192" cm="1">
        <f t="array" ref="J16">IFERROR(INDEX('[1]Sales per type juli'!$D$10:$BA$51,MATCH($C16,'[1]Sales per type juli'!$B$10:$B$51,0),MATCH("Y05",'[1]Sales per type juli'!$D$8:$BA$8,0)+1),0)</f>
        <v>13494000</v>
      </c>
      <c r="K16" s="192">
        <f>I16-J16</f>
        <v>-10895000</v>
      </c>
      <c r="L16" s="192">
        <f>IFERROR(INDEX('[1]SALES PERTYPE'!$F$10:$F$52,MATCH($C16,'[1]SALES PERTYPE'!$B$10:$B$52,0)),0)</f>
        <v>6</v>
      </c>
      <c r="M16" s="192">
        <f>IFERROR(INDEX('[1]Sales per type juli'!$D$10:$BA$51,MATCH($C16,'[1]Sales per type juli'!$B$10:$B$51,0),MATCH("Y11d",'[1]Sales per type juli'!$D$8:$BA$8,0)),0)</f>
        <v>4</v>
      </c>
      <c r="N16" s="192">
        <f>L16-M16</f>
        <v>2</v>
      </c>
      <c r="O16" s="192">
        <f>IFERROR(INDEX('[1]SALES PERTYPE'!$G$10:$G$52,MATCH($C16,'[1]SALES PERTYPE'!$B$10:$B$52,0)),0)</f>
        <v>16394000</v>
      </c>
      <c r="P16" s="192" cm="1">
        <f t="array" ref="P16">IFERROR(INDEX('[1]Sales per type juli'!$D$10:$BA$51,MATCH($C16,'[1]Sales per type juli'!$B$10:$B$51,0),MATCH("Y11d",'[1]Sales per type juli'!$D$8:$BA$8,0)+1),0)</f>
        <v>10396000</v>
      </c>
      <c r="Q16" s="192">
        <f>O16-P16</f>
        <v>5998000</v>
      </c>
      <c r="R16" s="192">
        <f>IFERROR(INDEX('[1]SALES PERTYPE'!$H$10:$H$52,MATCH($C16,'[1]SALES PERTYPE'!$B$10:$B$52,0)),0)</f>
        <v>0</v>
      </c>
      <c r="S16" s="192">
        <f>IFERROR(INDEX('[1]Sales per type juli'!$D$10:$BA$51,MATCH($C16,'[1]Sales per type juli'!$B$10:$B$51,0),MATCH("Watch GT 2",'[1]Sales per type juli'!$D$8:$BA$8,0)),0)</f>
        <v>0</v>
      </c>
      <c r="T16" s="192">
        <f>R16-S16</f>
        <v>0</v>
      </c>
      <c r="U16" s="192">
        <f>IFERROR(INDEX('[1]SALES PERTYPE'!$I$10:$I$52,MATCH($C16,'[1]SALES PERTYPE'!$B$10:$B$52,0)),0)</f>
        <v>0</v>
      </c>
      <c r="V16" s="192" cm="1">
        <f t="array" ref="V16">IFERROR(INDEX('[1]Sales per type juli'!$D$10:$BA$51,MATCH($C16,'[1]Sales per type juli'!$B$10:$B$51,0),MATCH("Watch GT 2",'[1]Sales per type juli'!$D$8:$BA$8,0)+1),0)</f>
        <v>0</v>
      </c>
      <c r="W16" s="192">
        <f>U16-V16</f>
        <v>0</v>
      </c>
      <c r="X16" s="192">
        <f>IFERROR(INDEX('[1]SALES PERTYPE'!$J$10:$J$52,MATCH($C16,'[1]SALES PERTYPE'!$B$10:$B$52,0)),0)</f>
        <v>1</v>
      </c>
      <c r="Y16" s="192">
        <f>IFERROR(INDEX('[1]Sales per type juli'!$D$10:$BA$51,MATCH($C16,'[1]Sales per type juli'!$B$10:$B$51,0),MATCH("Y05e",'[1]Sales per type juli'!$D$8:$BA$8,0)),0)</f>
        <v>0</v>
      </c>
      <c r="Z16" s="192">
        <f>X16-Y16</f>
        <v>1</v>
      </c>
      <c r="AA16" s="192">
        <f>IFERROR(INDEX('[1]SALES PERTYPE'!$K$10:$K$52,MATCH($C16,'[1]SALES PERTYPE'!$B$10:$B$52,0)),0)</f>
        <v>2099000</v>
      </c>
      <c r="AB16" s="192" cm="1">
        <f t="array" ref="AB16">IFERROR(INDEX('[1]Sales per type juli'!$D$10:$BA$51,MATCH($C16,'[1]Sales per type juli'!$B$10:$B$51,0),MATCH("Y05e",'[1]Sales per type juli'!$D$8:$BA$8,0)+1),0)</f>
        <v>0</v>
      </c>
      <c r="AC16" s="192">
        <f>AA16-AB16</f>
        <v>2099000</v>
      </c>
      <c r="AD16" s="192">
        <f>IFERROR(INDEX('[1]SALES PERTYPE'!$L$10:$L$52,MATCH($C16,'[1]SALES PERTYPE'!$B$10:$B$52,0)),0)</f>
        <v>2</v>
      </c>
      <c r="AE16" s="192">
        <f>IFERROR(INDEX('[1]Sales per type juli'!$D$10:$BA$51,MATCH($C16,'[1]Sales per type juli'!$B$10:$B$51,0),MATCH("V70",'[1]Sales per type juli'!$D$8:$BA$8,0)),0)</f>
        <v>2</v>
      </c>
      <c r="AF16" s="192">
        <f>AD16-AE16</f>
        <v>0</v>
      </c>
      <c r="AG16" s="192">
        <f>IFERROR(INDEX('[1]SALES PERTYPE'!$M$10:$M$52,MATCH($C16,'[1]SALES PERTYPE'!$B$10:$B$52,0)),0)</f>
        <v>20998000</v>
      </c>
      <c r="AH16" s="192" cm="1">
        <f t="array" ref="AH16">IFERROR(INDEX('[1]Sales per type juli'!$D$10:$BA$51,MATCH($C16,'[1]Sales per type juli'!$B$10:$B$51,0),MATCH("V70",'[1]Sales per type juli'!$D$8:$BA$8,0)+1),0)</f>
        <v>17998000</v>
      </c>
      <c r="AI16" s="192">
        <f>AG16-AH16</f>
        <v>3000000</v>
      </c>
      <c r="AJ16" s="192">
        <f>IFERROR(INDEX('[1]SALES PERTYPE'!$N$10:$N$52,MATCH($C16,'[1]SALES PERTYPE'!$B$10:$B$52,0)),0)</f>
        <v>3</v>
      </c>
      <c r="AK16" s="192">
        <f>IFERROR(INDEX('[1]Sales per type juli'!$D$10:$BA$51,MATCH($C16,'[1]Sales per type juli'!$B$10:$B$51,0),MATCH("Y31d Pro",'[1]Sales per type juli'!$D$8:$BA$8,0)),0)</f>
        <v>1</v>
      </c>
      <c r="AL16" s="192">
        <f>AJ16-AK16</f>
        <v>2</v>
      </c>
      <c r="AM16" s="192">
        <f>IFERROR(INDEX('[1]SALES PERTYPE'!$O$10:$O$52,MATCH($C16,'[1]SALES PERTYPE'!$B$10:$B$52,0)),0)</f>
        <v>14897000</v>
      </c>
      <c r="AN16" s="192" cm="1">
        <f t="array" ref="AN16">IFERROR(INDEX('[1]Sales per type juli'!$D$10:$BA$51,MATCH($C16,'[1]Sales per type juli'!$B$10:$B$51,0),MATCH("Y31d Pro",'[1]Sales per type juli'!$D$8:$BA$8,0)+1),0)</f>
        <v>4299000</v>
      </c>
      <c r="AO16" s="192">
        <f>AM16-AN16</f>
        <v>10598000</v>
      </c>
      <c r="AP16" s="192">
        <f>IFERROR(INDEX('[1]SALES PERTYPE'!$P$10:$P$52,MATCH($C16,'[1]SALES PERTYPE'!$B$10:$B$52,0)),0)</f>
        <v>0</v>
      </c>
      <c r="AQ16" s="192" cm="1">
        <f t="array" ref="AQ16">IFERROR(INDEX('[1]Sales per type juli'!$D$10:$BA$51,MATCH($C16,'[1]Sales per type juli'!$B$10:$B$51,0),$FG$2),0)</f>
        <v>0</v>
      </c>
      <c r="AR16" s="192">
        <f>AP16-AQ16</f>
        <v>0</v>
      </c>
      <c r="AS16" s="192">
        <f>IFERROR(INDEX('[1]SALES PERTYPE'!$Q$10:$Q$52,MATCH($C16,'[1]SALES PERTYPE'!$B$10:$B$52,0)),0)</f>
        <v>0</v>
      </c>
      <c r="AT16" s="192" cm="1">
        <f t="array" ref="AT16">IFERROR(INDEX('[1]Sales per type juli'!$D$10:$BA$51,MATCH($C16,'[1]Sales per type juli'!$B$10:$B$51,0),$FG$2+1),0)</f>
        <v>0</v>
      </c>
      <c r="AU16" s="192">
        <f>AS16-AT16</f>
        <v>0</v>
      </c>
      <c r="AV16" s="192">
        <f>IFERROR(INDEX('[1]SALES PERTYPE'!$R$10:$R$52,MATCH($C16,'[1]SALES PERTYPE'!$B$10:$B$52,0)),0)</f>
        <v>0</v>
      </c>
      <c r="AW16" s="192">
        <f>IFERROR(INDEX('[1]Sales per type juli'!$D$10:$BA$51,MATCH($C16,'[1]Sales per type juli'!$B$10:$B$51,0),MATCH("Y31d ",'[1]Sales per type juli'!$D$8:$BA$8,0)),0)</f>
        <v>0</v>
      </c>
      <c r="AX16" s="192">
        <f>AV16-AW16</f>
        <v>0</v>
      </c>
      <c r="AY16" s="192">
        <f>IFERROR(INDEX('[1]SALES PERTYPE'!$S$10:$S$52,MATCH($C16,'[1]SALES PERTYPE'!$B$10:$B$52,0)),0)</f>
        <v>0</v>
      </c>
      <c r="AZ16" s="192" cm="1">
        <f t="array" ref="AZ16">IFERROR(INDEX('[1]Sales per type juli'!$D$10:$BA$51,MATCH($C16,'[1]Sales per type juli'!$B$10:$B$51,0),MATCH("Y31d ",'[1]Sales per type juli'!$D$8:$BA$8,0)+1),0)</f>
        <v>0</v>
      </c>
      <c r="BA16" s="192">
        <f>AY16-AZ16</f>
        <v>0</v>
      </c>
      <c r="BB16" s="192">
        <f>IFERROR(INDEX('[1]SALES PERTYPE'!$T$10:$T$52,MATCH($C16,'[1]SALES PERTYPE'!$B$10:$B$52,0)),0)</f>
        <v>0</v>
      </c>
      <c r="BC16" s="192">
        <f>IFERROR(INDEX('[1]Sales per type juli'!$D$10:$BA$51,MATCH($C16,'[1]Sales per type juli'!$B$10:$B$51,0),MATCH("V70 FE",'[1]Sales per type juli'!$D$8:$BA$8,0)),0)</f>
        <v>6</v>
      </c>
      <c r="BD16" s="192">
        <f>BB16-BC16</f>
        <v>-6</v>
      </c>
      <c r="BE16" s="192">
        <f>IFERROR(INDEX('[1]SALES PERTYPE'!$U$10:$U$52,MATCH($C16,'[1]SALES PERTYPE'!$B$10:$B$52,0)),0)</f>
        <v>0</v>
      </c>
      <c r="BF16" s="192" cm="1">
        <f t="array" ref="BF16">IFERROR(INDEX('[1]Sales per type juli'!$D$10:$BA$51,MATCH($C16,'[1]Sales per type juli'!$B$10:$B$51,0),MATCH("V70 FE",'[1]Sales per type juli'!$D$8:$BA$8,0)+1),0)</f>
        <v>38994000</v>
      </c>
      <c r="BG16" s="192">
        <f>BE16-BF16</f>
        <v>-38994000</v>
      </c>
      <c r="BH16" s="192">
        <f>IFERROR(INDEX('[1]SALES PERTYPE'!$V$10:$V$52,MATCH($C16,'[1]SALES PERTYPE'!$B$10:$B$52,0)),0)</f>
        <v>0</v>
      </c>
      <c r="BI16" s="192">
        <f>IFERROR(INDEX('[1]Sales per type juli'!$D$10:$BA$51,MATCH($C16,'[1]Sales per type juli'!$B$10:$B$51,0),MATCH("Y31d",'[1]Sales per type juli'!$D$8:$BA$8,0)),0)</f>
        <v>2</v>
      </c>
      <c r="BJ16" s="192">
        <f>BH16-BI16</f>
        <v>-2</v>
      </c>
      <c r="BK16" s="192">
        <f>IFERROR(INDEX('[1]SALES PERTYPE'!$W$10:$W$52,MATCH($C16,'[1]SALES PERTYPE'!$B$10:$B$52,0)),0)</f>
        <v>0</v>
      </c>
      <c r="BL16" s="192" cm="1">
        <f t="array" ref="BL16">IFERROR(INDEX('[1]Sales per type juli'!$D$10:$BA$51,MATCH($C16,'[1]Sales per type juli'!$B$10:$B$51,0),MATCH("Y31d",'[1]Sales per type juli'!$D$8:$BA$8,0)+1),0)</f>
        <v>7198000</v>
      </c>
      <c r="BM16" s="192">
        <f>BK16-BL16</f>
        <v>-7198000</v>
      </c>
      <c r="BN16" s="192">
        <f>IFERROR(INDEX('[1]SALES PERTYPE'!$X$10:$X$52,MATCH($C16,'[1]SALES PERTYPE'!$B$10:$B$52,0)),0)</f>
        <v>2</v>
      </c>
      <c r="BO16" s="192">
        <f>IFERROR(INDEX('[1]Sales per type juli'!$D$10:$BA$51,MATCH($C16,'[1]Sales per type juli'!$B$10:$B$51,0),MATCH("Y500",'[1]Sales per type juli'!$D$8:$BA$8,0)),0)</f>
        <v>1</v>
      </c>
      <c r="BP16" s="192">
        <f>BN16-BO16</f>
        <v>1</v>
      </c>
      <c r="BQ16" s="192">
        <f>IFERROR(INDEX('[1]SALES PERTYPE'!$Y$10:$Y$52,MATCH($C16,'[1]SALES PERTYPE'!$B$10:$B$52,0)),0)</f>
        <v>11798000</v>
      </c>
      <c r="BR16" s="192" cm="1">
        <f t="array" ref="BR16">IFERROR(INDEX('[1]Sales per type juli'!$D$10:$BA$51,MATCH($C16,'[1]Sales per type juli'!$B$10:$B$51,0),MATCH("Y500",'[1]Sales per type juli'!$D$8:$BA$8,0)+1),0)</f>
        <v>6299000</v>
      </c>
      <c r="BS16" s="192">
        <f>BQ16-BR16</f>
        <v>5499000</v>
      </c>
      <c r="BT16" s="192">
        <f>IFERROR(INDEX('[1]SALES PERTYPE'!$Z$10:$Z$52,MATCH($C16,'[1]SALES PERTYPE'!$B$10:$B$52,0)),0)</f>
        <v>0</v>
      </c>
      <c r="BU16" s="192">
        <f>IFERROR(INDEX('[1]Sales per type juli'!$D$10:$BA$51,MATCH($C16,'[1]Sales per type juli'!$B$10:$B$51,0),MATCH("IQOO 15R",'[1]Sales per type juli'!$D$8:$BA$8,0)),0)</f>
        <v>0</v>
      </c>
      <c r="BV16" s="192">
        <f>BT16-BU16</f>
        <v>0</v>
      </c>
      <c r="BW16" s="192">
        <f>IFERROR(INDEX('[1]SALES PERTYPE'!$AA$10:$AA$52,MATCH($C16,'[1]SALES PERTYPE'!$B$10:$B$52,0)),0)</f>
        <v>0</v>
      </c>
      <c r="BX16" s="192" cm="1">
        <f t="array" ref="BX16">IFERROR(INDEX('[1]Sales per type juli'!$D$10:$BA$51,MATCH($C16,'[1]Sales per type juli'!$B$10:$B$51,0),MATCH("IQOO 15R",'[1]Sales per type juli'!$D$8:$BA$8,0)+1),0)</f>
        <v>0</v>
      </c>
      <c r="BY16" s="192">
        <f>BW16-BX16</f>
        <v>0</v>
      </c>
      <c r="BZ16" s="192">
        <f>IFERROR(INDEX('[1]SALES PERTYPE'!$AB$10:$AB$52,MATCH($C16,'[1]SALES PERTYPE'!$B$10:$B$52,0)),0)</f>
        <v>2</v>
      </c>
      <c r="CA16" s="192">
        <f>IFERROR(INDEX('[1]Sales per type juli'!$D$10:$BA$51,MATCH($C16,'[1]Sales per type juli'!$B$10:$B$51,0),MATCH("V60 Lite",'[1]Sales per type juli'!$D$8:$BA$8,0)),0)</f>
        <v>0</v>
      </c>
      <c r="CB16" s="192">
        <f>BZ16-CA16</f>
        <v>2</v>
      </c>
      <c r="CC16" s="192">
        <f>IFERROR(INDEX('[1]SALES PERTYPE'!$AC$10:$AC$52,MATCH($C16,'[1]SALES PERTYPE'!$B$10:$B$52,0)),0)</f>
        <v>11998000</v>
      </c>
      <c r="CD16" s="192" cm="1">
        <f t="array" ref="CD16">IFERROR(INDEX('[1]Sales per type juli'!$D$10:$BA$51,MATCH($C16,'[1]Sales per type juli'!$B$10:$B$51,0),MATCH("V60 Lite",'[1]Sales per type juli'!$D$8:$BA$8,0)+1),0)</f>
        <v>0</v>
      </c>
      <c r="CE16" s="192">
        <f>CC16-CD16</f>
        <v>11998000</v>
      </c>
      <c r="CF16" s="192">
        <f>IFERROR(INDEX('[1]SALES PERTYPE'!$AD$10:$AD$52,MATCH($C16,'[1]SALES PERTYPE'!$B$10:$B$52,0)),0)</f>
        <v>0</v>
      </c>
      <c r="CG16" s="192">
        <f>IFERROR(INDEX('[1]Sales per type juli'!$D$10:$BA$51,MATCH($C16,'[1]Sales per type juli'!$B$10:$B$51,0),MATCH("X300 Ultra",'[1]Sales per type juli'!$D$8:$BA$8,0)),0)</f>
        <v>0</v>
      </c>
      <c r="CH16" s="192">
        <f>CF16-CG16</f>
        <v>0</v>
      </c>
      <c r="CI16" s="192">
        <f>IFERROR(INDEX('[1]SALES PERTYPE'!$AE$10:$AE$52,MATCH($C16,'[1]SALES PERTYPE'!$B$10:$B$52,0)),0)</f>
        <v>0</v>
      </c>
      <c r="CJ16" s="192" cm="1">
        <f t="array" ref="CJ16">IFERROR(INDEX('[1]Sales per type juli'!$D$10:$BA$51,MATCH($C16,'[1]Sales per type juli'!$B$10:$B$51,0),MATCH("X300 Ultra",'[1]Sales per type juli'!$D$8:$BA$8,0)+1),0)</f>
        <v>0</v>
      </c>
      <c r="CK16" s="192">
        <f>CI16-CJ16</f>
        <v>0</v>
      </c>
      <c r="CL16" s="192">
        <f>IFERROR(INDEX('[1]SALES PERTYPE'!$AF$10:$AF$52,MATCH($C16,'[1]SALES PERTYPE'!$B$10:$B$52,0)),0)</f>
        <v>0</v>
      </c>
      <c r="CM16" s="192">
        <f>IFERROR(INDEX('[1]Sales per type juli'!$D$10:$BA$51,MATCH($C16,'[1]Sales per type juli'!$B$10:$B$51,0),MATCH("IQOO 15",'[1]Sales per type juli'!$D$8:$BA$8,0)),0)</f>
        <v>1</v>
      </c>
      <c r="CN16" s="192">
        <f>CL16-CM16</f>
        <v>-1</v>
      </c>
      <c r="CO16" s="192">
        <f>IFERROR(INDEX('[1]SALES PERTYPE'!$AG$10:$AG$52,MATCH($C16,'[1]SALES PERTYPE'!$B$10:$B$52,0)),0)</f>
        <v>0</v>
      </c>
      <c r="CP16" s="192" cm="1">
        <f t="array" ref="CP16">IFERROR(INDEX('[1]Sales per type juli'!$D$10:$BA$51,MATCH($C16,'[1]Sales per type juli'!$B$10:$B$51,0),MATCH("IQOO 15",'[1]Sales per type juli'!$D$8:$BA$8,0)+1),0)</f>
        <v>15999000</v>
      </c>
      <c r="CQ16" s="192">
        <f>CO16-CP16</f>
        <v>-15999000</v>
      </c>
      <c r="CR16" s="192">
        <f>IFERROR(INDEX('[1]SALES PERTYPE'!$AH$10:$AH$52,MATCH($C16,'[1]SALES PERTYPE'!$B$10:$B$52,0)),0)</f>
        <v>1</v>
      </c>
      <c r="CS16" s="192">
        <f>IFERROR(INDEX('[1]Sales per type juli'!$D$10:$BA$51,MATCH($C16,'[1]Sales per type juli'!$B$10:$B$51,0),MATCH("IQOO Z11x",'[1]Sales per type juli'!$D$8:$BA$8,0)),0)</f>
        <v>1</v>
      </c>
      <c r="CT16" s="192">
        <f>CR16-CS16</f>
        <v>0</v>
      </c>
      <c r="CU16" s="192">
        <f>IFERROR(INDEX('[1]SALES PERTYPE'!$AI$10:$AI$52,MATCH($C16,'[1]SALES PERTYPE'!$B$10:$B$52,0)),0)</f>
        <v>5699000</v>
      </c>
      <c r="CV16" s="192" cm="1">
        <f t="array" ref="CV16">IFERROR(INDEX('[1]Sales per type juli'!$D$10:$BA$51,MATCH($C16,'[1]Sales per type juli'!$B$10:$B$51,0),MATCH("IQOO Z11x",'[1]Sales per type juli'!$D$8:$BA$8,0)+1),0)</f>
        <v>4799000</v>
      </c>
      <c r="CW16" s="192">
        <f>CU16-CV16</f>
        <v>900000</v>
      </c>
      <c r="CX16" s="192">
        <f>IFERROR(INDEX('[1]SALES PERTYPE'!$AJ$10:$AJ$52,MATCH($C16,'[1]SALES PERTYPE'!$B$10:$B$52,0)),0)</f>
        <v>1</v>
      </c>
      <c r="CY16" s="192">
        <f>IFERROR(INDEX('[1]Sales per type juli'!$D$10:$BA$51,MATCH($C16,'[1]Sales per type juli'!$B$10:$B$51,0),MATCH("IQOO Z11",'[1]Sales per type juli'!$D$8:$BA$8,0)),0)</f>
        <v>0</v>
      </c>
      <c r="CZ16" s="192">
        <f>CX16-CY16</f>
        <v>1</v>
      </c>
      <c r="DA16" s="192">
        <f>IFERROR(INDEX('[1]SALES PERTYPE'!$AK$10:$AK$52,MATCH($C16,'[1]SALES PERTYPE'!$B$10:$B$52,0)),0)</f>
        <v>8399000</v>
      </c>
      <c r="DB16" s="192" cm="1">
        <f t="array" ref="DB16">IFERROR(INDEX('[1]Sales per type juli'!$D$10:$BA$51,MATCH($C16,'[1]Sales per type juli'!$B$10:$B$51,0),MATCH("IQOO Z11",'[1]Sales per type juli'!$D$8:$BA$8,0)+1),0)</f>
        <v>0</v>
      </c>
      <c r="DC16" s="192">
        <f>DA16-DB16</f>
        <v>8399000</v>
      </c>
      <c r="DD16" s="192">
        <v>0</v>
      </c>
      <c r="DE16" s="192">
        <f>IFERROR(INDEX('[1]Sales per type juli'!$D$10:$BA$51,MATCH($C16,'[1]Sales per type juli'!$B$10:$B$51,0),MATCH("WATCH 3",'[1]Sales per type juli'!$D$8:$BA$8,0)),0)</f>
        <v>0</v>
      </c>
      <c r="DF16" s="192">
        <f>DD16-DE16</f>
        <v>0</v>
      </c>
      <c r="DG16" s="192">
        <v>0</v>
      </c>
      <c r="DH16" s="192" cm="1">
        <f t="array" ref="DH16">IFERROR(INDEX('[1]Sales per type juli'!$D$10:$BA$51,MATCH($C16,'[1]Sales per type juli'!$B$10:$B$51,0),MATCH("WATCH 3",'[1]Sales per type juli'!$D$8:$BA$8,0)+1),0)</f>
        <v>0</v>
      </c>
      <c r="DI16" s="192">
        <f>DG16-DH16</f>
        <v>0</v>
      </c>
      <c r="DJ16" s="192">
        <v>0</v>
      </c>
      <c r="DK16" s="192">
        <f>IFERROR(INDEX('[1]Sales per type juli'!$D$10:$BA$51,MATCH($C16,'[1]Sales per type juli'!$B$10:$B$51,0),MATCH("X300 Demo",'[1]Sales per type juli'!$D$8:$BA$8,0)),0)</f>
        <v>3</v>
      </c>
      <c r="DL16" s="192">
        <f>DJ16-DK16</f>
        <v>-3</v>
      </c>
      <c r="DM16" s="192">
        <v>0</v>
      </c>
      <c r="DN16" s="192" cm="1">
        <f t="array" ref="DN16">IFERROR(INDEX('[1]Sales per type juli'!$D$10:$BA$51,MATCH($C16,'[1]Sales per type juli'!$B$10:$B$51,0),MATCH("X300 Demo",'[1]Sales per type juli'!$D$8:$BA$8,0)+1),0)</f>
        <v>48997000</v>
      </c>
      <c r="DO16" s="192">
        <f>DM16-DN16</f>
        <v>-48997000</v>
      </c>
      <c r="DP16" s="192">
        <v>0</v>
      </c>
      <c r="DQ16" s="192">
        <f>IFERROR(INDEX('[1]Sales per type juli'!$D$10:$BA$51,MATCH($C16,'[1]Sales per type juli'!$B$10:$B$51,0),MATCH("X300 Pro Demo",'[1]Sales per type juli'!$D$8:$BA$8,0)),0)</f>
        <v>1</v>
      </c>
      <c r="DR16" s="192">
        <f>DP16-DQ16</f>
        <v>-1</v>
      </c>
      <c r="DS16" s="192">
        <v>0</v>
      </c>
      <c r="DT16" s="192" cm="1">
        <f t="array" ref="DT16">IFERROR(INDEX('[1]Sales per type juli'!$D$10:$BA$51,MATCH($C16,'[1]Sales per type juli'!$B$10:$B$51,0),MATCH("X300 Pro Demo",'[1]Sales per type juli'!$D$8:$BA$8,0)+1),0)</f>
        <v>18999000</v>
      </c>
      <c r="DU16" s="192">
        <f>DS16-DT16</f>
        <v>-18999000</v>
      </c>
      <c r="DV16" s="192">
        <v>0</v>
      </c>
      <c r="DW16" s="192">
        <f>IFERROR(INDEX('[1]Sales per type juli'!$D$10:$BA$51,MATCH($C16,'[1]Sales per type juli'!$B$10:$B$51,0),MATCH("X Fold5 DEMO",'[1]Sales per type juli'!$D$8:$BA$8,0)),0)</f>
        <v>0</v>
      </c>
      <c r="DX16" s="192">
        <f>DV16-DW16</f>
        <v>0</v>
      </c>
      <c r="DY16" s="192">
        <v>0</v>
      </c>
      <c r="DZ16" s="192" cm="1">
        <f t="array" ref="DZ16">IFERROR(INDEX('[1]Sales per type juli'!$D$10:$BA$51,MATCH($C16,'[1]Sales per type juli'!$B$10:$B$51,0),MATCH("X Fold5 DEMO",'[1]Sales per type juli'!$D$8:$BA$8,0)+1),0)</f>
        <v>0</v>
      </c>
      <c r="EA16" s="192">
        <f>DY16-DZ16</f>
        <v>0</v>
      </c>
      <c r="EB16" s="192">
        <v>0</v>
      </c>
      <c r="EC16" s="192">
        <f>IFERROR(INDEX('[1]Sales per type juli'!$D$10:$BA$51,MATCH($C16,'[1]Sales per type juli'!$B$10:$B$51,0),MATCH("X Fold5",'[1]Sales per type juli'!$D$8:$BA$8,0)),0)</f>
        <v>0</v>
      </c>
      <c r="ED16" s="192">
        <f>EB16-EC16</f>
        <v>0</v>
      </c>
      <c r="EE16" s="192">
        <v>0</v>
      </c>
      <c r="EF16" s="192" cm="1">
        <f t="array" ref="EF16">IFERROR(INDEX('[1]Sales per type juli'!$D$10:$BA$51,MATCH($C16,'[1]Sales per type juli'!$B$10:$B$51,0),MATCH("X Fold5",'[1]Sales per type juli'!$D$8:$BA$8,0)+1),0)</f>
        <v>0</v>
      </c>
      <c r="EG16" s="192">
        <f>EE16-EF16</f>
        <v>0</v>
      </c>
      <c r="EH16" s="192">
        <v>0</v>
      </c>
      <c r="EI16" s="192">
        <f>IFERROR(INDEX('[1]Sales per type juli'!$D$10:$BA$51,MATCH($C16,'[1]Sales per type juli'!$B$10:$B$51,0),MATCH("IQOO 15 Demo",'[1]Sales per type juli'!$D$8:$BA$8,0)),0)</f>
        <v>2</v>
      </c>
      <c r="EJ16" s="192">
        <f>EH16-EI16</f>
        <v>-2</v>
      </c>
      <c r="EK16" s="192">
        <v>0</v>
      </c>
      <c r="EL16" s="192" cm="1">
        <f t="array" ref="EL16">IFERROR(INDEX('[1]Sales per type juli'!$D$10:$BA$51,MATCH($C16,'[1]Sales per type juli'!$B$10:$B$51,0),MATCH("IQOO 15 Demo",'[1]Sales per type juli'!$D$8:$BA$8,0)+1),0)</f>
        <v>27998000</v>
      </c>
      <c r="EM16" s="192">
        <f>EK16-EL16</f>
        <v>-27998000</v>
      </c>
      <c r="EN16" s="192">
        <v>0</v>
      </c>
      <c r="EO16" s="192">
        <f>IFERROR(INDEX('[1]Sales per type juli'!$D$10:$BA$51,MATCH($C16,'[1]Sales per type juli'!$B$10:$B$51,0),MATCH("X300 PRO",'[1]Sales per type juli'!$D$8:$BA$8,0)),0)</f>
        <v>0</v>
      </c>
      <c r="EP16" s="192">
        <f>EN16-EO16</f>
        <v>0</v>
      </c>
      <c r="EQ16" s="192">
        <v>0</v>
      </c>
      <c r="ER16" s="192" cm="1">
        <f t="array" ref="ER16">IFERROR(INDEX('[1]Sales per type juli'!$D$10:$BA$51,MATCH($C16,'[1]Sales per type juli'!$B$10:$B$51,0),MATCH("X300 PRO",'[1]Sales per type juli'!$D$8:$BA$8,0)+1),0)</f>
        <v>0</v>
      </c>
      <c r="ES16" s="192">
        <f>EQ16-ER16</f>
        <v>0</v>
      </c>
      <c r="ET16" s="192">
        <v>0</v>
      </c>
      <c r="EU16" s="192">
        <f>IFERROR(INDEX('[1]Sales per type juli'!$D$10:$BA$51,MATCH($C16,'[1]Sales per type juli'!$B$10:$B$51,0),MATCH("X300 ",'[1]Sales per type juli'!$D$8:$BA$8,0)),0)</f>
        <v>0</v>
      </c>
      <c r="EV16" s="192">
        <f>ET16-EU16</f>
        <v>0</v>
      </c>
      <c r="EW16" s="192">
        <v>0</v>
      </c>
      <c r="EX16" s="192" cm="1">
        <f t="array" ref="EX16">IFERROR(INDEX('[1]Sales per type juli'!$D$10:$BA$51,MATCH($C16,'[1]Sales per type juli'!$B$10:$B$51,0),MATCH("X300 ",'[1]Sales per type juli'!$D$8:$BA$8,0)+1),0)</f>
        <v>0</v>
      </c>
      <c r="EY16" s="192">
        <f>EW16-EX16</f>
        <v>0</v>
      </c>
      <c r="EZ16" s="192">
        <f>F16+L16+R16+X16+AD16+AJ16+AP16+AV16+BB16+BH16+BN16+BT16+BZ16+CF16+CL16+CR16+CX16+DD16+DJ16+DP16+DV16+EB16+EH16+EN16+ET16</f>
        <v>19</v>
      </c>
      <c r="FA16" s="192">
        <f>G16+M16+S16+Y16+AE16+AK16+AQ16+AW16+BC16+BI16+BO16+BU16+CA16+CG16+CM16+CS16+CY16+DE16+DK16+DQ16+DW16+EC16+EI16+EO16+EU16</f>
        <v>30</v>
      </c>
      <c r="FB16" s="192">
        <f>EZ16-FA16</f>
        <v>-11</v>
      </c>
      <c r="FC16" s="192">
        <f>I16+O16+U16+AA16+AG16+AM16+AS16+AY16+BE16+BK16+BQ16+BW16+CC16+CI16+CO16+CU16+DA16+DG16+DM16+DS16+DY16+EE16+EK16+EQ16+EW16</f>
        <v>94881000</v>
      </c>
      <c r="FD16" s="192">
        <f>J16+P16+V16+AB16+AH16+AN16+AT16+AZ16+BF16+BL16+BR16+BX16+CD16+CJ16+CP16+CV16+DB16+DH16+DN16+DT16+DZ16+EF16+EL16+ER16+EX16</f>
        <v>215470000</v>
      </c>
      <c r="FE16" s="192">
        <f>FC16-FD16</f>
        <v>-120589000</v>
      </c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</row>
    <row r="17" spans="1:208" ht="16" x14ac:dyDescent="0.2">
      <c r="A17" s="137">
        <f>'[1]ACHIEVEMENT STORE'!A17</f>
        <v>13</v>
      </c>
      <c r="B17" s="138" t="str">
        <f>'[1]ACHIEVEMENT STORE'!B17</f>
        <v>604 雅加达东南 JKT TS</v>
      </c>
      <c r="C17" s="137">
        <f>'[1]ACHIEVEMENT STORE'!C17</f>
        <v>6040702</v>
      </c>
      <c r="D17" s="138" t="str">
        <f>'[1]ACHIEVEMENT STORE'!D17</f>
        <v>6040702-TRAN STUDIO MALL 2F059</v>
      </c>
      <c r="E17" s="138" t="str">
        <f>'[1]ACHIEVEMENT STORE'!E17</f>
        <v>Erlangga Pradita</v>
      </c>
      <c r="F17" s="192">
        <f>IFERROR(INDEX('[1]SALES PERTYPE'!$D$10:$D$52,MATCH($C17,'[1]SALES PERTYPE'!$B$10:$B$52,0)),0)</f>
        <v>2</v>
      </c>
      <c r="G17" s="192">
        <f>IFERROR(INDEX('[1]Sales per type juli'!$D$10:$BA$51,MATCH($C17,'[1]Sales per type juli'!$B$10:$B$51,0),MATCH("Y05",'[1]Sales per type juli'!$D$8:$BA$8,0)),0)</f>
        <v>2</v>
      </c>
      <c r="H17" s="192">
        <f>F17-G17</f>
        <v>0</v>
      </c>
      <c r="I17" s="192">
        <f>IFERROR(INDEX('[1]SALES PERTYPE'!$E$10:$E$52,MATCH($C17,'[1]SALES PERTYPE'!$B$10:$B$52,0)),0)</f>
        <v>5198000</v>
      </c>
      <c r="J17" s="192" cm="1">
        <f t="array" ref="J17">IFERROR(INDEX('[1]Sales per type juli'!$D$10:$BA$51,MATCH($C17,'[1]Sales per type juli'!$B$10:$B$51,0),MATCH("Y05",'[1]Sales per type juli'!$D$8:$BA$8,0)+1),0)</f>
        <v>4498000</v>
      </c>
      <c r="K17" s="192">
        <f>I17-J17</f>
        <v>700000</v>
      </c>
      <c r="L17" s="192">
        <f>IFERROR(INDEX('[1]SALES PERTYPE'!$F$10:$F$52,MATCH($C17,'[1]SALES PERTYPE'!$B$10:$B$52,0)),0)</f>
        <v>0</v>
      </c>
      <c r="M17" s="192">
        <f>IFERROR(INDEX('[1]Sales per type juli'!$D$10:$BA$51,MATCH($C17,'[1]Sales per type juli'!$B$10:$B$51,0),MATCH("Y11d",'[1]Sales per type juli'!$D$8:$BA$8,0)),0)</f>
        <v>3</v>
      </c>
      <c r="N17" s="192">
        <f>L17-M17</f>
        <v>-3</v>
      </c>
      <c r="O17" s="192">
        <f>IFERROR(INDEX('[1]SALES PERTYPE'!$G$10:$G$52,MATCH($C17,'[1]SALES PERTYPE'!$B$10:$B$52,0)),0)</f>
        <v>0</v>
      </c>
      <c r="P17" s="192" cm="1">
        <f t="array" ref="P17">IFERROR(INDEX('[1]Sales per type juli'!$D$10:$BA$51,MATCH($C17,'[1]Sales per type juli'!$B$10:$B$51,0),MATCH("Y11d",'[1]Sales per type juli'!$D$8:$BA$8,0)+1),0)</f>
        <v>7597000</v>
      </c>
      <c r="Q17" s="192">
        <f>O17-P17</f>
        <v>-7597000</v>
      </c>
      <c r="R17" s="192">
        <f>IFERROR(INDEX('[1]SALES PERTYPE'!$H$10:$H$52,MATCH($C17,'[1]SALES PERTYPE'!$B$10:$B$52,0)),0)</f>
        <v>0</v>
      </c>
      <c r="S17" s="192">
        <f>IFERROR(INDEX('[1]Sales per type juli'!$D$10:$BA$51,MATCH($C17,'[1]Sales per type juli'!$B$10:$B$51,0),MATCH("Watch GT 2",'[1]Sales per type juli'!$D$8:$BA$8,0)),0)</f>
        <v>0</v>
      </c>
      <c r="T17" s="192">
        <f>R17-S17</f>
        <v>0</v>
      </c>
      <c r="U17" s="192">
        <f>IFERROR(INDEX('[1]SALES PERTYPE'!$I$10:$I$52,MATCH($C17,'[1]SALES PERTYPE'!$B$10:$B$52,0)),0)</f>
        <v>0</v>
      </c>
      <c r="V17" s="192" cm="1">
        <f t="array" ref="V17">IFERROR(INDEX('[1]Sales per type juli'!$D$10:$BA$51,MATCH($C17,'[1]Sales per type juli'!$B$10:$B$51,0),MATCH("Watch GT 2",'[1]Sales per type juli'!$D$8:$BA$8,0)+1),0)</f>
        <v>0</v>
      </c>
      <c r="W17" s="192">
        <f>U17-V17</f>
        <v>0</v>
      </c>
      <c r="X17" s="192">
        <f>IFERROR(INDEX('[1]SALES PERTYPE'!$J$10:$J$52,MATCH($C17,'[1]SALES PERTYPE'!$B$10:$B$52,0)),0)</f>
        <v>3</v>
      </c>
      <c r="Y17" s="192">
        <f>IFERROR(INDEX('[1]Sales per type juli'!$D$10:$BA$51,MATCH($C17,'[1]Sales per type juli'!$B$10:$B$51,0),MATCH("Y05e",'[1]Sales per type juli'!$D$8:$BA$8,0)),0)</f>
        <v>0</v>
      </c>
      <c r="Z17" s="192">
        <f>X17-Y17</f>
        <v>3</v>
      </c>
      <c r="AA17" s="192">
        <f>IFERROR(INDEX('[1]SALES PERTYPE'!$K$10:$K$52,MATCH($C17,'[1]SALES PERTYPE'!$B$10:$B$52,0)),0)</f>
        <v>6297000</v>
      </c>
      <c r="AB17" s="192" cm="1">
        <f t="array" ref="AB17">IFERROR(INDEX('[1]Sales per type juli'!$D$10:$BA$51,MATCH($C17,'[1]Sales per type juli'!$B$10:$B$51,0),MATCH("Y05e",'[1]Sales per type juli'!$D$8:$BA$8,0)+1),0)</f>
        <v>0</v>
      </c>
      <c r="AC17" s="192">
        <f>AA17-AB17</f>
        <v>6297000</v>
      </c>
      <c r="AD17" s="192">
        <f>IFERROR(INDEX('[1]SALES PERTYPE'!$L$10:$L$52,MATCH($C17,'[1]SALES PERTYPE'!$B$10:$B$52,0)),0)</f>
        <v>1</v>
      </c>
      <c r="AE17" s="192">
        <f>IFERROR(INDEX('[1]Sales per type juli'!$D$10:$BA$51,MATCH($C17,'[1]Sales per type juli'!$B$10:$B$51,0),MATCH("V70",'[1]Sales per type juli'!$D$8:$BA$8,0)),0)</f>
        <v>3</v>
      </c>
      <c r="AF17" s="192">
        <f>AD17-AE17</f>
        <v>-2</v>
      </c>
      <c r="AG17" s="192">
        <f>IFERROR(INDEX('[1]SALES PERTYPE'!$M$10:$M$52,MATCH($C17,'[1]SALES PERTYPE'!$B$10:$B$52,0)),0)</f>
        <v>10999000</v>
      </c>
      <c r="AH17" s="192" cm="1">
        <f t="array" ref="AH17">IFERROR(INDEX('[1]Sales per type juli'!$D$10:$BA$51,MATCH($C17,'[1]Sales per type juli'!$B$10:$B$51,0),MATCH("V70",'[1]Sales per type juli'!$D$8:$BA$8,0)+1),0)</f>
        <v>28997000</v>
      </c>
      <c r="AI17" s="192">
        <f>AG17-AH17</f>
        <v>-17998000</v>
      </c>
      <c r="AJ17" s="192">
        <f>IFERROR(INDEX('[1]SALES PERTYPE'!$N$10:$N$52,MATCH($C17,'[1]SALES PERTYPE'!$B$10:$B$52,0)),0)</f>
        <v>0</v>
      </c>
      <c r="AK17" s="192">
        <f>IFERROR(INDEX('[1]Sales per type juli'!$D$10:$BA$51,MATCH($C17,'[1]Sales per type juli'!$B$10:$B$51,0),MATCH("Y31d Pro",'[1]Sales per type juli'!$D$8:$BA$8,0)),0)</f>
        <v>0</v>
      </c>
      <c r="AL17" s="192">
        <f>AJ17-AK17</f>
        <v>0</v>
      </c>
      <c r="AM17" s="192">
        <f>IFERROR(INDEX('[1]SALES PERTYPE'!$O$10:$O$52,MATCH($C17,'[1]SALES PERTYPE'!$B$10:$B$52,0)),0)</f>
        <v>0</v>
      </c>
      <c r="AN17" s="192" cm="1">
        <f t="array" ref="AN17">IFERROR(INDEX('[1]Sales per type juli'!$D$10:$BA$51,MATCH($C17,'[1]Sales per type juli'!$B$10:$B$51,0),MATCH("Y31d Pro",'[1]Sales per type juli'!$D$8:$BA$8,0)+1),0)</f>
        <v>0</v>
      </c>
      <c r="AO17" s="192">
        <f>AM17-AN17</f>
        <v>0</v>
      </c>
      <c r="AP17" s="192">
        <f>IFERROR(INDEX('[1]SALES PERTYPE'!$P$10:$P$52,MATCH($C17,'[1]SALES PERTYPE'!$B$10:$B$52,0)),0)</f>
        <v>0</v>
      </c>
      <c r="AQ17" s="192" cm="1">
        <f t="array" ref="AQ17">IFERROR(INDEX('[1]Sales per type juli'!$D$10:$BA$51,MATCH($C17,'[1]Sales per type juli'!$B$10:$B$51,0),$FG$2),0)</f>
        <v>0</v>
      </c>
      <c r="AR17" s="192">
        <f>AP17-AQ17</f>
        <v>0</v>
      </c>
      <c r="AS17" s="192">
        <f>IFERROR(INDEX('[1]SALES PERTYPE'!$Q$10:$Q$52,MATCH($C17,'[1]SALES PERTYPE'!$B$10:$B$52,0)),0)</f>
        <v>0</v>
      </c>
      <c r="AT17" s="192" cm="1">
        <f t="array" ref="AT17">IFERROR(INDEX('[1]Sales per type juli'!$D$10:$BA$51,MATCH($C17,'[1]Sales per type juli'!$B$10:$B$51,0),$FG$2+1),0)</f>
        <v>0</v>
      </c>
      <c r="AU17" s="192">
        <f>AS17-AT17</f>
        <v>0</v>
      </c>
      <c r="AV17" s="192">
        <f>IFERROR(INDEX('[1]SALES PERTYPE'!$R$10:$R$52,MATCH($C17,'[1]SALES PERTYPE'!$B$10:$B$52,0)),0)</f>
        <v>0</v>
      </c>
      <c r="AW17" s="192">
        <f>IFERROR(INDEX('[1]Sales per type juli'!$D$10:$BA$51,MATCH($C17,'[1]Sales per type juli'!$B$10:$B$51,0),MATCH("Y31d ",'[1]Sales per type juli'!$D$8:$BA$8,0)),0)</f>
        <v>0</v>
      </c>
      <c r="AX17" s="192">
        <f>AV17-AW17</f>
        <v>0</v>
      </c>
      <c r="AY17" s="192">
        <f>IFERROR(INDEX('[1]SALES PERTYPE'!$S$10:$S$52,MATCH($C17,'[1]SALES PERTYPE'!$B$10:$B$52,0)),0)</f>
        <v>0</v>
      </c>
      <c r="AZ17" s="192" cm="1">
        <f t="array" ref="AZ17">IFERROR(INDEX('[1]Sales per type juli'!$D$10:$BA$51,MATCH($C17,'[1]Sales per type juli'!$B$10:$B$51,0),MATCH("Y31d ",'[1]Sales per type juli'!$D$8:$BA$8,0)+1),0)</f>
        <v>0</v>
      </c>
      <c r="BA17" s="192">
        <f>AY17-AZ17</f>
        <v>0</v>
      </c>
      <c r="BB17" s="192">
        <f>IFERROR(INDEX('[1]SALES PERTYPE'!$T$10:$T$52,MATCH($C17,'[1]SALES PERTYPE'!$B$10:$B$52,0)),0)</f>
        <v>1</v>
      </c>
      <c r="BC17" s="192">
        <f>IFERROR(INDEX('[1]Sales per type juli'!$D$10:$BA$51,MATCH($C17,'[1]Sales per type juli'!$B$10:$B$51,0),MATCH("V70 FE",'[1]Sales per type juli'!$D$8:$BA$8,0)),0)</f>
        <v>0</v>
      </c>
      <c r="BD17" s="192">
        <f>BB17-BC17</f>
        <v>1</v>
      </c>
      <c r="BE17" s="192">
        <f>IFERROR(INDEX('[1]SALES PERTYPE'!$U$10:$U$52,MATCH($C17,'[1]SALES PERTYPE'!$B$10:$B$52,0)),0)</f>
        <v>6499000</v>
      </c>
      <c r="BF17" s="192" cm="1">
        <f t="array" ref="BF17">IFERROR(INDEX('[1]Sales per type juli'!$D$10:$BA$51,MATCH($C17,'[1]Sales per type juli'!$B$10:$B$51,0),MATCH("V70 FE",'[1]Sales per type juli'!$D$8:$BA$8,0)+1),0)</f>
        <v>0</v>
      </c>
      <c r="BG17" s="192">
        <f>BE17-BF17</f>
        <v>6499000</v>
      </c>
      <c r="BH17" s="192">
        <f>IFERROR(INDEX('[1]SALES PERTYPE'!$V$10:$V$52,MATCH($C17,'[1]SALES PERTYPE'!$B$10:$B$52,0)),0)</f>
        <v>1</v>
      </c>
      <c r="BI17" s="192">
        <f>IFERROR(INDEX('[1]Sales per type juli'!$D$10:$BA$51,MATCH($C17,'[1]Sales per type juli'!$B$10:$B$51,0),MATCH("Y31d",'[1]Sales per type juli'!$D$8:$BA$8,0)),0)</f>
        <v>0</v>
      </c>
      <c r="BJ17" s="192">
        <f>BH17-BI17</f>
        <v>1</v>
      </c>
      <c r="BK17" s="192">
        <f>IFERROR(INDEX('[1]SALES PERTYPE'!$W$10:$W$52,MATCH($C17,'[1]SALES PERTYPE'!$B$10:$B$52,0)),0)</f>
        <v>3599000</v>
      </c>
      <c r="BL17" s="192" cm="1">
        <f t="array" ref="BL17">IFERROR(INDEX('[1]Sales per type juli'!$D$10:$BA$51,MATCH($C17,'[1]Sales per type juli'!$B$10:$B$51,0),MATCH("Y31d",'[1]Sales per type juli'!$D$8:$BA$8,0)+1),0)</f>
        <v>0</v>
      </c>
      <c r="BM17" s="192">
        <f>BK17-BL17</f>
        <v>3599000</v>
      </c>
      <c r="BN17" s="192">
        <f>IFERROR(INDEX('[1]SALES PERTYPE'!$X$10:$X$52,MATCH($C17,'[1]SALES PERTYPE'!$B$10:$B$52,0)),0)</f>
        <v>2</v>
      </c>
      <c r="BO17" s="192">
        <f>IFERROR(INDEX('[1]Sales per type juli'!$D$10:$BA$51,MATCH($C17,'[1]Sales per type juli'!$B$10:$B$51,0),MATCH("Y500",'[1]Sales per type juli'!$D$8:$BA$8,0)),0)</f>
        <v>0</v>
      </c>
      <c r="BP17" s="192">
        <f>BN17-BO17</f>
        <v>2</v>
      </c>
      <c r="BQ17" s="192">
        <f>IFERROR(INDEX('[1]SALES PERTYPE'!$Y$10:$Y$52,MATCH($C17,'[1]SALES PERTYPE'!$B$10:$B$52,0)),0)</f>
        <v>11798000</v>
      </c>
      <c r="BR17" s="192" cm="1">
        <f t="array" ref="BR17">IFERROR(INDEX('[1]Sales per type juli'!$D$10:$BA$51,MATCH($C17,'[1]Sales per type juli'!$B$10:$B$51,0),MATCH("Y500",'[1]Sales per type juli'!$D$8:$BA$8,0)+1),0)</f>
        <v>0</v>
      </c>
      <c r="BS17" s="192">
        <f>BQ17-BR17</f>
        <v>11798000</v>
      </c>
      <c r="BT17" s="192">
        <f>IFERROR(INDEX('[1]SALES PERTYPE'!$Z$10:$Z$52,MATCH($C17,'[1]SALES PERTYPE'!$B$10:$B$52,0)),0)</f>
        <v>0</v>
      </c>
      <c r="BU17" s="192">
        <f>IFERROR(INDEX('[1]Sales per type juli'!$D$10:$BA$51,MATCH($C17,'[1]Sales per type juli'!$B$10:$B$51,0),MATCH("IQOO 15R",'[1]Sales per type juli'!$D$8:$BA$8,0)),0)</f>
        <v>1</v>
      </c>
      <c r="BV17" s="192">
        <f>BT17-BU17</f>
        <v>-1</v>
      </c>
      <c r="BW17" s="192">
        <f>IFERROR(INDEX('[1]SALES PERTYPE'!$AA$10:$AA$52,MATCH($C17,'[1]SALES PERTYPE'!$B$10:$B$52,0)),0)</f>
        <v>0</v>
      </c>
      <c r="BX17" s="192" cm="1">
        <f t="array" ref="BX17">IFERROR(INDEX('[1]Sales per type juli'!$D$10:$BA$51,MATCH($C17,'[1]Sales per type juli'!$B$10:$B$51,0),MATCH("IQOO 15R",'[1]Sales per type juli'!$D$8:$BA$8,0)+1),0)</f>
        <v>9899000</v>
      </c>
      <c r="BY17" s="192">
        <f>BW17-BX17</f>
        <v>-9899000</v>
      </c>
      <c r="BZ17" s="192">
        <f>IFERROR(INDEX('[1]SALES PERTYPE'!$AB$10:$AB$52,MATCH($C17,'[1]SALES PERTYPE'!$B$10:$B$52,0)),0)</f>
        <v>0</v>
      </c>
      <c r="CA17" s="192">
        <f>IFERROR(INDEX('[1]Sales per type juli'!$D$10:$BA$51,MATCH($C17,'[1]Sales per type juli'!$B$10:$B$51,0),MATCH("V60 Lite",'[1]Sales per type juli'!$D$8:$BA$8,0)),0)</f>
        <v>1</v>
      </c>
      <c r="CB17" s="192">
        <f>BZ17-CA17</f>
        <v>-1</v>
      </c>
      <c r="CC17" s="192">
        <f>IFERROR(INDEX('[1]SALES PERTYPE'!$AC$10:$AC$52,MATCH($C17,'[1]SALES PERTYPE'!$B$10:$B$52,0)),0)</f>
        <v>0</v>
      </c>
      <c r="CD17" s="192" cm="1">
        <f t="array" ref="CD17">IFERROR(INDEX('[1]Sales per type juli'!$D$10:$BA$51,MATCH($C17,'[1]Sales per type juli'!$B$10:$B$51,0),MATCH("V60 Lite",'[1]Sales per type juli'!$D$8:$BA$8,0)+1),0)</f>
        <v>5299000</v>
      </c>
      <c r="CE17" s="192">
        <f>CC17-CD17</f>
        <v>-5299000</v>
      </c>
      <c r="CF17" s="192">
        <f>IFERROR(INDEX('[1]SALES PERTYPE'!$AD$10:$AD$52,MATCH($C17,'[1]SALES PERTYPE'!$B$10:$B$52,0)),0)</f>
        <v>0</v>
      </c>
      <c r="CG17" s="192">
        <f>IFERROR(INDEX('[1]Sales per type juli'!$D$10:$BA$51,MATCH($C17,'[1]Sales per type juli'!$B$10:$B$51,0),MATCH("X300 Ultra",'[1]Sales per type juli'!$D$8:$BA$8,0)),0)</f>
        <v>0</v>
      </c>
      <c r="CH17" s="192">
        <f>CF17-CG17</f>
        <v>0</v>
      </c>
      <c r="CI17" s="192">
        <f>IFERROR(INDEX('[1]SALES PERTYPE'!$AE$10:$AE$52,MATCH($C17,'[1]SALES PERTYPE'!$B$10:$B$52,0)),0)</f>
        <v>0</v>
      </c>
      <c r="CJ17" s="192" cm="1">
        <f t="array" ref="CJ17">IFERROR(INDEX('[1]Sales per type juli'!$D$10:$BA$51,MATCH($C17,'[1]Sales per type juli'!$B$10:$B$51,0),MATCH("X300 Ultra",'[1]Sales per type juli'!$D$8:$BA$8,0)+1),0)</f>
        <v>0</v>
      </c>
      <c r="CK17" s="192">
        <f>CI17-CJ17</f>
        <v>0</v>
      </c>
      <c r="CL17" s="192">
        <f>IFERROR(INDEX('[1]SALES PERTYPE'!$AF$10:$AF$52,MATCH($C17,'[1]SALES PERTYPE'!$B$10:$B$52,0)),0)</f>
        <v>0</v>
      </c>
      <c r="CM17" s="192">
        <f>IFERROR(INDEX('[1]Sales per type juli'!$D$10:$BA$51,MATCH($C17,'[1]Sales per type juli'!$B$10:$B$51,0),MATCH("IQOO 15",'[1]Sales per type juli'!$D$8:$BA$8,0)),0)</f>
        <v>0</v>
      </c>
      <c r="CN17" s="192">
        <f>CL17-CM17</f>
        <v>0</v>
      </c>
      <c r="CO17" s="192">
        <f>IFERROR(INDEX('[1]SALES PERTYPE'!$AG$10:$AG$52,MATCH($C17,'[1]SALES PERTYPE'!$B$10:$B$52,0)),0)</f>
        <v>0</v>
      </c>
      <c r="CP17" s="192" cm="1">
        <f t="array" ref="CP17">IFERROR(INDEX('[1]Sales per type juli'!$D$10:$BA$51,MATCH($C17,'[1]Sales per type juli'!$B$10:$B$51,0),MATCH("IQOO 15",'[1]Sales per type juli'!$D$8:$BA$8,0)+1),0)</f>
        <v>0</v>
      </c>
      <c r="CQ17" s="192">
        <f>CO17-CP17</f>
        <v>0</v>
      </c>
      <c r="CR17" s="192">
        <f>IFERROR(INDEX('[1]SALES PERTYPE'!$AH$10:$AH$52,MATCH($C17,'[1]SALES PERTYPE'!$B$10:$B$52,0)),0)</f>
        <v>0</v>
      </c>
      <c r="CS17" s="192">
        <f>IFERROR(INDEX('[1]Sales per type juli'!$D$10:$BA$51,MATCH($C17,'[1]Sales per type juli'!$B$10:$B$51,0),MATCH("IQOO Z11x",'[1]Sales per type juli'!$D$8:$BA$8,0)),0)</f>
        <v>0</v>
      </c>
      <c r="CT17" s="192">
        <f>CR17-CS17</f>
        <v>0</v>
      </c>
      <c r="CU17" s="192">
        <f>IFERROR(INDEX('[1]SALES PERTYPE'!$AI$10:$AI$52,MATCH($C17,'[1]SALES PERTYPE'!$B$10:$B$52,0)),0)</f>
        <v>0</v>
      </c>
      <c r="CV17" s="192" cm="1">
        <f t="array" ref="CV17">IFERROR(INDEX('[1]Sales per type juli'!$D$10:$BA$51,MATCH($C17,'[1]Sales per type juli'!$B$10:$B$51,0),MATCH("IQOO Z11x",'[1]Sales per type juli'!$D$8:$BA$8,0)+1),0)</f>
        <v>0</v>
      </c>
      <c r="CW17" s="192">
        <f>CU17-CV17</f>
        <v>0</v>
      </c>
      <c r="CX17" s="192">
        <f>IFERROR(INDEX('[1]SALES PERTYPE'!$AJ$10:$AJ$52,MATCH($C17,'[1]SALES PERTYPE'!$B$10:$B$52,0)),0)</f>
        <v>2</v>
      </c>
      <c r="CY17" s="192">
        <f>IFERROR(INDEX('[1]Sales per type juli'!$D$10:$BA$51,MATCH($C17,'[1]Sales per type juli'!$B$10:$B$51,0),MATCH("IQOO Z11",'[1]Sales per type juli'!$D$8:$BA$8,0)),0)</f>
        <v>2</v>
      </c>
      <c r="CZ17" s="192">
        <f>CX17-CY17</f>
        <v>0</v>
      </c>
      <c r="DA17" s="192">
        <f>IFERROR(INDEX('[1]SALES PERTYPE'!$AK$10:$AK$52,MATCH($C17,'[1]SALES PERTYPE'!$B$10:$B$52,0)),0)</f>
        <v>13798000</v>
      </c>
      <c r="DB17" s="192" cm="1">
        <f t="array" ref="DB17">IFERROR(INDEX('[1]Sales per type juli'!$D$10:$BA$51,MATCH($C17,'[1]Sales per type juli'!$B$10:$B$51,0),MATCH("IQOO Z11",'[1]Sales per type juli'!$D$8:$BA$8,0)+1),0)</f>
        <v>11398000</v>
      </c>
      <c r="DC17" s="192">
        <f>DA17-DB17</f>
        <v>2400000</v>
      </c>
      <c r="DD17" s="192">
        <v>0</v>
      </c>
      <c r="DE17" s="192">
        <f>IFERROR(INDEX('[1]Sales per type juli'!$D$10:$BA$51,MATCH($C17,'[1]Sales per type juli'!$B$10:$B$51,0),MATCH("WATCH 3",'[1]Sales per type juli'!$D$8:$BA$8,0)),0)</f>
        <v>0</v>
      </c>
      <c r="DF17" s="192">
        <f>DD17-DE17</f>
        <v>0</v>
      </c>
      <c r="DG17" s="192">
        <v>0</v>
      </c>
      <c r="DH17" s="192" cm="1">
        <f t="array" ref="DH17">IFERROR(INDEX('[1]Sales per type juli'!$D$10:$BA$51,MATCH($C17,'[1]Sales per type juli'!$B$10:$B$51,0),MATCH("WATCH 3",'[1]Sales per type juli'!$D$8:$BA$8,0)+1),0)</f>
        <v>0</v>
      </c>
      <c r="DI17" s="192">
        <f>DG17-DH17</f>
        <v>0</v>
      </c>
      <c r="DJ17" s="192">
        <v>0</v>
      </c>
      <c r="DK17" s="192">
        <f>IFERROR(INDEX('[1]Sales per type juli'!$D$10:$BA$51,MATCH($C17,'[1]Sales per type juli'!$B$10:$B$51,0),MATCH("X300 Demo",'[1]Sales per type juli'!$D$8:$BA$8,0)),0)</f>
        <v>2</v>
      </c>
      <c r="DL17" s="192">
        <f>DJ17-DK17</f>
        <v>-2</v>
      </c>
      <c r="DM17" s="192">
        <v>0</v>
      </c>
      <c r="DN17" s="192" cm="1">
        <f t="array" ref="DN17">IFERROR(INDEX('[1]Sales per type juli'!$D$10:$BA$51,MATCH($C17,'[1]Sales per type juli'!$B$10:$B$51,0),MATCH("X300 Demo",'[1]Sales per type juli'!$D$8:$BA$8,0)+1),0)</f>
        <v>33998000</v>
      </c>
      <c r="DO17" s="192">
        <f>DM17-DN17</f>
        <v>-33998000</v>
      </c>
      <c r="DP17" s="192">
        <v>0</v>
      </c>
      <c r="DQ17" s="192">
        <f>IFERROR(INDEX('[1]Sales per type juli'!$D$10:$BA$51,MATCH($C17,'[1]Sales per type juli'!$B$10:$B$51,0),MATCH("X300 Pro Demo",'[1]Sales per type juli'!$D$8:$BA$8,0)),0)</f>
        <v>0</v>
      </c>
      <c r="DR17" s="192">
        <f>DP17-DQ17</f>
        <v>0</v>
      </c>
      <c r="DS17" s="192">
        <v>0</v>
      </c>
      <c r="DT17" s="192" cm="1">
        <f t="array" ref="DT17">IFERROR(INDEX('[1]Sales per type juli'!$D$10:$BA$51,MATCH($C17,'[1]Sales per type juli'!$B$10:$B$51,0),MATCH("X300 Pro Demo",'[1]Sales per type juli'!$D$8:$BA$8,0)+1),0)</f>
        <v>0</v>
      </c>
      <c r="DU17" s="192">
        <f>DS17-DT17</f>
        <v>0</v>
      </c>
      <c r="DV17" s="192">
        <v>0</v>
      </c>
      <c r="DW17" s="192">
        <f>IFERROR(INDEX('[1]Sales per type juli'!$D$10:$BA$51,MATCH($C17,'[1]Sales per type juli'!$B$10:$B$51,0),MATCH("X Fold5 DEMO",'[1]Sales per type juli'!$D$8:$BA$8,0)),0)</f>
        <v>0</v>
      </c>
      <c r="DX17" s="192">
        <f>DV17-DW17</f>
        <v>0</v>
      </c>
      <c r="DY17" s="192">
        <v>0</v>
      </c>
      <c r="DZ17" s="192" cm="1">
        <f t="array" ref="DZ17">IFERROR(INDEX('[1]Sales per type juli'!$D$10:$BA$51,MATCH($C17,'[1]Sales per type juli'!$B$10:$B$51,0),MATCH("X Fold5 DEMO",'[1]Sales per type juli'!$D$8:$BA$8,0)+1),0)</f>
        <v>0</v>
      </c>
      <c r="EA17" s="192">
        <f>DY17-DZ17</f>
        <v>0</v>
      </c>
      <c r="EB17" s="192">
        <v>0</v>
      </c>
      <c r="EC17" s="192">
        <f>IFERROR(INDEX('[1]Sales per type juli'!$D$10:$BA$51,MATCH($C17,'[1]Sales per type juli'!$B$10:$B$51,0),MATCH("X Fold5",'[1]Sales per type juli'!$D$8:$BA$8,0)),0)</f>
        <v>0</v>
      </c>
      <c r="ED17" s="192">
        <f>EB17-EC17</f>
        <v>0</v>
      </c>
      <c r="EE17" s="192">
        <v>0</v>
      </c>
      <c r="EF17" s="192" cm="1">
        <f t="array" ref="EF17">IFERROR(INDEX('[1]Sales per type juli'!$D$10:$BA$51,MATCH($C17,'[1]Sales per type juli'!$B$10:$B$51,0),MATCH("X Fold5",'[1]Sales per type juli'!$D$8:$BA$8,0)+1),0)</f>
        <v>0</v>
      </c>
      <c r="EG17" s="192">
        <f>EE17-EF17</f>
        <v>0</v>
      </c>
      <c r="EH17" s="192">
        <v>0</v>
      </c>
      <c r="EI17" s="192">
        <f>IFERROR(INDEX('[1]Sales per type juli'!$D$10:$BA$51,MATCH($C17,'[1]Sales per type juli'!$B$10:$B$51,0),MATCH("IQOO 15 Demo",'[1]Sales per type juli'!$D$8:$BA$8,0)),0)</f>
        <v>1</v>
      </c>
      <c r="EJ17" s="192">
        <f>EH17-EI17</f>
        <v>-1</v>
      </c>
      <c r="EK17" s="192">
        <v>0</v>
      </c>
      <c r="EL17" s="192" cm="1">
        <f t="array" ref="EL17">IFERROR(INDEX('[1]Sales per type juli'!$D$10:$BA$51,MATCH($C17,'[1]Sales per type juli'!$B$10:$B$51,0),MATCH("IQOO 15 Demo",'[1]Sales per type juli'!$D$8:$BA$8,0)+1),0)</f>
        <v>13999000</v>
      </c>
      <c r="EM17" s="192">
        <f>EK17-EL17</f>
        <v>-13999000</v>
      </c>
      <c r="EN17" s="192">
        <v>0</v>
      </c>
      <c r="EO17" s="192">
        <f>IFERROR(INDEX('[1]Sales per type juli'!$D$10:$BA$51,MATCH($C17,'[1]Sales per type juli'!$B$10:$B$51,0),MATCH("X300 PRO",'[1]Sales per type juli'!$D$8:$BA$8,0)),0)</f>
        <v>0</v>
      </c>
      <c r="EP17" s="192">
        <f>EN17-EO17</f>
        <v>0</v>
      </c>
      <c r="EQ17" s="192">
        <v>0</v>
      </c>
      <c r="ER17" s="192" cm="1">
        <f t="array" ref="ER17">IFERROR(INDEX('[1]Sales per type juli'!$D$10:$BA$51,MATCH($C17,'[1]Sales per type juli'!$B$10:$B$51,0),MATCH("X300 PRO",'[1]Sales per type juli'!$D$8:$BA$8,0)+1),0)</f>
        <v>0</v>
      </c>
      <c r="ES17" s="192">
        <f>EQ17-ER17</f>
        <v>0</v>
      </c>
      <c r="ET17" s="192">
        <v>0</v>
      </c>
      <c r="EU17" s="192">
        <f>IFERROR(INDEX('[1]Sales per type juli'!$D$10:$BA$51,MATCH($C17,'[1]Sales per type juli'!$B$10:$B$51,0),MATCH("X300 ",'[1]Sales per type juli'!$D$8:$BA$8,0)),0)</f>
        <v>0</v>
      </c>
      <c r="EV17" s="192">
        <f>ET17-EU17</f>
        <v>0</v>
      </c>
      <c r="EW17" s="192">
        <v>0</v>
      </c>
      <c r="EX17" s="192" cm="1">
        <f t="array" ref="EX17">IFERROR(INDEX('[1]Sales per type juli'!$D$10:$BA$51,MATCH($C17,'[1]Sales per type juli'!$B$10:$B$51,0),MATCH("X300 ",'[1]Sales per type juli'!$D$8:$BA$8,0)+1),0)</f>
        <v>0</v>
      </c>
      <c r="EY17" s="192">
        <f>EW17-EX17</f>
        <v>0</v>
      </c>
      <c r="EZ17" s="192">
        <f>F17+L17+R17+X17+AD17+AJ17+AP17+AV17+BB17+BH17+BN17+BT17+BZ17+CF17+CL17+CR17+CX17+DD17+DJ17+DP17+DV17+EB17+EH17+EN17+ET17</f>
        <v>12</v>
      </c>
      <c r="FA17" s="192">
        <f>G17+M17+S17+Y17+AE17+AK17+AQ17+AW17+BC17+BI17+BO17+BU17+CA17+CG17+CM17+CS17+CY17+DE17+DK17+DQ17+DW17+EC17+EI17+EO17+EU17</f>
        <v>15</v>
      </c>
      <c r="FB17" s="192">
        <f>EZ17-FA17</f>
        <v>-3</v>
      </c>
      <c r="FC17" s="192">
        <f>I17+O17+U17+AA17+AG17+AM17+AS17+AY17+BE17+BK17+BQ17+BW17+CC17+CI17+CO17+CU17+DA17+DG17+DM17+DS17+DY17+EE17+EK17+EQ17+EW17</f>
        <v>58188000</v>
      </c>
      <c r="FD17" s="192">
        <f>J17+P17+V17+AB17+AH17+AN17+AT17+AZ17+BF17+BL17+BR17+BX17+CD17+CJ17+CP17+CV17+DB17+DH17+DN17+DT17+DZ17+EF17+EL17+ER17+EX17</f>
        <v>115685000</v>
      </c>
      <c r="FE17" s="192">
        <f>FC17-FD17</f>
        <v>-57497000</v>
      </c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</row>
    <row r="18" spans="1:208" ht="16" x14ac:dyDescent="0.2">
      <c r="A18" s="139">
        <f>'[1]ACHIEVEMENT STORE'!A18</f>
        <v>14</v>
      </c>
      <c r="B18" s="140" t="str">
        <f>'[1]ACHIEVEMENT STORE'!B18</f>
        <v>604 雅加达东南 JKT TS</v>
      </c>
      <c r="C18" s="139">
        <f>'[1]ACHIEVEMENT STORE'!C18</f>
        <v>6040703</v>
      </c>
      <c r="D18" s="140" t="str">
        <f>'[1]ACHIEVEMENT STORE'!D18</f>
        <v>6040703-SAWANGAN 1F1-0320</v>
      </c>
      <c r="E18" s="140" t="str">
        <f>'[1]ACHIEVEMENT STORE'!E18</f>
        <v>Erlangga Pradita</v>
      </c>
      <c r="F18" s="192">
        <f>IFERROR(INDEX('[1]SALES PERTYPE'!$D$10:$D$52,MATCH($C18,'[1]SALES PERTYPE'!$B$10:$B$52,0)),0)</f>
        <v>3</v>
      </c>
      <c r="G18" s="192">
        <f>IFERROR(INDEX('[1]Sales per type juli'!$D$10:$BA$51,MATCH($C18,'[1]Sales per type juli'!$B$10:$B$51,0),MATCH("Y05",'[1]Sales per type juli'!$D$8:$BA$8,0)),0)</f>
        <v>3</v>
      </c>
      <c r="H18" s="192">
        <f>F18-G18</f>
        <v>0</v>
      </c>
      <c r="I18" s="192">
        <f>IFERROR(INDEX('[1]SALES PERTYPE'!$E$10:$E$52,MATCH($C18,'[1]SALES PERTYPE'!$B$10:$B$52,0)),0)</f>
        <v>7797000</v>
      </c>
      <c r="J18" s="192" cm="1">
        <f t="array" ref="J18">IFERROR(INDEX('[1]Sales per type juli'!$D$10:$BA$51,MATCH($C18,'[1]Sales per type juli'!$B$10:$B$51,0),MATCH("Y05",'[1]Sales per type juli'!$D$8:$BA$8,0)+1),0)</f>
        <v>7197000</v>
      </c>
      <c r="K18" s="192">
        <f>I18-J18</f>
        <v>600000</v>
      </c>
      <c r="L18" s="192">
        <f>IFERROR(INDEX('[1]SALES PERTYPE'!$F$10:$F$52,MATCH($C18,'[1]SALES PERTYPE'!$B$10:$B$52,0)),0)</f>
        <v>2</v>
      </c>
      <c r="M18" s="192">
        <f>IFERROR(INDEX('[1]Sales per type juli'!$D$10:$BA$51,MATCH($C18,'[1]Sales per type juli'!$B$10:$B$51,0),MATCH("Y11d",'[1]Sales per type juli'!$D$8:$BA$8,0)),0)</f>
        <v>5</v>
      </c>
      <c r="N18" s="192">
        <f>L18-M18</f>
        <v>-3</v>
      </c>
      <c r="O18" s="192">
        <f>IFERROR(INDEX('[1]SALES PERTYPE'!$G$10:$G$52,MATCH($C18,'[1]SALES PERTYPE'!$B$10:$B$52,0)),0)</f>
        <v>5198000</v>
      </c>
      <c r="P18" s="192" cm="1">
        <f t="array" ref="P18">IFERROR(INDEX('[1]Sales per type juli'!$D$10:$BA$51,MATCH($C18,'[1]Sales per type juli'!$B$10:$B$51,0),MATCH("Y11d",'[1]Sales per type juli'!$D$8:$BA$8,0)+1),0)</f>
        <v>13595000</v>
      </c>
      <c r="Q18" s="192">
        <f>O18-P18</f>
        <v>-8397000</v>
      </c>
      <c r="R18" s="192">
        <f>IFERROR(INDEX('[1]SALES PERTYPE'!$H$10:$H$52,MATCH($C18,'[1]SALES PERTYPE'!$B$10:$B$52,0)),0)</f>
        <v>1</v>
      </c>
      <c r="S18" s="192">
        <f>IFERROR(INDEX('[1]Sales per type juli'!$D$10:$BA$51,MATCH($C18,'[1]Sales per type juli'!$B$10:$B$51,0),MATCH("Watch GT 2",'[1]Sales per type juli'!$D$8:$BA$8,0)),0)</f>
        <v>0</v>
      </c>
      <c r="T18" s="192">
        <f>R18-S18</f>
        <v>1</v>
      </c>
      <c r="U18" s="192">
        <f>IFERROR(INDEX('[1]SALES PERTYPE'!$I$10:$I$52,MATCH($C18,'[1]SALES PERTYPE'!$B$10:$B$52,0)),0)</f>
        <v>1799000</v>
      </c>
      <c r="V18" s="192" cm="1">
        <f t="array" ref="V18">IFERROR(INDEX('[1]Sales per type juli'!$D$10:$BA$51,MATCH($C18,'[1]Sales per type juli'!$B$10:$B$51,0),MATCH("Watch GT 2",'[1]Sales per type juli'!$D$8:$BA$8,0)+1),0)</f>
        <v>0</v>
      </c>
      <c r="W18" s="192">
        <f>U18-V18</f>
        <v>1799000</v>
      </c>
      <c r="X18" s="192">
        <f>IFERROR(INDEX('[1]SALES PERTYPE'!$J$10:$J$52,MATCH($C18,'[1]SALES PERTYPE'!$B$10:$B$52,0)),0)</f>
        <v>1</v>
      </c>
      <c r="Y18" s="192">
        <f>IFERROR(INDEX('[1]Sales per type juli'!$D$10:$BA$51,MATCH($C18,'[1]Sales per type juli'!$B$10:$B$51,0),MATCH("Y05e",'[1]Sales per type juli'!$D$8:$BA$8,0)),0)</f>
        <v>0</v>
      </c>
      <c r="Z18" s="192">
        <f>X18-Y18</f>
        <v>1</v>
      </c>
      <c r="AA18" s="192">
        <f>IFERROR(INDEX('[1]SALES PERTYPE'!$K$10:$K$52,MATCH($C18,'[1]SALES PERTYPE'!$B$10:$B$52,0)),0)</f>
        <v>2099000</v>
      </c>
      <c r="AB18" s="192" cm="1">
        <f t="array" ref="AB18">IFERROR(INDEX('[1]Sales per type juli'!$D$10:$BA$51,MATCH($C18,'[1]Sales per type juli'!$B$10:$B$51,0),MATCH("Y05e",'[1]Sales per type juli'!$D$8:$BA$8,0)+1),0)</f>
        <v>0</v>
      </c>
      <c r="AC18" s="192">
        <f>AA18-AB18</f>
        <v>2099000</v>
      </c>
      <c r="AD18" s="192">
        <f>IFERROR(INDEX('[1]SALES PERTYPE'!$L$10:$L$52,MATCH($C18,'[1]SALES PERTYPE'!$B$10:$B$52,0)),0)</f>
        <v>0</v>
      </c>
      <c r="AE18" s="192">
        <f>IFERROR(INDEX('[1]Sales per type juli'!$D$10:$BA$51,MATCH($C18,'[1]Sales per type juli'!$B$10:$B$51,0),MATCH("V70",'[1]Sales per type juli'!$D$8:$BA$8,0)),0)</f>
        <v>3</v>
      </c>
      <c r="AF18" s="192">
        <f>AD18-AE18</f>
        <v>-3</v>
      </c>
      <c r="AG18" s="192">
        <f>IFERROR(INDEX('[1]SALES PERTYPE'!$M$10:$M$52,MATCH($C18,'[1]SALES PERTYPE'!$B$10:$B$52,0)),0)</f>
        <v>0</v>
      </c>
      <c r="AH18" s="192" cm="1">
        <f t="array" ref="AH18">IFERROR(INDEX('[1]Sales per type juli'!$D$10:$BA$51,MATCH($C18,'[1]Sales per type juli'!$B$10:$B$51,0),MATCH("V70",'[1]Sales per type juli'!$D$8:$BA$8,0)+1),0)</f>
        <v>26997000</v>
      </c>
      <c r="AI18" s="192">
        <f>AG18-AH18</f>
        <v>-26997000</v>
      </c>
      <c r="AJ18" s="192">
        <f>IFERROR(INDEX('[1]SALES PERTYPE'!$N$10:$N$52,MATCH($C18,'[1]SALES PERTYPE'!$B$10:$B$52,0)),0)</f>
        <v>1</v>
      </c>
      <c r="AK18" s="192">
        <f>IFERROR(INDEX('[1]Sales per type juli'!$D$10:$BA$51,MATCH($C18,'[1]Sales per type juli'!$B$10:$B$51,0),MATCH("Y31d Pro",'[1]Sales per type juli'!$D$8:$BA$8,0)),0)</f>
        <v>2</v>
      </c>
      <c r="AL18" s="192">
        <f>AJ18-AK18</f>
        <v>-1</v>
      </c>
      <c r="AM18" s="192">
        <f>IFERROR(INDEX('[1]SALES PERTYPE'!$O$10:$O$52,MATCH($C18,'[1]SALES PERTYPE'!$B$10:$B$52,0)),0)</f>
        <v>3899000</v>
      </c>
      <c r="AN18" s="192" cm="1">
        <f t="array" ref="AN18">IFERROR(INDEX('[1]Sales per type juli'!$D$10:$BA$51,MATCH($C18,'[1]Sales per type juli'!$B$10:$B$51,0),MATCH("Y31d Pro",'[1]Sales per type juli'!$D$8:$BA$8,0)+1),0)</f>
        <v>7798000</v>
      </c>
      <c r="AO18" s="192">
        <f>AM18-AN18</f>
        <v>-3899000</v>
      </c>
      <c r="AP18" s="192">
        <f>IFERROR(INDEX('[1]SALES PERTYPE'!$P$10:$P$52,MATCH($C18,'[1]SALES PERTYPE'!$B$10:$B$52,0)),0)</f>
        <v>0</v>
      </c>
      <c r="AQ18" s="192" cm="1">
        <f t="array" ref="AQ18">IFERROR(INDEX('[1]Sales per type juli'!$D$10:$BA$51,MATCH($C18,'[1]Sales per type juli'!$B$10:$B$51,0),$FG$2),0)</f>
        <v>0</v>
      </c>
      <c r="AR18" s="192">
        <f>AP18-AQ18</f>
        <v>0</v>
      </c>
      <c r="AS18" s="192">
        <f>IFERROR(INDEX('[1]SALES PERTYPE'!$Q$10:$Q$52,MATCH($C18,'[1]SALES PERTYPE'!$B$10:$B$52,0)),0)</f>
        <v>0</v>
      </c>
      <c r="AT18" s="192" cm="1">
        <f t="array" ref="AT18">IFERROR(INDEX('[1]Sales per type juli'!$D$10:$BA$51,MATCH($C18,'[1]Sales per type juli'!$B$10:$B$51,0),$FG$2+1),0)</f>
        <v>0</v>
      </c>
      <c r="AU18" s="192">
        <f>AS18-AT18</f>
        <v>0</v>
      </c>
      <c r="AV18" s="192">
        <f>IFERROR(INDEX('[1]SALES PERTYPE'!$R$10:$R$52,MATCH($C18,'[1]SALES PERTYPE'!$B$10:$B$52,0)),0)</f>
        <v>0</v>
      </c>
      <c r="AW18" s="192">
        <f>IFERROR(INDEX('[1]Sales per type juli'!$D$10:$BA$51,MATCH($C18,'[1]Sales per type juli'!$B$10:$B$51,0),MATCH("Y31d ",'[1]Sales per type juli'!$D$8:$BA$8,0)),0)</f>
        <v>1</v>
      </c>
      <c r="AX18" s="192">
        <f>AV18-AW18</f>
        <v>-1</v>
      </c>
      <c r="AY18" s="192">
        <f>IFERROR(INDEX('[1]SALES PERTYPE'!$S$10:$S$52,MATCH($C18,'[1]SALES PERTYPE'!$B$10:$B$52,0)),0)</f>
        <v>0</v>
      </c>
      <c r="AZ18" s="192" cm="1">
        <f t="array" ref="AZ18">IFERROR(INDEX('[1]Sales per type juli'!$D$10:$BA$51,MATCH($C18,'[1]Sales per type juli'!$B$10:$B$51,0),MATCH("Y31d ",'[1]Sales per type juli'!$D$8:$BA$8,0)+1),0)</f>
        <v>3599000</v>
      </c>
      <c r="BA18" s="192">
        <f>AY18-AZ18</f>
        <v>-3599000</v>
      </c>
      <c r="BB18" s="192">
        <f>IFERROR(INDEX('[1]SALES PERTYPE'!$T$10:$T$52,MATCH($C18,'[1]SALES PERTYPE'!$B$10:$B$52,0)),0)</f>
        <v>2</v>
      </c>
      <c r="BC18" s="192">
        <f>IFERROR(INDEX('[1]Sales per type juli'!$D$10:$BA$51,MATCH($C18,'[1]Sales per type juli'!$B$10:$B$51,0),MATCH("V70 FE",'[1]Sales per type juli'!$D$8:$BA$8,0)),0)</f>
        <v>1</v>
      </c>
      <c r="BD18" s="192">
        <f>BB18-BC18</f>
        <v>1</v>
      </c>
      <c r="BE18" s="192">
        <f>IFERROR(INDEX('[1]SALES PERTYPE'!$U$10:$U$52,MATCH($C18,'[1]SALES PERTYPE'!$B$10:$B$52,0)),0)</f>
        <v>14998000</v>
      </c>
      <c r="BF18" s="192" cm="1">
        <f t="array" ref="BF18">IFERROR(INDEX('[1]Sales per type juli'!$D$10:$BA$51,MATCH($C18,'[1]Sales per type juli'!$B$10:$B$51,0),MATCH("V70 FE",'[1]Sales per type juli'!$D$8:$BA$8,0)+1),0)</f>
        <v>7199000</v>
      </c>
      <c r="BG18" s="192">
        <f>BE18-BF18</f>
        <v>7799000</v>
      </c>
      <c r="BH18" s="192">
        <f>IFERROR(INDEX('[1]SALES PERTYPE'!$V$10:$V$52,MATCH($C18,'[1]SALES PERTYPE'!$B$10:$B$52,0)),0)</f>
        <v>0</v>
      </c>
      <c r="BI18" s="192">
        <f>IFERROR(INDEX('[1]Sales per type juli'!$D$10:$BA$51,MATCH($C18,'[1]Sales per type juli'!$B$10:$B$51,0),MATCH("Y31d",'[1]Sales per type juli'!$D$8:$BA$8,0)),0)</f>
        <v>3</v>
      </c>
      <c r="BJ18" s="192">
        <f>BH18-BI18</f>
        <v>-3</v>
      </c>
      <c r="BK18" s="192">
        <f>IFERROR(INDEX('[1]SALES PERTYPE'!$W$10:$W$52,MATCH($C18,'[1]SALES PERTYPE'!$B$10:$B$52,0)),0)</f>
        <v>0</v>
      </c>
      <c r="BL18" s="192" cm="1">
        <f t="array" ref="BL18">IFERROR(INDEX('[1]Sales per type juli'!$D$10:$BA$51,MATCH($C18,'[1]Sales per type juli'!$B$10:$B$51,0),MATCH("Y31d",'[1]Sales per type juli'!$D$8:$BA$8,0)+1),0)</f>
        <v>10797000</v>
      </c>
      <c r="BM18" s="192">
        <f>BK18-BL18</f>
        <v>-10797000</v>
      </c>
      <c r="BN18" s="192">
        <f>IFERROR(INDEX('[1]SALES PERTYPE'!$X$10:$X$52,MATCH($C18,'[1]SALES PERTYPE'!$B$10:$B$52,0)),0)</f>
        <v>1</v>
      </c>
      <c r="BO18" s="192">
        <f>IFERROR(INDEX('[1]Sales per type juli'!$D$10:$BA$51,MATCH($C18,'[1]Sales per type juli'!$B$10:$B$51,0),MATCH("Y500",'[1]Sales per type juli'!$D$8:$BA$8,0)),0)</f>
        <v>1</v>
      </c>
      <c r="BP18" s="192">
        <f>BN18-BO18</f>
        <v>0</v>
      </c>
      <c r="BQ18" s="192">
        <f>IFERROR(INDEX('[1]SALES PERTYPE'!$Y$10:$Y$52,MATCH($C18,'[1]SALES PERTYPE'!$B$10:$B$52,0)),0)</f>
        <v>6299000</v>
      </c>
      <c r="BR18" s="192" cm="1">
        <f t="array" ref="BR18">IFERROR(INDEX('[1]Sales per type juli'!$D$10:$BA$51,MATCH($C18,'[1]Sales per type juli'!$B$10:$B$51,0),MATCH("Y500",'[1]Sales per type juli'!$D$8:$BA$8,0)+1),0)</f>
        <v>5499000</v>
      </c>
      <c r="BS18" s="192">
        <f>BQ18-BR18</f>
        <v>800000</v>
      </c>
      <c r="BT18" s="192">
        <f>IFERROR(INDEX('[1]SALES PERTYPE'!$Z$10:$Z$52,MATCH($C18,'[1]SALES PERTYPE'!$B$10:$B$52,0)),0)</f>
        <v>0</v>
      </c>
      <c r="BU18" s="192">
        <f>IFERROR(INDEX('[1]Sales per type juli'!$D$10:$BA$51,MATCH($C18,'[1]Sales per type juli'!$B$10:$B$51,0),MATCH("IQOO 15R",'[1]Sales per type juli'!$D$8:$BA$8,0)),0)</f>
        <v>2</v>
      </c>
      <c r="BV18" s="192">
        <f>BT18-BU18</f>
        <v>-2</v>
      </c>
      <c r="BW18" s="192">
        <f>IFERROR(INDEX('[1]SALES PERTYPE'!$AA$10:$AA$52,MATCH($C18,'[1]SALES PERTYPE'!$B$10:$B$52,0)),0)</f>
        <v>0</v>
      </c>
      <c r="BX18" s="192" cm="1">
        <f t="array" ref="BX18">IFERROR(INDEX('[1]Sales per type juli'!$D$10:$BA$51,MATCH($C18,'[1]Sales per type juli'!$B$10:$B$51,0),MATCH("IQOO 15R",'[1]Sales per type juli'!$D$8:$BA$8,0)+1),0)</f>
        <v>19798000</v>
      </c>
      <c r="BY18" s="192">
        <f>BW18-BX18</f>
        <v>-19798000</v>
      </c>
      <c r="BZ18" s="192">
        <f>IFERROR(INDEX('[1]SALES PERTYPE'!$AB$10:$AB$52,MATCH($C18,'[1]SALES PERTYPE'!$B$10:$B$52,0)),0)</f>
        <v>0</v>
      </c>
      <c r="CA18" s="192">
        <f>IFERROR(INDEX('[1]Sales per type juli'!$D$10:$BA$51,MATCH($C18,'[1]Sales per type juli'!$B$10:$B$51,0),MATCH("V60 Lite",'[1]Sales per type juli'!$D$8:$BA$8,0)),0)</f>
        <v>1</v>
      </c>
      <c r="CB18" s="192">
        <f>BZ18-CA18</f>
        <v>-1</v>
      </c>
      <c r="CC18" s="192">
        <f>IFERROR(INDEX('[1]SALES PERTYPE'!$AC$10:$AC$52,MATCH($C18,'[1]SALES PERTYPE'!$B$10:$B$52,0)),0)</f>
        <v>0</v>
      </c>
      <c r="CD18" s="192" cm="1">
        <f t="array" ref="CD18">IFERROR(INDEX('[1]Sales per type juli'!$D$10:$BA$51,MATCH($C18,'[1]Sales per type juli'!$B$10:$B$51,0),MATCH("V60 Lite",'[1]Sales per type juli'!$D$8:$BA$8,0)+1),0)</f>
        <v>5999000</v>
      </c>
      <c r="CE18" s="192">
        <f>CC18-CD18</f>
        <v>-5999000</v>
      </c>
      <c r="CF18" s="192">
        <f>IFERROR(INDEX('[1]SALES PERTYPE'!$AD$10:$AD$52,MATCH($C18,'[1]SALES PERTYPE'!$B$10:$B$52,0)),0)</f>
        <v>1</v>
      </c>
      <c r="CG18" s="192">
        <f>IFERROR(INDEX('[1]Sales per type juli'!$D$10:$BA$51,MATCH($C18,'[1]Sales per type juli'!$B$10:$B$51,0),MATCH("X300 Ultra",'[1]Sales per type juli'!$D$8:$BA$8,0)),0)</f>
        <v>0</v>
      </c>
      <c r="CH18" s="192">
        <f>CF18-CG18</f>
        <v>1</v>
      </c>
      <c r="CI18" s="192">
        <f>IFERROR(INDEX('[1]SALES PERTYPE'!$AE$10:$AE$52,MATCH($C18,'[1]SALES PERTYPE'!$B$10:$B$52,0)),0)</f>
        <v>25999000</v>
      </c>
      <c r="CJ18" s="192" cm="1">
        <f t="array" ref="CJ18">IFERROR(INDEX('[1]Sales per type juli'!$D$10:$BA$51,MATCH($C18,'[1]Sales per type juli'!$B$10:$B$51,0),MATCH("X300 Ultra",'[1]Sales per type juli'!$D$8:$BA$8,0)+1),0)</f>
        <v>0</v>
      </c>
      <c r="CK18" s="192">
        <f>CI18-CJ18</f>
        <v>25999000</v>
      </c>
      <c r="CL18" s="192">
        <f>IFERROR(INDEX('[1]SALES PERTYPE'!$AF$10:$AF$52,MATCH($C18,'[1]SALES PERTYPE'!$B$10:$B$52,0)),0)</f>
        <v>0</v>
      </c>
      <c r="CM18" s="192">
        <f>IFERROR(INDEX('[1]Sales per type juli'!$D$10:$BA$51,MATCH($C18,'[1]Sales per type juli'!$B$10:$B$51,0),MATCH("IQOO 15",'[1]Sales per type juli'!$D$8:$BA$8,0)),0)</f>
        <v>0</v>
      </c>
      <c r="CN18" s="192">
        <f>CL18-CM18</f>
        <v>0</v>
      </c>
      <c r="CO18" s="192">
        <f>IFERROR(INDEX('[1]SALES PERTYPE'!$AG$10:$AG$52,MATCH($C18,'[1]SALES PERTYPE'!$B$10:$B$52,0)),0)</f>
        <v>0</v>
      </c>
      <c r="CP18" s="192" cm="1">
        <f t="array" ref="CP18">IFERROR(INDEX('[1]Sales per type juli'!$D$10:$BA$51,MATCH($C18,'[1]Sales per type juli'!$B$10:$B$51,0),MATCH("IQOO 15",'[1]Sales per type juli'!$D$8:$BA$8,0)+1),0)</f>
        <v>0</v>
      </c>
      <c r="CQ18" s="192">
        <f>CO18-CP18</f>
        <v>0</v>
      </c>
      <c r="CR18" s="192">
        <f>IFERROR(INDEX('[1]SALES PERTYPE'!$AH$10:$AH$52,MATCH($C18,'[1]SALES PERTYPE'!$B$10:$B$52,0)),0)</f>
        <v>2</v>
      </c>
      <c r="CS18" s="192">
        <f>IFERROR(INDEX('[1]Sales per type juli'!$D$10:$BA$51,MATCH($C18,'[1]Sales per type juli'!$B$10:$B$51,0),MATCH("IQOO Z11x",'[1]Sales per type juli'!$D$8:$BA$8,0)),0)</f>
        <v>0</v>
      </c>
      <c r="CT18" s="192">
        <f>CR18-CS18</f>
        <v>2</v>
      </c>
      <c r="CU18" s="192">
        <f>IFERROR(INDEX('[1]SALES PERTYPE'!$AI$10:$AI$52,MATCH($C18,'[1]SALES PERTYPE'!$B$10:$B$52,0)),0)</f>
        <v>11298000</v>
      </c>
      <c r="CV18" s="192" cm="1">
        <f t="array" ref="CV18">IFERROR(INDEX('[1]Sales per type juli'!$D$10:$BA$51,MATCH($C18,'[1]Sales per type juli'!$B$10:$B$51,0),MATCH("IQOO Z11x",'[1]Sales per type juli'!$D$8:$BA$8,0)+1),0)</f>
        <v>0</v>
      </c>
      <c r="CW18" s="192">
        <f>CU18-CV18</f>
        <v>11298000</v>
      </c>
      <c r="CX18" s="192">
        <f>IFERROR(INDEX('[1]SALES PERTYPE'!$AJ$10:$AJ$52,MATCH($C18,'[1]SALES PERTYPE'!$B$10:$B$52,0)),0)</f>
        <v>0</v>
      </c>
      <c r="CY18" s="192">
        <f>IFERROR(INDEX('[1]Sales per type juli'!$D$10:$BA$51,MATCH($C18,'[1]Sales per type juli'!$B$10:$B$51,0),MATCH("IQOO Z11",'[1]Sales per type juli'!$D$8:$BA$8,0)),0)</f>
        <v>3</v>
      </c>
      <c r="CZ18" s="192">
        <f>CX18-CY18</f>
        <v>-3</v>
      </c>
      <c r="DA18" s="192">
        <f>IFERROR(INDEX('[1]SALES PERTYPE'!$AK$10:$AK$52,MATCH($C18,'[1]SALES PERTYPE'!$B$10:$B$52,0)),0)</f>
        <v>0</v>
      </c>
      <c r="DB18" s="192" cm="1">
        <f t="array" ref="DB18">IFERROR(INDEX('[1]Sales per type juli'!$D$10:$BA$51,MATCH($C18,'[1]Sales per type juli'!$B$10:$B$51,0),MATCH("IQOO Z11",'[1]Sales per type juli'!$D$8:$BA$8,0)+1),0)</f>
        <v>17097000</v>
      </c>
      <c r="DC18" s="192">
        <f>DA18-DB18</f>
        <v>-17097000</v>
      </c>
      <c r="DD18" s="192">
        <v>0</v>
      </c>
      <c r="DE18" s="192">
        <f>IFERROR(INDEX('[1]Sales per type juli'!$D$10:$BA$51,MATCH($C18,'[1]Sales per type juli'!$B$10:$B$51,0),MATCH("WATCH 3",'[1]Sales per type juli'!$D$8:$BA$8,0)),0)</f>
        <v>0</v>
      </c>
      <c r="DF18" s="192">
        <f>DD18-DE18</f>
        <v>0</v>
      </c>
      <c r="DG18" s="192">
        <v>0</v>
      </c>
      <c r="DH18" s="192" cm="1">
        <f t="array" ref="DH18">IFERROR(INDEX('[1]Sales per type juli'!$D$10:$BA$51,MATCH($C18,'[1]Sales per type juli'!$B$10:$B$51,0),MATCH("WATCH 3",'[1]Sales per type juli'!$D$8:$BA$8,0)+1),0)</f>
        <v>0</v>
      </c>
      <c r="DI18" s="192">
        <f>DG18-DH18</f>
        <v>0</v>
      </c>
      <c r="DJ18" s="192">
        <v>0</v>
      </c>
      <c r="DK18" s="192">
        <f>IFERROR(INDEX('[1]Sales per type juli'!$D$10:$BA$51,MATCH($C18,'[1]Sales per type juli'!$B$10:$B$51,0),MATCH("X300 Demo",'[1]Sales per type juli'!$D$8:$BA$8,0)),0)</f>
        <v>2</v>
      </c>
      <c r="DL18" s="192">
        <f>DJ18-DK18</f>
        <v>-2</v>
      </c>
      <c r="DM18" s="192">
        <v>0</v>
      </c>
      <c r="DN18" s="192" cm="1">
        <f t="array" ref="DN18">IFERROR(INDEX('[1]Sales per type juli'!$D$10:$BA$51,MATCH($C18,'[1]Sales per type juli'!$B$10:$B$51,0),MATCH("X300 Demo",'[1]Sales per type juli'!$D$8:$BA$8,0)+1),0)</f>
        <v>33998000</v>
      </c>
      <c r="DO18" s="192">
        <f>DM18-DN18</f>
        <v>-33998000</v>
      </c>
      <c r="DP18" s="192">
        <v>0</v>
      </c>
      <c r="DQ18" s="192">
        <f>IFERROR(INDEX('[1]Sales per type juli'!$D$10:$BA$51,MATCH($C18,'[1]Sales per type juli'!$B$10:$B$51,0),MATCH("X300 Pro Demo",'[1]Sales per type juli'!$D$8:$BA$8,0)),0)</f>
        <v>0</v>
      </c>
      <c r="DR18" s="192">
        <f>DP18-DQ18</f>
        <v>0</v>
      </c>
      <c r="DS18" s="192">
        <v>0</v>
      </c>
      <c r="DT18" s="192" cm="1">
        <f t="array" ref="DT18">IFERROR(INDEX('[1]Sales per type juli'!$D$10:$BA$51,MATCH($C18,'[1]Sales per type juli'!$B$10:$B$51,0),MATCH("X300 Pro Demo",'[1]Sales per type juli'!$D$8:$BA$8,0)+1),0)</f>
        <v>0</v>
      </c>
      <c r="DU18" s="192">
        <f>DS18-DT18</f>
        <v>0</v>
      </c>
      <c r="DV18" s="192">
        <v>0</v>
      </c>
      <c r="DW18" s="192">
        <f>IFERROR(INDEX('[1]Sales per type juli'!$D$10:$BA$51,MATCH($C18,'[1]Sales per type juli'!$B$10:$B$51,0),MATCH("X Fold5 DEMO",'[1]Sales per type juli'!$D$8:$BA$8,0)),0)</f>
        <v>0</v>
      </c>
      <c r="DX18" s="192">
        <f>DV18-DW18</f>
        <v>0</v>
      </c>
      <c r="DY18" s="192">
        <v>0</v>
      </c>
      <c r="DZ18" s="192" cm="1">
        <f t="array" ref="DZ18">IFERROR(INDEX('[1]Sales per type juli'!$D$10:$BA$51,MATCH($C18,'[1]Sales per type juli'!$B$10:$B$51,0),MATCH("X Fold5 DEMO",'[1]Sales per type juli'!$D$8:$BA$8,0)+1),0)</f>
        <v>0</v>
      </c>
      <c r="EA18" s="192">
        <f>DY18-DZ18</f>
        <v>0</v>
      </c>
      <c r="EB18" s="192">
        <v>0</v>
      </c>
      <c r="EC18" s="192">
        <f>IFERROR(INDEX('[1]Sales per type juli'!$D$10:$BA$51,MATCH($C18,'[1]Sales per type juli'!$B$10:$B$51,0),MATCH("X Fold5",'[1]Sales per type juli'!$D$8:$BA$8,0)),0)</f>
        <v>0</v>
      </c>
      <c r="ED18" s="192">
        <f>EB18-EC18</f>
        <v>0</v>
      </c>
      <c r="EE18" s="192">
        <v>0</v>
      </c>
      <c r="EF18" s="192" cm="1">
        <f t="array" ref="EF18">IFERROR(INDEX('[1]Sales per type juli'!$D$10:$BA$51,MATCH($C18,'[1]Sales per type juli'!$B$10:$B$51,0),MATCH("X Fold5",'[1]Sales per type juli'!$D$8:$BA$8,0)+1),0)</f>
        <v>0</v>
      </c>
      <c r="EG18" s="192">
        <f>EE18-EF18</f>
        <v>0</v>
      </c>
      <c r="EH18" s="192">
        <v>0</v>
      </c>
      <c r="EI18" s="192">
        <f>IFERROR(INDEX('[1]Sales per type juli'!$D$10:$BA$51,MATCH($C18,'[1]Sales per type juli'!$B$10:$B$51,0),MATCH("IQOO 15 Demo",'[1]Sales per type juli'!$D$8:$BA$8,0)),0)</f>
        <v>1</v>
      </c>
      <c r="EJ18" s="192">
        <f>EH18-EI18</f>
        <v>-1</v>
      </c>
      <c r="EK18" s="192">
        <v>0</v>
      </c>
      <c r="EL18" s="192" cm="1">
        <f t="array" ref="EL18">IFERROR(INDEX('[1]Sales per type juli'!$D$10:$BA$51,MATCH($C18,'[1]Sales per type juli'!$B$10:$B$51,0),MATCH("IQOO 15 Demo",'[1]Sales per type juli'!$D$8:$BA$8,0)+1),0)</f>
        <v>13999000</v>
      </c>
      <c r="EM18" s="192">
        <f>EK18-EL18</f>
        <v>-13999000</v>
      </c>
      <c r="EN18" s="192">
        <v>0</v>
      </c>
      <c r="EO18" s="192">
        <f>IFERROR(INDEX('[1]Sales per type juli'!$D$10:$BA$51,MATCH($C18,'[1]Sales per type juli'!$B$10:$B$51,0),MATCH("X300 PRO",'[1]Sales per type juli'!$D$8:$BA$8,0)),0)</f>
        <v>0</v>
      </c>
      <c r="EP18" s="192">
        <f>EN18-EO18</f>
        <v>0</v>
      </c>
      <c r="EQ18" s="192">
        <v>0</v>
      </c>
      <c r="ER18" s="192" cm="1">
        <f t="array" ref="ER18">IFERROR(INDEX('[1]Sales per type juli'!$D$10:$BA$51,MATCH($C18,'[1]Sales per type juli'!$B$10:$B$51,0),MATCH("X300 PRO",'[1]Sales per type juli'!$D$8:$BA$8,0)+1),0)</f>
        <v>0</v>
      </c>
      <c r="ES18" s="192">
        <f>EQ18-ER18</f>
        <v>0</v>
      </c>
      <c r="ET18" s="192">
        <v>0</v>
      </c>
      <c r="EU18" s="192">
        <f>IFERROR(INDEX('[1]Sales per type juli'!$D$10:$BA$51,MATCH($C18,'[1]Sales per type juli'!$B$10:$B$51,0),MATCH("X300 ",'[1]Sales per type juli'!$D$8:$BA$8,0)),0)</f>
        <v>0</v>
      </c>
      <c r="EV18" s="192">
        <f>ET18-EU18</f>
        <v>0</v>
      </c>
      <c r="EW18" s="192">
        <v>0</v>
      </c>
      <c r="EX18" s="192" cm="1">
        <f t="array" ref="EX18">IFERROR(INDEX('[1]Sales per type juli'!$D$10:$BA$51,MATCH($C18,'[1]Sales per type juli'!$B$10:$B$51,0),MATCH("X300 ",'[1]Sales per type juli'!$D$8:$BA$8,0)+1),0)</f>
        <v>0</v>
      </c>
      <c r="EY18" s="192">
        <f>EW18-EX18</f>
        <v>0</v>
      </c>
      <c r="EZ18" s="192">
        <f>F18+L18+R18+X18+AD18+AJ18+AP18+AV18+BB18+BH18+BN18+BT18+BZ18+CF18+CL18+CR18+CX18+DD18+DJ18+DP18+DV18+EB18+EH18+EN18+ET18</f>
        <v>14</v>
      </c>
      <c r="FA18" s="192">
        <f>G18+M18+S18+Y18+AE18+AK18+AQ18+AW18+BC18+BI18+BO18+BU18+CA18+CG18+CM18+CS18+CY18+DE18+DK18+DQ18+DW18+EC18+EI18+EO18+EU18</f>
        <v>28</v>
      </c>
      <c r="FB18" s="192">
        <f>EZ18-FA18</f>
        <v>-14</v>
      </c>
      <c r="FC18" s="192">
        <f>I18+O18+U18+AA18+AG18+AM18+AS18+AY18+BE18+BK18+BQ18+BW18+CC18+CI18+CO18+CU18+DA18+DG18+DM18+DS18+DY18+EE18+EK18+EQ18+EW18</f>
        <v>79386000</v>
      </c>
      <c r="FD18" s="192">
        <f>J18+P18+V18+AB18+AH18+AN18+AT18+AZ18+BF18+BL18+BR18+BX18+CD18+CJ18+CP18+CV18+DB18+DH18+DN18+DT18+DZ18+EF18+EL18+ER18+EX18</f>
        <v>173572000</v>
      </c>
      <c r="FE18" s="192">
        <f>FC18-FD18</f>
        <v>-94186000</v>
      </c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</row>
    <row r="19" spans="1:208" ht="16" x14ac:dyDescent="0.2">
      <c r="A19" s="137">
        <f>'[1]ACHIEVEMENT STORE'!A19</f>
        <v>15</v>
      </c>
      <c r="B19" s="138" t="str">
        <f>'[1]ACHIEVEMENT STORE'!B19</f>
        <v>605 勿加泗 BEKASI</v>
      </c>
      <c r="C19" s="137">
        <f>'[1]ACHIEVEMENT STORE'!C19</f>
        <v>6050701</v>
      </c>
      <c r="D19" s="138" t="str">
        <f>'[1]ACHIEVEMENT STORE'!D19</f>
        <v>6050701-MVS X6 DS0824</v>
      </c>
      <c r="E19" s="138" t="str">
        <f>'[1]ACHIEVEMENT STORE'!E19</f>
        <v>M RIZKI</v>
      </c>
      <c r="F19" s="192">
        <f>IFERROR(INDEX('[1]SALES PERTYPE'!$D$10:$D$52,MATCH($C19,'[1]SALES PERTYPE'!$B$10:$B$52,0)),0)</f>
        <v>1</v>
      </c>
      <c r="G19" s="192">
        <f>IFERROR(INDEX('[1]Sales per type juli'!$D$10:$BA$51,MATCH($C19,'[1]Sales per type juli'!$B$10:$B$51,0),MATCH("Y05",'[1]Sales per type juli'!$D$8:$BA$8,0)),0)</f>
        <v>6</v>
      </c>
      <c r="H19" s="192">
        <f>F19-G19</f>
        <v>-5</v>
      </c>
      <c r="I19" s="192">
        <f>IFERROR(INDEX('[1]SALES PERTYPE'!$E$10:$E$52,MATCH($C19,'[1]SALES PERTYPE'!$B$10:$B$52,0)),0)</f>
        <v>2299000</v>
      </c>
      <c r="J19" s="192" cm="1">
        <f t="array" ref="J19">IFERROR(INDEX('[1]Sales per type juli'!$D$10:$BA$51,MATCH($C19,'[1]Sales per type juli'!$B$10:$B$51,0),MATCH("Y05",'[1]Sales per type juli'!$D$8:$BA$8,0)+1),0)</f>
        <v>13194000</v>
      </c>
      <c r="K19" s="192">
        <f>I19-J19</f>
        <v>-10895000</v>
      </c>
      <c r="L19" s="192">
        <f>IFERROR(INDEX('[1]SALES PERTYPE'!$F$10:$F$52,MATCH($C19,'[1]SALES PERTYPE'!$B$10:$B$52,0)),0)</f>
        <v>5</v>
      </c>
      <c r="M19" s="192">
        <f>IFERROR(INDEX('[1]Sales per type juli'!$D$10:$BA$51,MATCH($C19,'[1]Sales per type juli'!$B$10:$B$51,0),MATCH("Y11d",'[1]Sales per type juli'!$D$8:$BA$8,0)),0)</f>
        <v>0</v>
      </c>
      <c r="N19" s="192">
        <f>L19-M19</f>
        <v>5</v>
      </c>
      <c r="O19" s="192">
        <f>IFERROR(INDEX('[1]SALES PERTYPE'!$G$10:$G$52,MATCH($C19,'[1]SALES PERTYPE'!$B$10:$B$52,0)),0)</f>
        <v>13995000</v>
      </c>
      <c r="P19" s="192" cm="1">
        <f t="array" ref="P19">IFERROR(INDEX('[1]Sales per type juli'!$D$10:$BA$51,MATCH($C19,'[1]Sales per type juli'!$B$10:$B$51,0),MATCH("Y11d",'[1]Sales per type juli'!$D$8:$BA$8,0)+1),0)</f>
        <v>0</v>
      </c>
      <c r="Q19" s="192">
        <f>O19-P19</f>
        <v>13995000</v>
      </c>
      <c r="R19" s="192">
        <f>IFERROR(INDEX('[1]SALES PERTYPE'!$H$10:$H$52,MATCH($C19,'[1]SALES PERTYPE'!$B$10:$B$52,0)),0)</f>
        <v>0</v>
      </c>
      <c r="S19" s="192">
        <f>IFERROR(INDEX('[1]Sales per type juli'!$D$10:$BA$51,MATCH($C19,'[1]Sales per type juli'!$B$10:$B$51,0),MATCH("Watch GT 2",'[1]Sales per type juli'!$D$8:$BA$8,0)),0)</f>
        <v>0</v>
      </c>
      <c r="T19" s="192">
        <f>R19-S19</f>
        <v>0</v>
      </c>
      <c r="U19" s="192">
        <f>IFERROR(INDEX('[1]SALES PERTYPE'!$I$10:$I$52,MATCH($C19,'[1]SALES PERTYPE'!$B$10:$B$52,0)),0)</f>
        <v>0</v>
      </c>
      <c r="V19" s="192" cm="1">
        <f t="array" ref="V19">IFERROR(INDEX('[1]Sales per type juli'!$D$10:$BA$51,MATCH($C19,'[1]Sales per type juli'!$B$10:$B$51,0),MATCH("Watch GT 2",'[1]Sales per type juli'!$D$8:$BA$8,0)+1),0)</f>
        <v>0</v>
      </c>
      <c r="W19" s="192">
        <f>U19-V19</f>
        <v>0</v>
      </c>
      <c r="X19" s="192">
        <f>IFERROR(INDEX('[1]SALES PERTYPE'!$J$10:$J$52,MATCH($C19,'[1]SALES PERTYPE'!$B$10:$B$52,0)),0)</f>
        <v>1</v>
      </c>
      <c r="Y19" s="192">
        <f>IFERROR(INDEX('[1]Sales per type juli'!$D$10:$BA$51,MATCH($C19,'[1]Sales per type juli'!$B$10:$B$51,0),MATCH("Y05e",'[1]Sales per type juli'!$D$8:$BA$8,0)),0)</f>
        <v>0</v>
      </c>
      <c r="Z19" s="192">
        <f>X19-Y19</f>
        <v>1</v>
      </c>
      <c r="AA19" s="192">
        <f>IFERROR(INDEX('[1]SALES PERTYPE'!$K$10:$K$52,MATCH($C19,'[1]SALES PERTYPE'!$B$10:$B$52,0)),0)</f>
        <v>2099000</v>
      </c>
      <c r="AB19" s="192" cm="1">
        <f t="array" ref="AB19">IFERROR(INDEX('[1]Sales per type juli'!$D$10:$BA$51,MATCH($C19,'[1]Sales per type juli'!$B$10:$B$51,0),MATCH("Y05e",'[1]Sales per type juli'!$D$8:$BA$8,0)+1),0)</f>
        <v>0</v>
      </c>
      <c r="AC19" s="192">
        <f>AA19-AB19</f>
        <v>2099000</v>
      </c>
      <c r="AD19" s="192">
        <f>IFERROR(INDEX('[1]SALES PERTYPE'!$L$10:$L$52,MATCH($C19,'[1]SALES PERTYPE'!$B$10:$B$52,0)),0)</f>
        <v>2</v>
      </c>
      <c r="AE19" s="192">
        <f>IFERROR(INDEX('[1]Sales per type juli'!$D$10:$BA$51,MATCH($C19,'[1]Sales per type juli'!$B$10:$B$51,0),MATCH("V70",'[1]Sales per type juli'!$D$8:$BA$8,0)),0)</f>
        <v>3</v>
      </c>
      <c r="AF19" s="192">
        <f>AD19-AE19</f>
        <v>-1</v>
      </c>
      <c r="AG19" s="192">
        <f>IFERROR(INDEX('[1]SALES PERTYPE'!$M$10:$M$52,MATCH($C19,'[1]SALES PERTYPE'!$B$10:$B$52,0)),0)</f>
        <v>19998000</v>
      </c>
      <c r="AH19" s="192" cm="1">
        <f t="array" ref="AH19">IFERROR(INDEX('[1]Sales per type juli'!$D$10:$BA$51,MATCH($C19,'[1]Sales per type juli'!$B$10:$B$51,0),MATCH("V70",'[1]Sales per type juli'!$D$8:$BA$8,0)+1),0)</f>
        <v>28997000</v>
      </c>
      <c r="AI19" s="192">
        <f>AG19-AH19</f>
        <v>-8999000</v>
      </c>
      <c r="AJ19" s="192">
        <f>IFERROR(INDEX('[1]SALES PERTYPE'!$N$10:$N$52,MATCH($C19,'[1]SALES PERTYPE'!$B$10:$B$52,0)),0)</f>
        <v>2</v>
      </c>
      <c r="AK19" s="192">
        <f>IFERROR(INDEX('[1]Sales per type juli'!$D$10:$BA$51,MATCH($C19,'[1]Sales per type juli'!$B$10:$B$51,0),MATCH("Y31d Pro",'[1]Sales per type juli'!$D$8:$BA$8,0)),0)</f>
        <v>3</v>
      </c>
      <c r="AL19" s="192">
        <f>AJ19-AK19</f>
        <v>-1</v>
      </c>
      <c r="AM19" s="192">
        <f>IFERROR(INDEX('[1]SALES PERTYPE'!$O$10:$O$52,MATCH($C19,'[1]SALES PERTYPE'!$B$10:$B$52,0)),0)</f>
        <v>9798000</v>
      </c>
      <c r="AN19" s="192" cm="1">
        <f t="array" ref="AN19">IFERROR(INDEX('[1]Sales per type juli'!$D$10:$BA$51,MATCH($C19,'[1]Sales per type juli'!$B$10:$B$51,0),MATCH("Y31d Pro",'[1]Sales per type juli'!$D$8:$BA$8,0)+1),0)</f>
        <v>12097000</v>
      </c>
      <c r="AO19" s="192">
        <f>AM19-AN19</f>
        <v>-2299000</v>
      </c>
      <c r="AP19" s="192">
        <f>IFERROR(INDEX('[1]SALES PERTYPE'!$P$10:$P$52,MATCH($C19,'[1]SALES PERTYPE'!$B$10:$B$52,0)),0)</f>
        <v>0</v>
      </c>
      <c r="AQ19" s="192" cm="1">
        <f t="array" ref="AQ19">IFERROR(INDEX('[1]Sales per type juli'!$D$10:$BA$51,MATCH($C19,'[1]Sales per type juli'!$B$10:$B$51,0),$FG$2),0)</f>
        <v>0</v>
      </c>
      <c r="AR19" s="192">
        <f>AP19-AQ19</f>
        <v>0</v>
      </c>
      <c r="AS19" s="192">
        <f>IFERROR(INDEX('[1]SALES PERTYPE'!$Q$10:$Q$52,MATCH($C19,'[1]SALES PERTYPE'!$B$10:$B$52,0)),0)</f>
        <v>0</v>
      </c>
      <c r="AT19" s="192" cm="1">
        <f t="array" ref="AT19">IFERROR(INDEX('[1]Sales per type juli'!$D$10:$BA$51,MATCH($C19,'[1]Sales per type juli'!$B$10:$B$51,0),$FG$2+1),0)</f>
        <v>0</v>
      </c>
      <c r="AU19" s="192">
        <f>AS19-AT19</f>
        <v>0</v>
      </c>
      <c r="AV19" s="192">
        <f>IFERROR(INDEX('[1]SALES PERTYPE'!$R$10:$R$52,MATCH($C19,'[1]SALES PERTYPE'!$B$10:$B$52,0)),0)</f>
        <v>0</v>
      </c>
      <c r="AW19" s="192">
        <f>IFERROR(INDEX('[1]Sales per type juli'!$D$10:$BA$51,MATCH($C19,'[1]Sales per type juli'!$B$10:$B$51,0),MATCH("Y31d ",'[1]Sales per type juli'!$D$8:$BA$8,0)),0)</f>
        <v>2</v>
      </c>
      <c r="AX19" s="192">
        <f>AV19-AW19</f>
        <v>-2</v>
      </c>
      <c r="AY19" s="192">
        <f>IFERROR(INDEX('[1]SALES PERTYPE'!$S$10:$S$52,MATCH($C19,'[1]SALES PERTYPE'!$B$10:$B$52,0)),0)</f>
        <v>0</v>
      </c>
      <c r="AZ19" s="192" cm="1">
        <f t="array" ref="AZ19">IFERROR(INDEX('[1]Sales per type juli'!$D$10:$BA$51,MATCH($C19,'[1]Sales per type juli'!$B$10:$B$51,0),MATCH("Y31d ",'[1]Sales per type juli'!$D$8:$BA$8,0)+1),0)</f>
        <v>7198000</v>
      </c>
      <c r="BA19" s="192">
        <f>AY19-AZ19</f>
        <v>-7198000</v>
      </c>
      <c r="BB19" s="192">
        <f>IFERROR(INDEX('[1]SALES PERTYPE'!$T$10:$T$52,MATCH($C19,'[1]SALES PERTYPE'!$B$10:$B$52,0)),0)</f>
        <v>2</v>
      </c>
      <c r="BC19" s="192">
        <f>IFERROR(INDEX('[1]Sales per type juli'!$D$10:$BA$51,MATCH($C19,'[1]Sales per type juli'!$B$10:$B$51,0),MATCH("V70 FE",'[1]Sales per type juli'!$D$8:$BA$8,0)),0)</f>
        <v>0</v>
      </c>
      <c r="BD19" s="192">
        <f>BB19-BC19</f>
        <v>2</v>
      </c>
      <c r="BE19" s="192">
        <f>IFERROR(INDEX('[1]SALES PERTYPE'!$U$10:$U$52,MATCH($C19,'[1]SALES PERTYPE'!$B$10:$B$52,0)),0)</f>
        <v>13498000</v>
      </c>
      <c r="BF19" s="192" cm="1">
        <f t="array" ref="BF19">IFERROR(INDEX('[1]Sales per type juli'!$D$10:$BA$51,MATCH($C19,'[1]Sales per type juli'!$B$10:$B$51,0),MATCH("V70 FE",'[1]Sales per type juli'!$D$8:$BA$8,0)+1),0)</f>
        <v>0</v>
      </c>
      <c r="BG19" s="192">
        <f>BE19-BF19</f>
        <v>13498000</v>
      </c>
      <c r="BH19" s="192">
        <f>IFERROR(INDEX('[1]SALES PERTYPE'!$V$10:$V$52,MATCH($C19,'[1]SALES PERTYPE'!$B$10:$B$52,0)),0)</f>
        <v>0</v>
      </c>
      <c r="BI19" s="192">
        <f>IFERROR(INDEX('[1]Sales per type juli'!$D$10:$BA$51,MATCH($C19,'[1]Sales per type juli'!$B$10:$B$51,0),MATCH("Y31d",'[1]Sales per type juli'!$D$8:$BA$8,0)),0)</f>
        <v>1</v>
      </c>
      <c r="BJ19" s="192">
        <f>BH19-BI19</f>
        <v>-1</v>
      </c>
      <c r="BK19" s="192">
        <f>IFERROR(INDEX('[1]SALES PERTYPE'!$W$10:$W$52,MATCH($C19,'[1]SALES PERTYPE'!$B$10:$B$52,0)),0)</f>
        <v>0</v>
      </c>
      <c r="BL19" s="192" cm="1">
        <f t="array" ref="BL19">IFERROR(INDEX('[1]Sales per type juli'!$D$10:$BA$51,MATCH($C19,'[1]Sales per type juli'!$B$10:$B$51,0),MATCH("Y31d",'[1]Sales per type juli'!$D$8:$BA$8,0)+1),0)</f>
        <v>3599000</v>
      </c>
      <c r="BM19" s="192">
        <f>BK19-BL19</f>
        <v>-3599000</v>
      </c>
      <c r="BN19" s="192">
        <f>IFERROR(INDEX('[1]SALES PERTYPE'!$X$10:$X$52,MATCH($C19,'[1]SALES PERTYPE'!$B$10:$B$52,0)),0)</f>
        <v>0</v>
      </c>
      <c r="BO19" s="192">
        <f>IFERROR(INDEX('[1]Sales per type juli'!$D$10:$BA$51,MATCH($C19,'[1]Sales per type juli'!$B$10:$B$51,0),MATCH("Y500",'[1]Sales per type juli'!$D$8:$BA$8,0)),0)</f>
        <v>4</v>
      </c>
      <c r="BP19" s="192">
        <f>BN19-BO19</f>
        <v>-4</v>
      </c>
      <c r="BQ19" s="192">
        <f>IFERROR(INDEX('[1]SALES PERTYPE'!$Y$10:$Y$52,MATCH($C19,'[1]SALES PERTYPE'!$B$10:$B$52,0)),0)</f>
        <v>0</v>
      </c>
      <c r="BR19" s="192" cm="1">
        <f t="array" ref="BR19">IFERROR(INDEX('[1]Sales per type juli'!$D$10:$BA$51,MATCH($C19,'[1]Sales per type juli'!$B$10:$B$51,0),MATCH("Y500",'[1]Sales per type juli'!$D$8:$BA$8,0)+1),0)</f>
        <v>21996000</v>
      </c>
      <c r="BS19" s="192">
        <f>BQ19-BR19</f>
        <v>-21996000</v>
      </c>
      <c r="BT19" s="192">
        <f>IFERROR(INDEX('[1]SALES PERTYPE'!$Z$10:$Z$52,MATCH($C19,'[1]SALES PERTYPE'!$B$10:$B$52,0)),0)</f>
        <v>0</v>
      </c>
      <c r="BU19" s="192">
        <f>IFERROR(INDEX('[1]Sales per type juli'!$D$10:$BA$51,MATCH($C19,'[1]Sales per type juli'!$B$10:$B$51,0),MATCH("IQOO 15R",'[1]Sales per type juli'!$D$8:$BA$8,0)),0)</f>
        <v>1</v>
      </c>
      <c r="BV19" s="192">
        <f>BT19-BU19</f>
        <v>-1</v>
      </c>
      <c r="BW19" s="192">
        <f>IFERROR(INDEX('[1]SALES PERTYPE'!$AA$10:$AA$52,MATCH($C19,'[1]SALES PERTYPE'!$B$10:$B$52,0)),0)</f>
        <v>0</v>
      </c>
      <c r="BX19" s="192" cm="1">
        <f t="array" ref="BX19">IFERROR(INDEX('[1]Sales per type juli'!$D$10:$BA$51,MATCH($C19,'[1]Sales per type juli'!$B$10:$B$51,0),MATCH("IQOO 15R",'[1]Sales per type juli'!$D$8:$BA$8,0)+1),0)</f>
        <v>9899000</v>
      </c>
      <c r="BY19" s="192">
        <f>BW19-BX19</f>
        <v>-9899000</v>
      </c>
      <c r="BZ19" s="192">
        <f>IFERROR(INDEX('[1]SALES PERTYPE'!$AB$10:$AB$52,MATCH($C19,'[1]SALES PERTYPE'!$B$10:$B$52,0)),0)</f>
        <v>1</v>
      </c>
      <c r="CA19" s="192">
        <f>IFERROR(INDEX('[1]Sales per type juli'!$D$10:$BA$51,MATCH($C19,'[1]Sales per type juli'!$B$10:$B$51,0),MATCH("V60 Lite",'[1]Sales per type juli'!$D$8:$BA$8,0)),0)</f>
        <v>0</v>
      </c>
      <c r="CB19" s="192">
        <f>BZ19-CA19</f>
        <v>1</v>
      </c>
      <c r="CC19" s="192">
        <f>IFERROR(INDEX('[1]SALES PERTYPE'!$AC$10:$AC$52,MATCH($C19,'[1]SALES PERTYPE'!$B$10:$B$52,0)),0)</f>
        <v>5299000</v>
      </c>
      <c r="CD19" s="192" cm="1">
        <f t="array" ref="CD19">IFERROR(INDEX('[1]Sales per type juli'!$D$10:$BA$51,MATCH($C19,'[1]Sales per type juli'!$B$10:$B$51,0),MATCH("V60 Lite",'[1]Sales per type juli'!$D$8:$BA$8,0)+1),0)</f>
        <v>0</v>
      </c>
      <c r="CE19" s="192">
        <f>CC19-CD19</f>
        <v>5299000</v>
      </c>
      <c r="CF19" s="192">
        <f>IFERROR(INDEX('[1]SALES PERTYPE'!$AD$10:$AD$52,MATCH($C19,'[1]SALES PERTYPE'!$B$10:$B$52,0)),0)</f>
        <v>0</v>
      </c>
      <c r="CG19" s="192">
        <f>IFERROR(INDEX('[1]Sales per type juli'!$D$10:$BA$51,MATCH($C19,'[1]Sales per type juli'!$B$10:$B$51,0),MATCH("X300 Ultra",'[1]Sales per type juli'!$D$8:$BA$8,0)),0)</f>
        <v>0</v>
      </c>
      <c r="CH19" s="192">
        <f>CF19-CG19</f>
        <v>0</v>
      </c>
      <c r="CI19" s="192">
        <f>IFERROR(INDEX('[1]SALES PERTYPE'!$AE$10:$AE$52,MATCH($C19,'[1]SALES PERTYPE'!$B$10:$B$52,0)),0)</f>
        <v>0</v>
      </c>
      <c r="CJ19" s="192" cm="1">
        <f t="array" ref="CJ19">IFERROR(INDEX('[1]Sales per type juli'!$D$10:$BA$51,MATCH($C19,'[1]Sales per type juli'!$B$10:$B$51,0),MATCH("X300 Ultra",'[1]Sales per type juli'!$D$8:$BA$8,0)+1),0)</f>
        <v>0</v>
      </c>
      <c r="CK19" s="192">
        <f>CI19-CJ19</f>
        <v>0</v>
      </c>
      <c r="CL19" s="192">
        <f>IFERROR(INDEX('[1]SALES PERTYPE'!$AF$10:$AF$52,MATCH($C19,'[1]SALES PERTYPE'!$B$10:$B$52,0)),0)</f>
        <v>0</v>
      </c>
      <c r="CM19" s="192">
        <f>IFERROR(INDEX('[1]Sales per type juli'!$D$10:$BA$51,MATCH($C19,'[1]Sales per type juli'!$B$10:$B$51,0),MATCH("IQOO 15",'[1]Sales per type juli'!$D$8:$BA$8,0)),0)</f>
        <v>0</v>
      </c>
      <c r="CN19" s="192">
        <f>CL19-CM19</f>
        <v>0</v>
      </c>
      <c r="CO19" s="192">
        <f>IFERROR(INDEX('[1]SALES PERTYPE'!$AG$10:$AG$52,MATCH($C19,'[1]SALES PERTYPE'!$B$10:$B$52,0)),0)</f>
        <v>0</v>
      </c>
      <c r="CP19" s="192" cm="1">
        <f t="array" ref="CP19">IFERROR(INDEX('[1]Sales per type juli'!$D$10:$BA$51,MATCH($C19,'[1]Sales per type juli'!$B$10:$B$51,0),MATCH("IQOO 15",'[1]Sales per type juli'!$D$8:$BA$8,0)+1),0)</f>
        <v>0</v>
      </c>
      <c r="CQ19" s="192">
        <f>CO19-CP19</f>
        <v>0</v>
      </c>
      <c r="CR19" s="192">
        <f>IFERROR(INDEX('[1]SALES PERTYPE'!$AH$10:$AH$52,MATCH($C19,'[1]SALES PERTYPE'!$B$10:$B$52,0)),0)</f>
        <v>2</v>
      </c>
      <c r="CS19" s="192">
        <f>IFERROR(INDEX('[1]Sales per type juli'!$D$10:$BA$51,MATCH($C19,'[1]Sales per type juli'!$B$10:$B$51,0),MATCH("IQOO Z11x",'[1]Sales per type juli'!$D$8:$BA$8,0)),0)</f>
        <v>2</v>
      </c>
      <c r="CT19" s="192">
        <f>CR19-CS19</f>
        <v>0</v>
      </c>
      <c r="CU19" s="192">
        <f>IFERROR(INDEX('[1]SALES PERTYPE'!$AI$10:$AI$52,MATCH($C19,'[1]SALES PERTYPE'!$B$10:$B$52,0)),0)</f>
        <v>11398000</v>
      </c>
      <c r="CV19" s="192" cm="1">
        <f t="array" ref="CV19">IFERROR(INDEX('[1]Sales per type juli'!$D$10:$BA$51,MATCH($C19,'[1]Sales per type juli'!$B$10:$B$51,0),MATCH("IQOO Z11x",'[1]Sales per type juli'!$D$8:$BA$8,0)+1),0)</f>
        <v>9598000</v>
      </c>
      <c r="CW19" s="192">
        <f>CU19-CV19</f>
        <v>1800000</v>
      </c>
      <c r="CX19" s="192">
        <f>IFERROR(INDEX('[1]SALES PERTYPE'!$AJ$10:$AJ$52,MATCH($C19,'[1]SALES PERTYPE'!$B$10:$B$52,0)),0)</f>
        <v>2</v>
      </c>
      <c r="CY19" s="192">
        <f>IFERROR(INDEX('[1]Sales per type juli'!$D$10:$BA$51,MATCH($C19,'[1]Sales per type juli'!$B$10:$B$51,0),MATCH("IQOO Z11",'[1]Sales per type juli'!$D$8:$BA$8,0)),0)</f>
        <v>4</v>
      </c>
      <c r="CZ19" s="192">
        <f>CX19-CY19</f>
        <v>-2</v>
      </c>
      <c r="DA19" s="192">
        <f>IFERROR(INDEX('[1]SALES PERTYPE'!$AK$10:$AK$52,MATCH($C19,'[1]SALES PERTYPE'!$B$10:$B$52,0)),0)</f>
        <v>13798000</v>
      </c>
      <c r="DB19" s="192" cm="1">
        <f t="array" ref="DB19">IFERROR(INDEX('[1]Sales per type juli'!$D$10:$BA$51,MATCH($C19,'[1]Sales per type juli'!$B$10:$B$51,0),MATCH("IQOO Z11",'[1]Sales per type juli'!$D$8:$BA$8,0)+1),0)</f>
        <v>22796000</v>
      </c>
      <c r="DC19" s="192">
        <f>DA19-DB19</f>
        <v>-8998000</v>
      </c>
      <c r="DD19" s="192">
        <v>0</v>
      </c>
      <c r="DE19" s="192">
        <f>IFERROR(INDEX('[1]Sales per type juli'!$D$10:$BA$51,MATCH($C19,'[1]Sales per type juli'!$B$10:$B$51,0),MATCH("WATCH 3",'[1]Sales per type juli'!$D$8:$BA$8,0)),0)</f>
        <v>0</v>
      </c>
      <c r="DF19" s="192">
        <f>DD19-DE19</f>
        <v>0</v>
      </c>
      <c r="DG19" s="192">
        <v>0</v>
      </c>
      <c r="DH19" s="192" cm="1">
        <f t="array" ref="DH19">IFERROR(INDEX('[1]Sales per type juli'!$D$10:$BA$51,MATCH($C19,'[1]Sales per type juli'!$B$10:$B$51,0),MATCH("WATCH 3",'[1]Sales per type juli'!$D$8:$BA$8,0)+1),0)</f>
        <v>0</v>
      </c>
      <c r="DI19" s="192">
        <f>DG19-DH19</f>
        <v>0</v>
      </c>
      <c r="DJ19" s="192">
        <v>0</v>
      </c>
      <c r="DK19" s="192">
        <f>IFERROR(INDEX('[1]Sales per type juli'!$D$10:$BA$51,MATCH($C19,'[1]Sales per type juli'!$B$10:$B$51,0),MATCH("X300 Demo",'[1]Sales per type juli'!$D$8:$BA$8,0)),0)</f>
        <v>2</v>
      </c>
      <c r="DL19" s="192">
        <f>DJ19-DK19</f>
        <v>-2</v>
      </c>
      <c r="DM19" s="192">
        <v>0</v>
      </c>
      <c r="DN19" s="192" cm="1">
        <f t="array" ref="DN19">IFERROR(INDEX('[1]Sales per type juli'!$D$10:$BA$51,MATCH($C19,'[1]Sales per type juli'!$B$10:$B$51,0),MATCH("X300 Demo",'[1]Sales per type juli'!$D$8:$BA$8,0)+1),0)</f>
        <v>33998000</v>
      </c>
      <c r="DO19" s="192">
        <f>DM19-DN19</f>
        <v>-33998000</v>
      </c>
      <c r="DP19" s="192">
        <v>0</v>
      </c>
      <c r="DQ19" s="192">
        <f>IFERROR(INDEX('[1]Sales per type juli'!$D$10:$BA$51,MATCH($C19,'[1]Sales per type juli'!$B$10:$B$51,0),MATCH("X300 Pro Demo",'[1]Sales per type juli'!$D$8:$BA$8,0)),0)</f>
        <v>0</v>
      </c>
      <c r="DR19" s="192">
        <f>DP19-DQ19</f>
        <v>0</v>
      </c>
      <c r="DS19" s="192">
        <v>0</v>
      </c>
      <c r="DT19" s="192" cm="1">
        <f t="array" ref="DT19">IFERROR(INDEX('[1]Sales per type juli'!$D$10:$BA$51,MATCH($C19,'[1]Sales per type juli'!$B$10:$B$51,0),MATCH("X300 Pro Demo",'[1]Sales per type juli'!$D$8:$BA$8,0)+1),0)</f>
        <v>0</v>
      </c>
      <c r="DU19" s="192">
        <f>DS19-DT19</f>
        <v>0</v>
      </c>
      <c r="DV19" s="192">
        <v>0</v>
      </c>
      <c r="DW19" s="192">
        <f>IFERROR(INDEX('[1]Sales per type juli'!$D$10:$BA$51,MATCH($C19,'[1]Sales per type juli'!$B$10:$B$51,0),MATCH("X Fold5 DEMO",'[1]Sales per type juli'!$D$8:$BA$8,0)),0)</f>
        <v>0</v>
      </c>
      <c r="DX19" s="192">
        <f>DV19-DW19</f>
        <v>0</v>
      </c>
      <c r="DY19" s="192">
        <v>0</v>
      </c>
      <c r="DZ19" s="192" cm="1">
        <f t="array" ref="DZ19">IFERROR(INDEX('[1]Sales per type juli'!$D$10:$BA$51,MATCH($C19,'[1]Sales per type juli'!$B$10:$B$51,0),MATCH("X Fold5 DEMO",'[1]Sales per type juli'!$D$8:$BA$8,0)+1),0)</f>
        <v>0</v>
      </c>
      <c r="EA19" s="192">
        <f>DY19-DZ19</f>
        <v>0</v>
      </c>
      <c r="EB19" s="192">
        <v>0</v>
      </c>
      <c r="EC19" s="192">
        <f>IFERROR(INDEX('[1]Sales per type juli'!$D$10:$BA$51,MATCH($C19,'[1]Sales per type juli'!$B$10:$B$51,0),MATCH("X Fold5",'[1]Sales per type juli'!$D$8:$BA$8,0)),0)</f>
        <v>0</v>
      </c>
      <c r="ED19" s="192">
        <f>EB19-EC19</f>
        <v>0</v>
      </c>
      <c r="EE19" s="192">
        <v>0</v>
      </c>
      <c r="EF19" s="192" cm="1">
        <f t="array" ref="EF19">IFERROR(INDEX('[1]Sales per type juli'!$D$10:$BA$51,MATCH($C19,'[1]Sales per type juli'!$B$10:$B$51,0),MATCH("X Fold5",'[1]Sales per type juli'!$D$8:$BA$8,0)+1),0)</f>
        <v>0</v>
      </c>
      <c r="EG19" s="192">
        <f>EE19-EF19</f>
        <v>0</v>
      </c>
      <c r="EH19" s="192">
        <v>0</v>
      </c>
      <c r="EI19" s="192">
        <f>IFERROR(INDEX('[1]Sales per type juli'!$D$10:$BA$51,MATCH($C19,'[1]Sales per type juli'!$B$10:$B$51,0),MATCH("IQOO 15 Demo",'[1]Sales per type juli'!$D$8:$BA$8,0)),0)</f>
        <v>1</v>
      </c>
      <c r="EJ19" s="192">
        <f>EH19-EI19</f>
        <v>-1</v>
      </c>
      <c r="EK19" s="192">
        <v>0</v>
      </c>
      <c r="EL19" s="192" cm="1">
        <f t="array" ref="EL19">IFERROR(INDEX('[1]Sales per type juli'!$D$10:$BA$51,MATCH($C19,'[1]Sales per type juli'!$B$10:$B$51,0),MATCH("IQOO 15 Demo",'[1]Sales per type juli'!$D$8:$BA$8,0)+1),0)</f>
        <v>13999000</v>
      </c>
      <c r="EM19" s="192">
        <f>EK19-EL19</f>
        <v>-13999000</v>
      </c>
      <c r="EN19" s="192">
        <v>0</v>
      </c>
      <c r="EO19" s="192">
        <f>IFERROR(INDEX('[1]Sales per type juli'!$D$10:$BA$51,MATCH($C19,'[1]Sales per type juli'!$B$10:$B$51,0),MATCH("X300 PRO",'[1]Sales per type juli'!$D$8:$BA$8,0)),0)</f>
        <v>0</v>
      </c>
      <c r="EP19" s="192">
        <f>EN19-EO19</f>
        <v>0</v>
      </c>
      <c r="EQ19" s="192">
        <v>0</v>
      </c>
      <c r="ER19" s="192" cm="1">
        <f t="array" ref="ER19">IFERROR(INDEX('[1]Sales per type juli'!$D$10:$BA$51,MATCH($C19,'[1]Sales per type juli'!$B$10:$B$51,0),MATCH("X300 PRO",'[1]Sales per type juli'!$D$8:$BA$8,0)+1),0)</f>
        <v>0</v>
      </c>
      <c r="ES19" s="192">
        <f>EQ19-ER19</f>
        <v>0</v>
      </c>
      <c r="ET19" s="192">
        <v>0</v>
      </c>
      <c r="EU19" s="192">
        <f>IFERROR(INDEX('[1]Sales per type juli'!$D$10:$BA$51,MATCH($C19,'[1]Sales per type juli'!$B$10:$B$51,0),MATCH("X300 ",'[1]Sales per type juli'!$D$8:$BA$8,0)),0)</f>
        <v>0</v>
      </c>
      <c r="EV19" s="192">
        <f>ET19-EU19</f>
        <v>0</v>
      </c>
      <c r="EW19" s="192">
        <v>0</v>
      </c>
      <c r="EX19" s="192" cm="1">
        <f t="array" ref="EX19">IFERROR(INDEX('[1]Sales per type juli'!$D$10:$BA$51,MATCH($C19,'[1]Sales per type juli'!$B$10:$B$51,0),MATCH("X300 ",'[1]Sales per type juli'!$D$8:$BA$8,0)+1),0)</f>
        <v>0</v>
      </c>
      <c r="EY19" s="192">
        <f>EW19-EX19</f>
        <v>0</v>
      </c>
      <c r="EZ19" s="192">
        <f>F19+L19+R19+X19+AD19+AJ19+AP19+AV19+BB19+BH19+BN19+BT19+BZ19+CF19+CL19+CR19+CX19+DD19+DJ19+DP19+DV19+EB19+EH19+EN19+ET19</f>
        <v>18</v>
      </c>
      <c r="FA19" s="192">
        <f>G19+M19+S19+Y19+AE19+AK19+AQ19+AW19+BC19+BI19+BO19+BU19+CA19+CG19+CM19+CS19+CY19+DE19+DK19+DQ19+DW19+EC19+EI19+EO19+EU19</f>
        <v>29</v>
      </c>
      <c r="FB19" s="192">
        <f>EZ19-FA19</f>
        <v>-11</v>
      </c>
      <c r="FC19" s="192">
        <f>I19+O19+U19+AA19+AG19+AM19+AS19+AY19+BE19+BK19+BQ19+BW19+CC19+CI19+CO19+CU19+DA19+DG19+DM19+DS19+DY19+EE19+EK19+EQ19+EW19</f>
        <v>92182000</v>
      </c>
      <c r="FD19" s="192">
        <f>J19+P19+V19+AB19+AH19+AN19+AT19+AZ19+BF19+BL19+BR19+BX19+CD19+CJ19+CP19+CV19+DB19+DH19+DN19+DT19+DZ19+EF19+EL19+ER19+EX19</f>
        <v>177371000</v>
      </c>
      <c r="FE19" s="192">
        <f>FC19-FD19</f>
        <v>-85189000</v>
      </c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</row>
    <row r="20" spans="1:208" ht="16" x14ac:dyDescent="0.2">
      <c r="A20" s="139">
        <f>'[1]ACHIEVEMENT STORE'!A20</f>
        <v>16</v>
      </c>
      <c r="B20" s="140" t="str">
        <f>'[1]ACHIEVEMENT STORE'!B20</f>
        <v>605 勿加泗 BEKASI</v>
      </c>
      <c r="C20" s="139">
        <f>'[1]ACHIEVEMENT STORE'!C20</f>
        <v>6220701</v>
      </c>
      <c r="D20" s="140" t="str">
        <f>'[1]ACHIEVEMENT STORE'!D20</f>
        <v>6220701-MVS MBH-VIP VIVO STORE-DD284</v>
      </c>
      <c r="E20" s="140" t="str">
        <f>'[1]ACHIEVEMENT STORE'!E20</f>
        <v>M RIZKI</v>
      </c>
      <c r="F20" s="192">
        <f>IFERROR(INDEX('[1]SALES PERTYPE'!$D$10:$D$52,MATCH($C20,'[1]SALES PERTYPE'!$B$10:$B$52,0)),0)</f>
        <v>5</v>
      </c>
      <c r="G20" s="192">
        <f>IFERROR(INDEX('[1]Sales per type juli'!$D$10:$BA$51,MATCH($C20,'[1]Sales per type juli'!$B$10:$B$51,0),MATCH("Y05",'[1]Sales per type juli'!$D$8:$BA$8,0)),0)</f>
        <v>8</v>
      </c>
      <c r="H20" s="192">
        <f>F20-G20</f>
        <v>-3</v>
      </c>
      <c r="I20" s="192">
        <f>IFERROR(INDEX('[1]SALES PERTYPE'!$E$10:$E$52,MATCH($C20,'[1]SALES PERTYPE'!$B$10:$B$52,0)),0)</f>
        <v>11795000</v>
      </c>
      <c r="J20" s="192" cm="1">
        <f t="array" ref="J20">IFERROR(INDEX('[1]Sales per type juli'!$D$10:$BA$51,MATCH($C20,'[1]Sales per type juli'!$B$10:$B$51,0),MATCH("Y05",'[1]Sales per type juli'!$D$8:$BA$8,0)+1),0)</f>
        <v>18292000</v>
      </c>
      <c r="K20" s="192">
        <f>I20-J20</f>
        <v>-6497000</v>
      </c>
      <c r="L20" s="192">
        <f>IFERROR(INDEX('[1]SALES PERTYPE'!$F$10:$F$52,MATCH($C20,'[1]SALES PERTYPE'!$B$10:$B$52,0)),0)</f>
        <v>5</v>
      </c>
      <c r="M20" s="192">
        <f>IFERROR(INDEX('[1]Sales per type juli'!$D$10:$BA$51,MATCH($C20,'[1]Sales per type juli'!$B$10:$B$51,0),MATCH("Y11d",'[1]Sales per type juli'!$D$8:$BA$8,0)),0)</f>
        <v>1</v>
      </c>
      <c r="N20" s="192">
        <f>L20-M20</f>
        <v>4</v>
      </c>
      <c r="O20" s="192">
        <f>IFERROR(INDEX('[1]SALES PERTYPE'!$G$10:$G$52,MATCH($C20,'[1]SALES PERTYPE'!$B$10:$B$52,0)),0)</f>
        <v>13995000</v>
      </c>
      <c r="P20" s="192" cm="1">
        <f t="array" ref="P20">IFERROR(INDEX('[1]Sales per type juli'!$D$10:$BA$51,MATCH($C20,'[1]Sales per type juli'!$B$10:$B$51,0),MATCH("Y11d",'[1]Sales per type juli'!$D$8:$BA$8,0)+1),0)</f>
        <v>2399000</v>
      </c>
      <c r="Q20" s="192">
        <f>O20-P20</f>
        <v>11596000</v>
      </c>
      <c r="R20" s="192">
        <f>IFERROR(INDEX('[1]SALES PERTYPE'!$H$10:$H$52,MATCH($C20,'[1]SALES PERTYPE'!$B$10:$B$52,0)),0)</f>
        <v>0</v>
      </c>
      <c r="S20" s="192">
        <f>IFERROR(INDEX('[1]Sales per type juli'!$D$10:$BA$51,MATCH($C20,'[1]Sales per type juli'!$B$10:$B$51,0),MATCH("Watch GT 2",'[1]Sales per type juli'!$D$8:$BA$8,0)),0)</f>
        <v>0</v>
      </c>
      <c r="T20" s="192">
        <f>R20-S20</f>
        <v>0</v>
      </c>
      <c r="U20" s="192">
        <f>IFERROR(INDEX('[1]SALES PERTYPE'!$I$10:$I$52,MATCH($C20,'[1]SALES PERTYPE'!$B$10:$B$52,0)),0)</f>
        <v>0</v>
      </c>
      <c r="V20" s="192" cm="1">
        <f t="array" ref="V20">IFERROR(INDEX('[1]Sales per type juli'!$D$10:$BA$51,MATCH($C20,'[1]Sales per type juli'!$B$10:$B$51,0),MATCH("Watch GT 2",'[1]Sales per type juli'!$D$8:$BA$8,0)+1),0)</f>
        <v>0</v>
      </c>
      <c r="W20" s="192">
        <f>U20-V20</f>
        <v>0</v>
      </c>
      <c r="X20" s="192">
        <f>IFERROR(INDEX('[1]SALES PERTYPE'!$J$10:$J$52,MATCH($C20,'[1]SALES PERTYPE'!$B$10:$B$52,0)),0)</f>
        <v>1</v>
      </c>
      <c r="Y20" s="192">
        <f>IFERROR(INDEX('[1]Sales per type juli'!$D$10:$BA$51,MATCH($C20,'[1]Sales per type juli'!$B$10:$B$51,0),MATCH("Y05e",'[1]Sales per type juli'!$D$8:$BA$8,0)),0)</f>
        <v>0</v>
      </c>
      <c r="Z20" s="192">
        <f>X20-Y20</f>
        <v>1</v>
      </c>
      <c r="AA20" s="192">
        <f>IFERROR(INDEX('[1]SALES PERTYPE'!$K$10:$K$52,MATCH($C20,'[1]SALES PERTYPE'!$B$10:$B$52,0)),0)</f>
        <v>2099000</v>
      </c>
      <c r="AB20" s="192" cm="1">
        <f t="array" ref="AB20">IFERROR(INDEX('[1]Sales per type juli'!$D$10:$BA$51,MATCH($C20,'[1]Sales per type juli'!$B$10:$B$51,0),MATCH("Y05e",'[1]Sales per type juli'!$D$8:$BA$8,0)+1),0)</f>
        <v>0</v>
      </c>
      <c r="AC20" s="192">
        <f>AA20-AB20</f>
        <v>2099000</v>
      </c>
      <c r="AD20" s="192">
        <f>IFERROR(INDEX('[1]SALES PERTYPE'!$L$10:$L$52,MATCH($C20,'[1]SALES PERTYPE'!$B$10:$B$52,0)),0)</f>
        <v>0</v>
      </c>
      <c r="AE20" s="192">
        <f>IFERROR(INDEX('[1]Sales per type juli'!$D$10:$BA$51,MATCH($C20,'[1]Sales per type juli'!$B$10:$B$51,0),MATCH("V70",'[1]Sales per type juli'!$D$8:$BA$8,0)),0)</f>
        <v>3</v>
      </c>
      <c r="AF20" s="192">
        <f>AD20-AE20</f>
        <v>-3</v>
      </c>
      <c r="AG20" s="192">
        <f>IFERROR(INDEX('[1]SALES PERTYPE'!$M$10:$M$52,MATCH($C20,'[1]SALES PERTYPE'!$B$10:$B$52,0)),0)</f>
        <v>0</v>
      </c>
      <c r="AH20" s="192" cm="1">
        <f t="array" ref="AH20">IFERROR(INDEX('[1]Sales per type juli'!$D$10:$BA$51,MATCH($C20,'[1]Sales per type juli'!$B$10:$B$51,0),MATCH("V70",'[1]Sales per type juli'!$D$8:$BA$8,0)+1),0)</f>
        <v>30997000</v>
      </c>
      <c r="AI20" s="192">
        <f>AG20-AH20</f>
        <v>-30997000</v>
      </c>
      <c r="AJ20" s="192">
        <f>IFERROR(INDEX('[1]SALES PERTYPE'!$N$10:$N$52,MATCH($C20,'[1]SALES PERTYPE'!$B$10:$B$52,0)),0)</f>
        <v>4</v>
      </c>
      <c r="AK20" s="192">
        <f>IFERROR(INDEX('[1]Sales per type juli'!$D$10:$BA$51,MATCH($C20,'[1]Sales per type juli'!$B$10:$B$51,0),MATCH("Y31d Pro",'[1]Sales per type juli'!$D$8:$BA$8,0)),0)</f>
        <v>2</v>
      </c>
      <c r="AL20" s="192">
        <f>AJ20-AK20</f>
        <v>2</v>
      </c>
      <c r="AM20" s="192">
        <f>IFERROR(INDEX('[1]SALES PERTYPE'!$O$10:$O$52,MATCH($C20,'[1]SALES PERTYPE'!$B$10:$B$52,0)),0)</f>
        <v>16796000</v>
      </c>
      <c r="AN20" s="192" cm="1">
        <f t="array" ref="AN20">IFERROR(INDEX('[1]Sales per type juli'!$D$10:$BA$51,MATCH($C20,'[1]Sales per type juli'!$B$10:$B$51,0),MATCH("Y31d Pro",'[1]Sales per type juli'!$D$8:$BA$8,0)+1),0)</f>
        <v>8598000</v>
      </c>
      <c r="AO20" s="192">
        <f>AM20-AN20</f>
        <v>8198000</v>
      </c>
      <c r="AP20" s="192">
        <f>IFERROR(INDEX('[1]SALES PERTYPE'!$P$10:$P$52,MATCH($C20,'[1]SALES PERTYPE'!$B$10:$B$52,0)),0)</f>
        <v>0</v>
      </c>
      <c r="AQ20" s="192" cm="1">
        <f t="array" ref="AQ20">IFERROR(INDEX('[1]Sales per type juli'!$D$10:$BA$51,MATCH($C20,'[1]Sales per type juli'!$B$10:$B$51,0),$FG$2),0)</f>
        <v>0</v>
      </c>
      <c r="AR20" s="192">
        <f>AP20-AQ20</f>
        <v>0</v>
      </c>
      <c r="AS20" s="192">
        <f>IFERROR(INDEX('[1]SALES PERTYPE'!$Q$10:$Q$52,MATCH($C20,'[1]SALES PERTYPE'!$B$10:$B$52,0)),0)</f>
        <v>0</v>
      </c>
      <c r="AT20" s="192" cm="1">
        <f t="array" ref="AT20">IFERROR(INDEX('[1]Sales per type juli'!$D$10:$BA$51,MATCH($C20,'[1]Sales per type juli'!$B$10:$B$51,0),$FG$2+1),0)</f>
        <v>0</v>
      </c>
      <c r="AU20" s="192">
        <f>AS20-AT20</f>
        <v>0</v>
      </c>
      <c r="AV20" s="192">
        <f>IFERROR(INDEX('[1]SALES PERTYPE'!$R$10:$R$52,MATCH($C20,'[1]SALES PERTYPE'!$B$10:$B$52,0)),0)</f>
        <v>0</v>
      </c>
      <c r="AW20" s="192">
        <f>IFERROR(INDEX('[1]Sales per type juli'!$D$10:$BA$51,MATCH($C20,'[1]Sales per type juli'!$B$10:$B$51,0),MATCH("Y31d ",'[1]Sales per type juli'!$D$8:$BA$8,0)),0)</f>
        <v>0</v>
      </c>
      <c r="AX20" s="192">
        <f>AV20-AW20</f>
        <v>0</v>
      </c>
      <c r="AY20" s="192">
        <f>IFERROR(INDEX('[1]SALES PERTYPE'!$S$10:$S$52,MATCH($C20,'[1]SALES PERTYPE'!$B$10:$B$52,0)),0)</f>
        <v>0</v>
      </c>
      <c r="AZ20" s="192" cm="1">
        <f t="array" ref="AZ20">IFERROR(INDEX('[1]Sales per type juli'!$D$10:$BA$51,MATCH($C20,'[1]Sales per type juli'!$B$10:$B$51,0),MATCH("Y31d ",'[1]Sales per type juli'!$D$8:$BA$8,0)+1),0)</f>
        <v>0</v>
      </c>
      <c r="BA20" s="192">
        <f>AY20-AZ20</f>
        <v>0</v>
      </c>
      <c r="BB20" s="192">
        <f>IFERROR(INDEX('[1]SALES PERTYPE'!$T$10:$T$52,MATCH($C20,'[1]SALES PERTYPE'!$B$10:$B$52,0)),0)</f>
        <v>0</v>
      </c>
      <c r="BC20" s="192">
        <f>IFERROR(INDEX('[1]Sales per type juli'!$D$10:$BA$51,MATCH($C20,'[1]Sales per type juli'!$B$10:$B$51,0),MATCH("V70 FE",'[1]Sales per type juli'!$D$8:$BA$8,0)),0)</f>
        <v>3</v>
      </c>
      <c r="BD20" s="192">
        <f>BB20-BC20</f>
        <v>-3</v>
      </c>
      <c r="BE20" s="192">
        <f>IFERROR(INDEX('[1]SALES PERTYPE'!$U$10:$U$52,MATCH($C20,'[1]SALES PERTYPE'!$B$10:$B$52,0)),0)</f>
        <v>0</v>
      </c>
      <c r="BF20" s="192" cm="1">
        <f t="array" ref="BF20">IFERROR(INDEX('[1]Sales per type juli'!$D$10:$BA$51,MATCH($C20,'[1]Sales per type juli'!$B$10:$B$51,0),MATCH("V70 FE",'[1]Sales per type juli'!$D$8:$BA$8,0)+1),0)</f>
        <v>20897000</v>
      </c>
      <c r="BG20" s="192">
        <f>BE20-BF20</f>
        <v>-20897000</v>
      </c>
      <c r="BH20" s="192">
        <f>IFERROR(INDEX('[1]SALES PERTYPE'!$V$10:$V$52,MATCH($C20,'[1]SALES PERTYPE'!$B$10:$B$52,0)),0)</f>
        <v>0</v>
      </c>
      <c r="BI20" s="192">
        <f>IFERROR(INDEX('[1]Sales per type juli'!$D$10:$BA$51,MATCH($C20,'[1]Sales per type juli'!$B$10:$B$51,0),MATCH("Y31d",'[1]Sales per type juli'!$D$8:$BA$8,0)),0)</f>
        <v>1</v>
      </c>
      <c r="BJ20" s="192">
        <f>BH20-BI20</f>
        <v>-1</v>
      </c>
      <c r="BK20" s="192">
        <f>IFERROR(INDEX('[1]SALES PERTYPE'!$W$10:$W$52,MATCH($C20,'[1]SALES PERTYPE'!$B$10:$B$52,0)),0)</f>
        <v>0</v>
      </c>
      <c r="BL20" s="192" cm="1">
        <f t="array" ref="BL20">IFERROR(INDEX('[1]Sales per type juli'!$D$10:$BA$51,MATCH($C20,'[1]Sales per type juli'!$B$10:$B$51,0),MATCH("Y31d",'[1]Sales per type juli'!$D$8:$BA$8,0)+1),0)</f>
        <v>3599000</v>
      </c>
      <c r="BM20" s="192">
        <f>BK20-BL20</f>
        <v>-3599000</v>
      </c>
      <c r="BN20" s="192">
        <f>IFERROR(INDEX('[1]SALES PERTYPE'!$X$10:$X$52,MATCH($C20,'[1]SALES PERTYPE'!$B$10:$B$52,0)),0)</f>
        <v>1</v>
      </c>
      <c r="BO20" s="192">
        <f>IFERROR(INDEX('[1]Sales per type juli'!$D$10:$BA$51,MATCH($C20,'[1]Sales per type juli'!$B$10:$B$51,0),MATCH("Y500",'[1]Sales per type juli'!$D$8:$BA$8,0)),0)</f>
        <v>1</v>
      </c>
      <c r="BP20" s="192">
        <f>BN20-BO20</f>
        <v>0</v>
      </c>
      <c r="BQ20" s="192">
        <f>IFERROR(INDEX('[1]SALES PERTYPE'!$Y$10:$Y$52,MATCH($C20,'[1]SALES PERTYPE'!$B$10:$B$52,0)),0)</f>
        <v>6299000</v>
      </c>
      <c r="BR20" s="192" cm="1">
        <f t="array" ref="BR20">IFERROR(INDEX('[1]Sales per type juli'!$D$10:$BA$51,MATCH($C20,'[1]Sales per type juli'!$B$10:$B$51,0),MATCH("Y500",'[1]Sales per type juli'!$D$8:$BA$8,0)+1),0)</f>
        <v>6299000</v>
      </c>
      <c r="BS20" s="192">
        <f>BQ20-BR20</f>
        <v>0</v>
      </c>
      <c r="BT20" s="192">
        <f>IFERROR(INDEX('[1]SALES PERTYPE'!$Z$10:$Z$52,MATCH($C20,'[1]SALES PERTYPE'!$B$10:$B$52,0)),0)</f>
        <v>0</v>
      </c>
      <c r="BU20" s="192">
        <f>IFERROR(INDEX('[1]Sales per type juli'!$D$10:$BA$51,MATCH($C20,'[1]Sales per type juli'!$B$10:$B$51,0),MATCH("IQOO 15R",'[1]Sales per type juli'!$D$8:$BA$8,0)),0)</f>
        <v>2</v>
      </c>
      <c r="BV20" s="192">
        <f>BT20-BU20</f>
        <v>-2</v>
      </c>
      <c r="BW20" s="192">
        <f>IFERROR(INDEX('[1]SALES PERTYPE'!$AA$10:$AA$52,MATCH($C20,'[1]SALES PERTYPE'!$B$10:$B$52,0)),0)</f>
        <v>0</v>
      </c>
      <c r="BX20" s="192" cm="1">
        <f t="array" ref="BX20">IFERROR(INDEX('[1]Sales per type juli'!$D$10:$BA$51,MATCH($C20,'[1]Sales per type juli'!$B$10:$B$51,0),MATCH("IQOO 15R",'[1]Sales per type juli'!$D$8:$BA$8,0)+1),0)</f>
        <v>19798000</v>
      </c>
      <c r="BY20" s="192">
        <f>BW20-BX20</f>
        <v>-19798000</v>
      </c>
      <c r="BZ20" s="192">
        <f>IFERROR(INDEX('[1]SALES PERTYPE'!$AB$10:$AB$52,MATCH($C20,'[1]SALES PERTYPE'!$B$10:$B$52,0)),0)</f>
        <v>1</v>
      </c>
      <c r="CA20" s="192">
        <f>IFERROR(INDEX('[1]Sales per type juli'!$D$10:$BA$51,MATCH($C20,'[1]Sales per type juli'!$B$10:$B$51,0),MATCH("V60 Lite",'[1]Sales per type juli'!$D$8:$BA$8,0)),0)</f>
        <v>2</v>
      </c>
      <c r="CB20" s="192">
        <f>BZ20-CA20</f>
        <v>-1</v>
      </c>
      <c r="CC20" s="192">
        <f>IFERROR(INDEX('[1]SALES PERTYPE'!$AC$10:$AC$52,MATCH($C20,'[1]SALES PERTYPE'!$B$10:$B$52,0)),0)</f>
        <v>5999000</v>
      </c>
      <c r="CD20" s="192" cm="1">
        <f t="array" ref="CD20">IFERROR(INDEX('[1]Sales per type juli'!$D$10:$BA$51,MATCH($C20,'[1]Sales per type juli'!$B$10:$B$51,0),MATCH("V60 Lite",'[1]Sales per type juli'!$D$8:$BA$8,0)+1),0)</f>
        <v>10598000</v>
      </c>
      <c r="CE20" s="192">
        <f>CC20-CD20</f>
        <v>-4599000</v>
      </c>
      <c r="CF20" s="192">
        <f>IFERROR(INDEX('[1]SALES PERTYPE'!$AD$10:$AD$52,MATCH($C20,'[1]SALES PERTYPE'!$B$10:$B$52,0)),0)</f>
        <v>0</v>
      </c>
      <c r="CG20" s="192">
        <f>IFERROR(INDEX('[1]Sales per type juli'!$D$10:$BA$51,MATCH($C20,'[1]Sales per type juli'!$B$10:$B$51,0),MATCH("X300 Ultra",'[1]Sales per type juli'!$D$8:$BA$8,0)),0)</f>
        <v>0</v>
      </c>
      <c r="CH20" s="192">
        <f>CF20-CG20</f>
        <v>0</v>
      </c>
      <c r="CI20" s="192">
        <f>IFERROR(INDEX('[1]SALES PERTYPE'!$AE$10:$AE$52,MATCH($C20,'[1]SALES PERTYPE'!$B$10:$B$52,0)),0)</f>
        <v>0</v>
      </c>
      <c r="CJ20" s="192" cm="1">
        <f t="array" ref="CJ20">IFERROR(INDEX('[1]Sales per type juli'!$D$10:$BA$51,MATCH($C20,'[1]Sales per type juli'!$B$10:$B$51,0),MATCH("X300 Ultra",'[1]Sales per type juli'!$D$8:$BA$8,0)+1),0)</f>
        <v>0</v>
      </c>
      <c r="CK20" s="192">
        <f>CI20-CJ20</f>
        <v>0</v>
      </c>
      <c r="CL20" s="192">
        <f>IFERROR(INDEX('[1]SALES PERTYPE'!$AF$10:$AF$52,MATCH($C20,'[1]SALES PERTYPE'!$B$10:$B$52,0)),0)</f>
        <v>0</v>
      </c>
      <c r="CM20" s="192">
        <f>IFERROR(INDEX('[1]Sales per type juli'!$D$10:$BA$51,MATCH($C20,'[1]Sales per type juli'!$B$10:$B$51,0),MATCH("IQOO 15",'[1]Sales per type juli'!$D$8:$BA$8,0)),0)</f>
        <v>0</v>
      </c>
      <c r="CN20" s="192">
        <f>CL20-CM20</f>
        <v>0</v>
      </c>
      <c r="CO20" s="192">
        <f>IFERROR(INDEX('[1]SALES PERTYPE'!$AG$10:$AG$52,MATCH($C20,'[1]SALES PERTYPE'!$B$10:$B$52,0)),0)</f>
        <v>0</v>
      </c>
      <c r="CP20" s="192" cm="1">
        <f t="array" ref="CP20">IFERROR(INDEX('[1]Sales per type juli'!$D$10:$BA$51,MATCH($C20,'[1]Sales per type juli'!$B$10:$B$51,0),MATCH("IQOO 15",'[1]Sales per type juli'!$D$8:$BA$8,0)+1),0)</f>
        <v>0</v>
      </c>
      <c r="CQ20" s="192">
        <f>CO20-CP20</f>
        <v>0</v>
      </c>
      <c r="CR20" s="192">
        <f>IFERROR(INDEX('[1]SALES PERTYPE'!$AH$10:$AH$52,MATCH($C20,'[1]SALES PERTYPE'!$B$10:$B$52,0)),0)</f>
        <v>1</v>
      </c>
      <c r="CS20" s="192">
        <f>IFERROR(INDEX('[1]Sales per type juli'!$D$10:$BA$51,MATCH($C20,'[1]Sales per type juli'!$B$10:$B$51,0),MATCH("IQOO Z11x",'[1]Sales per type juli'!$D$8:$BA$8,0)),0)</f>
        <v>2</v>
      </c>
      <c r="CT20" s="192">
        <f>CR20-CS20</f>
        <v>-1</v>
      </c>
      <c r="CU20" s="192">
        <f>IFERROR(INDEX('[1]SALES PERTYPE'!$AI$10:$AI$52,MATCH($C20,'[1]SALES PERTYPE'!$B$10:$B$52,0)),0)</f>
        <v>5699000</v>
      </c>
      <c r="CV20" s="192" cm="1">
        <f t="array" ref="CV20">IFERROR(INDEX('[1]Sales per type juli'!$D$10:$BA$51,MATCH($C20,'[1]Sales per type juli'!$B$10:$B$51,0),MATCH("IQOO Z11x",'[1]Sales per type juli'!$D$8:$BA$8,0)+1),0)</f>
        <v>9598000</v>
      </c>
      <c r="CW20" s="192">
        <f>CU20-CV20</f>
        <v>-3899000</v>
      </c>
      <c r="CX20" s="192">
        <f>IFERROR(INDEX('[1]SALES PERTYPE'!$AJ$10:$AJ$52,MATCH($C20,'[1]SALES PERTYPE'!$B$10:$B$52,0)),0)</f>
        <v>0</v>
      </c>
      <c r="CY20" s="192">
        <f>IFERROR(INDEX('[1]Sales per type juli'!$D$10:$BA$51,MATCH($C20,'[1]Sales per type juli'!$B$10:$B$51,0),MATCH("IQOO Z11",'[1]Sales per type juli'!$D$8:$BA$8,0)),0)</f>
        <v>1</v>
      </c>
      <c r="CZ20" s="192">
        <f>CX20-CY20</f>
        <v>-1</v>
      </c>
      <c r="DA20" s="192">
        <f>IFERROR(INDEX('[1]SALES PERTYPE'!$AK$10:$AK$52,MATCH($C20,'[1]SALES PERTYPE'!$B$10:$B$52,0)),0)</f>
        <v>0</v>
      </c>
      <c r="DB20" s="192" cm="1">
        <f t="array" ref="DB20">IFERROR(INDEX('[1]Sales per type juli'!$D$10:$BA$51,MATCH($C20,'[1]Sales per type juli'!$B$10:$B$51,0),MATCH("IQOO Z11",'[1]Sales per type juli'!$D$8:$BA$8,0)+1),0)</f>
        <v>5699000</v>
      </c>
      <c r="DC20" s="192">
        <f>DA20-DB20</f>
        <v>-5699000</v>
      </c>
      <c r="DD20" s="192">
        <v>0</v>
      </c>
      <c r="DE20" s="192">
        <f>IFERROR(INDEX('[1]Sales per type juli'!$D$10:$BA$51,MATCH($C20,'[1]Sales per type juli'!$B$10:$B$51,0),MATCH("WATCH 3",'[1]Sales per type juli'!$D$8:$BA$8,0)),0)</f>
        <v>0</v>
      </c>
      <c r="DF20" s="192">
        <f>DD20-DE20</f>
        <v>0</v>
      </c>
      <c r="DG20" s="192">
        <v>0</v>
      </c>
      <c r="DH20" s="192" cm="1">
        <f t="array" ref="DH20">IFERROR(INDEX('[1]Sales per type juli'!$D$10:$BA$51,MATCH($C20,'[1]Sales per type juli'!$B$10:$B$51,0),MATCH("WATCH 3",'[1]Sales per type juli'!$D$8:$BA$8,0)+1),0)</f>
        <v>0</v>
      </c>
      <c r="DI20" s="192">
        <f>DG20-DH20</f>
        <v>0</v>
      </c>
      <c r="DJ20" s="192">
        <v>0</v>
      </c>
      <c r="DK20" s="192">
        <f>IFERROR(INDEX('[1]Sales per type juli'!$D$10:$BA$51,MATCH($C20,'[1]Sales per type juli'!$B$10:$B$51,0),MATCH("X300 Demo",'[1]Sales per type juli'!$D$8:$BA$8,0)),0)</f>
        <v>3</v>
      </c>
      <c r="DL20" s="192">
        <f>DJ20-DK20</f>
        <v>-3</v>
      </c>
      <c r="DM20" s="192">
        <v>0</v>
      </c>
      <c r="DN20" s="192" cm="1">
        <f t="array" ref="DN20">IFERROR(INDEX('[1]Sales per type juli'!$D$10:$BA$51,MATCH($C20,'[1]Sales per type juli'!$B$10:$B$51,0),MATCH("X300 Demo",'[1]Sales per type juli'!$D$8:$BA$8,0)+1),0)</f>
        <v>48997000</v>
      </c>
      <c r="DO20" s="192">
        <f>DM20-DN20</f>
        <v>-48997000</v>
      </c>
      <c r="DP20" s="192">
        <v>0</v>
      </c>
      <c r="DQ20" s="192">
        <f>IFERROR(INDEX('[1]Sales per type juli'!$D$10:$BA$51,MATCH($C20,'[1]Sales per type juli'!$B$10:$B$51,0),MATCH("X300 Pro Demo",'[1]Sales per type juli'!$D$8:$BA$8,0)),0)</f>
        <v>0</v>
      </c>
      <c r="DR20" s="192">
        <f>DP20-DQ20</f>
        <v>0</v>
      </c>
      <c r="DS20" s="192">
        <v>0</v>
      </c>
      <c r="DT20" s="192" cm="1">
        <f t="array" ref="DT20">IFERROR(INDEX('[1]Sales per type juli'!$D$10:$BA$51,MATCH($C20,'[1]Sales per type juli'!$B$10:$B$51,0),MATCH("X300 Pro Demo",'[1]Sales per type juli'!$D$8:$BA$8,0)+1),0)</f>
        <v>0</v>
      </c>
      <c r="DU20" s="192">
        <f>DS20-DT20</f>
        <v>0</v>
      </c>
      <c r="DV20" s="192">
        <v>0</v>
      </c>
      <c r="DW20" s="192">
        <f>IFERROR(INDEX('[1]Sales per type juli'!$D$10:$BA$51,MATCH($C20,'[1]Sales per type juli'!$B$10:$B$51,0),MATCH("X Fold5 DEMO",'[1]Sales per type juli'!$D$8:$BA$8,0)),0)</f>
        <v>0</v>
      </c>
      <c r="DX20" s="192">
        <f>DV20-DW20</f>
        <v>0</v>
      </c>
      <c r="DY20" s="192">
        <v>0</v>
      </c>
      <c r="DZ20" s="192" cm="1">
        <f t="array" ref="DZ20">IFERROR(INDEX('[1]Sales per type juli'!$D$10:$BA$51,MATCH($C20,'[1]Sales per type juli'!$B$10:$B$51,0),MATCH("X Fold5 DEMO",'[1]Sales per type juli'!$D$8:$BA$8,0)+1),0)</f>
        <v>0</v>
      </c>
      <c r="EA20" s="192">
        <f>DY20-DZ20</f>
        <v>0</v>
      </c>
      <c r="EB20" s="192">
        <v>0</v>
      </c>
      <c r="EC20" s="192">
        <f>IFERROR(INDEX('[1]Sales per type juli'!$D$10:$BA$51,MATCH($C20,'[1]Sales per type juli'!$B$10:$B$51,0),MATCH("X Fold5",'[1]Sales per type juli'!$D$8:$BA$8,0)),0)</f>
        <v>0</v>
      </c>
      <c r="ED20" s="192">
        <f>EB20-EC20</f>
        <v>0</v>
      </c>
      <c r="EE20" s="192">
        <v>0</v>
      </c>
      <c r="EF20" s="192" cm="1">
        <f t="array" ref="EF20">IFERROR(INDEX('[1]Sales per type juli'!$D$10:$BA$51,MATCH($C20,'[1]Sales per type juli'!$B$10:$B$51,0),MATCH("X Fold5",'[1]Sales per type juli'!$D$8:$BA$8,0)+1),0)</f>
        <v>0</v>
      </c>
      <c r="EG20" s="192">
        <f>EE20-EF20</f>
        <v>0</v>
      </c>
      <c r="EH20" s="192">
        <v>0</v>
      </c>
      <c r="EI20" s="192">
        <f>IFERROR(INDEX('[1]Sales per type juli'!$D$10:$BA$51,MATCH($C20,'[1]Sales per type juli'!$B$10:$B$51,0),MATCH("IQOO 15 Demo",'[1]Sales per type juli'!$D$8:$BA$8,0)),0)</f>
        <v>1</v>
      </c>
      <c r="EJ20" s="192">
        <f>EH20-EI20</f>
        <v>-1</v>
      </c>
      <c r="EK20" s="192">
        <v>0</v>
      </c>
      <c r="EL20" s="192" cm="1">
        <f t="array" ref="EL20">IFERROR(INDEX('[1]Sales per type juli'!$D$10:$BA$51,MATCH($C20,'[1]Sales per type juli'!$B$10:$B$51,0),MATCH("IQOO 15 Demo",'[1]Sales per type juli'!$D$8:$BA$8,0)+1),0)</f>
        <v>13999000</v>
      </c>
      <c r="EM20" s="192">
        <f>EK20-EL20</f>
        <v>-13999000</v>
      </c>
      <c r="EN20" s="192">
        <v>0</v>
      </c>
      <c r="EO20" s="192">
        <f>IFERROR(INDEX('[1]Sales per type juli'!$D$10:$BA$51,MATCH($C20,'[1]Sales per type juli'!$B$10:$B$51,0),MATCH("X300 PRO",'[1]Sales per type juli'!$D$8:$BA$8,0)),0)</f>
        <v>0</v>
      </c>
      <c r="EP20" s="192">
        <f>EN20-EO20</f>
        <v>0</v>
      </c>
      <c r="EQ20" s="192">
        <v>0</v>
      </c>
      <c r="ER20" s="192" cm="1">
        <f t="array" ref="ER20">IFERROR(INDEX('[1]Sales per type juli'!$D$10:$BA$51,MATCH($C20,'[1]Sales per type juli'!$B$10:$B$51,0),MATCH("X300 PRO",'[1]Sales per type juli'!$D$8:$BA$8,0)+1),0)</f>
        <v>0</v>
      </c>
      <c r="ES20" s="192">
        <f>EQ20-ER20</f>
        <v>0</v>
      </c>
      <c r="ET20" s="192">
        <v>0</v>
      </c>
      <c r="EU20" s="192">
        <f>IFERROR(INDEX('[1]Sales per type juli'!$D$10:$BA$51,MATCH($C20,'[1]Sales per type juli'!$B$10:$B$51,0),MATCH("X300 ",'[1]Sales per type juli'!$D$8:$BA$8,0)),0)</f>
        <v>0</v>
      </c>
      <c r="EV20" s="192">
        <f>ET20-EU20</f>
        <v>0</v>
      </c>
      <c r="EW20" s="192">
        <v>0</v>
      </c>
      <c r="EX20" s="192" cm="1">
        <f t="array" ref="EX20">IFERROR(INDEX('[1]Sales per type juli'!$D$10:$BA$51,MATCH($C20,'[1]Sales per type juli'!$B$10:$B$51,0),MATCH("X300 ",'[1]Sales per type juli'!$D$8:$BA$8,0)+1),0)</f>
        <v>0</v>
      </c>
      <c r="EY20" s="192">
        <f>EW20-EX20</f>
        <v>0</v>
      </c>
      <c r="EZ20" s="192">
        <f>F20+L20+R20+X20+AD20+AJ20+AP20+AV20+BB20+BH20+BN20+BT20+BZ20+CF20+CL20+CR20+CX20+DD20+DJ20+DP20+DV20+EB20+EH20+EN20+ET20</f>
        <v>18</v>
      </c>
      <c r="FA20" s="192">
        <f>G20+M20+S20+Y20+AE20+AK20+AQ20+AW20+BC20+BI20+BO20+BU20+CA20+CG20+CM20+CS20+CY20+DE20+DK20+DQ20+DW20+EC20+EI20+EO20+EU20</f>
        <v>30</v>
      </c>
      <c r="FB20" s="192">
        <f>EZ20-FA20</f>
        <v>-12</v>
      </c>
      <c r="FC20" s="192">
        <f>I20+O20+U20+AA20+AG20+AM20+AS20+AY20+BE20+BK20+BQ20+BW20+CC20+CI20+CO20+CU20+DA20+DG20+DM20+DS20+DY20+EE20+EK20+EQ20+EW20</f>
        <v>62682000</v>
      </c>
      <c r="FD20" s="192">
        <f>J20+P20+V20+AB20+AH20+AN20+AT20+AZ20+BF20+BL20+BR20+BX20+CD20+CJ20+CP20+CV20+DB20+DH20+DN20+DT20+DZ20+EF20+EL20+ER20+EX20</f>
        <v>199770000</v>
      </c>
      <c r="FE20" s="192">
        <f>FC20-FD20</f>
        <v>-137088000</v>
      </c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</row>
    <row r="21" spans="1:208" ht="16" x14ac:dyDescent="0.2">
      <c r="A21" s="137">
        <f>'[1]ACHIEVEMENT STORE'!A21</f>
        <v>17</v>
      </c>
      <c r="B21" s="138" t="str">
        <f>'[1]ACHIEVEMENT STORE'!B21</f>
        <v>605 勿加泗 BEKASI</v>
      </c>
      <c r="C21" s="137">
        <f>'[1]ACHIEVEMENT STORE'!C21</f>
        <v>6050705</v>
      </c>
      <c r="D21" s="138" t="str">
        <f>'[1]ACHIEVEMENT STORE'!D21</f>
        <v>6050705-MBH 2F009</v>
      </c>
      <c r="E21" s="138" t="str">
        <f>'[1]ACHIEVEMENT STORE'!E21</f>
        <v>M RIZKI</v>
      </c>
      <c r="F21" s="192">
        <f>IFERROR(INDEX('[1]SALES PERTYPE'!$D$10:$D$52,MATCH($C21,'[1]SALES PERTYPE'!$B$10:$B$52,0)),0)</f>
        <v>0</v>
      </c>
      <c r="G21" s="192">
        <f>IFERROR(INDEX('[1]Sales per type juli'!$D$10:$BA$51,MATCH($C21,'[1]Sales per type juli'!$B$10:$B$51,0),MATCH("Y05",'[1]Sales per type juli'!$D$8:$BA$8,0)),0)</f>
        <v>5</v>
      </c>
      <c r="H21" s="192">
        <f>F21-G21</f>
        <v>-5</v>
      </c>
      <c r="I21" s="192">
        <f>IFERROR(INDEX('[1]SALES PERTYPE'!$E$10:$E$52,MATCH($C21,'[1]SALES PERTYPE'!$B$10:$B$52,0)),0)</f>
        <v>0</v>
      </c>
      <c r="J21" s="192" cm="1">
        <f t="array" ref="J21">IFERROR(INDEX('[1]Sales per type juli'!$D$10:$BA$51,MATCH($C21,'[1]Sales per type juli'!$B$10:$B$51,0),MATCH("Y05",'[1]Sales per type juli'!$D$8:$BA$8,0)+1),0)</f>
        <v>10795000</v>
      </c>
      <c r="K21" s="192">
        <f>I21-J21</f>
        <v>-10795000</v>
      </c>
      <c r="L21" s="192">
        <f>IFERROR(INDEX('[1]SALES PERTYPE'!$F$10:$F$52,MATCH($C21,'[1]SALES PERTYPE'!$B$10:$B$52,0)),0)</f>
        <v>3</v>
      </c>
      <c r="M21" s="192">
        <f>IFERROR(INDEX('[1]Sales per type juli'!$D$10:$BA$51,MATCH($C21,'[1]Sales per type juli'!$B$10:$B$51,0),MATCH("Y11d",'[1]Sales per type juli'!$D$8:$BA$8,0)),0)</f>
        <v>3</v>
      </c>
      <c r="N21" s="192">
        <f>L21-M21</f>
        <v>0</v>
      </c>
      <c r="O21" s="192">
        <f>IFERROR(INDEX('[1]SALES PERTYPE'!$G$10:$G$52,MATCH($C21,'[1]SALES PERTYPE'!$B$10:$B$52,0)),0)</f>
        <v>7597000</v>
      </c>
      <c r="P21" s="192" cm="1">
        <f t="array" ref="P21">IFERROR(INDEX('[1]Sales per type juli'!$D$10:$BA$51,MATCH($C21,'[1]Sales per type juli'!$B$10:$B$51,0),MATCH("Y11d",'[1]Sales per type juli'!$D$8:$BA$8,0)+1),0)</f>
        <v>8397000</v>
      </c>
      <c r="Q21" s="192">
        <f>O21-P21</f>
        <v>-800000</v>
      </c>
      <c r="R21" s="192">
        <f>IFERROR(INDEX('[1]SALES PERTYPE'!$H$10:$H$52,MATCH($C21,'[1]SALES PERTYPE'!$B$10:$B$52,0)),0)</f>
        <v>0</v>
      </c>
      <c r="S21" s="192">
        <f>IFERROR(INDEX('[1]Sales per type juli'!$D$10:$BA$51,MATCH($C21,'[1]Sales per type juli'!$B$10:$B$51,0),MATCH("Watch GT 2",'[1]Sales per type juli'!$D$8:$BA$8,0)),0)</f>
        <v>1</v>
      </c>
      <c r="T21" s="192">
        <f>R21-S21</f>
        <v>-1</v>
      </c>
      <c r="U21" s="192">
        <f>IFERROR(INDEX('[1]SALES PERTYPE'!$I$10:$I$52,MATCH($C21,'[1]SALES PERTYPE'!$B$10:$B$52,0)),0)</f>
        <v>0</v>
      </c>
      <c r="V21" s="192" cm="1">
        <f t="array" ref="V21">IFERROR(INDEX('[1]Sales per type juli'!$D$10:$BA$51,MATCH($C21,'[1]Sales per type juli'!$B$10:$B$51,0),MATCH("Watch GT 2",'[1]Sales per type juli'!$D$8:$BA$8,0)+1),0)</f>
        <v>1799000</v>
      </c>
      <c r="W21" s="192">
        <f>U21-V21</f>
        <v>-1799000</v>
      </c>
      <c r="X21" s="192">
        <f>IFERROR(INDEX('[1]SALES PERTYPE'!$J$10:$J$52,MATCH($C21,'[1]SALES PERTYPE'!$B$10:$B$52,0)),0)</f>
        <v>1</v>
      </c>
      <c r="Y21" s="192">
        <f>IFERROR(INDEX('[1]Sales per type juli'!$D$10:$BA$51,MATCH($C21,'[1]Sales per type juli'!$B$10:$B$51,0),MATCH("Y05e",'[1]Sales per type juli'!$D$8:$BA$8,0)),0)</f>
        <v>0</v>
      </c>
      <c r="Z21" s="192">
        <f>X21-Y21</f>
        <v>1</v>
      </c>
      <c r="AA21" s="192">
        <f>IFERROR(INDEX('[1]SALES PERTYPE'!$K$10:$K$52,MATCH($C21,'[1]SALES PERTYPE'!$B$10:$B$52,0)),0)</f>
        <v>2099000</v>
      </c>
      <c r="AB21" s="192" cm="1">
        <f t="array" ref="AB21">IFERROR(INDEX('[1]Sales per type juli'!$D$10:$BA$51,MATCH($C21,'[1]Sales per type juli'!$B$10:$B$51,0),MATCH("Y05e",'[1]Sales per type juli'!$D$8:$BA$8,0)+1),0)</f>
        <v>0</v>
      </c>
      <c r="AC21" s="192">
        <f>AA21-AB21</f>
        <v>2099000</v>
      </c>
      <c r="AD21" s="192">
        <f>IFERROR(INDEX('[1]SALES PERTYPE'!$L$10:$L$52,MATCH($C21,'[1]SALES PERTYPE'!$B$10:$B$52,0)),0)</f>
        <v>0</v>
      </c>
      <c r="AE21" s="192">
        <f>IFERROR(INDEX('[1]Sales per type juli'!$D$10:$BA$51,MATCH($C21,'[1]Sales per type juli'!$B$10:$B$51,0),MATCH("V70",'[1]Sales per type juli'!$D$8:$BA$8,0)),0)</f>
        <v>4</v>
      </c>
      <c r="AF21" s="192">
        <f>AD21-AE21</f>
        <v>-4</v>
      </c>
      <c r="AG21" s="192">
        <f>IFERROR(INDEX('[1]SALES PERTYPE'!$M$10:$M$52,MATCH($C21,'[1]SALES PERTYPE'!$B$10:$B$52,0)),0)</f>
        <v>0</v>
      </c>
      <c r="AH21" s="192" cm="1">
        <f t="array" ref="AH21">IFERROR(INDEX('[1]Sales per type juli'!$D$10:$BA$51,MATCH($C21,'[1]Sales per type juli'!$B$10:$B$51,0),MATCH("V70",'[1]Sales per type juli'!$D$8:$BA$8,0)+1),0)</f>
        <v>37996000</v>
      </c>
      <c r="AI21" s="192">
        <f>AG21-AH21</f>
        <v>-37996000</v>
      </c>
      <c r="AJ21" s="192">
        <f>IFERROR(INDEX('[1]SALES PERTYPE'!$N$10:$N$52,MATCH($C21,'[1]SALES PERTYPE'!$B$10:$B$52,0)),0)</f>
        <v>5</v>
      </c>
      <c r="AK21" s="192">
        <f>IFERROR(INDEX('[1]Sales per type juli'!$D$10:$BA$51,MATCH($C21,'[1]Sales per type juli'!$B$10:$B$51,0),MATCH("Y31d Pro",'[1]Sales per type juli'!$D$8:$BA$8,0)),0)</f>
        <v>1</v>
      </c>
      <c r="AL21" s="192">
        <f>AJ21-AK21</f>
        <v>4</v>
      </c>
      <c r="AM21" s="192">
        <f>IFERROR(INDEX('[1]SALES PERTYPE'!$O$10:$O$52,MATCH($C21,'[1]SALES PERTYPE'!$B$10:$B$52,0)),0)</f>
        <v>22495000</v>
      </c>
      <c r="AN21" s="192" cm="1">
        <f t="array" ref="AN21">IFERROR(INDEX('[1]Sales per type juli'!$D$10:$BA$51,MATCH($C21,'[1]Sales per type juli'!$B$10:$B$51,0),MATCH("Y31d Pro",'[1]Sales per type juli'!$D$8:$BA$8,0)+1),0)</f>
        <v>3899000</v>
      </c>
      <c r="AO21" s="192">
        <f>AM21-AN21</f>
        <v>18596000</v>
      </c>
      <c r="AP21" s="192">
        <f>IFERROR(INDEX('[1]SALES PERTYPE'!$P$10:$P$52,MATCH($C21,'[1]SALES PERTYPE'!$B$10:$B$52,0)),0)</f>
        <v>1</v>
      </c>
      <c r="AQ21" s="192" cm="1">
        <f t="array" ref="AQ21">IFERROR(INDEX('[1]Sales per type juli'!$D$10:$BA$51,MATCH($C21,'[1]Sales per type juli'!$B$10:$B$51,0),$FG$2),0)</f>
        <v>1</v>
      </c>
      <c r="AR21" s="192">
        <f>AP21-AQ21</f>
        <v>0</v>
      </c>
      <c r="AS21" s="192">
        <f>IFERROR(INDEX('[1]SALES PERTYPE'!$Q$10:$Q$52,MATCH($C21,'[1]SALES PERTYPE'!$B$10:$B$52,0)),0)</f>
        <v>3599000</v>
      </c>
      <c r="AT21" s="192" cm="1">
        <f t="array" ref="AT21">IFERROR(INDEX('[1]Sales per type juli'!$D$10:$BA$51,MATCH($C21,'[1]Sales per type juli'!$B$10:$B$51,0),$FG$2+1),0)</f>
        <v>3599000</v>
      </c>
      <c r="AU21" s="192">
        <f>AS21-AT21</f>
        <v>0</v>
      </c>
      <c r="AV21" s="192">
        <f>IFERROR(INDEX('[1]SALES PERTYPE'!$R$10:$R$52,MATCH($C21,'[1]SALES PERTYPE'!$B$10:$B$52,0)),0)</f>
        <v>0</v>
      </c>
      <c r="AW21" s="192">
        <f>IFERROR(INDEX('[1]Sales per type juli'!$D$10:$BA$51,MATCH($C21,'[1]Sales per type juli'!$B$10:$B$51,0),MATCH("Y31d ",'[1]Sales per type juli'!$D$8:$BA$8,0)),0)</f>
        <v>0</v>
      </c>
      <c r="AX21" s="192">
        <f>AV21-AW21</f>
        <v>0</v>
      </c>
      <c r="AY21" s="192">
        <f>IFERROR(INDEX('[1]SALES PERTYPE'!$S$10:$S$52,MATCH($C21,'[1]SALES PERTYPE'!$B$10:$B$52,0)),0)</f>
        <v>0</v>
      </c>
      <c r="AZ21" s="192" cm="1">
        <f t="array" ref="AZ21">IFERROR(INDEX('[1]Sales per type juli'!$D$10:$BA$51,MATCH($C21,'[1]Sales per type juli'!$B$10:$B$51,0),MATCH("Y31d ",'[1]Sales per type juli'!$D$8:$BA$8,0)+1),0)</f>
        <v>0</v>
      </c>
      <c r="BA21" s="192">
        <f>AY21-AZ21</f>
        <v>0</v>
      </c>
      <c r="BB21" s="192">
        <f>IFERROR(INDEX('[1]SALES PERTYPE'!$T$10:$T$52,MATCH($C21,'[1]SALES PERTYPE'!$B$10:$B$52,0)),0)</f>
        <v>0</v>
      </c>
      <c r="BC21" s="192">
        <f>IFERROR(INDEX('[1]Sales per type juli'!$D$10:$BA$51,MATCH($C21,'[1]Sales per type juli'!$B$10:$B$51,0),MATCH("V70 FE",'[1]Sales per type juli'!$D$8:$BA$8,0)),0)</f>
        <v>1</v>
      </c>
      <c r="BD21" s="192">
        <f>BB21-BC21</f>
        <v>-1</v>
      </c>
      <c r="BE21" s="192">
        <f>IFERROR(INDEX('[1]SALES PERTYPE'!$U$10:$U$52,MATCH($C21,'[1]SALES PERTYPE'!$B$10:$B$52,0)),0)</f>
        <v>0</v>
      </c>
      <c r="BF21" s="192" cm="1">
        <f t="array" ref="BF21">IFERROR(INDEX('[1]Sales per type juli'!$D$10:$BA$51,MATCH($C21,'[1]Sales per type juli'!$B$10:$B$51,0),MATCH("V70 FE",'[1]Sales per type juli'!$D$8:$BA$8,0)+1),0)</f>
        <v>6499000</v>
      </c>
      <c r="BG21" s="192">
        <f>BE21-BF21</f>
        <v>-6499000</v>
      </c>
      <c r="BH21" s="192">
        <f>IFERROR(INDEX('[1]SALES PERTYPE'!$V$10:$V$52,MATCH($C21,'[1]SALES PERTYPE'!$B$10:$B$52,0)),0)</f>
        <v>0</v>
      </c>
      <c r="BI21" s="192">
        <f>IFERROR(INDEX('[1]Sales per type juli'!$D$10:$BA$51,MATCH($C21,'[1]Sales per type juli'!$B$10:$B$51,0),MATCH("Y31d",'[1]Sales per type juli'!$D$8:$BA$8,0)),0)</f>
        <v>0</v>
      </c>
      <c r="BJ21" s="192">
        <f>BH21-BI21</f>
        <v>0</v>
      </c>
      <c r="BK21" s="192">
        <f>IFERROR(INDEX('[1]SALES PERTYPE'!$W$10:$W$52,MATCH($C21,'[1]SALES PERTYPE'!$B$10:$B$52,0)),0)</f>
        <v>0</v>
      </c>
      <c r="BL21" s="192" cm="1">
        <f t="array" ref="BL21">IFERROR(INDEX('[1]Sales per type juli'!$D$10:$BA$51,MATCH($C21,'[1]Sales per type juli'!$B$10:$B$51,0),MATCH("Y31d",'[1]Sales per type juli'!$D$8:$BA$8,0)+1),0)</f>
        <v>0</v>
      </c>
      <c r="BM21" s="192">
        <f>BK21-BL21</f>
        <v>0</v>
      </c>
      <c r="BN21" s="192">
        <f>IFERROR(INDEX('[1]SALES PERTYPE'!$X$10:$X$52,MATCH($C21,'[1]SALES PERTYPE'!$B$10:$B$52,0)),0)</f>
        <v>1</v>
      </c>
      <c r="BO21" s="192">
        <f>IFERROR(INDEX('[1]Sales per type juli'!$D$10:$BA$51,MATCH($C21,'[1]Sales per type juli'!$B$10:$B$51,0),MATCH("Y500",'[1]Sales per type juli'!$D$8:$BA$8,0)),0)</f>
        <v>0</v>
      </c>
      <c r="BP21" s="192">
        <f>BN21-BO21</f>
        <v>1</v>
      </c>
      <c r="BQ21" s="192">
        <f>IFERROR(INDEX('[1]SALES PERTYPE'!$Y$10:$Y$52,MATCH($C21,'[1]SALES PERTYPE'!$B$10:$B$52,0)),0)</f>
        <v>6299000</v>
      </c>
      <c r="BR21" s="192" cm="1">
        <f t="array" ref="BR21">IFERROR(INDEX('[1]Sales per type juli'!$D$10:$BA$51,MATCH($C21,'[1]Sales per type juli'!$B$10:$B$51,0),MATCH("Y500",'[1]Sales per type juli'!$D$8:$BA$8,0)+1),0)</f>
        <v>0</v>
      </c>
      <c r="BS21" s="192">
        <f>BQ21-BR21</f>
        <v>6299000</v>
      </c>
      <c r="BT21" s="192">
        <f>IFERROR(INDEX('[1]SALES PERTYPE'!$Z$10:$Z$52,MATCH($C21,'[1]SALES PERTYPE'!$B$10:$B$52,0)),0)</f>
        <v>1</v>
      </c>
      <c r="BU21" s="192">
        <f>IFERROR(INDEX('[1]Sales per type juli'!$D$10:$BA$51,MATCH($C21,'[1]Sales per type juli'!$B$10:$B$51,0),MATCH("IQOO 15R",'[1]Sales per type juli'!$D$8:$BA$8,0)),0)</f>
        <v>0</v>
      </c>
      <c r="BV21" s="192">
        <f>BT21-BU21</f>
        <v>1</v>
      </c>
      <c r="BW21" s="192">
        <f>IFERROR(INDEX('[1]SALES PERTYPE'!$AA$10:$AA$52,MATCH($C21,'[1]SALES PERTYPE'!$B$10:$B$52,0)),0)</f>
        <v>11999000</v>
      </c>
      <c r="BX21" s="192" cm="1">
        <f t="array" ref="BX21">IFERROR(INDEX('[1]Sales per type juli'!$D$10:$BA$51,MATCH($C21,'[1]Sales per type juli'!$B$10:$B$51,0),MATCH("IQOO 15R",'[1]Sales per type juli'!$D$8:$BA$8,0)+1),0)</f>
        <v>0</v>
      </c>
      <c r="BY21" s="192">
        <f>BW21-BX21</f>
        <v>11999000</v>
      </c>
      <c r="BZ21" s="192">
        <f>IFERROR(INDEX('[1]SALES PERTYPE'!$AB$10:$AB$52,MATCH($C21,'[1]SALES PERTYPE'!$B$10:$B$52,0)),0)</f>
        <v>0</v>
      </c>
      <c r="CA21" s="192">
        <f>IFERROR(INDEX('[1]Sales per type juli'!$D$10:$BA$51,MATCH($C21,'[1]Sales per type juli'!$B$10:$B$51,0),MATCH("V60 Lite",'[1]Sales per type juli'!$D$8:$BA$8,0)),0)</f>
        <v>2</v>
      </c>
      <c r="CB21" s="192">
        <f>BZ21-CA21</f>
        <v>-2</v>
      </c>
      <c r="CC21" s="192">
        <f>IFERROR(INDEX('[1]SALES PERTYPE'!$AC$10:$AC$52,MATCH($C21,'[1]SALES PERTYPE'!$B$10:$B$52,0)),0)</f>
        <v>0</v>
      </c>
      <c r="CD21" s="192" cm="1">
        <f t="array" ref="CD21">IFERROR(INDEX('[1]Sales per type juli'!$D$10:$BA$51,MATCH($C21,'[1]Sales per type juli'!$B$10:$B$51,0),MATCH("V60 Lite",'[1]Sales per type juli'!$D$8:$BA$8,0)+1),0)</f>
        <v>11298000</v>
      </c>
      <c r="CE21" s="192">
        <f>CC21-CD21</f>
        <v>-11298000</v>
      </c>
      <c r="CF21" s="192">
        <f>IFERROR(INDEX('[1]SALES PERTYPE'!$AD$10:$AD$52,MATCH($C21,'[1]SALES PERTYPE'!$B$10:$B$52,0)),0)</f>
        <v>0</v>
      </c>
      <c r="CG21" s="192">
        <f>IFERROR(INDEX('[1]Sales per type juli'!$D$10:$BA$51,MATCH($C21,'[1]Sales per type juli'!$B$10:$B$51,0),MATCH("X300 Ultra",'[1]Sales per type juli'!$D$8:$BA$8,0)),0)</f>
        <v>0</v>
      </c>
      <c r="CH21" s="192">
        <f>CF21-CG21</f>
        <v>0</v>
      </c>
      <c r="CI21" s="192">
        <f>IFERROR(INDEX('[1]SALES PERTYPE'!$AE$10:$AE$52,MATCH($C21,'[1]SALES PERTYPE'!$B$10:$B$52,0)),0)</f>
        <v>0</v>
      </c>
      <c r="CJ21" s="192" cm="1">
        <f t="array" ref="CJ21">IFERROR(INDEX('[1]Sales per type juli'!$D$10:$BA$51,MATCH($C21,'[1]Sales per type juli'!$B$10:$B$51,0),MATCH("X300 Ultra",'[1]Sales per type juli'!$D$8:$BA$8,0)+1),0)</f>
        <v>0</v>
      </c>
      <c r="CK21" s="192">
        <f>CI21-CJ21</f>
        <v>0</v>
      </c>
      <c r="CL21" s="192">
        <f>IFERROR(INDEX('[1]SALES PERTYPE'!$AF$10:$AF$52,MATCH($C21,'[1]SALES PERTYPE'!$B$10:$B$52,0)),0)</f>
        <v>0</v>
      </c>
      <c r="CM21" s="192">
        <f>IFERROR(INDEX('[1]Sales per type juli'!$D$10:$BA$51,MATCH($C21,'[1]Sales per type juli'!$B$10:$B$51,0),MATCH("IQOO 15",'[1]Sales per type juli'!$D$8:$BA$8,0)),0)</f>
        <v>0</v>
      </c>
      <c r="CN21" s="192">
        <f>CL21-CM21</f>
        <v>0</v>
      </c>
      <c r="CO21" s="192">
        <f>IFERROR(INDEX('[1]SALES PERTYPE'!$AG$10:$AG$52,MATCH($C21,'[1]SALES PERTYPE'!$B$10:$B$52,0)),0)</f>
        <v>0</v>
      </c>
      <c r="CP21" s="192" cm="1">
        <f t="array" ref="CP21">IFERROR(INDEX('[1]Sales per type juli'!$D$10:$BA$51,MATCH($C21,'[1]Sales per type juli'!$B$10:$B$51,0),MATCH("IQOO 15",'[1]Sales per type juli'!$D$8:$BA$8,0)+1),0)</f>
        <v>0</v>
      </c>
      <c r="CQ21" s="192">
        <f>CO21-CP21</f>
        <v>0</v>
      </c>
      <c r="CR21" s="192">
        <f>IFERROR(INDEX('[1]SALES PERTYPE'!$AH$10:$AH$52,MATCH($C21,'[1]SALES PERTYPE'!$B$10:$B$52,0)),0)</f>
        <v>0</v>
      </c>
      <c r="CS21" s="192">
        <f>IFERROR(INDEX('[1]Sales per type juli'!$D$10:$BA$51,MATCH($C21,'[1]Sales per type juli'!$B$10:$B$51,0),MATCH("IQOO Z11x",'[1]Sales per type juli'!$D$8:$BA$8,0)),0)</f>
        <v>1</v>
      </c>
      <c r="CT21" s="192">
        <f>CR21-CS21</f>
        <v>-1</v>
      </c>
      <c r="CU21" s="192">
        <f>IFERROR(INDEX('[1]SALES PERTYPE'!$AI$10:$AI$52,MATCH($C21,'[1]SALES PERTYPE'!$B$10:$B$52,0)),0)</f>
        <v>0</v>
      </c>
      <c r="CV21" s="192" cm="1">
        <f t="array" ref="CV21">IFERROR(INDEX('[1]Sales per type juli'!$D$10:$BA$51,MATCH($C21,'[1]Sales per type juli'!$B$10:$B$51,0),MATCH("IQOO Z11x",'[1]Sales per type juli'!$D$8:$BA$8,0)+1),0)</f>
        <v>4799000</v>
      </c>
      <c r="CW21" s="192">
        <f>CU21-CV21</f>
        <v>-4799000</v>
      </c>
      <c r="CX21" s="192">
        <f>IFERROR(INDEX('[1]SALES PERTYPE'!$AJ$10:$AJ$52,MATCH($C21,'[1]SALES PERTYPE'!$B$10:$B$52,0)),0)</f>
        <v>1</v>
      </c>
      <c r="CY21" s="192">
        <f>IFERROR(INDEX('[1]Sales per type juli'!$D$10:$BA$51,MATCH($C21,'[1]Sales per type juli'!$B$10:$B$51,0),MATCH("IQOO Z11",'[1]Sales per type juli'!$D$8:$BA$8,0)),0)</f>
        <v>1</v>
      </c>
      <c r="CZ21" s="192">
        <f>CX21-CY21</f>
        <v>0</v>
      </c>
      <c r="DA21" s="192">
        <f>IFERROR(INDEX('[1]SALES PERTYPE'!$AK$10:$AK$52,MATCH($C21,'[1]SALES PERTYPE'!$B$10:$B$52,0)),0)</f>
        <v>7999000</v>
      </c>
      <c r="DB21" s="192" cm="1">
        <f t="array" ref="DB21">IFERROR(INDEX('[1]Sales per type juli'!$D$10:$BA$51,MATCH($C21,'[1]Sales per type juli'!$B$10:$B$51,0),MATCH("IQOO Z11",'[1]Sales per type juli'!$D$8:$BA$8,0)+1),0)</f>
        <v>5699000</v>
      </c>
      <c r="DC21" s="192">
        <f>DA21-DB21</f>
        <v>2300000</v>
      </c>
      <c r="DD21" s="192">
        <v>0</v>
      </c>
      <c r="DE21" s="192">
        <f>IFERROR(INDEX('[1]Sales per type juli'!$D$10:$BA$51,MATCH($C21,'[1]Sales per type juli'!$B$10:$B$51,0),MATCH("WATCH 3",'[1]Sales per type juli'!$D$8:$BA$8,0)),0)</f>
        <v>0</v>
      </c>
      <c r="DF21" s="192">
        <f>DD21-DE21</f>
        <v>0</v>
      </c>
      <c r="DG21" s="192">
        <v>0</v>
      </c>
      <c r="DH21" s="192" cm="1">
        <f t="array" ref="DH21">IFERROR(INDEX('[1]Sales per type juli'!$D$10:$BA$51,MATCH($C21,'[1]Sales per type juli'!$B$10:$B$51,0),MATCH("WATCH 3",'[1]Sales per type juli'!$D$8:$BA$8,0)+1),0)</f>
        <v>0</v>
      </c>
      <c r="DI21" s="192">
        <f>DG21-DH21</f>
        <v>0</v>
      </c>
      <c r="DJ21" s="192">
        <v>0</v>
      </c>
      <c r="DK21" s="192">
        <f>IFERROR(INDEX('[1]Sales per type juli'!$D$10:$BA$51,MATCH($C21,'[1]Sales per type juli'!$B$10:$B$51,0),MATCH("X300 Demo",'[1]Sales per type juli'!$D$8:$BA$8,0)),0)</f>
        <v>0</v>
      </c>
      <c r="DL21" s="192">
        <f>DJ21-DK21</f>
        <v>0</v>
      </c>
      <c r="DM21" s="192">
        <v>0</v>
      </c>
      <c r="DN21" s="192" cm="1">
        <f t="array" ref="DN21">IFERROR(INDEX('[1]Sales per type juli'!$D$10:$BA$51,MATCH($C21,'[1]Sales per type juli'!$B$10:$B$51,0),MATCH("X300 Demo",'[1]Sales per type juli'!$D$8:$BA$8,0)+1),0)</f>
        <v>0</v>
      </c>
      <c r="DO21" s="192">
        <f>DM21-DN21</f>
        <v>0</v>
      </c>
      <c r="DP21" s="192">
        <v>0</v>
      </c>
      <c r="DQ21" s="192">
        <f>IFERROR(INDEX('[1]Sales per type juli'!$D$10:$BA$51,MATCH($C21,'[1]Sales per type juli'!$B$10:$B$51,0),MATCH("X300 Pro Demo",'[1]Sales per type juli'!$D$8:$BA$8,0)),0)</f>
        <v>0</v>
      </c>
      <c r="DR21" s="192">
        <f>DP21-DQ21</f>
        <v>0</v>
      </c>
      <c r="DS21" s="192">
        <v>0</v>
      </c>
      <c r="DT21" s="192" cm="1">
        <f t="array" ref="DT21">IFERROR(INDEX('[1]Sales per type juli'!$D$10:$BA$51,MATCH($C21,'[1]Sales per type juli'!$B$10:$B$51,0),MATCH("X300 Pro Demo",'[1]Sales per type juli'!$D$8:$BA$8,0)+1),0)</f>
        <v>0</v>
      </c>
      <c r="DU21" s="192">
        <f>DS21-DT21</f>
        <v>0</v>
      </c>
      <c r="DV21" s="192">
        <v>0</v>
      </c>
      <c r="DW21" s="192">
        <f>IFERROR(INDEX('[1]Sales per type juli'!$D$10:$BA$51,MATCH($C21,'[1]Sales per type juli'!$B$10:$B$51,0),MATCH("X Fold5 DEMO",'[1]Sales per type juli'!$D$8:$BA$8,0)),0)</f>
        <v>0</v>
      </c>
      <c r="DX21" s="192">
        <f>DV21-DW21</f>
        <v>0</v>
      </c>
      <c r="DY21" s="192">
        <v>0</v>
      </c>
      <c r="DZ21" s="192" cm="1">
        <f t="array" ref="DZ21">IFERROR(INDEX('[1]Sales per type juli'!$D$10:$BA$51,MATCH($C21,'[1]Sales per type juli'!$B$10:$B$51,0),MATCH("X Fold5 DEMO",'[1]Sales per type juli'!$D$8:$BA$8,0)+1),0)</f>
        <v>0</v>
      </c>
      <c r="EA21" s="192">
        <f>DY21-DZ21</f>
        <v>0</v>
      </c>
      <c r="EB21" s="192">
        <v>0</v>
      </c>
      <c r="EC21" s="192">
        <f>IFERROR(INDEX('[1]Sales per type juli'!$D$10:$BA$51,MATCH($C21,'[1]Sales per type juli'!$B$10:$B$51,0),MATCH("X Fold5",'[1]Sales per type juli'!$D$8:$BA$8,0)),0)</f>
        <v>0</v>
      </c>
      <c r="ED21" s="192">
        <f>EB21-EC21</f>
        <v>0</v>
      </c>
      <c r="EE21" s="192">
        <v>0</v>
      </c>
      <c r="EF21" s="192" cm="1">
        <f t="array" ref="EF21">IFERROR(INDEX('[1]Sales per type juli'!$D$10:$BA$51,MATCH($C21,'[1]Sales per type juli'!$B$10:$B$51,0),MATCH("X Fold5",'[1]Sales per type juli'!$D$8:$BA$8,0)+1),0)</f>
        <v>0</v>
      </c>
      <c r="EG21" s="192">
        <f>EE21-EF21</f>
        <v>0</v>
      </c>
      <c r="EH21" s="192">
        <v>0</v>
      </c>
      <c r="EI21" s="192">
        <f>IFERROR(INDEX('[1]Sales per type juli'!$D$10:$BA$51,MATCH($C21,'[1]Sales per type juli'!$B$10:$B$51,0),MATCH("IQOO 15 Demo",'[1]Sales per type juli'!$D$8:$BA$8,0)),0)</f>
        <v>0</v>
      </c>
      <c r="EJ21" s="192">
        <f>EH21-EI21</f>
        <v>0</v>
      </c>
      <c r="EK21" s="192">
        <v>0</v>
      </c>
      <c r="EL21" s="192" cm="1">
        <f t="array" ref="EL21">IFERROR(INDEX('[1]Sales per type juli'!$D$10:$BA$51,MATCH($C21,'[1]Sales per type juli'!$B$10:$B$51,0),MATCH("IQOO 15 Demo",'[1]Sales per type juli'!$D$8:$BA$8,0)+1),0)</f>
        <v>0</v>
      </c>
      <c r="EM21" s="192">
        <f>EK21-EL21</f>
        <v>0</v>
      </c>
      <c r="EN21" s="192">
        <v>0</v>
      </c>
      <c r="EO21" s="192">
        <f>IFERROR(INDEX('[1]Sales per type juli'!$D$10:$BA$51,MATCH($C21,'[1]Sales per type juli'!$B$10:$B$51,0),MATCH("X300 PRO",'[1]Sales per type juli'!$D$8:$BA$8,0)),0)</f>
        <v>0</v>
      </c>
      <c r="EP21" s="192">
        <f>EN21-EO21</f>
        <v>0</v>
      </c>
      <c r="EQ21" s="192">
        <v>0</v>
      </c>
      <c r="ER21" s="192" cm="1">
        <f t="array" ref="ER21">IFERROR(INDEX('[1]Sales per type juli'!$D$10:$BA$51,MATCH($C21,'[1]Sales per type juli'!$B$10:$B$51,0),MATCH("X300 PRO",'[1]Sales per type juli'!$D$8:$BA$8,0)+1),0)</f>
        <v>0</v>
      </c>
      <c r="ES21" s="192">
        <f>EQ21-ER21</f>
        <v>0</v>
      </c>
      <c r="ET21" s="192">
        <v>0</v>
      </c>
      <c r="EU21" s="192">
        <f>IFERROR(INDEX('[1]Sales per type juli'!$D$10:$BA$51,MATCH($C21,'[1]Sales per type juli'!$B$10:$B$51,0),MATCH("X300 ",'[1]Sales per type juli'!$D$8:$BA$8,0)),0)</f>
        <v>0</v>
      </c>
      <c r="EV21" s="192">
        <f>ET21-EU21</f>
        <v>0</v>
      </c>
      <c r="EW21" s="192">
        <v>0</v>
      </c>
      <c r="EX21" s="192" cm="1">
        <f t="array" ref="EX21">IFERROR(INDEX('[1]Sales per type juli'!$D$10:$BA$51,MATCH($C21,'[1]Sales per type juli'!$B$10:$B$51,0),MATCH("X300 ",'[1]Sales per type juli'!$D$8:$BA$8,0)+1),0)</f>
        <v>0</v>
      </c>
      <c r="EY21" s="192">
        <f>EW21-EX21</f>
        <v>0</v>
      </c>
      <c r="EZ21" s="192">
        <f>F21+L21+R21+X21+AD21+AJ21+AP21+AV21+BB21+BH21+BN21+BT21+BZ21+CF21+CL21+CR21+CX21+DD21+DJ21+DP21+DV21+EB21+EH21+EN21+ET21</f>
        <v>13</v>
      </c>
      <c r="FA21" s="192">
        <f>G21+M21+S21+Y21+AE21+AK21+AQ21+AW21+BC21+BI21+BO21+BU21+CA21+CG21+CM21+CS21+CY21+DE21+DK21+DQ21+DW21+EC21+EI21+EO21+EU21</f>
        <v>20</v>
      </c>
      <c r="FB21" s="192">
        <f>EZ21-FA21</f>
        <v>-7</v>
      </c>
      <c r="FC21" s="192">
        <f>I21+O21+U21+AA21+AG21+AM21+AS21+AY21+BE21+BK21+BQ21+BW21+CC21+CI21+CO21+CU21+DA21+DG21+DM21+DS21+DY21+EE21+EK21+EQ21+EW21</f>
        <v>62087000</v>
      </c>
      <c r="FD21" s="192">
        <f>J21+P21+V21+AB21+AH21+AN21+AT21+AZ21+BF21+BL21+BR21+BX21+CD21+CJ21+CP21+CV21+DB21+DH21+DN21+DT21+DZ21+EF21+EL21+ER21+EX21</f>
        <v>94780000</v>
      </c>
      <c r="FE21" s="192">
        <f>FC21-FD21</f>
        <v>-32693000</v>
      </c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</row>
    <row r="22" spans="1:208" ht="16" x14ac:dyDescent="0.2">
      <c r="A22" s="139">
        <f>'[1]ACHIEVEMENT STORE'!A22</f>
        <v>18</v>
      </c>
      <c r="B22" s="140" t="str">
        <f>'[1]ACHIEVEMENT STORE'!B22</f>
        <v>605 勿加泗 BEKASI</v>
      </c>
      <c r="C22" s="139">
        <f>'[1]ACHIEVEMENT STORE'!C22</f>
        <v>6050706</v>
      </c>
      <c r="D22" s="140" t="str">
        <f>'[1]ACHIEVEMENT STORE'!D22</f>
        <v>6050706-AEON MALL DELTAMAS 1F081</v>
      </c>
      <c r="E22" s="140" t="str">
        <f>'[1]ACHIEVEMENT STORE'!E22</f>
        <v>M RIZKI</v>
      </c>
      <c r="F22" s="192">
        <f>IFERROR(INDEX('[1]SALES PERTYPE'!$D$10:$D$52,MATCH($C22,'[1]SALES PERTYPE'!$B$10:$B$52,0)),0)</f>
        <v>6</v>
      </c>
      <c r="G22" s="192">
        <f>IFERROR(INDEX('[1]Sales per type juli'!$D$10:$BA$51,MATCH($C22,'[1]Sales per type juli'!$B$10:$B$51,0),MATCH("Y05",'[1]Sales per type juli'!$D$8:$BA$8,0)),0)</f>
        <v>0</v>
      </c>
      <c r="H22" s="192">
        <f>F22-G22</f>
        <v>6</v>
      </c>
      <c r="I22" s="192">
        <f>IFERROR(INDEX('[1]SALES PERTYPE'!$E$10:$E$52,MATCH($C22,'[1]SALES PERTYPE'!$B$10:$B$52,0)),0)</f>
        <v>15294000</v>
      </c>
      <c r="J22" s="192" cm="1">
        <f t="array" ref="J22">IFERROR(INDEX('[1]Sales per type juli'!$D$10:$BA$51,MATCH($C22,'[1]Sales per type juli'!$B$10:$B$51,0),MATCH("Y05",'[1]Sales per type juli'!$D$8:$BA$8,0)+1),0)</f>
        <v>0</v>
      </c>
      <c r="K22" s="192">
        <f>I22-J22</f>
        <v>15294000</v>
      </c>
      <c r="L22" s="192">
        <f>IFERROR(INDEX('[1]SALES PERTYPE'!$F$10:$F$52,MATCH($C22,'[1]SALES PERTYPE'!$B$10:$B$52,0)),0)</f>
        <v>8</v>
      </c>
      <c r="M22" s="192">
        <f>IFERROR(INDEX('[1]Sales per type juli'!$D$10:$BA$51,MATCH($C22,'[1]Sales per type juli'!$B$10:$B$51,0),MATCH("Y11d",'[1]Sales per type juli'!$D$8:$BA$8,0)),0)</f>
        <v>0</v>
      </c>
      <c r="N22" s="192">
        <f>L22-M22</f>
        <v>8</v>
      </c>
      <c r="O22" s="192">
        <f>IFERROR(INDEX('[1]SALES PERTYPE'!$G$10:$G$52,MATCH($C22,'[1]SALES PERTYPE'!$B$10:$B$52,0)),0)</f>
        <v>21192000</v>
      </c>
      <c r="P22" s="192" cm="1">
        <f t="array" ref="P22">IFERROR(INDEX('[1]Sales per type juli'!$D$10:$BA$51,MATCH($C22,'[1]Sales per type juli'!$B$10:$B$51,0),MATCH("Y11d",'[1]Sales per type juli'!$D$8:$BA$8,0)+1),0)</f>
        <v>0</v>
      </c>
      <c r="Q22" s="192">
        <f>O22-P22</f>
        <v>21192000</v>
      </c>
      <c r="R22" s="192">
        <f>IFERROR(INDEX('[1]SALES PERTYPE'!$H$10:$H$52,MATCH($C22,'[1]SALES PERTYPE'!$B$10:$B$52,0)),0)</f>
        <v>0</v>
      </c>
      <c r="S22" s="192">
        <f>IFERROR(INDEX('[1]Sales per type juli'!$D$10:$BA$51,MATCH($C22,'[1]Sales per type juli'!$B$10:$B$51,0),MATCH("Watch GT 2",'[1]Sales per type juli'!$D$8:$BA$8,0)),0)</f>
        <v>0</v>
      </c>
      <c r="T22" s="192">
        <f>R22-S22</f>
        <v>0</v>
      </c>
      <c r="U22" s="192">
        <f>IFERROR(INDEX('[1]SALES PERTYPE'!$I$10:$I$52,MATCH($C22,'[1]SALES PERTYPE'!$B$10:$B$52,0)),0)</f>
        <v>0</v>
      </c>
      <c r="V22" s="192" cm="1">
        <f t="array" ref="V22">IFERROR(INDEX('[1]Sales per type juli'!$D$10:$BA$51,MATCH($C22,'[1]Sales per type juli'!$B$10:$B$51,0),MATCH("Watch GT 2",'[1]Sales per type juli'!$D$8:$BA$8,0)+1),0)</f>
        <v>0</v>
      </c>
      <c r="W22" s="192">
        <f>U22-V22</f>
        <v>0</v>
      </c>
      <c r="X22" s="192">
        <f>IFERROR(INDEX('[1]SALES PERTYPE'!$J$10:$J$52,MATCH($C22,'[1]SALES PERTYPE'!$B$10:$B$52,0)),0)</f>
        <v>0</v>
      </c>
      <c r="Y22" s="192">
        <f>IFERROR(INDEX('[1]Sales per type juli'!$D$10:$BA$51,MATCH($C22,'[1]Sales per type juli'!$B$10:$B$51,0),MATCH("Y05e",'[1]Sales per type juli'!$D$8:$BA$8,0)),0)</f>
        <v>0</v>
      </c>
      <c r="Z22" s="192">
        <f>X22-Y22</f>
        <v>0</v>
      </c>
      <c r="AA22" s="192">
        <f>IFERROR(INDEX('[1]SALES PERTYPE'!$K$10:$K$52,MATCH($C22,'[1]SALES PERTYPE'!$B$10:$B$52,0)),0)</f>
        <v>0</v>
      </c>
      <c r="AB22" s="192" cm="1">
        <f t="array" ref="AB22">IFERROR(INDEX('[1]Sales per type juli'!$D$10:$BA$51,MATCH($C22,'[1]Sales per type juli'!$B$10:$B$51,0),MATCH("Y05e",'[1]Sales per type juli'!$D$8:$BA$8,0)+1),0)</f>
        <v>0</v>
      </c>
      <c r="AC22" s="192">
        <f>AA22-AB22</f>
        <v>0</v>
      </c>
      <c r="AD22" s="192">
        <f>IFERROR(INDEX('[1]SALES PERTYPE'!$L$10:$L$52,MATCH($C22,'[1]SALES PERTYPE'!$B$10:$B$52,0)),0)</f>
        <v>0</v>
      </c>
      <c r="AE22" s="192">
        <f>IFERROR(INDEX('[1]Sales per type juli'!$D$10:$BA$51,MATCH($C22,'[1]Sales per type juli'!$B$10:$B$51,0),MATCH("V70",'[1]Sales per type juli'!$D$8:$BA$8,0)),0)</f>
        <v>0</v>
      </c>
      <c r="AF22" s="192">
        <f>AD22-AE22</f>
        <v>0</v>
      </c>
      <c r="AG22" s="192">
        <f>IFERROR(INDEX('[1]SALES PERTYPE'!$M$10:$M$52,MATCH($C22,'[1]SALES PERTYPE'!$B$10:$B$52,0)),0)</f>
        <v>0</v>
      </c>
      <c r="AH22" s="192" cm="1">
        <f t="array" ref="AH22">IFERROR(INDEX('[1]Sales per type juli'!$D$10:$BA$51,MATCH($C22,'[1]Sales per type juli'!$B$10:$B$51,0),MATCH("V70",'[1]Sales per type juli'!$D$8:$BA$8,0)+1),0)</f>
        <v>0</v>
      </c>
      <c r="AI22" s="192">
        <f>AG22-AH22</f>
        <v>0</v>
      </c>
      <c r="AJ22" s="192">
        <f>IFERROR(INDEX('[1]SALES PERTYPE'!$N$10:$N$52,MATCH($C22,'[1]SALES PERTYPE'!$B$10:$B$52,0)),0)</f>
        <v>1</v>
      </c>
      <c r="AK22" s="192">
        <f>IFERROR(INDEX('[1]Sales per type juli'!$D$10:$BA$51,MATCH($C22,'[1]Sales per type juli'!$B$10:$B$51,0),MATCH("Y31d Pro",'[1]Sales per type juli'!$D$8:$BA$8,0)),0)</f>
        <v>0</v>
      </c>
      <c r="AL22" s="192">
        <f>AJ22-AK22</f>
        <v>1</v>
      </c>
      <c r="AM22" s="192">
        <f>IFERROR(INDEX('[1]SALES PERTYPE'!$O$10:$O$52,MATCH($C22,'[1]SALES PERTYPE'!$B$10:$B$52,0)),0)</f>
        <v>4299000</v>
      </c>
      <c r="AN22" s="192" cm="1">
        <f t="array" ref="AN22">IFERROR(INDEX('[1]Sales per type juli'!$D$10:$BA$51,MATCH($C22,'[1]Sales per type juli'!$B$10:$B$51,0),MATCH("Y31d Pro",'[1]Sales per type juli'!$D$8:$BA$8,0)+1),0)</f>
        <v>0</v>
      </c>
      <c r="AO22" s="192">
        <f>AM22-AN22</f>
        <v>4299000</v>
      </c>
      <c r="AP22" s="192">
        <f>IFERROR(INDEX('[1]SALES PERTYPE'!$P$10:$P$52,MATCH($C22,'[1]SALES PERTYPE'!$B$10:$B$52,0)),0)</f>
        <v>0</v>
      </c>
      <c r="AQ22" s="192" cm="1">
        <f t="array" ref="AQ22">IFERROR(INDEX('[1]Sales per type juli'!$D$10:$BA$51,MATCH($C22,'[1]Sales per type juli'!$B$10:$B$51,0),$FG$2),0)</f>
        <v>0</v>
      </c>
      <c r="AR22" s="192">
        <f>AP22-AQ22</f>
        <v>0</v>
      </c>
      <c r="AS22" s="192">
        <f>IFERROR(INDEX('[1]SALES PERTYPE'!$Q$10:$Q$52,MATCH($C22,'[1]SALES PERTYPE'!$B$10:$B$52,0)),0)</f>
        <v>0</v>
      </c>
      <c r="AT22" s="192" cm="1">
        <f t="array" ref="AT22">IFERROR(INDEX('[1]Sales per type juli'!$D$10:$BA$51,MATCH($C22,'[1]Sales per type juli'!$B$10:$B$51,0),$FG$2+1),0)</f>
        <v>0</v>
      </c>
      <c r="AU22" s="192">
        <f>AS22-AT22</f>
        <v>0</v>
      </c>
      <c r="AV22" s="192">
        <f>IFERROR(INDEX('[1]SALES PERTYPE'!$R$10:$R$52,MATCH($C22,'[1]SALES PERTYPE'!$B$10:$B$52,0)),0)</f>
        <v>0</v>
      </c>
      <c r="AW22" s="192">
        <f>IFERROR(INDEX('[1]Sales per type juli'!$D$10:$BA$51,MATCH($C22,'[1]Sales per type juli'!$B$10:$B$51,0),MATCH("Y31d ",'[1]Sales per type juli'!$D$8:$BA$8,0)),0)</f>
        <v>0</v>
      </c>
      <c r="AX22" s="192">
        <f>AV22-AW22</f>
        <v>0</v>
      </c>
      <c r="AY22" s="192">
        <f>IFERROR(INDEX('[1]SALES PERTYPE'!$S$10:$S$52,MATCH($C22,'[1]SALES PERTYPE'!$B$10:$B$52,0)),0)</f>
        <v>0</v>
      </c>
      <c r="AZ22" s="192" cm="1">
        <f t="array" ref="AZ22">IFERROR(INDEX('[1]Sales per type juli'!$D$10:$BA$51,MATCH($C22,'[1]Sales per type juli'!$B$10:$B$51,0),MATCH("Y31d ",'[1]Sales per type juli'!$D$8:$BA$8,0)+1),0)</f>
        <v>0</v>
      </c>
      <c r="BA22" s="192">
        <f>AY22-AZ22</f>
        <v>0</v>
      </c>
      <c r="BB22" s="192">
        <f>IFERROR(INDEX('[1]SALES PERTYPE'!$T$10:$T$52,MATCH($C22,'[1]SALES PERTYPE'!$B$10:$B$52,0)),0)</f>
        <v>1</v>
      </c>
      <c r="BC22" s="192">
        <f>IFERROR(INDEX('[1]Sales per type juli'!$D$10:$BA$51,MATCH($C22,'[1]Sales per type juli'!$B$10:$B$51,0),MATCH("V70 FE",'[1]Sales per type juli'!$D$8:$BA$8,0)),0)</f>
        <v>0</v>
      </c>
      <c r="BD22" s="192">
        <f>BB22-BC22</f>
        <v>1</v>
      </c>
      <c r="BE22" s="192">
        <f>IFERROR(INDEX('[1]SALES PERTYPE'!$U$10:$U$52,MATCH($C22,'[1]SALES PERTYPE'!$B$10:$B$52,0)),0)</f>
        <v>6999000</v>
      </c>
      <c r="BF22" s="192" cm="1">
        <f t="array" ref="BF22">IFERROR(INDEX('[1]Sales per type juli'!$D$10:$BA$51,MATCH($C22,'[1]Sales per type juli'!$B$10:$B$51,0),MATCH("V70 FE",'[1]Sales per type juli'!$D$8:$BA$8,0)+1),0)</f>
        <v>0</v>
      </c>
      <c r="BG22" s="192">
        <f>BE22-BF22</f>
        <v>6999000</v>
      </c>
      <c r="BH22" s="192">
        <f>IFERROR(INDEX('[1]SALES PERTYPE'!$V$10:$V$52,MATCH($C22,'[1]SALES PERTYPE'!$B$10:$B$52,0)),0)</f>
        <v>0</v>
      </c>
      <c r="BI22" s="192">
        <f>IFERROR(INDEX('[1]Sales per type juli'!$D$10:$BA$51,MATCH($C22,'[1]Sales per type juli'!$B$10:$B$51,0),MATCH("Y31d",'[1]Sales per type juli'!$D$8:$BA$8,0)),0)</f>
        <v>0</v>
      </c>
      <c r="BJ22" s="192">
        <f>BH22-BI22</f>
        <v>0</v>
      </c>
      <c r="BK22" s="192">
        <f>IFERROR(INDEX('[1]SALES PERTYPE'!$W$10:$W$52,MATCH($C22,'[1]SALES PERTYPE'!$B$10:$B$52,0)),0)</f>
        <v>0</v>
      </c>
      <c r="BL22" s="192" cm="1">
        <f t="array" ref="BL22">IFERROR(INDEX('[1]Sales per type juli'!$D$10:$BA$51,MATCH($C22,'[1]Sales per type juli'!$B$10:$B$51,0),MATCH("Y31d",'[1]Sales per type juli'!$D$8:$BA$8,0)+1),0)</f>
        <v>0</v>
      </c>
      <c r="BM22" s="192">
        <f>BK22-BL22</f>
        <v>0</v>
      </c>
      <c r="BN22" s="192">
        <f>IFERROR(INDEX('[1]SALES PERTYPE'!$X$10:$X$52,MATCH($C22,'[1]SALES PERTYPE'!$B$10:$B$52,0)),0)</f>
        <v>2</v>
      </c>
      <c r="BO22" s="192">
        <f>IFERROR(INDEX('[1]Sales per type juli'!$D$10:$BA$51,MATCH($C22,'[1]Sales per type juli'!$B$10:$B$51,0),MATCH("Y500",'[1]Sales per type juli'!$D$8:$BA$8,0)),0)</f>
        <v>0</v>
      </c>
      <c r="BP22" s="192">
        <f>BN22-BO22</f>
        <v>2</v>
      </c>
      <c r="BQ22" s="192">
        <f>IFERROR(INDEX('[1]SALES PERTYPE'!$Y$10:$Y$52,MATCH($C22,'[1]SALES PERTYPE'!$B$10:$B$52,0)),0)</f>
        <v>11798000</v>
      </c>
      <c r="BR22" s="192" cm="1">
        <f t="array" ref="BR22">IFERROR(INDEX('[1]Sales per type juli'!$D$10:$BA$51,MATCH($C22,'[1]Sales per type juli'!$B$10:$B$51,0),MATCH("Y500",'[1]Sales per type juli'!$D$8:$BA$8,0)+1),0)</f>
        <v>0</v>
      </c>
      <c r="BS22" s="192">
        <f>BQ22-BR22</f>
        <v>11798000</v>
      </c>
      <c r="BT22" s="192">
        <f>IFERROR(INDEX('[1]SALES PERTYPE'!$Z$10:$Z$52,MATCH($C22,'[1]SALES PERTYPE'!$B$10:$B$52,0)),0)</f>
        <v>0</v>
      </c>
      <c r="BU22" s="192">
        <f>IFERROR(INDEX('[1]Sales per type juli'!$D$10:$BA$51,MATCH($C22,'[1]Sales per type juli'!$B$10:$B$51,0),MATCH("IQOO 15R",'[1]Sales per type juli'!$D$8:$BA$8,0)),0)</f>
        <v>0</v>
      </c>
      <c r="BV22" s="192">
        <f>BT22-BU22</f>
        <v>0</v>
      </c>
      <c r="BW22" s="192">
        <f>IFERROR(INDEX('[1]SALES PERTYPE'!$AA$10:$AA$52,MATCH($C22,'[1]SALES PERTYPE'!$B$10:$B$52,0)),0)</f>
        <v>0</v>
      </c>
      <c r="BX22" s="192" cm="1">
        <f t="array" ref="BX22">IFERROR(INDEX('[1]Sales per type juli'!$D$10:$BA$51,MATCH($C22,'[1]Sales per type juli'!$B$10:$B$51,0),MATCH("IQOO 15R",'[1]Sales per type juli'!$D$8:$BA$8,0)+1),0)</f>
        <v>0</v>
      </c>
      <c r="BY22" s="192">
        <f>BW22-BX22</f>
        <v>0</v>
      </c>
      <c r="BZ22" s="192">
        <f>IFERROR(INDEX('[1]SALES PERTYPE'!$AB$10:$AB$52,MATCH($C22,'[1]SALES PERTYPE'!$B$10:$B$52,0)),0)</f>
        <v>0</v>
      </c>
      <c r="CA22" s="192">
        <f>IFERROR(INDEX('[1]Sales per type juli'!$D$10:$BA$51,MATCH($C22,'[1]Sales per type juli'!$B$10:$B$51,0),MATCH("V60 Lite",'[1]Sales per type juli'!$D$8:$BA$8,0)),0)</f>
        <v>0</v>
      </c>
      <c r="CB22" s="192">
        <f>BZ22-CA22</f>
        <v>0</v>
      </c>
      <c r="CC22" s="192">
        <f>IFERROR(INDEX('[1]SALES PERTYPE'!$AC$10:$AC$52,MATCH($C22,'[1]SALES PERTYPE'!$B$10:$B$52,0)),0)</f>
        <v>0</v>
      </c>
      <c r="CD22" s="192" cm="1">
        <f t="array" ref="CD22">IFERROR(INDEX('[1]Sales per type juli'!$D$10:$BA$51,MATCH($C22,'[1]Sales per type juli'!$B$10:$B$51,0),MATCH("V60 Lite",'[1]Sales per type juli'!$D$8:$BA$8,0)+1),0)</f>
        <v>0</v>
      </c>
      <c r="CE22" s="192">
        <f>CC22-CD22</f>
        <v>0</v>
      </c>
      <c r="CF22" s="192">
        <f>IFERROR(INDEX('[1]SALES PERTYPE'!$AD$10:$AD$52,MATCH($C22,'[1]SALES PERTYPE'!$B$10:$B$52,0)),0)</f>
        <v>0</v>
      </c>
      <c r="CG22" s="192">
        <f>IFERROR(INDEX('[1]Sales per type juli'!$D$10:$BA$51,MATCH($C22,'[1]Sales per type juli'!$B$10:$B$51,0),MATCH("X300 Ultra",'[1]Sales per type juli'!$D$8:$BA$8,0)),0)</f>
        <v>0</v>
      </c>
      <c r="CH22" s="192">
        <f>CF22-CG22</f>
        <v>0</v>
      </c>
      <c r="CI22" s="192">
        <f>IFERROR(INDEX('[1]SALES PERTYPE'!$AE$10:$AE$52,MATCH($C22,'[1]SALES PERTYPE'!$B$10:$B$52,0)),0)</f>
        <v>0</v>
      </c>
      <c r="CJ22" s="192" cm="1">
        <f t="array" ref="CJ22">IFERROR(INDEX('[1]Sales per type juli'!$D$10:$BA$51,MATCH($C22,'[1]Sales per type juli'!$B$10:$B$51,0),MATCH("X300 Ultra",'[1]Sales per type juli'!$D$8:$BA$8,0)+1),0)</f>
        <v>0</v>
      </c>
      <c r="CK22" s="192">
        <f>CI22-CJ22</f>
        <v>0</v>
      </c>
      <c r="CL22" s="192">
        <f>IFERROR(INDEX('[1]SALES PERTYPE'!$AF$10:$AF$52,MATCH($C22,'[1]SALES PERTYPE'!$B$10:$B$52,0)),0)</f>
        <v>0</v>
      </c>
      <c r="CM22" s="192">
        <f>IFERROR(INDEX('[1]Sales per type juli'!$D$10:$BA$51,MATCH($C22,'[1]Sales per type juli'!$B$10:$B$51,0),MATCH("IQOO 15",'[1]Sales per type juli'!$D$8:$BA$8,0)),0)</f>
        <v>0</v>
      </c>
      <c r="CN22" s="192">
        <f>CL22-CM22</f>
        <v>0</v>
      </c>
      <c r="CO22" s="192">
        <f>IFERROR(INDEX('[1]SALES PERTYPE'!$AG$10:$AG$52,MATCH($C22,'[1]SALES PERTYPE'!$B$10:$B$52,0)),0)</f>
        <v>0</v>
      </c>
      <c r="CP22" s="192" cm="1">
        <f t="array" ref="CP22">IFERROR(INDEX('[1]Sales per type juli'!$D$10:$BA$51,MATCH($C22,'[1]Sales per type juli'!$B$10:$B$51,0),MATCH("IQOO 15",'[1]Sales per type juli'!$D$8:$BA$8,0)+1),0)</f>
        <v>0</v>
      </c>
      <c r="CQ22" s="192">
        <f>CO22-CP22</f>
        <v>0</v>
      </c>
      <c r="CR22" s="192">
        <f>IFERROR(INDEX('[1]SALES PERTYPE'!$AH$10:$AH$52,MATCH($C22,'[1]SALES PERTYPE'!$B$10:$B$52,0)),0)</f>
        <v>0</v>
      </c>
      <c r="CS22" s="192">
        <f>IFERROR(INDEX('[1]Sales per type juli'!$D$10:$BA$51,MATCH($C22,'[1]Sales per type juli'!$B$10:$B$51,0),MATCH("IQOO Z11x",'[1]Sales per type juli'!$D$8:$BA$8,0)),0)</f>
        <v>0</v>
      </c>
      <c r="CT22" s="192">
        <f>CR22-CS22</f>
        <v>0</v>
      </c>
      <c r="CU22" s="192">
        <f>IFERROR(INDEX('[1]SALES PERTYPE'!$AI$10:$AI$52,MATCH($C22,'[1]SALES PERTYPE'!$B$10:$B$52,0)),0)</f>
        <v>0</v>
      </c>
      <c r="CV22" s="192" cm="1">
        <f t="array" ref="CV22">IFERROR(INDEX('[1]Sales per type juli'!$D$10:$BA$51,MATCH($C22,'[1]Sales per type juli'!$B$10:$B$51,0),MATCH("IQOO Z11x",'[1]Sales per type juli'!$D$8:$BA$8,0)+1),0)</f>
        <v>0</v>
      </c>
      <c r="CW22" s="192">
        <f>CU22-CV22</f>
        <v>0</v>
      </c>
      <c r="CX22" s="192">
        <f>IFERROR(INDEX('[1]SALES PERTYPE'!$AJ$10:$AJ$52,MATCH($C22,'[1]SALES PERTYPE'!$B$10:$B$52,0)),0)</f>
        <v>1</v>
      </c>
      <c r="CY22" s="192">
        <f>IFERROR(INDEX('[1]Sales per type juli'!$D$10:$BA$51,MATCH($C22,'[1]Sales per type juli'!$B$10:$B$51,0),MATCH("IQOO Z11",'[1]Sales per type juli'!$D$8:$BA$8,0)),0)</f>
        <v>0</v>
      </c>
      <c r="CZ22" s="192">
        <f>CX22-CY22</f>
        <v>1</v>
      </c>
      <c r="DA22" s="192">
        <f>IFERROR(INDEX('[1]SALES PERTYPE'!$AK$10:$AK$52,MATCH($C22,'[1]SALES PERTYPE'!$B$10:$B$52,0)),0)</f>
        <v>6899000</v>
      </c>
      <c r="DB22" s="192" cm="1">
        <f t="array" ref="DB22">IFERROR(INDEX('[1]Sales per type juli'!$D$10:$BA$51,MATCH($C22,'[1]Sales per type juli'!$B$10:$B$51,0),MATCH("IQOO Z11",'[1]Sales per type juli'!$D$8:$BA$8,0)+1),0)</f>
        <v>0</v>
      </c>
      <c r="DC22" s="192">
        <f>DA22-DB22</f>
        <v>6899000</v>
      </c>
      <c r="DD22" s="192">
        <v>0</v>
      </c>
      <c r="DE22" s="192">
        <f>IFERROR(INDEX('[1]Sales per type juli'!$D$10:$BA$51,MATCH($C22,'[1]Sales per type juli'!$B$10:$B$51,0),MATCH("WATCH 3",'[1]Sales per type juli'!$D$8:$BA$8,0)),0)</f>
        <v>0</v>
      </c>
      <c r="DF22" s="192">
        <f>DD22-DE22</f>
        <v>0</v>
      </c>
      <c r="DG22" s="192">
        <v>0</v>
      </c>
      <c r="DH22" s="192" cm="1">
        <f t="array" ref="DH22">IFERROR(INDEX('[1]Sales per type juli'!$D$10:$BA$51,MATCH($C22,'[1]Sales per type juli'!$B$10:$B$51,0),MATCH("WATCH 3",'[1]Sales per type juli'!$D$8:$BA$8,0)+1),0)</f>
        <v>0</v>
      </c>
      <c r="DI22" s="192">
        <f>DG22-DH22</f>
        <v>0</v>
      </c>
      <c r="DJ22" s="192">
        <v>0</v>
      </c>
      <c r="DK22" s="192">
        <f>IFERROR(INDEX('[1]Sales per type juli'!$D$10:$BA$51,MATCH($C22,'[1]Sales per type juli'!$B$10:$B$51,0),MATCH("X300 Demo",'[1]Sales per type juli'!$D$8:$BA$8,0)),0)</f>
        <v>0</v>
      </c>
      <c r="DL22" s="192">
        <f>DJ22-DK22</f>
        <v>0</v>
      </c>
      <c r="DM22" s="192">
        <v>0</v>
      </c>
      <c r="DN22" s="192" cm="1">
        <f t="array" ref="DN22">IFERROR(INDEX('[1]Sales per type juli'!$D$10:$BA$51,MATCH($C22,'[1]Sales per type juli'!$B$10:$B$51,0),MATCH("X300 Demo",'[1]Sales per type juli'!$D$8:$BA$8,0)+1),0)</f>
        <v>0</v>
      </c>
      <c r="DO22" s="192">
        <f>DM22-DN22</f>
        <v>0</v>
      </c>
      <c r="DP22" s="192">
        <v>0</v>
      </c>
      <c r="DQ22" s="192">
        <f>IFERROR(INDEX('[1]Sales per type juli'!$D$10:$BA$51,MATCH($C22,'[1]Sales per type juli'!$B$10:$B$51,0),MATCH("X300 Pro Demo",'[1]Sales per type juli'!$D$8:$BA$8,0)),0)</f>
        <v>0</v>
      </c>
      <c r="DR22" s="192">
        <f>DP22-DQ22</f>
        <v>0</v>
      </c>
      <c r="DS22" s="192">
        <v>0</v>
      </c>
      <c r="DT22" s="192" cm="1">
        <f t="array" ref="DT22">IFERROR(INDEX('[1]Sales per type juli'!$D$10:$BA$51,MATCH($C22,'[1]Sales per type juli'!$B$10:$B$51,0),MATCH("X300 Pro Demo",'[1]Sales per type juli'!$D$8:$BA$8,0)+1),0)</f>
        <v>0</v>
      </c>
      <c r="DU22" s="192">
        <f>DS22-DT22</f>
        <v>0</v>
      </c>
      <c r="DV22" s="192">
        <v>0</v>
      </c>
      <c r="DW22" s="192">
        <f>IFERROR(INDEX('[1]Sales per type juli'!$D$10:$BA$51,MATCH($C22,'[1]Sales per type juli'!$B$10:$B$51,0),MATCH("X Fold5 DEMO",'[1]Sales per type juli'!$D$8:$BA$8,0)),0)</f>
        <v>0</v>
      </c>
      <c r="DX22" s="192">
        <f>DV22-DW22</f>
        <v>0</v>
      </c>
      <c r="DY22" s="192">
        <v>0</v>
      </c>
      <c r="DZ22" s="192" cm="1">
        <f t="array" ref="DZ22">IFERROR(INDEX('[1]Sales per type juli'!$D$10:$BA$51,MATCH($C22,'[1]Sales per type juli'!$B$10:$B$51,0),MATCH("X Fold5 DEMO",'[1]Sales per type juli'!$D$8:$BA$8,0)+1),0)</f>
        <v>0</v>
      </c>
      <c r="EA22" s="192">
        <f>DY22-DZ22</f>
        <v>0</v>
      </c>
      <c r="EB22" s="192">
        <v>0</v>
      </c>
      <c r="EC22" s="192">
        <f>IFERROR(INDEX('[1]Sales per type juli'!$D$10:$BA$51,MATCH($C22,'[1]Sales per type juli'!$B$10:$B$51,0),MATCH("X Fold5",'[1]Sales per type juli'!$D$8:$BA$8,0)),0)</f>
        <v>0</v>
      </c>
      <c r="ED22" s="192">
        <f>EB22-EC22</f>
        <v>0</v>
      </c>
      <c r="EE22" s="192">
        <v>0</v>
      </c>
      <c r="EF22" s="192" cm="1">
        <f t="array" ref="EF22">IFERROR(INDEX('[1]Sales per type juli'!$D$10:$BA$51,MATCH($C22,'[1]Sales per type juli'!$B$10:$B$51,0),MATCH("X Fold5",'[1]Sales per type juli'!$D$8:$BA$8,0)+1),0)</f>
        <v>0</v>
      </c>
      <c r="EG22" s="192">
        <f>EE22-EF22</f>
        <v>0</v>
      </c>
      <c r="EH22" s="192">
        <v>0</v>
      </c>
      <c r="EI22" s="192">
        <f>IFERROR(INDEX('[1]Sales per type juli'!$D$10:$BA$51,MATCH($C22,'[1]Sales per type juli'!$B$10:$B$51,0),MATCH("IQOO 15 Demo",'[1]Sales per type juli'!$D$8:$BA$8,0)),0)</f>
        <v>0</v>
      </c>
      <c r="EJ22" s="192">
        <f>EH22-EI22</f>
        <v>0</v>
      </c>
      <c r="EK22" s="192">
        <v>0</v>
      </c>
      <c r="EL22" s="192" cm="1">
        <f t="array" ref="EL22">IFERROR(INDEX('[1]Sales per type juli'!$D$10:$BA$51,MATCH($C22,'[1]Sales per type juli'!$B$10:$B$51,0),MATCH("IQOO 15 Demo",'[1]Sales per type juli'!$D$8:$BA$8,0)+1),0)</f>
        <v>0</v>
      </c>
      <c r="EM22" s="192">
        <f>EK22-EL22</f>
        <v>0</v>
      </c>
      <c r="EN22" s="192">
        <v>0</v>
      </c>
      <c r="EO22" s="192">
        <f>IFERROR(INDEX('[1]Sales per type juli'!$D$10:$BA$51,MATCH($C22,'[1]Sales per type juli'!$B$10:$B$51,0),MATCH("X300 PRO",'[1]Sales per type juli'!$D$8:$BA$8,0)),0)</f>
        <v>0</v>
      </c>
      <c r="EP22" s="192">
        <f>EN22-EO22</f>
        <v>0</v>
      </c>
      <c r="EQ22" s="192">
        <v>0</v>
      </c>
      <c r="ER22" s="192" cm="1">
        <f t="array" ref="ER22">IFERROR(INDEX('[1]Sales per type juli'!$D$10:$BA$51,MATCH($C22,'[1]Sales per type juli'!$B$10:$B$51,0),MATCH("X300 PRO",'[1]Sales per type juli'!$D$8:$BA$8,0)+1),0)</f>
        <v>0</v>
      </c>
      <c r="ES22" s="192">
        <f>EQ22-ER22</f>
        <v>0</v>
      </c>
      <c r="ET22" s="192">
        <v>0</v>
      </c>
      <c r="EU22" s="192">
        <f>IFERROR(INDEX('[1]Sales per type juli'!$D$10:$BA$51,MATCH($C22,'[1]Sales per type juli'!$B$10:$B$51,0),MATCH("X300 ",'[1]Sales per type juli'!$D$8:$BA$8,0)),0)</f>
        <v>0</v>
      </c>
      <c r="EV22" s="192">
        <f>ET22-EU22</f>
        <v>0</v>
      </c>
      <c r="EW22" s="192">
        <v>0</v>
      </c>
      <c r="EX22" s="192" cm="1">
        <f t="array" ref="EX22">IFERROR(INDEX('[1]Sales per type juli'!$D$10:$BA$51,MATCH($C22,'[1]Sales per type juli'!$B$10:$B$51,0),MATCH("X300 ",'[1]Sales per type juli'!$D$8:$BA$8,0)+1),0)</f>
        <v>0</v>
      </c>
      <c r="EY22" s="192">
        <f>EW22-EX22</f>
        <v>0</v>
      </c>
      <c r="EZ22" s="192">
        <f>F22+L22+R22+X22+AD22+AJ22+AP22+AV22+BB22+BH22+BN22+BT22+BZ22+CF22+CL22+CR22+CX22+DD22+DJ22+DP22+DV22+EB22+EH22+EN22+ET22</f>
        <v>19</v>
      </c>
      <c r="FA22" s="192">
        <f>G22+M22+S22+Y22+AE22+AK22+AQ22+AW22+BC22+BI22+BO22+BU22+CA22+CG22+CM22+CS22+CY22+DE22+DK22+DQ22+DW22+EC22+EI22+EO22+EU22</f>
        <v>0</v>
      </c>
      <c r="FB22" s="192">
        <f>EZ22-FA22</f>
        <v>19</v>
      </c>
      <c r="FC22" s="192">
        <f>I22+O22+U22+AA22+AG22+AM22+AS22+AY22+BE22+BK22+BQ22+BW22+CC22+CI22+CO22+CU22+DA22+DG22+DM22+DS22+DY22+EE22+EK22+EQ22+EW22</f>
        <v>66481000</v>
      </c>
      <c r="FD22" s="192">
        <f>J22+P22+V22+AB22+AH22+AN22+AT22+AZ22+BF22+BL22+BR22+BX22+CD22+CJ22+CP22+CV22+DB22+DH22+DN22+DT22+DZ22+EF22+EL22+ER22+EX22</f>
        <v>0</v>
      </c>
      <c r="FE22" s="192">
        <f>FC22-FD22</f>
        <v>66481000</v>
      </c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</row>
    <row r="23" spans="1:208" ht="16" x14ac:dyDescent="0.2">
      <c r="A23" s="137">
        <f>'[1]ACHIEVEMENT STORE'!A23</f>
        <v>19</v>
      </c>
      <c r="B23" s="138" t="str">
        <f>'[1]ACHIEVEMENT STORE'!B23</f>
        <v>618 茂物 BOGOR</v>
      </c>
      <c r="C23" s="137">
        <f>'[1]ACHIEVEMENT STORE'!C23</f>
        <v>6180706</v>
      </c>
      <c r="D23" s="138" t="str">
        <f>'[1]ACHIEVEMENT STORE'!D23</f>
        <v>6180706-MVS MALL CCM</v>
      </c>
      <c r="E23" s="138" t="str">
        <f>'[1]ACHIEVEMENT STORE'!E23</f>
        <v>DANDI SURYA</v>
      </c>
      <c r="F23" s="192">
        <f>IFERROR(INDEX('[1]SALES PERTYPE'!$D$10:$D$52,MATCH($C23,'[1]SALES PERTYPE'!$B$10:$B$52,0)),0)</f>
        <v>6</v>
      </c>
      <c r="G23" s="192">
        <f>IFERROR(INDEX('[1]Sales per type juli'!$D$10:$BA$51,MATCH($C23,'[1]Sales per type juli'!$B$10:$B$51,0),MATCH("Y05",'[1]Sales per type juli'!$D$8:$BA$8,0)),0)</f>
        <v>10</v>
      </c>
      <c r="H23" s="192">
        <f>F23-G23</f>
        <v>-4</v>
      </c>
      <c r="I23" s="192">
        <f>IFERROR(INDEX('[1]SALES PERTYPE'!$E$10:$E$52,MATCH($C23,'[1]SALES PERTYPE'!$B$10:$B$52,0)),0)</f>
        <v>14694000</v>
      </c>
      <c r="J23" s="192" cm="1">
        <f t="array" ref="J23">IFERROR(INDEX('[1]Sales per type juli'!$D$10:$BA$51,MATCH($C23,'[1]Sales per type juli'!$B$10:$B$51,0),MATCH("Y05",'[1]Sales per type juli'!$D$8:$BA$8,0)+1),0)</f>
        <v>22790000</v>
      </c>
      <c r="K23" s="192">
        <f>I23-J23</f>
        <v>-8096000</v>
      </c>
      <c r="L23" s="192">
        <f>IFERROR(INDEX('[1]SALES PERTYPE'!$F$10:$F$52,MATCH($C23,'[1]SALES PERTYPE'!$B$10:$B$52,0)),0)</f>
        <v>7</v>
      </c>
      <c r="M23" s="192">
        <f>IFERROR(INDEX('[1]Sales per type juli'!$D$10:$BA$51,MATCH($C23,'[1]Sales per type juli'!$B$10:$B$51,0),MATCH("Y11d",'[1]Sales per type juli'!$D$8:$BA$8,0)),0)</f>
        <v>6</v>
      </c>
      <c r="N23" s="192">
        <f>L23-M23</f>
        <v>1</v>
      </c>
      <c r="O23" s="192">
        <f>IFERROR(INDEX('[1]SALES PERTYPE'!$G$10:$G$52,MATCH($C23,'[1]SALES PERTYPE'!$B$10:$B$52,0)),0)</f>
        <v>18793000</v>
      </c>
      <c r="P23" s="192" cm="1">
        <f t="array" ref="P23">IFERROR(INDEX('[1]Sales per type juli'!$D$10:$BA$51,MATCH($C23,'[1]Sales per type juli'!$B$10:$B$51,0),MATCH("Y11d",'[1]Sales per type juli'!$D$8:$BA$8,0)+1),0)</f>
        <v>15994000</v>
      </c>
      <c r="Q23" s="192">
        <f>O23-P23</f>
        <v>2799000</v>
      </c>
      <c r="R23" s="192">
        <f>IFERROR(INDEX('[1]SALES PERTYPE'!$H$10:$H$52,MATCH($C23,'[1]SALES PERTYPE'!$B$10:$B$52,0)),0)</f>
        <v>0</v>
      </c>
      <c r="S23" s="192">
        <f>IFERROR(INDEX('[1]Sales per type juli'!$D$10:$BA$51,MATCH($C23,'[1]Sales per type juli'!$B$10:$B$51,0),MATCH("Watch GT 2",'[1]Sales per type juli'!$D$8:$BA$8,0)),0)</f>
        <v>0</v>
      </c>
      <c r="T23" s="192">
        <f>R23-S23</f>
        <v>0</v>
      </c>
      <c r="U23" s="192">
        <f>IFERROR(INDEX('[1]SALES PERTYPE'!$I$10:$I$52,MATCH($C23,'[1]SALES PERTYPE'!$B$10:$B$52,0)),0)</f>
        <v>0</v>
      </c>
      <c r="V23" s="192" cm="1">
        <f t="array" ref="V23">IFERROR(INDEX('[1]Sales per type juli'!$D$10:$BA$51,MATCH($C23,'[1]Sales per type juli'!$B$10:$B$51,0),MATCH("Watch GT 2",'[1]Sales per type juli'!$D$8:$BA$8,0)+1),0)</f>
        <v>0</v>
      </c>
      <c r="W23" s="192">
        <f>U23-V23</f>
        <v>0</v>
      </c>
      <c r="X23" s="192">
        <f>IFERROR(INDEX('[1]SALES PERTYPE'!$J$10:$J$52,MATCH($C23,'[1]SALES PERTYPE'!$B$10:$B$52,0)),0)</f>
        <v>13</v>
      </c>
      <c r="Y23" s="192">
        <f>IFERROR(INDEX('[1]Sales per type juli'!$D$10:$BA$51,MATCH($C23,'[1]Sales per type juli'!$B$10:$B$51,0),MATCH("Y05e",'[1]Sales per type juli'!$D$8:$BA$8,0)),0)</f>
        <v>0</v>
      </c>
      <c r="Z23" s="192">
        <f>X23-Y23</f>
        <v>13</v>
      </c>
      <c r="AA23" s="192">
        <f>IFERROR(INDEX('[1]SALES PERTYPE'!$K$10:$K$52,MATCH($C23,'[1]SALES PERTYPE'!$B$10:$B$52,0)),0)</f>
        <v>27287000</v>
      </c>
      <c r="AB23" s="192" cm="1">
        <f t="array" ref="AB23">IFERROR(INDEX('[1]Sales per type juli'!$D$10:$BA$51,MATCH($C23,'[1]Sales per type juli'!$B$10:$B$51,0),MATCH("Y05e",'[1]Sales per type juli'!$D$8:$BA$8,0)+1),0)</f>
        <v>0</v>
      </c>
      <c r="AC23" s="192">
        <f>AA23-AB23</f>
        <v>27287000</v>
      </c>
      <c r="AD23" s="192">
        <f>IFERROR(INDEX('[1]SALES PERTYPE'!$L$10:$L$52,MATCH($C23,'[1]SALES PERTYPE'!$B$10:$B$52,0)),0)</f>
        <v>2</v>
      </c>
      <c r="AE23" s="192">
        <f>IFERROR(INDEX('[1]Sales per type juli'!$D$10:$BA$51,MATCH($C23,'[1]Sales per type juli'!$B$10:$B$51,0),MATCH("V70",'[1]Sales per type juli'!$D$8:$BA$8,0)),0)</f>
        <v>7</v>
      </c>
      <c r="AF23" s="192">
        <f>AD23-AE23</f>
        <v>-5</v>
      </c>
      <c r="AG23" s="192">
        <f>IFERROR(INDEX('[1]SALES PERTYPE'!$M$10:$M$52,MATCH($C23,'[1]SALES PERTYPE'!$B$10:$B$52,0)),0)</f>
        <v>19998000</v>
      </c>
      <c r="AH23" s="192" cm="1">
        <f t="array" ref="AH23">IFERROR(INDEX('[1]Sales per type juli'!$D$10:$BA$51,MATCH($C23,'[1]Sales per type juli'!$B$10:$B$51,0),MATCH("V70",'[1]Sales per type juli'!$D$8:$BA$8,0)+1),0)</f>
        <v>62993000</v>
      </c>
      <c r="AI23" s="192">
        <f>AG23-AH23</f>
        <v>-42995000</v>
      </c>
      <c r="AJ23" s="192">
        <f>IFERROR(INDEX('[1]SALES PERTYPE'!$N$10:$N$52,MATCH($C23,'[1]SALES PERTYPE'!$B$10:$B$52,0)),0)</f>
        <v>5</v>
      </c>
      <c r="AK23" s="192">
        <f>IFERROR(INDEX('[1]Sales per type juli'!$D$10:$BA$51,MATCH($C23,'[1]Sales per type juli'!$B$10:$B$51,0),MATCH("Y31d Pro",'[1]Sales per type juli'!$D$8:$BA$8,0)),0)</f>
        <v>6</v>
      </c>
      <c r="AL23" s="192">
        <f>AJ23-AK23</f>
        <v>-1</v>
      </c>
      <c r="AM23" s="192">
        <f>IFERROR(INDEX('[1]SALES PERTYPE'!$O$10:$O$52,MATCH($C23,'[1]SALES PERTYPE'!$B$10:$B$52,0)),0)</f>
        <v>21495000</v>
      </c>
      <c r="AN23" s="192" cm="1">
        <f t="array" ref="AN23">IFERROR(INDEX('[1]Sales per type juli'!$D$10:$BA$51,MATCH($C23,'[1]Sales per type juli'!$B$10:$B$51,0),MATCH("Y31d Pro",'[1]Sales per type juli'!$D$8:$BA$8,0)+1),0)</f>
        <v>25594000</v>
      </c>
      <c r="AO23" s="192">
        <f>AM23-AN23</f>
        <v>-4099000</v>
      </c>
      <c r="AP23" s="192">
        <f>IFERROR(INDEX('[1]SALES PERTYPE'!$P$10:$P$52,MATCH($C23,'[1]SALES PERTYPE'!$B$10:$B$52,0)),0)</f>
        <v>0</v>
      </c>
      <c r="AQ23" s="192" cm="1">
        <f t="array" ref="AQ23">IFERROR(INDEX('[1]Sales per type juli'!$D$10:$BA$51,MATCH($C23,'[1]Sales per type juli'!$B$10:$B$51,0),$FG$2),0)</f>
        <v>1</v>
      </c>
      <c r="AR23" s="192">
        <f>AP23-AQ23</f>
        <v>-1</v>
      </c>
      <c r="AS23" s="192">
        <f>IFERROR(INDEX('[1]SALES PERTYPE'!$Q$10:$Q$52,MATCH($C23,'[1]SALES PERTYPE'!$B$10:$B$52,0)),0)</f>
        <v>0</v>
      </c>
      <c r="AT23" s="192" cm="1">
        <f t="array" ref="AT23">IFERROR(INDEX('[1]Sales per type juli'!$D$10:$BA$51,MATCH($C23,'[1]Sales per type juli'!$B$10:$B$51,0),$FG$2+1),0)</f>
        <v>3599000</v>
      </c>
      <c r="AU23" s="192">
        <f>AS23-AT23</f>
        <v>-3599000</v>
      </c>
      <c r="AV23" s="192">
        <f>IFERROR(INDEX('[1]SALES PERTYPE'!$R$10:$R$52,MATCH($C23,'[1]SALES PERTYPE'!$B$10:$B$52,0)),0)</f>
        <v>0</v>
      </c>
      <c r="AW23" s="192">
        <f>IFERROR(INDEX('[1]Sales per type juli'!$D$10:$BA$51,MATCH($C23,'[1]Sales per type juli'!$B$10:$B$51,0),MATCH("Y31d ",'[1]Sales per type juli'!$D$8:$BA$8,0)),0)</f>
        <v>1</v>
      </c>
      <c r="AX23" s="192">
        <f>AV23-AW23</f>
        <v>-1</v>
      </c>
      <c r="AY23" s="192">
        <f>IFERROR(INDEX('[1]SALES PERTYPE'!$S$10:$S$52,MATCH($C23,'[1]SALES PERTYPE'!$B$10:$B$52,0)),0)</f>
        <v>0</v>
      </c>
      <c r="AZ23" s="192" cm="1">
        <f t="array" ref="AZ23">IFERROR(INDEX('[1]Sales per type juli'!$D$10:$BA$51,MATCH($C23,'[1]Sales per type juli'!$B$10:$B$51,0),MATCH("Y31d ",'[1]Sales per type juli'!$D$8:$BA$8,0)+1),0)</f>
        <v>3599000</v>
      </c>
      <c r="BA23" s="192">
        <f>AY23-AZ23</f>
        <v>-3599000</v>
      </c>
      <c r="BB23" s="192">
        <f>IFERROR(INDEX('[1]SALES PERTYPE'!$T$10:$T$52,MATCH($C23,'[1]SALES PERTYPE'!$B$10:$B$52,0)),0)</f>
        <v>2</v>
      </c>
      <c r="BC23" s="192">
        <f>IFERROR(INDEX('[1]Sales per type juli'!$D$10:$BA$51,MATCH($C23,'[1]Sales per type juli'!$B$10:$B$51,0),MATCH("V70 FE",'[1]Sales per type juli'!$D$8:$BA$8,0)),0)</f>
        <v>5</v>
      </c>
      <c r="BD23" s="192">
        <f>BB23-BC23</f>
        <v>-3</v>
      </c>
      <c r="BE23" s="192">
        <f>IFERROR(INDEX('[1]SALES PERTYPE'!$U$10:$U$52,MATCH($C23,'[1]SALES PERTYPE'!$B$10:$B$52,0)),0)</f>
        <v>15998000</v>
      </c>
      <c r="BF23" s="192" cm="1">
        <f t="array" ref="BF23">IFERROR(INDEX('[1]Sales per type juli'!$D$10:$BA$51,MATCH($C23,'[1]Sales per type juli'!$B$10:$B$51,0),MATCH("V70 FE",'[1]Sales per type juli'!$D$8:$BA$8,0)+1),0)</f>
        <v>33895000</v>
      </c>
      <c r="BG23" s="192">
        <f>BE23-BF23</f>
        <v>-17897000</v>
      </c>
      <c r="BH23" s="192">
        <f>IFERROR(INDEX('[1]SALES PERTYPE'!$V$10:$V$52,MATCH($C23,'[1]SALES PERTYPE'!$B$10:$B$52,0)),0)</f>
        <v>1</v>
      </c>
      <c r="BI23" s="192">
        <f>IFERROR(INDEX('[1]Sales per type juli'!$D$10:$BA$51,MATCH($C23,'[1]Sales per type juli'!$B$10:$B$51,0),MATCH("Y31d",'[1]Sales per type juli'!$D$8:$BA$8,0)),0)</f>
        <v>4</v>
      </c>
      <c r="BJ23" s="192">
        <f>BH23-BI23</f>
        <v>-3</v>
      </c>
      <c r="BK23" s="192">
        <f>IFERROR(INDEX('[1]SALES PERTYPE'!$W$10:$W$52,MATCH($C23,'[1]SALES PERTYPE'!$B$10:$B$52,0)),0)</f>
        <v>3599000</v>
      </c>
      <c r="BL23" s="192" cm="1">
        <f t="array" ref="BL23">IFERROR(INDEX('[1]Sales per type juli'!$D$10:$BA$51,MATCH($C23,'[1]Sales per type juli'!$B$10:$B$51,0),MATCH("Y31d",'[1]Sales per type juli'!$D$8:$BA$8,0)+1),0)</f>
        <v>14396000</v>
      </c>
      <c r="BM23" s="192">
        <f>BK23-BL23</f>
        <v>-10797000</v>
      </c>
      <c r="BN23" s="192">
        <f>IFERROR(INDEX('[1]SALES PERTYPE'!$X$10:$X$52,MATCH($C23,'[1]SALES PERTYPE'!$B$10:$B$52,0)),0)</f>
        <v>1</v>
      </c>
      <c r="BO23" s="192">
        <f>IFERROR(INDEX('[1]Sales per type juli'!$D$10:$BA$51,MATCH($C23,'[1]Sales per type juli'!$B$10:$B$51,0),MATCH("Y500",'[1]Sales per type juli'!$D$8:$BA$8,0)),0)</f>
        <v>1</v>
      </c>
      <c r="BP23" s="192">
        <f>BN23-BO23</f>
        <v>0</v>
      </c>
      <c r="BQ23" s="192">
        <f>IFERROR(INDEX('[1]SALES PERTYPE'!$Y$10:$Y$52,MATCH($C23,'[1]SALES PERTYPE'!$B$10:$B$52,0)),0)</f>
        <v>6299000</v>
      </c>
      <c r="BR23" s="192" cm="1">
        <f t="array" ref="BR23">IFERROR(INDEX('[1]Sales per type juli'!$D$10:$BA$51,MATCH($C23,'[1]Sales per type juli'!$B$10:$B$51,0),MATCH("Y500",'[1]Sales per type juli'!$D$8:$BA$8,0)+1),0)</f>
        <v>5499000</v>
      </c>
      <c r="BS23" s="192">
        <f>BQ23-BR23</f>
        <v>800000</v>
      </c>
      <c r="BT23" s="192">
        <f>IFERROR(INDEX('[1]SALES PERTYPE'!$Z$10:$Z$52,MATCH($C23,'[1]SALES PERTYPE'!$B$10:$B$52,0)),0)</f>
        <v>0</v>
      </c>
      <c r="BU23" s="192">
        <f>IFERROR(INDEX('[1]Sales per type juli'!$D$10:$BA$51,MATCH($C23,'[1]Sales per type juli'!$B$10:$B$51,0),MATCH("IQOO 15R",'[1]Sales per type juli'!$D$8:$BA$8,0)),0)</f>
        <v>3</v>
      </c>
      <c r="BV23" s="192">
        <f>BT23-BU23</f>
        <v>-3</v>
      </c>
      <c r="BW23" s="192">
        <f>IFERROR(INDEX('[1]SALES PERTYPE'!$AA$10:$AA$52,MATCH($C23,'[1]SALES PERTYPE'!$B$10:$B$52,0)),0)</f>
        <v>0</v>
      </c>
      <c r="BX23" s="192" cm="1">
        <f t="array" ref="BX23">IFERROR(INDEX('[1]Sales per type juli'!$D$10:$BA$51,MATCH($C23,'[1]Sales per type juli'!$B$10:$B$51,0),MATCH("IQOO 15R",'[1]Sales per type juli'!$D$8:$BA$8,0)+1),0)</f>
        <v>29697000</v>
      </c>
      <c r="BY23" s="192">
        <f>BW23-BX23</f>
        <v>-29697000</v>
      </c>
      <c r="BZ23" s="192">
        <f>IFERROR(INDEX('[1]SALES PERTYPE'!$AB$10:$AB$52,MATCH($C23,'[1]SALES PERTYPE'!$B$10:$B$52,0)),0)</f>
        <v>2</v>
      </c>
      <c r="CA23" s="192">
        <f>IFERROR(INDEX('[1]Sales per type juli'!$D$10:$BA$51,MATCH($C23,'[1]Sales per type juli'!$B$10:$B$51,0),MATCH("V60 Lite",'[1]Sales per type juli'!$D$8:$BA$8,0)),0)</f>
        <v>1</v>
      </c>
      <c r="CB23" s="192">
        <f>BZ23-CA23</f>
        <v>1</v>
      </c>
      <c r="CC23" s="192">
        <f>IFERROR(INDEX('[1]SALES PERTYPE'!$AC$10:$AC$52,MATCH($C23,'[1]SALES PERTYPE'!$B$10:$B$52,0)),0)</f>
        <v>10598000</v>
      </c>
      <c r="CD23" s="192" cm="1">
        <f t="array" ref="CD23">IFERROR(INDEX('[1]Sales per type juli'!$D$10:$BA$51,MATCH($C23,'[1]Sales per type juli'!$B$10:$B$51,0),MATCH("V60 Lite",'[1]Sales per type juli'!$D$8:$BA$8,0)+1),0)</f>
        <v>5299000</v>
      </c>
      <c r="CE23" s="192">
        <f>CC23-CD23</f>
        <v>5299000</v>
      </c>
      <c r="CF23" s="192">
        <f>IFERROR(INDEX('[1]SALES PERTYPE'!$AD$10:$AD$52,MATCH($C23,'[1]SALES PERTYPE'!$B$10:$B$52,0)),0)</f>
        <v>0</v>
      </c>
      <c r="CG23" s="192">
        <f>IFERROR(INDEX('[1]Sales per type juli'!$D$10:$BA$51,MATCH($C23,'[1]Sales per type juli'!$B$10:$B$51,0),MATCH("X300 Ultra",'[1]Sales per type juli'!$D$8:$BA$8,0)),0)</f>
        <v>0</v>
      </c>
      <c r="CH23" s="192">
        <f>CF23-CG23</f>
        <v>0</v>
      </c>
      <c r="CI23" s="192">
        <f>IFERROR(INDEX('[1]SALES PERTYPE'!$AE$10:$AE$52,MATCH($C23,'[1]SALES PERTYPE'!$B$10:$B$52,0)),0)</f>
        <v>0</v>
      </c>
      <c r="CJ23" s="192" cm="1">
        <f t="array" ref="CJ23">IFERROR(INDEX('[1]Sales per type juli'!$D$10:$BA$51,MATCH($C23,'[1]Sales per type juli'!$B$10:$B$51,0),MATCH("X300 Ultra",'[1]Sales per type juli'!$D$8:$BA$8,0)+1),0)</f>
        <v>0</v>
      </c>
      <c r="CK23" s="192">
        <f>CI23-CJ23</f>
        <v>0</v>
      </c>
      <c r="CL23" s="192">
        <f>IFERROR(INDEX('[1]SALES PERTYPE'!$AF$10:$AF$52,MATCH($C23,'[1]SALES PERTYPE'!$B$10:$B$52,0)),0)</f>
        <v>0</v>
      </c>
      <c r="CM23" s="192">
        <f>IFERROR(INDEX('[1]Sales per type juli'!$D$10:$BA$51,MATCH($C23,'[1]Sales per type juli'!$B$10:$B$51,0),MATCH("IQOO 15",'[1]Sales per type juli'!$D$8:$BA$8,0)),0)</f>
        <v>0</v>
      </c>
      <c r="CN23" s="192">
        <f>CL23-CM23</f>
        <v>0</v>
      </c>
      <c r="CO23" s="192">
        <f>IFERROR(INDEX('[1]SALES PERTYPE'!$AG$10:$AG$52,MATCH($C23,'[1]SALES PERTYPE'!$B$10:$B$52,0)),0)</f>
        <v>0</v>
      </c>
      <c r="CP23" s="192" cm="1">
        <f t="array" ref="CP23">IFERROR(INDEX('[1]Sales per type juli'!$D$10:$BA$51,MATCH($C23,'[1]Sales per type juli'!$B$10:$B$51,0),MATCH("IQOO 15",'[1]Sales per type juli'!$D$8:$BA$8,0)+1),0)</f>
        <v>0</v>
      </c>
      <c r="CQ23" s="192">
        <f>CO23-CP23</f>
        <v>0</v>
      </c>
      <c r="CR23" s="192">
        <f>IFERROR(INDEX('[1]SALES PERTYPE'!$AH$10:$AH$52,MATCH($C23,'[1]SALES PERTYPE'!$B$10:$B$52,0)),0)</f>
        <v>1</v>
      </c>
      <c r="CS23" s="192">
        <f>IFERROR(INDEX('[1]Sales per type juli'!$D$10:$BA$51,MATCH($C23,'[1]Sales per type juli'!$B$10:$B$51,0),MATCH("IQOO Z11x",'[1]Sales per type juli'!$D$8:$BA$8,0)),0)</f>
        <v>4</v>
      </c>
      <c r="CT23" s="192">
        <f>CR23-CS23</f>
        <v>-3</v>
      </c>
      <c r="CU23" s="192">
        <f>IFERROR(INDEX('[1]SALES PERTYPE'!$AI$10:$AI$52,MATCH($C23,'[1]SALES PERTYPE'!$B$10:$B$52,0)),0)</f>
        <v>5699000</v>
      </c>
      <c r="CV23" s="192" cm="1">
        <f t="array" ref="CV23">IFERROR(INDEX('[1]Sales per type juli'!$D$10:$BA$51,MATCH($C23,'[1]Sales per type juli'!$B$10:$B$51,0),MATCH("IQOO Z11x",'[1]Sales per type juli'!$D$8:$BA$8,0)+1),0)</f>
        <v>19196000</v>
      </c>
      <c r="CW23" s="192">
        <f>CU23-CV23</f>
        <v>-13497000</v>
      </c>
      <c r="CX23" s="192">
        <f>IFERROR(INDEX('[1]SALES PERTYPE'!$AJ$10:$AJ$52,MATCH($C23,'[1]SALES PERTYPE'!$B$10:$B$52,0)),0)</f>
        <v>1</v>
      </c>
      <c r="CY23" s="192">
        <f>IFERROR(INDEX('[1]Sales per type juli'!$D$10:$BA$51,MATCH($C23,'[1]Sales per type juli'!$B$10:$B$51,0),MATCH("IQOO Z11",'[1]Sales per type juli'!$D$8:$BA$8,0)),0)</f>
        <v>8</v>
      </c>
      <c r="CZ23" s="192">
        <f>CX23-CY23</f>
        <v>-7</v>
      </c>
      <c r="DA23" s="192">
        <f>IFERROR(INDEX('[1]SALES PERTYPE'!$AK$10:$AK$52,MATCH($C23,'[1]SALES PERTYPE'!$B$10:$B$52,0)),0)</f>
        <v>6899000</v>
      </c>
      <c r="DB23" s="192" cm="1">
        <f t="array" ref="DB23">IFERROR(INDEX('[1]Sales per type juli'!$D$10:$BA$51,MATCH($C23,'[1]Sales per type juli'!$B$10:$B$51,0),MATCH("IQOO Z11",'[1]Sales per type juli'!$D$8:$BA$8,0)+1),0)</f>
        <v>45592000</v>
      </c>
      <c r="DC23" s="192">
        <f>DA23-DB23</f>
        <v>-38693000</v>
      </c>
      <c r="DD23" s="192">
        <v>0</v>
      </c>
      <c r="DE23" s="192">
        <f>IFERROR(INDEX('[1]Sales per type juli'!$D$10:$BA$51,MATCH($C23,'[1]Sales per type juli'!$B$10:$B$51,0),MATCH("WATCH 3",'[1]Sales per type juli'!$D$8:$BA$8,0)),0)</f>
        <v>0</v>
      </c>
      <c r="DF23" s="192">
        <f>DD23-DE23</f>
        <v>0</v>
      </c>
      <c r="DG23" s="192">
        <v>0</v>
      </c>
      <c r="DH23" s="192" cm="1">
        <f t="array" ref="DH23">IFERROR(INDEX('[1]Sales per type juli'!$D$10:$BA$51,MATCH($C23,'[1]Sales per type juli'!$B$10:$B$51,0),MATCH("WATCH 3",'[1]Sales per type juli'!$D$8:$BA$8,0)+1),0)</f>
        <v>0</v>
      </c>
      <c r="DI23" s="192">
        <f>DG23-DH23</f>
        <v>0</v>
      </c>
      <c r="DJ23" s="192">
        <v>0</v>
      </c>
      <c r="DK23" s="192">
        <f>IFERROR(INDEX('[1]Sales per type juli'!$D$10:$BA$51,MATCH($C23,'[1]Sales per type juli'!$B$10:$B$51,0),MATCH("X300 Demo",'[1]Sales per type juli'!$D$8:$BA$8,0)),0)</f>
        <v>3</v>
      </c>
      <c r="DL23" s="192">
        <f>DJ23-DK23</f>
        <v>-3</v>
      </c>
      <c r="DM23" s="192">
        <v>0</v>
      </c>
      <c r="DN23" s="192" cm="1">
        <f t="array" ref="DN23">IFERROR(INDEX('[1]Sales per type juli'!$D$10:$BA$51,MATCH($C23,'[1]Sales per type juli'!$B$10:$B$51,0),MATCH("X300 Demo",'[1]Sales per type juli'!$D$8:$BA$8,0)+1),0)</f>
        <v>48997000</v>
      </c>
      <c r="DO23" s="192">
        <f>DM23-DN23</f>
        <v>-48997000</v>
      </c>
      <c r="DP23" s="192">
        <v>0</v>
      </c>
      <c r="DQ23" s="192">
        <f>IFERROR(INDEX('[1]Sales per type juli'!$D$10:$BA$51,MATCH($C23,'[1]Sales per type juli'!$B$10:$B$51,0),MATCH("X300 Pro Demo",'[1]Sales per type juli'!$D$8:$BA$8,0)),0)</f>
        <v>1</v>
      </c>
      <c r="DR23" s="192">
        <f>DP23-DQ23</f>
        <v>-1</v>
      </c>
      <c r="DS23" s="192">
        <v>0</v>
      </c>
      <c r="DT23" s="192" cm="1">
        <f t="array" ref="DT23">IFERROR(INDEX('[1]Sales per type juli'!$D$10:$BA$51,MATCH($C23,'[1]Sales per type juli'!$B$10:$B$51,0),MATCH("X300 Pro Demo",'[1]Sales per type juli'!$D$8:$BA$8,0)+1),0)</f>
        <v>18999000</v>
      </c>
      <c r="DU23" s="192">
        <f>DS23-DT23</f>
        <v>-18999000</v>
      </c>
      <c r="DV23" s="192">
        <v>0</v>
      </c>
      <c r="DW23" s="192">
        <f>IFERROR(INDEX('[1]Sales per type juli'!$D$10:$BA$51,MATCH($C23,'[1]Sales per type juli'!$B$10:$B$51,0),MATCH("X Fold5 DEMO",'[1]Sales per type juli'!$D$8:$BA$8,0)),0)</f>
        <v>0</v>
      </c>
      <c r="DX23" s="192">
        <f>DV23-DW23</f>
        <v>0</v>
      </c>
      <c r="DY23" s="192">
        <v>0</v>
      </c>
      <c r="DZ23" s="192" cm="1">
        <f t="array" ref="DZ23">IFERROR(INDEX('[1]Sales per type juli'!$D$10:$BA$51,MATCH($C23,'[1]Sales per type juli'!$B$10:$B$51,0),MATCH("X Fold5 DEMO",'[1]Sales per type juli'!$D$8:$BA$8,0)+1),0)</f>
        <v>0</v>
      </c>
      <c r="EA23" s="192">
        <f>DY23-DZ23</f>
        <v>0</v>
      </c>
      <c r="EB23" s="192">
        <v>0</v>
      </c>
      <c r="EC23" s="192">
        <f>IFERROR(INDEX('[1]Sales per type juli'!$D$10:$BA$51,MATCH($C23,'[1]Sales per type juli'!$B$10:$B$51,0),MATCH("X Fold5",'[1]Sales per type juli'!$D$8:$BA$8,0)),0)</f>
        <v>0</v>
      </c>
      <c r="ED23" s="192">
        <f>EB23-EC23</f>
        <v>0</v>
      </c>
      <c r="EE23" s="192">
        <v>0</v>
      </c>
      <c r="EF23" s="192" cm="1">
        <f t="array" ref="EF23">IFERROR(INDEX('[1]Sales per type juli'!$D$10:$BA$51,MATCH($C23,'[1]Sales per type juli'!$B$10:$B$51,0),MATCH("X Fold5",'[1]Sales per type juli'!$D$8:$BA$8,0)+1),0)</f>
        <v>0</v>
      </c>
      <c r="EG23" s="192">
        <f>EE23-EF23</f>
        <v>0</v>
      </c>
      <c r="EH23" s="192">
        <v>0</v>
      </c>
      <c r="EI23" s="192">
        <f>IFERROR(INDEX('[1]Sales per type juli'!$D$10:$BA$51,MATCH($C23,'[1]Sales per type juli'!$B$10:$B$51,0),MATCH("IQOO 15 Demo",'[1]Sales per type juli'!$D$8:$BA$8,0)),0)</f>
        <v>1</v>
      </c>
      <c r="EJ23" s="192">
        <f>EH23-EI23</f>
        <v>-1</v>
      </c>
      <c r="EK23" s="192">
        <v>0</v>
      </c>
      <c r="EL23" s="192" cm="1">
        <f t="array" ref="EL23">IFERROR(INDEX('[1]Sales per type juli'!$D$10:$BA$51,MATCH($C23,'[1]Sales per type juli'!$B$10:$B$51,0),MATCH("IQOO 15 Demo",'[1]Sales per type juli'!$D$8:$BA$8,0)+1),0)</f>
        <v>13999000</v>
      </c>
      <c r="EM23" s="192">
        <f>EK23-EL23</f>
        <v>-13999000</v>
      </c>
      <c r="EN23" s="192">
        <v>0</v>
      </c>
      <c r="EO23" s="192">
        <f>IFERROR(INDEX('[1]Sales per type juli'!$D$10:$BA$51,MATCH($C23,'[1]Sales per type juli'!$B$10:$B$51,0),MATCH("X300 PRO",'[1]Sales per type juli'!$D$8:$BA$8,0)),0)</f>
        <v>0</v>
      </c>
      <c r="EP23" s="192">
        <f>EN23-EO23</f>
        <v>0</v>
      </c>
      <c r="EQ23" s="192">
        <v>0</v>
      </c>
      <c r="ER23" s="192" cm="1">
        <f t="array" ref="ER23">IFERROR(INDEX('[1]Sales per type juli'!$D$10:$BA$51,MATCH($C23,'[1]Sales per type juli'!$B$10:$B$51,0),MATCH("X300 PRO",'[1]Sales per type juli'!$D$8:$BA$8,0)+1),0)</f>
        <v>0</v>
      </c>
      <c r="ES23" s="192">
        <f>EQ23-ER23</f>
        <v>0</v>
      </c>
      <c r="ET23" s="192">
        <v>0</v>
      </c>
      <c r="EU23" s="192">
        <f>IFERROR(INDEX('[1]Sales per type juli'!$D$10:$BA$51,MATCH($C23,'[1]Sales per type juli'!$B$10:$B$51,0),MATCH("X300 ",'[1]Sales per type juli'!$D$8:$BA$8,0)),0)</f>
        <v>0</v>
      </c>
      <c r="EV23" s="192">
        <f>ET23-EU23</f>
        <v>0</v>
      </c>
      <c r="EW23" s="192">
        <v>0</v>
      </c>
      <c r="EX23" s="192" cm="1">
        <f t="array" ref="EX23">IFERROR(INDEX('[1]Sales per type juli'!$D$10:$BA$51,MATCH($C23,'[1]Sales per type juli'!$B$10:$B$51,0),MATCH("X300 ",'[1]Sales per type juli'!$D$8:$BA$8,0)+1),0)</f>
        <v>0</v>
      </c>
      <c r="EY23" s="192">
        <f>EW23-EX23</f>
        <v>0</v>
      </c>
      <c r="EZ23" s="192">
        <f>F23+L23+R23+X23+AD23+AJ23+AP23+AV23+BB23+BH23+BN23+BT23+BZ23+CF23+CL23+CR23+CX23+DD23+DJ23+DP23+DV23+EB23+EH23+EN23+ET23</f>
        <v>41</v>
      </c>
      <c r="FA23" s="192">
        <f>G23+M23+S23+Y23+AE23+AK23+AQ23+AW23+BC23+BI23+BO23+BU23+CA23+CG23+CM23+CS23+CY23+DE23+DK23+DQ23+DW23+EC23+EI23+EO23+EU23</f>
        <v>62</v>
      </c>
      <c r="FB23" s="192">
        <f>EZ23-FA23</f>
        <v>-21</v>
      </c>
      <c r="FC23" s="192">
        <f>I23+O23+U23+AA23+AG23+AM23+AS23+AY23+BE23+BK23+BQ23+BW23+CC23+CI23+CO23+CU23+DA23+DG23+DM23+DS23+DY23+EE23+EK23+EQ23+EW23</f>
        <v>151359000</v>
      </c>
      <c r="FD23" s="192">
        <f>J23+P23+V23+AB23+AH23+AN23+AT23+AZ23+BF23+BL23+BR23+BX23+CD23+CJ23+CP23+CV23+DB23+DH23+DN23+DT23+DZ23+EF23+EL23+ER23+EX23</f>
        <v>370138000</v>
      </c>
      <c r="FE23" s="192">
        <f>FC23-FD23</f>
        <v>-218779000</v>
      </c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</row>
    <row r="24" spans="1:208" ht="16" x14ac:dyDescent="0.2">
      <c r="A24" s="139">
        <f>'[1]ACHIEVEMENT STORE'!A24</f>
        <v>20</v>
      </c>
      <c r="B24" s="140" t="str">
        <f>'[1]ACHIEVEMENT STORE'!B24</f>
        <v>618 茂物 BOGOR</v>
      </c>
      <c r="C24" s="139">
        <f>'[1]ACHIEVEMENT STORE'!C24</f>
        <v>6180707</v>
      </c>
      <c r="D24" s="140" t="str">
        <f>'[1]ACHIEVEMENT STORE'!D24</f>
        <v>6180707-SC BTM</v>
      </c>
      <c r="E24" s="140" t="str">
        <f>'[1]ACHIEVEMENT STORE'!E24</f>
        <v>DANDI SURYA</v>
      </c>
      <c r="F24" s="192">
        <f>IFERROR(INDEX('[1]SALES PERTYPE'!$D$10:$D$52,MATCH($C24,'[1]SALES PERTYPE'!$B$10:$B$52,0)),0)</f>
        <v>0</v>
      </c>
      <c r="G24" s="192">
        <f>IFERROR(INDEX('[1]Sales per type juli'!$D$10:$BA$51,MATCH($C24,'[1]Sales per type juli'!$B$10:$B$51,0),MATCH("Y05",'[1]Sales per type juli'!$D$8:$BA$8,0)),0)</f>
        <v>3</v>
      </c>
      <c r="H24" s="192">
        <f>F24-G24</f>
        <v>-3</v>
      </c>
      <c r="I24" s="192">
        <f>IFERROR(INDEX('[1]SALES PERTYPE'!$E$10:$E$52,MATCH($C24,'[1]SALES PERTYPE'!$B$10:$B$52,0)),0)</f>
        <v>0</v>
      </c>
      <c r="J24" s="192" cm="1">
        <f t="array" ref="J24">IFERROR(INDEX('[1]Sales per type juli'!$D$10:$BA$51,MATCH($C24,'[1]Sales per type juli'!$B$10:$B$51,0),MATCH("Y05",'[1]Sales per type juli'!$D$8:$BA$8,0)+1),0)</f>
        <v>7197000</v>
      </c>
      <c r="K24" s="192">
        <f>I24-J24</f>
        <v>-7197000</v>
      </c>
      <c r="L24" s="192">
        <f>IFERROR(INDEX('[1]SALES PERTYPE'!$F$10:$F$52,MATCH($C24,'[1]SALES PERTYPE'!$B$10:$B$52,0)),0)</f>
        <v>4</v>
      </c>
      <c r="M24" s="192">
        <f>IFERROR(INDEX('[1]Sales per type juli'!$D$10:$BA$51,MATCH($C24,'[1]Sales per type juli'!$B$10:$B$51,0),MATCH("Y11d",'[1]Sales per type juli'!$D$8:$BA$8,0)),0)</f>
        <v>2</v>
      </c>
      <c r="N24" s="192">
        <f>L24-M24</f>
        <v>2</v>
      </c>
      <c r="O24" s="192">
        <f>IFERROR(INDEX('[1]SALES PERTYPE'!$G$10:$G$52,MATCH($C24,'[1]SALES PERTYPE'!$B$10:$B$52,0)),0)</f>
        <v>10396000</v>
      </c>
      <c r="P24" s="192" cm="1">
        <f t="array" ref="P24">IFERROR(INDEX('[1]Sales per type juli'!$D$10:$BA$51,MATCH($C24,'[1]Sales per type juli'!$B$10:$B$51,0),MATCH("Y11d",'[1]Sales per type juli'!$D$8:$BA$8,0)+1),0)</f>
        <v>5598000</v>
      </c>
      <c r="Q24" s="192">
        <f>O24-P24</f>
        <v>4798000</v>
      </c>
      <c r="R24" s="192">
        <f>IFERROR(INDEX('[1]SALES PERTYPE'!$H$10:$H$52,MATCH($C24,'[1]SALES PERTYPE'!$B$10:$B$52,0)),0)</f>
        <v>0</v>
      </c>
      <c r="S24" s="192">
        <f>IFERROR(INDEX('[1]Sales per type juli'!$D$10:$BA$51,MATCH($C24,'[1]Sales per type juli'!$B$10:$B$51,0),MATCH("Watch GT 2",'[1]Sales per type juli'!$D$8:$BA$8,0)),0)</f>
        <v>0</v>
      </c>
      <c r="T24" s="192">
        <f>R24-S24</f>
        <v>0</v>
      </c>
      <c r="U24" s="192">
        <f>IFERROR(INDEX('[1]SALES PERTYPE'!$I$10:$I$52,MATCH($C24,'[1]SALES PERTYPE'!$B$10:$B$52,0)),0)</f>
        <v>0</v>
      </c>
      <c r="V24" s="192" cm="1">
        <f t="array" ref="V24">IFERROR(INDEX('[1]Sales per type juli'!$D$10:$BA$51,MATCH($C24,'[1]Sales per type juli'!$B$10:$B$51,0),MATCH("Watch GT 2",'[1]Sales per type juli'!$D$8:$BA$8,0)+1),0)</f>
        <v>0</v>
      </c>
      <c r="W24" s="192">
        <f>U24-V24</f>
        <v>0</v>
      </c>
      <c r="X24" s="192">
        <f>IFERROR(INDEX('[1]SALES PERTYPE'!$J$10:$J$52,MATCH($C24,'[1]SALES PERTYPE'!$B$10:$B$52,0)),0)</f>
        <v>0</v>
      </c>
      <c r="Y24" s="192">
        <f>IFERROR(INDEX('[1]Sales per type juli'!$D$10:$BA$51,MATCH($C24,'[1]Sales per type juli'!$B$10:$B$51,0),MATCH("Y05e",'[1]Sales per type juli'!$D$8:$BA$8,0)),0)</f>
        <v>0</v>
      </c>
      <c r="Z24" s="192">
        <f>X24-Y24</f>
        <v>0</v>
      </c>
      <c r="AA24" s="192">
        <f>IFERROR(INDEX('[1]SALES PERTYPE'!$K$10:$K$52,MATCH($C24,'[1]SALES PERTYPE'!$B$10:$B$52,0)),0)</f>
        <v>0</v>
      </c>
      <c r="AB24" s="192" cm="1">
        <f t="array" ref="AB24">IFERROR(INDEX('[1]Sales per type juli'!$D$10:$BA$51,MATCH($C24,'[1]Sales per type juli'!$B$10:$B$51,0),MATCH("Y05e",'[1]Sales per type juli'!$D$8:$BA$8,0)+1),0)</f>
        <v>0</v>
      </c>
      <c r="AC24" s="192">
        <f>AA24-AB24</f>
        <v>0</v>
      </c>
      <c r="AD24" s="192">
        <f>IFERROR(INDEX('[1]SALES PERTYPE'!$L$10:$L$52,MATCH($C24,'[1]SALES PERTYPE'!$B$10:$B$52,0)),0)</f>
        <v>0</v>
      </c>
      <c r="AE24" s="192">
        <f>IFERROR(INDEX('[1]Sales per type juli'!$D$10:$BA$51,MATCH($C24,'[1]Sales per type juli'!$B$10:$B$51,0),MATCH("V70",'[1]Sales per type juli'!$D$8:$BA$8,0)),0)</f>
        <v>1</v>
      </c>
      <c r="AF24" s="192">
        <f>AD24-AE24</f>
        <v>-1</v>
      </c>
      <c r="AG24" s="192">
        <f>IFERROR(INDEX('[1]SALES PERTYPE'!$M$10:$M$52,MATCH($C24,'[1]SALES PERTYPE'!$B$10:$B$52,0)),0)</f>
        <v>0</v>
      </c>
      <c r="AH24" s="192" cm="1">
        <f t="array" ref="AH24">IFERROR(INDEX('[1]Sales per type juli'!$D$10:$BA$51,MATCH($C24,'[1]Sales per type juli'!$B$10:$B$51,0),MATCH("V70",'[1]Sales per type juli'!$D$8:$BA$8,0)+1),0)</f>
        <v>8999000</v>
      </c>
      <c r="AI24" s="192">
        <f>AG24-AH24</f>
        <v>-8999000</v>
      </c>
      <c r="AJ24" s="192">
        <f>IFERROR(INDEX('[1]SALES PERTYPE'!$N$10:$N$52,MATCH($C24,'[1]SALES PERTYPE'!$B$10:$B$52,0)),0)</f>
        <v>1</v>
      </c>
      <c r="AK24" s="192">
        <f>IFERROR(INDEX('[1]Sales per type juli'!$D$10:$BA$51,MATCH($C24,'[1]Sales per type juli'!$B$10:$B$51,0),MATCH("Y31d Pro",'[1]Sales per type juli'!$D$8:$BA$8,0)),0)</f>
        <v>1</v>
      </c>
      <c r="AL24" s="192">
        <f>AJ24-AK24</f>
        <v>0</v>
      </c>
      <c r="AM24" s="192">
        <f>IFERROR(INDEX('[1]SALES PERTYPE'!$O$10:$O$52,MATCH($C24,'[1]SALES PERTYPE'!$B$10:$B$52,0)),0)</f>
        <v>4899000</v>
      </c>
      <c r="AN24" s="192" cm="1">
        <f t="array" ref="AN24">IFERROR(INDEX('[1]Sales per type juli'!$D$10:$BA$51,MATCH($C24,'[1]Sales per type juli'!$B$10:$B$51,0),MATCH("Y31d Pro",'[1]Sales per type juli'!$D$8:$BA$8,0)+1),0)</f>
        <v>4299000</v>
      </c>
      <c r="AO24" s="192">
        <f>AM24-AN24</f>
        <v>600000</v>
      </c>
      <c r="AP24" s="192">
        <f>IFERROR(INDEX('[1]SALES PERTYPE'!$P$10:$P$52,MATCH($C24,'[1]SALES PERTYPE'!$B$10:$B$52,0)),0)</f>
        <v>0</v>
      </c>
      <c r="AQ24" s="192" cm="1">
        <f t="array" ref="AQ24">IFERROR(INDEX('[1]Sales per type juli'!$D$10:$BA$51,MATCH($C24,'[1]Sales per type juli'!$B$10:$B$51,0),$FG$2),0)</f>
        <v>0</v>
      </c>
      <c r="AR24" s="192">
        <f>AP24-AQ24</f>
        <v>0</v>
      </c>
      <c r="AS24" s="192">
        <f>IFERROR(INDEX('[1]SALES PERTYPE'!$Q$10:$Q$52,MATCH($C24,'[1]SALES PERTYPE'!$B$10:$B$52,0)),0)</f>
        <v>0</v>
      </c>
      <c r="AT24" s="192" cm="1">
        <f t="array" ref="AT24">IFERROR(INDEX('[1]Sales per type juli'!$D$10:$BA$51,MATCH($C24,'[1]Sales per type juli'!$B$10:$B$51,0),$FG$2+1),0)</f>
        <v>0</v>
      </c>
      <c r="AU24" s="192">
        <f>AS24-AT24</f>
        <v>0</v>
      </c>
      <c r="AV24" s="192">
        <f>IFERROR(INDEX('[1]SALES PERTYPE'!$R$10:$R$52,MATCH($C24,'[1]SALES PERTYPE'!$B$10:$B$52,0)),0)</f>
        <v>0</v>
      </c>
      <c r="AW24" s="192">
        <f>IFERROR(INDEX('[1]Sales per type juli'!$D$10:$BA$51,MATCH($C24,'[1]Sales per type juli'!$B$10:$B$51,0),MATCH("Y31d ",'[1]Sales per type juli'!$D$8:$BA$8,0)),0)</f>
        <v>0</v>
      </c>
      <c r="AX24" s="192">
        <f>AV24-AW24</f>
        <v>0</v>
      </c>
      <c r="AY24" s="192">
        <f>IFERROR(INDEX('[1]SALES PERTYPE'!$S$10:$S$52,MATCH($C24,'[1]SALES PERTYPE'!$B$10:$B$52,0)),0)</f>
        <v>0</v>
      </c>
      <c r="AZ24" s="192" cm="1">
        <f t="array" ref="AZ24">IFERROR(INDEX('[1]Sales per type juli'!$D$10:$BA$51,MATCH($C24,'[1]Sales per type juli'!$B$10:$B$51,0),MATCH("Y31d ",'[1]Sales per type juli'!$D$8:$BA$8,0)+1),0)</f>
        <v>0</v>
      </c>
      <c r="BA24" s="192">
        <f>AY24-AZ24</f>
        <v>0</v>
      </c>
      <c r="BB24" s="192">
        <f>IFERROR(INDEX('[1]SALES PERTYPE'!$T$10:$T$52,MATCH($C24,'[1]SALES PERTYPE'!$B$10:$B$52,0)),0)</f>
        <v>0</v>
      </c>
      <c r="BC24" s="192">
        <f>IFERROR(INDEX('[1]Sales per type juli'!$D$10:$BA$51,MATCH($C24,'[1]Sales per type juli'!$B$10:$B$51,0),MATCH("V70 FE",'[1]Sales per type juli'!$D$8:$BA$8,0)),0)</f>
        <v>1</v>
      </c>
      <c r="BD24" s="192">
        <f>BB24-BC24</f>
        <v>-1</v>
      </c>
      <c r="BE24" s="192">
        <f>IFERROR(INDEX('[1]SALES PERTYPE'!$U$10:$U$52,MATCH($C24,'[1]SALES PERTYPE'!$B$10:$B$52,0)),0)</f>
        <v>0</v>
      </c>
      <c r="BF24" s="192" cm="1">
        <f t="array" ref="BF24">IFERROR(INDEX('[1]Sales per type juli'!$D$10:$BA$51,MATCH($C24,'[1]Sales per type juli'!$B$10:$B$51,0),MATCH("V70 FE",'[1]Sales per type juli'!$D$8:$BA$8,0)+1),0)</f>
        <v>6499000</v>
      </c>
      <c r="BG24" s="192">
        <f>BE24-BF24</f>
        <v>-6499000</v>
      </c>
      <c r="BH24" s="192">
        <f>IFERROR(INDEX('[1]SALES PERTYPE'!$V$10:$V$52,MATCH($C24,'[1]SALES PERTYPE'!$B$10:$B$52,0)),0)</f>
        <v>1</v>
      </c>
      <c r="BI24" s="192">
        <f>IFERROR(INDEX('[1]Sales per type juli'!$D$10:$BA$51,MATCH($C24,'[1]Sales per type juli'!$B$10:$B$51,0),MATCH("Y31d",'[1]Sales per type juli'!$D$8:$BA$8,0)),0)</f>
        <v>0</v>
      </c>
      <c r="BJ24" s="192">
        <f>BH24-BI24</f>
        <v>1</v>
      </c>
      <c r="BK24" s="192">
        <f>IFERROR(INDEX('[1]SALES PERTYPE'!$W$10:$W$52,MATCH($C24,'[1]SALES PERTYPE'!$B$10:$B$52,0)),0)</f>
        <v>3599000</v>
      </c>
      <c r="BL24" s="192" cm="1">
        <f t="array" ref="BL24">IFERROR(INDEX('[1]Sales per type juli'!$D$10:$BA$51,MATCH($C24,'[1]Sales per type juli'!$B$10:$B$51,0),MATCH("Y31d",'[1]Sales per type juli'!$D$8:$BA$8,0)+1),0)</f>
        <v>0</v>
      </c>
      <c r="BM24" s="192">
        <f>BK24-BL24</f>
        <v>3599000</v>
      </c>
      <c r="BN24" s="192">
        <f>IFERROR(INDEX('[1]SALES PERTYPE'!$X$10:$X$52,MATCH($C24,'[1]SALES PERTYPE'!$B$10:$B$52,0)),0)</f>
        <v>0</v>
      </c>
      <c r="BO24" s="192">
        <f>IFERROR(INDEX('[1]Sales per type juli'!$D$10:$BA$51,MATCH($C24,'[1]Sales per type juli'!$B$10:$B$51,0),MATCH("Y500",'[1]Sales per type juli'!$D$8:$BA$8,0)),0)</f>
        <v>0</v>
      </c>
      <c r="BP24" s="192">
        <f>BN24-BO24</f>
        <v>0</v>
      </c>
      <c r="BQ24" s="192">
        <f>IFERROR(INDEX('[1]SALES PERTYPE'!$Y$10:$Y$52,MATCH($C24,'[1]SALES PERTYPE'!$B$10:$B$52,0)),0)</f>
        <v>0</v>
      </c>
      <c r="BR24" s="192" cm="1">
        <f t="array" ref="BR24">IFERROR(INDEX('[1]Sales per type juli'!$D$10:$BA$51,MATCH($C24,'[1]Sales per type juli'!$B$10:$B$51,0),MATCH("Y500",'[1]Sales per type juli'!$D$8:$BA$8,0)+1),0)</f>
        <v>0</v>
      </c>
      <c r="BS24" s="192">
        <f>BQ24-BR24</f>
        <v>0</v>
      </c>
      <c r="BT24" s="192">
        <f>IFERROR(INDEX('[1]SALES PERTYPE'!$Z$10:$Z$52,MATCH($C24,'[1]SALES PERTYPE'!$B$10:$B$52,0)),0)</f>
        <v>0</v>
      </c>
      <c r="BU24" s="192">
        <f>IFERROR(INDEX('[1]Sales per type juli'!$D$10:$BA$51,MATCH($C24,'[1]Sales per type juli'!$B$10:$B$51,0),MATCH("IQOO 15R",'[1]Sales per type juli'!$D$8:$BA$8,0)),0)</f>
        <v>0</v>
      </c>
      <c r="BV24" s="192">
        <f>BT24-BU24</f>
        <v>0</v>
      </c>
      <c r="BW24" s="192">
        <f>IFERROR(INDEX('[1]SALES PERTYPE'!$AA$10:$AA$52,MATCH($C24,'[1]SALES PERTYPE'!$B$10:$B$52,0)),0)</f>
        <v>0</v>
      </c>
      <c r="BX24" s="192" cm="1">
        <f t="array" ref="BX24">IFERROR(INDEX('[1]Sales per type juli'!$D$10:$BA$51,MATCH($C24,'[1]Sales per type juli'!$B$10:$B$51,0),MATCH("IQOO 15R",'[1]Sales per type juli'!$D$8:$BA$8,0)+1),0)</f>
        <v>0</v>
      </c>
      <c r="BY24" s="192">
        <f>BW24-BX24</f>
        <v>0</v>
      </c>
      <c r="BZ24" s="192">
        <f>IFERROR(INDEX('[1]SALES PERTYPE'!$AB$10:$AB$52,MATCH($C24,'[1]SALES PERTYPE'!$B$10:$B$52,0)),0)</f>
        <v>0</v>
      </c>
      <c r="CA24" s="192">
        <f>IFERROR(INDEX('[1]Sales per type juli'!$D$10:$BA$51,MATCH($C24,'[1]Sales per type juli'!$B$10:$B$51,0),MATCH("V60 Lite",'[1]Sales per type juli'!$D$8:$BA$8,0)),0)</f>
        <v>1</v>
      </c>
      <c r="CB24" s="192">
        <f>BZ24-CA24</f>
        <v>-1</v>
      </c>
      <c r="CC24" s="192">
        <f>IFERROR(INDEX('[1]SALES PERTYPE'!$AC$10:$AC$52,MATCH($C24,'[1]SALES PERTYPE'!$B$10:$B$52,0)),0)</f>
        <v>0</v>
      </c>
      <c r="CD24" s="192" cm="1">
        <f t="array" ref="CD24">IFERROR(INDEX('[1]Sales per type juli'!$D$10:$BA$51,MATCH($C24,'[1]Sales per type juli'!$B$10:$B$51,0),MATCH("V60 Lite",'[1]Sales per type juli'!$D$8:$BA$8,0)+1),0)</f>
        <v>5299000</v>
      </c>
      <c r="CE24" s="192">
        <f>CC24-CD24</f>
        <v>-5299000</v>
      </c>
      <c r="CF24" s="192">
        <f>IFERROR(INDEX('[1]SALES PERTYPE'!$AD$10:$AD$52,MATCH($C24,'[1]SALES PERTYPE'!$B$10:$B$52,0)),0)</f>
        <v>0</v>
      </c>
      <c r="CG24" s="192">
        <f>IFERROR(INDEX('[1]Sales per type juli'!$D$10:$BA$51,MATCH($C24,'[1]Sales per type juli'!$B$10:$B$51,0),MATCH("X300 Ultra",'[1]Sales per type juli'!$D$8:$BA$8,0)),0)</f>
        <v>0</v>
      </c>
      <c r="CH24" s="192">
        <f>CF24-CG24</f>
        <v>0</v>
      </c>
      <c r="CI24" s="192">
        <f>IFERROR(INDEX('[1]SALES PERTYPE'!$AE$10:$AE$52,MATCH($C24,'[1]SALES PERTYPE'!$B$10:$B$52,0)),0)</f>
        <v>0</v>
      </c>
      <c r="CJ24" s="192" cm="1">
        <f t="array" ref="CJ24">IFERROR(INDEX('[1]Sales per type juli'!$D$10:$BA$51,MATCH($C24,'[1]Sales per type juli'!$B$10:$B$51,0),MATCH("X300 Ultra",'[1]Sales per type juli'!$D$8:$BA$8,0)+1),0)</f>
        <v>0</v>
      </c>
      <c r="CK24" s="192">
        <f>CI24-CJ24</f>
        <v>0</v>
      </c>
      <c r="CL24" s="192">
        <f>IFERROR(INDEX('[1]SALES PERTYPE'!$AF$10:$AF$52,MATCH($C24,'[1]SALES PERTYPE'!$B$10:$B$52,0)),0)</f>
        <v>0</v>
      </c>
      <c r="CM24" s="192">
        <f>IFERROR(INDEX('[1]Sales per type juli'!$D$10:$BA$51,MATCH($C24,'[1]Sales per type juli'!$B$10:$B$51,0),MATCH("IQOO 15",'[1]Sales per type juli'!$D$8:$BA$8,0)),0)</f>
        <v>0</v>
      </c>
      <c r="CN24" s="192">
        <f>CL24-CM24</f>
        <v>0</v>
      </c>
      <c r="CO24" s="192">
        <f>IFERROR(INDEX('[1]SALES PERTYPE'!$AG$10:$AG$52,MATCH($C24,'[1]SALES PERTYPE'!$B$10:$B$52,0)),0)</f>
        <v>0</v>
      </c>
      <c r="CP24" s="192" cm="1">
        <f t="array" ref="CP24">IFERROR(INDEX('[1]Sales per type juli'!$D$10:$BA$51,MATCH($C24,'[1]Sales per type juli'!$B$10:$B$51,0),MATCH("IQOO 15",'[1]Sales per type juli'!$D$8:$BA$8,0)+1),0)</f>
        <v>0</v>
      </c>
      <c r="CQ24" s="192">
        <f>CO24-CP24</f>
        <v>0</v>
      </c>
      <c r="CR24" s="192">
        <f>IFERROR(INDEX('[1]SALES PERTYPE'!$AH$10:$AH$52,MATCH($C24,'[1]SALES PERTYPE'!$B$10:$B$52,0)),0)</f>
        <v>0</v>
      </c>
      <c r="CS24" s="192">
        <f>IFERROR(INDEX('[1]Sales per type juli'!$D$10:$BA$51,MATCH($C24,'[1]Sales per type juli'!$B$10:$B$51,0),MATCH("IQOO Z11x",'[1]Sales per type juli'!$D$8:$BA$8,0)),0)</f>
        <v>1</v>
      </c>
      <c r="CT24" s="192">
        <f>CR24-CS24</f>
        <v>-1</v>
      </c>
      <c r="CU24" s="192">
        <f>IFERROR(INDEX('[1]SALES PERTYPE'!$AI$10:$AI$52,MATCH($C24,'[1]SALES PERTYPE'!$B$10:$B$52,0)),0)</f>
        <v>0</v>
      </c>
      <c r="CV24" s="192" cm="1">
        <f t="array" ref="CV24">IFERROR(INDEX('[1]Sales per type juli'!$D$10:$BA$51,MATCH($C24,'[1]Sales per type juli'!$B$10:$B$51,0),MATCH("IQOO Z11x",'[1]Sales per type juli'!$D$8:$BA$8,0)+1),0)</f>
        <v>4799000</v>
      </c>
      <c r="CW24" s="192">
        <f>CU24-CV24</f>
        <v>-4799000</v>
      </c>
      <c r="CX24" s="192">
        <f>IFERROR(INDEX('[1]SALES PERTYPE'!$AJ$10:$AJ$52,MATCH($C24,'[1]SALES PERTYPE'!$B$10:$B$52,0)),0)</f>
        <v>0</v>
      </c>
      <c r="CY24" s="192">
        <f>IFERROR(INDEX('[1]Sales per type juli'!$D$10:$BA$51,MATCH($C24,'[1]Sales per type juli'!$B$10:$B$51,0),MATCH("IQOO Z11",'[1]Sales per type juli'!$D$8:$BA$8,0)),0)</f>
        <v>1</v>
      </c>
      <c r="CZ24" s="192">
        <f>CX24-CY24</f>
        <v>-1</v>
      </c>
      <c r="DA24" s="192">
        <f>IFERROR(INDEX('[1]SALES PERTYPE'!$AK$10:$AK$52,MATCH($C24,'[1]SALES PERTYPE'!$B$10:$B$52,0)),0)</f>
        <v>0</v>
      </c>
      <c r="DB24" s="192" cm="1">
        <f t="array" ref="DB24">IFERROR(INDEX('[1]Sales per type juli'!$D$10:$BA$51,MATCH($C24,'[1]Sales per type juli'!$B$10:$B$51,0),MATCH("IQOO Z11",'[1]Sales per type juli'!$D$8:$BA$8,0)+1),0)</f>
        <v>5699000</v>
      </c>
      <c r="DC24" s="192">
        <f>DA24-DB24</f>
        <v>-5699000</v>
      </c>
      <c r="DD24" s="192">
        <v>0</v>
      </c>
      <c r="DE24" s="192">
        <f>IFERROR(INDEX('[1]Sales per type juli'!$D$10:$BA$51,MATCH($C24,'[1]Sales per type juli'!$B$10:$B$51,0),MATCH("WATCH 3",'[1]Sales per type juli'!$D$8:$BA$8,0)),0)</f>
        <v>0</v>
      </c>
      <c r="DF24" s="192">
        <f>DD24-DE24</f>
        <v>0</v>
      </c>
      <c r="DG24" s="192">
        <v>0</v>
      </c>
      <c r="DH24" s="192" cm="1">
        <f t="array" ref="DH24">IFERROR(INDEX('[1]Sales per type juli'!$D$10:$BA$51,MATCH($C24,'[1]Sales per type juli'!$B$10:$B$51,0),MATCH("WATCH 3",'[1]Sales per type juli'!$D$8:$BA$8,0)+1),0)</f>
        <v>0</v>
      </c>
      <c r="DI24" s="192">
        <f>DG24-DH24</f>
        <v>0</v>
      </c>
      <c r="DJ24" s="192">
        <v>0</v>
      </c>
      <c r="DK24" s="192">
        <f>IFERROR(INDEX('[1]Sales per type juli'!$D$10:$BA$51,MATCH($C24,'[1]Sales per type juli'!$B$10:$B$51,0),MATCH("X300 Demo",'[1]Sales per type juli'!$D$8:$BA$8,0)),0)</f>
        <v>1</v>
      </c>
      <c r="DL24" s="192">
        <f>DJ24-DK24</f>
        <v>-1</v>
      </c>
      <c r="DM24" s="192">
        <v>0</v>
      </c>
      <c r="DN24" s="192" cm="1">
        <f t="array" ref="DN24">IFERROR(INDEX('[1]Sales per type juli'!$D$10:$BA$51,MATCH($C24,'[1]Sales per type juli'!$B$10:$B$51,0),MATCH("X300 Demo",'[1]Sales per type juli'!$D$8:$BA$8,0)+1),0)</f>
        <v>14999000</v>
      </c>
      <c r="DO24" s="192">
        <f>DM24-DN24</f>
        <v>-14999000</v>
      </c>
      <c r="DP24" s="192">
        <v>0</v>
      </c>
      <c r="DQ24" s="192">
        <f>IFERROR(INDEX('[1]Sales per type juli'!$D$10:$BA$51,MATCH($C24,'[1]Sales per type juli'!$B$10:$B$51,0),MATCH("X300 Pro Demo",'[1]Sales per type juli'!$D$8:$BA$8,0)),0)</f>
        <v>1</v>
      </c>
      <c r="DR24" s="192">
        <f>DP24-DQ24</f>
        <v>-1</v>
      </c>
      <c r="DS24" s="192">
        <v>0</v>
      </c>
      <c r="DT24" s="192" cm="1">
        <f t="array" ref="DT24">IFERROR(INDEX('[1]Sales per type juli'!$D$10:$BA$51,MATCH($C24,'[1]Sales per type juli'!$B$10:$B$51,0),MATCH("X300 Pro Demo",'[1]Sales per type juli'!$D$8:$BA$8,0)+1),0)</f>
        <v>18999000</v>
      </c>
      <c r="DU24" s="192">
        <f>DS24-DT24</f>
        <v>-18999000</v>
      </c>
      <c r="DV24" s="192">
        <v>0</v>
      </c>
      <c r="DW24" s="192">
        <f>IFERROR(INDEX('[1]Sales per type juli'!$D$10:$BA$51,MATCH($C24,'[1]Sales per type juli'!$B$10:$B$51,0),MATCH("X Fold5 DEMO",'[1]Sales per type juli'!$D$8:$BA$8,0)),0)</f>
        <v>0</v>
      </c>
      <c r="DX24" s="192">
        <f>DV24-DW24</f>
        <v>0</v>
      </c>
      <c r="DY24" s="192">
        <v>0</v>
      </c>
      <c r="DZ24" s="192" cm="1">
        <f t="array" ref="DZ24">IFERROR(INDEX('[1]Sales per type juli'!$D$10:$BA$51,MATCH($C24,'[1]Sales per type juli'!$B$10:$B$51,0),MATCH("X Fold5 DEMO",'[1]Sales per type juli'!$D$8:$BA$8,0)+1),0)</f>
        <v>0</v>
      </c>
      <c r="EA24" s="192">
        <f>DY24-DZ24</f>
        <v>0</v>
      </c>
      <c r="EB24" s="192">
        <v>0</v>
      </c>
      <c r="EC24" s="192">
        <f>IFERROR(INDEX('[1]Sales per type juli'!$D$10:$BA$51,MATCH($C24,'[1]Sales per type juli'!$B$10:$B$51,0),MATCH("X Fold5",'[1]Sales per type juli'!$D$8:$BA$8,0)),0)</f>
        <v>0</v>
      </c>
      <c r="ED24" s="192">
        <f>EB24-EC24</f>
        <v>0</v>
      </c>
      <c r="EE24" s="192">
        <v>0</v>
      </c>
      <c r="EF24" s="192" cm="1">
        <f t="array" ref="EF24">IFERROR(INDEX('[1]Sales per type juli'!$D$10:$BA$51,MATCH($C24,'[1]Sales per type juli'!$B$10:$B$51,0),MATCH("X Fold5",'[1]Sales per type juli'!$D$8:$BA$8,0)+1),0)</f>
        <v>0</v>
      </c>
      <c r="EG24" s="192">
        <f>EE24-EF24</f>
        <v>0</v>
      </c>
      <c r="EH24" s="192">
        <v>0</v>
      </c>
      <c r="EI24" s="192">
        <f>IFERROR(INDEX('[1]Sales per type juli'!$D$10:$BA$51,MATCH($C24,'[1]Sales per type juli'!$B$10:$B$51,0),MATCH("IQOO 15 Demo",'[1]Sales per type juli'!$D$8:$BA$8,0)),0)</f>
        <v>1</v>
      </c>
      <c r="EJ24" s="192">
        <f>EH24-EI24</f>
        <v>-1</v>
      </c>
      <c r="EK24" s="192">
        <v>0</v>
      </c>
      <c r="EL24" s="192" cm="1">
        <f t="array" ref="EL24">IFERROR(INDEX('[1]Sales per type juli'!$D$10:$BA$51,MATCH($C24,'[1]Sales per type juli'!$B$10:$B$51,0),MATCH("IQOO 15 Demo",'[1]Sales per type juli'!$D$8:$BA$8,0)+1),0)</f>
        <v>13999000</v>
      </c>
      <c r="EM24" s="192">
        <f>EK24-EL24</f>
        <v>-13999000</v>
      </c>
      <c r="EN24" s="192">
        <v>0</v>
      </c>
      <c r="EO24" s="192">
        <f>IFERROR(INDEX('[1]Sales per type juli'!$D$10:$BA$51,MATCH($C24,'[1]Sales per type juli'!$B$10:$B$51,0),MATCH("X300 PRO",'[1]Sales per type juli'!$D$8:$BA$8,0)),0)</f>
        <v>0</v>
      </c>
      <c r="EP24" s="192">
        <f>EN24-EO24</f>
        <v>0</v>
      </c>
      <c r="EQ24" s="192">
        <v>0</v>
      </c>
      <c r="ER24" s="192" cm="1">
        <f t="array" ref="ER24">IFERROR(INDEX('[1]Sales per type juli'!$D$10:$BA$51,MATCH($C24,'[1]Sales per type juli'!$B$10:$B$51,0),MATCH("X300 PRO",'[1]Sales per type juli'!$D$8:$BA$8,0)+1),0)</f>
        <v>0</v>
      </c>
      <c r="ES24" s="192">
        <f>EQ24-ER24</f>
        <v>0</v>
      </c>
      <c r="ET24" s="192">
        <v>0</v>
      </c>
      <c r="EU24" s="192">
        <f>IFERROR(INDEX('[1]Sales per type juli'!$D$10:$BA$51,MATCH($C24,'[1]Sales per type juli'!$B$10:$B$51,0),MATCH("X300 ",'[1]Sales per type juli'!$D$8:$BA$8,0)),0)</f>
        <v>0</v>
      </c>
      <c r="EV24" s="192">
        <f>ET24-EU24</f>
        <v>0</v>
      </c>
      <c r="EW24" s="192">
        <v>0</v>
      </c>
      <c r="EX24" s="192" cm="1">
        <f t="array" ref="EX24">IFERROR(INDEX('[1]Sales per type juli'!$D$10:$BA$51,MATCH($C24,'[1]Sales per type juli'!$B$10:$B$51,0),MATCH("X300 ",'[1]Sales per type juli'!$D$8:$BA$8,0)+1),0)</f>
        <v>0</v>
      </c>
      <c r="EY24" s="192">
        <f>EW24-EX24</f>
        <v>0</v>
      </c>
      <c r="EZ24" s="192">
        <f>F24+L24+R24+X24+AD24+AJ24+AP24+AV24+BB24+BH24+BN24+BT24+BZ24+CF24+CL24+CR24+CX24+DD24+DJ24+DP24+DV24+EB24+EH24+EN24+ET24</f>
        <v>6</v>
      </c>
      <c r="FA24" s="192">
        <f>G24+M24+S24+Y24+AE24+AK24+AQ24+AW24+BC24+BI24+BO24+BU24+CA24+CG24+CM24+CS24+CY24+DE24+DK24+DQ24+DW24+EC24+EI24+EO24+EU24</f>
        <v>14</v>
      </c>
      <c r="FB24" s="192">
        <f>EZ24-FA24</f>
        <v>-8</v>
      </c>
      <c r="FC24" s="192">
        <f>I24+O24+U24+AA24+AG24+AM24+AS24+AY24+BE24+BK24+BQ24+BW24+CC24+CI24+CO24+CU24+DA24+DG24+DM24+DS24+DY24+EE24+EK24+EQ24+EW24</f>
        <v>18894000</v>
      </c>
      <c r="FD24" s="192">
        <f>J24+P24+V24+AB24+AH24+AN24+AT24+AZ24+BF24+BL24+BR24+BX24+CD24+CJ24+CP24+CV24+DB24+DH24+DN24+DT24+DZ24+EF24+EL24+ER24+EX24</f>
        <v>96386000</v>
      </c>
      <c r="FE24" s="192">
        <f>FC24-FD24</f>
        <v>-77492000</v>
      </c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</row>
    <row r="25" spans="1:208" ht="16" x14ac:dyDescent="0.2">
      <c r="A25" s="137">
        <f>'[1]ACHIEVEMENT STORE'!A25</f>
        <v>21</v>
      </c>
      <c r="B25" s="138" t="str">
        <f>'[1]ACHIEVEMENT STORE'!B25</f>
        <v>624-万丹BANTEN</v>
      </c>
      <c r="C25" s="137">
        <f>'[1]ACHIEVEMENT STORE'!C25</f>
        <v>6170707</v>
      </c>
      <c r="D25" s="138" t="str">
        <f>'[1]ACHIEVEMENT STORE'!D25</f>
        <v>6170707-LG BLOK D NO. 01D SKY 7</v>
      </c>
      <c r="E25" s="138" t="str">
        <f>'[1]ACHIEVEMENT STORE'!E25</f>
        <v>ARIES FITRIYANTO</v>
      </c>
      <c r="F25" s="192">
        <f>IFERROR(INDEX('[1]SALES PERTYPE'!$D$10:$D$52,MATCH($C25,'[1]SALES PERTYPE'!$B$10:$B$52,0)),0)</f>
        <v>8</v>
      </c>
      <c r="G25" s="192">
        <f>IFERROR(INDEX('[1]Sales per type juli'!$D$10:$BA$51,MATCH($C25,'[1]Sales per type juli'!$B$10:$B$51,0),MATCH("Y05",'[1]Sales per type juli'!$D$8:$BA$8,0)),0)</f>
        <v>20</v>
      </c>
      <c r="H25" s="192">
        <f>F25-G25</f>
        <v>-12</v>
      </c>
      <c r="I25" s="192">
        <f>IFERROR(INDEX('[1]SALES PERTYPE'!$E$10:$E$52,MATCH($C25,'[1]SALES PERTYPE'!$B$10:$B$52,0)),0)</f>
        <v>19892000</v>
      </c>
      <c r="J25" s="192" cm="1">
        <f t="array" ref="J25">IFERROR(INDEX('[1]Sales per type juli'!$D$10:$BA$51,MATCH($C25,'[1]Sales per type juli'!$B$10:$B$51,0),MATCH("Y05",'[1]Sales per type juli'!$D$8:$BA$8,0)+1),0)</f>
        <v>44080000</v>
      </c>
      <c r="K25" s="192">
        <f>I25-J25</f>
        <v>-24188000</v>
      </c>
      <c r="L25" s="192">
        <f>IFERROR(INDEX('[1]SALES PERTYPE'!$F$10:$F$52,MATCH($C25,'[1]SALES PERTYPE'!$B$10:$B$52,0)),0)</f>
        <v>13</v>
      </c>
      <c r="M25" s="192">
        <f>IFERROR(INDEX('[1]Sales per type juli'!$D$10:$BA$51,MATCH($C25,'[1]Sales per type juli'!$B$10:$B$51,0),MATCH("Y11d",'[1]Sales per type juli'!$D$8:$BA$8,0)),0)</f>
        <v>5</v>
      </c>
      <c r="N25" s="192">
        <f>L25-M25</f>
        <v>8</v>
      </c>
      <c r="O25" s="192">
        <f>IFERROR(INDEX('[1]SALES PERTYPE'!$G$10:$G$52,MATCH($C25,'[1]SALES PERTYPE'!$B$10:$B$52,0)),0)</f>
        <v>34787000</v>
      </c>
      <c r="P25" s="192" cm="1">
        <f t="array" ref="P25">IFERROR(INDEX('[1]Sales per type juli'!$D$10:$BA$51,MATCH($C25,'[1]Sales per type juli'!$B$10:$B$51,0),MATCH("Y11d",'[1]Sales per type juli'!$D$8:$BA$8,0)+1),0)</f>
        <v>13595000</v>
      </c>
      <c r="Q25" s="192">
        <f>O25-P25</f>
        <v>21192000</v>
      </c>
      <c r="R25" s="192">
        <f>IFERROR(INDEX('[1]SALES PERTYPE'!$H$10:$H$52,MATCH($C25,'[1]SALES PERTYPE'!$B$10:$B$52,0)),0)</f>
        <v>0</v>
      </c>
      <c r="S25" s="192">
        <f>IFERROR(INDEX('[1]Sales per type juli'!$D$10:$BA$51,MATCH($C25,'[1]Sales per type juli'!$B$10:$B$51,0),MATCH("Watch GT 2",'[1]Sales per type juli'!$D$8:$BA$8,0)),0)</f>
        <v>0</v>
      </c>
      <c r="T25" s="192">
        <f>R25-S25</f>
        <v>0</v>
      </c>
      <c r="U25" s="192">
        <f>IFERROR(INDEX('[1]SALES PERTYPE'!$I$10:$I$52,MATCH($C25,'[1]SALES PERTYPE'!$B$10:$B$52,0)),0)</f>
        <v>0</v>
      </c>
      <c r="V25" s="192" cm="1">
        <f t="array" ref="V25">IFERROR(INDEX('[1]Sales per type juli'!$D$10:$BA$51,MATCH($C25,'[1]Sales per type juli'!$B$10:$B$51,0),MATCH("Watch GT 2",'[1]Sales per type juli'!$D$8:$BA$8,0)+1),0)</f>
        <v>0</v>
      </c>
      <c r="W25" s="192">
        <f>U25-V25</f>
        <v>0</v>
      </c>
      <c r="X25" s="192">
        <f>IFERROR(INDEX('[1]SALES PERTYPE'!$J$10:$J$52,MATCH($C25,'[1]SALES PERTYPE'!$B$10:$B$52,0)),0)</f>
        <v>1</v>
      </c>
      <c r="Y25" s="192">
        <f>IFERROR(INDEX('[1]Sales per type juli'!$D$10:$BA$51,MATCH($C25,'[1]Sales per type juli'!$B$10:$B$51,0),MATCH("Y05e",'[1]Sales per type juli'!$D$8:$BA$8,0)),0)</f>
        <v>0</v>
      </c>
      <c r="Z25" s="192">
        <f>X25-Y25</f>
        <v>1</v>
      </c>
      <c r="AA25" s="192">
        <f>IFERROR(INDEX('[1]SALES PERTYPE'!$K$10:$K$52,MATCH($C25,'[1]SALES PERTYPE'!$B$10:$B$52,0)),0)</f>
        <v>2099000</v>
      </c>
      <c r="AB25" s="192" cm="1">
        <f t="array" ref="AB25">IFERROR(INDEX('[1]Sales per type juli'!$D$10:$BA$51,MATCH($C25,'[1]Sales per type juli'!$B$10:$B$51,0),MATCH("Y05e",'[1]Sales per type juli'!$D$8:$BA$8,0)+1),0)</f>
        <v>0</v>
      </c>
      <c r="AC25" s="192">
        <f>AA25-AB25</f>
        <v>2099000</v>
      </c>
      <c r="AD25" s="192">
        <f>IFERROR(INDEX('[1]SALES PERTYPE'!$L$10:$L$52,MATCH($C25,'[1]SALES PERTYPE'!$B$10:$B$52,0)),0)</f>
        <v>0</v>
      </c>
      <c r="AE25" s="192">
        <f>IFERROR(INDEX('[1]Sales per type juli'!$D$10:$BA$51,MATCH($C25,'[1]Sales per type juli'!$B$10:$B$51,0),MATCH("V70",'[1]Sales per type juli'!$D$8:$BA$8,0)),0)</f>
        <v>4</v>
      </c>
      <c r="AF25" s="192">
        <f>AD25-AE25</f>
        <v>-4</v>
      </c>
      <c r="AG25" s="192">
        <f>IFERROR(INDEX('[1]SALES PERTYPE'!$M$10:$M$52,MATCH($C25,'[1]SALES PERTYPE'!$B$10:$B$52,0)),0)</f>
        <v>0</v>
      </c>
      <c r="AH25" s="192" cm="1">
        <f t="array" ref="AH25">IFERROR(INDEX('[1]Sales per type juli'!$D$10:$BA$51,MATCH($C25,'[1]Sales per type juli'!$B$10:$B$51,0),MATCH("V70",'[1]Sales per type juli'!$D$8:$BA$8,0)+1),0)</f>
        <v>37996000</v>
      </c>
      <c r="AI25" s="192">
        <f>AG25-AH25</f>
        <v>-37996000</v>
      </c>
      <c r="AJ25" s="192">
        <f>IFERROR(INDEX('[1]SALES PERTYPE'!$N$10:$N$52,MATCH($C25,'[1]SALES PERTYPE'!$B$10:$B$52,0)),0)</f>
        <v>2</v>
      </c>
      <c r="AK25" s="192">
        <f>IFERROR(INDEX('[1]Sales per type juli'!$D$10:$BA$51,MATCH($C25,'[1]Sales per type juli'!$B$10:$B$51,0),MATCH("Y31d Pro",'[1]Sales per type juli'!$D$8:$BA$8,0)),0)</f>
        <v>4</v>
      </c>
      <c r="AL25" s="192">
        <f>AJ25-AK25</f>
        <v>-2</v>
      </c>
      <c r="AM25" s="192">
        <f>IFERROR(INDEX('[1]SALES PERTYPE'!$O$10:$O$52,MATCH($C25,'[1]SALES PERTYPE'!$B$10:$B$52,0)),0)</f>
        <v>9398000</v>
      </c>
      <c r="AN25" s="192" cm="1">
        <f t="array" ref="AN25">IFERROR(INDEX('[1]Sales per type juli'!$D$10:$BA$51,MATCH($C25,'[1]Sales per type juli'!$B$10:$B$51,0),MATCH("Y31d Pro",'[1]Sales per type juli'!$D$8:$BA$8,0)+1),0)</f>
        <v>16996000</v>
      </c>
      <c r="AO25" s="192">
        <f>AM25-AN25</f>
        <v>-7598000</v>
      </c>
      <c r="AP25" s="192">
        <f>IFERROR(INDEX('[1]SALES PERTYPE'!$P$10:$P$52,MATCH($C25,'[1]SALES PERTYPE'!$B$10:$B$52,0)),0)</f>
        <v>0</v>
      </c>
      <c r="AQ25" s="192" cm="1">
        <f t="array" ref="AQ25">IFERROR(INDEX('[1]Sales per type juli'!$D$10:$BA$51,MATCH($C25,'[1]Sales per type juli'!$B$10:$B$51,0),$FG$2),0)</f>
        <v>1</v>
      </c>
      <c r="AR25" s="192">
        <f>AP25-AQ25</f>
        <v>-1</v>
      </c>
      <c r="AS25" s="192">
        <f>IFERROR(INDEX('[1]SALES PERTYPE'!$Q$10:$Q$52,MATCH($C25,'[1]SALES PERTYPE'!$B$10:$B$52,0)),0)</f>
        <v>0</v>
      </c>
      <c r="AT25" s="192" cm="1">
        <f t="array" ref="AT25">IFERROR(INDEX('[1]Sales per type juli'!$D$10:$BA$51,MATCH($C25,'[1]Sales per type juli'!$B$10:$B$51,0),$FG$2+1),0)</f>
        <v>3599000</v>
      </c>
      <c r="AU25" s="192">
        <f>AS25-AT25</f>
        <v>-3599000</v>
      </c>
      <c r="AV25" s="192">
        <f>IFERROR(INDEX('[1]SALES PERTYPE'!$R$10:$R$52,MATCH($C25,'[1]SALES PERTYPE'!$B$10:$B$52,0)),0)</f>
        <v>0</v>
      </c>
      <c r="AW25" s="192">
        <f>IFERROR(INDEX('[1]Sales per type juli'!$D$10:$BA$51,MATCH($C25,'[1]Sales per type juli'!$B$10:$B$51,0),MATCH("Y31d ",'[1]Sales per type juli'!$D$8:$BA$8,0)),0)</f>
        <v>1</v>
      </c>
      <c r="AX25" s="192">
        <f>AV25-AW25</f>
        <v>-1</v>
      </c>
      <c r="AY25" s="192">
        <f>IFERROR(INDEX('[1]SALES PERTYPE'!$S$10:$S$52,MATCH($C25,'[1]SALES PERTYPE'!$B$10:$B$52,0)),0)</f>
        <v>0</v>
      </c>
      <c r="AZ25" s="192" cm="1">
        <f t="array" ref="AZ25">IFERROR(INDEX('[1]Sales per type juli'!$D$10:$BA$51,MATCH($C25,'[1]Sales per type juli'!$B$10:$B$51,0),MATCH("Y31d ",'[1]Sales per type juli'!$D$8:$BA$8,0)+1),0)</f>
        <v>3599000</v>
      </c>
      <c r="BA25" s="192">
        <f>AY25-AZ25</f>
        <v>-3599000</v>
      </c>
      <c r="BB25" s="192">
        <f>IFERROR(INDEX('[1]SALES PERTYPE'!$T$10:$T$52,MATCH($C25,'[1]SALES PERTYPE'!$B$10:$B$52,0)),0)</f>
        <v>1</v>
      </c>
      <c r="BC25" s="192">
        <f>IFERROR(INDEX('[1]Sales per type juli'!$D$10:$BA$51,MATCH($C25,'[1]Sales per type juli'!$B$10:$B$51,0),MATCH("V70 FE",'[1]Sales per type juli'!$D$8:$BA$8,0)),0)</f>
        <v>0</v>
      </c>
      <c r="BD25" s="192">
        <f>BB25-BC25</f>
        <v>1</v>
      </c>
      <c r="BE25" s="192">
        <f>IFERROR(INDEX('[1]SALES PERTYPE'!$U$10:$U$52,MATCH($C25,'[1]SALES PERTYPE'!$B$10:$B$52,0)),0)</f>
        <v>6999000</v>
      </c>
      <c r="BF25" s="192" cm="1">
        <f t="array" ref="BF25">IFERROR(INDEX('[1]Sales per type juli'!$D$10:$BA$51,MATCH($C25,'[1]Sales per type juli'!$B$10:$B$51,0),MATCH("V70 FE",'[1]Sales per type juli'!$D$8:$BA$8,0)+1),0)</f>
        <v>0</v>
      </c>
      <c r="BG25" s="192">
        <f>BE25-BF25</f>
        <v>6999000</v>
      </c>
      <c r="BH25" s="192">
        <f>IFERROR(INDEX('[1]SALES PERTYPE'!$V$10:$V$52,MATCH($C25,'[1]SALES PERTYPE'!$B$10:$B$52,0)),0)</f>
        <v>0</v>
      </c>
      <c r="BI25" s="192">
        <f>IFERROR(INDEX('[1]Sales per type juli'!$D$10:$BA$51,MATCH($C25,'[1]Sales per type juli'!$B$10:$B$51,0),MATCH("Y31d",'[1]Sales per type juli'!$D$8:$BA$8,0)),0)</f>
        <v>4</v>
      </c>
      <c r="BJ25" s="192">
        <f>BH25-BI25</f>
        <v>-4</v>
      </c>
      <c r="BK25" s="192">
        <f>IFERROR(INDEX('[1]SALES PERTYPE'!$W$10:$W$52,MATCH($C25,'[1]SALES PERTYPE'!$B$10:$B$52,0)),0)</f>
        <v>0</v>
      </c>
      <c r="BL25" s="192" cm="1">
        <f t="array" ref="BL25">IFERROR(INDEX('[1]Sales per type juli'!$D$10:$BA$51,MATCH($C25,'[1]Sales per type juli'!$B$10:$B$51,0),MATCH("Y31d",'[1]Sales per type juli'!$D$8:$BA$8,0)+1),0)</f>
        <v>14396000</v>
      </c>
      <c r="BM25" s="192">
        <f>BK25-BL25</f>
        <v>-14396000</v>
      </c>
      <c r="BN25" s="192">
        <f>IFERROR(INDEX('[1]SALES PERTYPE'!$X$10:$X$52,MATCH($C25,'[1]SALES PERTYPE'!$B$10:$B$52,0)),0)</f>
        <v>1</v>
      </c>
      <c r="BO25" s="192">
        <f>IFERROR(INDEX('[1]Sales per type juli'!$D$10:$BA$51,MATCH($C25,'[1]Sales per type juli'!$B$10:$B$51,0),MATCH("Y500",'[1]Sales per type juli'!$D$8:$BA$8,0)),0)</f>
        <v>0</v>
      </c>
      <c r="BP25" s="192">
        <f>BN25-BO25</f>
        <v>1</v>
      </c>
      <c r="BQ25" s="192">
        <f>IFERROR(INDEX('[1]SALES PERTYPE'!$Y$10:$Y$52,MATCH($C25,'[1]SALES PERTYPE'!$B$10:$B$52,0)),0)</f>
        <v>5499000</v>
      </c>
      <c r="BR25" s="192" cm="1">
        <f t="array" ref="BR25">IFERROR(INDEX('[1]Sales per type juli'!$D$10:$BA$51,MATCH($C25,'[1]Sales per type juli'!$B$10:$B$51,0),MATCH("Y500",'[1]Sales per type juli'!$D$8:$BA$8,0)+1),0)</f>
        <v>0</v>
      </c>
      <c r="BS25" s="192">
        <f>BQ25-BR25</f>
        <v>5499000</v>
      </c>
      <c r="BT25" s="192">
        <f>IFERROR(INDEX('[1]SALES PERTYPE'!$Z$10:$Z$52,MATCH($C25,'[1]SALES PERTYPE'!$B$10:$B$52,0)),0)</f>
        <v>0</v>
      </c>
      <c r="BU25" s="192">
        <f>IFERROR(INDEX('[1]Sales per type juli'!$D$10:$BA$51,MATCH($C25,'[1]Sales per type juli'!$B$10:$B$51,0),MATCH("IQOO 15R",'[1]Sales per type juli'!$D$8:$BA$8,0)),0)</f>
        <v>1</v>
      </c>
      <c r="BV25" s="192">
        <f>BT25-BU25</f>
        <v>-1</v>
      </c>
      <c r="BW25" s="192">
        <f>IFERROR(INDEX('[1]SALES PERTYPE'!$AA$10:$AA$52,MATCH($C25,'[1]SALES PERTYPE'!$B$10:$B$52,0)),0)</f>
        <v>0</v>
      </c>
      <c r="BX25" s="192" cm="1">
        <f t="array" ref="BX25">IFERROR(INDEX('[1]Sales per type juli'!$D$10:$BA$51,MATCH($C25,'[1]Sales per type juli'!$B$10:$B$51,0),MATCH("IQOO 15R",'[1]Sales per type juli'!$D$8:$BA$8,0)+1),0)</f>
        <v>9899000</v>
      </c>
      <c r="BY25" s="192">
        <f>BW25-BX25</f>
        <v>-9899000</v>
      </c>
      <c r="BZ25" s="192">
        <f>IFERROR(INDEX('[1]SALES PERTYPE'!$AB$10:$AB$52,MATCH($C25,'[1]SALES PERTYPE'!$B$10:$B$52,0)),0)</f>
        <v>2</v>
      </c>
      <c r="CA25" s="192">
        <f>IFERROR(INDEX('[1]Sales per type juli'!$D$10:$BA$51,MATCH($C25,'[1]Sales per type juli'!$B$10:$B$51,0),MATCH("V60 Lite",'[1]Sales per type juli'!$D$8:$BA$8,0)),0)</f>
        <v>1</v>
      </c>
      <c r="CB25" s="192">
        <f>BZ25-CA25</f>
        <v>1</v>
      </c>
      <c r="CC25" s="192">
        <f>IFERROR(INDEX('[1]SALES PERTYPE'!$AC$10:$AC$52,MATCH($C25,'[1]SALES PERTYPE'!$B$10:$B$52,0)),0)</f>
        <v>11198000</v>
      </c>
      <c r="CD25" s="192" cm="1">
        <f t="array" ref="CD25">IFERROR(INDEX('[1]Sales per type juli'!$D$10:$BA$51,MATCH($C25,'[1]Sales per type juli'!$B$10:$B$51,0),MATCH("V60 Lite",'[1]Sales per type juli'!$D$8:$BA$8,0)+1),0)</f>
        <v>5299000</v>
      </c>
      <c r="CE25" s="192">
        <f>CC25-CD25</f>
        <v>5899000</v>
      </c>
      <c r="CF25" s="192">
        <f>IFERROR(INDEX('[1]SALES PERTYPE'!$AD$10:$AD$52,MATCH($C25,'[1]SALES PERTYPE'!$B$10:$B$52,0)),0)</f>
        <v>0</v>
      </c>
      <c r="CG25" s="192">
        <f>IFERROR(INDEX('[1]Sales per type juli'!$D$10:$BA$51,MATCH($C25,'[1]Sales per type juli'!$B$10:$B$51,0),MATCH("X300 Ultra",'[1]Sales per type juli'!$D$8:$BA$8,0)),0)</f>
        <v>0</v>
      </c>
      <c r="CH25" s="192">
        <f>CF25-CG25</f>
        <v>0</v>
      </c>
      <c r="CI25" s="192">
        <f>IFERROR(INDEX('[1]SALES PERTYPE'!$AE$10:$AE$52,MATCH($C25,'[1]SALES PERTYPE'!$B$10:$B$52,0)),0)</f>
        <v>0</v>
      </c>
      <c r="CJ25" s="192" cm="1">
        <f t="array" ref="CJ25">IFERROR(INDEX('[1]Sales per type juli'!$D$10:$BA$51,MATCH($C25,'[1]Sales per type juli'!$B$10:$B$51,0),MATCH("X300 Ultra",'[1]Sales per type juli'!$D$8:$BA$8,0)+1),0)</f>
        <v>0</v>
      </c>
      <c r="CK25" s="192">
        <f>CI25-CJ25</f>
        <v>0</v>
      </c>
      <c r="CL25" s="192">
        <f>IFERROR(INDEX('[1]SALES PERTYPE'!$AF$10:$AF$52,MATCH($C25,'[1]SALES PERTYPE'!$B$10:$B$52,0)),0)</f>
        <v>0</v>
      </c>
      <c r="CM25" s="192">
        <f>IFERROR(INDEX('[1]Sales per type juli'!$D$10:$BA$51,MATCH($C25,'[1]Sales per type juli'!$B$10:$B$51,0),MATCH("IQOO 15",'[1]Sales per type juli'!$D$8:$BA$8,0)),0)</f>
        <v>0</v>
      </c>
      <c r="CN25" s="192">
        <f>CL25-CM25</f>
        <v>0</v>
      </c>
      <c r="CO25" s="192">
        <f>IFERROR(INDEX('[1]SALES PERTYPE'!$AG$10:$AG$52,MATCH($C25,'[1]SALES PERTYPE'!$B$10:$B$52,0)),0)</f>
        <v>0</v>
      </c>
      <c r="CP25" s="192" cm="1">
        <f t="array" ref="CP25">IFERROR(INDEX('[1]Sales per type juli'!$D$10:$BA$51,MATCH($C25,'[1]Sales per type juli'!$B$10:$B$51,0),MATCH("IQOO 15",'[1]Sales per type juli'!$D$8:$BA$8,0)+1),0)</f>
        <v>0</v>
      </c>
      <c r="CQ25" s="192">
        <f>CO25-CP25</f>
        <v>0</v>
      </c>
      <c r="CR25" s="192">
        <f>IFERROR(INDEX('[1]SALES PERTYPE'!$AH$10:$AH$52,MATCH($C25,'[1]SALES PERTYPE'!$B$10:$B$52,0)),0)</f>
        <v>0</v>
      </c>
      <c r="CS25" s="192">
        <f>IFERROR(INDEX('[1]Sales per type juli'!$D$10:$BA$51,MATCH($C25,'[1]Sales per type juli'!$B$10:$B$51,0),MATCH("IQOO Z11x",'[1]Sales per type juli'!$D$8:$BA$8,0)),0)</f>
        <v>1</v>
      </c>
      <c r="CT25" s="192">
        <f>CR25-CS25</f>
        <v>-1</v>
      </c>
      <c r="CU25" s="192">
        <f>IFERROR(INDEX('[1]SALES PERTYPE'!$AI$10:$AI$52,MATCH($C25,'[1]SALES PERTYPE'!$B$10:$B$52,0)),0)</f>
        <v>0</v>
      </c>
      <c r="CV25" s="192" cm="1">
        <f t="array" ref="CV25">IFERROR(INDEX('[1]Sales per type juli'!$D$10:$BA$51,MATCH($C25,'[1]Sales per type juli'!$B$10:$B$51,0),MATCH("IQOO Z11x",'[1]Sales per type juli'!$D$8:$BA$8,0)+1),0)</f>
        <v>4799000</v>
      </c>
      <c r="CW25" s="192">
        <f>CU25-CV25</f>
        <v>-4799000</v>
      </c>
      <c r="CX25" s="192">
        <f>IFERROR(INDEX('[1]SALES PERTYPE'!$AJ$10:$AJ$52,MATCH($C25,'[1]SALES PERTYPE'!$B$10:$B$52,0)),0)</f>
        <v>0</v>
      </c>
      <c r="CY25" s="192">
        <f>IFERROR(INDEX('[1]Sales per type juli'!$D$10:$BA$51,MATCH($C25,'[1]Sales per type juli'!$B$10:$B$51,0),MATCH("IQOO Z11",'[1]Sales per type juli'!$D$8:$BA$8,0)),0)</f>
        <v>1</v>
      </c>
      <c r="CZ25" s="192">
        <f>CX25-CY25</f>
        <v>-1</v>
      </c>
      <c r="DA25" s="192">
        <f>IFERROR(INDEX('[1]SALES PERTYPE'!$AK$10:$AK$52,MATCH($C25,'[1]SALES PERTYPE'!$B$10:$B$52,0)),0)</f>
        <v>0</v>
      </c>
      <c r="DB25" s="192" cm="1">
        <f t="array" ref="DB25">IFERROR(INDEX('[1]Sales per type juli'!$D$10:$BA$51,MATCH($C25,'[1]Sales per type juli'!$B$10:$B$51,0),MATCH("IQOO Z11",'[1]Sales per type juli'!$D$8:$BA$8,0)+1),0)</f>
        <v>5699000</v>
      </c>
      <c r="DC25" s="192">
        <f>DA25-DB25</f>
        <v>-5699000</v>
      </c>
      <c r="DD25" s="192">
        <v>0</v>
      </c>
      <c r="DE25" s="192">
        <f>IFERROR(INDEX('[1]Sales per type juli'!$D$10:$BA$51,MATCH($C25,'[1]Sales per type juli'!$B$10:$B$51,0),MATCH("WATCH 3",'[1]Sales per type juli'!$D$8:$BA$8,0)),0)</f>
        <v>0</v>
      </c>
      <c r="DF25" s="192">
        <f>DD25-DE25</f>
        <v>0</v>
      </c>
      <c r="DG25" s="192">
        <v>0</v>
      </c>
      <c r="DH25" s="192" cm="1">
        <f t="array" ref="DH25">IFERROR(INDEX('[1]Sales per type juli'!$D$10:$BA$51,MATCH($C25,'[1]Sales per type juli'!$B$10:$B$51,0),MATCH("WATCH 3",'[1]Sales per type juli'!$D$8:$BA$8,0)+1),0)</f>
        <v>0</v>
      </c>
      <c r="DI25" s="192">
        <f>DG25-DH25</f>
        <v>0</v>
      </c>
      <c r="DJ25" s="192">
        <v>0</v>
      </c>
      <c r="DK25" s="192">
        <f>IFERROR(INDEX('[1]Sales per type juli'!$D$10:$BA$51,MATCH($C25,'[1]Sales per type juli'!$B$10:$B$51,0),MATCH("X300 Demo",'[1]Sales per type juli'!$D$8:$BA$8,0)),0)</f>
        <v>0</v>
      </c>
      <c r="DL25" s="192">
        <f>DJ25-DK25</f>
        <v>0</v>
      </c>
      <c r="DM25" s="192">
        <v>0</v>
      </c>
      <c r="DN25" s="192" cm="1">
        <f t="array" ref="DN25">IFERROR(INDEX('[1]Sales per type juli'!$D$10:$BA$51,MATCH($C25,'[1]Sales per type juli'!$B$10:$B$51,0),MATCH("X300 Demo",'[1]Sales per type juli'!$D$8:$BA$8,0)+1),0)</f>
        <v>0</v>
      </c>
      <c r="DO25" s="192">
        <f>DM25-DN25</f>
        <v>0</v>
      </c>
      <c r="DP25" s="192">
        <v>0</v>
      </c>
      <c r="DQ25" s="192">
        <f>IFERROR(INDEX('[1]Sales per type juli'!$D$10:$BA$51,MATCH($C25,'[1]Sales per type juli'!$B$10:$B$51,0),MATCH("X300 Pro Demo",'[1]Sales per type juli'!$D$8:$BA$8,0)),0)</f>
        <v>0</v>
      </c>
      <c r="DR25" s="192">
        <f>DP25-DQ25</f>
        <v>0</v>
      </c>
      <c r="DS25" s="192">
        <v>0</v>
      </c>
      <c r="DT25" s="192" cm="1">
        <f t="array" ref="DT25">IFERROR(INDEX('[1]Sales per type juli'!$D$10:$BA$51,MATCH($C25,'[1]Sales per type juli'!$B$10:$B$51,0),MATCH("X300 Pro Demo",'[1]Sales per type juli'!$D$8:$BA$8,0)+1),0)</f>
        <v>0</v>
      </c>
      <c r="DU25" s="192">
        <f>DS25-DT25</f>
        <v>0</v>
      </c>
      <c r="DV25" s="192">
        <v>0</v>
      </c>
      <c r="DW25" s="192">
        <f>IFERROR(INDEX('[1]Sales per type juli'!$D$10:$BA$51,MATCH($C25,'[1]Sales per type juli'!$B$10:$B$51,0),MATCH("X Fold5 DEMO",'[1]Sales per type juli'!$D$8:$BA$8,0)),0)</f>
        <v>0</v>
      </c>
      <c r="DX25" s="192">
        <f>DV25-DW25</f>
        <v>0</v>
      </c>
      <c r="DY25" s="192">
        <v>0</v>
      </c>
      <c r="DZ25" s="192" cm="1">
        <f t="array" ref="DZ25">IFERROR(INDEX('[1]Sales per type juli'!$D$10:$BA$51,MATCH($C25,'[1]Sales per type juli'!$B$10:$B$51,0),MATCH("X Fold5 DEMO",'[1]Sales per type juli'!$D$8:$BA$8,0)+1),0)</f>
        <v>0</v>
      </c>
      <c r="EA25" s="192">
        <f>DY25-DZ25</f>
        <v>0</v>
      </c>
      <c r="EB25" s="192">
        <v>0</v>
      </c>
      <c r="EC25" s="192">
        <f>IFERROR(INDEX('[1]Sales per type juli'!$D$10:$BA$51,MATCH($C25,'[1]Sales per type juli'!$B$10:$B$51,0),MATCH("X Fold5",'[1]Sales per type juli'!$D$8:$BA$8,0)),0)</f>
        <v>0</v>
      </c>
      <c r="ED25" s="192">
        <f>EB25-EC25</f>
        <v>0</v>
      </c>
      <c r="EE25" s="192">
        <v>0</v>
      </c>
      <c r="EF25" s="192" cm="1">
        <f t="array" ref="EF25">IFERROR(INDEX('[1]Sales per type juli'!$D$10:$BA$51,MATCH($C25,'[1]Sales per type juli'!$B$10:$B$51,0),MATCH("X Fold5",'[1]Sales per type juli'!$D$8:$BA$8,0)+1),0)</f>
        <v>0</v>
      </c>
      <c r="EG25" s="192">
        <f>EE25-EF25</f>
        <v>0</v>
      </c>
      <c r="EH25" s="192">
        <v>0</v>
      </c>
      <c r="EI25" s="192">
        <f>IFERROR(INDEX('[1]Sales per type juli'!$D$10:$BA$51,MATCH($C25,'[1]Sales per type juli'!$B$10:$B$51,0),MATCH("IQOO 15 Demo",'[1]Sales per type juli'!$D$8:$BA$8,0)),0)</f>
        <v>0</v>
      </c>
      <c r="EJ25" s="192">
        <f>EH25-EI25</f>
        <v>0</v>
      </c>
      <c r="EK25" s="192">
        <v>0</v>
      </c>
      <c r="EL25" s="192" cm="1">
        <f t="array" ref="EL25">IFERROR(INDEX('[1]Sales per type juli'!$D$10:$BA$51,MATCH($C25,'[1]Sales per type juli'!$B$10:$B$51,0),MATCH("IQOO 15 Demo",'[1]Sales per type juli'!$D$8:$BA$8,0)+1),0)</f>
        <v>0</v>
      </c>
      <c r="EM25" s="192">
        <f>EK25-EL25</f>
        <v>0</v>
      </c>
      <c r="EN25" s="192">
        <v>0</v>
      </c>
      <c r="EO25" s="192">
        <f>IFERROR(INDEX('[1]Sales per type juli'!$D$10:$BA$51,MATCH($C25,'[1]Sales per type juli'!$B$10:$B$51,0),MATCH("X300 PRO",'[1]Sales per type juli'!$D$8:$BA$8,0)),0)</f>
        <v>0</v>
      </c>
      <c r="EP25" s="192">
        <f>EN25-EO25</f>
        <v>0</v>
      </c>
      <c r="EQ25" s="192">
        <v>0</v>
      </c>
      <c r="ER25" s="192" cm="1">
        <f t="array" ref="ER25">IFERROR(INDEX('[1]Sales per type juli'!$D$10:$BA$51,MATCH($C25,'[1]Sales per type juli'!$B$10:$B$51,0),MATCH("X300 PRO",'[1]Sales per type juli'!$D$8:$BA$8,0)+1),0)</f>
        <v>0</v>
      </c>
      <c r="ES25" s="192">
        <f>EQ25-ER25</f>
        <v>0</v>
      </c>
      <c r="ET25" s="192">
        <v>0</v>
      </c>
      <c r="EU25" s="192">
        <f>IFERROR(INDEX('[1]Sales per type juli'!$D$10:$BA$51,MATCH($C25,'[1]Sales per type juli'!$B$10:$B$51,0),MATCH("X300 ",'[1]Sales per type juli'!$D$8:$BA$8,0)),0)</f>
        <v>0</v>
      </c>
      <c r="EV25" s="192">
        <f>ET25-EU25</f>
        <v>0</v>
      </c>
      <c r="EW25" s="192">
        <v>0</v>
      </c>
      <c r="EX25" s="192" cm="1">
        <f t="array" ref="EX25">IFERROR(INDEX('[1]Sales per type juli'!$D$10:$BA$51,MATCH($C25,'[1]Sales per type juli'!$B$10:$B$51,0),MATCH("X300 ",'[1]Sales per type juli'!$D$8:$BA$8,0)+1),0)</f>
        <v>0</v>
      </c>
      <c r="EY25" s="192">
        <f>EW25-EX25</f>
        <v>0</v>
      </c>
      <c r="EZ25" s="192">
        <f>F25+L25+R25+X25+AD25+AJ25+AP25+AV25+BB25+BH25+BN25+BT25+BZ25+CF25+CL25+CR25+CX25+DD25+DJ25+DP25+DV25+EB25+EH25+EN25+ET25</f>
        <v>28</v>
      </c>
      <c r="FA25" s="192">
        <f>G25+M25+S25+Y25+AE25+AK25+AQ25+AW25+BC25+BI25+BO25+BU25+CA25+CG25+CM25+CS25+CY25+DE25+DK25+DQ25+DW25+EC25+EI25+EO25+EU25</f>
        <v>43</v>
      </c>
      <c r="FB25" s="192">
        <f>EZ25-FA25</f>
        <v>-15</v>
      </c>
      <c r="FC25" s="192">
        <f>I25+O25+U25+AA25+AG25+AM25+AS25+AY25+BE25+BK25+BQ25+BW25+CC25+CI25+CO25+CU25+DA25+DG25+DM25+DS25+DY25+EE25+EK25+EQ25+EW25</f>
        <v>89872000</v>
      </c>
      <c r="FD25" s="192">
        <f>J25+P25+V25+AB25+AH25+AN25+AT25+AZ25+BF25+BL25+BR25+BX25+CD25+CJ25+CP25+CV25+DB25+DH25+DN25+DT25+DZ25+EF25+EL25+ER25+EX25</f>
        <v>159957000</v>
      </c>
      <c r="FE25" s="192">
        <f>FC25-FD25</f>
        <v>-70085000</v>
      </c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</row>
    <row r="26" spans="1:208" ht="16" x14ac:dyDescent="0.2">
      <c r="A26" s="139">
        <f>'[1]ACHIEVEMENT STORE'!A26</f>
        <v>22</v>
      </c>
      <c r="B26" s="140" t="str">
        <f>'[1]ACHIEVEMENT STORE'!B26</f>
        <v>624-万丹BANTEN</v>
      </c>
      <c r="C26" s="139">
        <f>'[1]ACHIEVEMENT STORE'!C26</f>
        <v>6240702</v>
      </c>
      <c r="D26" s="140" t="str">
        <f>'[1]ACHIEVEMENT STORE'!D26</f>
        <v>A200902-LG BLOK B NO. 01B SKY M3</v>
      </c>
      <c r="E26" s="140" t="str">
        <f>'[1]ACHIEVEMENT STORE'!E26</f>
        <v>ARIES FITRIYANTO</v>
      </c>
      <c r="F26" s="192">
        <f>IFERROR(INDEX('[1]SALES PERTYPE'!$D$10:$D$52,MATCH($C26,'[1]SALES PERTYPE'!$B$10:$B$52,0)),0)</f>
        <v>4</v>
      </c>
      <c r="G26" s="192">
        <f>IFERROR(INDEX('[1]Sales per type juli'!$D$10:$BA$51,MATCH($C26,'[1]Sales per type juli'!$B$10:$B$51,0),MATCH("Y05",'[1]Sales per type juli'!$D$8:$BA$8,0)),0)</f>
        <v>17</v>
      </c>
      <c r="H26" s="192">
        <f>F26-G26</f>
        <v>-13</v>
      </c>
      <c r="I26" s="192">
        <f>IFERROR(INDEX('[1]SALES PERTYPE'!$E$10:$E$52,MATCH($C26,'[1]SALES PERTYPE'!$B$10:$B$52,0)),0)</f>
        <v>10096000</v>
      </c>
      <c r="J26" s="192" cm="1">
        <f t="array" ref="J26">IFERROR(INDEX('[1]Sales per type juli'!$D$10:$BA$51,MATCH($C26,'[1]Sales per type juli'!$B$10:$B$51,0),MATCH("Y05",'[1]Sales per type juli'!$D$8:$BA$8,0)+1),0)</f>
        <v>39283000</v>
      </c>
      <c r="K26" s="192">
        <f>I26-J26</f>
        <v>-29187000</v>
      </c>
      <c r="L26" s="192">
        <f>IFERROR(INDEX('[1]SALES PERTYPE'!$F$10:$F$52,MATCH($C26,'[1]SALES PERTYPE'!$B$10:$B$52,0)),0)</f>
        <v>11</v>
      </c>
      <c r="M26" s="192">
        <f>IFERROR(INDEX('[1]Sales per type juli'!$D$10:$BA$51,MATCH($C26,'[1]Sales per type juli'!$B$10:$B$51,0),MATCH("Y11d",'[1]Sales per type juli'!$D$8:$BA$8,0)),0)</f>
        <v>9</v>
      </c>
      <c r="N26" s="192">
        <f>L26-M26</f>
        <v>2</v>
      </c>
      <c r="O26" s="192">
        <f>IFERROR(INDEX('[1]SALES PERTYPE'!$G$10:$G$52,MATCH($C26,'[1]SALES PERTYPE'!$B$10:$B$52,0)),0)</f>
        <v>27989000</v>
      </c>
      <c r="P26" s="192" cm="1">
        <f t="array" ref="P26">IFERROR(INDEX('[1]Sales per type juli'!$D$10:$BA$51,MATCH($C26,'[1]Sales per type juli'!$B$10:$B$51,0),MATCH("Y11d",'[1]Sales per type juli'!$D$8:$BA$8,0)+1),0)</f>
        <v>24391000</v>
      </c>
      <c r="Q26" s="192">
        <f>O26-P26</f>
        <v>3598000</v>
      </c>
      <c r="R26" s="192">
        <f>IFERROR(INDEX('[1]SALES PERTYPE'!$H$10:$H$52,MATCH($C26,'[1]SALES PERTYPE'!$B$10:$B$52,0)),0)</f>
        <v>0</v>
      </c>
      <c r="S26" s="192">
        <f>IFERROR(INDEX('[1]Sales per type juli'!$D$10:$BA$51,MATCH($C26,'[1]Sales per type juli'!$B$10:$B$51,0),MATCH("Watch GT 2",'[1]Sales per type juli'!$D$8:$BA$8,0)),0)</f>
        <v>0</v>
      </c>
      <c r="T26" s="192">
        <f>R26-S26</f>
        <v>0</v>
      </c>
      <c r="U26" s="192">
        <f>IFERROR(INDEX('[1]SALES PERTYPE'!$I$10:$I$52,MATCH($C26,'[1]SALES PERTYPE'!$B$10:$B$52,0)),0)</f>
        <v>0</v>
      </c>
      <c r="V26" s="192" cm="1">
        <f t="array" ref="V26">IFERROR(INDEX('[1]Sales per type juli'!$D$10:$BA$51,MATCH($C26,'[1]Sales per type juli'!$B$10:$B$51,0),MATCH("Watch GT 2",'[1]Sales per type juli'!$D$8:$BA$8,0)+1),0)</f>
        <v>0</v>
      </c>
      <c r="W26" s="192">
        <f>U26-V26</f>
        <v>0</v>
      </c>
      <c r="X26" s="192">
        <f>IFERROR(INDEX('[1]SALES PERTYPE'!$J$10:$J$52,MATCH($C26,'[1]SALES PERTYPE'!$B$10:$B$52,0)),0)</f>
        <v>5</v>
      </c>
      <c r="Y26" s="192">
        <f>IFERROR(INDEX('[1]Sales per type juli'!$D$10:$BA$51,MATCH($C26,'[1]Sales per type juli'!$B$10:$B$51,0),MATCH("Y05e",'[1]Sales per type juli'!$D$8:$BA$8,0)),0)</f>
        <v>0</v>
      </c>
      <c r="Z26" s="192">
        <f>X26-Y26</f>
        <v>5</v>
      </c>
      <c r="AA26" s="192">
        <f>IFERROR(INDEX('[1]SALES PERTYPE'!$K$10:$K$52,MATCH($C26,'[1]SALES PERTYPE'!$B$10:$B$52,0)),0)</f>
        <v>10495000</v>
      </c>
      <c r="AB26" s="192" cm="1">
        <f t="array" ref="AB26">IFERROR(INDEX('[1]Sales per type juli'!$D$10:$BA$51,MATCH($C26,'[1]Sales per type juli'!$B$10:$B$51,0),MATCH("Y05e",'[1]Sales per type juli'!$D$8:$BA$8,0)+1),0)</f>
        <v>0</v>
      </c>
      <c r="AC26" s="192">
        <f>AA26-AB26</f>
        <v>10495000</v>
      </c>
      <c r="AD26" s="192">
        <f>IFERROR(INDEX('[1]SALES PERTYPE'!$L$10:$L$52,MATCH($C26,'[1]SALES PERTYPE'!$B$10:$B$52,0)),0)</f>
        <v>2</v>
      </c>
      <c r="AE26" s="192">
        <f>IFERROR(INDEX('[1]Sales per type juli'!$D$10:$BA$51,MATCH($C26,'[1]Sales per type juli'!$B$10:$B$51,0),MATCH("V70",'[1]Sales per type juli'!$D$8:$BA$8,0)),0)</f>
        <v>2</v>
      </c>
      <c r="AF26" s="192">
        <f>AD26-AE26</f>
        <v>0</v>
      </c>
      <c r="AG26" s="192">
        <f>IFERROR(INDEX('[1]SALES PERTYPE'!$M$10:$M$52,MATCH($C26,'[1]SALES PERTYPE'!$B$10:$B$52,0)),0)</f>
        <v>18998000</v>
      </c>
      <c r="AH26" s="192" cm="1">
        <f t="array" ref="AH26">IFERROR(INDEX('[1]Sales per type juli'!$D$10:$BA$51,MATCH($C26,'[1]Sales per type juli'!$B$10:$B$51,0),MATCH("V70",'[1]Sales per type juli'!$D$8:$BA$8,0)+1),0)</f>
        <v>17998000</v>
      </c>
      <c r="AI26" s="192">
        <f>AG26-AH26</f>
        <v>1000000</v>
      </c>
      <c r="AJ26" s="192">
        <f>IFERROR(INDEX('[1]SALES PERTYPE'!$N$10:$N$52,MATCH($C26,'[1]SALES PERTYPE'!$B$10:$B$52,0)),0)</f>
        <v>7</v>
      </c>
      <c r="AK26" s="192">
        <f>IFERROR(INDEX('[1]Sales per type juli'!$D$10:$BA$51,MATCH($C26,'[1]Sales per type juli'!$B$10:$B$51,0),MATCH("Y31d Pro",'[1]Sales per type juli'!$D$8:$BA$8,0)),0)</f>
        <v>2</v>
      </c>
      <c r="AL26" s="192">
        <f>AJ26-AK26</f>
        <v>5</v>
      </c>
      <c r="AM26" s="192">
        <f>IFERROR(INDEX('[1]SALES PERTYPE'!$O$10:$O$52,MATCH($C26,'[1]SALES PERTYPE'!$B$10:$B$52,0)),0)</f>
        <v>31093000</v>
      </c>
      <c r="AN26" s="192" cm="1">
        <f t="array" ref="AN26">IFERROR(INDEX('[1]Sales per type juli'!$D$10:$BA$51,MATCH($C26,'[1]Sales per type juli'!$B$10:$B$51,0),MATCH("Y31d Pro",'[1]Sales per type juli'!$D$8:$BA$8,0)+1),0)</f>
        <v>8198000</v>
      </c>
      <c r="AO26" s="192">
        <f>AM26-AN26</f>
        <v>22895000</v>
      </c>
      <c r="AP26" s="192">
        <f>IFERROR(INDEX('[1]SALES PERTYPE'!$P$10:$P$52,MATCH($C26,'[1]SALES PERTYPE'!$B$10:$B$52,0)),0)</f>
        <v>0</v>
      </c>
      <c r="AQ26" s="192" cm="1">
        <f t="array" ref="AQ26">IFERROR(INDEX('[1]Sales per type juli'!$D$10:$BA$51,MATCH($C26,'[1]Sales per type juli'!$B$10:$B$51,0),$FG$2),0)</f>
        <v>1</v>
      </c>
      <c r="AR26" s="192">
        <f>AP26-AQ26</f>
        <v>-1</v>
      </c>
      <c r="AS26" s="192">
        <f>IFERROR(INDEX('[1]SALES PERTYPE'!$Q$10:$Q$52,MATCH($C26,'[1]SALES PERTYPE'!$B$10:$B$52,0)),0)</f>
        <v>0</v>
      </c>
      <c r="AT26" s="192" cm="1">
        <f t="array" ref="AT26">IFERROR(INDEX('[1]Sales per type juli'!$D$10:$BA$51,MATCH($C26,'[1]Sales per type juli'!$B$10:$B$51,0),$FG$2+1),0)</f>
        <v>3599000</v>
      </c>
      <c r="AU26" s="192">
        <f>AS26-AT26</f>
        <v>-3599000</v>
      </c>
      <c r="AV26" s="192">
        <f>IFERROR(INDEX('[1]SALES PERTYPE'!$R$10:$R$52,MATCH($C26,'[1]SALES PERTYPE'!$B$10:$B$52,0)),0)</f>
        <v>0</v>
      </c>
      <c r="AW26" s="192">
        <f>IFERROR(INDEX('[1]Sales per type juli'!$D$10:$BA$51,MATCH($C26,'[1]Sales per type juli'!$B$10:$B$51,0),MATCH("Y31d ",'[1]Sales per type juli'!$D$8:$BA$8,0)),0)</f>
        <v>0</v>
      </c>
      <c r="AX26" s="192">
        <f>AV26-AW26</f>
        <v>0</v>
      </c>
      <c r="AY26" s="192">
        <f>IFERROR(INDEX('[1]SALES PERTYPE'!$S$10:$S$52,MATCH($C26,'[1]SALES PERTYPE'!$B$10:$B$52,0)),0)</f>
        <v>0</v>
      </c>
      <c r="AZ26" s="192" cm="1">
        <f t="array" ref="AZ26">IFERROR(INDEX('[1]Sales per type juli'!$D$10:$BA$51,MATCH($C26,'[1]Sales per type juli'!$B$10:$B$51,0),MATCH("Y31d ",'[1]Sales per type juli'!$D$8:$BA$8,0)+1),0)</f>
        <v>0</v>
      </c>
      <c r="BA26" s="192">
        <f>AY26-AZ26</f>
        <v>0</v>
      </c>
      <c r="BB26" s="192">
        <f>IFERROR(INDEX('[1]SALES PERTYPE'!$T$10:$T$52,MATCH($C26,'[1]SALES PERTYPE'!$B$10:$B$52,0)),0)</f>
        <v>2</v>
      </c>
      <c r="BC26" s="192">
        <f>IFERROR(INDEX('[1]Sales per type juli'!$D$10:$BA$51,MATCH($C26,'[1]Sales per type juli'!$B$10:$B$51,0),MATCH("V70 FE",'[1]Sales per type juli'!$D$8:$BA$8,0)),0)</f>
        <v>1</v>
      </c>
      <c r="BD26" s="192">
        <f>BB26-BC26</f>
        <v>1</v>
      </c>
      <c r="BE26" s="192">
        <f>IFERROR(INDEX('[1]SALES PERTYPE'!$U$10:$U$52,MATCH($C26,'[1]SALES PERTYPE'!$B$10:$B$52,0)),0)</f>
        <v>15998000</v>
      </c>
      <c r="BF26" s="192" cm="1">
        <f t="array" ref="BF26">IFERROR(INDEX('[1]Sales per type juli'!$D$10:$BA$51,MATCH($C26,'[1]Sales per type juli'!$B$10:$B$51,0),MATCH("V70 FE",'[1]Sales per type juli'!$D$8:$BA$8,0)+1),0)</f>
        <v>7199000</v>
      </c>
      <c r="BG26" s="192">
        <f>BE26-BF26</f>
        <v>8799000</v>
      </c>
      <c r="BH26" s="192">
        <f>IFERROR(INDEX('[1]SALES PERTYPE'!$V$10:$V$52,MATCH($C26,'[1]SALES PERTYPE'!$B$10:$B$52,0)),0)</f>
        <v>0</v>
      </c>
      <c r="BI26" s="192">
        <f>IFERROR(INDEX('[1]Sales per type juli'!$D$10:$BA$51,MATCH($C26,'[1]Sales per type juli'!$B$10:$B$51,0),MATCH("Y31d",'[1]Sales per type juli'!$D$8:$BA$8,0)),0)</f>
        <v>1</v>
      </c>
      <c r="BJ26" s="192">
        <f>BH26-BI26</f>
        <v>-1</v>
      </c>
      <c r="BK26" s="192">
        <f>IFERROR(INDEX('[1]SALES PERTYPE'!$W$10:$W$52,MATCH($C26,'[1]SALES PERTYPE'!$B$10:$B$52,0)),0)</f>
        <v>0</v>
      </c>
      <c r="BL26" s="192" cm="1">
        <f t="array" ref="BL26">IFERROR(INDEX('[1]Sales per type juli'!$D$10:$BA$51,MATCH($C26,'[1]Sales per type juli'!$B$10:$B$51,0),MATCH("Y31d",'[1]Sales per type juli'!$D$8:$BA$8,0)+1),0)</f>
        <v>3599000</v>
      </c>
      <c r="BM26" s="192">
        <f>BK26-BL26</f>
        <v>-3599000</v>
      </c>
      <c r="BN26" s="192">
        <f>IFERROR(INDEX('[1]SALES PERTYPE'!$X$10:$X$52,MATCH($C26,'[1]SALES PERTYPE'!$B$10:$B$52,0)),0)</f>
        <v>1</v>
      </c>
      <c r="BO26" s="192">
        <f>IFERROR(INDEX('[1]Sales per type juli'!$D$10:$BA$51,MATCH($C26,'[1]Sales per type juli'!$B$10:$B$51,0),MATCH("Y500",'[1]Sales per type juli'!$D$8:$BA$8,0)),0)</f>
        <v>2</v>
      </c>
      <c r="BP26" s="192">
        <f>BN26-BO26</f>
        <v>-1</v>
      </c>
      <c r="BQ26" s="192">
        <f>IFERROR(INDEX('[1]SALES PERTYPE'!$Y$10:$Y$52,MATCH($C26,'[1]SALES PERTYPE'!$B$10:$B$52,0)),0)</f>
        <v>5499000</v>
      </c>
      <c r="BR26" s="192" cm="1">
        <f t="array" ref="BR26">IFERROR(INDEX('[1]Sales per type juli'!$D$10:$BA$51,MATCH($C26,'[1]Sales per type juli'!$B$10:$B$51,0),MATCH("Y500",'[1]Sales per type juli'!$D$8:$BA$8,0)+1),0)</f>
        <v>10998000</v>
      </c>
      <c r="BS26" s="192">
        <f>BQ26-BR26</f>
        <v>-5499000</v>
      </c>
      <c r="BT26" s="192">
        <f>IFERROR(INDEX('[1]SALES PERTYPE'!$Z$10:$Z$52,MATCH($C26,'[1]SALES PERTYPE'!$B$10:$B$52,0)),0)</f>
        <v>0</v>
      </c>
      <c r="BU26" s="192">
        <f>IFERROR(INDEX('[1]Sales per type juli'!$D$10:$BA$51,MATCH($C26,'[1]Sales per type juli'!$B$10:$B$51,0),MATCH("IQOO 15R",'[1]Sales per type juli'!$D$8:$BA$8,0)),0)</f>
        <v>2</v>
      </c>
      <c r="BV26" s="192">
        <f>BT26-BU26</f>
        <v>-2</v>
      </c>
      <c r="BW26" s="192">
        <f>IFERROR(INDEX('[1]SALES PERTYPE'!$AA$10:$AA$52,MATCH($C26,'[1]SALES PERTYPE'!$B$10:$B$52,0)),0)</f>
        <v>0</v>
      </c>
      <c r="BX26" s="192" cm="1">
        <f t="array" ref="BX26">IFERROR(INDEX('[1]Sales per type juli'!$D$10:$BA$51,MATCH($C26,'[1]Sales per type juli'!$B$10:$B$51,0),MATCH("IQOO 15R",'[1]Sales per type juli'!$D$8:$BA$8,0)+1),0)</f>
        <v>19798000</v>
      </c>
      <c r="BY26" s="192">
        <f>BW26-BX26</f>
        <v>-19798000</v>
      </c>
      <c r="BZ26" s="192">
        <f>IFERROR(INDEX('[1]SALES PERTYPE'!$AB$10:$AB$52,MATCH($C26,'[1]SALES PERTYPE'!$B$10:$B$52,0)),0)</f>
        <v>4</v>
      </c>
      <c r="CA26" s="192">
        <f>IFERROR(INDEX('[1]Sales per type juli'!$D$10:$BA$51,MATCH($C26,'[1]Sales per type juli'!$B$10:$B$51,0),MATCH("V60 Lite",'[1]Sales per type juli'!$D$8:$BA$8,0)),0)</f>
        <v>2</v>
      </c>
      <c r="CB26" s="192">
        <f>BZ26-CA26</f>
        <v>2</v>
      </c>
      <c r="CC26" s="192">
        <f>IFERROR(INDEX('[1]SALES PERTYPE'!$AC$10:$AC$52,MATCH($C26,'[1]SALES PERTYPE'!$B$10:$B$52,0)),0)</f>
        <v>22396000</v>
      </c>
      <c r="CD26" s="192" cm="1">
        <f t="array" ref="CD26">IFERROR(INDEX('[1]Sales per type juli'!$D$10:$BA$51,MATCH($C26,'[1]Sales per type juli'!$B$10:$B$51,0),MATCH("V60 Lite",'[1]Sales per type juli'!$D$8:$BA$8,0)+1),0)</f>
        <v>10598000</v>
      </c>
      <c r="CE26" s="192">
        <f>CC26-CD26</f>
        <v>11798000</v>
      </c>
      <c r="CF26" s="192">
        <f>IFERROR(INDEX('[1]SALES PERTYPE'!$AD$10:$AD$52,MATCH($C26,'[1]SALES PERTYPE'!$B$10:$B$52,0)),0)</f>
        <v>0</v>
      </c>
      <c r="CG26" s="192">
        <f>IFERROR(INDEX('[1]Sales per type juli'!$D$10:$BA$51,MATCH($C26,'[1]Sales per type juli'!$B$10:$B$51,0),MATCH("X300 Ultra",'[1]Sales per type juli'!$D$8:$BA$8,0)),0)</f>
        <v>0</v>
      </c>
      <c r="CH26" s="192">
        <f>CF26-CG26</f>
        <v>0</v>
      </c>
      <c r="CI26" s="192">
        <f>IFERROR(INDEX('[1]SALES PERTYPE'!$AE$10:$AE$52,MATCH($C26,'[1]SALES PERTYPE'!$B$10:$B$52,0)),0)</f>
        <v>0</v>
      </c>
      <c r="CJ26" s="192" cm="1">
        <f t="array" ref="CJ26">IFERROR(INDEX('[1]Sales per type juli'!$D$10:$BA$51,MATCH($C26,'[1]Sales per type juli'!$B$10:$B$51,0),MATCH("X300 Ultra",'[1]Sales per type juli'!$D$8:$BA$8,0)+1),0)</f>
        <v>0</v>
      </c>
      <c r="CK26" s="192">
        <f>CI26-CJ26</f>
        <v>0</v>
      </c>
      <c r="CL26" s="192">
        <f>IFERROR(INDEX('[1]SALES PERTYPE'!$AF$10:$AF$52,MATCH($C26,'[1]SALES PERTYPE'!$B$10:$B$52,0)),0)</f>
        <v>0</v>
      </c>
      <c r="CM26" s="192">
        <f>IFERROR(INDEX('[1]Sales per type juli'!$D$10:$BA$51,MATCH($C26,'[1]Sales per type juli'!$B$10:$B$51,0),MATCH("IQOO 15",'[1]Sales per type juli'!$D$8:$BA$8,0)),0)</f>
        <v>0</v>
      </c>
      <c r="CN26" s="192">
        <f>CL26-CM26</f>
        <v>0</v>
      </c>
      <c r="CO26" s="192">
        <f>IFERROR(INDEX('[1]SALES PERTYPE'!$AG$10:$AG$52,MATCH($C26,'[1]SALES PERTYPE'!$B$10:$B$52,0)),0)</f>
        <v>0</v>
      </c>
      <c r="CP26" s="192" cm="1">
        <f t="array" ref="CP26">IFERROR(INDEX('[1]Sales per type juli'!$D$10:$BA$51,MATCH($C26,'[1]Sales per type juli'!$B$10:$B$51,0),MATCH("IQOO 15",'[1]Sales per type juli'!$D$8:$BA$8,0)+1),0)</f>
        <v>0</v>
      </c>
      <c r="CQ26" s="192">
        <f>CO26-CP26</f>
        <v>0</v>
      </c>
      <c r="CR26" s="192">
        <f>IFERROR(INDEX('[1]SALES PERTYPE'!$AH$10:$AH$52,MATCH($C26,'[1]SALES PERTYPE'!$B$10:$B$52,0)),0)</f>
        <v>0</v>
      </c>
      <c r="CS26" s="192">
        <f>IFERROR(INDEX('[1]Sales per type juli'!$D$10:$BA$51,MATCH($C26,'[1]Sales per type juli'!$B$10:$B$51,0),MATCH("IQOO Z11x",'[1]Sales per type juli'!$D$8:$BA$8,0)),0)</f>
        <v>0</v>
      </c>
      <c r="CT26" s="192">
        <f>CR26-CS26</f>
        <v>0</v>
      </c>
      <c r="CU26" s="192">
        <f>IFERROR(INDEX('[1]SALES PERTYPE'!$AI$10:$AI$52,MATCH($C26,'[1]SALES PERTYPE'!$B$10:$B$52,0)),0)</f>
        <v>0</v>
      </c>
      <c r="CV26" s="192" cm="1">
        <f t="array" ref="CV26">IFERROR(INDEX('[1]Sales per type juli'!$D$10:$BA$51,MATCH($C26,'[1]Sales per type juli'!$B$10:$B$51,0),MATCH("IQOO Z11x",'[1]Sales per type juli'!$D$8:$BA$8,0)+1),0)</f>
        <v>0</v>
      </c>
      <c r="CW26" s="192">
        <f>CU26-CV26</f>
        <v>0</v>
      </c>
      <c r="CX26" s="192">
        <f>IFERROR(INDEX('[1]SALES PERTYPE'!$AJ$10:$AJ$52,MATCH($C26,'[1]SALES PERTYPE'!$B$10:$B$52,0)),0)</f>
        <v>0</v>
      </c>
      <c r="CY26" s="192">
        <f>IFERROR(INDEX('[1]Sales per type juli'!$D$10:$BA$51,MATCH($C26,'[1]Sales per type juli'!$B$10:$B$51,0),MATCH("IQOO Z11",'[1]Sales per type juli'!$D$8:$BA$8,0)),0)</f>
        <v>5</v>
      </c>
      <c r="CZ26" s="192">
        <f>CX26-CY26</f>
        <v>-5</v>
      </c>
      <c r="DA26" s="192">
        <f>IFERROR(INDEX('[1]SALES PERTYPE'!$AK$10:$AK$52,MATCH($C26,'[1]SALES PERTYPE'!$B$10:$B$52,0)),0)</f>
        <v>0</v>
      </c>
      <c r="DB26" s="192" cm="1">
        <f t="array" ref="DB26">IFERROR(INDEX('[1]Sales per type juli'!$D$10:$BA$51,MATCH($C26,'[1]Sales per type juli'!$B$10:$B$51,0),MATCH("IQOO Z11",'[1]Sales per type juli'!$D$8:$BA$8,0)+1),0)</f>
        <v>28495000</v>
      </c>
      <c r="DC26" s="192">
        <f>DA26-DB26</f>
        <v>-28495000</v>
      </c>
      <c r="DD26" s="192">
        <v>0</v>
      </c>
      <c r="DE26" s="192">
        <f>IFERROR(INDEX('[1]Sales per type juli'!$D$10:$BA$51,MATCH($C26,'[1]Sales per type juli'!$B$10:$B$51,0),MATCH("WATCH 3",'[1]Sales per type juli'!$D$8:$BA$8,0)),0)</f>
        <v>0</v>
      </c>
      <c r="DF26" s="192">
        <f>DD26-DE26</f>
        <v>0</v>
      </c>
      <c r="DG26" s="192">
        <v>0</v>
      </c>
      <c r="DH26" s="192" cm="1">
        <f t="array" ref="DH26">IFERROR(INDEX('[1]Sales per type juli'!$D$10:$BA$51,MATCH($C26,'[1]Sales per type juli'!$B$10:$B$51,0),MATCH("WATCH 3",'[1]Sales per type juli'!$D$8:$BA$8,0)+1),0)</f>
        <v>0</v>
      </c>
      <c r="DI26" s="192">
        <f>DG26-DH26</f>
        <v>0</v>
      </c>
      <c r="DJ26" s="192">
        <v>0</v>
      </c>
      <c r="DK26" s="192">
        <f>IFERROR(INDEX('[1]Sales per type juli'!$D$10:$BA$51,MATCH($C26,'[1]Sales per type juli'!$B$10:$B$51,0),MATCH("X300 Demo",'[1]Sales per type juli'!$D$8:$BA$8,0)),0)</f>
        <v>0</v>
      </c>
      <c r="DL26" s="192">
        <f>DJ26-DK26</f>
        <v>0</v>
      </c>
      <c r="DM26" s="192">
        <v>0</v>
      </c>
      <c r="DN26" s="192" cm="1">
        <f t="array" ref="DN26">IFERROR(INDEX('[1]Sales per type juli'!$D$10:$BA$51,MATCH($C26,'[1]Sales per type juli'!$B$10:$B$51,0),MATCH("X300 Demo",'[1]Sales per type juli'!$D$8:$BA$8,0)+1),0)</f>
        <v>0</v>
      </c>
      <c r="DO26" s="192">
        <f>DM26-DN26</f>
        <v>0</v>
      </c>
      <c r="DP26" s="192">
        <v>0</v>
      </c>
      <c r="DQ26" s="192">
        <f>IFERROR(INDEX('[1]Sales per type juli'!$D$10:$BA$51,MATCH($C26,'[1]Sales per type juli'!$B$10:$B$51,0),MATCH("X300 Pro Demo",'[1]Sales per type juli'!$D$8:$BA$8,0)),0)</f>
        <v>0</v>
      </c>
      <c r="DR26" s="192">
        <f>DP26-DQ26</f>
        <v>0</v>
      </c>
      <c r="DS26" s="192">
        <v>0</v>
      </c>
      <c r="DT26" s="192" cm="1">
        <f t="array" ref="DT26">IFERROR(INDEX('[1]Sales per type juli'!$D$10:$BA$51,MATCH($C26,'[1]Sales per type juli'!$B$10:$B$51,0),MATCH("X300 Pro Demo",'[1]Sales per type juli'!$D$8:$BA$8,0)+1),0)</f>
        <v>0</v>
      </c>
      <c r="DU26" s="192">
        <f>DS26-DT26</f>
        <v>0</v>
      </c>
      <c r="DV26" s="192">
        <v>0</v>
      </c>
      <c r="DW26" s="192">
        <f>IFERROR(INDEX('[1]Sales per type juli'!$D$10:$BA$51,MATCH($C26,'[1]Sales per type juli'!$B$10:$B$51,0),MATCH("X Fold5 DEMO",'[1]Sales per type juli'!$D$8:$BA$8,0)),0)</f>
        <v>0</v>
      </c>
      <c r="DX26" s="192">
        <f>DV26-DW26</f>
        <v>0</v>
      </c>
      <c r="DY26" s="192">
        <v>0</v>
      </c>
      <c r="DZ26" s="192" cm="1">
        <f t="array" ref="DZ26">IFERROR(INDEX('[1]Sales per type juli'!$D$10:$BA$51,MATCH($C26,'[1]Sales per type juli'!$B$10:$B$51,0),MATCH("X Fold5 DEMO",'[1]Sales per type juli'!$D$8:$BA$8,0)+1),0)</f>
        <v>0</v>
      </c>
      <c r="EA26" s="192">
        <f>DY26-DZ26</f>
        <v>0</v>
      </c>
      <c r="EB26" s="192">
        <v>0</v>
      </c>
      <c r="EC26" s="192">
        <f>IFERROR(INDEX('[1]Sales per type juli'!$D$10:$BA$51,MATCH($C26,'[1]Sales per type juli'!$B$10:$B$51,0),MATCH("X Fold5",'[1]Sales per type juli'!$D$8:$BA$8,0)),0)</f>
        <v>0</v>
      </c>
      <c r="ED26" s="192">
        <f>EB26-EC26</f>
        <v>0</v>
      </c>
      <c r="EE26" s="192">
        <v>0</v>
      </c>
      <c r="EF26" s="192" cm="1">
        <f t="array" ref="EF26">IFERROR(INDEX('[1]Sales per type juli'!$D$10:$BA$51,MATCH($C26,'[1]Sales per type juli'!$B$10:$B$51,0),MATCH("X Fold5",'[1]Sales per type juli'!$D$8:$BA$8,0)+1),0)</f>
        <v>0</v>
      </c>
      <c r="EG26" s="192">
        <f>EE26-EF26</f>
        <v>0</v>
      </c>
      <c r="EH26" s="192">
        <v>0</v>
      </c>
      <c r="EI26" s="192">
        <f>IFERROR(INDEX('[1]Sales per type juli'!$D$10:$BA$51,MATCH($C26,'[1]Sales per type juli'!$B$10:$B$51,0),MATCH("IQOO 15 Demo",'[1]Sales per type juli'!$D$8:$BA$8,0)),0)</f>
        <v>0</v>
      </c>
      <c r="EJ26" s="192">
        <f>EH26-EI26</f>
        <v>0</v>
      </c>
      <c r="EK26" s="192">
        <v>0</v>
      </c>
      <c r="EL26" s="192" cm="1">
        <f t="array" ref="EL26">IFERROR(INDEX('[1]Sales per type juli'!$D$10:$BA$51,MATCH($C26,'[1]Sales per type juli'!$B$10:$B$51,0),MATCH("IQOO 15 Demo",'[1]Sales per type juli'!$D$8:$BA$8,0)+1),0)</f>
        <v>0</v>
      </c>
      <c r="EM26" s="192">
        <f>EK26-EL26</f>
        <v>0</v>
      </c>
      <c r="EN26" s="192">
        <v>0</v>
      </c>
      <c r="EO26" s="192">
        <f>IFERROR(INDEX('[1]Sales per type juli'!$D$10:$BA$51,MATCH($C26,'[1]Sales per type juli'!$B$10:$B$51,0),MATCH("X300 PRO",'[1]Sales per type juli'!$D$8:$BA$8,0)),0)</f>
        <v>0</v>
      </c>
      <c r="EP26" s="192">
        <f>EN26-EO26</f>
        <v>0</v>
      </c>
      <c r="EQ26" s="192">
        <v>0</v>
      </c>
      <c r="ER26" s="192" cm="1">
        <f t="array" ref="ER26">IFERROR(INDEX('[1]Sales per type juli'!$D$10:$BA$51,MATCH($C26,'[1]Sales per type juli'!$B$10:$B$51,0),MATCH("X300 PRO",'[1]Sales per type juli'!$D$8:$BA$8,0)+1),0)</f>
        <v>0</v>
      </c>
      <c r="ES26" s="192">
        <f>EQ26-ER26</f>
        <v>0</v>
      </c>
      <c r="ET26" s="192">
        <v>0</v>
      </c>
      <c r="EU26" s="192">
        <f>IFERROR(INDEX('[1]Sales per type juli'!$D$10:$BA$51,MATCH($C26,'[1]Sales per type juli'!$B$10:$B$51,0),MATCH("X300 ",'[1]Sales per type juli'!$D$8:$BA$8,0)),0)</f>
        <v>0</v>
      </c>
      <c r="EV26" s="192">
        <f>ET26-EU26</f>
        <v>0</v>
      </c>
      <c r="EW26" s="192">
        <v>0</v>
      </c>
      <c r="EX26" s="192" cm="1">
        <f t="array" ref="EX26">IFERROR(INDEX('[1]Sales per type juli'!$D$10:$BA$51,MATCH($C26,'[1]Sales per type juli'!$B$10:$B$51,0),MATCH("X300 ",'[1]Sales per type juli'!$D$8:$BA$8,0)+1),0)</f>
        <v>0</v>
      </c>
      <c r="EY26" s="192">
        <f>EW26-EX26</f>
        <v>0</v>
      </c>
      <c r="EZ26" s="192">
        <f>F26+L26+R26+X26+AD26+AJ26+AP26+AV26+BB26+BH26+BN26+BT26+BZ26+CF26+CL26+CR26+CX26+DD26+DJ26+DP26+DV26+EB26+EH26+EN26+ET26</f>
        <v>36</v>
      </c>
      <c r="FA26" s="192">
        <f>G26+M26+S26+Y26+AE26+AK26+AQ26+AW26+BC26+BI26+BO26+BU26+CA26+CG26+CM26+CS26+CY26+DE26+DK26+DQ26+DW26+EC26+EI26+EO26+EU26</f>
        <v>44</v>
      </c>
      <c r="FB26" s="192">
        <f>EZ26-FA26</f>
        <v>-8</v>
      </c>
      <c r="FC26" s="192">
        <f>I26+O26+U26+AA26+AG26+AM26+AS26+AY26+BE26+BK26+BQ26+BW26+CC26+CI26+CO26+CU26+DA26+DG26+DM26+DS26+DY26+EE26+EK26+EQ26+EW26</f>
        <v>142564000</v>
      </c>
      <c r="FD26" s="192">
        <f>J26+P26+V26+AB26+AH26+AN26+AT26+AZ26+BF26+BL26+BR26+BX26+CD26+CJ26+CP26+CV26+DB26+DH26+DN26+DT26+DZ26+EF26+EL26+ER26+EX26</f>
        <v>174156000</v>
      </c>
      <c r="FE26" s="192">
        <f>FC26-FD26</f>
        <v>-31592000</v>
      </c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</row>
    <row r="27" spans="1:208" ht="16" x14ac:dyDescent="0.2">
      <c r="A27" s="137">
        <f>'[1]ACHIEVEMENT STORE'!A27</f>
        <v>23</v>
      </c>
      <c r="B27" s="138" t="str">
        <f>'[1]ACHIEVEMENT STORE'!B27</f>
        <v>624-万丹BANTEN</v>
      </c>
      <c r="C27" s="137">
        <f>'[1]ACHIEVEMENT STORE'!C27</f>
        <v>6240704</v>
      </c>
      <c r="D27" s="138" t="str">
        <f>'[1]ACHIEVEMENT STORE'!D27</f>
        <v>6240704-TANGCITY LG017 WEST LOBBY</v>
      </c>
      <c r="E27" s="138" t="str">
        <f>'[1]ACHIEVEMENT STORE'!E27</f>
        <v>ARIES FITRIYANTO</v>
      </c>
      <c r="F27" s="192">
        <f>IFERROR(INDEX('[1]SALES PERTYPE'!$D$10:$D$52,MATCH($C27,'[1]SALES PERTYPE'!$B$10:$B$52,0)),0)</f>
        <v>0</v>
      </c>
      <c r="G27" s="192">
        <f>IFERROR(INDEX('[1]Sales per type juli'!$D$10:$BA$51,MATCH($C27,'[1]Sales per type juli'!$B$10:$B$51,0),MATCH("Y05",'[1]Sales per type juli'!$D$8:$BA$8,0)),0)</f>
        <v>4</v>
      </c>
      <c r="H27" s="192">
        <f>F27-G27</f>
        <v>-4</v>
      </c>
      <c r="I27" s="192">
        <f>IFERROR(INDEX('[1]SALES PERTYPE'!$E$10:$E$52,MATCH($C27,'[1]SALES PERTYPE'!$B$10:$B$52,0)),0)</f>
        <v>0</v>
      </c>
      <c r="J27" s="192" cm="1">
        <f t="array" ref="J27">IFERROR(INDEX('[1]Sales per type juli'!$D$10:$BA$51,MATCH($C27,'[1]Sales per type juli'!$B$10:$B$51,0),MATCH("Y05",'[1]Sales per type juli'!$D$8:$BA$8,0)+1),0)</f>
        <v>8996000</v>
      </c>
      <c r="K27" s="192">
        <f>I27-J27</f>
        <v>-8996000</v>
      </c>
      <c r="L27" s="192">
        <f>IFERROR(INDEX('[1]SALES PERTYPE'!$F$10:$F$52,MATCH($C27,'[1]SALES PERTYPE'!$B$10:$B$52,0)),0)</f>
        <v>1</v>
      </c>
      <c r="M27" s="192">
        <f>IFERROR(INDEX('[1]Sales per type juli'!$D$10:$BA$51,MATCH($C27,'[1]Sales per type juli'!$B$10:$B$51,0),MATCH("Y11d",'[1]Sales per type juli'!$D$8:$BA$8,0)),0)</f>
        <v>1</v>
      </c>
      <c r="N27" s="192">
        <f>L27-M27</f>
        <v>0</v>
      </c>
      <c r="O27" s="192">
        <f>IFERROR(INDEX('[1]SALES PERTYPE'!$G$10:$G$52,MATCH($C27,'[1]SALES PERTYPE'!$B$10:$B$52,0)),0)</f>
        <v>2799000</v>
      </c>
      <c r="P27" s="192" cm="1">
        <f t="array" ref="P27">IFERROR(INDEX('[1]Sales per type juli'!$D$10:$BA$51,MATCH($C27,'[1]Sales per type juli'!$B$10:$B$51,0),MATCH("Y11d",'[1]Sales per type juli'!$D$8:$BA$8,0)+1),0)</f>
        <v>2399000</v>
      </c>
      <c r="Q27" s="192">
        <f>O27-P27</f>
        <v>400000</v>
      </c>
      <c r="R27" s="192">
        <f>IFERROR(INDEX('[1]SALES PERTYPE'!$H$10:$H$52,MATCH($C27,'[1]SALES PERTYPE'!$B$10:$B$52,0)),0)</f>
        <v>0</v>
      </c>
      <c r="S27" s="192">
        <f>IFERROR(INDEX('[1]Sales per type juli'!$D$10:$BA$51,MATCH($C27,'[1]Sales per type juli'!$B$10:$B$51,0),MATCH("Watch GT 2",'[1]Sales per type juli'!$D$8:$BA$8,0)),0)</f>
        <v>0</v>
      </c>
      <c r="T27" s="192">
        <f>R27-S27</f>
        <v>0</v>
      </c>
      <c r="U27" s="192">
        <f>IFERROR(INDEX('[1]SALES PERTYPE'!$I$10:$I$52,MATCH($C27,'[1]SALES PERTYPE'!$B$10:$B$52,0)),0)</f>
        <v>0</v>
      </c>
      <c r="V27" s="192" cm="1">
        <f t="array" ref="V27">IFERROR(INDEX('[1]Sales per type juli'!$D$10:$BA$51,MATCH($C27,'[1]Sales per type juli'!$B$10:$B$51,0),MATCH("Watch GT 2",'[1]Sales per type juli'!$D$8:$BA$8,0)+1),0)</f>
        <v>0</v>
      </c>
      <c r="W27" s="192">
        <f>U27-V27</f>
        <v>0</v>
      </c>
      <c r="X27" s="192">
        <f>IFERROR(INDEX('[1]SALES PERTYPE'!$J$10:$J$52,MATCH($C27,'[1]SALES PERTYPE'!$B$10:$B$52,0)),0)</f>
        <v>4</v>
      </c>
      <c r="Y27" s="192">
        <f>IFERROR(INDEX('[1]Sales per type juli'!$D$10:$BA$51,MATCH($C27,'[1]Sales per type juli'!$B$10:$B$51,0),MATCH("Y05e",'[1]Sales per type juli'!$D$8:$BA$8,0)),0)</f>
        <v>0</v>
      </c>
      <c r="Z27" s="192">
        <f>X27-Y27</f>
        <v>4</v>
      </c>
      <c r="AA27" s="192">
        <f>IFERROR(INDEX('[1]SALES PERTYPE'!$K$10:$K$52,MATCH($C27,'[1]SALES PERTYPE'!$B$10:$B$52,0)),0)</f>
        <v>8396000</v>
      </c>
      <c r="AB27" s="192" cm="1">
        <f t="array" ref="AB27">IFERROR(INDEX('[1]Sales per type juli'!$D$10:$BA$51,MATCH($C27,'[1]Sales per type juli'!$B$10:$B$51,0),MATCH("Y05e",'[1]Sales per type juli'!$D$8:$BA$8,0)+1),0)</f>
        <v>0</v>
      </c>
      <c r="AC27" s="192">
        <f>AA27-AB27</f>
        <v>8396000</v>
      </c>
      <c r="AD27" s="192">
        <f>IFERROR(INDEX('[1]SALES PERTYPE'!$L$10:$L$52,MATCH($C27,'[1]SALES PERTYPE'!$B$10:$B$52,0)),0)</f>
        <v>0</v>
      </c>
      <c r="AE27" s="192">
        <f>IFERROR(INDEX('[1]Sales per type juli'!$D$10:$BA$51,MATCH($C27,'[1]Sales per type juli'!$B$10:$B$51,0),MATCH("V70",'[1]Sales per type juli'!$D$8:$BA$8,0)),0)</f>
        <v>0</v>
      </c>
      <c r="AF27" s="192">
        <f>AD27-AE27</f>
        <v>0</v>
      </c>
      <c r="AG27" s="192">
        <f>IFERROR(INDEX('[1]SALES PERTYPE'!$M$10:$M$52,MATCH($C27,'[1]SALES PERTYPE'!$B$10:$B$52,0)),0)</f>
        <v>0</v>
      </c>
      <c r="AH27" s="192" cm="1">
        <f t="array" ref="AH27">IFERROR(INDEX('[1]Sales per type juli'!$D$10:$BA$51,MATCH($C27,'[1]Sales per type juli'!$B$10:$B$51,0),MATCH("V70",'[1]Sales per type juli'!$D$8:$BA$8,0)+1),0)</f>
        <v>0</v>
      </c>
      <c r="AI27" s="192">
        <f>AG27-AH27</f>
        <v>0</v>
      </c>
      <c r="AJ27" s="192">
        <f>IFERROR(INDEX('[1]SALES PERTYPE'!$N$10:$N$52,MATCH($C27,'[1]SALES PERTYPE'!$B$10:$B$52,0)),0)</f>
        <v>0</v>
      </c>
      <c r="AK27" s="192">
        <f>IFERROR(INDEX('[1]Sales per type juli'!$D$10:$BA$51,MATCH($C27,'[1]Sales per type juli'!$B$10:$B$51,0),MATCH("Y31d Pro",'[1]Sales per type juli'!$D$8:$BA$8,0)),0)</f>
        <v>2</v>
      </c>
      <c r="AL27" s="192">
        <f>AJ27-AK27</f>
        <v>-2</v>
      </c>
      <c r="AM27" s="192">
        <f>IFERROR(INDEX('[1]SALES PERTYPE'!$O$10:$O$52,MATCH($C27,'[1]SALES PERTYPE'!$B$10:$B$52,0)),0)</f>
        <v>0</v>
      </c>
      <c r="AN27" s="192" cm="1">
        <f t="array" ref="AN27">IFERROR(INDEX('[1]Sales per type juli'!$D$10:$BA$51,MATCH($C27,'[1]Sales per type juli'!$B$10:$B$51,0),MATCH("Y31d Pro",'[1]Sales per type juli'!$D$8:$BA$8,0)+1),0)</f>
        <v>8798000</v>
      </c>
      <c r="AO27" s="192">
        <f>AM27-AN27</f>
        <v>-8798000</v>
      </c>
      <c r="AP27" s="192">
        <f>IFERROR(INDEX('[1]SALES PERTYPE'!$P$10:$P$52,MATCH($C27,'[1]SALES PERTYPE'!$B$10:$B$52,0)),0)</f>
        <v>0</v>
      </c>
      <c r="AQ27" s="192" cm="1">
        <f t="array" ref="AQ27">IFERROR(INDEX('[1]Sales per type juli'!$D$10:$BA$51,MATCH($C27,'[1]Sales per type juli'!$B$10:$B$51,0),$FG$2),0)</f>
        <v>1</v>
      </c>
      <c r="AR27" s="192">
        <f>AP27-AQ27</f>
        <v>-1</v>
      </c>
      <c r="AS27" s="192">
        <f>IFERROR(INDEX('[1]SALES PERTYPE'!$Q$10:$Q$52,MATCH($C27,'[1]SALES PERTYPE'!$B$10:$B$52,0)),0)</f>
        <v>0</v>
      </c>
      <c r="AT27" s="192" cm="1">
        <f t="array" ref="AT27">IFERROR(INDEX('[1]Sales per type juli'!$D$10:$BA$51,MATCH($C27,'[1]Sales per type juli'!$B$10:$B$51,0),$FG$2+1),0)</f>
        <v>3599000</v>
      </c>
      <c r="AU27" s="192">
        <f>AS27-AT27</f>
        <v>-3599000</v>
      </c>
      <c r="AV27" s="192">
        <f>IFERROR(INDEX('[1]SALES PERTYPE'!$R$10:$R$52,MATCH($C27,'[1]SALES PERTYPE'!$B$10:$B$52,0)),0)</f>
        <v>0</v>
      </c>
      <c r="AW27" s="192">
        <f>IFERROR(INDEX('[1]Sales per type juli'!$D$10:$BA$51,MATCH($C27,'[1]Sales per type juli'!$B$10:$B$51,0),MATCH("Y31d ",'[1]Sales per type juli'!$D$8:$BA$8,0)),0)</f>
        <v>1</v>
      </c>
      <c r="AX27" s="192">
        <f>AV27-AW27</f>
        <v>-1</v>
      </c>
      <c r="AY27" s="192">
        <f>IFERROR(INDEX('[1]SALES PERTYPE'!$S$10:$S$52,MATCH($C27,'[1]SALES PERTYPE'!$B$10:$B$52,0)),0)</f>
        <v>0</v>
      </c>
      <c r="AZ27" s="192" cm="1">
        <f t="array" ref="AZ27">IFERROR(INDEX('[1]Sales per type juli'!$D$10:$BA$51,MATCH($C27,'[1]Sales per type juli'!$B$10:$B$51,0),MATCH("Y31d ",'[1]Sales per type juli'!$D$8:$BA$8,0)+1),0)</f>
        <v>3599000</v>
      </c>
      <c r="BA27" s="192">
        <f>AY27-AZ27</f>
        <v>-3599000</v>
      </c>
      <c r="BB27" s="192">
        <f>IFERROR(INDEX('[1]SALES PERTYPE'!$T$10:$T$52,MATCH($C27,'[1]SALES PERTYPE'!$B$10:$B$52,0)),0)</f>
        <v>0</v>
      </c>
      <c r="BC27" s="192">
        <f>IFERROR(INDEX('[1]Sales per type juli'!$D$10:$BA$51,MATCH($C27,'[1]Sales per type juli'!$B$10:$B$51,0),MATCH("V70 FE",'[1]Sales per type juli'!$D$8:$BA$8,0)),0)</f>
        <v>0</v>
      </c>
      <c r="BD27" s="192">
        <f>BB27-BC27</f>
        <v>0</v>
      </c>
      <c r="BE27" s="192">
        <f>IFERROR(INDEX('[1]SALES PERTYPE'!$U$10:$U$52,MATCH($C27,'[1]SALES PERTYPE'!$B$10:$B$52,0)),0)</f>
        <v>0</v>
      </c>
      <c r="BF27" s="192" cm="1">
        <f t="array" ref="BF27">IFERROR(INDEX('[1]Sales per type juli'!$D$10:$BA$51,MATCH($C27,'[1]Sales per type juli'!$B$10:$B$51,0),MATCH("V70 FE",'[1]Sales per type juli'!$D$8:$BA$8,0)+1),0)</f>
        <v>0</v>
      </c>
      <c r="BG27" s="192">
        <f>BE27-BF27</f>
        <v>0</v>
      </c>
      <c r="BH27" s="192">
        <f>IFERROR(INDEX('[1]SALES PERTYPE'!$V$10:$V$52,MATCH($C27,'[1]SALES PERTYPE'!$B$10:$B$52,0)),0)</f>
        <v>0</v>
      </c>
      <c r="BI27" s="192">
        <f>IFERROR(INDEX('[1]Sales per type juli'!$D$10:$BA$51,MATCH($C27,'[1]Sales per type juli'!$B$10:$B$51,0),MATCH("Y31d",'[1]Sales per type juli'!$D$8:$BA$8,0)),0)</f>
        <v>1</v>
      </c>
      <c r="BJ27" s="192">
        <f>BH27-BI27</f>
        <v>-1</v>
      </c>
      <c r="BK27" s="192">
        <f>IFERROR(INDEX('[1]SALES PERTYPE'!$W$10:$W$52,MATCH($C27,'[1]SALES PERTYPE'!$B$10:$B$52,0)),0)</f>
        <v>0</v>
      </c>
      <c r="BL27" s="192" cm="1">
        <f t="array" ref="BL27">IFERROR(INDEX('[1]Sales per type juli'!$D$10:$BA$51,MATCH($C27,'[1]Sales per type juli'!$B$10:$B$51,0),MATCH("Y31d",'[1]Sales per type juli'!$D$8:$BA$8,0)+1),0)</f>
        <v>3599000</v>
      </c>
      <c r="BM27" s="192">
        <f>BK27-BL27</f>
        <v>-3599000</v>
      </c>
      <c r="BN27" s="192">
        <f>IFERROR(INDEX('[1]SALES PERTYPE'!$X$10:$X$52,MATCH($C27,'[1]SALES PERTYPE'!$B$10:$B$52,0)),0)</f>
        <v>1</v>
      </c>
      <c r="BO27" s="192">
        <f>IFERROR(INDEX('[1]Sales per type juli'!$D$10:$BA$51,MATCH($C27,'[1]Sales per type juli'!$B$10:$B$51,0),MATCH("Y500",'[1]Sales per type juli'!$D$8:$BA$8,0)),0)</f>
        <v>0</v>
      </c>
      <c r="BP27" s="192">
        <f>BN27-BO27</f>
        <v>1</v>
      </c>
      <c r="BQ27" s="192">
        <f>IFERROR(INDEX('[1]SALES PERTYPE'!$Y$10:$Y$52,MATCH($C27,'[1]SALES PERTYPE'!$B$10:$B$52,0)),0)</f>
        <v>5499000</v>
      </c>
      <c r="BR27" s="192" cm="1">
        <f t="array" ref="BR27">IFERROR(INDEX('[1]Sales per type juli'!$D$10:$BA$51,MATCH($C27,'[1]Sales per type juli'!$B$10:$B$51,0),MATCH("Y500",'[1]Sales per type juli'!$D$8:$BA$8,0)+1),0)</f>
        <v>0</v>
      </c>
      <c r="BS27" s="192">
        <f>BQ27-BR27</f>
        <v>5499000</v>
      </c>
      <c r="BT27" s="192">
        <f>IFERROR(INDEX('[1]SALES PERTYPE'!$Z$10:$Z$52,MATCH($C27,'[1]SALES PERTYPE'!$B$10:$B$52,0)),0)</f>
        <v>0</v>
      </c>
      <c r="BU27" s="192">
        <f>IFERROR(INDEX('[1]Sales per type juli'!$D$10:$BA$51,MATCH($C27,'[1]Sales per type juli'!$B$10:$B$51,0),MATCH("IQOO 15R",'[1]Sales per type juli'!$D$8:$BA$8,0)),0)</f>
        <v>0</v>
      </c>
      <c r="BV27" s="192">
        <f>BT27-BU27</f>
        <v>0</v>
      </c>
      <c r="BW27" s="192">
        <f>IFERROR(INDEX('[1]SALES PERTYPE'!$AA$10:$AA$52,MATCH($C27,'[1]SALES PERTYPE'!$B$10:$B$52,0)),0)</f>
        <v>0</v>
      </c>
      <c r="BX27" s="192" cm="1">
        <f t="array" ref="BX27">IFERROR(INDEX('[1]Sales per type juli'!$D$10:$BA$51,MATCH($C27,'[1]Sales per type juli'!$B$10:$B$51,0),MATCH("IQOO 15R",'[1]Sales per type juli'!$D$8:$BA$8,0)+1),0)</f>
        <v>0</v>
      </c>
      <c r="BY27" s="192">
        <f>BW27-BX27</f>
        <v>0</v>
      </c>
      <c r="BZ27" s="192">
        <f>IFERROR(INDEX('[1]SALES PERTYPE'!$AB$10:$AB$52,MATCH($C27,'[1]SALES PERTYPE'!$B$10:$B$52,0)),0)</f>
        <v>0</v>
      </c>
      <c r="CA27" s="192">
        <f>IFERROR(INDEX('[1]Sales per type juli'!$D$10:$BA$51,MATCH($C27,'[1]Sales per type juli'!$B$10:$B$51,0),MATCH("V60 Lite",'[1]Sales per type juli'!$D$8:$BA$8,0)),0)</f>
        <v>0</v>
      </c>
      <c r="CB27" s="192">
        <f>BZ27-CA27</f>
        <v>0</v>
      </c>
      <c r="CC27" s="192">
        <f>IFERROR(INDEX('[1]SALES PERTYPE'!$AC$10:$AC$52,MATCH($C27,'[1]SALES PERTYPE'!$B$10:$B$52,0)),0)</f>
        <v>0</v>
      </c>
      <c r="CD27" s="192" cm="1">
        <f t="array" ref="CD27">IFERROR(INDEX('[1]Sales per type juli'!$D$10:$BA$51,MATCH($C27,'[1]Sales per type juli'!$B$10:$B$51,0),MATCH("V60 Lite",'[1]Sales per type juli'!$D$8:$BA$8,0)+1),0)</f>
        <v>0</v>
      </c>
      <c r="CE27" s="192">
        <f>CC27-CD27</f>
        <v>0</v>
      </c>
      <c r="CF27" s="192">
        <f>IFERROR(INDEX('[1]SALES PERTYPE'!$AD$10:$AD$52,MATCH($C27,'[1]SALES PERTYPE'!$B$10:$B$52,0)),0)</f>
        <v>0</v>
      </c>
      <c r="CG27" s="192">
        <f>IFERROR(INDEX('[1]Sales per type juli'!$D$10:$BA$51,MATCH($C27,'[1]Sales per type juli'!$B$10:$B$51,0),MATCH("X300 Ultra",'[1]Sales per type juli'!$D$8:$BA$8,0)),0)</f>
        <v>0</v>
      </c>
      <c r="CH27" s="192">
        <f>CF27-CG27</f>
        <v>0</v>
      </c>
      <c r="CI27" s="192">
        <f>IFERROR(INDEX('[1]SALES PERTYPE'!$AE$10:$AE$52,MATCH($C27,'[1]SALES PERTYPE'!$B$10:$B$52,0)),0)</f>
        <v>0</v>
      </c>
      <c r="CJ27" s="192" cm="1">
        <f t="array" ref="CJ27">IFERROR(INDEX('[1]Sales per type juli'!$D$10:$BA$51,MATCH($C27,'[1]Sales per type juli'!$B$10:$B$51,0),MATCH("X300 Ultra",'[1]Sales per type juli'!$D$8:$BA$8,0)+1),0)</f>
        <v>0</v>
      </c>
      <c r="CK27" s="192">
        <f>CI27-CJ27</f>
        <v>0</v>
      </c>
      <c r="CL27" s="192">
        <f>IFERROR(INDEX('[1]SALES PERTYPE'!$AF$10:$AF$52,MATCH($C27,'[1]SALES PERTYPE'!$B$10:$B$52,0)),0)</f>
        <v>0</v>
      </c>
      <c r="CM27" s="192">
        <f>IFERROR(INDEX('[1]Sales per type juli'!$D$10:$BA$51,MATCH($C27,'[1]Sales per type juli'!$B$10:$B$51,0),MATCH("IQOO 15",'[1]Sales per type juli'!$D$8:$BA$8,0)),0)</f>
        <v>0</v>
      </c>
      <c r="CN27" s="192">
        <f>CL27-CM27</f>
        <v>0</v>
      </c>
      <c r="CO27" s="192">
        <f>IFERROR(INDEX('[1]SALES PERTYPE'!$AG$10:$AG$52,MATCH($C27,'[1]SALES PERTYPE'!$B$10:$B$52,0)),0)</f>
        <v>0</v>
      </c>
      <c r="CP27" s="192" cm="1">
        <f t="array" ref="CP27">IFERROR(INDEX('[1]Sales per type juli'!$D$10:$BA$51,MATCH($C27,'[1]Sales per type juli'!$B$10:$B$51,0),MATCH("IQOO 15",'[1]Sales per type juli'!$D$8:$BA$8,0)+1),0)</f>
        <v>0</v>
      </c>
      <c r="CQ27" s="192">
        <f>CO27-CP27</f>
        <v>0</v>
      </c>
      <c r="CR27" s="192">
        <f>IFERROR(INDEX('[1]SALES PERTYPE'!$AH$10:$AH$52,MATCH($C27,'[1]SALES PERTYPE'!$B$10:$B$52,0)),0)</f>
        <v>0</v>
      </c>
      <c r="CS27" s="192">
        <f>IFERROR(INDEX('[1]Sales per type juli'!$D$10:$BA$51,MATCH($C27,'[1]Sales per type juli'!$B$10:$B$51,0),MATCH("IQOO Z11x",'[1]Sales per type juli'!$D$8:$BA$8,0)),0)</f>
        <v>0</v>
      </c>
      <c r="CT27" s="192">
        <f>CR27-CS27</f>
        <v>0</v>
      </c>
      <c r="CU27" s="192">
        <f>IFERROR(INDEX('[1]SALES PERTYPE'!$AI$10:$AI$52,MATCH($C27,'[1]SALES PERTYPE'!$B$10:$B$52,0)),0)</f>
        <v>0</v>
      </c>
      <c r="CV27" s="192" cm="1">
        <f t="array" ref="CV27">IFERROR(INDEX('[1]Sales per type juli'!$D$10:$BA$51,MATCH($C27,'[1]Sales per type juli'!$B$10:$B$51,0),MATCH("IQOO Z11x",'[1]Sales per type juli'!$D$8:$BA$8,0)+1),0)</f>
        <v>0</v>
      </c>
      <c r="CW27" s="192">
        <f>CU27-CV27</f>
        <v>0</v>
      </c>
      <c r="CX27" s="192">
        <f>IFERROR(INDEX('[1]SALES PERTYPE'!$AJ$10:$AJ$52,MATCH($C27,'[1]SALES PERTYPE'!$B$10:$B$52,0)),0)</f>
        <v>0</v>
      </c>
      <c r="CY27" s="192">
        <f>IFERROR(INDEX('[1]Sales per type juli'!$D$10:$BA$51,MATCH($C27,'[1]Sales per type juli'!$B$10:$B$51,0),MATCH("IQOO Z11",'[1]Sales per type juli'!$D$8:$BA$8,0)),0)</f>
        <v>2</v>
      </c>
      <c r="CZ27" s="192">
        <f>CX27-CY27</f>
        <v>-2</v>
      </c>
      <c r="DA27" s="192">
        <f>IFERROR(INDEX('[1]SALES PERTYPE'!$AK$10:$AK$52,MATCH($C27,'[1]SALES PERTYPE'!$B$10:$B$52,0)),0)</f>
        <v>0</v>
      </c>
      <c r="DB27" s="192" cm="1">
        <f t="array" ref="DB27">IFERROR(INDEX('[1]Sales per type juli'!$D$10:$BA$51,MATCH($C27,'[1]Sales per type juli'!$B$10:$B$51,0),MATCH("IQOO Z11",'[1]Sales per type juli'!$D$8:$BA$8,0)+1),0)</f>
        <v>11398000</v>
      </c>
      <c r="DC27" s="192">
        <f>DA27-DB27</f>
        <v>-11398000</v>
      </c>
      <c r="DD27" s="192">
        <v>0</v>
      </c>
      <c r="DE27" s="192">
        <f>IFERROR(INDEX('[1]Sales per type juli'!$D$10:$BA$51,MATCH($C27,'[1]Sales per type juli'!$B$10:$B$51,0),MATCH("WATCH 3",'[1]Sales per type juli'!$D$8:$BA$8,0)),0)</f>
        <v>0</v>
      </c>
      <c r="DF27" s="192">
        <f>DD27-DE27</f>
        <v>0</v>
      </c>
      <c r="DG27" s="192">
        <v>0</v>
      </c>
      <c r="DH27" s="192" cm="1">
        <f t="array" ref="DH27">IFERROR(INDEX('[1]Sales per type juli'!$D$10:$BA$51,MATCH($C27,'[1]Sales per type juli'!$B$10:$B$51,0),MATCH("WATCH 3",'[1]Sales per type juli'!$D$8:$BA$8,0)+1),0)</f>
        <v>0</v>
      </c>
      <c r="DI27" s="192">
        <f>DG27-DH27</f>
        <v>0</v>
      </c>
      <c r="DJ27" s="192">
        <v>0</v>
      </c>
      <c r="DK27" s="192">
        <f>IFERROR(INDEX('[1]Sales per type juli'!$D$10:$BA$51,MATCH($C27,'[1]Sales per type juli'!$B$10:$B$51,0),MATCH("X300 Demo",'[1]Sales per type juli'!$D$8:$BA$8,0)),0)</f>
        <v>0</v>
      </c>
      <c r="DL27" s="192">
        <f>DJ27-DK27</f>
        <v>0</v>
      </c>
      <c r="DM27" s="192">
        <v>0</v>
      </c>
      <c r="DN27" s="192" cm="1">
        <f t="array" ref="DN27">IFERROR(INDEX('[1]Sales per type juli'!$D$10:$BA$51,MATCH($C27,'[1]Sales per type juli'!$B$10:$B$51,0),MATCH("X300 Demo",'[1]Sales per type juli'!$D$8:$BA$8,0)+1),0)</f>
        <v>0</v>
      </c>
      <c r="DO27" s="192">
        <f>DM27-DN27</f>
        <v>0</v>
      </c>
      <c r="DP27" s="192">
        <v>0</v>
      </c>
      <c r="DQ27" s="192">
        <f>IFERROR(INDEX('[1]Sales per type juli'!$D$10:$BA$51,MATCH($C27,'[1]Sales per type juli'!$B$10:$B$51,0),MATCH("X300 Pro Demo",'[1]Sales per type juli'!$D$8:$BA$8,0)),0)</f>
        <v>0</v>
      </c>
      <c r="DR27" s="192">
        <f>DP27-DQ27</f>
        <v>0</v>
      </c>
      <c r="DS27" s="192">
        <v>0</v>
      </c>
      <c r="DT27" s="192" cm="1">
        <f t="array" ref="DT27">IFERROR(INDEX('[1]Sales per type juli'!$D$10:$BA$51,MATCH($C27,'[1]Sales per type juli'!$B$10:$B$51,0),MATCH("X300 Pro Demo",'[1]Sales per type juli'!$D$8:$BA$8,0)+1),0)</f>
        <v>0</v>
      </c>
      <c r="DU27" s="192">
        <f>DS27-DT27</f>
        <v>0</v>
      </c>
      <c r="DV27" s="192">
        <v>0</v>
      </c>
      <c r="DW27" s="192">
        <f>IFERROR(INDEX('[1]Sales per type juli'!$D$10:$BA$51,MATCH($C27,'[1]Sales per type juli'!$B$10:$B$51,0),MATCH("X Fold5 DEMO",'[1]Sales per type juli'!$D$8:$BA$8,0)),0)</f>
        <v>0</v>
      </c>
      <c r="DX27" s="192">
        <f>DV27-DW27</f>
        <v>0</v>
      </c>
      <c r="DY27" s="192">
        <v>0</v>
      </c>
      <c r="DZ27" s="192" cm="1">
        <f t="array" ref="DZ27">IFERROR(INDEX('[1]Sales per type juli'!$D$10:$BA$51,MATCH($C27,'[1]Sales per type juli'!$B$10:$B$51,0),MATCH("X Fold5 DEMO",'[1]Sales per type juli'!$D$8:$BA$8,0)+1),0)</f>
        <v>0</v>
      </c>
      <c r="EA27" s="192">
        <f>DY27-DZ27</f>
        <v>0</v>
      </c>
      <c r="EB27" s="192">
        <v>0</v>
      </c>
      <c r="EC27" s="192">
        <f>IFERROR(INDEX('[1]Sales per type juli'!$D$10:$BA$51,MATCH($C27,'[1]Sales per type juli'!$B$10:$B$51,0),MATCH("X Fold5",'[1]Sales per type juli'!$D$8:$BA$8,0)),0)</f>
        <v>0</v>
      </c>
      <c r="ED27" s="192">
        <f>EB27-EC27</f>
        <v>0</v>
      </c>
      <c r="EE27" s="192">
        <v>0</v>
      </c>
      <c r="EF27" s="192" cm="1">
        <f t="array" ref="EF27">IFERROR(INDEX('[1]Sales per type juli'!$D$10:$BA$51,MATCH($C27,'[1]Sales per type juli'!$B$10:$B$51,0),MATCH("X Fold5",'[1]Sales per type juli'!$D$8:$BA$8,0)+1),0)</f>
        <v>0</v>
      </c>
      <c r="EG27" s="192">
        <f>EE27-EF27</f>
        <v>0</v>
      </c>
      <c r="EH27" s="192">
        <v>0</v>
      </c>
      <c r="EI27" s="192">
        <f>IFERROR(INDEX('[1]Sales per type juli'!$D$10:$BA$51,MATCH($C27,'[1]Sales per type juli'!$B$10:$B$51,0),MATCH("IQOO 15 Demo",'[1]Sales per type juli'!$D$8:$BA$8,0)),0)</f>
        <v>0</v>
      </c>
      <c r="EJ27" s="192">
        <f>EH27-EI27</f>
        <v>0</v>
      </c>
      <c r="EK27" s="192">
        <v>0</v>
      </c>
      <c r="EL27" s="192" cm="1">
        <f t="array" ref="EL27">IFERROR(INDEX('[1]Sales per type juli'!$D$10:$BA$51,MATCH($C27,'[1]Sales per type juli'!$B$10:$B$51,0),MATCH("IQOO 15 Demo",'[1]Sales per type juli'!$D$8:$BA$8,0)+1),0)</f>
        <v>0</v>
      </c>
      <c r="EM27" s="192">
        <f>EK27-EL27</f>
        <v>0</v>
      </c>
      <c r="EN27" s="192">
        <v>0</v>
      </c>
      <c r="EO27" s="192">
        <f>IFERROR(INDEX('[1]Sales per type juli'!$D$10:$BA$51,MATCH($C27,'[1]Sales per type juli'!$B$10:$B$51,0),MATCH("X300 PRO",'[1]Sales per type juli'!$D$8:$BA$8,0)),0)</f>
        <v>0</v>
      </c>
      <c r="EP27" s="192">
        <f>EN27-EO27</f>
        <v>0</v>
      </c>
      <c r="EQ27" s="192">
        <v>0</v>
      </c>
      <c r="ER27" s="192" cm="1">
        <f t="array" ref="ER27">IFERROR(INDEX('[1]Sales per type juli'!$D$10:$BA$51,MATCH($C27,'[1]Sales per type juli'!$B$10:$B$51,0),MATCH("X300 PRO",'[1]Sales per type juli'!$D$8:$BA$8,0)+1),0)</f>
        <v>0</v>
      </c>
      <c r="ES27" s="192">
        <f>EQ27-ER27</f>
        <v>0</v>
      </c>
      <c r="ET27" s="192">
        <v>0</v>
      </c>
      <c r="EU27" s="192">
        <f>IFERROR(INDEX('[1]Sales per type juli'!$D$10:$BA$51,MATCH($C27,'[1]Sales per type juli'!$B$10:$B$51,0),MATCH("X300 ",'[1]Sales per type juli'!$D$8:$BA$8,0)),0)</f>
        <v>0</v>
      </c>
      <c r="EV27" s="192">
        <f>ET27-EU27</f>
        <v>0</v>
      </c>
      <c r="EW27" s="192">
        <v>0</v>
      </c>
      <c r="EX27" s="192" cm="1">
        <f t="array" ref="EX27">IFERROR(INDEX('[1]Sales per type juli'!$D$10:$BA$51,MATCH($C27,'[1]Sales per type juli'!$B$10:$B$51,0),MATCH("X300 ",'[1]Sales per type juli'!$D$8:$BA$8,0)+1),0)</f>
        <v>0</v>
      </c>
      <c r="EY27" s="192">
        <f>EW27-EX27</f>
        <v>0</v>
      </c>
      <c r="EZ27" s="192">
        <f>F27+L27+R27+X27+AD27+AJ27+AP27+AV27+BB27+BH27+BN27+BT27+BZ27+CF27+CL27+CR27+CX27+DD27+DJ27+DP27+DV27+EB27+EH27+EN27+ET27</f>
        <v>6</v>
      </c>
      <c r="FA27" s="192">
        <f>G27+M27+S27+Y27+AE27+AK27+AQ27+AW27+BC27+BI27+BO27+BU27+CA27+CG27+CM27+CS27+CY27+DE27+DK27+DQ27+DW27+EC27+EI27+EO27+EU27</f>
        <v>12</v>
      </c>
      <c r="FB27" s="192">
        <f>EZ27-FA27</f>
        <v>-6</v>
      </c>
      <c r="FC27" s="192">
        <f>I27+O27+U27+AA27+AG27+AM27+AS27+AY27+BE27+BK27+BQ27+BW27+CC27+CI27+CO27+CU27+DA27+DG27+DM27+DS27+DY27+EE27+EK27+EQ27+EW27</f>
        <v>16694000</v>
      </c>
      <c r="FD27" s="192">
        <f>J27+P27+V27+AB27+AH27+AN27+AT27+AZ27+BF27+BL27+BR27+BX27+CD27+CJ27+CP27+CV27+DB27+DH27+DN27+DT27+DZ27+EF27+EL27+ER27+EX27</f>
        <v>42388000</v>
      </c>
      <c r="FE27" s="192">
        <f>FC27-FD27</f>
        <v>-25694000</v>
      </c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</row>
    <row r="28" spans="1:208" ht="16" x14ac:dyDescent="0.2">
      <c r="A28" s="139">
        <f>'[1]ACHIEVEMENT STORE'!A28</f>
        <v>24</v>
      </c>
      <c r="B28" s="140" t="str">
        <f>'[1]ACHIEVEMENT STORE'!B28</f>
        <v>624-万丹BANTEN</v>
      </c>
      <c r="C28" s="139">
        <f>'[1]ACHIEVEMENT STORE'!C28</f>
        <v>6240701</v>
      </c>
      <c r="D28" s="140" t="str">
        <f>'[1]ACHIEVEMENT STORE'!D28</f>
        <v>A200803-LG BLOK A-B NO. 12 SKY 5</v>
      </c>
      <c r="E28" s="140" t="str">
        <f>'[1]ACHIEVEMENT STORE'!E28</f>
        <v>DHANI EKO NUGROHO</v>
      </c>
      <c r="F28" s="192">
        <f>IFERROR(INDEX('[1]SALES PERTYPE'!$D$10:$D$52,MATCH($C28,'[1]SALES PERTYPE'!$B$10:$B$52,0)),0)</f>
        <v>6</v>
      </c>
      <c r="G28" s="192">
        <f>IFERROR(INDEX('[1]Sales per type juli'!$D$10:$BA$51,MATCH($C28,'[1]Sales per type juli'!$B$10:$B$51,0),MATCH("Y05",'[1]Sales per type juli'!$D$8:$BA$8,0)),0)</f>
        <v>21</v>
      </c>
      <c r="H28" s="192">
        <f>F28-G28</f>
        <v>-15</v>
      </c>
      <c r="I28" s="192">
        <f>IFERROR(INDEX('[1]SALES PERTYPE'!$E$10:$E$52,MATCH($C28,'[1]SALES PERTYPE'!$B$10:$B$52,0)),0)</f>
        <v>15294000</v>
      </c>
      <c r="J28" s="192" cm="1">
        <f t="array" ref="J28">IFERROR(INDEX('[1]Sales per type juli'!$D$10:$BA$51,MATCH($C28,'[1]Sales per type juli'!$B$10:$B$51,0),MATCH("Y05",'[1]Sales per type juli'!$D$8:$BA$8,0)+1),0)</f>
        <v>47679000</v>
      </c>
      <c r="K28" s="192">
        <f>I28-J28</f>
        <v>-32385000</v>
      </c>
      <c r="L28" s="192">
        <f>IFERROR(INDEX('[1]SALES PERTYPE'!$F$10:$F$52,MATCH($C28,'[1]SALES PERTYPE'!$B$10:$B$52,0)),0)</f>
        <v>15</v>
      </c>
      <c r="M28" s="192">
        <f>IFERROR(INDEX('[1]Sales per type juli'!$D$10:$BA$51,MATCH($C28,'[1]Sales per type juli'!$B$10:$B$51,0),MATCH("Y11d",'[1]Sales per type juli'!$D$8:$BA$8,0)),0)</f>
        <v>3</v>
      </c>
      <c r="N28" s="192">
        <f>L28-M28</f>
        <v>12</v>
      </c>
      <c r="O28" s="192">
        <f>IFERROR(INDEX('[1]SALES PERTYPE'!$G$10:$G$52,MATCH($C28,'[1]SALES PERTYPE'!$B$10:$B$52,0)),0)</f>
        <v>39585000</v>
      </c>
      <c r="P28" s="192" cm="1">
        <f t="array" ref="P28">IFERROR(INDEX('[1]Sales per type juli'!$D$10:$BA$51,MATCH($C28,'[1]Sales per type juli'!$B$10:$B$51,0),MATCH("Y11d",'[1]Sales per type juli'!$D$8:$BA$8,0)+1),0)</f>
        <v>7597000</v>
      </c>
      <c r="Q28" s="192">
        <f>O28-P28</f>
        <v>31988000</v>
      </c>
      <c r="R28" s="192">
        <f>IFERROR(INDEX('[1]SALES PERTYPE'!$H$10:$H$52,MATCH($C28,'[1]SALES PERTYPE'!$B$10:$B$52,0)),0)</f>
        <v>0</v>
      </c>
      <c r="S28" s="192">
        <f>IFERROR(INDEX('[1]Sales per type juli'!$D$10:$BA$51,MATCH($C28,'[1]Sales per type juli'!$B$10:$B$51,0),MATCH("Watch GT 2",'[1]Sales per type juli'!$D$8:$BA$8,0)),0)</f>
        <v>0</v>
      </c>
      <c r="T28" s="192">
        <f>R28-S28</f>
        <v>0</v>
      </c>
      <c r="U28" s="192">
        <f>IFERROR(INDEX('[1]SALES PERTYPE'!$I$10:$I$52,MATCH($C28,'[1]SALES PERTYPE'!$B$10:$B$52,0)),0)</f>
        <v>0</v>
      </c>
      <c r="V28" s="192" cm="1">
        <f t="array" ref="V28">IFERROR(INDEX('[1]Sales per type juli'!$D$10:$BA$51,MATCH($C28,'[1]Sales per type juli'!$B$10:$B$51,0),MATCH("Watch GT 2",'[1]Sales per type juli'!$D$8:$BA$8,0)+1),0)</f>
        <v>0</v>
      </c>
      <c r="W28" s="192">
        <f>U28-V28</f>
        <v>0</v>
      </c>
      <c r="X28" s="192">
        <f>IFERROR(INDEX('[1]SALES PERTYPE'!$J$10:$J$52,MATCH($C28,'[1]SALES PERTYPE'!$B$10:$B$52,0)),0)</f>
        <v>6</v>
      </c>
      <c r="Y28" s="192">
        <f>IFERROR(INDEX('[1]Sales per type juli'!$D$10:$BA$51,MATCH($C28,'[1]Sales per type juli'!$B$10:$B$51,0),MATCH("Y05e",'[1]Sales per type juli'!$D$8:$BA$8,0)),0)</f>
        <v>0</v>
      </c>
      <c r="Z28" s="192">
        <f>X28-Y28</f>
        <v>6</v>
      </c>
      <c r="AA28" s="192">
        <f>IFERROR(INDEX('[1]SALES PERTYPE'!$K$10:$K$52,MATCH($C28,'[1]SALES PERTYPE'!$B$10:$B$52,0)),0)</f>
        <v>12594000</v>
      </c>
      <c r="AB28" s="192" cm="1">
        <f t="array" ref="AB28">IFERROR(INDEX('[1]Sales per type juli'!$D$10:$BA$51,MATCH($C28,'[1]Sales per type juli'!$B$10:$B$51,0),MATCH("Y05e",'[1]Sales per type juli'!$D$8:$BA$8,0)+1),0)</f>
        <v>0</v>
      </c>
      <c r="AC28" s="192">
        <f>AA28-AB28</f>
        <v>12594000</v>
      </c>
      <c r="AD28" s="192">
        <f>IFERROR(INDEX('[1]SALES PERTYPE'!$L$10:$L$52,MATCH($C28,'[1]SALES PERTYPE'!$B$10:$B$52,0)),0)</f>
        <v>1</v>
      </c>
      <c r="AE28" s="192">
        <f>IFERROR(INDEX('[1]Sales per type juli'!$D$10:$BA$51,MATCH($C28,'[1]Sales per type juli'!$B$10:$B$51,0),MATCH("V70",'[1]Sales per type juli'!$D$8:$BA$8,0)),0)</f>
        <v>1</v>
      </c>
      <c r="AF28" s="192">
        <f>AD28-AE28</f>
        <v>0</v>
      </c>
      <c r="AG28" s="192">
        <f>IFERROR(INDEX('[1]SALES PERTYPE'!$M$10:$M$52,MATCH($C28,'[1]SALES PERTYPE'!$B$10:$B$52,0)),0)</f>
        <v>9999000</v>
      </c>
      <c r="AH28" s="192" cm="1">
        <f t="array" ref="AH28">IFERROR(INDEX('[1]Sales per type juli'!$D$10:$BA$51,MATCH($C28,'[1]Sales per type juli'!$B$10:$B$51,0),MATCH("V70",'[1]Sales per type juli'!$D$8:$BA$8,0)+1),0)</f>
        <v>8999000</v>
      </c>
      <c r="AI28" s="192">
        <f>AG28-AH28</f>
        <v>1000000</v>
      </c>
      <c r="AJ28" s="192">
        <f>IFERROR(INDEX('[1]SALES PERTYPE'!$N$10:$N$52,MATCH($C28,'[1]SALES PERTYPE'!$B$10:$B$52,0)),0)</f>
        <v>9</v>
      </c>
      <c r="AK28" s="192">
        <f>IFERROR(INDEX('[1]Sales per type juli'!$D$10:$BA$51,MATCH($C28,'[1]Sales per type juli'!$B$10:$B$51,0),MATCH("Y31d Pro",'[1]Sales per type juli'!$D$8:$BA$8,0)),0)</f>
        <v>4</v>
      </c>
      <c r="AL28" s="192">
        <f>AJ28-AK28</f>
        <v>5</v>
      </c>
      <c r="AM28" s="192">
        <f>IFERROR(INDEX('[1]SALES PERTYPE'!$O$10:$O$52,MATCH($C28,'[1]SALES PERTYPE'!$B$10:$B$52,0)),0)</f>
        <v>40491000</v>
      </c>
      <c r="AN28" s="192" cm="1">
        <f t="array" ref="AN28">IFERROR(INDEX('[1]Sales per type juli'!$D$10:$BA$51,MATCH($C28,'[1]Sales per type juli'!$B$10:$B$51,0),MATCH("Y31d Pro",'[1]Sales per type juli'!$D$8:$BA$8,0)+1),0)</f>
        <v>16996000</v>
      </c>
      <c r="AO28" s="192">
        <f>AM28-AN28</f>
        <v>23495000</v>
      </c>
      <c r="AP28" s="192">
        <f>IFERROR(INDEX('[1]SALES PERTYPE'!$P$10:$P$52,MATCH($C28,'[1]SALES PERTYPE'!$B$10:$B$52,0)),0)</f>
        <v>0</v>
      </c>
      <c r="AQ28" s="192" cm="1">
        <f t="array" ref="AQ28">IFERROR(INDEX('[1]Sales per type juli'!$D$10:$BA$51,MATCH($C28,'[1]Sales per type juli'!$B$10:$B$51,0),$FG$2),0)</f>
        <v>0</v>
      </c>
      <c r="AR28" s="192">
        <f>AP28-AQ28</f>
        <v>0</v>
      </c>
      <c r="AS28" s="192">
        <f>IFERROR(INDEX('[1]SALES PERTYPE'!$Q$10:$Q$52,MATCH($C28,'[1]SALES PERTYPE'!$B$10:$B$52,0)),0)</f>
        <v>0</v>
      </c>
      <c r="AT28" s="192" cm="1">
        <f t="array" ref="AT28">IFERROR(INDEX('[1]Sales per type juli'!$D$10:$BA$51,MATCH($C28,'[1]Sales per type juli'!$B$10:$B$51,0),$FG$2+1),0)</f>
        <v>0</v>
      </c>
      <c r="AU28" s="192">
        <f>AS28-AT28</f>
        <v>0</v>
      </c>
      <c r="AV28" s="192">
        <f>IFERROR(INDEX('[1]SALES PERTYPE'!$R$10:$R$52,MATCH($C28,'[1]SALES PERTYPE'!$B$10:$B$52,0)),0)</f>
        <v>1</v>
      </c>
      <c r="AW28" s="192">
        <f>IFERROR(INDEX('[1]Sales per type juli'!$D$10:$BA$51,MATCH($C28,'[1]Sales per type juli'!$B$10:$B$51,0),MATCH("Y31d ",'[1]Sales per type juli'!$D$8:$BA$8,0)),0)</f>
        <v>2</v>
      </c>
      <c r="AX28" s="192">
        <f>AV28-AW28</f>
        <v>-1</v>
      </c>
      <c r="AY28" s="192">
        <f>IFERROR(INDEX('[1]SALES PERTYPE'!$S$10:$S$52,MATCH($C28,'[1]SALES PERTYPE'!$B$10:$B$52,0)),0)</f>
        <v>3599000</v>
      </c>
      <c r="AZ28" s="192" cm="1">
        <f t="array" ref="AZ28">IFERROR(INDEX('[1]Sales per type juli'!$D$10:$BA$51,MATCH($C28,'[1]Sales per type juli'!$B$10:$B$51,0),MATCH("Y31d ",'[1]Sales per type juli'!$D$8:$BA$8,0)+1),0)</f>
        <v>7198000</v>
      </c>
      <c r="BA28" s="192">
        <f>AY28-AZ28</f>
        <v>-3599000</v>
      </c>
      <c r="BB28" s="192">
        <f>IFERROR(INDEX('[1]SALES PERTYPE'!$T$10:$T$52,MATCH($C28,'[1]SALES PERTYPE'!$B$10:$B$52,0)),0)</f>
        <v>1</v>
      </c>
      <c r="BC28" s="192">
        <f>IFERROR(INDEX('[1]Sales per type juli'!$D$10:$BA$51,MATCH($C28,'[1]Sales per type juli'!$B$10:$B$51,0),MATCH("V70 FE",'[1]Sales per type juli'!$D$8:$BA$8,0)),0)</f>
        <v>4</v>
      </c>
      <c r="BD28" s="192">
        <f>BB28-BC28</f>
        <v>-3</v>
      </c>
      <c r="BE28" s="192">
        <f>IFERROR(INDEX('[1]SALES PERTYPE'!$U$10:$U$52,MATCH($C28,'[1]SALES PERTYPE'!$B$10:$B$52,0)),0)</f>
        <v>6499000</v>
      </c>
      <c r="BF28" s="192" cm="1">
        <f t="array" ref="BF28">IFERROR(INDEX('[1]Sales per type juli'!$D$10:$BA$51,MATCH($C28,'[1]Sales per type juli'!$B$10:$B$51,0),MATCH("V70 FE",'[1]Sales per type juli'!$D$8:$BA$8,0)+1),0)</f>
        <v>26696000</v>
      </c>
      <c r="BG28" s="192">
        <f>BE28-BF28</f>
        <v>-20197000</v>
      </c>
      <c r="BH28" s="192">
        <f>IFERROR(INDEX('[1]SALES PERTYPE'!$V$10:$V$52,MATCH($C28,'[1]SALES PERTYPE'!$B$10:$B$52,0)),0)</f>
        <v>0</v>
      </c>
      <c r="BI28" s="192">
        <f>IFERROR(INDEX('[1]Sales per type juli'!$D$10:$BA$51,MATCH($C28,'[1]Sales per type juli'!$B$10:$B$51,0),MATCH("Y31d",'[1]Sales per type juli'!$D$8:$BA$8,0)),0)</f>
        <v>0</v>
      </c>
      <c r="BJ28" s="192">
        <f>BH28-BI28</f>
        <v>0</v>
      </c>
      <c r="BK28" s="192">
        <f>IFERROR(INDEX('[1]SALES PERTYPE'!$W$10:$W$52,MATCH($C28,'[1]SALES PERTYPE'!$B$10:$B$52,0)),0)</f>
        <v>0</v>
      </c>
      <c r="BL28" s="192" cm="1">
        <f t="array" ref="BL28">IFERROR(INDEX('[1]Sales per type juli'!$D$10:$BA$51,MATCH($C28,'[1]Sales per type juli'!$B$10:$B$51,0),MATCH("Y31d",'[1]Sales per type juli'!$D$8:$BA$8,0)+1),0)</f>
        <v>0</v>
      </c>
      <c r="BM28" s="192">
        <f>BK28-BL28</f>
        <v>0</v>
      </c>
      <c r="BN28" s="192">
        <f>IFERROR(INDEX('[1]SALES PERTYPE'!$X$10:$X$52,MATCH($C28,'[1]SALES PERTYPE'!$B$10:$B$52,0)),0)</f>
        <v>2</v>
      </c>
      <c r="BO28" s="192">
        <f>IFERROR(INDEX('[1]Sales per type juli'!$D$10:$BA$51,MATCH($C28,'[1]Sales per type juli'!$B$10:$B$51,0),MATCH("Y500",'[1]Sales per type juli'!$D$8:$BA$8,0)),0)</f>
        <v>0</v>
      </c>
      <c r="BP28" s="192">
        <f>BN28-BO28</f>
        <v>2</v>
      </c>
      <c r="BQ28" s="192">
        <f>IFERROR(INDEX('[1]SALES PERTYPE'!$Y$10:$Y$52,MATCH($C28,'[1]SALES PERTYPE'!$B$10:$B$52,0)),0)</f>
        <v>11798000</v>
      </c>
      <c r="BR28" s="192" cm="1">
        <f t="array" ref="BR28">IFERROR(INDEX('[1]Sales per type juli'!$D$10:$BA$51,MATCH($C28,'[1]Sales per type juli'!$B$10:$B$51,0),MATCH("Y500",'[1]Sales per type juli'!$D$8:$BA$8,0)+1),0)</f>
        <v>0</v>
      </c>
      <c r="BS28" s="192">
        <f>BQ28-BR28</f>
        <v>11798000</v>
      </c>
      <c r="BT28" s="192">
        <f>IFERROR(INDEX('[1]SALES PERTYPE'!$Z$10:$Z$52,MATCH($C28,'[1]SALES PERTYPE'!$B$10:$B$52,0)),0)</f>
        <v>0</v>
      </c>
      <c r="BU28" s="192">
        <f>IFERROR(INDEX('[1]Sales per type juli'!$D$10:$BA$51,MATCH($C28,'[1]Sales per type juli'!$B$10:$B$51,0),MATCH("IQOO 15R",'[1]Sales per type juli'!$D$8:$BA$8,0)),0)</f>
        <v>3</v>
      </c>
      <c r="BV28" s="192">
        <f>BT28-BU28</f>
        <v>-3</v>
      </c>
      <c r="BW28" s="192">
        <f>IFERROR(INDEX('[1]SALES PERTYPE'!$AA$10:$AA$52,MATCH($C28,'[1]SALES PERTYPE'!$B$10:$B$52,0)),0)</f>
        <v>0</v>
      </c>
      <c r="BX28" s="192" cm="1">
        <f t="array" ref="BX28">IFERROR(INDEX('[1]Sales per type juli'!$D$10:$BA$51,MATCH($C28,'[1]Sales per type juli'!$B$10:$B$51,0),MATCH("IQOO 15R",'[1]Sales per type juli'!$D$8:$BA$8,0)+1),0)</f>
        <v>29697000</v>
      </c>
      <c r="BY28" s="192">
        <f>BW28-BX28</f>
        <v>-29697000</v>
      </c>
      <c r="BZ28" s="192">
        <f>IFERROR(INDEX('[1]SALES PERTYPE'!$AB$10:$AB$52,MATCH($C28,'[1]SALES PERTYPE'!$B$10:$B$52,0)),0)</f>
        <v>1</v>
      </c>
      <c r="CA28" s="192">
        <f>IFERROR(INDEX('[1]Sales per type juli'!$D$10:$BA$51,MATCH($C28,'[1]Sales per type juli'!$B$10:$B$51,0),MATCH("V60 Lite",'[1]Sales per type juli'!$D$8:$BA$8,0)),0)</f>
        <v>1</v>
      </c>
      <c r="CB28" s="192">
        <f>BZ28-CA28</f>
        <v>0</v>
      </c>
      <c r="CC28" s="192">
        <f>IFERROR(INDEX('[1]SALES PERTYPE'!$AC$10:$AC$52,MATCH($C28,'[1]SALES PERTYPE'!$B$10:$B$52,0)),0)</f>
        <v>5899000</v>
      </c>
      <c r="CD28" s="192" cm="1">
        <f t="array" ref="CD28">IFERROR(INDEX('[1]Sales per type juli'!$D$10:$BA$51,MATCH($C28,'[1]Sales per type juli'!$B$10:$B$51,0),MATCH("V60 Lite",'[1]Sales per type juli'!$D$8:$BA$8,0)+1),0)</f>
        <v>5299000</v>
      </c>
      <c r="CE28" s="192">
        <f>CC28-CD28</f>
        <v>600000</v>
      </c>
      <c r="CF28" s="192">
        <f>IFERROR(INDEX('[1]SALES PERTYPE'!$AD$10:$AD$52,MATCH($C28,'[1]SALES PERTYPE'!$B$10:$B$52,0)),0)</f>
        <v>0</v>
      </c>
      <c r="CG28" s="192">
        <f>IFERROR(INDEX('[1]Sales per type juli'!$D$10:$BA$51,MATCH($C28,'[1]Sales per type juli'!$B$10:$B$51,0),MATCH("X300 Ultra",'[1]Sales per type juli'!$D$8:$BA$8,0)),0)</f>
        <v>0</v>
      </c>
      <c r="CH28" s="192">
        <f>CF28-CG28</f>
        <v>0</v>
      </c>
      <c r="CI28" s="192">
        <f>IFERROR(INDEX('[1]SALES PERTYPE'!$AE$10:$AE$52,MATCH($C28,'[1]SALES PERTYPE'!$B$10:$B$52,0)),0)</f>
        <v>0</v>
      </c>
      <c r="CJ28" s="192" cm="1">
        <f t="array" ref="CJ28">IFERROR(INDEX('[1]Sales per type juli'!$D$10:$BA$51,MATCH($C28,'[1]Sales per type juli'!$B$10:$B$51,0),MATCH("X300 Ultra",'[1]Sales per type juli'!$D$8:$BA$8,0)+1),0)</f>
        <v>0</v>
      </c>
      <c r="CK28" s="192">
        <f>CI28-CJ28</f>
        <v>0</v>
      </c>
      <c r="CL28" s="192">
        <f>IFERROR(INDEX('[1]SALES PERTYPE'!$AF$10:$AF$52,MATCH($C28,'[1]SALES PERTYPE'!$B$10:$B$52,0)),0)</f>
        <v>0</v>
      </c>
      <c r="CM28" s="192">
        <f>IFERROR(INDEX('[1]Sales per type juli'!$D$10:$BA$51,MATCH($C28,'[1]Sales per type juli'!$B$10:$B$51,0),MATCH("IQOO 15",'[1]Sales per type juli'!$D$8:$BA$8,0)),0)</f>
        <v>0</v>
      </c>
      <c r="CN28" s="192">
        <f>CL28-CM28</f>
        <v>0</v>
      </c>
      <c r="CO28" s="192">
        <f>IFERROR(INDEX('[1]SALES PERTYPE'!$AG$10:$AG$52,MATCH($C28,'[1]SALES PERTYPE'!$B$10:$B$52,0)),0)</f>
        <v>0</v>
      </c>
      <c r="CP28" s="192" cm="1">
        <f t="array" ref="CP28">IFERROR(INDEX('[1]Sales per type juli'!$D$10:$BA$51,MATCH($C28,'[1]Sales per type juli'!$B$10:$B$51,0),MATCH("IQOO 15",'[1]Sales per type juli'!$D$8:$BA$8,0)+1),0)</f>
        <v>0</v>
      </c>
      <c r="CQ28" s="192">
        <f>CO28-CP28</f>
        <v>0</v>
      </c>
      <c r="CR28" s="192">
        <f>IFERROR(INDEX('[1]SALES PERTYPE'!$AH$10:$AH$52,MATCH($C28,'[1]SALES PERTYPE'!$B$10:$B$52,0)),0)</f>
        <v>1</v>
      </c>
      <c r="CS28" s="192">
        <f>IFERROR(INDEX('[1]Sales per type juli'!$D$10:$BA$51,MATCH($C28,'[1]Sales per type juli'!$B$10:$B$51,0),MATCH("IQOO Z11x",'[1]Sales per type juli'!$D$8:$BA$8,0)),0)</f>
        <v>1</v>
      </c>
      <c r="CT28" s="192">
        <f>CR28-CS28</f>
        <v>0</v>
      </c>
      <c r="CU28" s="192">
        <f>IFERROR(INDEX('[1]SALES PERTYPE'!$AI$10:$AI$52,MATCH($C28,'[1]SALES PERTYPE'!$B$10:$B$52,0)),0)</f>
        <v>5699000</v>
      </c>
      <c r="CV28" s="192" cm="1">
        <f t="array" ref="CV28">IFERROR(INDEX('[1]Sales per type juli'!$D$10:$BA$51,MATCH($C28,'[1]Sales per type juli'!$B$10:$B$51,0),MATCH("IQOO Z11x",'[1]Sales per type juli'!$D$8:$BA$8,0)+1),0)</f>
        <v>4799000</v>
      </c>
      <c r="CW28" s="192">
        <f>CU28-CV28</f>
        <v>900000</v>
      </c>
      <c r="CX28" s="192">
        <f>IFERROR(INDEX('[1]SALES PERTYPE'!$AJ$10:$AJ$52,MATCH($C28,'[1]SALES PERTYPE'!$B$10:$B$52,0)),0)</f>
        <v>0</v>
      </c>
      <c r="CY28" s="192">
        <f>IFERROR(INDEX('[1]Sales per type juli'!$D$10:$BA$51,MATCH($C28,'[1]Sales per type juli'!$B$10:$B$51,0),MATCH("IQOO Z11",'[1]Sales per type juli'!$D$8:$BA$8,0)),0)</f>
        <v>2</v>
      </c>
      <c r="CZ28" s="192">
        <f>CX28-CY28</f>
        <v>-2</v>
      </c>
      <c r="DA28" s="192">
        <f>IFERROR(INDEX('[1]SALES PERTYPE'!$AK$10:$AK$52,MATCH($C28,'[1]SALES PERTYPE'!$B$10:$B$52,0)),0)</f>
        <v>0</v>
      </c>
      <c r="DB28" s="192" cm="1">
        <f t="array" ref="DB28">IFERROR(INDEX('[1]Sales per type juli'!$D$10:$BA$51,MATCH($C28,'[1]Sales per type juli'!$B$10:$B$51,0),MATCH("IQOO Z11",'[1]Sales per type juli'!$D$8:$BA$8,0)+1),0)</f>
        <v>11398000</v>
      </c>
      <c r="DC28" s="192">
        <f>DA28-DB28</f>
        <v>-11398000</v>
      </c>
      <c r="DD28" s="192">
        <v>0</v>
      </c>
      <c r="DE28" s="192">
        <f>IFERROR(INDEX('[1]Sales per type juli'!$D$10:$BA$51,MATCH($C28,'[1]Sales per type juli'!$B$10:$B$51,0),MATCH("WATCH 3",'[1]Sales per type juli'!$D$8:$BA$8,0)),0)</f>
        <v>0</v>
      </c>
      <c r="DF28" s="192">
        <f>DD28-DE28</f>
        <v>0</v>
      </c>
      <c r="DG28" s="192">
        <v>0</v>
      </c>
      <c r="DH28" s="192" cm="1">
        <f t="array" ref="DH28">IFERROR(INDEX('[1]Sales per type juli'!$D$10:$BA$51,MATCH($C28,'[1]Sales per type juli'!$B$10:$B$51,0),MATCH("WATCH 3",'[1]Sales per type juli'!$D$8:$BA$8,0)+1),0)</f>
        <v>0</v>
      </c>
      <c r="DI28" s="192">
        <f>DG28-DH28</f>
        <v>0</v>
      </c>
      <c r="DJ28" s="192">
        <v>0</v>
      </c>
      <c r="DK28" s="192">
        <f>IFERROR(INDEX('[1]Sales per type juli'!$D$10:$BA$51,MATCH($C28,'[1]Sales per type juli'!$B$10:$B$51,0),MATCH("X300 Demo",'[1]Sales per type juli'!$D$8:$BA$8,0)),0)</f>
        <v>0</v>
      </c>
      <c r="DL28" s="192">
        <f>DJ28-DK28</f>
        <v>0</v>
      </c>
      <c r="DM28" s="192">
        <v>0</v>
      </c>
      <c r="DN28" s="192" cm="1">
        <f t="array" ref="DN28">IFERROR(INDEX('[1]Sales per type juli'!$D$10:$BA$51,MATCH($C28,'[1]Sales per type juli'!$B$10:$B$51,0),MATCH("X300 Demo",'[1]Sales per type juli'!$D$8:$BA$8,0)+1),0)</f>
        <v>0</v>
      </c>
      <c r="DO28" s="192">
        <f>DM28-DN28</f>
        <v>0</v>
      </c>
      <c r="DP28" s="192">
        <v>0</v>
      </c>
      <c r="DQ28" s="192">
        <f>IFERROR(INDEX('[1]Sales per type juli'!$D$10:$BA$51,MATCH($C28,'[1]Sales per type juli'!$B$10:$B$51,0),MATCH("X300 Pro Demo",'[1]Sales per type juli'!$D$8:$BA$8,0)),0)</f>
        <v>0</v>
      </c>
      <c r="DR28" s="192">
        <f>DP28-DQ28</f>
        <v>0</v>
      </c>
      <c r="DS28" s="192">
        <v>0</v>
      </c>
      <c r="DT28" s="192" cm="1">
        <f t="array" ref="DT28">IFERROR(INDEX('[1]Sales per type juli'!$D$10:$BA$51,MATCH($C28,'[1]Sales per type juli'!$B$10:$B$51,0),MATCH("X300 Pro Demo",'[1]Sales per type juli'!$D$8:$BA$8,0)+1),0)</f>
        <v>0</v>
      </c>
      <c r="DU28" s="192">
        <f>DS28-DT28</f>
        <v>0</v>
      </c>
      <c r="DV28" s="192">
        <v>0</v>
      </c>
      <c r="DW28" s="192">
        <f>IFERROR(INDEX('[1]Sales per type juli'!$D$10:$BA$51,MATCH($C28,'[1]Sales per type juli'!$B$10:$B$51,0),MATCH("X Fold5 DEMO",'[1]Sales per type juli'!$D$8:$BA$8,0)),0)</f>
        <v>0</v>
      </c>
      <c r="DX28" s="192">
        <f>DV28-DW28</f>
        <v>0</v>
      </c>
      <c r="DY28" s="192">
        <v>0</v>
      </c>
      <c r="DZ28" s="192" cm="1">
        <f t="array" ref="DZ28">IFERROR(INDEX('[1]Sales per type juli'!$D$10:$BA$51,MATCH($C28,'[1]Sales per type juli'!$B$10:$B$51,0),MATCH("X Fold5 DEMO",'[1]Sales per type juli'!$D$8:$BA$8,0)+1),0)</f>
        <v>0</v>
      </c>
      <c r="EA28" s="192">
        <f>DY28-DZ28</f>
        <v>0</v>
      </c>
      <c r="EB28" s="192">
        <v>0</v>
      </c>
      <c r="EC28" s="192">
        <f>IFERROR(INDEX('[1]Sales per type juli'!$D$10:$BA$51,MATCH($C28,'[1]Sales per type juli'!$B$10:$B$51,0),MATCH("X Fold5",'[1]Sales per type juli'!$D$8:$BA$8,0)),0)</f>
        <v>0</v>
      </c>
      <c r="ED28" s="192">
        <f>EB28-EC28</f>
        <v>0</v>
      </c>
      <c r="EE28" s="192">
        <v>0</v>
      </c>
      <c r="EF28" s="192" cm="1">
        <f t="array" ref="EF28">IFERROR(INDEX('[1]Sales per type juli'!$D$10:$BA$51,MATCH($C28,'[1]Sales per type juli'!$B$10:$B$51,0),MATCH("X Fold5",'[1]Sales per type juli'!$D$8:$BA$8,0)+1),0)</f>
        <v>0</v>
      </c>
      <c r="EG28" s="192">
        <f>EE28-EF28</f>
        <v>0</v>
      </c>
      <c r="EH28" s="192">
        <v>0</v>
      </c>
      <c r="EI28" s="192">
        <f>IFERROR(INDEX('[1]Sales per type juli'!$D$10:$BA$51,MATCH($C28,'[1]Sales per type juli'!$B$10:$B$51,0),MATCH("IQOO 15 Demo",'[1]Sales per type juli'!$D$8:$BA$8,0)),0)</f>
        <v>0</v>
      </c>
      <c r="EJ28" s="192">
        <f>EH28-EI28</f>
        <v>0</v>
      </c>
      <c r="EK28" s="192">
        <v>0</v>
      </c>
      <c r="EL28" s="192" cm="1">
        <f t="array" ref="EL28">IFERROR(INDEX('[1]Sales per type juli'!$D$10:$BA$51,MATCH($C28,'[1]Sales per type juli'!$B$10:$B$51,0),MATCH("IQOO 15 Demo",'[1]Sales per type juli'!$D$8:$BA$8,0)+1),0)</f>
        <v>0</v>
      </c>
      <c r="EM28" s="192">
        <f>EK28-EL28</f>
        <v>0</v>
      </c>
      <c r="EN28" s="192">
        <v>0</v>
      </c>
      <c r="EO28" s="192">
        <f>IFERROR(INDEX('[1]Sales per type juli'!$D$10:$BA$51,MATCH($C28,'[1]Sales per type juli'!$B$10:$B$51,0),MATCH("X300 PRO",'[1]Sales per type juli'!$D$8:$BA$8,0)),0)</f>
        <v>1</v>
      </c>
      <c r="EP28" s="192">
        <f>EN28-EO28</f>
        <v>-1</v>
      </c>
      <c r="EQ28" s="192">
        <v>0</v>
      </c>
      <c r="ER28" s="192" cm="1">
        <f t="array" ref="ER28">IFERROR(INDEX('[1]Sales per type juli'!$D$10:$BA$51,MATCH($C28,'[1]Sales per type juli'!$B$10:$B$51,0),MATCH("X300 PRO",'[1]Sales per type juli'!$D$8:$BA$8,0)+1),0)</f>
        <v>18999000</v>
      </c>
      <c r="ES28" s="192">
        <f>EQ28-ER28</f>
        <v>-18999000</v>
      </c>
      <c r="ET28" s="192">
        <v>0</v>
      </c>
      <c r="EU28" s="192">
        <f>IFERROR(INDEX('[1]Sales per type juli'!$D$10:$BA$51,MATCH($C28,'[1]Sales per type juli'!$B$10:$B$51,0),MATCH("X300 ",'[1]Sales per type juli'!$D$8:$BA$8,0)),0)</f>
        <v>0</v>
      </c>
      <c r="EV28" s="192">
        <f>ET28-EU28</f>
        <v>0</v>
      </c>
      <c r="EW28" s="192">
        <v>0</v>
      </c>
      <c r="EX28" s="192" cm="1">
        <f t="array" ref="EX28">IFERROR(INDEX('[1]Sales per type juli'!$D$10:$BA$51,MATCH($C28,'[1]Sales per type juli'!$B$10:$B$51,0),MATCH("X300 ",'[1]Sales per type juli'!$D$8:$BA$8,0)+1),0)</f>
        <v>0</v>
      </c>
      <c r="EY28" s="192">
        <f>EW28-EX28</f>
        <v>0</v>
      </c>
      <c r="EZ28" s="192">
        <f>F28+L28+R28+X28+AD28+AJ28+AP28+AV28+BB28+BH28+BN28+BT28+BZ28+CF28+CL28+CR28+CX28+DD28+DJ28+DP28+DV28+EB28+EH28+EN28+ET28</f>
        <v>43</v>
      </c>
      <c r="FA28" s="192">
        <f>G28+M28+S28+Y28+AE28+AK28+AQ28+AW28+BC28+BI28+BO28+BU28+CA28+CG28+CM28+CS28+CY28+DE28+DK28+DQ28+DW28+EC28+EI28+EO28+EU28</f>
        <v>43</v>
      </c>
      <c r="FB28" s="192">
        <f>EZ28-FA28</f>
        <v>0</v>
      </c>
      <c r="FC28" s="192">
        <f>I28+O28+U28+AA28+AG28+AM28+AS28+AY28+BE28+BK28+BQ28+BW28+CC28+CI28+CO28+CU28+DA28+DG28+DM28+DS28+DY28+EE28+EK28+EQ28+EW28</f>
        <v>151457000</v>
      </c>
      <c r="FD28" s="192">
        <f>J28+P28+V28+AB28+AH28+AN28+AT28+AZ28+BF28+BL28+BR28+BX28+CD28+CJ28+CP28+CV28+DB28+DH28+DN28+DT28+DZ28+EF28+EL28+ER28+EX28</f>
        <v>185357000</v>
      </c>
      <c r="FE28" s="192">
        <f>FC28-FD28</f>
        <v>-33900000</v>
      </c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</row>
    <row r="29" spans="1:208" ht="16" x14ac:dyDescent="0.2">
      <c r="A29" s="137">
        <f>'[1]ACHIEVEMENT STORE'!A29</f>
        <v>25</v>
      </c>
      <c r="B29" s="138" t="str">
        <f>'[1]ACHIEVEMENT STORE'!B29</f>
        <v>624-万丹BANTEN</v>
      </c>
      <c r="C29" s="137">
        <f>'[1]ACHIEVEMENT STORE'!C29</f>
        <v>6170706</v>
      </c>
      <c r="D29" s="138" t="str">
        <f>'[1]ACHIEVEMENT STORE'!D29</f>
        <v>A200802-CHARLES</v>
      </c>
      <c r="E29" s="138" t="str">
        <f>'[1]ACHIEVEMENT STORE'!E29</f>
        <v>DHANI EKO NUGROHO</v>
      </c>
      <c r="F29" s="192">
        <f>IFERROR(INDEX('[1]SALES PERTYPE'!$D$10:$D$52,MATCH($C29,'[1]SALES PERTYPE'!$B$10:$B$52,0)),0)</f>
        <v>7</v>
      </c>
      <c r="G29" s="192">
        <f>IFERROR(INDEX('[1]Sales per type juli'!$D$10:$BA$51,MATCH($C29,'[1]Sales per type juli'!$B$10:$B$51,0),MATCH("Y05",'[1]Sales per type juli'!$D$8:$BA$8,0)),0)</f>
        <v>13</v>
      </c>
      <c r="H29" s="192">
        <f>F29-G29</f>
        <v>-6</v>
      </c>
      <c r="I29" s="192">
        <f>IFERROR(INDEX('[1]SALES PERTYPE'!$E$10:$E$52,MATCH($C29,'[1]SALES PERTYPE'!$B$10:$B$52,0)),0)</f>
        <v>17293000</v>
      </c>
      <c r="J29" s="192" cm="1">
        <f t="array" ref="J29">IFERROR(INDEX('[1]Sales per type juli'!$D$10:$BA$51,MATCH($C29,'[1]Sales per type juli'!$B$10:$B$51,0),MATCH("Y05",'[1]Sales per type juli'!$D$8:$BA$8,0)+1),0)</f>
        <v>29387000</v>
      </c>
      <c r="K29" s="192">
        <f>I29-J29</f>
        <v>-12094000</v>
      </c>
      <c r="L29" s="192">
        <f>IFERROR(INDEX('[1]SALES PERTYPE'!$F$10:$F$52,MATCH($C29,'[1]SALES PERTYPE'!$B$10:$B$52,0)),0)</f>
        <v>20</v>
      </c>
      <c r="M29" s="192">
        <f>IFERROR(INDEX('[1]Sales per type juli'!$D$10:$BA$51,MATCH($C29,'[1]Sales per type juli'!$B$10:$B$51,0),MATCH("Y11d",'[1]Sales per type juli'!$D$8:$BA$8,0)),0)</f>
        <v>6</v>
      </c>
      <c r="N29" s="192">
        <f>L29-M29</f>
        <v>14</v>
      </c>
      <c r="O29" s="192">
        <f>IFERROR(INDEX('[1]SALES PERTYPE'!$G$10:$G$52,MATCH($C29,'[1]SALES PERTYPE'!$B$10:$B$52,0)),0)</f>
        <v>53980000</v>
      </c>
      <c r="P29" s="192" cm="1">
        <f t="array" ref="P29">IFERROR(INDEX('[1]Sales per type juli'!$D$10:$BA$51,MATCH($C29,'[1]Sales per type juli'!$B$10:$B$51,0),MATCH("Y11d",'[1]Sales per type juli'!$D$8:$BA$8,0)+1),0)</f>
        <v>16394000</v>
      </c>
      <c r="Q29" s="192">
        <f>O29-P29</f>
        <v>37586000</v>
      </c>
      <c r="R29" s="192">
        <f>IFERROR(INDEX('[1]SALES PERTYPE'!$H$10:$H$52,MATCH($C29,'[1]SALES PERTYPE'!$B$10:$B$52,0)),0)</f>
        <v>0</v>
      </c>
      <c r="S29" s="192">
        <f>IFERROR(INDEX('[1]Sales per type juli'!$D$10:$BA$51,MATCH($C29,'[1]Sales per type juli'!$B$10:$B$51,0),MATCH("Watch GT 2",'[1]Sales per type juli'!$D$8:$BA$8,0)),0)</f>
        <v>0</v>
      </c>
      <c r="T29" s="192">
        <f>R29-S29</f>
        <v>0</v>
      </c>
      <c r="U29" s="192">
        <f>IFERROR(INDEX('[1]SALES PERTYPE'!$I$10:$I$52,MATCH($C29,'[1]SALES PERTYPE'!$B$10:$B$52,0)),0)</f>
        <v>0</v>
      </c>
      <c r="V29" s="192" cm="1">
        <f t="array" ref="V29">IFERROR(INDEX('[1]Sales per type juli'!$D$10:$BA$51,MATCH($C29,'[1]Sales per type juli'!$B$10:$B$51,0),MATCH("Watch GT 2",'[1]Sales per type juli'!$D$8:$BA$8,0)+1),0)</f>
        <v>0</v>
      </c>
      <c r="W29" s="192">
        <f>U29-V29</f>
        <v>0</v>
      </c>
      <c r="X29" s="192">
        <f>IFERROR(INDEX('[1]SALES PERTYPE'!$J$10:$J$52,MATCH($C29,'[1]SALES PERTYPE'!$B$10:$B$52,0)),0)</f>
        <v>6</v>
      </c>
      <c r="Y29" s="192">
        <f>IFERROR(INDEX('[1]Sales per type juli'!$D$10:$BA$51,MATCH($C29,'[1]Sales per type juli'!$B$10:$B$51,0),MATCH("Y05e",'[1]Sales per type juli'!$D$8:$BA$8,0)),0)</f>
        <v>0</v>
      </c>
      <c r="Z29" s="192">
        <f>X29-Y29</f>
        <v>6</v>
      </c>
      <c r="AA29" s="192">
        <f>IFERROR(INDEX('[1]SALES PERTYPE'!$K$10:$K$52,MATCH($C29,'[1]SALES PERTYPE'!$B$10:$B$52,0)),0)</f>
        <v>12594000</v>
      </c>
      <c r="AB29" s="192" cm="1">
        <f t="array" ref="AB29">IFERROR(INDEX('[1]Sales per type juli'!$D$10:$BA$51,MATCH($C29,'[1]Sales per type juli'!$B$10:$B$51,0),MATCH("Y05e",'[1]Sales per type juli'!$D$8:$BA$8,0)+1),0)</f>
        <v>0</v>
      </c>
      <c r="AC29" s="192">
        <f>AA29-AB29</f>
        <v>12594000</v>
      </c>
      <c r="AD29" s="192">
        <f>IFERROR(INDEX('[1]SALES PERTYPE'!$L$10:$L$52,MATCH($C29,'[1]SALES PERTYPE'!$B$10:$B$52,0)),0)</f>
        <v>0</v>
      </c>
      <c r="AE29" s="192">
        <f>IFERROR(INDEX('[1]Sales per type juli'!$D$10:$BA$51,MATCH($C29,'[1]Sales per type juli'!$B$10:$B$51,0),MATCH("V70",'[1]Sales per type juli'!$D$8:$BA$8,0)),0)</f>
        <v>2</v>
      </c>
      <c r="AF29" s="192">
        <f>AD29-AE29</f>
        <v>-2</v>
      </c>
      <c r="AG29" s="192">
        <f>IFERROR(INDEX('[1]SALES PERTYPE'!$M$10:$M$52,MATCH($C29,'[1]SALES PERTYPE'!$B$10:$B$52,0)),0)</f>
        <v>0</v>
      </c>
      <c r="AH29" s="192" cm="1">
        <f t="array" ref="AH29">IFERROR(INDEX('[1]Sales per type juli'!$D$10:$BA$51,MATCH($C29,'[1]Sales per type juli'!$B$10:$B$51,0),MATCH("V70",'[1]Sales per type juli'!$D$8:$BA$8,0)+1),0)</f>
        <v>17998000</v>
      </c>
      <c r="AI29" s="192">
        <f>AG29-AH29</f>
        <v>-17998000</v>
      </c>
      <c r="AJ29" s="192">
        <f>IFERROR(INDEX('[1]SALES PERTYPE'!$N$10:$N$52,MATCH($C29,'[1]SALES PERTYPE'!$B$10:$B$52,0)),0)</f>
        <v>3</v>
      </c>
      <c r="AK29" s="192">
        <f>IFERROR(INDEX('[1]Sales per type juli'!$D$10:$BA$51,MATCH($C29,'[1]Sales per type juli'!$B$10:$B$51,0),MATCH("Y31d Pro",'[1]Sales per type juli'!$D$8:$BA$8,0)),0)</f>
        <v>2</v>
      </c>
      <c r="AL29" s="192">
        <f>AJ29-AK29</f>
        <v>1</v>
      </c>
      <c r="AM29" s="192">
        <f>IFERROR(INDEX('[1]SALES PERTYPE'!$O$10:$O$52,MATCH($C29,'[1]SALES PERTYPE'!$B$10:$B$52,0)),0)</f>
        <v>11697000</v>
      </c>
      <c r="AN29" s="192" cm="1">
        <f t="array" ref="AN29">IFERROR(INDEX('[1]Sales per type juli'!$D$10:$BA$51,MATCH($C29,'[1]Sales per type juli'!$B$10:$B$51,0),MATCH("Y31d Pro",'[1]Sales per type juli'!$D$8:$BA$8,0)+1),0)</f>
        <v>8798000</v>
      </c>
      <c r="AO29" s="192">
        <f>AM29-AN29</f>
        <v>2899000</v>
      </c>
      <c r="AP29" s="192">
        <f>IFERROR(INDEX('[1]SALES PERTYPE'!$P$10:$P$52,MATCH($C29,'[1]SALES PERTYPE'!$B$10:$B$52,0)),0)</f>
        <v>0</v>
      </c>
      <c r="AQ29" s="192" cm="1">
        <f t="array" ref="AQ29">IFERROR(INDEX('[1]Sales per type juli'!$D$10:$BA$51,MATCH($C29,'[1]Sales per type juli'!$B$10:$B$51,0),$FG$2),0)</f>
        <v>0</v>
      </c>
      <c r="AR29" s="192">
        <f>AP29-AQ29</f>
        <v>0</v>
      </c>
      <c r="AS29" s="192">
        <f>IFERROR(INDEX('[1]SALES PERTYPE'!$Q$10:$Q$52,MATCH($C29,'[1]SALES PERTYPE'!$B$10:$B$52,0)),0)</f>
        <v>0</v>
      </c>
      <c r="AT29" s="192" cm="1">
        <f t="array" ref="AT29">IFERROR(INDEX('[1]Sales per type juli'!$D$10:$BA$51,MATCH($C29,'[1]Sales per type juli'!$B$10:$B$51,0),$FG$2+1),0)</f>
        <v>0</v>
      </c>
      <c r="AU29" s="192">
        <f>AS29-AT29</f>
        <v>0</v>
      </c>
      <c r="AV29" s="192">
        <f>IFERROR(INDEX('[1]SALES PERTYPE'!$R$10:$R$52,MATCH($C29,'[1]SALES PERTYPE'!$B$10:$B$52,0)),0)</f>
        <v>0</v>
      </c>
      <c r="AW29" s="192">
        <f>IFERROR(INDEX('[1]Sales per type juli'!$D$10:$BA$51,MATCH($C29,'[1]Sales per type juli'!$B$10:$B$51,0),MATCH("Y31d ",'[1]Sales per type juli'!$D$8:$BA$8,0)),0)</f>
        <v>0</v>
      </c>
      <c r="AX29" s="192">
        <f>AV29-AW29</f>
        <v>0</v>
      </c>
      <c r="AY29" s="192">
        <f>IFERROR(INDEX('[1]SALES PERTYPE'!$S$10:$S$52,MATCH($C29,'[1]SALES PERTYPE'!$B$10:$B$52,0)),0)</f>
        <v>0</v>
      </c>
      <c r="AZ29" s="192" cm="1">
        <f t="array" ref="AZ29">IFERROR(INDEX('[1]Sales per type juli'!$D$10:$BA$51,MATCH($C29,'[1]Sales per type juli'!$B$10:$B$51,0),MATCH("Y31d ",'[1]Sales per type juli'!$D$8:$BA$8,0)+1),0)</f>
        <v>0</v>
      </c>
      <c r="BA29" s="192">
        <f>AY29-AZ29</f>
        <v>0</v>
      </c>
      <c r="BB29" s="192">
        <f>IFERROR(INDEX('[1]SALES PERTYPE'!$T$10:$T$52,MATCH($C29,'[1]SALES PERTYPE'!$B$10:$B$52,0)),0)</f>
        <v>1</v>
      </c>
      <c r="BC29" s="192">
        <f>IFERROR(INDEX('[1]Sales per type juli'!$D$10:$BA$51,MATCH($C29,'[1]Sales per type juli'!$B$10:$B$51,0),MATCH("V70 FE",'[1]Sales per type juli'!$D$8:$BA$8,0)),0)</f>
        <v>4</v>
      </c>
      <c r="BD29" s="192">
        <f>BB29-BC29</f>
        <v>-3</v>
      </c>
      <c r="BE29" s="192">
        <f>IFERROR(INDEX('[1]SALES PERTYPE'!$U$10:$U$52,MATCH($C29,'[1]SALES PERTYPE'!$B$10:$B$52,0)),0)</f>
        <v>7199000</v>
      </c>
      <c r="BF29" s="192" cm="1">
        <f t="array" ref="BF29">IFERROR(INDEX('[1]Sales per type juli'!$D$10:$BA$51,MATCH($C29,'[1]Sales per type juli'!$B$10:$B$51,0),MATCH("V70 FE",'[1]Sales per type juli'!$D$8:$BA$8,0)+1),0)</f>
        <v>26696000</v>
      </c>
      <c r="BG29" s="192">
        <f>BE29-BF29</f>
        <v>-19497000</v>
      </c>
      <c r="BH29" s="192">
        <f>IFERROR(INDEX('[1]SALES PERTYPE'!$V$10:$V$52,MATCH($C29,'[1]SALES PERTYPE'!$B$10:$B$52,0)),0)</f>
        <v>0</v>
      </c>
      <c r="BI29" s="192">
        <f>IFERROR(INDEX('[1]Sales per type juli'!$D$10:$BA$51,MATCH($C29,'[1]Sales per type juli'!$B$10:$B$51,0),MATCH("Y31d",'[1]Sales per type juli'!$D$8:$BA$8,0)),0)</f>
        <v>0</v>
      </c>
      <c r="BJ29" s="192">
        <f>BH29-BI29</f>
        <v>0</v>
      </c>
      <c r="BK29" s="192">
        <f>IFERROR(INDEX('[1]SALES PERTYPE'!$W$10:$W$52,MATCH($C29,'[1]SALES PERTYPE'!$B$10:$B$52,0)),0)</f>
        <v>0</v>
      </c>
      <c r="BL29" s="192" cm="1">
        <f t="array" ref="BL29">IFERROR(INDEX('[1]Sales per type juli'!$D$10:$BA$51,MATCH($C29,'[1]Sales per type juli'!$B$10:$B$51,0),MATCH("Y31d",'[1]Sales per type juli'!$D$8:$BA$8,0)+1),0)</f>
        <v>0</v>
      </c>
      <c r="BM29" s="192">
        <f>BK29-BL29</f>
        <v>0</v>
      </c>
      <c r="BN29" s="192">
        <f>IFERROR(INDEX('[1]SALES PERTYPE'!$X$10:$X$52,MATCH($C29,'[1]SALES PERTYPE'!$B$10:$B$52,0)),0)</f>
        <v>1</v>
      </c>
      <c r="BO29" s="192">
        <f>IFERROR(INDEX('[1]Sales per type juli'!$D$10:$BA$51,MATCH($C29,'[1]Sales per type juli'!$B$10:$B$51,0),MATCH("Y500",'[1]Sales per type juli'!$D$8:$BA$8,0)),0)</f>
        <v>2</v>
      </c>
      <c r="BP29" s="192">
        <f>BN29-BO29</f>
        <v>-1</v>
      </c>
      <c r="BQ29" s="192">
        <f>IFERROR(INDEX('[1]SALES PERTYPE'!$Y$10:$Y$52,MATCH($C29,'[1]SALES PERTYPE'!$B$10:$B$52,0)),0)</f>
        <v>6299000</v>
      </c>
      <c r="BR29" s="192" cm="1">
        <f t="array" ref="BR29">IFERROR(INDEX('[1]Sales per type juli'!$D$10:$BA$51,MATCH($C29,'[1]Sales per type juli'!$B$10:$B$51,0),MATCH("Y500",'[1]Sales per type juli'!$D$8:$BA$8,0)+1),0)</f>
        <v>11798000</v>
      </c>
      <c r="BS29" s="192">
        <f>BQ29-BR29</f>
        <v>-5499000</v>
      </c>
      <c r="BT29" s="192">
        <f>IFERROR(INDEX('[1]SALES PERTYPE'!$Z$10:$Z$52,MATCH($C29,'[1]SALES PERTYPE'!$B$10:$B$52,0)),0)</f>
        <v>0</v>
      </c>
      <c r="BU29" s="192">
        <f>IFERROR(INDEX('[1]Sales per type juli'!$D$10:$BA$51,MATCH($C29,'[1]Sales per type juli'!$B$10:$B$51,0),MATCH("IQOO 15R",'[1]Sales per type juli'!$D$8:$BA$8,0)),0)</f>
        <v>0</v>
      </c>
      <c r="BV29" s="192">
        <f>BT29-BU29</f>
        <v>0</v>
      </c>
      <c r="BW29" s="192">
        <f>IFERROR(INDEX('[1]SALES PERTYPE'!$AA$10:$AA$52,MATCH($C29,'[1]SALES PERTYPE'!$B$10:$B$52,0)),0)</f>
        <v>0</v>
      </c>
      <c r="BX29" s="192" cm="1">
        <f t="array" ref="BX29">IFERROR(INDEX('[1]Sales per type juli'!$D$10:$BA$51,MATCH($C29,'[1]Sales per type juli'!$B$10:$B$51,0),MATCH("IQOO 15R",'[1]Sales per type juli'!$D$8:$BA$8,0)+1),0)</f>
        <v>0</v>
      </c>
      <c r="BY29" s="192">
        <f>BW29-BX29</f>
        <v>0</v>
      </c>
      <c r="BZ29" s="192">
        <f>IFERROR(INDEX('[1]SALES PERTYPE'!$AB$10:$AB$52,MATCH($C29,'[1]SALES PERTYPE'!$B$10:$B$52,0)),0)</f>
        <v>2</v>
      </c>
      <c r="CA29" s="192">
        <f>IFERROR(INDEX('[1]Sales per type juli'!$D$10:$BA$51,MATCH($C29,'[1]Sales per type juli'!$B$10:$B$51,0),MATCH("V60 Lite",'[1]Sales per type juli'!$D$8:$BA$8,0)),0)</f>
        <v>2</v>
      </c>
      <c r="CB29" s="192">
        <f>BZ29-CA29</f>
        <v>0</v>
      </c>
      <c r="CC29" s="192">
        <f>IFERROR(INDEX('[1]SALES PERTYPE'!$AC$10:$AC$52,MATCH($C29,'[1]SALES PERTYPE'!$B$10:$B$52,0)),0)</f>
        <v>11798000</v>
      </c>
      <c r="CD29" s="192" cm="1">
        <f t="array" ref="CD29">IFERROR(INDEX('[1]Sales per type juli'!$D$10:$BA$51,MATCH($C29,'[1]Sales per type juli'!$B$10:$B$51,0),MATCH("V60 Lite",'[1]Sales per type juli'!$D$8:$BA$8,0)+1),0)</f>
        <v>10598000</v>
      </c>
      <c r="CE29" s="192">
        <f>CC29-CD29</f>
        <v>1200000</v>
      </c>
      <c r="CF29" s="192">
        <f>IFERROR(INDEX('[1]SALES PERTYPE'!$AD$10:$AD$52,MATCH($C29,'[1]SALES PERTYPE'!$B$10:$B$52,0)),0)</f>
        <v>0</v>
      </c>
      <c r="CG29" s="192">
        <f>IFERROR(INDEX('[1]Sales per type juli'!$D$10:$BA$51,MATCH($C29,'[1]Sales per type juli'!$B$10:$B$51,0),MATCH("X300 Ultra",'[1]Sales per type juli'!$D$8:$BA$8,0)),0)</f>
        <v>0</v>
      </c>
      <c r="CH29" s="192">
        <f>CF29-CG29</f>
        <v>0</v>
      </c>
      <c r="CI29" s="192">
        <f>IFERROR(INDEX('[1]SALES PERTYPE'!$AE$10:$AE$52,MATCH($C29,'[1]SALES PERTYPE'!$B$10:$B$52,0)),0)</f>
        <v>0</v>
      </c>
      <c r="CJ29" s="192" cm="1">
        <f t="array" ref="CJ29">IFERROR(INDEX('[1]Sales per type juli'!$D$10:$BA$51,MATCH($C29,'[1]Sales per type juli'!$B$10:$B$51,0),MATCH("X300 Ultra",'[1]Sales per type juli'!$D$8:$BA$8,0)+1),0)</f>
        <v>0</v>
      </c>
      <c r="CK29" s="192">
        <f>CI29-CJ29</f>
        <v>0</v>
      </c>
      <c r="CL29" s="192">
        <f>IFERROR(INDEX('[1]SALES PERTYPE'!$AF$10:$AF$52,MATCH($C29,'[1]SALES PERTYPE'!$B$10:$B$52,0)),0)</f>
        <v>0</v>
      </c>
      <c r="CM29" s="192">
        <f>IFERROR(INDEX('[1]Sales per type juli'!$D$10:$BA$51,MATCH($C29,'[1]Sales per type juli'!$B$10:$B$51,0),MATCH("IQOO 15",'[1]Sales per type juli'!$D$8:$BA$8,0)),0)</f>
        <v>0</v>
      </c>
      <c r="CN29" s="192">
        <f>CL29-CM29</f>
        <v>0</v>
      </c>
      <c r="CO29" s="192">
        <f>IFERROR(INDEX('[1]SALES PERTYPE'!$AG$10:$AG$52,MATCH($C29,'[1]SALES PERTYPE'!$B$10:$B$52,0)),0)</f>
        <v>0</v>
      </c>
      <c r="CP29" s="192" cm="1">
        <f t="array" ref="CP29">IFERROR(INDEX('[1]Sales per type juli'!$D$10:$BA$51,MATCH($C29,'[1]Sales per type juli'!$B$10:$B$51,0),MATCH("IQOO 15",'[1]Sales per type juli'!$D$8:$BA$8,0)+1),0)</f>
        <v>0</v>
      </c>
      <c r="CQ29" s="192">
        <f>CO29-CP29</f>
        <v>0</v>
      </c>
      <c r="CR29" s="192">
        <f>IFERROR(INDEX('[1]SALES PERTYPE'!$AH$10:$AH$52,MATCH($C29,'[1]SALES PERTYPE'!$B$10:$B$52,0)),0)</f>
        <v>0</v>
      </c>
      <c r="CS29" s="192">
        <f>IFERROR(INDEX('[1]Sales per type juli'!$D$10:$BA$51,MATCH($C29,'[1]Sales per type juli'!$B$10:$B$51,0),MATCH("IQOO Z11x",'[1]Sales per type juli'!$D$8:$BA$8,0)),0)</f>
        <v>0</v>
      </c>
      <c r="CT29" s="192">
        <f>CR29-CS29</f>
        <v>0</v>
      </c>
      <c r="CU29" s="192">
        <f>IFERROR(INDEX('[1]SALES PERTYPE'!$AI$10:$AI$52,MATCH($C29,'[1]SALES PERTYPE'!$B$10:$B$52,0)),0)</f>
        <v>0</v>
      </c>
      <c r="CV29" s="192" cm="1">
        <f t="array" ref="CV29">IFERROR(INDEX('[1]Sales per type juli'!$D$10:$BA$51,MATCH($C29,'[1]Sales per type juli'!$B$10:$B$51,0),MATCH("IQOO Z11x",'[1]Sales per type juli'!$D$8:$BA$8,0)+1),0)</f>
        <v>0</v>
      </c>
      <c r="CW29" s="192">
        <f>CU29-CV29</f>
        <v>0</v>
      </c>
      <c r="CX29" s="192">
        <f>IFERROR(INDEX('[1]SALES PERTYPE'!$AJ$10:$AJ$52,MATCH($C29,'[1]SALES PERTYPE'!$B$10:$B$52,0)),0)</f>
        <v>0</v>
      </c>
      <c r="CY29" s="192">
        <f>IFERROR(INDEX('[1]Sales per type juli'!$D$10:$BA$51,MATCH($C29,'[1]Sales per type juli'!$B$10:$B$51,0),MATCH("IQOO Z11",'[1]Sales per type juli'!$D$8:$BA$8,0)),0)</f>
        <v>3</v>
      </c>
      <c r="CZ29" s="192">
        <f>CX29-CY29</f>
        <v>-3</v>
      </c>
      <c r="DA29" s="192">
        <f>IFERROR(INDEX('[1]SALES PERTYPE'!$AK$10:$AK$52,MATCH($C29,'[1]SALES PERTYPE'!$B$10:$B$52,0)),0)</f>
        <v>0</v>
      </c>
      <c r="DB29" s="192" cm="1">
        <f t="array" ref="DB29">IFERROR(INDEX('[1]Sales per type juli'!$D$10:$BA$51,MATCH($C29,'[1]Sales per type juli'!$B$10:$B$51,0),MATCH("IQOO Z11",'[1]Sales per type juli'!$D$8:$BA$8,0)+1),0)</f>
        <v>17097000</v>
      </c>
      <c r="DC29" s="192">
        <f>DA29-DB29</f>
        <v>-17097000</v>
      </c>
      <c r="DD29" s="192">
        <v>0</v>
      </c>
      <c r="DE29" s="192">
        <f>IFERROR(INDEX('[1]Sales per type juli'!$D$10:$BA$51,MATCH($C29,'[1]Sales per type juli'!$B$10:$B$51,0),MATCH("WATCH 3",'[1]Sales per type juli'!$D$8:$BA$8,0)),0)</f>
        <v>0</v>
      </c>
      <c r="DF29" s="192">
        <f>DD29-DE29</f>
        <v>0</v>
      </c>
      <c r="DG29" s="192">
        <v>0</v>
      </c>
      <c r="DH29" s="192" cm="1">
        <f t="array" ref="DH29">IFERROR(INDEX('[1]Sales per type juli'!$D$10:$BA$51,MATCH($C29,'[1]Sales per type juli'!$B$10:$B$51,0),MATCH("WATCH 3",'[1]Sales per type juli'!$D$8:$BA$8,0)+1),0)</f>
        <v>0</v>
      </c>
      <c r="DI29" s="192">
        <f>DG29-DH29</f>
        <v>0</v>
      </c>
      <c r="DJ29" s="192">
        <v>0</v>
      </c>
      <c r="DK29" s="192">
        <f>IFERROR(INDEX('[1]Sales per type juli'!$D$10:$BA$51,MATCH($C29,'[1]Sales per type juli'!$B$10:$B$51,0),MATCH("X300 Demo",'[1]Sales per type juli'!$D$8:$BA$8,0)),0)</f>
        <v>0</v>
      </c>
      <c r="DL29" s="192">
        <f>DJ29-DK29</f>
        <v>0</v>
      </c>
      <c r="DM29" s="192">
        <v>0</v>
      </c>
      <c r="DN29" s="192" cm="1">
        <f t="array" ref="DN29">IFERROR(INDEX('[1]Sales per type juli'!$D$10:$BA$51,MATCH($C29,'[1]Sales per type juli'!$B$10:$B$51,0),MATCH("X300 Demo",'[1]Sales per type juli'!$D$8:$BA$8,0)+1),0)</f>
        <v>0</v>
      </c>
      <c r="DO29" s="192">
        <f>DM29-DN29</f>
        <v>0</v>
      </c>
      <c r="DP29" s="192">
        <v>0</v>
      </c>
      <c r="DQ29" s="192">
        <f>IFERROR(INDEX('[1]Sales per type juli'!$D$10:$BA$51,MATCH($C29,'[1]Sales per type juli'!$B$10:$B$51,0),MATCH("X300 Pro Demo",'[1]Sales per type juli'!$D$8:$BA$8,0)),0)</f>
        <v>0</v>
      </c>
      <c r="DR29" s="192">
        <f>DP29-DQ29</f>
        <v>0</v>
      </c>
      <c r="DS29" s="192">
        <v>0</v>
      </c>
      <c r="DT29" s="192" cm="1">
        <f t="array" ref="DT29">IFERROR(INDEX('[1]Sales per type juli'!$D$10:$BA$51,MATCH($C29,'[1]Sales per type juli'!$B$10:$B$51,0),MATCH("X300 Pro Demo",'[1]Sales per type juli'!$D$8:$BA$8,0)+1),0)</f>
        <v>0</v>
      </c>
      <c r="DU29" s="192">
        <f>DS29-DT29</f>
        <v>0</v>
      </c>
      <c r="DV29" s="192">
        <v>0</v>
      </c>
      <c r="DW29" s="192">
        <f>IFERROR(INDEX('[1]Sales per type juli'!$D$10:$BA$51,MATCH($C29,'[1]Sales per type juli'!$B$10:$B$51,0),MATCH("X Fold5 DEMO",'[1]Sales per type juli'!$D$8:$BA$8,0)),0)</f>
        <v>0</v>
      </c>
      <c r="DX29" s="192">
        <f>DV29-DW29</f>
        <v>0</v>
      </c>
      <c r="DY29" s="192">
        <v>0</v>
      </c>
      <c r="DZ29" s="192" cm="1">
        <f t="array" ref="DZ29">IFERROR(INDEX('[1]Sales per type juli'!$D$10:$BA$51,MATCH($C29,'[1]Sales per type juli'!$B$10:$B$51,0),MATCH("X Fold5 DEMO",'[1]Sales per type juli'!$D$8:$BA$8,0)+1),0)</f>
        <v>0</v>
      </c>
      <c r="EA29" s="192">
        <f>DY29-DZ29</f>
        <v>0</v>
      </c>
      <c r="EB29" s="192">
        <v>0</v>
      </c>
      <c r="EC29" s="192">
        <f>IFERROR(INDEX('[1]Sales per type juli'!$D$10:$BA$51,MATCH($C29,'[1]Sales per type juli'!$B$10:$B$51,0),MATCH("X Fold5",'[1]Sales per type juli'!$D$8:$BA$8,0)),0)</f>
        <v>0</v>
      </c>
      <c r="ED29" s="192">
        <f>EB29-EC29</f>
        <v>0</v>
      </c>
      <c r="EE29" s="192">
        <v>0</v>
      </c>
      <c r="EF29" s="192" cm="1">
        <f t="array" ref="EF29">IFERROR(INDEX('[1]Sales per type juli'!$D$10:$BA$51,MATCH($C29,'[1]Sales per type juli'!$B$10:$B$51,0),MATCH("X Fold5",'[1]Sales per type juli'!$D$8:$BA$8,0)+1),0)</f>
        <v>0</v>
      </c>
      <c r="EG29" s="192">
        <f>EE29-EF29</f>
        <v>0</v>
      </c>
      <c r="EH29" s="192">
        <v>0</v>
      </c>
      <c r="EI29" s="192">
        <f>IFERROR(INDEX('[1]Sales per type juli'!$D$10:$BA$51,MATCH($C29,'[1]Sales per type juli'!$B$10:$B$51,0),MATCH("IQOO 15 Demo",'[1]Sales per type juli'!$D$8:$BA$8,0)),0)</f>
        <v>0</v>
      </c>
      <c r="EJ29" s="192">
        <f>EH29-EI29</f>
        <v>0</v>
      </c>
      <c r="EK29" s="192">
        <v>0</v>
      </c>
      <c r="EL29" s="192" cm="1">
        <f t="array" ref="EL29">IFERROR(INDEX('[1]Sales per type juli'!$D$10:$BA$51,MATCH($C29,'[1]Sales per type juli'!$B$10:$B$51,0),MATCH("IQOO 15 Demo",'[1]Sales per type juli'!$D$8:$BA$8,0)+1),0)</f>
        <v>0</v>
      </c>
      <c r="EM29" s="192">
        <f>EK29-EL29</f>
        <v>0</v>
      </c>
      <c r="EN29" s="192">
        <v>0</v>
      </c>
      <c r="EO29" s="192">
        <f>IFERROR(INDEX('[1]Sales per type juli'!$D$10:$BA$51,MATCH($C29,'[1]Sales per type juli'!$B$10:$B$51,0),MATCH("X300 PRO",'[1]Sales per type juli'!$D$8:$BA$8,0)),0)</f>
        <v>0</v>
      </c>
      <c r="EP29" s="192">
        <f>EN29-EO29</f>
        <v>0</v>
      </c>
      <c r="EQ29" s="192">
        <v>0</v>
      </c>
      <c r="ER29" s="192" cm="1">
        <f t="array" ref="ER29">IFERROR(INDEX('[1]Sales per type juli'!$D$10:$BA$51,MATCH($C29,'[1]Sales per type juli'!$B$10:$B$51,0),MATCH("X300 PRO",'[1]Sales per type juli'!$D$8:$BA$8,0)+1),0)</f>
        <v>0</v>
      </c>
      <c r="ES29" s="192">
        <f>EQ29-ER29</f>
        <v>0</v>
      </c>
      <c r="ET29" s="192">
        <v>0</v>
      </c>
      <c r="EU29" s="192">
        <f>IFERROR(INDEX('[1]Sales per type juli'!$D$10:$BA$51,MATCH($C29,'[1]Sales per type juli'!$B$10:$B$51,0),MATCH("X300 ",'[1]Sales per type juli'!$D$8:$BA$8,0)),0)</f>
        <v>0</v>
      </c>
      <c r="EV29" s="192">
        <f>ET29-EU29</f>
        <v>0</v>
      </c>
      <c r="EW29" s="192">
        <v>0</v>
      </c>
      <c r="EX29" s="192" cm="1">
        <f t="array" ref="EX29">IFERROR(INDEX('[1]Sales per type juli'!$D$10:$BA$51,MATCH($C29,'[1]Sales per type juli'!$B$10:$B$51,0),MATCH("X300 ",'[1]Sales per type juli'!$D$8:$BA$8,0)+1),0)</f>
        <v>0</v>
      </c>
      <c r="EY29" s="192">
        <f>EW29-EX29</f>
        <v>0</v>
      </c>
      <c r="EZ29" s="192">
        <f>F29+L29+R29+X29+AD29+AJ29+AP29+AV29+BB29+BH29+BN29+BT29+BZ29+CF29+CL29+CR29+CX29+DD29+DJ29+DP29+DV29+EB29+EH29+EN29+ET29</f>
        <v>40</v>
      </c>
      <c r="FA29" s="192">
        <f>G29+M29+S29+Y29+AE29+AK29+AQ29+AW29+BC29+BI29+BO29+BU29+CA29+CG29+CM29+CS29+CY29+DE29+DK29+DQ29+DW29+EC29+EI29+EO29+EU29</f>
        <v>34</v>
      </c>
      <c r="FB29" s="192">
        <f>EZ29-FA29</f>
        <v>6</v>
      </c>
      <c r="FC29" s="192">
        <f>I29+O29+U29+AA29+AG29+AM29+AS29+AY29+BE29+BK29+BQ29+BW29+CC29+CI29+CO29+CU29+DA29+DG29+DM29+DS29+DY29+EE29+EK29+EQ29+EW29</f>
        <v>120860000</v>
      </c>
      <c r="FD29" s="192">
        <f>J29+P29+V29+AB29+AH29+AN29+AT29+AZ29+BF29+BL29+BR29+BX29+CD29+CJ29+CP29+CV29+DB29+DH29+DN29+DT29+DZ29+EF29+EL29+ER29+EX29</f>
        <v>138766000</v>
      </c>
      <c r="FE29" s="192">
        <f>FC29-FD29</f>
        <v>-17906000</v>
      </c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</row>
    <row r="30" spans="1:208" ht="16" x14ac:dyDescent="0.2">
      <c r="A30" s="139">
        <f>'[1]ACHIEVEMENT STORE'!A30</f>
        <v>26</v>
      </c>
      <c r="B30" s="140" t="str">
        <f>'[1]ACHIEVEMENT STORE'!B30</f>
        <v>624-万丹BANTEN</v>
      </c>
      <c r="C30" s="139">
        <f>'[1]ACHIEVEMENT STORE'!C30</f>
        <v>6240703</v>
      </c>
      <c r="D30" s="140" t="str">
        <f>'[1]ACHIEVEMENT STORE'!D30</f>
        <v>6240703-TANGCITY LG009 CENTER</v>
      </c>
      <c r="E30" s="140" t="str">
        <f>'[1]ACHIEVEMENT STORE'!E30</f>
        <v>DHANI EKO NUGROHO</v>
      </c>
      <c r="F30" s="192">
        <f>IFERROR(INDEX('[1]SALES PERTYPE'!$D$10:$D$52,MATCH($C30,'[1]SALES PERTYPE'!$B$10:$B$52,0)),0)</f>
        <v>7</v>
      </c>
      <c r="G30" s="192">
        <f>IFERROR(INDEX('[1]Sales per type juli'!$D$10:$BA$51,MATCH($C30,'[1]Sales per type juli'!$B$10:$B$51,0),MATCH("Y05",'[1]Sales per type juli'!$D$8:$BA$8,0)),0)</f>
        <v>11</v>
      </c>
      <c r="H30" s="192">
        <f>F30-G30</f>
        <v>-4</v>
      </c>
      <c r="I30" s="192">
        <f>IFERROR(INDEX('[1]SALES PERTYPE'!$E$10:$E$52,MATCH($C30,'[1]SALES PERTYPE'!$B$10:$B$52,0)),0)</f>
        <v>16993000</v>
      </c>
      <c r="J30" s="192" cm="1">
        <f t="array" ref="J30">IFERROR(INDEX('[1]Sales per type juli'!$D$10:$BA$51,MATCH($C30,'[1]Sales per type juli'!$B$10:$B$51,0),MATCH("Y05",'[1]Sales per type juli'!$D$8:$BA$8,0)+1),0)</f>
        <v>24889000</v>
      </c>
      <c r="K30" s="192">
        <f>I30-J30</f>
        <v>-7896000</v>
      </c>
      <c r="L30" s="192">
        <f>IFERROR(INDEX('[1]SALES PERTYPE'!$F$10:$F$52,MATCH($C30,'[1]SALES PERTYPE'!$B$10:$B$52,0)),0)</f>
        <v>4</v>
      </c>
      <c r="M30" s="192">
        <f>IFERROR(INDEX('[1]Sales per type juli'!$D$10:$BA$51,MATCH($C30,'[1]Sales per type juli'!$B$10:$B$51,0),MATCH("Y11d",'[1]Sales per type juli'!$D$8:$BA$8,0)),0)</f>
        <v>9</v>
      </c>
      <c r="N30" s="192">
        <f>L30-M30</f>
        <v>-5</v>
      </c>
      <c r="O30" s="192">
        <f>IFERROR(INDEX('[1]SALES PERTYPE'!$G$10:$G$52,MATCH($C30,'[1]SALES PERTYPE'!$B$10:$B$52,0)),0)</f>
        <v>10796000</v>
      </c>
      <c r="P30" s="192" cm="1">
        <f t="array" ref="P30">IFERROR(INDEX('[1]Sales per type juli'!$D$10:$BA$51,MATCH($C30,'[1]Sales per type juli'!$B$10:$B$51,0),MATCH("Y11d",'[1]Sales per type juli'!$D$8:$BA$8,0)+1),0)</f>
        <v>24791000</v>
      </c>
      <c r="Q30" s="192">
        <f>O30-P30</f>
        <v>-13995000</v>
      </c>
      <c r="R30" s="192">
        <f>IFERROR(INDEX('[1]SALES PERTYPE'!$H$10:$H$52,MATCH($C30,'[1]SALES PERTYPE'!$B$10:$B$52,0)),0)</f>
        <v>0</v>
      </c>
      <c r="S30" s="192">
        <f>IFERROR(INDEX('[1]Sales per type juli'!$D$10:$BA$51,MATCH($C30,'[1]Sales per type juli'!$B$10:$B$51,0),MATCH("Watch GT 2",'[1]Sales per type juli'!$D$8:$BA$8,0)),0)</f>
        <v>0</v>
      </c>
      <c r="T30" s="192">
        <f>R30-S30</f>
        <v>0</v>
      </c>
      <c r="U30" s="192">
        <f>IFERROR(INDEX('[1]SALES PERTYPE'!$I$10:$I$52,MATCH($C30,'[1]SALES PERTYPE'!$B$10:$B$52,0)),0)</f>
        <v>0</v>
      </c>
      <c r="V30" s="192" cm="1">
        <f t="array" ref="V30">IFERROR(INDEX('[1]Sales per type juli'!$D$10:$BA$51,MATCH($C30,'[1]Sales per type juli'!$B$10:$B$51,0),MATCH("Watch GT 2",'[1]Sales per type juli'!$D$8:$BA$8,0)+1),0)</f>
        <v>0</v>
      </c>
      <c r="W30" s="192">
        <f>U30-V30</f>
        <v>0</v>
      </c>
      <c r="X30" s="192">
        <f>IFERROR(INDEX('[1]SALES PERTYPE'!$J$10:$J$52,MATCH($C30,'[1]SALES PERTYPE'!$B$10:$B$52,0)),0)</f>
        <v>6</v>
      </c>
      <c r="Y30" s="192">
        <f>IFERROR(INDEX('[1]Sales per type juli'!$D$10:$BA$51,MATCH($C30,'[1]Sales per type juli'!$B$10:$B$51,0),MATCH("Y05e",'[1]Sales per type juli'!$D$8:$BA$8,0)),0)</f>
        <v>0</v>
      </c>
      <c r="Z30" s="192">
        <f>X30-Y30</f>
        <v>6</v>
      </c>
      <c r="AA30" s="192">
        <f>IFERROR(INDEX('[1]SALES PERTYPE'!$K$10:$K$52,MATCH($C30,'[1]SALES PERTYPE'!$B$10:$B$52,0)),0)</f>
        <v>12594000</v>
      </c>
      <c r="AB30" s="192" cm="1">
        <f t="array" ref="AB30">IFERROR(INDEX('[1]Sales per type juli'!$D$10:$BA$51,MATCH($C30,'[1]Sales per type juli'!$B$10:$B$51,0),MATCH("Y05e",'[1]Sales per type juli'!$D$8:$BA$8,0)+1),0)</f>
        <v>0</v>
      </c>
      <c r="AC30" s="192">
        <f>AA30-AB30</f>
        <v>12594000</v>
      </c>
      <c r="AD30" s="192">
        <f>IFERROR(INDEX('[1]SALES PERTYPE'!$L$10:$L$52,MATCH($C30,'[1]SALES PERTYPE'!$B$10:$B$52,0)),0)</f>
        <v>1</v>
      </c>
      <c r="AE30" s="192">
        <f>IFERROR(INDEX('[1]Sales per type juli'!$D$10:$BA$51,MATCH($C30,'[1]Sales per type juli'!$B$10:$B$51,0),MATCH("V70",'[1]Sales per type juli'!$D$8:$BA$8,0)),0)</f>
        <v>3</v>
      </c>
      <c r="AF30" s="192">
        <f>AD30-AE30</f>
        <v>-2</v>
      </c>
      <c r="AG30" s="192">
        <f>IFERROR(INDEX('[1]SALES PERTYPE'!$M$10:$M$52,MATCH($C30,'[1]SALES PERTYPE'!$B$10:$B$52,0)),0)</f>
        <v>9999000</v>
      </c>
      <c r="AH30" s="192" cm="1">
        <f t="array" ref="AH30">IFERROR(INDEX('[1]Sales per type juli'!$D$10:$BA$51,MATCH($C30,'[1]Sales per type juli'!$B$10:$B$51,0),MATCH("V70",'[1]Sales per type juli'!$D$8:$BA$8,0)+1),0)</f>
        <v>30997000</v>
      </c>
      <c r="AI30" s="192">
        <f>AG30-AH30</f>
        <v>-20998000</v>
      </c>
      <c r="AJ30" s="192">
        <f>IFERROR(INDEX('[1]SALES PERTYPE'!$N$10:$N$52,MATCH($C30,'[1]SALES PERTYPE'!$B$10:$B$52,0)),0)</f>
        <v>9</v>
      </c>
      <c r="AK30" s="192">
        <f>IFERROR(INDEX('[1]Sales per type juli'!$D$10:$BA$51,MATCH($C30,'[1]Sales per type juli'!$B$10:$B$51,0),MATCH("Y31d Pro",'[1]Sales per type juli'!$D$8:$BA$8,0)),0)</f>
        <v>3</v>
      </c>
      <c r="AL30" s="192">
        <f>AJ30-AK30</f>
        <v>6</v>
      </c>
      <c r="AM30" s="192">
        <f>IFERROR(INDEX('[1]SALES PERTYPE'!$O$10:$O$52,MATCH($C30,'[1]SALES PERTYPE'!$B$10:$B$52,0)),0)</f>
        <v>37291000</v>
      </c>
      <c r="AN30" s="192" cm="1">
        <f t="array" ref="AN30">IFERROR(INDEX('[1]Sales per type juli'!$D$10:$BA$51,MATCH($C30,'[1]Sales per type juli'!$B$10:$B$51,0),MATCH("Y31d Pro",'[1]Sales per type juli'!$D$8:$BA$8,0)+1),0)</f>
        <v>12497000</v>
      </c>
      <c r="AO30" s="192">
        <f>AM30-AN30</f>
        <v>24794000</v>
      </c>
      <c r="AP30" s="192">
        <f>IFERROR(INDEX('[1]SALES PERTYPE'!$P$10:$P$52,MATCH($C30,'[1]SALES PERTYPE'!$B$10:$B$52,0)),0)</f>
        <v>1</v>
      </c>
      <c r="AQ30" s="192" cm="1">
        <f t="array" ref="AQ30">IFERROR(INDEX('[1]Sales per type juli'!$D$10:$BA$51,MATCH($C30,'[1]Sales per type juli'!$B$10:$B$51,0),$FG$2),0)</f>
        <v>0</v>
      </c>
      <c r="AR30" s="192">
        <f>AP30-AQ30</f>
        <v>1</v>
      </c>
      <c r="AS30" s="192">
        <f>IFERROR(INDEX('[1]SALES PERTYPE'!$Q$10:$Q$52,MATCH($C30,'[1]SALES PERTYPE'!$B$10:$B$52,0)),0)</f>
        <v>3599000</v>
      </c>
      <c r="AT30" s="192" cm="1">
        <f t="array" ref="AT30">IFERROR(INDEX('[1]Sales per type juli'!$D$10:$BA$51,MATCH($C30,'[1]Sales per type juli'!$B$10:$B$51,0),$FG$2+1),0)</f>
        <v>0</v>
      </c>
      <c r="AU30" s="192">
        <f>AS30-AT30</f>
        <v>3599000</v>
      </c>
      <c r="AV30" s="192">
        <f>IFERROR(INDEX('[1]SALES PERTYPE'!$R$10:$R$52,MATCH($C30,'[1]SALES PERTYPE'!$B$10:$B$52,0)),0)</f>
        <v>0</v>
      </c>
      <c r="AW30" s="192">
        <f>IFERROR(INDEX('[1]Sales per type juli'!$D$10:$BA$51,MATCH($C30,'[1]Sales per type juli'!$B$10:$B$51,0),MATCH("Y31d ",'[1]Sales per type juli'!$D$8:$BA$8,0)),0)</f>
        <v>2</v>
      </c>
      <c r="AX30" s="192">
        <f>AV30-AW30</f>
        <v>-2</v>
      </c>
      <c r="AY30" s="192">
        <f>IFERROR(INDEX('[1]SALES PERTYPE'!$S$10:$S$52,MATCH($C30,'[1]SALES PERTYPE'!$B$10:$B$52,0)),0)</f>
        <v>0</v>
      </c>
      <c r="AZ30" s="192" cm="1">
        <f t="array" ref="AZ30">IFERROR(INDEX('[1]Sales per type juli'!$D$10:$BA$51,MATCH($C30,'[1]Sales per type juli'!$B$10:$B$51,0),MATCH("Y31d ",'[1]Sales per type juli'!$D$8:$BA$8,0)+1),0)</f>
        <v>7198000</v>
      </c>
      <c r="BA30" s="192">
        <f>AY30-AZ30</f>
        <v>-7198000</v>
      </c>
      <c r="BB30" s="192">
        <f>IFERROR(INDEX('[1]SALES PERTYPE'!$T$10:$T$52,MATCH($C30,'[1]SALES PERTYPE'!$B$10:$B$52,0)),0)</f>
        <v>1</v>
      </c>
      <c r="BC30" s="192">
        <f>IFERROR(INDEX('[1]Sales per type juli'!$D$10:$BA$51,MATCH($C30,'[1]Sales per type juli'!$B$10:$B$51,0),MATCH("V70 FE",'[1]Sales per type juli'!$D$8:$BA$8,0)),0)</f>
        <v>2</v>
      </c>
      <c r="BD30" s="192">
        <f>BB30-BC30</f>
        <v>-1</v>
      </c>
      <c r="BE30" s="192">
        <f>IFERROR(INDEX('[1]SALES PERTYPE'!$U$10:$U$52,MATCH($C30,'[1]SALES PERTYPE'!$B$10:$B$52,0)),0)</f>
        <v>7999000</v>
      </c>
      <c r="BF30" s="192" cm="1">
        <f t="array" ref="BF30">IFERROR(INDEX('[1]Sales per type juli'!$D$10:$BA$51,MATCH($C30,'[1]Sales per type juli'!$B$10:$B$51,0),MATCH("V70 FE",'[1]Sales per type juli'!$D$8:$BA$8,0)+1),0)</f>
        <v>13698000</v>
      </c>
      <c r="BG30" s="192">
        <f>BE30-BF30</f>
        <v>-5699000</v>
      </c>
      <c r="BH30" s="192">
        <f>IFERROR(INDEX('[1]SALES PERTYPE'!$V$10:$V$52,MATCH($C30,'[1]SALES PERTYPE'!$B$10:$B$52,0)),0)</f>
        <v>1</v>
      </c>
      <c r="BI30" s="192">
        <f>IFERROR(INDEX('[1]Sales per type juli'!$D$10:$BA$51,MATCH($C30,'[1]Sales per type juli'!$B$10:$B$51,0),MATCH("Y31d",'[1]Sales per type juli'!$D$8:$BA$8,0)),0)</f>
        <v>4</v>
      </c>
      <c r="BJ30" s="192">
        <f>BH30-BI30</f>
        <v>-3</v>
      </c>
      <c r="BK30" s="192">
        <f>IFERROR(INDEX('[1]SALES PERTYPE'!$W$10:$W$52,MATCH($C30,'[1]SALES PERTYPE'!$B$10:$B$52,0)),0)</f>
        <v>3599000</v>
      </c>
      <c r="BL30" s="192" cm="1">
        <f t="array" ref="BL30">IFERROR(INDEX('[1]Sales per type juli'!$D$10:$BA$51,MATCH($C30,'[1]Sales per type juli'!$B$10:$B$51,0),MATCH("Y31d",'[1]Sales per type juli'!$D$8:$BA$8,0)+1),0)</f>
        <v>14396000</v>
      </c>
      <c r="BM30" s="192">
        <f>BK30-BL30</f>
        <v>-10797000</v>
      </c>
      <c r="BN30" s="192">
        <f>IFERROR(INDEX('[1]SALES PERTYPE'!$X$10:$X$52,MATCH($C30,'[1]SALES PERTYPE'!$B$10:$B$52,0)),0)</f>
        <v>0</v>
      </c>
      <c r="BO30" s="192">
        <f>IFERROR(INDEX('[1]Sales per type juli'!$D$10:$BA$51,MATCH($C30,'[1]Sales per type juli'!$B$10:$B$51,0),MATCH("Y500",'[1]Sales per type juli'!$D$8:$BA$8,0)),0)</f>
        <v>0</v>
      </c>
      <c r="BP30" s="192">
        <f>BN30-BO30</f>
        <v>0</v>
      </c>
      <c r="BQ30" s="192">
        <f>IFERROR(INDEX('[1]SALES PERTYPE'!$Y$10:$Y$52,MATCH($C30,'[1]SALES PERTYPE'!$B$10:$B$52,0)),0)</f>
        <v>0</v>
      </c>
      <c r="BR30" s="192" cm="1">
        <f t="array" ref="BR30">IFERROR(INDEX('[1]Sales per type juli'!$D$10:$BA$51,MATCH($C30,'[1]Sales per type juli'!$B$10:$B$51,0),MATCH("Y500",'[1]Sales per type juli'!$D$8:$BA$8,0)+1),0)</f>
        <v>0</v>
      </c>
      <c r="BS30" s="192">
        <f>BQ30-BR30</f>
        <v>0</v>
      </c>
      <c r="BT30" s="192">
        <f>IFERROR(INDEX('[1]SALES PERTYPE'!$Z$10:$Z$52,MATCH($C30,'[1]SALES PERTYPE'!$B$10:$B$52,0)),0)</f>
        <v>0</v>
      </c>
      <c r="BU30" s="192">
        <f>IFERROR(INDEX('[1]Sales per type juli'!$D$10:$BA$51,MATCH($C30,'[1]Sales per type juli'!$B$10:$B$51,0),MATCH("IQOO 15R",'[1]Sales per type juli'!$D$8:$BA$8,0)),0)</f>
        <v>1</v>
      </c>
      <c r="BV30" s="192">
        <f>BT30-BU30</f>
        <v>-1</v>
      </c>
      <c r="BW30" s="192">
        <f>IFERROR(INDEX('[1]SALES PERTYPE'!$AA$10:$AA$52,MATCH($C30,'[1]SALES PERTYPE'!$B$10:$B$52,0)),0)</f>
        <v>0</v>
      </c>
      <c r="BX30" s="192" cm="1">
        <f t="array" ref="BX30">IFERROR(INDEX('[1]Sales per type juli'!$D$10:$BA$51,MATCH($C30,'[1]Sales per type juli'!$B$10:$B$51,0),MATCH("IQOO 15R",'[1]Sales per type juli'!$D$8:$BA$8,0)+1),0)</f>
        <v>9899000</v>
      </c>
      <c r="BY30" s="192">
        <f>BW30-BX30</f>
        <v>-9899000</v>
      </c>
      <c r="BZ30" s="192">
        <f>IFERROR(INDEX('[1]SALES PERTYPE'!$AB$10:$AB$52,MATCH($C30,'[1]SALES PERTYPE'!$B$10:$B$52,0)),0)</f>
        <v>2</v>
      </c>
      <c r="CA30" s="192">
        <f>IFERROR(INDEX('[1]Sales per type juli'!$D$10:$BA$51,MATCH($C30,'[1]Sales per type juli'!$B$10:$B$51,0),MATCH("V60 Lite",'[1]Sales per type juli'!$D$8:$BA$8,0)),0)</f>
        <v>4</v>
      </c>
      <c r="CB30" s="192">
        <f>BZ30-CA30</f>
        <v>-2</v>
      </c>
      <c r="CC30" s="192">
        <f>IFERROR(INDEX('[1]SALES PERTYPE'!$AC$10:$AC$52,MATCH($C30,'[1]SALES PERTYPE'!$B$10:$B$52,0)),0)</f>
        <v>11798000</v>
      </c>
      <c r="CD30" s="192" cm="1">
        <f t="array" ref="CD30">IFERROR(INDEX('[1]Sales per type juli'!$D$10:$BA$51,MATCH($C30,'[1]Sales per type juli'!$B$10:$B$51,0),MATCH("V60 Lite",'[1]Sales per type juli'!$D$8:$BA$8,0)+1),0)</f>
        <v>21196000</v>
      </c>
      <c r="CE30" s="192">
        <f>CC30-CD30</f>
        <v>-9398000</v>
      </c>
      <c r="CF30" s="192">
        <f>IFERROR(INDEX('[1]SALES PERTYPE'!$AD$10:$AD$52,MATCH($C30,'[1]SALES PERTYPE'!$B$10:$B$52,0)),0)</f>
        <v>1</v>
      </c>
      <c r="CG30" s="192">
        <f>IFERROR(INDEX('[1]Sales per type juli'!$D$10:$BA$51,MATCH($C30,'[1]Sales per type juli'!$B$10:$B$51,0),MATCH("X300 Ultra",'[1]Sales per type juli'!$D$8:$BA$8,0)),0)</f>
        <v>0</v>
      </c>
      <c r="CH30" s="192">
        <f>CF30-CG30</f>
        <v>1</v>
      </c>
      <c r="CI30" s="192">
        <f>IFERROR(INDEX('[1]SALES PERTYPE'!$AE$10:$AE$52,MATCH($C30,'[1]SALES PERTYPE'!$B$10:$B$52,0)),0)</f>
        <v>25999000</v>
      </c>
      <c r="CJ30" s="192" cm="1">
        <f t="array" ref="CJ30">IFERROR(INDEX('[1]Sales per type juli'!$D$10:$BA$51,MATCH($C30,'[1]Sales per type juli'!$B$10:$B$51,0),MATCH("X300 Ultra",'[1]Sales per type juli'!$D$8:$BA$8,0)+1),0)</f>
        <v>0</v>
      </c>
      <c r="CK30" s="192">
        <f>CI30-CJ30</f>
        <v>25999000</v>
      </c>
      <c r="CL30" s="192">
        <f>IFERROR(INDEX('[1]SALES PERTYPE'!$AF$10:$AF$52,MATCH($C30,'[1]SALES PERTYPE'!$B$10:$B$52,0)),0)</f>
        <v>0</v>
      </c>
      <c r="CM30" s="192">
        <f>IFERROR(INDEX('[1]Sales per type juli'!$D$10:$BA$51,MATCH($C30,'[1]Sales per type juli'!$B$10:$B$51,0),MATCH("IQOO 15",'[1]Sales per type juli'!$D$8:$BA$8,0)),0)</f>
        <v>0</v>
      </c>
      <c r="CN30" s="192">
        <f>CL30-CM30</f>
        <v>0</v>
      </c>
      <c r="CO30" s="192">
        <f>IFERROR(INDEX('[1]SALES PERTYPE'!$AG$10:$AG$52,MATCH($C30,'[1]SALES PERTYPE'!$B$10:$B$52,0)),0)</f>
        <v>0</v>
      </c>
      <c r="CP30" s="192" cm="1">
        <f t="array" ref="CP30">IFERROR(INDEX('[1]Sales per type juli'!$D$10:$BA$51,MATCH($C30,'[1]Sales per type juli'!$B$10:$B$51,0),MATCH("IQOO 15",'[1]Sales per type juli'!$D$8:$BA$8,0)+1),0)</f>
        <v>0</v>
      </c>
      <c r="CQ30" s="192">
        <f>CO30-CP30</f>
        <v>0</v>
      </c>
      <c r="CR30" s="192">
        <f>IFERROR(INDEX('[1]SALES PERTYPE'!$AH$10:$AH$52,MATCH($C30,'[1]SALES PERTYPE'!$B$10:$B$52,0)),0)</f>
        <v>0</v>
      </c>
      <c r="CS30" s="192">
        <f>IFERROR(INDEX('[1]Sales per type juli'!$D$10:$BA$51,MATCH($C30,'[1]Sales per type juli'!$B$10:$B$51,0),MATCH("IQOO Z11x",'[1]Sales per type juli'!$D$8:$BA$8,0)),0)</f>
        <v>0</v>
      </c>
      <c r="CT30" s="192">
        <f>CR30-CS30</f>
        <v>0</v>
      </c>
      <c r="CU30" s="192">
        <f>IFERROR(INDEX('[1]SALES PERTYPE'!$AI$10:$AI$52,MATCH($C30,'[1]SALES PERTYPE'!$B$10:$B$52,0)),0)</f>
        <v>0</v>
      </c>
      <c r="CV30" s="192" cm="1">
        <f t="array" ref="CV30">IFERROR(INDEX('[1]Sales per type juli'!$D$10:$BA$51,MATCH($C30,'[1]Sales per type juli'!$B$10:$B$51,0),MATCH("IQOO Z11x",'[1]Sales per type juli'!$D$8:$BA$8,0)+1),0)</f>
        <v>0</v>
      </c>
      <c r="CW30" s="192">
        <f>CU30-CV30</f>
        <v>0</v>
      </c>
      <c r="CX30" s="192">
        <f>IFERROR(INDEX('[1]SALES PERTYPE'!$AJ$10:$AJ$52,MATCH($C30,'[1]SALES PERTYPE'!$B$10:$B$52,0)),0)</f>
        <v>1</v>
      </c>
      <c r="CY30" s="192">
        <f>IFERROR(INDEX('[1]Sales per type juli'!$D$10:$BA$51,MATCH($C30,'[1]Sales per type juli'!$B$10:$B$51,0),MATCH("IQOO Z11",'[1]Sales per type juli'!$D$8:$BA$8,0)),0)</f>
        <v>4</v>
      </c>
      <c r="CZ30" s="192">
        <f>CX30-CY30</f>
        <v>-3</v>
      </c>
      <c r="DA30" s="192">
        <f>IFERROR(INDEX('[1]SALES PERTYPE'!$AK$10:$AK$52,MATCH($C30,'[1]SALES PERTYPE'!$B$10:$B$52,0)),0)</f>
        <v>7999000</v>
      </c>
      <c r="DB30" s="192" cm="1">
        <f t="array" ref="DB30">IFERROR(INDEX('[1]Sales per type juli'!$D$10:$BA$51,MATCH($C30,'[1]Sales per type juli'!$B$10:$B$51,0),MATCH("IQOO Z11",'[1]Sales per type juli'!$D$8:$BA$8,0)+1),0)</f>
        <v>22796000</v>
      </c>
      <c r="DC30" s="192">
        <f>DA30-DB30</f>
        <v>-14797000</v>
      </c>
      <c r="DD30" s="192">
        <v>0</v>
      </c>
      <c r="DE30" s="192">
        <f>IFERROR(INDEX('[1]Sales per type juli'!$D$10:$BA$51,MATCH($C30,'[1]Sales per type juli'!$B$10:$B$51,0),MATCH("WATCH 3",'[1]Sales per type juli'!$D$8:$BA$8,0)),0)</f>
        <v>0</v>
      </c>
      <c r="DF30" s="192">
        <f>DD30-DE30</f>
        <v>0</v>
      </c>
      <c r="DG30" s="192">
        <v>0</v>
      </c>
      <c r="DH30" s="192" cm="1">
        <f t="array" ref="DH30">IFERROR(INDEX('[1]Sales per type juli'!$D$10:$BA$51,MATCH($C30,'[1]Sales per type juli'!$B$10:$B$51,0),MATCH("WATCH 3",'[1]Sales per type juli'!$D$8:$BA$8,0)+1),0)</f>
        <v>0</v>
      </c>
      <c r="DI30" s="192">
        <f>DG30-DH30</f>
        <v>0</v>
      </c>
      <c r="DJ30" s="192">
        <v>0</v>
      </c>
      <c r="DK30" s="192">
        <f>IFERROR(INDEX('[1]Sales per type juli'!$D$10:$BA$51,MATCH($C30,'[1]Sales per type juli'!$B$10:$B$51,0),MATCH("X300 Demo",'[1]Sales per type juli'!$D$8:$BA$8,0)),0)</f>
        <v>0</v>
      </c>
      <c r="DL30" s="192">
        <f>DJ30-DK30</f>
        <v>0</v>
      </c>
      <c r="DM30" s="192">
        <v>0</v>
      </c>
      <c r="DN30" s="192" cm="1">
        <f t="array" ref="DN30">IFERROR(INDEX('[1]Sales per type juli'!$D$10:$BA$51,MATCH($C30,'[1]Sales per type juli'!$B$10:$B$51,0),MATCH("X300 Demo",'[1]Sales per type juli'!$D$8:$BA$8,0)+1),0)</f>
        <v>0</v>
      </c>
      <c r="DO30" s="192">
        <f>DM30-DN30</f>
        <v>0</v>
      </c>
      <c r="DP30" s="192">
        <v>0</v>
      </c>
      <c r="DQ30" s="192">
        <f>IFERROR(INDEX('[1]Sales per type juli'!$D$10:$BA$51,MATCH($C30,'[1]Sales per type juli'!$B$10:$B$51,0),MATCH("X300 Pro Demo",'[1]Sales per type juli'!$D$8:$BA$8,0)),0)</f>
        <v>0</v>
      </c>
      <c r="DR30" s="192">
        <f>DP30-DQ30</f>
        <v>0</v>
      </c>
      <c r="DS30" s="192">
        <v>0</v>
      </c>
      <c r="DT30" s="192" cm="1">
        <f t="array" ref="DT30">IFERROR(INDEX('[1]Sales per type juli'!$D$10:$BA$51,MATCH($C30,'[1]Sales per type juli'!$B$10:$B$51,0),MATCH("X300 Pro Demo",'[1]Sales per type juli'!$D$8:$BA$8,0)+1),0)</f>
        <v>0</v>
      </c>
      <c r="DU30" s="192">
        <f>DS30-DT30</f>
        <v>0</v>
      </c>
      <c r="DV30" s="192">
        <v>0</v>
      </c>
      <c r="DW30" s="192">
        <f>IFERROR(INDEX('[1]Sales per type juli'!$D$10:$BA$51,MATCH($C30,'[1]Sales per type juli'!$B$10:$B$51,0),MATCH("X Fold5 DEMO",'[1]Sales per type juli'!$D$8:$BA$8,0)),0)</f>
        <v>0</v>
      </c>
      <c r="DX30" s="192">
        <f>DV30-DW30</f>
        <v>0</v>
      </c>
      <c r="DY30" s="192">
        <v>0</v>
      </c>
      <c r="DZ30" s="192" cm="1">
        <f t="array" ref="DZ30">IFERROR(INDEX('[1]Sales per type juli'!$D$10:$BA$51,MATCH($C30,'[1]Sales per type juli'!$B$10:$B$51,0),MATCH("X Fold5 DEMO",'[1]Sales per type juli'!$D$8:$BA$8,0)+1),0)</f>
        <v>0</v>
      </c>
      <c r="EA30" s="192">
        <f>DY30-DZ30</f>
        <v>0</v>
      </c>
      <c r="EB30" s="192">
        <v>0</v>
      </c>
      <c r="EC30" s="192">
        <f>IFERROR(INDEX('[1]Sales per type juli'!$D$10:$BA$51,MATCH($C30,'[1]Sales per type juli'!$B$10:$B$51,0),MATCH("X Fold5",'[1]Sales per type juli'!$D$8:$BA$8,0)),0)</f>
        <v>0</v>
      </c>
      <c r="ED30" s="192">
        <f>EB30-EC30</f>
        <v>0</v>
      </c>
      <c r="EE30" s="192">
        <v>0</v>
      </c>
      <c r="EF30" s="192" cm="1">
        <f t="array" ref="EF30">IFERROR(INDEX('[1]Sales per type juli'!$D$10:$BA$51,MATCH($C30,'[1]Sales per type juli'!$B$10:$B$51,0),MATCH("X Fold5",'[1]Sales per type juli'!$D$8:$BA$8,0)+1),0)</f>
        <v>0</v>
      </c>
      <c r="EG30" s="192">
        <f>EE30-EF30</f>
        <v>0</v>
      </c>
      <c r="EH30" s="192">
        <v>0</v>
      </c>
      <c r="EI30" s="192">
        <f>IFERROR(INDEX('[1]Sales per type juli'!$D$10:$BA$51,MATCH($C30,'[1]Sales per type juli'!$B$10:$B$51,0),MATCH("IQOO 15 Demo",'[1]Sales per type juli'!$D$8:$BA$8,0)),0)</f>
        <v>0</v>
      </c>
      <c r="EJ30" s="192">
        <f>EH30-EI30</f>
        <v>0</v>
      </c>
      <c r="EK30" s="192">
        <v>0</v>
      </c>
      <c r="EL30" s="192" cm="1">
        <f t="array" ref="EL30">IFERROR(INDEX('[1]Sales per type juli'!$D$10:$BA$51,MATCH($C30,'[1]Sales per type juli'!$B$10:$B$51,0),MATCH("IQOO 15 Demo",'[1]Sales per type juli'!$D$8:$BA$8,0)+1),0)</f>
        <v>0</v>
      </c>
      <c r="EM30" s="192">
        <f>EK30-EL30</f>
        <v>0</v>
      </c>
      <c r="EN30" s="192">
        <v>0</v>
      </c>
      <c r="EO30" s="192">
        <f>IFERROR(INDEX('[1]Sales per type juli'!$D$10:$BA$51,MATCH($C30,'[1]Sales per type juli'!$B$10:$B$51,0),MATCH("X300 PRO",'[1]Sales per type juli'!$D$8:$BA$8,0)),0)</f>
        <v>0</v>
      </c>
      <c r="EP30" s="192">
        <f>EN30-EO30</f>
        <v>0</v>
      </c>
      <c r="EQ30" s="192">
        <v>0</v>
      </c>
      <c r="ER30" s="192" cm="1">
        <f t="array" ref="ER30">IFERROR(INDEX('[1]Sales per type juli'!$D$10:$BA$51,MATCH($C30,'[1]Sales per type juli'!$B$10:$B$51,0),MATCH("X300 PRO",'[1]Sales per type juli'!$D$8:$BA$8,0)+1),0)</f>
        <v>0</v>
      </c>
      <c r="ES30" s="192">
        <f>EQ30-ER30</f>
        <v>0</v>
      </c>
      <c r="ET30" s="192">
        <v>0</v>
      </c>
      <c r="EU30" s="192">
        <f>IFERROR(INDEX('[1]Sales per type juli'!$D$10:$BA$51,MATCH($C30,'[1]Sales per type juli'!$B$10:$B$51,0),MATCH("X300 ",'[1]Sales per type juli'!$D$8:$BA$8,0)),0)</f>
        <v>0</v>
      </c>
      <c r="EV30" s="192">
        <f>ET30-EU30</f>
        <v>0</v>
      </c>
      <c r="EW30" s="192">
        <v>0</v>
      </c>
      <c r="EX30" s="192" cm="1">
        <f t="array" ref="EX30">IFERROR(INDEX('[1]Sales per type juli'!$D$10:$BA$51,MATCH($C30,'[1]Sales per type juli'!$B$10:$B$51,0),MATCH("X300 ",'[1]Sales per type juli'!$D$8:$BA$8,0)+1),0)</f>
        <v>0</v>
      </c>
      <c r="EY30" s="192">
        <f>EW30-EX30</f>
        <v>0</v>
      </c>
      <c r="EZ30" s="192">
        <f>F30+L30+R30+X30+AD30+AJ30+AP30+AV30+BB30+BH30+BN30+BT30+BZ30+CF30+CL30+CR30+CX30+DD30+DJ30+DP30+DV30+EB30+EH30+EN30+ET30</f>
        <v>34</v>
      </c>
      <c r="FA30" s="192">
        <f>G30+M30+S30+Y30+AE30+AK30+AQ30+AW30+BC30+BI30+BO30+BU30+CA30+CG30+CM30+CS30+CY30+DE30+DK30+DQ30+DW30+EC30+EI30+EO30+EU30</f>
        <v>43</v>
      </c>
      <c r="FB30" s="192">
        <f>EZ30-FA30</f>
        <v>-9</v>
      </c>
      <c r="FC30" s="192">
        <f>I30+O30+U30+AA30+AG30+AM30+AS30+AY30+BE30+BK30+BQ30+BW30+CC30+CI30+CO30+CU30+DA30+DG30+DM30+DS30+DY30+EE30+EK30+EQ30+EW30</f>
        <v>148666000</v>
      </c>
      <c r="FD30" s="192">
        <f>J30+P30+V30+AB30+AH30+AN30+AT30+AZ30+BF30+BL30+BR30+BX30+CD30+CJ30+CP30+CV30+DB30+DH30+DN30+DT30+DZ30+EF30+EL30+ER30+EX30</f>
        <v>182357000</v>
      </c>
      <c r="FE30" s="192">
        <f>FC30-FD30</f>
        <v>-33691000</v>
      </c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</row>
    <row r="31" spans="1:208" ht="16" x14ac:dyDescent="0.2">
      <c r="A31" s="137">
        <f>'[1]ACHIEVEMENT STORE'!A31</f>
        <v>27</v>
      </c>
      <c r="B31" s="138" t="str">
        <f>'[1]ACHIEVEMENT STORE'!B31</f>
        <v>624-万丹BANTEN</v>
      </c>
      <c r="C31" s="137">
        <f>'[1]ACHIEVEMENT STORE'!C31</f>
        <v>6170703</v>
      </c>
      <c r="D31" s="138" t="str">
        <f>'[1]ACHIEVEMENT STORE'!D31</f>
        <v>6170703-4004 MVS-BNT-CCM STORE</v>
      </c>
      <c r="E31" s="138" t="str">
        <f>'[1]ACHIEVEMENT STORE'!E31</f>
        <v>DWI IRAWAN ( PIC )</v>
      </c>
      <c r="F31" s="192">
        <f>IFERROR(INDEX('[1]SALES PERTYPE'!$D$10:$D$52,MATCH($C31,'[1]SALES PERTYPE'!$B$10:$B$52,0)),0)</f>
        <v>1</v>
      </c>
      <c r="G31" s="192">
        <f>IFERROR(INDEX('[1]Sales per type juli'!$D$10:$BA$51,MATCH($C31,'[1]Sales per type juli'!$B$10:$B$51,0),MATCH("Y05",'[1]Sales per type juli'!$D$8:$BA$8,0)),0)</f>
        <v>4</v>
      </c>
      <c r="H31" s="192">
        <f>F31-G31</f>
        <v>-3</v>
      </c>
      <c r="I31" s="192">
        <f>IFERROR(INDEX('[1]SALES PERTYPE'!$E$10:$E$52,MATCH($C31,'[1]SALES PERTYPE'!$B$10:$B$52,0)),0)</f>
        <v>2599000</v>
      </c>
      <c r="J31" s="192" cm="1">
        <f t="array" ref="J31">IFERROR(INDEX('[1]Sales per type juli'!$D$10:$BA$51,MATCH($C31,'[1]Sales per type juli'!$B$10:$B$51,0),MATCH("Y05",'[1]Sales per type juli'!$D$8:$BA$8,0)+1),0)</f>
        <v>8696000</v>
      </c>
      <c r="K31" s="192">
        <f>I31-J31</f>
        <v>-6097000</v>
      </c>
      <c r="L31" s="192">
        <f>IFERROR(INDEX('[1]SALES PERTYPE'!$F$10:$F$52,MATCH($C31,'[1]SALES PERTYPE'!$B$10:$B$52,0)),0)</f>
        <v>2</v>
      </c>
      <c r="M31" s="192">
        <f>IFERROR(INDEX('[1]Sales per type juli'!$D$10:$BA$51,MATCH($C31,'[1]Sales per type juli'!$B$10:$B$51,0),MATCH("Y11d",'[1]Sales per type juli'!$D$8:$BA$8,0)),0)</f>
        <v>3</v>
      </c>
      <c r="N31" s="192">
        <f>L31-M31</f>
        <v>-1</v>
      </c>
      <c r="O31" s="192">
        <f>IFERROR(INDEX('[1]SALES PERTYPE'!$G$10:$G$52,MATCH($C31,'[1]SALES PERTYPE'!$B$10:$B$52,0)),0)</f>
        <v>4798000</v>
      </c>
      <c r="P31" s="192" cm="1">
        <f t="array" ref="P31">IFERROR(INDEX('[1]Sales per type juli'!$D$10:$BA$51,MATCH($C31,'[1]Sales per type juli'!$B$10:$B$51,0),MATCH("Y11d",'[1]Sales per type juli'!$D$8:$BA$8,0)+1),0)</f>
        <v>8397000</v>
      </c>
      <c r="Q31" s="192">
        <f>O31-P31</f>
        <v>-3599000</v>
      </c>
      <c r="R31" s="192">
        <f>IFERROR(INDEX('[1]SALES PERTYPE'!$H$10:$H$52,MATCH($C31,'[1]SALES PERTYPE'!$B$10:$B$52,0)),0)</f>
        <v>0</v>
      </c>
      <c r="S31" s="192">
        <f>IFERROR(INDEX('[1]Sales per type juli'!$D$10:$BA$51,MATCH($C31,'[1]Sales per type juli'!$B$10:$B$51,0),MATCH("Watch GT 2",'[1]Sales per type juli'!$D$8:$BA$8,0)),0)</f>
        <v>0</v>
      </c>
      <c r="T31" s="192">
        <f>R31-S31</f>
        <v>0</v>
      </c>
      <c r="U31" s="192">
        <f>IFERROR(INDEX('[1]SALES PERTYPE'!$I$10:$I$52,MATCH($C31,'[1]SALES PERTYPE'!$B$10:$B$52,0)),0)</f>
        <v>0</v>
      </c>
      <c r="V31" s="192" cm="1">
        <f t="array" ref="V31">IFERROR(INDEX('[1]Sales per type juli'!$D$10:$BA$51,MATCH($C31,'[1]Sales per type juli'!$B$10:$B$51,0),MATCH("Watch GT 2",'[1]Sales per type juli'!$D$8:$BA$8,0)+1),0)</f>
        <v>0</v>
      </c>
      <c r="W31" s="192">
        <f>U31-V31</f>
        <v>0</v>
      </c>
      <c r="X31" s="192">
        <f>IFERROR(INDEX('[1]SALES PERTYPE'!$J$10:$J$52,MATCH($C31,'[1]SALES PERTYPE'!$B$10:$B$52,0)),0)</f>
        <v>0</v>
      </c>
      <c r="Y31" s="192">
        <f>IFERROR(INDEX('[1]Sales per type juli'!$D$10:$BA$51,MATCH($C31,'[1]Sales per type juli'!$B$10:$B$51,0),MATCH("Y05e",'[1]Sales per type juli'!$D$8:$BA$8,0)),0)</f>
        <v>0</v>
      </c>
      <c r="Z31" s="192">
        <f>X31-Y31</f>
        <v>0</v>
      </c>
      <c r="AA31" s="192">
        <f>IFERROR(INDEX('[1]SALES PERTYPE'!$K$10:$K$52,MATCH($C31,'[1]SALES PERTYPE'!$B$10:$B$52,0)),0)</f>
        <v>0</v>
      </c>
      <c r="AB31" s="192" cm="1">
        <f t="array" ref="AB31">IFERROR(INDEX('[1]Sales per type juli'!$D$10:$BA$51,MATCH($C31,'[1]Sales per type juli'!$B$10:$B$51,0),MATCH("Y05e",'[1]Sales per type juli'!$D$8:$BA$8,0)+1),0)</f>
        <v>0</v>
      </c>
      <c r="AC31" s="192">
        <f>AA31-AB31</f>
        <v>0</v>
      </c>
      <c r="AD31" s="192">
        <f>IFERROR(INDEX('[1]SALES PERTYPE'!$L$10:$L$52,MATCH($C31,'[1]SALES PERTYPE'!$B$10:$B$52,0)),0)</f>
        <v>1</v>
      </c>
      <c r="AE31" s="192">
        <f>IFERROR(INDEX('[1]Sales per type juli'!$D$10:$BA$51,MATCH($C31,'[1]Sales per type juli'!$B$10:$B$51,0),MATCH("V70",'[1]Sales per type juli'!$D$8:$BA$8,0)),0)</f>
        <v>3</v>
      </c>
      <c r="AF31" s="192">
        <f>AD31-AE31</f>
        <v>-2</v>
      </c>
      <c r="AG31" s="192">
        <f>IFERROR(INDEX('[1]SALES PERTYPE'!$M$10:$M$52,MATCH($C31,'[1]SALES PERTYPE'!$B$10:$B$52,0)),0)</f>
        <v>9999000</v>
      </c>
      <c r="AH31" s="192" cm="1">
        <f t="array" ref="AH31">IFERROR(INDEX('[1]Sales per type juli'!$D$10:$BA$51,MATCH($C31,'[1]Sales per type juli'!$B$10:$B$51,0),MATCH("V70",'[1]Sales per type juli'!$D$8:$BA$8,0)+1),0)</f>
        <v>26997000</v>
      </c>
      <c r="AI31" s="192">
        <f>AG31-AH31</f>
        <v>-16998000</v>
      </c>
      <c r="AJ31" s="192">
        <f>IFERROR(INDEX('[1]SALES PERTYPE'!$N$10:$N$52,MATCH($C31,'[1]SALES PERTYPE'!$B$10:$B$52,0)),0)</f>
        <v>0</v>
      </c>
      <c r="AK31" s="192">
        <f>IFERROR(INDEX('[1]Sales per type juli'!$D$10:$BA$51,MATCH($C31,'[1]Sales per type juli'!$B$10:$B$51,0),MATCH("Y31d Pro",'[1]Sales per type juli'!$D$8:$BA$8,0)),0)</f>
        <v>0</v>
      </c>
      <c r="AL31" s="192">
        <f>AJ31-AK31</f>
        <v>0</v>
      </c>
      <c r="AM31" s="192">
        <f>IFERROR(INDEX('[1]SALES PERTYPE'!$O$10:$O$52,MATCH($C31,'[1]SALES PERTYPE'!$B$10:$B$52,0)),0)</f>
        <v>0</v>
      </c>
      <c r="AN31" s="192" cm="1">
        <f t="array" ref="AN31">IFERROR(INDEX('[1]Sales per type juli'!$D$10:$BA$51,MATCH($C31,'[1]Sales per type juli'!$B$10:$B$51,0),MATCH("Y31d Pro",'[1]Sales per type juli'!$D$8:$BA$8,0)+1),0)</f>
        <v>0</v>
      </c>
      <c r="AO31" s="192">
        <f>AM31-AN31</f>
        <v>0</v>
      </c>
      <c r="AP31" s="192">
        <f>IFERROR(INDEX('[1]SALES PERTYPE'!$P$10:$P$52,MATCH($C31,'[1]SALES PERTYPE'!$B$10:$B$52,0)),0)</f>
        <v>0</v>
      </c>
      <c r="AQ31" s="192" cm="1">
        <f t="array" ref="AQ31">IFERROR(INDEX('[1]Sales per type juli'!$D$10:$BA$51,MATCH($C31,'[1]Sales per type juli'!$B$10:$B$51,0),$FG$2),0)</f>
        <v>1</v>
      </c>
      <c r="AR31" s="192">
        <f>AP31-AQ31</f>
        <v>-1</v>
      </c>
      <c r="AS31" s="192">
        <f>IFERROR(INDEX('[1]SALES PERTYPE'!$Q$10:$Q$52,MATCH($C31,'[1]SALES PERTYPE'!$B$10:$B$52,0)),0)</f>
        <v>0</v>
      </c>
      <c r="AT31" s="192" cm="1">
        <f t="array" ref="AT31">IFERROR(INDEX('[1]Sales per type juli'!$D$10:$BA$51,MATCH($C31,'[1]Sales per type juli'!$B$10:$B$51,0),$FG$2+1),0)</f>
        <v>3599000</v>
      </c>
      <c r="AU31" s="192">
        <f>AS31-AT31</f>
        <v>-3599000</v>
      </c>
      <c r="AV31" s="192">
        <f>IFERROR(INDEX('[1]SALES PERTYPE'!$R$10:$R$52,MATCH($C31,'[1]SALES PERTYPE'!$B$10:$B$52,0)),0)</f>
        <v>1</v>
      </c>
      <c r="AW31" s="192">
        <f>IFERROR(INDEX('[1]Sales per type juli'!$D$10:$BA$51,MATCH($C31,'[1]Sales per type juli'!$B$10:$B$51,0),MATCH("Y31d ",'[1]Sales per type juli'!$D$8:$BA$8,0)),0)</f>
        <v>0</v>
      </c>
      <c r="AX31" s="192">
        <f>AV31-AW31</f>
        <v>1</v>
      </c>
      <c r="AY31" s="192">
        <f>IFERROR(INDEX('[1]SALES PERTYPE'!$S$10:$S$52,MATCH($C31,'[1]SALES PERTYPE'!$B$10:$B$52,0)),0)</f>
        <v>3599000</v>
      </c>
      <c r="AZ31" s="192" cm="1">
        <f t="array" ref="AZ31">IFERROR(INDEX('[1]Sales per type juli'!$D$10:$BA$51,MATCH($C31,'[1]Sales per type juli'!$B$10:$B$51,0),MATCH("Y31d ",'[1]Sales per type juli'!$D$8:$BA$8,0)+1),0)</f>
        <v>0</v>
      </c>
      <c r="BA31" s="192">
        <f>AY31-AZ31</f>
        <v>3599000</v>
      </c>
      <c r="BB31" s="192">
        <f>IFERROR(INDEX('[1]SALES PERTYPE'!$T$10:$T$52,MATCH($C31,'[1]SALES PERTYPE'!$B$10:$B$52,0)),0)</f>
        <v>1</v>
      </c>
      <c r="BC31" s="192">
        <f>IFERROR(INDEX('[1]Sales per type juli'!$D$10:$BA$51,MATCH($C31,'[1]Sales per type juli'!$B$10:$B$51,0),MATCH("V70 FE",'[1]Sales per type juli'!$D$8:$BA$8,0)),0)</f>
        <v>1</v>
      </c>
      <c r="BD31" s="192">
        <f>BB31-BC31</f>
        <v>0</v>
      </c>
      <c r="BE31" s="192">
        <f>IFERROR(INDEX('[1]SALES PERTYPE'!$U$10:$U$52,MATCH($C31,'[1]SALES PERTYPE'!$B$10:$B$52,0)),0)</f>
        <v>6999000</v>
      </c>
      <c r="BF31" s="192" cm="1">
        <f t="array" ref="BF31">IFERROR(INDEX('[1]Sales per type juli'!$D$10:$BA$51,MATCH($C31,'[1]Sales per type juli'!$B$10:$B$51,0),MATCH("V70 FE",'[1]Sales per type juli'!$D$8:$BA$8,0)+1),0)</f>
        <v>6499000</v>
      </c>
      <c r="BG31" s="192">
        <f>BE31-BF31</f>
        <v>500000</v>
      </c>
      <c r="BH31" s="192">
        <f>IFERROR(INDEX('[1]SALES PERTYPE'!$V$10:$V$52,MATCH($C31,'[1]SALES PERTYPE'!$B$10:$B$52,0)),0)</f>
        <v>0</v>
      </c>
      <c r="BI31" s="192">
        <f>IFERROR(INDEX('[1]Sales per type juli'!$D$10:$BA$51,MATCH($C31,'[1]Sales per type juli'!$B$10:$B$51,0),MATCH("Y31d",'[1]Sales per type juli'!$D$8:$BA$8,0)),0)</f>
        <v>0</v>
      </c>
      <c r="BJ31" s="192">
        <f>BH31-BI31</f>
        <v>0</v>
      </c>
      <c r="BK31" s="192">
        <f>IFERROR(INDEX('[1]SALES PERTYPE'!$W$10:$W$52,MATCH($C31,'[1]SALES PERTYPE'!$B$10:$B$52,0)),0)</f>
        <v>0</v>
      </c>
      <c r="BL31" s="192" cm="1">
        <f t="array" ref="BL31">IFERROR(INDEX('[1]Sales per type juli'!$D$10:$BA$51,MATCH($C31,'[1]Sales per type juli'!$B$10:$B$51,0),MATCH("Y31d",'[1]Sales per type juli'!$D$8:$BA$8,0)+1),0)</f>
        <v>0</v>
      </c>
      <c r="BM31" s="192">
        <f>BK31-BL31</f>
        <v>0</v>
      </c>
      <c r="BN31" s="192">
        <f>IFERROR(INDEX('[1]SALES PERTYPE'!$X$10:$X$52,MATCH($C31,'[1]SALES PERTYPE'!$B$10:$B$52,0)),0)</f>
        <v>1</v>
      </c>
      <c r="BO31" s="192">
        <f>IFERROR(INDEX('[1]Sales per type juli'!$D$10:$BA$51,MATCH($C31,'[1]Sales per type juli'!$B$10:$B$51,0),MATCH("Y500",'[1]Sales per type juli'!$D$8:$BA$8,0)),0)</f>
        <v>0</v>
      </c>
      <c r="BP31" s="192">
        <f>BN31-BO31</f>
        <v>1</v>
      </c>
      <c r="BQ31" s="192">
        <f>IFERROR(INDEX('[1]SALES PERTYPE'!$Y$10:$Y$52,MATCH($C31,'[1]SALES PERTYPE'!$B$10:$B$52,0)),0)</f>
        <v>5499000</v>
      </c>
      <c r="BR31" s="192" cm="1">
        <f t="array" ref="BR31">IFERROR(INDEX('[1]Sales per type juli'!$D$10:$BA$51,MATCH($C31,'[1]Sales per type juli'!$B$10:$B$51,0),MATCH("Y500",'[1]Sales per type juli'!$D$8:$BA$8,0)+1),0)</f>
        <v>0</v>
      </c>
      <c r="BS31" s="192">
        <f>BQ31-BR31</f>
        <v>5499000</v>
      </c>
      <c r="BT31" s="192">
        <f>IFERROR(INDEX('[1]SALES PERTYPE'!$Z$10:$Z$52,MATCH($C31,'[1]SALES PERTYPE'!$B$10:$B$52,0)),0)</f>
        <v>1</v>
      </c>
      <c r="BU31" s="192">
        <f>IFERROR(INDEX('[1]Sales per type juli'!$D$10:$BA$51,MATCH($C31,'[1]Sales per type juli'!$B$10:$B$51,0),MATCH("IQOO 15R",'[1]Sales per type juli'!$D$8:$BA$8,0)),0)</f>
        <v>1</v>
      </c>
      <c r="BV31" s="192">
        <f>BT31-BU31</f>
        <v>0</v>
      </c>
      <c r="BW31" s="192">
        <f>IFERROR(INDEX('[1]SALES PERTYPE'!$AA$10:$AA$52,MATCH($C31,'[1]SALES PERTYPE'!$B$10:$B$52,0)),0)</f>
        <v>11999000</v>
      </c>
      <c r="BX31" s="192" cm="1">
        <f t="array" ref="BX31">IFERROR(INDEX('[1]Sales per type juli'!$D$10:$BA$51,MATCH($C31,'[1]Sales per type juli'!$B$10:$B$51,0),MATCH("IQOO 15R",'[1]Sales per type juli'!$D$8:$BA$8,0)+1),0)</f>
        <v>9899000</v>
      </c>
      <c r="BY31" s="192">
        <f>BW31-BX31</f>
        <v>2100000</v>
      </c>
      <c r="BZ31" s="192">
        <f>IFERROR(INDEX('[1]SALES PERTYPE'!$AB$10:$AB$52,MATCH($C31,'[1]SALES PERTYPE'!$B$10:$B$52,0)),0)</f>
        <v>0</v>
      </c>
      <c r="CA31" s="192">
        <f>IFERROR(INDEX('[1]Sales per type juli'!$D$10:$BA$51,MATCH($C31,'[1]Sales per type juli'!$B$10:$B$51,0),MATCH("V60 Lite",'[1]Sales per type juli'!$D$8:$BA$8,0)),0)</f>
        <v>1</v>
      </c>
      <c r="CB31" s="192">
        <f>BZ31-CA31</f>
        <v>-1</v>
      </c>
      <c r="CC31" s="192">
        <f>IFERROR(INDEX('[1]SALES PERTYPE'!$AC$10:$AC$52,MATCH($C31,'[1]SALES PERTYPE'!$B$10:$B$52,0)),0)</f>
        <v>0</v>
      </c>
      <c r="CD31" s="192" cm="1">
        <f t="array" ref="CD31">IFERROR(INDEX('[1]Sales per type juli'!$D$10:$BA$51,MATCH($C31,'[1]Sales per type juli'!$B$10:$B$51,0),MATCH("V60 Lite",'[1]Sales per type juli'!$D$8:$BA$8,0)+1),0)</f>
        <v>5299000</v>
      </c>
      <c r="CE31" s="192">
        <f>CC31-CD31</f>
        <v>-5299000</v>
      </c>
      <c r="CF31" s="192">
        <f>IFERROR(INDEX('[1]SALES PERTYPE'!$AD$10:$AD$52,MATCH($C31,'[1]SALES PERTYPE'!$B$10:$B$52,0)),0)</f>
        <v>0</v>
      </c>
      <c r="CG31" s="192">
        <f>IFERROR(INDEX('[1]Sales per type juli'!$D$10:$BA$51,MATCH($C31,'[1]Sales per type juli'!$B$10:$B$51,0),MATCH("X300 Ultra",'[1]Sales per type juli'!$D$8:$BA$8,0)),0)</f>
        <v>0</v>
      </c>
      <c r="CH31" s="192">
        <f>CF31-CG31</f>
        <v>0</v>
      </c>
      <c r="CI31" s="192">
        <f>IFERROR(INDEX('[1]SALES PERTYPE'!$AE$10:$AE$52,MATCH($C31,'[1]SALES PERTYPE'!$B$10:$B$52,0)),0)</f>
        <v>0</v>
      </c>
      <c r="CJ31" s="192" cm="1">
        <f t="array" ref="CJ31">IFERROR(INDEX('[1]Sales per type juli'!$D$10:$BA$51,MATCH($C31,'[1]Sales per type juli'!$B$10:$B$51,0),MATCH("X300 Ultra",'[1]Sales per type juli'!$D$8:$BA$8,0)+1),0)</f>
        <v>0</v>
      </c>
      <c r="CK31" s="192">
        <f>CI31-CJ31</f>
        <v>0</v>
      </c>
      <c r="CL31" s="192">
        <f>IFERROR(INDEX('[1]SALES PERTYPE'!$AF$10:$AF$52,MATCH($C31,'[1]SALES PERTYPE'!$B$10:$B$52,0)),0)</f>
        <v>0</v>
      </c>
      <c r="CM31" s="192">
        <f>IFERROR(INDEX('[1]Sales per type juli'!$D$10:$BA$51,MATCH($C31,'[1]Sales per type juli'!$B$10:$B$51,0),MATCH("IQOO 15",'[1]Sales per type juli'!$D$8:$BA$8,0)),0)</f>
        <v>0</v>
      </c>
      <c r="CN31" s="192">
        <f>CL31-CM31</f>
        <v>0</v>
      </c>
      <c r="CO31" s="192">
        <f>IFERROR(INDEX('[1]SALES PERTYPE'!$AG$10:$AG$52,MATCH($C31,'[1]SALES PERTYPE'!$B$10:$B$52,0)),0)</f>
        <v>0</v>
      </c>
      <c r="CP31" s="192" cm="1">
        <f t="array" ref="CP31">IFERROR(INDEX('[1]Sales per type juli'!$D$10:$BA$51,MATCH($C31,'[1]Sales per type juli'!$B$10:$B$51,0),MATCH("IQOO 15",'[1]Sales per type juli'!$D$8:$BA$8,0)+1),0)</f>
        <v>0</v>
      </c>
      <c r="CQ31" s="192">
        <f>CO31-CP31</f>
        <v>0</v>
      </c>
      <c r="CR31" s="192">
        <f>IFERROR(INDEX('[1]SALES PERTYPE'!$AH$10:$AH$52,MATCH($C31,'[1]SALES PERTYPE'!$B$10:$B$52,0)),0)</f>
        <v>0</v>
      </c>
      <c r="CS31" s="192">
        <f>IFERROR(INDEX('[1]Sales per type juli'!$D$10:$BA$51,MATCH($C31,'[1]Sales per type juli'!$B$10:$B$51,0),MATCH("IQOO Z11x",'[1]Sales per type juli'!$D$8:$BA$8,0)),0)</f>
        <v>0</v>
      </c>
      <c r="CT31" s="192">
        <f>CR31-CS31</f>
        <v>0</v>
      </c>
      <c r="CU31" s="192">
        <f>IFERROR(INDEX('[1]SALES PERTYPE'!$AI$10:$AI$52,MATCH($C31,'[1]SALES PERTYPE'!$B$10:$B$52,0)),0)</f>
        <v>0</v>
      </c>
      <c r="CV31" s="192" cm="1">
        <f t="array" ref="CV31">IFERROR(INDEX('[1]Sales per type juli'!$D$10:$BA$51,MATCH($C31,'[1]Sales per type juli'!$B$10:$B$51,0),MATCH("IQOO Z11x",'[1]Sales per type juli'!$D$8:$BA$8,0)+1),0)</f>
        <v>0</v>
      </c>
      <c r="CW31" s="192">
        <f>CU31-CV31</f>
        <v>0</v>
      </c>
      <c r="CX31" s="192">
        <f>IFERROR(INDEX('[1]SALES PERTYPE'!$AJ$10:$AJ$52,MATCH($C31,'[1]SALES PERTYPE'!$B$10:$B$52,0)),0)</f>
        <v>1</v>
      </c>
      <c r="CY31" s="192">
        <f>IFERROR(INDEX('[1]Sales per type juli'!$D$10:$BA$51,MATCH($C31,'[1]Sales per type juli'!$B$10:$B$51,0),MATCH("IQOO Z11",'[1]Sales per type juli'!$D$8:$BA$8,0)),0)</f>
        <v>3</v>
      </c>
      <c r="CZ31" s="192">
        <f>CX31-CY31</f>
        <v>-2</v>
      </c>
      <c r="DA31" s="192">
        <f>IFERROR(INDEX('[1]SALES PERTYPE'!$AK$10:$AK$52,MATCH($C31,'[1]SALES PERTYPE'!$B$10:$B$52,0)),0)</f>
        <v>6899000</v>
      </c>
      <c r="DB31" s="192" cm="1">
        <f t="array" ref="DB31">IFERROR(INDEX('[1]Sales per type juli'!$D$10:$BA$51,MATCH($C31,'[1]Sales per type juli'!$B$10:$B$51,0),MATCH("IQOO Z11",'[1]Sales per type juli'!$D$8:$BA$8,0)+1),0)</f>
        <v>17097000</v>
      </c>
      <c r="DC31" s="192">
        <f>DA31-DB31</f>
        <v>-10198000</v>
      </c>
      <c r="DD31" s="192">
        <v>0</v>
      </c>
      <c r="DE31" s="192">
        <f>IFERROR(INDEX('[1]Sales per type juli'!$D$10:$BA$51,MATCH($C31,'[1]Sales per type juli'!$B$10:$B$51,0),MATCH("WATCH 3",'[1]Sales per type juli'!$D$8:$BA$8,0)),0)</f>
        <v>0</v>
      </c>
      <c r="DF31" s="192">
        <f>DD31-DE31</f>
        <v>0</v>
      </c>
      <c r="DG31" s="192">
        <v>0</v>
      </c>
      <c r="DH31" s="192" cm="1">
        <f t="array" ref="DH31">IFERROR(INDEX('[1]Sales per type juli'!$D$10:$BA$51,MATCH($C31,'[1]Sales per type juli'!$B$10:$B$51,0),MATCH("WATCH 3",'[1]Sales per type juli'!$D$8:$BA$8,0)+1),0)</f>
        <v>0</v>
      </c>
      <c r="DI31" s="192">
        <f>DG31-DH31</f>
        <v>0</v>
      </c>
      <c r="DJ31" s="192">
        <v>0</v>
      </c>
      <c r="DK31" s="192">
        <f>IFERROR(INDEX('[1]Sales per type juli'!$D$10:$BA$51,MATCH($C31,'[1]Sales per type juli'!$B$10:$B$51,0),MATCH("X300 Demo",'[1]Sales per type juli'!$D$8:$BA$8,0)),0)</f>
        <v>0</v>
      </c>
      <c r="DL31" s="192">
        <f>DJ31-DK31</f>
        <v>0</v>
      </c>
      <c r="DM31" s="192">
        <v>0</v>
      </c>
      <c r="DN31" s="192" cm="1">
        <f t="array" ref="DN31">IFERROR(INDEX('[1]Sales per type juli'!$D$10:$BA$51,MATCH($C31,'[1]Sales per type juli'!$B$10:$B$51,0),MATCH("X300 Demo",'[1]Sales per type juli'!$D$8:$BA$8,0)+1),0)</f>
        <v>0</v>
      </c>
      <c r="DO31" s="192">
        <f>DM31-DN31</f>
        <v>0</v>
      </c>
      <c r="DP31" s="192">
        <v>0</v>
      </c>
      <c r="DQ31" s="192">
        <f>IFERROR(INDEX('[1]Sales per type juli'!$D$10:$BA$51,MATCH($C31,'[1]Sales per type juli'!$B$10:$B$51,0),MATCH("X300 Pro Demo",'[1]Sales per type juli'!$D$8:$BA$8,0)),0)</f>
        <v>0</v>
      </c>
      <c r="DR31" s="192">
        <f>DP31-DQ31</f>
        <v>0</v>
      </c>
      <c r="DS31" s="192">
        <v>0</v>
      </c>
      <c r="DT31" s="192" cm="1">
        <f t="array" ref="DT31">IFERROR(INDEX('[1]Sales per type juli'!$D$10:$BA$51,MATCH($C31,'[1]Sales per type juli'!$B$10:$B$51,0),MATCH("X300 Pro Demo",'[1]Sales per type juli'!$D$8:$BA$8,0)+1),0)</f>
        <v>0</v>
      </c>
      <c r="DU31" s="192">
        <f>DS31-DT31</f>
        <v>0</v>
      </c>
      <c r="DV31" s="192">
        <v>0</v>
      </c>
      <c r="DW31" s="192">
        <f>IFERROR(INDEX('[1]Sales per type juli'!$D$10:$BA$51,MATCH($C31,'[1]Sales per type juli'!$B$10:$B$51,0),MATCH("X Fold5 DEMO",'[1]Sales per type juli'!$D$8:$BA$8,0)),0)</f>
        <v>0</v>
      </c>
      <c r="DX31" s="192">
        <f>DV31-DW31</f>
        <v>0</v>
      </c>
      <c r="DY31" s="192">
        <v>0</v>
      </c>
      <c r="DZ31" s="192" cm="1">
        <f t="array" ref="DZ31">IFERROR(INDEX('[1]Sales per type juli'!$D$10:$BA$51,MATCH($C31,'[1]Sales per type juli'!$B$10:$B$51,0),MATCH("X Fold5 DEMO",'[1]Sales per type juli'!$D$8:$BA$8,0)+1),0)</f>
        <v>0</v>
      </c>
      <c r="EA31" s="192">
        <f>DY31-DZ31</f>
        <v>0</v>
      </c>
      <c r="EB31" s="192">
        <v>0</v>
      </c>
      <c r="EC31" s="192">
        <f>IFERROR(INDEX('[1]Sales per type juli'!$D$10:$BA$51,MATCH($C31,'[1]Sales per type juli'!$B$10:$B$51,0),MATCH("X Fold5",'[1]Sales per type juli'!$D$8:$BA$8,0)),0)</f>
        <v>0</v>
      </c>
      <c r="ED31" s="192">
        <f>EB31-EC31</f>
        <v>0</v>
      </c>
      <c r="EE31" s="192">
        <v>0</v>
      </c>
      <c r="EF31" s="192" cm="1">
        <f t="array" ref="EF31">IFERROR(INDEX('[1]Sales per type juli'!$D$10:$BA$51,MATCH($C31,'[1]Sales per type juli'!$B$10:$B$51,0),MATCH("X Fold5",'[1]Sales per type juli'!$D$8:$BA$8,0)+1),0)</f>
        <v>0</v>
      </c>
      <c r="EG31" s="192">
        <f>EE31-EF31</f>
        <v>0</v>
      </c>
      <c r="EH31" s="192">
        <v>0</v>
      </c>
      <c r="EI31" s="192">
        <f>IFERROR(INDEX('[1]Sales per type juli'!$D$10:$BA$51,MATCH($C31,'[1]Sales per type juli'!$B$10:$B$51,0),MATCH("IQOO 15 Demo",'[1]Sales per type juli'!$D$8:$BA$8,0)),0)</f>
        <v>0</v>
      </c>
      <c r="EJ31" s="192">
        <f>EH31-EI31</f>
        <v>0</v>
      </c>
      <c r="EK31" s="192">
        <v>0</v>
      </c>
      <c r="EL31" s="192" cm="1">
        <f t="array" ref="EL31">IFERROR(INDEX('[1]Sales per type juli'!$D$10:$BA$51,MATCH($C31,'[1]Sales per type juli'!$B$10:$B$51,0),MATCH("IQOO 15 Demo",'[1]Sales per type juli'!$D$8:$BA$8,0)+1),0)</f>
        <v>0</v>
      </c>
      <c r="EM31" s="192">
        <f>EK31-EL31</f>
        <v>0</v>
      </c>
      <c r="EN31" s="192">
        <v>0</v>
      </c>
      <c r="EO31" s="192">
        <f>IFERROR(INDEX('[1]Sales per type juli'!$D$10:$BA$51,MATCH($C31,'[1]Sales per type juli'!$B$10:$B$51,0),MATCH("X300 PRO",'[1]Sales per type juli'!$D$8:$BA$8,0)),0)</f>
        <v>0</v>
      </c>
      <c r="EP31" s="192">
        <f>EN31-EO31</f>
        <v>0</v>
      </c>
      <c r="EQ31" s="192">
        <v>0</v>
      </c>
      <c r="ER31" s="192" cm="1">
        <f t="array" ref="ER31">IFERROR(INDEX('[1]Sales per type juli'!$D$10:$BA$51,MATCH($C31,'[1]Sales per type juli'!$B$10:$B$51,0),MATCH("X300 PRO",'[1]Sales per type juli'!$D$8:$BA$8,0)+1),0)</f>
        <v>0</v>
      </c>
      <c r="ES31" s="192">
        <f>EQ31-ER31</f>
        <v>0</v>
      </c>
      <c r="ET31" s="192">
        <v>0</v>
      </c>
      <c r="EU31" s="192">
        <f>IFERROR(INDEX('[1]Sales per type juli'!$D$10:$BA$51,MATCH($C31,'[1]Sales per type juli'!$B$10:$B$51,0),MATCH("X300 ",'[1]Sales per type juli'!$D$8:$BA$8,0)),0)</f>
        <v>0</v>
      </c>
      <c r="EV31" s="192">
        <f>ET31-EU31</f>
        <v>0</v>
      </c>
      <c r="EW31" s="192">
        <v>0</v>
      </c>
      <c r="EX31" s="192" cm="1">
        <f t="array" ref="EX31">IFERROR(INDEX('[1]Sales per type juli'!$D$10:$BA$51,MATCH($C31,'[1]Sales per type juli'!$B$10:$B$51,0),MATCH("X300 ",'[1]Sales per type juli'!$D$8:$BA$8,0)+1),0)</f>
        <v>0</v>
      </c>
      <c r="EY31" s="192">
        <f>EW31-EX31</f>
        <v>0</v>
      </c>
      <c r="EZ31" s="192">
        <f>F31+L31+R31+X31+AD31+AJ31+AP31+AV31+BB31+BH31+BN31+BT31+BZ31+CF31+CL31+CR31+CX31+DD31+DJ31+DP31+DV31+EB31+EH31+EN31+ET31</f>
        <v>9</v>
      </c>
      <c r="FA31" s="192">
        <f>G31+M31+S31+Y31+AE31+AK31+AQ31+AW31+BC31+BI31+BO31+BU31+CA31+CG31+CM31+CS31+CY31+DE31+DK31+DQ31+DW31+EC31+EI31+EO31+EU31</f>
        <v>17</v>
      </c>
      <c r="FB31" s="192">
        <f>EZ31-FA31</f>
        <v>-8</v>
      </c>
      <c r="FC31" s="192">
        <f>I31+O31+U31+AA31+AG31+AM31+AS31+AY31+BE31+BK31+BQ31+BW31+CC31+CI31+CO31+CU31+DA31+DG31+DM31+DS31+DY31+EE31+EK31+EQ31+EW31</f>
        <v>52391000</v>
      </c>
      <c r="FD31" s="192">
        <f>J31+P31+V31+AB31+AH31+AN31+AT31+AZ31+BF31+BL31+BR31+BX31+CD31+CJ31+CP31+CV31+DB31+DH31+DN31+DT31+DZ31+EF31+EL31+ER31+EX31</f>
        <v>86483000</v>
      </c>
      <c r="FE31" s="192">
        <f>FC31-FD31</f>
        <v>-34092000</v>
      </c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</row>
    <row r="32" spans="1:208" ht="16" x14ac:dyDescent="0.2">
      <c r="A32" s="139">
        <f>'[1]ACHIEVEMENT STORE'!A32</f>
        <v>28</v>
      </c>
      <c r="B32" s="140" t="str">
        <f>'[1]ACHIEVEMENT STORE'!B32</f>
        <v>624-万丹BANTEN</v>
      </c>
      <c r="C32" s="139">
        <f>'[1]ACHIEVEMENT STORE'!C32</f>
        <v>6240705</v>
      </c>
      <c r="D32" s="140" t="str">
        <f>'[1]ACHIEVEMENT STORE'!D32</f>
        <v>6240705-CIPUTRA 2FC15</v>
      </c>
      <c r="E32" s="140" t="str">
        <f>'[1]ACHIEVEMENT STORE'!E32</f>
        <v>DHANI EKO NUGROHO</v>
      </c>
      <c r="F32" s="192">
        <f>IFERROR(INDEX('[1]SALES PERTYPE'!$D$10:$D$52,MATCH($C32,'[1]SALES PERTYPE'!$B$10:$B$52,0)),0)</f>
        <v>1</v>
      </c>
      <c r="G32" s="192">
        <f>IFERROR(INDEX('[1]Sales per type juli'!$D$10:$BA$51,MATCH($C32,'[1]Sales per type juli'!$B$10:$B$51,0),MATCH("Y05",'[1]Sales per type juli'!$D$8:$BA$8,0)),0)</f>
        <v>5</v>
      </c>
      <c r="H32" s="192">
        <f>F32-G32</f>
        <v>-4</v>
      </c>
      <c r="I32" s="192">
        <f>IFERROR(INDEX('[1]SALES PERTYPE'!$E$10:$E$52,MATCH($C32,'[1]SALES PERTYPE'!$B$10:$B$52,0)),0)</f>
        <v>2599000</v>
      </c>
      <c r="J32" s="192" cm="1">
        <f t="array" ref="J32">IFERROR(INDEX('[1]Sales per type juli'!$D$10:$BA$51,MATCH($C32,'[1]Sales per type juli'!$B$10:$B$51,0),MATCH("Y05",'[1]Sales per type juli'!$D$8:$BA$8,0)+1),0)</f>
        <v>11695000</v>
      </c>
      <c r="K32" s="192">
        <f>I32-J32</f>
        <v>-9096000</v>
      </c>
      <c r="L32" s="192">
        <f>IFERROR(INDEX('[1]SALES PERTYPE'!$F$10:$F$52,MATCH($C32,'[1]SALES PERTYPE'!$B$10:$B$52,0)),0)</f>
        <v>2</v>
      </c>
      <c r="M32" s="192">
        <f>IFERROR(INDEX('[1]Sales per type juli'!$D$10:$BA$51,MATCH($C32,'[1]Sales per type juli'!$B$10:$B$51,0),MATCH("Y11d",'[1]Sales per type juli'!$D$8:$BA$8,0)),0)</f>
        <v>1</v>
      </c>
      <c r="N32" s="192">
        <f>L32-M32</f>
        <v>1</v>
      </c>
      <c r="O32" s="192">
        <f>IFERROR(INDEX('[1]SALES PERTYPE'!$G$10:$G$52,MATCH($C32,'[1]SALES PERTYPE'!$B$10:$B$52,0)),0)</f>
        <v>5598000</v>
      </c>
      <c r="P32" s="192" cm="1">
        <f t="array" ref="P32">IFERROR(INDEX('[1]Sales per type juli'!$D$10:$BA$51,MATCH($C32,'[1]Sales per type juli'!$B$10:$B$51,0),MATCH("Y11d",'[1]Sales per type juli'!$D$8:$BA$8,0)+1),0)</f>
        <v>2799000</v>
      </c>
      <c r="Q32" s="192">
        <f>O32-P32</f>
        <v>2799000</v>
      </c>
      <c r="R32" s="192">
        <f>IFERROR(INDEX('[1]SALES PERTYPE'!$H$10:$H$52,MATCH($C32,'[1]SALES PERTYPE'!$B$10:$B$52,0)),0)</f>
        <v>0</v>
      </c>
      <c r="S32" s="192">
        <f>IFERROR(INDEX('[1]Sales per type juli'!$D$10:$BA$51,MATCH($C32,'[1]Sales per type juli'!$B$10:$B$51,0),MATCH("Watch GT 2",'[1]Sales per type juli'!$D$8:$BA$8,0)),0)</f>
        <v>0</v>
      </c>
      <c r="T32" s="192">
        <f>R32-S32</f>
        <v>0</v>
      </c>
      <c r="U32" s="192">
        <f>IFERROR(INDEX('[1]SALES PERTYPE'!$I$10:$I$52,MATCH($C32,'[1]SALES PERTYPE'!$B$10:$B$52,0)),0)</f>
        <v>0</v>
      </c>
      <c r="V32" s="192" cm="1">
        <f t="array" ref="V32">IFERROR(INDEX('[1]Sales per type juli'!$D$10:$BA$51,MATCH($C32,'[1]Sales per type juli'!$B$10:$B$51,0),MATCH("Watch GT 2",'[1]Sales per type juli'!$D$8:$BA$8,0)+1),0)</f>
        <v>0</v>
      </c>
      <c r="W32" s="192">
        <f>U32-V32</f>
        <v>0</v>
      </c>
      <c r="X32" s="192">
        <f>IFERROR(INDEX('[1]SALES PERTYPE'!$J$10:$J$52,MATCH($C32,'[1]SALES PERTYPE'!$B$10:$B$52,0)),0)</f>
        <v>1</v>
      </c>
      <c r="Y32" s="192">
        <f>IFERROR(INDEX('[1]Sales per type juli'!$D$10:$BA$51,MATCH($C32,'[1]Sales per type juli'!$B$10:$B$51,0),MATCH("Y05e",'[1]Sales per type juli'!$D$8:$BA$8,0)),0)</f>
        <v>0</v>
      </c>
      <c r="Z32" s="192">
        <f>X32-Y32</f>
        <v>1</v>
      </c>
      <c r="AA32" s="192">
        <f>IFERROR(INDEX('[1]SALES PERTYPE'!$K$10:$K$52,MATCH($C32,'[1]SALES PERTYPE'!$B$10:$B$52,0)),0)</f>
        <v>2099000</v>
      </c>
      <c r="AB32" s="192" cm="1">
        <f t="array" ref="AB32">IFERROR(INDEX('[1]Sales per type juli'!$D$10:$BA$51,MATCH($C32,'[1]Sales per type juli'!$B$10:$B$51,0),MATCH("Y05e",'[1]Sales per type juli'!$D$8:$BA$8,0)+1),0)</f>
        <v>0</v>
      </c>
      <c r="AC32" s="192">
        <f>AA32-AB32</f>
        <v>2099000</v>
      </c>
      <c r="AD32" s="192">
        <f>IFERROR(INDEX('[1]SALES PERTYPE'!$L$10:$L$52,MATCH($C32,'[1]SALES PERTYPE'!$B$10:$B$52,0)),0)</f>
        <v>2</v>
      </c>
      <c r="AE32" s="192">
        <f>IFERROR(INDEX('[1]Sales per type juli'!$D$10:$BA$51,MATCH($C32,'[1]Sales per type juli'!$B$10:$B$51,0),MATCH("V70",'[1]Sales per type juli'!$D$8:$BA$8,0)),0)</f>
        <v>0</v>
      </c>
      <c r="AF32" s="192">
        <f>AD32-AE32</f>
        <v>2</v>
      </c>
      <c r="AG32" s="192">
        <f>IFERROR(INDEX('[1]SALES PERTYPE'!$M$10:$M$52,MATCH($C32,'[1]SALES PERTYPE'!$B$10:$B$52,0)),0)</f>
        <v>19998000</v>
      </c>
      <c r="AH32" s="192" cm="1">
        <f t="array" ref="AH32">IFERROR(INDEX('[1]Sales per type juli'!$D$10:$BA$51,MATCH($C32,'[1]Sales per type juli'!$B$10:$B$51,0),MATCH("V70",'[1]Sales per type juli'!$D$8:$BA$8,0)+1),0)</f>
        <v>0</v>
      </c>
      <c r="AI32" s="192">
        <f>AG32-AH32</f>
        <v>19998000</v>
      </c>
      <c r="AJ32" s="192">
        <f>IFERROR(INDEX('[1]SALES PERTYPE'!$N$10:$N$52,MATCH($C32,'[1]SALES PERTYPE'!$B$10:$B$52,0)),0)</f>
        <v>1</v>
      </c>
      <c r="AK32" s="192">
        <f>IFERROR(INDEX('[1]Sales per type juli'!$D$10:$BA$51,MATCH($C32,'[1]Sales per type juli'!$B$10:$B$51,0),MATCH("Y31d Pro",'[1]Sales per type juli'!$D$8:$BA$8,0)),0)</f>
        <v>3</v>
      </c>
      <c r="AL32" s="192">
        <f>AJ32-AK32</f>
        <v>-2</v>
      </c>
      <c r="AM32" s="192">
        <f>IFERROR(INDEX('[1]SALES PERTYPE'!$O$10:$O$52,MATCH($C32,'[1]SALES PERTYPE'!$B$10:$B$52,0)),0)</f>
        <v>4299000</v>
      </c>
      <c r="AN32" s="192" cm="1">
        <f t="array" ref="AN32">IFERROR(INDEX('[1]Sales per type juli'!$D$10:$BA$51,MATCH($C32,'[1]Sales per type juli'!$B$10:$B$51,0),MATCH("Y31d Pro",'[1]Sales per type juli'!$D$8:$BA$8,0)+1),0)</f>
        <v>13497000</v>
      </c>
      <c r="AO32" s="192">
        <f>AM32-AN32</f>
        <v>-9198000</v>
      </c>
      <c r="AP32" s="192">
        <f>IFERROR(INDEX('[1]SALES PERTYPE'!$P$10:$P$52,MATCH($C32,'[1]SALES PERTYPE'!$B$10:$B$52,0)),0)</f>
        <v>0</v>
      </c>
      <c r="AQ32" s="192" cm="1">
        <f t="array" ref="AQ32">IFERROR(INDEX('[1]Sales per type juli'!$D$10:$BA$51,MATCH($C32,'[1]Sales per type juli'!$B$10:$B$51,0),$FG$2),0)</f>
        <v>0</v>
      </c>
      <c r="AR32" s="192">
        <f>AP32-AQ32</f>
        <v>0</v>
      </c>
      <c r="AS32" s="192">
        <f>IFERROR(INDEX('[1]SALES PERTYPE'!$Q$10:$Q$52,MATCH($C32,'[1]SALES PERTYPE'!$B$10:$B$52,0)),0)</f>
        <v>0</v>
      </c>
      <c r="AT32" s="192" cm="1">
        <f t="array" ref="AT32">IFERROR(INDEX('[1]Sales per type juli'!$D$10:$BA$51,MATCH($C32,'[1]Sales per type juli'!$B$10:$B$51,0),$FG$2+1),0)</f>
        <v>0</v>
      </c>
      <c r="AU32" s="192">
        <f>AS32-AT32</f>
        <v>0</v>
      </c>
      <c r="AV32" s="192">
        <f>IFERROR(INDEX('[1]SALES PERTYPE'!$R$10:$R$52,MATCH($C32,'[1]SALES PERTYPE'!$B$10:$B$52,0)),0)</f>
        <v>0</v>
      </c>
      <c r="AW32" s="192">
        <f>IFERROR(INDEX('[1]Sales per type juli'!$D$10:$BA$51,MATCH($C32,'[1]Sales per type juli'!$B$10:$B$51,0),MATCH("Y31d ",'[1]Sales per type juli'!$D$8:$BA$8,0)),0)</f>
        <v>0</v>
      </c>
      <c r="AX32" s="192">
        <f>AV32-AW32</f>
        <v>0</v>
      </c>
      <c r="AY32" s="192">
        <f>IFERROR(INDEX('[1]SALES PERTYPE'!$S$10:$S$52,MATCH($C32,'[1]SALES PERTYPE'!$B$10:$B$52,0)),0)</f>
        <v>0</v>
      </c>
      <c r="AZ32" s="192" cm="1">
        <f t="array" ref="AZ32">IFERROR(INDEX('[1]Sales per type juli'!$D$10:$BA$51,MATCH($C32,'[1]Sales per type juli'!$B$10:$B$51,0),MATCH("Y31d ",'[1]Sales per type juli'!$D$8:$BA$8,0)+1),0)</f>
        <v>0</v>
      </c>
      <c r="BA32" s="192">
        <f>AY32-AZ32</f>
        <v>0</v>
      </c>
      <c r="BB32" s="192">
        <f>IFERROR(INDEX('[1]SALES PERTYPE'!$T$10:$T$52,MATCH($C32,'[1]SALES PERTYPE'!$B$10:$B$52,0)),0)</f>
        <v>2</v>
      </c>
      <c r="BC32" s="192">
        <f>IFERROR(INDEX('[1]Sales per type juli'!$D$10:$BA$51,MATCH($C32,'[1]Sales per type juli'!$B$10:$B$51,0),MATCH("V70 FE",'[1]Sales per type juli'!$D$8:$BA$8,0)),0)</f>
        <v>0</v>
      </c>
      <c r="BD32" s="192">
        <f>BB32-BC32</f>
        <v>2</v>
      </c>
      <c r="BE32" s="192">
        <f>IFERROR(INDEX('[1]SALES PERTYPE'!$U$10:$U$52,MATCH($C32,'[1]SALES PERTYPE'!$B$10:$B$52,0)),0)</f>
        <v>14498000</v>
      </c>
      <c r="BF32" s="192" cm="1">
        <f t="array" ref="BF32">IFERROR(INDEX('[1]Sales per type juli'!$D$10:$BA$51,MATCH($C32,'[1]Sales per type juli'!$B$10:$B$51,0),MATCH("V70 FE",'[1]Sales per type juli'!$D$8:$BA$8,0)+1),0)</f>
        <v>0</v>
      </c>
      <c r="BG32" s="192">
        <f>BE32-BF32</f>
        <v>14498000</v>
      </c>
      <c r="BH32" s="192">
        <f>IFERROR(INDEX('[1]SALES PERTYPE'!$V$10:$V$52,MATCH($C32,'[1]SALES PERTYPE'!$B$10:$B$52,0)),0)</f>
        <v>0</v>
      </c>
      <c r="BI32" s="192">
        <f>IFERROR(INDEX('[1]Sales per type juli'!$D$10:$BA$51,MATCH($C32,'[1]Sales per type juli'!$B$10:$B$51,0),MATCH("Y31d",'[1]Sales per type juli'!$D$8:$BA$8,0)),0)</f>
        <v>0</v>
      </c>
      <c r="BJ32" s="192">
        <f>BH32-BI32</f>
        <v>0</v>
      </c>
      <c r="BK32" s="192">
        <f>IFERROR(INDEX('[1]SALES PERTYPE'!$W$10:$W$52,MATCH($C32,'[1]SALES PERTYPE'!$B$10:$B$52,0)),0)</f>
        <v>0</v>
      </c>
      <c r="BL32" s="192" cm="1">
        <f t="array" ref="BL32">IFERROR(INDEX('[1]Sales per type juli'!$D$10:$BA$51,MATCH($C32,'[1]Sales per type juli'!$B$10:$B$51,0),MATCH("Y31d",'[1]Sales per type juli'!$D$8:$BA$8,0)+1),0)</f>
        <v>0</v>
      </c>
      <c r="BM32" s="192">
        <f>BK32-BL32</f>
        <v>0</v>
      </c>
      <c r="BN32" s="192">
        <f>IFERROR(INDEX('[1]SALES PERTYPE'!$X$10:$X$52,MATCH($C32,'[1]SALES PERTYPE'!$B$10:$B$52,0)),0)</f>
        <v>3</v>
      </c>
      <c r="BO32" s="192">
        <f>IFERROR(INDEX('[1]Sales per type juli'!$D$10:$BA$51,MATCH($C32,'[1]Sales per type juli'!$B$10:$B$51,0),MATCH("Y500",'[1]Sales per type juli'!$D$8:$BA$8,0)),0)</f>
        <v>1</v>
      </c>
      <c r="BP32" s="192">
        <f>BN32-BO32</f>
        <v>2</v>
      </c>
      <c r="BQ32" s="192">
        <f>IFERROR(INDEX('[1]SALES PERTYPE'!$Y$10:$Y$52,MATCH($C32,'[1]SALES PERTYPE'!$B$10:$B$52,0)),0)</f>
        <v>16497000</v>
      </c>
      <c r="BR32" s="192" cm="1">
        <f t="array" ref="BR32">IFERROR(INDEX('[1]Sales per type juli'!$D$10:$BA$51,MATCH($C32,'[1]Sales per type juli'!$B$10:$B$51,0),MATCH("Y500",'[1]Sales per type juli'!$D$8:$BA$8,0)+1),0)</f>
        <v>6299000</v>
      </c>
      <c r="BS32" s="192">
        <f>BQ32-BR32</f>
        <v>10198000</v>
      </c>
      <c r="BT32" s="192">
        <f>IFERROR(INDEX('[1]SALES PERTYPE'!$Z$10:$Z$52,MATCH($C32,'[1]SALES PERTYPE'!$B$10:$B$52,0)),0)</f>
        <v>1</v>
      </c>
      <c r="BU32" s="192">
        <f>IFERROR(INDEX('[1]Sales per type juli'!$D$10:$BA$51,MATCH($C32,'[1]Sales per type juli'!$B$10:$B$51,0),MATCH("IQOO 15R",'[1]Sales per type juli'!$D$8:$BA$8,0)),0)</f>
        <v>0</v>
      </c>
      <c r="BV32" s="192">
        <f>BT32-BU32</f>
        <v>1</v>
      </c>
      <c r="BW32" s="192">
        <f>IFERROR(INDEX('[1]SALES PERTYPE'!$AA$10:$AA$52,MATCH($C32,'[1]SALES PERTYPE'!$B$10:$B$52,0)),0)</f>
        <v>11999000</v>
      </c>
      <c r="BX32" s="192" cm="1">
        <f t="array" ref="BX32">IFERROR(INDEX('[1]Sales per type juli'!$D$10:$BA$51,MATCH($C32,'[1]Sales per type juli'!$B$10:$B$51,0),MATCH("IQOO 15R",'[1]Sales per type juli'!$D$8:$BA$8,0)+1),0)</f>
        <v>0</v>
      </c>
      <c r="BY32" s="192">
        <f>BW32-BX32</f>
        <v>11999000</v>
      </c>
      <c r="BZ32" s="192">
        <f>IFERROR(INDEX('[1]SALES PERTYPE'!$AB$10:$AB$52,MATCH($C32,'[1]SALES PERTYPE'!$B$10:$B$52,0)),0)</f>
        <v>0</v>
      </c>
      <c r="CA32" s="192">
        <f>IFERROR(INDEX('[1]Sales per type juli'!$D$10:$BA$51,MATCH($C32,'[1]Sales per type juli'!$B$10:$B$51,0),MATCH("V60 Lite",'[1]Sales per type juli'!$D$8:$BA$8,0)),0)</f>
        <v>0</v>
      </c>
      <c r="CB32" s="192">
        <f>BZ32-CA32</f>
        <v>0</v>
      </c>
      <c r="CC32" s="192">
        <f>IFERROR(INDEX('[1]SALES PERTYPE'!$AC$10:$AC$52,MATCH($C32,'[1]SALES PERTYPE'!$B$10:$B$52,0)),0)</f>
        <v>0</v>
      </c>
      <c r="CD32" s="192" cm="1">
        <f t="array" ref="CD32">IFERROR(INDEX('[1]Sales per type juli'!$D$10:$BA$51,MATCH($C32,'[1]Sales per type juli'!$B$10:$B$51,0),MATCH("V60 Lite",'[1]Sales per type juli'!$D$8:$BA$8,0)+1),0)</f>
        <v>0</v>
      </c>
      <c r="CE32" s="192">
        <f>CC32-CD32</f>
        <v>0</v>
      </c>
      <c r="CF32" s="192">
        <f>IFERROR(INDEX('[1]SALES PERTYPE'!$AD$10:$AD$52,MATCH($C32,'[1]SALES PERTYPE'!$B$10:$B$52,0)),0)</f>
        <v>0</v>
      </c>
      <c r="CG32" s="192">
        <f>IFERROR(INDEX('[1]Sales per type juli'!$D$10:$BA$51,MATCH($C32,'[1]Sales per type juli'!$B$10:$B$51,0),MATCH("X300 Ultra",'[1]Sales per type juli'!$D$8:$BA$8,0)),0)</f>
        <v>0</v>
      </c>
      <c r="CH32" s="192">
        <f>CF32-CG32</f>
        <v>0</v>
      </c>
      <c r="CI32" s="192">
        <f>IFERROR(INDEX('[1]SALES PERTYPE'!$AE$10:$AE$52,MATCH($C32,'[1]SALES PERTYPE'!$B$10:$B$52,0)),0)</f>
        <v>0</v>
      </c>
      <c r="CJ32" s="192" cm="1">
        <f t="array" ref="CJ32">IFERROR(INDEX('[1]Sales per type juli'!$D$10:$BA$51,MATCH($C32,'[1]Sales per type juli'!$B$10:$B$51,0),MATCH("X300 Ultra",'[1]Sales per type juli'!$D$8:$BA$8,0)+1),0)</f>
        <v>0</v>
      </c>
      <c r="CK32" s="192">
        <f>CI32-CJ32</f>
        <v>0</v>
      </c>
      <c r="CL32" s="192">
        <f>IFERROR(INDEX('[1]SALES PERTYPE'!$AF$10:$AF$52,MATCH($C32,'[1]SALES PERTYPE'!$B$10:$B$52,0)),0)</f>
        <v>0</v>
      </c>
      <c r="CM32" s="192">
        <f>IFERROR(INDEX('[1]Sales per type juli'!$D$10:$BA$51,MATCH($C32,'[1]Sales per type juli'!$B$10:$B$51,0),MATCH("IQOO 15",'[1]Sales per type juli'!$D$8:$BA$8,0)),0)</f>
        <v>0</v>
      </c>
      <c r="CN32" s="192">
        <f>CL32-CM32</f>
        <v>0</v>
      </c>
      <c r="CO32" s="192">
        <f>IFERROR(INDEX('[1]SALES PERTYPE'!$AG$10:$AG$52,MATCH($C32,'[1]SALES PERTYPE'!$B$10:$B$52,0)),0)</f>
        <v>0</v>
      </c>
      <c r="CP32" s="192" cm="1">
        <f t="array" ref="CP32">IFERROR(INDEX('[1]Sales per type juli'!$D$10:$BA$51,MATCH($C32,'[1]Sales per type juli'!$B$10:$B$51,0),MATCH("IQOO 15",'[1]Sales per type juli'!$D$8:$BA$8,0)+1),0)</f>
        <v>0</v>
      </c>
      <c r="CQ32" s="192">
        <f>CO32-CP32</f>
        <v>0</v>
      </c>
      <c r="CR32" s="192">
        <f>IFERROR(INDEX('[1]SALES PERTYPE'!$AH$10:$AH$52,MATCH($C32,'[1]SALES PERTYPE'!$B$10:$B$52,0)),0)</f>
        <v>0</v>
      </c>
      <c r="CS32" s="192">
        <f>IFERROR(INDEX('[1]Sales per type juli'!$D$10:$BA$51,MATCH($C32,'[1]Sales per type juli'!$B$10:$B$51,0),MATCH("IQOO Z11x",'[1]Sales per type juli'!$D$8:$BA$8,0)),0)</f>
        <v>1</v>
      </c>
      <c r="CT32" s="192">
        <f>CR32-CS32</f>
        <v>-1</v>
      </c>
      <c r="CU32" s="192">
        <f>IFERROR(INDEX('[1]SALES PERTYPE'!$AI$10:$AI$52,MATCH($C32,'[1]SALES PERTYPE'!$B$10:$B$52,0)),0)</f>
        <v>0</v>
      </c>
      <c r="CV32" s="192" cm="1">
        <f t="array" ref="CV32">IFERROR(INDEX('[1]Sales per type juli'!$D$10:$BA$51,MATCH($C32,'[1]Sales per type juli'!$B$10:$B$51,0),MATCH("IQOO Z11x",'[1]Sales per type juli'!$D$8:$BA$8,0)+1),0)</f>
        <v>4799000</v>
      </c>
      <c r="CW32" s="192">
        <f>CU32-CV32</f>
        <v>-4799000</v>
      </c>
      <c r="CX32" s="192">
        <f>IFERROR(INDEX('[1]SALES PERTYPE'!$AJ$10:$AJ$52,MATCH($C32,'[1]SALES PERTYPE'!$B$10:$B$52,0)),0)</f>
        <v>3</v>
      </c>
      <c r="CY32" s="192">
        <f>IFERROR(INDEX('[1]Sales per type juli'!$D$10:$BA$51,MATCH($C32,'[1]Sales per type juli'!$B$10:$B$51,0),MATCH("IQOO Z11",'[1]Sales per type juli'!$D$8:$BA$8,0)),0)</f>
        <v>3</v>
      </c>
      <c r="CZ32" s="192">
        <f>CX32-CY32</f>
        <v>0</v>
      </c>
      <c r="DA32" s="192">
        <f>IFERROR(INDEX('[1]SALES PERTYPE'!$AK$10:$AK$52,MATCH($C32,'[1]SALES PERTYPE'!$B$10:$B$52,0)),0)</f>
        <v>22197000</v>
      </c>
      <c r="DB32" s="192" cm="1">
        <f t="array" ref="DB32">IFERROR(INDEX('[1]Sales per type juli'!$D$10:$BA$51,MATCH($C32,'[1]Sales per type juli'!$B$10:$B$51,0),MATCH("IQOO Z11",'[1]Sales per type juli'!$D$8:$BA$8,0)+1),0)</f>
        <v>17097000</v>
      </c>
      <c r="DC32" s="192">
        <f>DA32-DB32</f>
        <v>5100000</v>
      </c>
      <c r="DD32" s="192">
        <v>0</v>
      </c>
      <c r="DE32" s="192">
        <f>IFERROR(INDEX('[1]Sales per type juli'!$D$10:$BA$51,MATCH($C32,'[1]Sales per type juli'!$B$10:$B$51,0),MATCH("WATCH 3",'[1]Sales per type juli'!$D$8:$BA$8,0)),0)</f>
        <v>0</v>
      </c>
      <c r="DF32" s="192">
        <f>DD32-DE32</f>
        <v>0</v>
      </c>
      <c r="DG32" s="192">
        <v>0</v>
      </c>
      <c r="DH32" s="192" cm="1">
        <f t="array" ref="DH32">IFERROR(INDEX('[1]Sales per type juli'!$D$10:$BA$51,MATCH($C32,'[1]Sales per type juli'!$B$10:$B$51,0),MATCH("WATCH 3",'[1]Sales per type juli'!$D$8:$BA$8,0)+1),0)</f>
        <v>0</v>
      </c>
      <c r="DI32" s="192">
        <f>DG32-DH32</f>
        <v>0</v>
      </c>
      <c r="DJ32" s="192">
        <v>0</v>
      </c>
      <c r="DK32" s="192">
        <f>IFERROR(INDEX('[1]Sales per type juli'!$D$10:$BA$51,MATCH($C32,'[1]Sales per type juli'!$B$10:$B$51,0),MATCH("X300 Demo",'[1]Sales per type juli'!$D$8:$BA$8,0)),0)</f>
        <v>0</v>
      </c>
      <c r="DL32" s="192">
        <f>DJ32-DK32</f>
        <v>0</v>
      </c>
      <c r="DM32" s="192">
        <v>0</v>
      </c>
      <c r="DN32" s="192" cm="1">
        <f t="array" ref="DN32">IFERROR(INDEX('[1]Sales per type juli'!$D$10:$BA$51,MATCH($C32,'[1]Sales per type juli'!$B$10:$B$51,0),MATCH("X300 Demo",'[1]Sales per type juli'!$D$8:$BA$8,0)+1),0)</f>
        <v>0</v>
      </c>
      <c r="DO32" s="192">
        <f>DM32-DN32</f>
        <v>0</v>
      </c>
      <c r="DP32" s="192">
        <v>0</v>
      </c>
      <c r="DQ32" s="192">
        <f>IFERROR(INDEX('[1]Sales per type juli'!$D$10:$BA$51,MATCH($C32,'[1]Sales per type juli'!$B$10:$B$51,0),MATCH("X300 Pro Demo",'[1]Sales per type juli'!$D$8:$BA$8,0)),0)</f>
        <v>0</v>
      </c>
      <c r="DR32" s="192">
        <f>DP32-DQ32</f>
        <v>0</v>
      </c>
      <c r="DS32" s="192">
        <v>0</v>
      </c>
      <c r="DT32" s="192" cm="1">
        <f t="array" ref="DT32">IFERROR(INDEX('[1]Sales per type juli'!$D$10:$BA$51,MATCH($C32,'[1]Sales per type juli'!$B$10:$B$51,0),MATCH("X300 Pro Demo",'[1]Sales per type juli'!$D$8:$BA$8,0)+1),0)</f>
        <v>0</v>
      </c>
      <c r="DU32" s="192">
        <f>DS32-DT32</f>
        <v>0</v>
      </c>
      <c r="DV32" s="192">
        <v>0</v>
      </c>
      <c r="DW32" s="192">
        <f>IFERROR(INDEX('[1]Sales per type juli'!$D$10:$BA$51,MATCH($C32,'[1]Sales per type juli'!$B$10:$B$51,0),MATCH("X Fold5 DEMO",'[1]Sales per type juli'!$D$8:$BA$8,0)),0)</f>
        <v>0</v>
      </c>
      <c r="DX32" s="192">
        <f>DV32-DW32</f>
        <v>0</v>
      </c>
      <c r="DY32" s="192">
        <v>0</v>
      </c>
      <c r="DZ32" s="192" cm="1">
        <f t="array" ref="DZ32">IFERROR(INDEX('[1]Sales per type juli'!$D$10:$BA$51,MATCH($C32,'[1]Sales per type juli'!$B$10:$B$51,0),MATCH("X Fold5 DEMO",'[1]Sales per type juli'!$D$8:$BA$8,0)+1),0)</f>
        <v>0</v>
      </c>
      <c r="EA32" s="192">
        <f>DY32-DZ32</f>
        <v>0</v>
      </c>
      <c r="EB32" s="192">
        <v>0</v>
      </c>
      <c r="EC32" s="192">
        <f>IFERROR(INDEX('[1]Sales per type juli'!$D$10:$BA$51,MATCH($C32,'[1]Sales per type juli'!$B$10:$B$51,0),MATCH("X Fold5",'[1]Sales per type juli'!$D$8:$BA$8,0)),0)</f>
        <v>0</v>
      </c>
      <c r="ED32" s="192">
        <f>EB32-EC32</f>
        <v>0</v>
      </c>
      <c r="EE32" s="192">
        <v>0</v>
      </c>
      <c r="EF32" s="192" cm="1">
        <f t="array" ref="EF32">IFERROR(INDEX('[1]Sales per type juli'!$D$10:$BA$51,MATCH($C32,'[1]Sales per type juli'!$B$10:$B$51,0),MATCH("X Fold5",'[1]Sales per type juli'!$D$8:$BA$8,0)+1),0)</f>
        <v>0</v>
      </c>
      <c r="EG32" s="192">
        <f>EE32-EF32</f>
        <v>0</v>
      </c>
      <c r="EH32" s="192">
        <v>0</v>
      </c>
      <c r="EI32" s="192">
        <f>IFERROR(INDEX('[1]Sales per type juli'!$D$10:$BA$51,MATCH($C32,'[1]Sales per type juli'!$B$10:$B$51,0),MATCH("IQOO 15 Demo",'[1]Sales per type juli'!$D$8:$BA$8,0)),0)</f>
        <v>0</v>
      </c>
      <c r="EJ32" s="192">
        <f>EH32-EI32</f>
        <v>0</v>
      </c>
      <c r="EK32" s="192">
        <v>0</v>
      </c>
      <c r="EL32" s="192" cm="1">
        <f t="array" ref="EL32">IFERROR(INDEX('[1]Sales per type juli'!$D$10:$BA$51,MATCH($C32,'[1]Sales per type juli'!$B$10:$B$51,0),MATCH("IQOO 15 Demo",'[1]Sales per type juli'!$D$8:$BA$8,0)+1),0)</f>
        <v>0</v>
      </c>
      <c r="EM32" s="192">
        <f>EK32-EL32</f>
        <v>0</v>
      </c>
      <c r="EN32" s="192">
        <v>0</v>
      </c>
      <c r="EO32" s="192">
        <f>IFERROR(INDEX('[1]Sales per type juli'!$D$10:$BA$51,MATCH($C32,'[1]Sales per type juli'!$B$10:$B$51,0),MATCH("X300 PRO",'[1]Sales per type juli'!$D$8:$BA$8,0)),0)</f>
        <v>0</v>
      </c>
      <c r="EP32" s="192">
        <f>EN32-EO32</f>
        <v>0</v>
      </c>
      <c r="EQ32" s="192">
        <v>0</v>
      </c>
      <c r="ER32" s="192" cm="1">
        <f t="array" ref="ER32">IFERROR(INDEX('[1]Sales per type juli'!$D$10:$BA$51,MATCH($C32,'[1]Sales per type juli'!$B$10:$B$51,0),MATCH("X300 PRO",'[1]Sales per type juli'!$D$8:$BA$8,0)+1),0)</f>
        <v>0</v>
      </c>
      <c r="ES32" s="192">
        <f>EQ32-ER32</f>
        <v>0</v>
      </c>
      <c r="ET32" s="192">
        <v>0</v>
      </c>
      <c r="EU32" s="192">
        <f>IFERROR(INDEX('[1]Sales per type juli'!$D$10:$BA$51,MATCH($C32,'[1]Sales per type juli'!$B$10:$B$51,0),MATCH("X300 ",'[1]Sales per type juli'!$D$8:$BA$8,0)),0)</f>
        <v>0</v>
      </c>
      <c r="EV32" s="192">
        <f>ET32-EU32</f>
        <v>0</v>
      </c>
      <c r="EW32" s="192">
        <v>0</v>
      </c>
      <c r="EX32" s="192" cm="1">
        <f t="array" ref="EX32">IFERROR(INDEX('[1]Sales per type juli'!$D$10:$BA$51,MATCH($C32,'[1]Sales per type juli'!$B$10:$B$51,0),MATCH("X300 ",'[1]Sales per type juli'!$D$8:$BA$8,0)+1),0)</f>
        <v>0</v>
      </c>
      <c r="EY32" s="192">
        <f>EW32-EX32</f>
        <v>0</v>
      </c>
      <c r="EZ32" s="192">
        <f>F32+L32+R32+X32+AD32+AJ32+AP32+AV32+BB32+BH32+BN32+BT32+BZ32+CF32+CL32+CR32+CX32+DD32+DJ32+DP32+DV32+EB32+EH32+EN32+ET32</f>
        <v>16</v>
      </c>
      <c r="FA32" s="192">
        <f>G32+M32+S32+Y32+AE32+AK32+AQ32+AW32+BC32+BI32+BO32+BU32+CA32+CG32+CM32+CS32+CY32+DE32+DK32+DQ32+DW32+EC32+EI32+EO32+EU32</f>
        <v>14</v>
      </c>
      <c r="FB32" s="192">
        <f>EZ32-FA32</f>
        <v>2</v>
      </c>
      <c r="FC32" s="192">
        <f>I32+O32+U32+AA32+AG32+AM32+AS32+AY32+BE32+BK32+BQ32+BW32+CC32+CI32+CO32+CU32+DA32+DG32+DM32+DS32+DY32+EE32+EK32+EQ32+EW32</f>
        <v>99784000</v>
      </c>
      <c r="FD32" s="192">
        <f>J32+P32+V32+AB32+AH32+AN32+AT32+AZ32+BF32+BL32+BR32+BX32+CD32+CJ32+CP32+CV32+DB32+DH32+DN32+DT32+DZ32+EF32+EL32+ER32+EX32</f>
        <v>56186000</v>
      </c>
      <c r="FE32" s="192">
        <f>FC32-FD32</f>
        <v>43598000</v>
      </c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</row>
    <row r="33" spans="1:208" ht="16" x14ac:dyDescent="0.2">
      <c r="A33" s="137">
        <f>'[1]ACHIEVEMENT STORE'!A33</f>
        <v>29</v>
      </c>
      <c r="B33" s="138" t="str">
        <f>'[1]ACHIEVEMENT STORE'!B33</f>
        <v>624-万丹BANTEN</v>
      </c>
      <c r="C33" s="137">
        <f>'[1]ACHIEVEMENT STORE'!C33</f>
        <v>6240709</v>
      </c>
      <c r="D33" s="138" t="str">
        <f>'[1]ACHIEVEMENT STORE'!D33</f>
        <v>6240709-ITC BSD 1F49-50</v>
      </c>
      <c r="E33" s="138" t="str">
        <f>'[1]ACHIEVEMENT STORE'!E33</f>
        <v>ARIES FITRIYANTO</v>
      </c>
      <c r="F33" s="192">
        <f>IFERROR(INDEX('[1]SALES PERTYPE'!$D$10:$D$52,MATCH($C33,'[1]SALES PERTYPE'!$B$10:$B$52,0)),0)</f>
        <v>1</v>
      </c>
      <c r="G33" s="192">
        <f>IFERROR(INDEX('[1]Sales per type juli'!$D$10:$BA$51,MATCH($C33,'[1]Sales per type juli'!$B$10:$B$51,0),MATCH("Y05",'[1]Sales per type juli'!$D$8:$BA$8,0)),0)</f>
        <v>0</v>
      </c>
      <c r="H33" s="192">
        <f>F33-G33</f>
        <v>1</v>
      </c>
      <c r="I33" s="192">
        <f>IFERROR(INDEX('[1]SALES PERTYPE'!$E$10:$E$52,MATCH($C33,'[1]SALES PERTYPE'!$B$10:$B$52,0)),0)</f>
        <v>2299000</v>
      </c>
      <c r="J33" s="192" cm="1">
        <f t="array" ref="J33">IFERROR(INDEX('[1]Sales per type juli'!$D$10:$BA$51,MATCH($C33,'[1]Sales per type juli'!$B$10:$B$51,0),MATCH("Y05",'[1]Sales per type juli'!$D$8:$BA$8,0)+1),0)</f>
        <v>0</v>
      </c>
      <c r="K33" s="192">
        <f>I33-J33</f>
        <v>2299000</v>
      </c>
      <c r="L33" s="192">
        <f>IFERROR(INDEX('[1]SALES PERTYPE'!$F$10:$F$52,MATCH($C33,'[1]SALES PERTYPE'!$B$10:$B$52,0)),0)</f>
        <v>1</v>
      </c>
      <c r="M33" s="192">
        <f>IFERROR(INDEX('[1]Sales per type juli'!$D$10:$BA$51,MATCH($C33,'[1]Sales per type juli'!$B$10:$B$51,0),MATCH("Y11d",'[1]Sales per type juli'!$D$8:$BA$8,0)),0)</f>
        <v>1</v>
      </c>
      <c r="N33" s="192">
        <f>L33-M33</f>
        <v>0</v>
      </c>
      <c r="O33" s="192">
        <f>IFERROR(INDEX('[1]SALES PERTYPE'!$G$10:$G$52,MATCH($C33,'[1]SALES PERTYPE'!$B$10:$B$52,0)),0)</f>
        <v>2399000</v>
      </c>
      <c r="P33" s="192" cm="1">
        <f t="array" ref="P33">IFERROR(INDEX('[1]Sales per type juli'!$D$10:$BA$51,MATCH($C33,'[1]Sales per type juli'!$B$10:$B$51,0),MATCH("Y11d",'[1]Sales per type juli'!$D$8:$BA$8,0)+1),0)</f>
        <v>2399000</v>
      </c>
      <c r="Q33" s="192">
        <f>O33-P33</f>
        <v>0</v>
      </c>
      <c r="R33" s="192">
        <f>IFERROR(INDEX('[1]SALES PERTYPE'!$H$10:$H$52,MATCH($C33,'[1]SALES PERTYPE'!$B$10:$B$52,0)),0)</f>
        <v>0</v>
      </c>
      <c r="S33" s="192">
        <f>IFERROR(INDEX('[1]Sales per type juli'!$D$10:$BA$51,MATCH($C33,'[1]Sales per type juli'!$B$10:$B$51,0),MATCH("Watch GT 2",'[1]Sales per type juli'!$D$8:$BA$8,0)),0)</f>
        <v>0</v>
      </c>
      <c r="T33" s="192">
        <f>R33-S33</f>
        <v>0</v>
      </c>
      <c r="U33" s="192">
        <f>IFERROR(INDEX('[1]SALES PERTYPE'!$I$10:$I$52,MATCH($C33,'[1]SALES PERTYPE'!$B$10:$B$52,0)),0)</f>
        <v>0</v>
      </c>
      <c r="V33" s="192" cm="1">
        <f t="array" ref="V33">IFERROR(INDEX('[1]Sales per type juli'!$D$10:$BA$51,MATCH($C33,'[1]Sales per type juli'!$B$10:$B$51,0),MATCH("Watch GT 2",'[1]Sales per type juli'!$D$8:$BA$8,0)+1),0)</f>
        <v>0</v>
      </c>
      <c r="W33" s="192">
        <f>U33-V33</f>
        <v>0</v>
      </c>
      <c r="X33" s="192">
        <f>IFERROR(INDEX('[1]SALES PERTYPE'!$J$10:$J$52,MATCH($C33,'[1]SALES PERTYPE'!$B$10:$B$52,0)),0)</f>
        <v>0</v>
      </c>
      <c r="Y33" s="192">
        <f>IFERROR(INDEX('[1]Sales per type juli'!$D$10:$BA$51,MATCH($C33,'[1]Sales per type juli'!$B$10:$B$51,0),MATCH("Y05e",'[1]Sales per type juli'!$D$8:$BA$8,0)),0)</f>
        <v>0</v>
      </c>
      <c r="Z33" s="192">
        <f>X33-Y33</f>
        <v>0</v>
      </c>
      <c r="AA33" s="192">
        <f>IFERROR(INDEX('[1]SALES PERTYPE'!$K$10:$K$52,MATCH($C33,'[1]SALES PERTYPE'!$B$10:$B$52,0)),0)</f>
        <v>0</v>
      </c>
      <c r="AB33" s="192" cm="1">
        <f t="array" ref="AB33">IFERROR(INDEX('[1]Sales per type juli'!$D$10:$BA$51,MATCH($C33,'[1]Sales per type juli'!$B$10:$B$51,0),MATCH("Y05e",'[1]Sales per type juli'!$D$8:$BA$8,0)+1),0)</f>
        <v>0</v>
      </c>
      <c r="AC33" s="192">
        <f>AA33-AB33</f>
        <v>0</v>
      </c>
      <c r="AD33" s="192">
        <f>IFERROR(INDEX('[1]SALES PERTYPE'!$L$10:$L$52,MATCH($C33,'[1]SALES PERTYPE'!$B$10:$B$52,0)),0)</f>
        <v>0</v>
      </c>
      <c r="AE33" s="192">
        <f>IFERROR(INDEX('[1]Sales per type juli'!$D$10:$BA$51,MATCH($C33,'[1]Sales per type juli'!$B$10:$B$51,0),MATCH("V70",'[1]Sales per type juli'!$D$8:$BA$8,0)),0)</f>
        <v>1</v>
      </c>
      <c r="AF33" s="192">
        <f>AD33-AE33</f>
        <v>-1</v>
      </c>
      <c r="AG33" s="192">
        <f>IFERROR(INDEX('[1]SALES PERTYPE'!$M$10:$M$52,MATCH($C33,'[1]SALES PERTYPE'!$B$10:$B$52,0)),0)</f>
        <v>0</v>
      </c>
      <c r="AH33" s="192" cm="1">
        <f t="array" ref="AH33">IFERROR(INDEX('[1]Sales per type juli'!$D$10:$BA$51,MATCH($C33,'[1]Sales per type juli'!$B$10:$B$51,0),MATCH("V70",'[1]Sales per type juli'!$D$8:$BA$8,0)+1),0)</f>
        <v>8999000</v>
      </c>
      <c r="AI33" s="192">
        <f>AG33-AH33</f>
        <v>-8999000</v>
      </c>
      <c r="AJ33" s="192">
        <f>IFERROR(INDEX('[1]SALES PERTYPE'!$N$10:$N$52,MATCH($C33,'[1]SALES PERTYPE'!$B$10:$B$52,0)),0)</f>
        <v>3</v>
      </c>
      <c r="AK33" s="192">
        <f>IFERROR(INDEX('[1]Sales per type juli'!$D$10:$BA$51,MATCH($C33,'[1]Sales per type juli'!$B$10:$B$51,0),MATCH("Y31d Pro",'[1]Sales per type juli'!$D$8:$BA$8,0)),0)</f>
        <v>3</v>
      </c>
      <c r="AL33" s="192">
        <f>AJ33-AK33</f>
        <v>0</v>
      </c>
      <c r="AM33" s="192">
        <f>IFERROR(INDEX('[1]SALES PERTYPE'!$O$10:$O$52,MATCH($C33,'[1]SALES PERTYPE'!$B$10:$B$52,0)),0)</f>
        <v>12497000</v>
      </c>
      <c r="AN33" s="192" cm="1">
        <f t="array" ref="AN33">IFERROR(INDEX('[1]Sales per type juli'!$D$10:$BA$51,MATCH($C33,'[1]Sales per type juli'!$B$10:$B$51,0),MATCH("Y31d Pro",'[1]Sales per type juli'!$D$8:$BA$8,0)+1),0)</f>
        <v>14697000</v>
      </c>
      <c r="AO33" s="192">
        <f>AM33-AN33</f>
        <v>-2200000</v>
      </c>
      <c r="AP33" s="192">
        <f>IFERROR(INDEX('[1]SALES PERTYPE'!$P$10:$P$52,MATCH($C33,'[1]SALES PERTYPE'!$B$10:$B$52,0)),0)</f>
        <v>0</v>
      </c>
      <c r="AQ33" s="192" cm="1">
        <f t="array" ref="AQ33">IFERROR(INDEX('[1]Sales per type juli'!$D$10:$BA$51,MATCH($C33,'[1]Sales per type juli'!$B$10:$B$51,0),$FG$2),0)</f>
        <v>0</v>
      </c>
      <c r="AR33" s="192">
        <f>AP33-AQ33</f>
        <v>0</v>
      </c>
      <c r="AS33" s="192">
        <f>IFERROR(INDEX('[1]SALES PERTYPE'!$Q$10:$Q$52,MATCH($C33,'[1]SALES PERTYPE'!$B$10:$B$52,0)),0)</f>
        <v>0</v>
      </c>
      <c r="AT33" s="192" cm="1">
        <f t="array" ref="AT33">IFERROR(INDEX('[1]Sales per type juli'!$D$10:$BA$51,MATCH($C33,'[1]Sales per type juli'!$B$10:$B$51,0),$FG$2+1),0)</f>
        <v>0</v>
      </c>
      <c r="AU33" s="192">
        <f>AS33-AT33</f>
        <v>0</v>
      </c>
      <c r="AV33" s="192">
        <f>IFERROR(INDEX('[1]SALES PERTYPE'!$R$10:$R$52,MATCH($C33,'[1]SALES PERTYPE'!$B$10:$B$52,0)),0)</f>
        <v>0</v>
      </c>
      <c r="AW33" s="192">
        <f>IFERROR(INDEX('[1]Sales per type juli'!$D$10:$BA$51,MATCH($C33,'[1]Sales per type juli'!$B$10:$B$51,0),MATCH("Y31d ",'[1]Sales per type juli'!$D$8:$BA$8,0)),0)</f>
        <v>0</v>
      </c>
      <c r="AX33" s="192">
        <f>AV33-AW33</f>
        <v>0</v>
      </c>
      <c r="AY33" s="192">
        <f>IFERROR(INDEX('[1]SALES PERTYPE'!$S$10:$S$52,MATCH($C33,'[1]SALES PERTYPE'!$B$10:$B$52,0)),0)</f>
        <v>0</v>
      </c>
      <c r="AZ33" s="192" cm="1">
        <f t="array" ref="AZ33">IFERROR(INDEX('[1]Sales per type juli'!$D$10:$BA$51,MATCH($C33,'[1]Sales per type juli'!$B$10:$B$51,0),MATCH("Y31d ",'[1]Sales per type juli'!$D$8:$BA$8,0)+1),0)</f>
        <v>0</v>
      </c>
      <c r="BA33" s="192">
        <f>AY33-AZ33</f>
        <v>0</v>
      </c>
      <c r="BB33" s="192">
        <f>IFERROR(INDEX('[1]SALES PERTYPE'!$T$10:$T$52,MATCH($C33,'[1]SALES PERTYPE'!$B$10:$B$52,0)),0)</f>
        <v>1</v>
      </c>
      <c r="BC33" s="192">
        <f>IFERROR(INDEX('[1]Sales per type juli'!$D$10:$BA$51,MATCH($C33,'[1]Sales per type juli'!$B$10:$B$51,0),MATCH("V70 FE",'[1]Sales per type juli'!$D$8:$BA$8,0)),0)</f>
        <v>0</v>
      </c>
      <c r="BD33" s="192">
        <f>BB33-BC33</f>
        <v>1</v>
      </c>
      <c r="BE33" s="192">
        <f>IFERROR(INDEX('[1]SALES PERTYPE'!$U$10:$U$52,MATCH($C33,'[1]SALES PERTYPE'!$B$10:$B$52,0)),0)</f>
        <v>6499000</v>
      </c>
      <c r="BF33" s="192" cm="1">
        <f t="array" ref="BF33">IFERROR(INDEX('[1]Sales per type juli'!$D$10:$BA$51,MATCH($C33,'[1]Sales per type juli'!$B$10:$B$51,0),MATCH("V70 FE",'[1]Sales per type juli'!$D$8:$BA$8,0)+1),0)</f>
        <v>0</v>
      </c>
      <c r="BG33" s="192">
        <f>BE33-BF33</f>
        <v>6499000</v>
      </c>
      <c r="BH33" s="192">
        <f>IFERROR(INDEX('[1]SALES PERTYPE'!$V$10:$V$52,MATCH($C33,'[1]SALES PERTYPE'!$B$10:$B$52,0)),0)</f>
        <v>0</v>
      </c>
      <c r="BI33" s="192">
        <f>IFERROR(INDEX('[1]Sales per type juli'!$D$10:$BA$51,MATCH($C33,'[1]Sales per type juli'!$B$10:$B$51,0),MATCH("Y31d",'[1]Sales per type juli'!$D$8:$BA$8,0)),0)</f>
        <v>0</v>
      </c>
      <c r="BJ33" s="192">
        <f>BH33-BI33</f>
        <v>0</v>
      </c>
      <c r="BK33" s="192">
        <f>IFERROR(INDEX('[1]SALES PERTYPE'!$W$10:$W$52,MATCH($C33,'[1]SALES PERTYPE'!$B$10:$B$52,0)),0)</f>
        <v>0</v>
      </c>
      <c r="BL33" s="192" cm="1">
        <f t="array" ref="BL33">IFERROR(INDEX('[1]Sales per type juli'!$D$10:$BA$51,MATCH($C33,'[1]Sales per type juli'!$B$10:$B$51,0),MATCH("Y31d",'[1]Sales per type juli'!$D$8:$BA$8,0)+1),0)</f>
        <v>0</v>
      </c>
      <c r="BM33" s="192">
        <f>BK33-BL33</f>
        <v>0</v>
      </c>
      <c r="BN33" s="192">
        <f>IFERROR(INDEX('[1]SALES PERTYPE'!$X$10:$X$52,MATCH($C33,'[1]SALES PERTYPE'!$B$10:$B$52,0)),0)</f>
        <v>1</v>
      </c>
      <c r="BO33" s="192">
        <f>IFERROR(INDEX('[1]Sales per type juli'!$D$10:$BA$51,MATCH($C33,'[1]Sales per type juli'!$B$10:$B$51,0),MATCH("Y500",'[1]Sales per type juli'!$D$8:$BA$8,0)),0)</f>
        <v>0</v>
      </c>
      <c r="BP33" s="192">
        <f>BN33-BO33</f>
        <v>1</v>
      </c>
      <c r="BQ33" s="192">
        <f>IFERROR(INDEX('[1]SALES PERTYPE'!$Y$10:$Y$52,MATCH($C33,'[1]SALES PERTYPE'!$B$10:$B$52,0)),0)</f>
        <v>5499000</v>
      </c>
      <c r="BR33" s="192" cm="1">
        <f t="array" ref="BR33">IFERROR(INDEX('[1]Sales per type juli'!$D$10:$BA$51,MATCH($C33,'[1]Sales per type juli'!$B$10:$B$51,0),MATCH("Y500",'[1]Sales per type juli'!$D$8:$BA$8,0)+1),0)</f>
        <v>0</v>
      </c>
      <c r="BS33" s="192">
        <f>BQ33-BR33</f>
        <v>5499000</v>
      </c>
      <c r="BT33" s="192">
        <f>IFERROR(INDEX('[1]SALES PERTYPE'!$Z$10:$Z$52,MATCH($C33,'[1]SALES PERTYPE'!$B$10:$B$52,0)),0)</f>
        <v>0</v>
      </c>
      <c r="BU33" s="192">
        <f>IFERROR(INDEX('[1]Sales per type juli'!$D$10:$BA$51,MATCH($C33,'[1]Sales per type juli'!$B$10:$B$51,0),MATCH("IQOO 15R",'[1]Sales per type juli'!$D$8:$BA$8,0)),0)</f>
        <v>1</v>
      </c>
      <c r="BV33" s="192">
        <f>BT33-BU33</f>
        <v>-1</v>
      </c>
      <c r="BW33" s="192">
        <f>IFERROR(INDEX('[1]SALES PERTYPE'!$AA$10:$AA$52,MATCH($C33,'[1]SALES PERTYPE'!$B$10:$B$52,0)),0)</f>
        <v>0</v>
      </c>
      <c r="BX33" s="192" cm="1">
        <f t="array" ref="BX33">IFERROR(INDEX('[1]Sales per type juli'!$D$10:$BA$51,MATCH($C33,'[1]Sales per type juli'!$B$10:$B$51,0),MATCH("IQOO 15R",'[1]Sales per type juli'!$D$8:$BA$8,0)+1),0)</f>
        <v>9899000</v>
      </c>
      <c r="BY33" s="192">
        <f>BW33-BX33</f>
        <v>-9899000</v>
      </c>
      <c r="BZ33" s="192">
        <f>IFERROR(INDEX('[1]SALES PERTYPE'!$AB$10:$AB$52,MATCH($C33,'[1]SALES PERTYPE'!$B$10:$B$52,0)),0)</f>
        <v>0</v>
      </c>
      <c r="CA33" s="192">
        <f>IFERROR(INDEX('[1]Sales per type juli'!$D$10:$BA$51,MATCH($C33,'[1]Sales per type juli'!$B$10:$B$51,0),MATCH("V60 Lite",'[1]Sales per type juli'!$D$8:$BA$8,0)),0)</f>
        <v>1</v>
      </c>
      <c r="CB33" s="192">
        <f>BZ33-CA33</f>
        <v>-1</v>
      </c>
      <c r="CC33" s="192">
        <f>IFERROR(INDEX('[1]SALES PERTYPE'!$AC$10:$AC$52,MATCH($C33,'[1]SALES PERTYPE'!$B$10:$B$52,0)),0)</f>
        <v>0</v>
      </c>
      <c r="CD33" s="192" cm="1">
        <f t="array" ref="CD33">IFERROR(INDEX('[1]Sales per type juli'!$D$10:$BA$51,MATCH($C33,'[1]Sales per type juli'!$B$10:$B$51,0),MATCH("V60 Lite",'[1]Sales per type juli'!$D$8:$BA$8,0)+1),0)</f>
        <v>5999000</v>
      </c>
      <c r="CE33" s="192">
        <f>CC33-CD33</f>
        <v>-5999000</v>
      </c>
      <c r="CF33" s="192">
        <f>IFERROR(INDEX('[1]SALES PERTYPE'!$AD$10:$AD$52,MATCH($C33,'[1]SALES PERTYPE'!$B$10:$B$52,0)),0)</f>
        <v>0</v>
      </c>
      <c r="CG33" s="192">
        <f>IFERROR(INDEX('[1]Sales per type juli'!$D$10:$BA$51,MATCH($C33,'[1]Sales per type juli'!$B$10:$B$51,0),MATCH("X300 Ultra",'[1]Sales per type juli'!$D$8:$BA$8,0)),0)</f>
        <v>0</v>
      </c>
      <c r="CH33" s="192">
        <f>CF33-CG33</f>
        <v>0</v>
      </c>
      <c r="CI33" s="192">
        <f>IFERROR(INDEX('[1]SALES PERTYPE'!$AE$10:$AE$52,MATCH($C33,'[1]SALES PERTYPE'!$B$10:$B$52,0)),0)</f>
        <v>0</v>
      </c>
      <c r="CJ33" s="192" cm="1">
        <f t="array" ref="CJ33">IFERROR(INDEX('[1]Sales per type juli'!$D$10:$BA$51,MATCH($C33,'[1]Sales per type juli'!$B$10:$B$51,0),MATCH("X300 Ultra",'[1]Sales per type juli'!$D$8:$BA$8,0)+1),0)</f>
        <v>0</v>
      </c>
      <c r="CK33" s="192">
        <f>CI33-CJ33</f>
        <v>0</v>
      </c>
      <c r="CL33" s="192">
        <f>IFERROR(INDEX('[1]SALES PERTYPE'!$AF$10:$AF$52,MATCH($C33,'[1]SALES PERTYPE'!$B$10:$B$52,0)),0)</f>
        <v>0</v>
      </c>
      <c r="CM33" s="192">
        <f>IFERROR(INDEX('[1]Sales per type juli'!$D$10:$BA$51,MATCH($C33,'[1]Sales per type juli'!$B$10:$B$51,0),MATCH("IQOO 15",'[1]Sales per type juli'!$D$8:$BA$8,0)),0)</f>
        <v>0</v>
      </c>
      <c r="CN33" s="192">
        <f>CL33-CM33</f>
        <v>0</v>
      </c>
      <c r="CO33" s="192">
        <f>IFERROR(INDEX('[1]SALES PERTYPE'!$AG$10:$AG$52,MATCH($C33,'[1]SALES PERTYPE'!$B$10:$B$52,0)),0)</f>
        <v>0</v>
      </c>
      <c r="CP33" s="192" cm="1">
        <f t="array" ref="CP33">IFERROR(INDEX('[1]Sales per type juli'!$D$10:$BA$51,MATCH($C33,'[1]Sales per type juli'!$B$10:$B$51,0),MATCH("IQOO 15",'[1]Sales per type juli'!$D$8:$BA$8,0)+1),0)</f>
        <v>0</v>
      </c>
      <c r="CQ33" s="192">
        <f>CO33-CP33</f>
        <v>0</v>
      </c>
      <c r="CR33" s="192">
        <f>IFERROR(INDEX('[1]SALES PERTYPE'!$AH$10:$AH$52,MATCH($C33,'[1]SALES PERTYPE'!$B$10:$B$52,0)),0)</f>
        <v>1</v>
      </c>
      <c r="CS33" s="192">
        <f>IFERROR(INDEX('[1]Sales per type juli'!$D$10:$BA$51,MATCH($C33,'[1]Sales per type juli'!$B$10:$B$51,0),MATCH("IQOO Z11x",'[1]Sales per type juli'!$D$8:$BA$8,0)),0)</f>
        <v>0</v>
      </c>
      <c r="CT33" s="192">
        <f>CR33-CS33</f>
        <v>1</v>
      </c>
      <c r="CU33" s="192">
        <f>IFERROR(INDEX('[1]SALES PERTYPE'!$AI$10:$AI$52,MATCH($C33,'[1]SALES PERTYPE'!$B$10:$B$52,0)),0)</f>
        <v>5699000</v>
      </c>
      <c r="CV33" s="192" cm="1">
        <f t="array" ref="CV33">IFERROR(INDEX('[1]Sales per type juli'!$D$10:$BA$51,MATCH($C33,'[1]Sales per type juli'!$B$10:$B$51,0),MATCH("IQOO Z11x",'[1]Sales per type juli'!$D$8:$BA$8,0)+1),0)</f>
        <v>0</v>
      </c>
      <c r="CW33" s="192">
        <f>CU33-CV33</f>
        <v>5699000</v>
      </c>
      <c r="CX33" s="192">
        <f>IFERROR(INDEX('[1]SALES PERTYPE'!$AJ$10:$AJ$52,MATCH($C33,'[1]SALES PERTYPE'!$B$10:$B$52,0)),0)</f>
        <v>0</v>
      </c>
      <c r="CY33" s="192">
        <f>IFERROR(INDEX('[1]Sales per type juli'!$D$10:$BA$51,MATCH($C33,'[1]Sales per type juli'!$B$10:$B$51,0),MATCH("IQOO Z11",'[1]Sales per type juli'!$D$8:$BA$8,0)),0)</f>
        <v>1</v>
      </c>
      <c r="CZ33" s="192">
        <f>CX33-CY33</f>
        <v>-1</v>
      </c>
      <c r="DA33" s="192">
        <f>IFERROR(INDEX('[1]SALES PERTYPE'!$AK$10:$AK$52,MATCH($C33,'[1]SALES PERTYPE'!$B$10:$B$52,0)),0)</f>
        <v>0</v>
      </c>
      <c r="DB33" s="192" cm="1">
        <f t="array" ref="DB33">IFERROR(INDEX('[1]Sales per type juli'!$D$10:$BA$51,MATCH($C33,'[1]Sales per type juli'!$B$10:$B$51,0),MATCH("IQOO Z11",'[1]Sales per type juli'!$D$8:$BA$8,0)+1),0)</f>
        <v>5699000</v>
      </c>
      <c r="DC33" s="192">
        <f>DA33-DB33</f>
        <v>-5699000</v>
      </c>
      <c r="DD33" s="192">
        <v>0</v>
      </c>
      <c r="DE33" s="192">
        <f>IFERROR(INDEX('[1]Sales per type juli'!$D$10:$BA$51,MATCH($C33,'[1]Sales per type juli'!$B$10:$B$51,0),MATCH("WATCH 3",'[1]Sales per type juli'!$D$8:$BA$8,0)),0)</f>
        <v>0</v>
      </c>
      <c r="DF33" s="192">
        <f>DD33-DE33</f>
        <v>0</v>
      </c>
      <c r="DG33" s="192">
        <v>0</v>
      </c>
      <c r="DH33" s="192" cm="1">
        <f t="array" ref="DH33">IFERROR(INDEX('[1]Sales per type juli'!$D$10:$BA$51,MATCH($C33,'[1]Sales per type juli'!$B$10:$B$51,0),MATCH("WATCH 3",'[1]Sales per type juli'!$D$8:$BA$8,0)+1),0)</f>
        <v>0</v>
      </c>
      <c r="DI33" s="192">
        <f>DG33-DH33</f>
        <v>0</v>
      </c>
      <c r="DJ33" s="192">
        <v>0</v>
      </c>
      <c r="DK33" s="192">
        <f>IFERROR(INDEX('[1]Sales per type juli'!$D$10:$BA$51,MATCH($C33,'[1]Sales per type juli'!$B$10:$B$51,0),MATCH("X300 Demo",'[1]Sales per type juli'!$D$8:$BA$8,0)),0)</f>
        <v>0</v>
      </c>
      <c r="DL33" s="192">
        <f>DJ33-DK33</f>
        <v>0</v>
      </c>
      <c r="DM33" s="192">
        <v>0</v>
      </c>
      <c r="DN33" s="192" cm="1">
        <f t="array" ref="DN33">IFERROR(INDEX('[1]Sales per type juli'!$D$10:$BA$51,MATCH($C33,'[1]Sales per type juli'!$B$10:$B$51,0),MATCH("X300 Demo",'[1]Sales per type juli'!$D$8:$BA$8,0)+1),0)</f>
        <v>0</v>
      </c>
      <c r="DO33" s="192">
        <f>DM33-DN33</f>
        <v>0</v>
      </c>
      <c r="DP33" s="192">
        <v>0</v>
      </c>
      <c r="DQ33" s="192">
        <f>IFERROR(INDEX('[1]Sales per type juli'!$D$10:$BA$51,MATCH($C33,'[1]Sales per type juli'!$B$10:$B$51,0),MATCH("X300 Pro Demo",'[1]Sales per type juli'!$D$8:$BA$8,0)),0)</f>
        <v>0</v>
      </c>
      <c r="DR33" s="192">
        <f>DP33-DQ33</f>
        <v>0</v>
      </c>
      <c r="DS33" s="192">
        <v>0</v>
      </c>
      <c r="DT33" s="192" cm="1">
        <f t="array" ref="DT33">IFERROR(INDEX('[1]Sales per type juli'!$D$10:$BA$51,MATCH($C33,'[1]Sales per type juli'!$B$10:$B$51,0),MATCH("X300 Pro Demo",'[1]Sales per type juli'!$D$8:$BA$8,0)+1),0)</f>
        <v>0</v>
      </c>
      <c r="DU33" s="192">
        <f>DS33-DT33</f>
        <v>0</v>
      </c>
      <c r="DV33" s="192">
        <v>0</v>
      </c>
      <c r="DW33" s="192">
        <f>IFERROR(INDEX('[1]Sales per type juli'!$D$10:$BA$51,MATCH($C33,'[1]Sales per type juli'!$B$10:$B$51,0),MATCH("X Fold5 DEMO",'[1]Sales per type juli'!$D$8:$BA$8,0)),0)</f>
        <v>0</v>
      </c>
      <c r="DX33" s="192">
        <f>DV33-DW33</f>
        <v>0</v>
      </c>
      <c r="DY33" s="192">
        <v>0</v>
      </c>
      <c r="DZ33" s="192" cm="1">
        <f t="array" ref="DZ33">IFERROR(INDEX('[1]Sales per type juli'!$D$10:$BA$51,MATCH($C33,'[1]Sales per type juli'!$B$10:$B$51,0),MATCH("X Fold5 DEMO",'[1]Sales per type juli'!$D$8:$BA$8,0)+1),0)</f>
        <v>0</v>
      </c>
      <c r="EA33" s="192">
        <f>DY33-DZ33</f>
        <v>0</v>
      </c>
      <c r="EB33" s="192">
        <v>0</v>
      </c>
      <c r="EC33" s="192">
        <f>IFERROR(INDEX('[1]Sales per type juli'!$D$10:$BA$51,MATCH($C33,'[1]Sales per type juli'!$B$10:$B$51,0),MATCH("X Fold5",'[1]Sales per type juli'!$D$8:$BA$8,0)),0)</f>
        <v>0</v>
      </c>
      <c r="ED33" s="192">
        <f>EB33-EC33</f>
        <v>0</v>
      </c>
      <c r="EE33" s="192">
        <v>0</v>
      </c>
      <c r="EF33" s="192" cm="1">
        <f t="array" ref="EF33">IFERROR(INDEX('[1]Sales per type juli'!$D$10:$BA$51,MATCH($C33,'[1]Sales per type juli'!$B$10:$B$51,0),MATCH("X Fold5",'[1]Sales per type juli'!$D$8:$BA$8,0)+1),0)</f>
        <v>0</v>
      </c>
      <c r="EG33" s="192">
        <f>EE33-EF33</f>
        <v>0</v>
      </c>
      <c r="EH33" s="192">
        <v>0</v>
      </c>
      <c r="EI33" s="192">
        <f>IFERROR(INDEX('[1]Sales per type juli'!$D$10:$BA$51,MATCH($C33,'[1]Sales per type juli'!$B$10:$B$51,0),MATCH("IQOO 15 Demo",'[1]Sales per type juli'!$D$8:$BA$8,0)),0)</f>
        <v>0</v>
      </c>
      <c r="EJ33" s="192">
        <f>EH33-EI33</f>
        <v>0</v>
      </c>
      <c r="EK33" s="192">
        <v>0</v>
      </c>
      <c r="EL33" s="192" cm="1">
        <f t="array" ref="EL33">IFERROR(INDEX('[1]Sales per type juli'!$D$10:$BA$51,MATCH($C33,'[1]Sales per type juli'!$B$10:$B$51,0),MATCH("IQOO 15 Demo",'[1]Sales per type juli'!$D$8:$BA$8,0)+1),0)</f>
        <v>0</v>
      </c>
      <c r="EM33" s="192">
        <f>EK33-EL33</f>
        <v>0</v>
      </c>
      <c r="EN33" s="192">
        <v>0</v>
      </c>
      <c r="EO33" s="192">
        <f>IFERROR(INDEX('[1]Sales per type juli'!$D$10:$BA$51,MATCH($C33,'[1]Sales per type juli'!$B$10:$B$51,0),MATCH("X300 PRO",'[1]Sales per type juli'!$D$8:$BA$8,0)),0)</f>
        <v>0</v>
      </c>
      <c r="EP33" s="192">
        <f>EN33-EO33</f>
        <v>0</v>
      </c>
      <c r="EQ33" s="192">
        <v>0</v>
      </c>
      <c r="ER33" s="192" cm="1">
        <f t="array" ref="ER33">IFERROR(INDEX('[1]Sales per type juli'!$D$10:$BA$51,MATCH($C33,'[1]Sales per type juli'!$B$10:$B$51,0),MATCH("X300 PRO",'[1]Sales per type juli'!$D$8:$BA$8,0)+1),0)</f>
        <v>0</v>
      </c>
      <c r="ES33" s="192">
        <f>EQ33-ER33</f>
        <v>0</v>
      </c>
      <c r="ET33" s="192">
        <v>0</v>
      </c>
      <c r="EU33" s="192">
        <f>IFERROR(INDEX('[1]Sales per type juli'!$D$10:$BA$51,MATCH($C33,'[1]Sales per type juli'!$B$10:$B$51,0),MATCH("X300 ",'[1]Sales per type juli'!$D$8:$BA$8,0)),0)</f>
        <v>0</v>
      </c>
      <c r="EV33" s="192">
        <f>ET33-EU33</f>
        <v>0</v>
      </c>
      <c r="EW33" s="192">
        <v>0</v>
      </c>
      <c r="EX33" s="192" cm="1">
        <f t="array" ref="EX33">IFERROR(INDEX('[1]Sales per type juli'!$D$10:$BA$51,MATCH($C33,'[1]Sales per type juli'!$B$10:$B$51,0),MATCH("X300 ",'[1]Sales per type juli'!$D$8:$BA$8,0)+1),0)</f>
        <v>0</v>
      </c>
      <c r="EY33" s="192">
        <f>EW33-EX33</f>
        <v>0</v>
      </c>
      <c r="EZ33" s="192">
        <f>F33+L33+R33+X33+AD33+AJ33+AP33+AV33+BB33+BH33+BN33+BT33+BZ33+CF33+CL33+CR33+CX33+DD33+DJ33+DP33+DV33+EB33+EH33+EN33+ET33</f>
        <v>8</v>
      </c>
      <c r="FA33" s="192">
        <f>G33+M33+S33+Y33+AE33+AK33+AQ33+AW33+BC33+BI33+BO33+BU33+CA33+CG33+CM33+CS33+CY33+DE33+DK33+DQ33+DW33+EC33+EI33+EO33+EU33</f>
        <v>8</v>
      </c>
      <c r="FB33" s="192">
        <f>EZ33-FA33</f>
        <v>0</v>
      </c>
      <c r="FC33" s="192">
        <f>I33+O33+U33+AA33+AG33+AM33+AS33+AY33+BE33+BK33+BQ33+BW33+CC33+CI33+CO33+CU33+DA33+DG33+DM33+DS33+DY33+EE33+EK33+EQ33+EW33</f>
        <v>34892000</v>
      </c>
      <c r="FD33" s="192">
        <f>J33+P33+V33+AB33+AH33+AN33+AT33+AZ33+BF33+BL33+BR33+BX33+CD33+CJ33+CP33+CV33+DB33+DH33+DN33+DT33+DZ33+EF33+EL33+ER33+EX33</f>
        <v>47692000</v>
      </c>
      <c r="FE33" s="192">
        <f>FC33-FD33</f>
        <v>-12800000</v>
      </c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</row>
    <row r="34" spans="1:208" ht="16" x14ac:dyDescent="0.2">
      <c r="A34" s="139">
        <f>'[1]ACHIEVEMENT STORE'!A34</f>
        <v>30</v>
      </c>
      <c r="B34" s="140" t="str">
        <f>'[1]ACHIEVEMENT STORE'!B34</f>
        <v>624-万丹BANTEN</v>
      </c>
      <c r="C34" s="139">
        <f>'[1]ACHIEVEMENT STORE'!C34</f>
        <v>6240708</v>
      </c>
      <c r="D34" s="140" t="str">
        <f>'[1]ACHIEVEMENT STORE'!D34</f>
        <v>6240708-ITC BSD 1F09-14</v>
      </c>
      <c r="E34" s="140" t="str">
        <f>'[1]ACHIEVEMENT STORE'!E34</f>
        <v>ARIES FITRIYANTO</v>
      </c>
      <c r="F34" s="192">
        <f>IFERROR(INDEX('[1]SALES PERTYPE'!$D$10:$D$52,MATCH($C34,'[1]SALES PERTYPE'!$B$10:$B$52,0)),0)</f>
        <v>0</v>
      </c>
      <c r="G34" s="192">
        <f>IFERROR(INDEX('[1]Sales per type juli'!$D$10:$BA$51,MATCH($C34,'[1]Sales per type juli'!$B$10:$B$51,0),MATCH("Y05",'[1]Sales per type juli'!$D$8:$BA$8,0)),0)</f>
        <v>5</v>
      </c>
      <c r="H34" s="192">
        <f>F34-G34</f>
        <v>-5</v>
      </c>
      <c r="I34" s="192">
        <f>IFERROR(INDEX('[1]SALES PERTYPE'!$E$10:$E$52,MATCH($C34,'[1]SALES PERTYPE'!$B$10:$B$52,0)),0)</f>
        <v>0</v>
      </c>
      <c r="J34" s="192" cm="1">
        <f t="array" ref="J34">IFERROR(INDEX('[1]Sales per type juli'!$D$10:$BA$51,MATCH($C34,'[1]Sales per type juli'!$B$10:$B$51,0),MATCH("Y05",'[1]Sales per type juli'!$D$8:$BA$8,0)+1),0)</f>
        <v>11395000</v>
      </c>
      <c r="K34" s="192">
        <f>I34-J34</f>
        <v>-11395000</v>
      </c>
      <c r="L34" s="192">
        <f>IFERROR(INDEX('[1]SALES PERTYPE'!$F$10:$F$52,MATCH($C34,'[1]SALES PERTYPE'!$B$10:$B$52,0)),0)</f>
        <v>2</v>
      </c>
      <c r="M34" s="192">
        <f>IFERROR(INDEX('[1]Sales per type juli'!$D$10:$BA$51,MATCH($C34,'[1]Sales per type juli'!$B$10:$B$51,0),MATCH("Y11d",'[1]Sales per type juli'!$D$8:$BA$8,0)),0)</f>
        <v>2</v>
      </c>
      <c r="N34" s="192">
        <f>L34-M34</f>
        <v>0</v>
      </c>
      <c r="O34" s="192">
        <f>IFERROR(INDEX('[1]SALES PERTYPE'!$G$10:$G$52,MATCH($C34,'[1]SALES PERTYPE'!$B$10:$B$52,0)),0)</f>
        <v>5598000</v>
      </c>
      <c r="P34" s="192" cm="1">
        <f t="array" ref="P34">IFERROR(INDEX('[1]Sales per type juli'!$D$10:$BA$51,MATCH($C34,'[1]Sales per type juli'!$B$10:$B$51,0),MATCH("Y11d",'[1]Sales per type juli'!$D$8:$BA$8,0)+1),0)</f>
        <v>4798000</v>
      </c>
      <c r="Q34" s="192">
        <f>O34-P34</f>
        <v>800000</v>
      </c>
      <c r="R34" s="192">
        <f>IFERROR(INDEX('[1]SALES PERTYPE'!$H$10:$H$52,MATCH($C34,'[1]SALES PERTYPE'!$B$10:$B$52,0)),0)</f>
        <v>0</v>
      </c>
      <c r="S34" s="192">
        <f>IFERROR(INDEX('[1]Sales per type juli'!$D$10:$BA$51,MATCH($C34,'[1]Sales per type juli'!$B$10:$B$51,0),MATCH("Watch GT 2",'[1]Sales per type juli'!$D$8:$BA$8,0)),0)</f>
        <v>0</v>
      </c>
      <c r="T34" s="192">
        <f>R34-S34</f>
        <v>0</v>
      </c>
      <c r="U34" s="192">
        <f>IFERROR(INDEX('[1]SALES PERTYPE'!$I$10:$I$52,MATCH($C34,'[1]SALES PERTYPE'!$B$10:$B$52,0)),0)</f>
        <v>0</v>
      </c>
      <c r="V34" s="192" cm="1">
        <f t="array" ref="V34">IFERROR(INDEX('[1]Sales per type juli'!$D$10:$BA$51,MATCH($C34,'[1]Sales per type juli'!$B$10:$B$51,0),MATCH("Watch GT 2",'[1]Sales per type juli'!$D$8:$BA$8,0)+1),0)</f>
        <v>0</v>
      </c>
      <c r="W34" s="192">
        <f>U34-V34</f>
        <v>0</v>
      </c>
      <c r="X34" s="192">
        <f>IFERROR(INDEX('[1]SALES PERTYPE'!$J$10:$J$52,MATCH($C34,'[1]SALES PERTYPE'!$B$10:$B$52,0)),0)</f>
        <v>1</v>
      </c>
      <c r="Y34" s="192">
        <f>IFERROR(INDEX('[1]Sales per type juli'!$D$10:$BA$51,MATCH($C34,'[1]Sales per type juli'!$B$10:$B$51,0),MATCH("Y05e",'[1]Sales per type juli'!$D$8:$BA$8,0)),0)</f>
        <v>0</v>
      </c>
      <c r="Z34" s="192">
        <f>X34-Y34</f>
        <v>1</v>
      </c>
      <c r="AA34" s="192">
        <f>IFERROR(INDEX('[1]SALES PERTYPE'!$K$10:$K$52,MATCH($C34,'[1]SALES PERTYPE'!$B$10:$B$52,0)),0)</f>
        <v>2099000</v>
      </c>
      <c r="AB34" s="192" cm="1">
        <f t="array" ref="AB34">IFERROR(INDEX('[1]Sales per type juli'!$D$10:$BA$51,MATCH($C34,'[1]Sales per type juli'!$B$10:$B$51,0),MATCH("Y05e",'[1]Sales per type juli'!$D$8:$BA$8,0)+1),0)</f>
        <v>0</v>
      </c>
      <c r="AC34" s="192">
        <f>AA34-AB34</f>
        <v>2099000</v>
      </c>
      <c r="AD34" s="192">
        <f>IFERROR(INDEX('[1]SALES PERTYPE'!$L$10:$L$52,MATCH($C34,'[1]SALES PERTYPE'!$B$10:$B$52,0)),0)</f>
        <v>0</v>
      </c>
      <c r="AE34" s="192">
        <f>IFERROR(INDEX('[1]Sales per type juli'!$D$10:$BA$51,MATCH($C34,'[1]Sales per type juli'!$B$10:$B$51,0),MATCH("V70",'[1]Sales per type juli'!$D$8:$BA$8,0)),0)</f>
        <v>1</v>
      </c>
      <c r="AF34" s="192">
        <f>AD34-AE34</f>
        <v>-1</v>
      </c>
      <c r="AG34" s="192">
        <f>IFERROR(INDEX('[1]SALES PERTYPE'!$M$10:$M$52,MATCH($C34,'[1]SALES PERTYPE'!$B$10:$B$52,0)),0)</f>
        <v>0</v>
      </c>
      <c r="AH34" s="192" cm="1">
        <f t="array" ref="AH34">IFERROR(INDEX('[1]Sales per type juli'!$D$10:$BA$51,MATCH($C34,'[1]Sales per type juli'!$B$10:$B$51,0),MATCH("V70",'[1]Sales per type juli'!$D$8:$BA$8,0)+1),0)</f>
        <v>8999000</v>
      </c>
      <c r="AI34" s="192">
        <f>AG34-AH34</f>
        <v>-8999000</v>
      </c>
      <c r="AJ34" s="192">
        <f>IFERROR(INDEX('[1]SALES PERTYPE'!$N$10:$N$52,MATCH($C34,'[1]SALES PERTYPE'!$B$10:$B$52,0)),0)</f>
        <v>3</v>
      </c>
      <c r="AK34" s="192">
        <f>IFERROR(INDEX('[1]Sales per type juli'!$D$10:$BA$51,MATCH($C34,'[1]Sales per type juli'!$B$10:$B$51,0),MATCH("Y31d Pro",'[1]Sales per type juli'!$D$8:$BA$8,0)),0)</f>
        <v>1</v>
      </c>
      <c r="AL34" s="192">
        <f>AJ34-AK34</f>
        <v>2</v>
      </c>
      <c r="AM34" s="192">
        <f>IFERROR(INDEX('[1]SALES PERTYPE'!$O$10:$O$52,MATCH($C34,'[1]SALES PERTYPE'!$B$10:$B$52,0)),0)</f>
        <v>12097000</v>
      </c>
      <c r="AN34" s="192" cm="1">
        <f t="array" ref="AN34">IFERROR(INDEX('[1]Sales per type juli'!$D$10:$BA$51,MATCH($C34,'[1]Sales per type juli'!$B$10:$B$51,0),MATCH("Y31d Pro",'[1]Sales per type juli'!$D$8:$BA$8,0)+1),0)</f>
        <v>3899000</v>
      </c>
      <c r="AO34" s="192">
        <f>AM34-AN34</f>
        <v>8198000</v>
      </c>
      <c r="AP34" s="192">
        <f>IFERROR(INDEX('[1]SALES PERTYPE'!$P$10:$P$52,MATCH($C34,'[1]SALES PERTYPE'!$B$10:$B$52,0)),0)</f>
        <v>1</v>
      </c>
      <c r="AQ34" s="192" cm="1">
        <f t="array" ref="AQ34">IFERROR(INDEX('[1]Sales per type juli'!$D$10:$BA$51,MATCH($C34,'[1]Sales per type juli'!$B$10:$B$51,0),$FG$2),0)</f>
        <v>0</v>
      </c>
      <c r="AR34" s="192">
        <f>AP34-AQ34</f>
        <v>1</v>
      </c>
      <c r="AS34" s="192">
        <f>IFERROR(INDEX('[1]SALES PERTYPE'!$Q$10:$Q$52,MATCH($C34,'[1]SALES PERTYPE'!$B$10:$B$52,0)),0)</f>
        <v>3599000</v>
      </c>
      <c r="AT34" s="192" cm="1">
        <f t="array" ref="AT34">IFERROR(INDEX('[1]Sales per type juli'!$D$10:$BA$51,MATCH($C34,'[1]Sales per type juli'!$B$10:$B$51,0),$FG$2+1),0)</f>
        <v>0</v>
      </c>
      <c r="AU34" s="192">
        <f>AS34-AT34</f>
        <v>3599000</v>
      </c>
      <c r="AV34" s="192">
        <f>IFERROR(INDEX('[1]SALES PERTYPE'!$R$10:$R$52,MATCH($C34,'[1]SALES PERTYPE'!$B$10:$B$52,0)),0)</f>
        <v>0</v>
      </c>
      <c r="AW34" s="192">
        <f>IFERROR(INDEX('[1]Sales per type juli'!$D$10:$BA$51,MATCH($C34,'[1]Sales per type juli'!$B$10:$B$51,0),MATCH("Y31d ",'[1]Sales per type juli'!$D$8:$BA$8,0)),0)</f>
        <v>0</v>
      </c>
      <c r="AX34" s="192">
        <f>AV34-AW34</f>
        <v>0</v>
      </c>
      <c r="AY34" s="192">
        <f>IFERROR(INDEX('[1]SALES PERTYPE'!$S$10:$S$52,MATCH($C34,'[1]SALES PERTYPE'!$B$10:$B$52,0)),0)</f>
        <v>0</v>
      </c>
      <c r="AZ34" s="192" cm="1">
        <f t="array" ref="AZ34">IFERROR(INDEX('[1]Sales per type juli'!$D$10:$BA$51,MATCH($C34,'[1]Sales per type juli'!$B$10:$B$51,0),MATCH("Y31d ",'[1]Sales per type juli'!$D$8:$BA$8,0)+1),0)</f>
        <v>0</v>
      </c>
      <c r="BA34" s="192">
        <f>AY34-AZ34</f>
        <v>0</v>
      </c>
      <c r="BB34" s="192">
        <f>IFERROR(INDEX('[1]SALES PERTYPE'!$T$10:$T$52,MATCH($C34,'[1]SALES PERTYPE'!$B$10:$B$52,0)),0)</f>
        <v>1</v>
      </c>
      <c r="BC34" s="192">
        <f>IFERROR(INDEX('[1]Sales per type juli'!$D$10:$BA$51,MATCH($C34,'[1]Sales per type juli'!$B$10:$B$51,0),MATCH("V70 FE",'[1]Sales per type juli'!$D$8:$BA$8,0)),0)</f>
        <v>1</v>
      </c>
      <c r="BD34" s="192">
        <f>BB34-BC34</f>
        <v>0</v>
      </c>
      <c r="BE34" s="192">
        <f>IFERROR(INDEX('[1]SALES PERTYPE'!$U$10:$U$52,MATCH($C34,'[1]SALES PERTYPE'!$B$10:$B$52,0)),0)</f>
        <v>7999000</v>
      </c>
      <c r="BF34" s="192" cm="1">
        <f t="array" ref="BF34">IFERROR(INDEX('[1]Sales per type juli'!$D$10:$BA$51,MATCH($C34,'[1]Sales per type juli'!$B$10:$B$51,0),MATCH("V70 FE",'[1]Sales per type juli'!$D$8:$BA$8,0)+1),0)</f>
        <v>6499000</v>
      </c>
      <c r="BG34" s="192">
        <f>BE34-BF34</f>
        <v>1500000</v>
      </c>
      <c r="BH34" s="192">
        <f>IFERROR(INDEX('[1]SALES PERTYPE'!$V$10:$V$52,MATCH($C34,'[1]SALES PERTYPE'!$B$10:$B$52,0)),0)</f>
        <v>0</v>
      </c>
      <c r="BI34" s="192">
        <f>IFERROR(INDEX('[1]Sales per type juli'!$D$10:$BA$51,MATCH($C34,'[1]Sales per type juli'!$B$10:$B$51,0),MATCH("Y31d",'[1]Sales per type juli'!$D$8:$BA$8,0)),0)</f>
        <v>0</v>
      </c>
      <c r="BJ34" s="192">
        <f>BH34-BI34</f>
        <v>0</v>
      </c>
      <c r="BK34" s="192">
        <f>IFERROR(INDEX('[1]SALES PERTYPE'!$W$10:$W$52,MATCH($C34,'[1]SALES PERTYPE'!$B$10:$B$52,0)),0)</f>
        <v>0</v>
      </c>
      <c r="BL34" s="192" cm="1">
        <f t="array" ref="BL34">IFERROR(INDEX('[1]Sales per type juli'!$D$10:$BA$51,MATCH($C34,'[1]Sales per type juli'!$B$10:$B$51,0),MATCH("Y31d",'[1]Sales per type juli'!$D$8:$BA$8,0)+1),0)</f>
        <v>0</v>
      </c>
      <c r="BM34" s="192">
        <f>BK34-BL34</f>
        <v>0</v>
      </c>
      <c r="BN34" s="192">
        <f>IFERROR(INDEX('[1]SALES PERTYPE'!$X$10:$X$52,MATCH($C34,'[1]SALES PERTYPE'!$B$10:$B$52,0)),0)</f>
        <v>0</v>
      </c>
      <c r="BO34" s="192">
        <f>IFERROR(INDEX('[1]Sales per type juli'!$D$10:$BA$51,MATCH($C34,'[1]Sales per type juli'!$B$10:$B$51,0),MATCH("Y500",'[1]Sales per type juli'!$D$8:$BA$8,0)),0)</f>
        <v>0</v>
      </c>
      <c r="BP34" s="192">
        <f>BN34-BO34</f>
        <v>0</v>
      </c>
      <c r="BQ34" s="192">
        <f>IFERROR(INDEX('[1]SALES PERTYPE'!$Y$10:$Y$52,MATCH($C34,'[1]SALES PERTYPE'!$B$10:$B$52,0)),0)</f>
        <v>0</v>
      </c>
      <c r="BR34" s="192" cm="1">
        <f t="array" ref="BR34">IFERROR(INDEX('[1]Sales per type juli'!$D$10:$BA$51,MATCH($C34,'[1]Sales per type juli'!$B$10:$B$51,0),MATCH("Y500",'[1]Sales per type juli'!$D$8:$BA$8,0)+1),0)</f>
        <v>0</v>
      </c>
      <c r="BS34" s="192">
        <f>BQ34-BR34</f>
        <v>0</v>
      </c>
      <c r="BT34" s="192">
        <f>IFERROR(INDEX('[1]SALES PERTYPE'!$Z$10:$Z$52,MATCH($C34,'[1]SALES PERTYPE'!$B$10:$B$52,0)),0)</f>
        <v>0</v>
      </c>
      <c r="BU34" s="192">
        <f>IFERROR(INDEX('[1]Sales per type juli'!$D$10:$BA$51,MATCH($C34,'[1]Sales per type juli'!$B$10:$B$51,0),MATCH("IQOO 15R",'[1]Sales per type juli'!$D$8:$BA$8,0)),0)</f>
        <v>1</v>
      </c>
      <c r="BV34" s="192">
        <f>BT34-BU34</f>
        <v>-1</v>
      </c>
      <c r="BW34" s="192">
        <f>IFERROR(INDEX('[1]SALES PERTYPE'!$AA$10:$AA$52,MATCH($C34,'[1]SALES PERTYPE'!$B$10:$B$52,0)),0)</f>
        <v>0</v>
      </c>
      <c r="BX34" s="192" cm="1">
        <f t="array" ref="BX34">IFERROR(INDEX('[1]Sales per type juli'!$D$10:$BA$51,MATCH($C34,'[1]Sales per type juli'!$B$10:$B$51,0),MATCH("IQOO 15R",'[1]Sales per type juli'!$D$8:$BA$8,0)+1),0)</f>
        <v>9899000</v>
      </c>
      <c r="BY34" s="192">
        <f>BW34-BX34</f>
        <v>-9899000</v>
      </c>
      <c r="BZ34" s="192">
        <f>IFERROR(INDEX('[1]SALES PERTYPE'!$AB$10:$AB$52,MATCH($C34,'[1]SALES PERTYPE'!$B$10:$B$52,0)),0)</f>
        <v>0</v>
      </c>
      <c r="CA34" s="192">
        <f>IFERROR(INDEX('[1]Sales per type juli'!$D$10:$BA$51,MATCH($C34,'[1]Sales per type juli'!$B$10:$B$51,0),MATCH("V60 Lite",'[1]Sales per type juli'!$D$8:$BA$8,0)),0)</f>
        <v>0</v>
      </c>
      <c r="CB34" s="192">
        <f>BZ34-CA34</f>
        <v>0</v>
      </c>
      <c r="CC34" s="192">
        <f>IFERROR(INDEX('[1]SALES PERTYPE'!$AC$10:$AC$52,MATCH($C34,'[1]SALES PERTYPE'!$B$10:$B$52,0)),0)</f>
        <v>0</v>
      </c>
      <c r="CD34" s="192" cm="1">
        <f t="array" ref="CD34">IFERROR(INDEX('[1]Sales per type juli'!$D$10:$BA$51,MATCH($C34,'[1]Sales per type juli'!$B$10:$B$51,0),MATCH("V60 Lite",'[1]Sales per type juli'!$D$8:$BA$8,0)+1),0)</f>
        <v>0</v>
      </c>
      <c r="CE34" s="192">
        <f>CC34-CD34</f>
        <v>0</v>
      </c>
      <c r="CF34" s="192">
        <f>IFERROR(INDEX('[1]SALES PERTYPE'!$AD$10:$AD$52,MATCH($C34,'[1]SALES PERTYPE'!$B$10:$B$52,0)),0)</f>
        <v>0</v>
      </c>
      <c r="CG34" s="192">
        <f>IFERROR(INDEX('[1]Sales per type juli'!$D$10:$BA$51,MATCH($C34,'[1]Sales per type juli'!$B$10:$B$51,0),MATCH("X300 Ultra",'[1]Sales per type juli'!$D$8:$BA$8,0)),0)</f>
        <v>0</v>
      </c>
      <c r="CH34" s="192">
        <f>CF34-CG34</f>
        <v>0</v>
      </c>
      <c r="CI34" s="192">
        <f>IFERROR(INDEX('[1]SALES PERTYPE'!$AE$10:$AE$52,MATCH($C34,'[1]SALES PERTYPE'!$B$10:$B$52,0)),0)</f>
        <v>0</v>
      </c>
      <c r="CJ34" s="192" cm="1">
        <f t="array" ref="CJ34">IFERROR(INDEX('[1]Sales per type juli'!$D$10:$BA$51,MATCH($C34,'[1]Sales per type juli'!$B$10:$B$51,0),MATCH("X300 Ultra",'[1]Sales per type juli'!$D$8:$BA$8,0)+1),0)</f>
        <v>0</v>
      </c>
      <c r="CK34" s="192">
        <f>CI34-CJ34</f>
        <v>0</v>
      </c>
      <c r="CL34" s="192">
        <f>IFERROR(INDEX('[1]SALES PERTYPE'!$AF$10:$AF$52,MATCH($C34,'[1]SALES PERTYPE'!$B$10:$B$52,0)),0)</f>
        <v>0</v>
      </c>
      <c r="CM34" s="192">
        <f>IFERROR(INDEX('[1]Sales per type juli'!$D$10:$BA$51,MATCH($C34,'[1]Sales per type juli'!$B$10:$B$51,0),MATCH("IQOO 15",'[1]Sales per type juli'!$D$8:$BA$8,0)),0)</f>
        <v>0</v>
      </c>
      <c r="CN34" s="192">
        <f>CL34-CM34</f>
        <v>0</v>
      </c>
      <c r="CO34" s="192">
        <f>IFERROR(INDEX('[1]SALES PERTYPE'!$AG$10:$AG$52,MATCH($C34,'[1]SALES PERTYPE'!$B$10:$B$52,0)),0)</f>
        <v>0</v>
      </c>
      <c r="CP34" s="192" cm="1">
        <f t="array" ref="CP34">IFERROR(INDEX('[1]Sales per type juli'!$D$10:$BA$51,MATCH($C34,'[1]Sales per type juli'!$B$10:$B$51,0),MATCH("IQOO 15",'[1]Sales per type juli'!$D$8:$BA$8,0)+1),0)</f>
        <v>0</v>
      </c>
      <c r="CQ34" s="192">
        <f>CO34-CP34</f>
        <v>0</v>
      </c>
      <c r="CR34" s="192">
        <f>IFERROR(INDEX('[1]SALES PERTYPE'!$AH$10:$AH$52,MATCH($C34,'[1]SALES PERTYPE'!$B$10:$B$52,0)),0)</f>
        <v>0</v>
      </c>
      <c r="CS34" s="192">
        <f>IFERROR(INDEX('[1]Sales per type juli'!$D$10:$BA$51,MATCH($C34,'[1]Sales per type juli'!$B$10:$B$51,0),MATCH("IQOO Z11x",'[1]Sales per type juli'!$D$8:$BA$8,0)),0)</f>
        <v>0</v>
      </c>
      <c r="CT34" s="192">
        <f>CR34-CS34</f>
        <v>0</v>
      </c>
      <c r="CU34" s="192">
        <f>IFERROR(INDEX('[1]SALES PERTYPE'!$AI$10:$AI$52,MATCH($C34,'[1]SALES PERTYPE'!$B$10:$B$52,0)),0)</f>
        <v>0</v>
      </c>
      <c r="CV34" s="192" cm="1">
        <f t="array" ref="CV34">IFERROR(INDEX('[1]Sales per type juli'!$D$10:$BA$51,MATCH($C34,'[1]Sales per type juli'!$B$10:$B$51,0),MATCH("IQOO Z11x",'[1]Sales per type juli'!$D$8:$BA$8,0)+1),0)</f>
        <v>0</v>
      </c>
      <c r="CW34" s="192">
        <f>CU34-CV34</f>
        <v>0</v>
      </c>
      <c r="CX34" s="192">
        <f>IFERROR(INDEX('[1]SALES PERTYPE'!$AJ$10:$AJ$52,MATCH($C34,'[1]SALES PERTYPE'!$B$10:$B$52,0)),0)</f>
        <v>0</v>
      </c>
      <c r="CY34" s="192">
        <f>IFERROR(INDEX('[1]Sales per type juli'!$D$10:$BA$51,MATCH($C34,'[1]Sales per type juli'!$B$10:$B$51,0),MATCH("IQOO Z11",'[1]Sales per type juli'!$D$8:$BA$8,0)),0)</f>
        <v>0</v>
      </c>
      <c r="CZ34" s="192">
        <f>CX34-CY34</f>
        <v>0</v>
      </c>
      <c r="DA34" s="192">
        <f>IFERROR(INDEX('[1]SALES PERTYPE'!$AK$10:$AK$52,MATCH($C34,'[1]SALES PERTYPE'!$B$10:$B$52,0)),0)</f>
        <v>0</v>
      </c>
      <c r="DB34" s="192" cm="1">
        <f t="array" ref="DB34">IFERROR(INDEX('[1]Sales per type juli'!$D$10:$BA$51,MATCH($C34,'[1]Sales per type juli'!$B$10:$B$51,0),MATCH("IQOO Z11",'[1]Sales per type juli'!$D$8:$BA$8,0)+1),0)</f>
        <v>0</v>
      </c>
      <c r="DC34" s="192">
        <f>DA34-DB34</f>
        <v>0</v>
      </c>
      <c r="DD34" s="192">
        <v>0</v>
      </c>
      <c r="DE34" s="192">
        <f>IFERROR(INDEX('[1]Sales per type juli'!$D$10:$BA$51,MATCH($C34,'[1]Sales per type juli'!$B$10:$B$51,0),MATCH("WATCH 3",'[1]Sales per type juli'!$D$8:$BA$8,0)),0)</f>
        <v>0</v>
      </c>
      <c r="DF34" s="192">
        <f>DD34-DE34</f>
        <v>0</v>
      </c>
      <c r="DG34" s="192">
        <v>0</v>
      </c>
      <c r="DH34" s="192" cm="1">
        <f t="array" ref="DH34">IFERROR(INDEX('[1]Sales per type juli'!$D$10:$BA$51,MATCH($C34,'[1]Sales per type juli'!$B$10:$B$51,0),MATCH("WATCH 3",'[1]Sales per type juli'!$D$8:$BA$8,0)+1),0)</f>
        <v>0</v>
      </c>
      <c r="DI34" s="192">
        <f>DG34-DH34</f>
        <v>0</v>
      </c>
      <c r="DJ34" s="192">
        <v>0</v>
      </c>
      <c r="DK34" s="192">
        <f>IFERROR(INDEX('[1]Sales per type juli'!$D$10:$BA$51,MATCH($C34,'[1]Sales per type juli'!$B$10:$B$51,0),MATCH("X300 Demo",'[1]Sales per type juli'!$D$8:$BA$8,0)),0)</f>
        <v>1</v>
      </c>
      <c r="DL34" s="192">
        <f>DJ34-DK34</f>
        <v>-1</v>
      </c>
      <c r="DM34" s="192">
        <v>0</v>
      </c>
      <c r="DN34" s="192" cm="1">
        <f t="array" ref="DN34">IFERROR(INDEX('[1]Sales per type juli'!$D$10:$BA$51,MATCH($C34,'[1]Sales per type juli'!$B$10:$B$51,0),MATCH("X300 Demo",'[1]Sales per type juli'!$D$8:$BA$8,0)+1),0)</f>
        <v>14999000</v>
      </c>
      <c r="DO34" s="192">
        <f>DM34-DN34</f>
        <v>-14999000</v>
      </c>
      <c r="DP34" s="192">
        <v>0</v>
      </c>
      <c r="DQ34" s="192">
        <f>IFERROR(INDEX('[1]Sales per type juli'!$D$10:$BA$51,MATCH($C34,'[1]Sales per type juli'!$B$10:$B$51,0),MATCH("X300 Pro Demo",'[1]Sales per type juli'!$D$8:$BA$8,0)),0)</f>
        <v>0</v>
      </c>
      <c r="DR34" s="192">
        <f>DP34-DQ34</f>
        <v>0</v>
      </c>
      <c r="DS34" s="192">
        <v>0</v>
      </c>
      <c r="DT34" s="192" cm="1">
        <f t="array" ref="DT34">IFERROR(INDEX('[1]Sales per type juli'!$D$10:$BA$51,MATCH($C34,'[1]Sales per type juli'!$B$10:$B$51,0),MATCH("X300 Pro Demo",'[1]Sales per type juli'!$D$8:$BA$8,0)+1),0)</f>
        <v>0</v>
      </c>
      <c r="DU34" s="192">
        <f>DS34-DT34</f>
        <v>0</v>
      </c>
      <c r="DV34" s="192">
        <v>0</v>
      </c>
      <c r="DW34" s="192">
        <f>IFERROR(INDEX('[1]Sales per type juli'!$D$10:$BA$51,MATCH($C34,'[1]Sales per type juli'!$B$10:$B$51,0),MATCH("X Fold5 DEMO",'[1]Sales per type juli'!$D$8:$BA$8,0)),0)</f>
        <v>0</v>
      </c>
      <c r="DX34" s="192">
        <f>DV34-DW34</f>
        <v>0</v>
      </c>
      <c r="DY34" s="192">
        <v>0</v>
      </c>
      <c r="DZ34" s="192" cm="1">
        <f t="array" ref="DZ34">IFERROR(INDEX('[1]Sales per type juli'!$D$10:$BA$51,MATCH($C34,'[1]Sales per type juli'!$B$10:$B$51,0),MATCH("X Fold5 DEMO",'[1]Sales per type juli'!$D$8:$BA$8,0)+1),0)</f>
        <v>0</v>
      </c>
      <c r="EA34" s="192">
        <f>DY34-DZ34</f>
        <v>0</v>
      </c>
      <c r="EB34" s="192">
        <v>0</v>
      </c>
      <c r="EC34" s="192">
        <f>IFERROR(INDEX('[1]Sales per type juli'!$D$10:$BA$51,MATCH($C34,'[1]Sales per type juli'!$B$10:$B$51,0),MATCH("X Fold5",'[1]Sales per type juli'!$D$8:$BA$8,0)),0)</f>
        <v>0</v>
      </c>
      <c r="ED34" s="192">
        <f>EB34-EC34</f>
        <v>0</v>
      </c>
      <c r="EE34" s="192">
        <v>0</v>
      </c>
      <c r="EF34" s="192" cm="1">
        <f t="array" ref="EF34">IFERROR(INDEX('[1]Sales per type juli'!$D$10:$BA$51,MATCH($C34,'[1]Sales per type juli'!$B$10:$B$51,0),MATCH("X Fold5",'[1]Sales per type juli'!$D$8:$BA$8,0)+1),0)</f>
        <v>0</v>
      </c>
      <c r="EG34" s="192">
        <f>EE34-EF34</f>
        <v>0</v>
      </c>
      <c r="EH34" s="192">
        <v>0</v>
      </c>
      <c r="EI34" s="192">
        <f>IFERROR(INDEX('[1]Sales per type juli'!$D$10:$BA$51,MATCH($C34,'[1]Sales per type juli'!$B$10:$B$51,0),MATCH("IQOO 15 Demo",'[1]Sales per type juli'!$D$8:$BA$8,0)),0)</f>
        <v>0</v>
      </c>
      <c r="EJ34" s="192">
        <f>EH34-EI34</f>
        <v>0</v>
      </c>
      <c r="EK34" s="192">
        <v>0</v>
      </c>
      <c r="EL34" s="192" cm="1">
        <f t="array" ref="EL34">IFERROR(INDEX('[1]Sales per type juli'!$D$10:$BA$51,MATCH($C34,'[1]Sales per type juli'!$B$10:$B$51,0),MATCH("IQOO 15 Demo",'[1]Sales per type juli'!$D$8:$BA$8,0)+1),0)</f>
        <v>0</v>
      </c>
      <c r="EM34" s="192">
        <f>EK34-EL34</f>
        <v>0</v>
      </c>
      <c r="EN34" s="192">
        <v>0</v>
      </c>
      <c r="EO34" s="192">
        <f>IFERROR(INDEX('[1]Sales per type juli'!$D$10:$BA$51,MATCH($C34,'[1]Sales per type juli'!$B$10:$B$51,0),MATCH("X300 PRO",'[1]Sales per type juli'!$D$8:$BA$8,0)),0)</f>
        <v>0</v>
      </c>
      <c r="EP34" s="192">
        <f>EN34-EO34</f>
        <v>0</v>
      </c>
      <c r="EQ34" s="192">
        <v>0</v>
      </c>
      <c r="ER34" s="192" cm="1">
        <f t="array" ref="ER34">IFERROR(INDEX('[1]Sales per type juli'!$D$10:$BA$51,MATCH($C34,'[1]Sales per type juli'!$B$10:$B$51,0),MATCH("X300 PRO",'[1]Sales per type juli'!$D$8:$BA$8,0)+1),0)</f>
        <v>0</v>
      </c>
      <c r="ES34" s="192">
        <f>EQ34-ER34</f>
        <v>0</v>
      </c>
      <c r="ET34" s="192">
        <v>0</v>
      </c>
      <c r="EU34" s="192">
        <f>IFERROR(INDEX('[1]Sales per type juli'!$D$10:$BA$51,MATCH($C34,'[1]Sales per type juli'!$B$10:$B$51,0),MATCH("X300 ",'[1]Sales per type juli'!$D$8:$BA$8,0)),0)</f>
        <v>0</v>
      </c>
      <c r="EV34" s="192">
        <f>ET34-EU34</f>
        <v>0</v>
      </c>
      <c r="EW34" s="192">
        <v>0</v>
      </c>
      <c r="EX34" s="192" cm="1">
        <f t="array" ref="EX34">IFERROR(INDEX('[1]Sales per type juli'!$D$10:$BA$51,MATCH($C34,'[1]Sales per type juli'!$B$10:$B$51,0),MATCH("X300 ",'[1]Sales per type juli'!$D$8:$BA$8,0)+1),0)</f>
        <v>0</v>
      </c>
      <c r="EY34" s="192">
        <f>EW34-EX34</f>
        <v>0</v>
      </c>
      <c r="EZ34" s="192">
        <f>F34+L34+R34+X34+AD34+AJ34+AP34+AV34+BB34+BH34+BN34+BT34+BZ34+CF34+CL34+CR34+CX34+DD34+DJ34+DP34+DV34+EB34+EH34+EN34+ET34</f>
        <v>8</v>
      </c>
      <c r="FA34" s="192">
        <f>G34+M34+S34+Y34+AE34+AK34+AQ34+AW34+BC34+BI34+BO34+BU34+CA34+CG34+CM34+CS34+CY34+DE34+DK34+DQ34+DW34+EC34+EI34+EO34+EU34</f>
        <v>12</v>
      </c>
      <c r="FB34" s="192">
        <f>EZ34-FA34</f>
        <v>-4</v>
      </c>
      <c r="FC34" s="192">
        <f>I34+O34+U34+AA34+AG34+AM34+AS34+AY34+BE34+BK34+BQ34+BW34+CC34+CI34+CO34+CU34+DA34+DG34+DM34+DS34+DY34+EE34+EK34+EQ34+EW34</f>
        <v>31392000</v>
      </c>
      <c r="FD34" s="192">
        <f>J34+P34+V34+AB34+AH34+AN34+AT34+AZ34+BF34+BL34+BR34+BX34+CD34+CJ34+CP34+CV34+DB34+DH34+DN34+DT34+DZ34+EF34+EL34+ER34+EX34</f>
        <v>60488000</v>
      </c>
      <c r="FE34" s="192">
        <f>FC34-FD34</f>
        <v>-29096000</v>
      </c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</row>
    <row r="35" spans="1:208" ht="16" x14ac:dyDescent="0.2">
      <c r="A35" s="137">
        <f>'[1]ACHIEVEMENT STORE'!A35</f>
        <v>31</v>
      </c>
      <c r="B35" s="138" t="str">
        <f>'[1]ACHIEVEMENT STORE'!B35</f>
        <v>624-万丹BANTEN</v>
      </c>
      <c r="C35" s="137">
        <f>'[1]ACHIEVEMENT STORE'!C35</f>
        <v>6240707</v>
      </c>
      <c r="D35" s="138" t="str">
        <f>'[1]ACHIEVEMENT STORE'!D35</f>
        <v>6240707-SUPERMALL UGN3A</v>
      </c>
      <c r="E35" s="138" t="str">
        <f>'[1]ACHIEVEMENT STORE'!E35</f>
        <v>ADE RIVALDI L</v>
      </c>
      <c r="F35" s="192">
        <f>IFERROR(INDEX('[1]SALES PERTYPE'!$D$10:$D$52,MATCH($C35,'[1]SALES PERTYPE'!$B$10:$B$52,0)),0)</f>
        <v>0</v>
      </c>
      <c r="G35" s="192">
        <f>IFERROR(INDEX('[1]Sales per type juli'!$D$10:$BA$51,MATCH($C35,'[1]Sales per type juli'!$B$10:$B$51,0),MATCH("Y05",'[1]Sales per type juli'!$D$8:$BA$8,0)),0)</f>
        <v>2</v>
      </c>
      <c r="H35" s="192">
        <f>F35-G35</f>
        <v>-2</v>
      </c>
      <c r="I35" s="192">
        <f>IFERROR(INDEX('[1]SALES PERTYPE'!$E$10:$E$52,MATCH($C35,'[1]SALES PERTYPE'!$B$10:$B$52,0)),0)</f>
        <v>0</v>
      </c>
      <c r="J35" s="192" cm="1">
        <f t="array" ref="J35">IFERROR(INDEX('[1]Sales per type juli'!$D$10:$BA$51,MATCH($C35,'[1]Sales per type juli'!$B$10:$B$51,0),MATCH("Y05",'[1]Sales per type juli'!$D$8:$BA$8,0)+1),0)</f>
        <v>4498000</v>
      </c>
      <c r="K35" s="192">
        <f>I35-J35</f>
        <v>-4498000</v>
      </c>
      <c r="L35" s="192">
        <f>IFERROR(INDEX('[1]SALES PERTYPE'!$F$10:$F$52,MATCH($C35,'[1]SALES PERTYPE'!$B$10:$B$52,0)),0)</f>
        <v>3</v>
      </c>
      <c r="M35" s="192">
        <f>IFERROR(INDEX('[1]Sales per type juli'!$D$10:$BA$51,MATCH($C35,'[1]Sales per type juli'!$B$10:$B$51,0),MATCH("Y11d",'[1]Sales per type juli'!$D$8:$BA$8,0)),0)</f>
        <v>3</v>
      </c>
      <c r="N35" s="192">
        <f>L35-M35</f>
        <v>0</v>
      </c>
      <c r="O35" s="192">
        <f>IFERROR(INDEX('[1]SALES PERTYPE'!$G$10:$G$52,MATCH($C35,'[1]SALES PERTYPE'!$B$10:$B$52,0)),0)</f>
        <v>8397000</v>
      </c>
      <c r="P35" s="192" cm="1">
        <f t="array" ref="P35">IFERROR(INDEX('[1]Sales per type juli'!$D$10:$BA$51,MATCH($C35,'[1]Sales per type juli'!$B$10:$B$51,0),MATCH("Y11d",'[1]Sales per type juli'!$D$8:$BA$8,0)+1),0)</f>
        <v>7997000</v>
      </c>
      <c r="Q35" s="192">
        <f>O35-P35</f>
        <v>400000</v>
      </c>
      <c r="R35" s="192">
        <f>IFERROR(INDEX('[1]SALES PERTYPE'!$H$10:$H$52,MATCH($C35,'[1]SALES PERTYPE'!$B$10:$B$52,0)),0)</f>
        <v>0</v>
      </c>
      <c r="S35" s="192">
        <f>IFERROR(INDEX('[1]Sales per type juli'!$D$10:$BA$51,MATCH($C35,'[1]Sales per type juli'!$B$10:$B$51,0),MATCH("Watch GT 2",'[1]Sales per type juli'!$D$8:$BA$8,0)),0)</f>
        <v>0</v>
      </c>
      <c r="T35" s="192">
        <f>R35-S35</f>
        <v>0</v>
      </c>
      <c r="U35" s="192">
        <f>IFERROR(INDEX('[1]SALES PERTYPE'!$I$10:$I$52,MATCH($C35,'[1]SALES PERTYPE'!$B$10:$B$52,0)),0)</f>
        <v>0</v>
      </c>
      <c r="V35" s="192" cm="1">
        <f t="array" ref="V35">IFERROR(INDEX('[1]Sales per type juli'!$D$10:$BA$51,MATCH($C35,'[1]Sales per type juli'!$B$10:$B$51,0),MATCH("Watch GT 2",'[1]Sales per type juli'!$D$8:$BA$8,0)+1),0)</f>
        <v>0</v>
      </c>
      <c r="W35" s="192">
        <f>U35-V35</f>
        <v>0</v>
      </c>
      <c r="X35" s="192">
        <f>IFERROR(INDEX('[1]SALES PERTYPE'!$J$10:$J$52,MATCH($C35,'[1]SALES PERTYPE'!$B$10:$B$52,0)),0)</f>
        <v>2</v>
      </c>
      <c r="Y35" s="192">
        <f>IFERROR(INDEX('[1]Sales per type juli'!$D$10:$BA$51,MATCH($C35,'[1]Sales per type juli'!$B$10:$B$51,0),MATCH("Y05e",'[1]Sales per type juli'!$D$8:$BA$8,0)),0)</f>
        <v>0</v>
      </c>
      <c r="Z35" s="192">
        <f>X35-Y35</f>
        <v>2</v>
      </c>
      <c r="AA35" s="192">
        <f>IFERROR(INDEX('[1]SALES PERTYPE'!$K$10:$K$52,MATCH($C35,'[1]SALES PERTYPE'!$B$10:$B$52,0)),0)</f>
        <v>4198000</v>
      </c>
      <c r="AB35" s="192" cm="1">
        <f t="array" ref="AB35">IFERROR(INDEX('[1]Sales per type juli'!$D$10:$BA$51,MATCH($C35,'[1]Sales per type juli'!$B$10:$B$51,0),MATCH("Y05e",'[1]Sales per type juli'!$D$8:$BA$8,0)+1),0)</f>
        <v>0</v>
      </c>
      <c r="AC35" s="192">
        <f>AA35-AB35</f>
        <v>4198000</v>
      </c>
      <c r="AD35" s="192">
        <f>IFERROR(INDEX('[1]SALES PERTYPE'!$L$10:$L$52,MATCH($C35,'[1]SALES PERTYPE'!$B$10:$B$52,0)),0)</f>
        <v>0</v>
      </c>
      <c r="AE35" s="192">
        <f>IFERROR(INDEX('[1]Sales per type juli'!$D$10:$BA$51,MATCH($C35,'[1]Sales per type juli'!$B$10:$B$51,0),MATCH("V70",'[1]Sales per type juli'!$D$8:$BA$8,0)),0)</f>
        <v>1</v>
      </c>
      <c r="AF35" s="192">
        <f>AD35-AE35</f>
        <v>-1</v>
      </c>
      <c r="AG35" s="192">
        <f>IFERROR(INDEX('[1]SALES PERTYPE'!$M$10:$M$52,MATCH($C35,'[1]SALES PERTYPE'!$B$10:$B$52,0)),0)</f>
        <v>0</v>
      </c>
      <c r="AH35" s="192" cm="1">
        <f t="array" ref="AH35">IFERROR(INDEX('[1]Sales per type juli'!$D$10:$BA$51,MATCH($C35,'[1]Sales per type juli'!$B$10:$B$51,0),MATCH("V70",'[1]Sales per type juli'!$D$8:$BA$8,0)+1),0)</f>
        <v>8999000</v>
      </c>
      <c r="AI35" s="192">
        <f>AG35-AH35</f>
        <v>-8999000</v>
      </c>
      <c r="AJ35" s="192">
        <f>IFERROR(INDEX('[1]SALES PERTYPE'!$N$10:$N$52,MATCH($C35,'[1]SALES PERTYPE'!$B$10:$B$52,0)),0)</f>
        <v>2</v>
      </c>
      <c r="AK35" s="192">
        <f>IFERROR(INDEX('[1]Sales per type juli'!$D$10:$BA$51,MATCH($C35,'[1]Sales per type juli'!$B$10:$B$51,0),MATCH("Y31d Pro",'[1]Sales per type juli'!$D$8:$BA$8,0)),0)</f>
        <v>1</v>
      </c>
      <c r="AL35" s="192">
        <f>AJ35-AK35</f>
        <v>1</v>
      </c>
      <c r="AM35" s="192">
        <f>IFERROR(INDEX('[1]SALES PERTYPE'!$O$10:$O$52,MATCH($C35,'[1]SALES PERTYPE'!$B$10:$B$52,0)),0)</f>
        <v>8598000</v>
      </c>
      <c r="AN35" s="192" cm="1">
        <f t="array" ref="AN35">IFERROR(INDEX('[1]Sales per type juli'!$D$10:$BA$51,MATCH($C35,'[1]Sales per type juli'!$B$10:$B$51,0),MATCH("Y31d Pro",'[1]Sales per type juli'!$D$8:$BA$8,0)+1),0)</f>
        <v>3899000</v>
      </c>
      <c r="AO35" s="192">
        <f>AM35-AN35</f>
        <v>4699000</v>
      </c>
      <c r="AP35" s="192">
        <f>IFERROR(INDEX('[1]SALES PERTYPE'!$P$10:$P$52,MATCH($C35,'[1]SALES PERTYPE'!$B$10:$B$52,0)),0)</f>
        <v>0</v>
      </c>
      <c r="AQ35" s="192" cm="1">
        <f t="array" ref="AQ35">IFERROR(INDEX('[1]Sales per type juli'!$D$10:$BA$51,MATCH($C35,'[1]Sales per type juli'!$B$10:$B$51,0),$FG$2),0)</f>
        <v>0</v>
      </c>
      <c r="AR35" s="192">
        <f>AP35-AQ35</f>
        <v>0</v>
      </c>
      <c r="AS35" s="192">
        <f>IFERROR(INDEX('[1]SALES PERTYPE'!$Q$10:$Q$52,MATCH($C35,'[1]SALES PERTYPE'!$B$10:$B$52,0)),0)</f>
        <v>0</v>
      </c>
      <c r="AT35" s="192" cm="1">
        <f t="array" ref="AT35">IFERROR(INDEX('[1]Sales per type juli'!$D$10:$BA$51,MATCH($C35,'[1]Sales per type juli'!$B$10:$B$51,0),$FG$2+1),0)</f>
        <v>0</v>
      </c>
      <c r="AU35" s="192">
        <f>AS35-AT35</f>
        <v>0</v>
      </c>
      <c r="AV35" s="192">
        <f>IFERROR(INDEX('[1]SALES PERTYPE'!$R$10:$R$52,MATCH($C35,'[1]SALES PERTYPE'!$B$10:$B$52,0)),0)</f>
        <v>0</v>
      </c>
      <c r="AW35" s="192">
        <f>IFERROR(INDEX('[1]Sales per type juli'!$D$10:$BA$51,MATCH($C35,'[1]Sales per type juli'!$B$10:$B$51,0),MATCH("Y31d ",'[1]Sales per type juli'!$D$8:$BA$8,0)),0)</f>
        <v>0</v>
      </c>
      <c r="AX35" s="192">
        <f>AV35-AW35</f>
        <v>0</v>
      </c>
      <c r="AY35" s="192">
        <f>IFERROR(INDEX('[1]SALES PERTYPE'!$S$10:$S$52,MATCH($C35,'[1]SALES PERTYPE'!$B$10:$B$52,0)),0)</f>
        <v>0</v>
      </c>
      <c r="AZ35" s="192" cm="1">
        <f t="array" ref="AZ35">IFERROR(INDEX('[1]Sales per type juli'!$D$10:$BA$51,MATCH($C35,'[1]Sales per type juli'!$B$10:$B$51,0),MATCH("Y31d ",'[1]Sales per type juli'!$D$8:$BA$8,0)+1),0)</f>
        <v>0</v>
      </c>
      <c r="BA35" s="192">
        <f>AY35-AZ35</f>
        <v>0</v>
      </c>
      <c r="BB35" s="192">
        <f>IFERROR(INDEX('[1]SALES PERTYPE'!$T$10:$T$52,MATCH($C35,'[1]SALES PERTYPE'!$B$10:$B$52,0)),0)</f>
        <v>0</v>
      </c>
      <c r="BC35" s="192">
        <f>IFERROR(INDEX('[1]Sales per type juli'!$D$10:$BA$51,MATCH($C35,'[1]Sales per type juli'!$B$10:$B$51,0),MATCH("V70 FE",'[1]Sales per type juli'!$D$8:$BA$8,0)),0)</f>
        <v>1</v>
      </c>
      <c r="BD35" s="192">
        <f>BB35-BC35</f>
        <v>-1</v>
      </c>
      <c r="BE35" s="192">
        <f>IFERROR(INDEX('[1]SALES PERTYPE'!$U$10:$U$52,MATCH($C35,'[1]SALES PERTYPE'!$B$10:$B$52,0)),0)</f>
        <v>0</v>
      </c>
      <c r="BF35" s="192" cm="1">
        <f t="array" ref="BF35">IFERROR(INDEX('[1]Sales per type juli'!$D$10:$BA$51,MATCH($C35,'[1]Sales per type juli'!$B$10:$B$51,0),MATCH("V70 FE",'[1]Sales per type juli'!$D$8:$BA$8,0)+1),0)</f>
        <v>6499000</v>
      </c>
      <c r="BG35" s="192">
        <f>BE35-BF35</f>
        <v>-6499000</v>
      </c>
      <c r="BH35" s="192">
        <f>IFERROR(INDEX('[1]SALES PERTYPE'!$V$10:$V$52,MATCH($C35,'[1]SALES PERTYPE'!$B$10:$B$52,0)),0)</f>
        <v>0</v>
      </c>
      <c r="BI35" s="192">
        <f>IFERROR(INDEX('[1]Sales per type juli'!$D$10:$BA$51,MATCH($C35,'[1]Sales per type juli'!$B$10:$B$51,0),MATCH("Y31d",'[1]Sales per type juli'!$D$8:$BA$8,0)),0)</f>
        <v>0</v>
      </c>
      <c r="BJ35" s="192">
        <f>BH35-BI35</f>
        <v>0</v>
      </c>
      <c r="BK35" s="192">
        <f>IFERROR(INDEX('[1]SALES PERTYPE'!$W$10:$W$52,MATCH($C35,'[1]SALES PERTYPE'!$B$10:$B$52,0)),0)</f>
        <v>0</v>
      </c>
      <c r="BL35" s="192" cm="1">
        <f t="array" ref="BL35">IFERROR(INDEX('[1]Sales per type juli'!$D$10:$BA$51,MATCH($C35,'[1]Sales per type juli'!$B$10:$B$51,0),MATCH("Y31d",'[1]Sales per type juli'!$D$8:$BA$8,0)+1),0)</f>
        <v>0</v>
      </c>
      <c r="BM35" s="192">
        <f>BK35-BL35</f>
        <v>0</v>
      </c>
      <c r="BN35" s="192">
        <f>IFERROR(INDEX('[1]SALES PERTYPE'!$X$10:$X$52,MATCH($C35,'[1]SALES PERTYPE'!$B$10:$B$52,0)),0)</f>
        <v>0</v>
      </c>
      <c r="BO35" s="192">
        <f>IFERROR(INDEX('[1]Sales per type juli'!$D$10:$BA$51,MATCH($C35,'[1]Sales per type juli'!$B$10:$B$51,0),MATCH("Y500",'[1]Sales per type juli'!$D$8:$BA$8,0)),0)</f>
        <v>1</v>
      </c>
      <c r="BP35" s="192">
        <f>BN35-BO35</f>
        <v>-1</v>
      </c>
      <c r="BQ35" s="192">
        <f>IFERROR(INDEX('[1]SALES PERTYPE'!$Y$10:$Y$52,MATCH($C35,'[1]SALES PERTYPE'!$B$10:$B$52,0)),0)</f>
        <v>0</v>
      </c>
      <c r="BR35" s="192" cm="1">
        <f t="array" ref="BR35">IFERROR(INDEX('[1]Sales per type juli'!$D$10:$BA$51,MATCH($C35,'[1]Sales per type juli'!$B$10:$B$51,0),MATCH("Y500",'[1]Sales per type juli'!$D$8:$BA$8,0)+1),0)</f>
        <v>5499000</v>
      </c>
      <c r="BS35" s="192">
        <f>BQ35-BR35</f>
        <v>-5499000</v>
      </c>
      <c r="BT35" s="192">
        <f>IFERROR(INDEX('[1]SALES PERTYPE'!$Z$10:$Z$52,MATCH($C35,'[1]SALES PERTYPE'!$B$10:$B$52,0)),0)</f>
        <v>0</v>
      </c>
      <c r="BU35" s="192">
        <f>IFERROR(INDEX('[1]Sales per type juli'!$D$10:$BA$51,MATCH($C35,'[1]Sales per type juli'!$B$10:$B$51,0),MATCH("IQOO 15R",'[1]Sales per type juli'!$D$8:$BA$8,0)),0)</f>
        <v>1</v>
      </c>
      <c r="BV35" s="192">
        <f>BT35-BU35</f>
        <v>-1</v>
      </c>
      <c r="BW35" s="192">
        <f>IFERROR(INDEX('[1]SALES PERTYPE'!$AA$10:$AA$52,MATCH($C35,'[1]SALES PERTYPE'!$B$10:$B$52,0)),0)</f>
        <v>0</v>
      </c>
      <c r="BX35" s="192" cm="1">
        <f t="array" ref="BX35">IFERROR(INDEX('[1]Sales per type juli'!$D$10:$BA$51,MATCH($C35,'[1]Sales per type juli'!$B$10:$B$51,0),MATCH("IQOO 15R",'[1]Sales per type juli'!$D$8:$BA$8,0)+1),0)</f>
        <v>9899000</v>
      </c>
      <c r="BY35" s="192">
        <f>BW35-BX35</f>
        <v>-9899000</v>
      </c>
      <c r="BZ35" s="192">
        <f>IFERROR(INDEX('[1]SALES PERTYPE'!$AB$10:$AB$52,MATCH($C35,'[1]SALES PERTYPE'!$B$10:$B$52,0)),0)</f>
        <v>0</v>
      </c>
      <c r="CA35" s="192">
        <f>IFERROR(INDEX('[1]Sales per type juli'!$D$10:$BA$51,MATCH($C35,'[1]Sales per type juli'!$B$10:$B$51,0),MATCH("V60 Lite",'[1]Sales per type juli'!$D$8:$BA$8,0)),0)</f>
        <v>0</v>
      </c>
      <c r="CB35" s="192">
        <f>BZ35-CA35</f>
        <v>0</v>
      </c>
      <c r="CC35" s="192">
        <f>IFERROR(INDEX('[1]SALES PERTYPE'!$AC$10:$AC$52,MATCH($C35,'[1]SALES PERTYPE'!$B$10:$B$52,0)),0)</f>
        <v>0</v>
      </c>
      <c r="CD35" s="192" cm="1">
        <f t="array" ref="CD35">IFERROR(INDEX('[1]Sales per type juli'!$D$10:$BA$51,MATCH($C35,'[1]Sales per type juli'!$B$10:$B$51,0),MATCH("V60 Lite",'[1]Sales per type juli'!$D$8:$BA$8,0)+1),0)</f>
        <v>0</v>
      </c>
      <c r="CE35" s="192">
        <f>CC35-CD35</f>
        <v>0</v>
      </c>
      <c r="CF35" s="192">
        <f>IFERROR(INDEX('[1]SALES PERTYPE'!$AD$10:$AD$52,MATCH($C35,'[1]SALES PERTYPE'!$B$10:$B$52,0)),0)</f>
        <v>0</v>
      </c>
      <c r="CG35" s="192">
        <f>IFERROR(INDEX('[1]Sales per type juli'!$D$10:$BA$51,MATCH($C35,'[1]Sales per type juli'!$B$10:$B$51,0),MATCH("X300 Ultra",'[1]Sales per type juli'!$D$8:$BA$8,0)),0)</f>
        <v>1</v>
      </c>
      <c r="CH35" s="192">
        <f>CF35-CG35</f>
        <v>-1</v>
      </c>
      <c r="CI35" s="192">
        <f>IFERROR(INDEX('[1]SALES PERTYPE'!$AE$10:$AE$52,MATCH($C35,'[1]SALES PERTYPE'!$B$10:$B$52,0)),0)</f>
        <v>0</v>
      </c>
      <c r="CJ35" s="192" cm="1">
        <f t="array" ref="CJ35">IFERROR(INDEX('[1]Sales per type juli'!$D$10:$BA$51,MATCH($C35,'[1]Sales per type juli'!$B$10:$B$51,0),MATCH("X300 Ultra",'[1]Sales per type juli'!$D$8:$BA$8,0)+1),0)</f>
        <v>25999000</v>
      </c>
      <c r="CK35" s="192">
        <f>CI35-CJ35</f>
        <v>-25999000</v>
      </c>
      <c r="CL35" s="192">
        <f>IFERROR(INDEX('[1]SALES PERTYPE'!$AF$10:$AF$52,MATCH($C35,'[1]SALES PERTYPE'!$B$10:$B$52,0)),0)</f>
        <v>0</v>
      </c>
      <c r="CM35" s="192">
        <f>IFERROR(INDEX('[1]Sales per type juli'!$D$10:$BA$51,MATCH($C35,'[1]Sales per type juli'!$B$10:$B$51,0),MATCH("IQOO 15",'[1]Sales per type juli'!$D$8:$BA$8,0)),0)</f>
        <v>0</v>
      </c>
      <c r="CN35" s="192">
        <f>CL35-CM35</f>
        <v>0</v>
      </c>
      <c r="CO35" s="192">
        <f>IFERROR(INDEX('[1]SALES PERTYPE'!$AG$10:$AG$52,MATCH($C35,'[1]SALES PERTYPE'!$B$10:$B$52,0)),0)</f>
        <v>0</v>
      </c>
      <c r="CP35" s="192" cm="1">
        <f t="array" ref="CP35">IFERROR(INDEX('[1]Sales per type juli'!$D$10:$BA$51,MATCH($C35,'[1]Sales per type juli'!$B$10:$B$51,0),MATCH("IQOO 15",'[1]Sales per type juli'!$D$8:$BA$8,0)+1),0)</f>
        <v>0</v>
      </c>
      <c r="CQ35" s="192">
        <f>CO35-CP35</f>
        <v>0</v>
      </c>
      <c r="CR35" s="192">
        <f>IFERROR(INDEX('[1]SALES PERTYPE'!$AH$10:$AH$52,MATCH($C35,'[1]SALES PERTYPE'!$B$10:$B$52,0)),0)</f>
        <v>0</v>
      </c>
      <c r="CS35" s="192">
        <f>IFERROR(INDEX('[1]Sales per type juli'!$D$10:$BA$51,MATCH($C35,'[1]Sales per type juli'!$B$10:$B$51,0),MATCH("IQOO Z11x",'[1]Sales per type juli'!$D$8:$BA$8,0)),0)</f>
        <v>0</v>
      </c>
      <c r="CT35" s="192">
        <f>CR35-CS35</f>
        <v>0</v>
      </c>
      <c r="CU35" s="192">
        <f>IFERROR(INDEX('[1]SALES PERTYPE'!$AI$10:$AI$52,MATCH($C35,'[1]SALES PERTYPE'!$B$10:$B$52,0)),0)</f>
        <v>0</v>
      </c>
      <c r="CV35" s="192" cm="1">
        <f t="array" ref="CV35">IFERROR(INDEX('[1]Sales per type juli'!$D$10:$BA$51,MATCH($C35,'[1]Sales per type juli'!$B$10:$B$51,0),MATCH("IQOO Z11x",'[1]Sales per type juli'!$D$8:$BA$8,0)+1),0)</f>
        <v>0</v>
      </c>
      <c r="CW35" s="192">
        <f>CU35-CV35</f>
        <v>0</v>
      </c>
      <c r="CX35" s="192">
        <f>IFERROR(INDEX('[1]SALES PERTYPE'!$AJ$10:$AJ$52,MATCH($C35,'[1]SALES PERTYPE'!$B$10:$B$52,0)),0)</f>
        <v>0</v>
      </c>
      <c r="CY35" s="192">
        <f>IFERROR(INDEX('[1]Sales per type juli'!$D$10:$BA$51,MATCH($C35,'[1]Sales per type juli'!$B$10:$B$51,0),MATCH("IQOO Z11",'[1]Sales per type juli'!$D$8:$BA$8,0)),0)</f>
        <v>2</v>
      </c>
      <c r="CZ35" s="192">
        <f>CX35-CY35</f>
        <v>-2</v>
      </c>
      <c r="DA35" s="192">
        <f>IFERROR(INDEX('[1]SALES PERTYPE'!$AK$10:$AK$52,MATCH($C35,'[1]SALES PERTYPE'!$B$10:$B$52,0)),0)</f>
        <v>0</v>
      </c>
      <c r="DB35" s="192" cm="1">
        <f t="array" ref="DB35">IFERROR(INDEX('[1]Sales per type juli'!$D$10:$BA$51,MATCH($C35,'[1]Sales per type juli'!$B$10:$B$51,0),MATCH("IQOO Z11",'[1]Sales per type juli'!$D$8:$BA$8,0)+1),0)</f>
        <v>11398000</v>
      </c>
      <c r="DC35" s="192">
        <f>DA35-DB35</f>
        <v>-11398000</v>
      </c>
      <c r="DD35" s="192">
        <v>0</v>
      </c>
      <c r="DE35" s="192">
        <f>IFERROR(INDEX('[1]Sales per type juli'!$D$10:$BA$51,MATCH($C35,'[1]Sales per type juli'!$B$10:$B$51,0),MATCH("WATCH 3",'[1]Sales per type juli'!$D$8:$BA$8,0)),0)</f>
        <v>0</v>
      </c>
      <c r="DF35" s="192">
        <f>DD35-DE35</f>
        <v>0</v>
      </c>
      <c r="DG35" s="192">
        <v>0</v>
      </c>
      <c r="DH35" s="192" cm="1">
        <f t="array" ref="DH35">IFERROR(INDEX('[1]Sales per type juli'!$D$10:$BA$51,MATCH($C35,'[1]Sales per type juli'!$B$10:$B$51,0),MATCH("WATCH 3",'[1]Sales per type juli'!$D$8:$BA$8,0)+1),0)</f>
        <v>0</v>
      </c>
      <c r="DI35" s="192">
        <f>DG35-DH35</f>
        <v>0</v>
      </c>
      <c r="DJ35" s="192">
        <v>0</v>
      </c>
      <c r="DK35" s="192">
        <f>IFERROR(INDEX('[1]Sales per type juli'!$D$10:$BA$51,MATCH($C35,'[1]Sales per type juli'!$B$10:$B$51,0),MATCH("X300 Demo",'[1]Sales per type juli'!$D$8:$BA$8,0)),0)</f>
        <v>0</v>
      </c>
      <c r="DL35" s="192">
        <f>DJ35-DK35</f>
        <v>0</v>
      </c>
      <c r="DM35" s="192">
        <v>0</v>
      </c>
      <c r="DN35" s="192" cm="1">
        <f t="array" ref="DN35">IFERROR(INDEX('[1]Sales per type juli'!$D$10:$BA$51,MATCH($C35,'[1]Sales per type juli'!$B$10:$B$51,0),MATCH("X300 Demo",'[1]Sales per type juli'!$D$8:$BA$8,0)+1),0)</f>
        <v>0</v>
      </c>
      <c r="DO35" s="192">
        <f>DM35-DN35</f>
        <v>0</v>
      </c>
      <c r="DP35" s="192">
        <v>0</v>
      </c>
      <c r="DQ35" s="192">
        <f>IFERROR(INDEX('[1]Sales per type juli'!$D$10:$BA$51,MATCH($C35,'[1]Sales per type juli'!$B$10:$B$51,0),MATCH("X300 Pro Demo",'[1]Sales per type juli'!$D$8:$BA$8,0)),0)</f>
        <v>0</v>
      </c>
      <c r="DR35" s="192">
        <f>DP35-DQ35</f>
        <v>0</v>
      </c>
      <c r="DS35" s="192">
        <v>0</v>
      </c>
      <c r="DT35" s="192" cm="1">
        <f t="array" ref="DT35">IFERROR(INDEX('[1]Sales per type juli'!$D$10:$BA$51,MATCH($C35,'[1]Sales per type juli'!$B$10:$B$51,0),MATCH("X300 Pro Demo",'[1]Sales per type juli'!$D$8:$BA$8,0)+1),0)</f>
        <v>0</v>
      </c>
      <c r="DU35" s="192">
        <f>DS35-DT35</f>
        <v>0</v>
      </c>
      <c r="DV35" s="192">
        <v>0</v>
      </c>
      <c r="DW35" s="192">
        <f>IFERROR(INDEX('[1]Sales per type juli'!$D$10:$BA$51,MATCH($C35,'[1]Sales per type juli'!$B$10:$B$51,0),MATCH("X Fold5 DEMO",'[1]Sales per type juli'!$D$8:$BA$8,0)),0)</f>
        <v>0</v>
      </c>
      <c r="DX35" s="192">
        <f>DV35-DW35</f>
        <v>0</v>
      </c>
      <c r="DY35" s="192">
        <v>0</v>
      </c>
      <c r="DZ35" s="192" cm="1">
        <f t="array" ref="DZ35">IFERROR(INDEX('[1]Sales per type juli'!$D$10:$BA$51,MATCH($C35,'[1]Sales per type juli'!$B$10:$B$51,0),MATCH("X Fold5 DEMO",'[1]Sales per type juli'!$D$8:$BA$8,0)+1),0)</f>
        <v>0</v>
      </c>
      <c r="EA35" s="192">
        <f>DY35-DZ35</f>
        <v>0</v>
      </c>
      <c r="EB35" s="192">
        <v>0</v>
      </c>
      <c r="EC35" s="192">
        <f>IFERROR(INDEX('[1]Sales per type juli'!$D$10:$BA$51,MATCH($C35,'[1]Sales per type juli'!$B$10:$B$51,0),MATCH("X Fold5",'[1]Sales per type juli'!$D$8:$BA$8,0)),0)</f>
        <v>0</v>
      </c>
      <c r="ED35" s="192">
        <f>EB35-EC35</f>
        <v>0</v>
      </c>
      <c r="EE35" s="192">
        <v>0</v>
      </c>
      <c r="EF35" s="192" cm="1">
        <f t="array" ref="EF35">IFERROR(INDEX('[1]Sales per type juli'!$D$10:$BA$51,MATCH($C35,'[1]Sales per type juli'!$B$10:$B$51,0),MATCH("X Fold5",'[1]Sales per type juli'!$D$8:$BA$8,0)+1),0)</f>
        <v>0</v>
      </c>
      <c r="EG35" s="192">
        <f>EE35-EF35</f>
        <v>0</v>
      </c>
      <c r="EH35" s="192">
        <v>0</v>
      </c>
      <c r="EI35" s="192">
        <f>IFERROR(INDEX('[1]Sales per type juli'!$D$10:$BA$51,MATCH($C35,'[1]Sales per type juli'!$B$10:$B$51,0),MATCH("IQOO 15 Demo",'[1]Sales per type juli'!$D$8:$BA$8,0)),0)</f>
        <v>0</v>
      </c>
      <c r="EJ35" s="192">
        <f>EH35-EI35</f>
        <v>0</v>
      </c>
      <c r="EK35" s="192">
        <v>0</v>
      </c>
      <c r="EL35" s="192" cm="1">
        <f t="array" ref="EL35">IFERROR(INDEX('[1]Sales per type juli'!$D$10:$BA$51,MATCH($C35,'[1]Sales per type juli'!$B$10:$B$51,0),MATCH("IQOO 15 Demo",'[1]Sales per type juli'!$D$8:$BA$8,0)+1),0)</f>
        <v>0</v>
      </c>
      <c r="EM35" s="192">
        <f>EK35-EL35</f>
        <v>0</v>
      </c>
      <c r="EN35" s="192">
        <v>0</v>
      </c>
      <c r="EO35" s="192">
        <f>IFERROR(INDEX('[1]Sales per type juli'!$D$10:$BA$51,MATCH($C35,'[1]Sales per type juli'!$B$10:$B$51,0),MATCH("X300 PRO",'[1]Sales per type juli'!$D$8:$BA$8,0)),0)</f>
        <v>0</v>
      </c>
      <c r="EP35" s="192">
        <f>EN35-EO35</f>
        <v>0</v>
      </c>
      <c r="EQ35" s="192">
        <v>0</v>
      </c>
      <c r="ER35" s="192" cm="1">
        <f t="array" ref="ER35">IFERROR(INDEX('[1]Sales per type juli'!$D$10:$BA$51,MATCH($C35,'[1]Sales per type juli'!$B$10:$B$51,0),MATCH("X300 PRO",'[1]Sales per type juli'!$D$8:$BA$8,0)+1),0)</f>
        <v>0</v>
      </c>
      <c r="ES35" s="192">
        <f>EQ35-ER35</f>
        <v>0</v>
      </c>
      <c r="ET35" s="192">
        <v>0</v>
      </c>
      <c r="EU35" s="192">
        <f>IFERROR(INDEX('[1]Sales per type juli'!$D$10:$BA$51,MATCH($C35,'[1]Sales per type juli'!$B$10:$B$51,0),MATCH("X300 ",'[1]Sales per type juli'!$D$8:$BA$8,0)),0)</f>
        <v>0</v>
      </c>
      <c r="EV35" s="192">
        <f>ET35-EU35</f>
        <v>0</v>
      </c>
      <c r="EW35" s="192">
        <v>0</v>
      </c>
      <c r="EX35" s="192" cm="1">
        <f t="array" ref="EX35">IFERROR(INDEX('[1]Sales per type juli'!$D$10:$BA$51,MATCH($C35,'[1]Sales per type juli'!$B$10:$B$51,0),MATCH("X300 ",'[1]Sales per type juli'!$D$8:$BA$8,0)+1),0)</f>
        <v>0</v>
      </c>
      <c r="EY35" s="192">
        <f>EW35-EX35</f>
        <v>0</v>
      </c>
      <c r="EZ35" s="192">
        <f>F35+L35+R35+X35+AD35+AJ35+AP35+AV35+BB35+BH35+BN35+BT35+BZ35+CF35+CL35+CR35+CX35+DD35+DJ35+DP35+DV35+EB35+EH35+EN35+ET35</f>
        <v>7</v>
      </c>
      <c r="FA35" s="192">
        <f>G35+M35+S35+Y35+AE35+AK35+AQ35+AW35+BC35+BI35+BO35+BU35+CA35+CG35+CM35+CS35+CY35+DE35+DK35+DQ35+DW35+EC35+EI35+EO35+EU35</f>
        <v>13</v>
      </c>
      <c r="FB35" s="192">
        <f>EZ35-FA35</f>
        <v>-6</v>
      </c>
      <c r="FC35" s="192">
        <f>I35+O35+U35+AA35+AG35+AM35+AS35+AY35+BE35+BK35+BQ35+BW35+CC35+CI35+CO35+CU35+DA35+DG35+DM35+DS35+DY35+EE35+EK35+EQ35+EW35</f>
        <v>21193000</v>
      </c>
      <c r="FD35" s="192">
        <f>J35+P35+V35+AB35+AH35+AN35+AT35+AZ35+BF35+BL35+BR35+BX35+CD35+CJ35+CP35+CV35+DB35+DH35+DN35+DT35+DZ35+EF35+EL35+ER35+EX35</f>
        <v>84687000</v>
      </c>
      <c r="FE35" s="192">
        <f>FC35-FD35</f>
        <v>-63494000</v>
      </c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</row>
    <row r="36" spans="1:208" ht="16" x14ac:dyDescent="0.2">
      <c r="A36" s="139">
        <f>'[1]ACHIEVEMENT STORE'!A36</f>
        <v>32</v>
      </c>
      <c r="B36" s="140" t="str">
        <f>'[1]ACHIEVEMENT STORE'!B36</f>
        <v>624-万丹BANTEN</v>
      </c>
      <c r="C36" s="139">
        <f>'[1]ACHIEVEMENT STORE'!C36</f>
        <v>6240706</v>
      </c>
      <c r="D36" s="140" t="str">
        <f>'[1]ACHIEVEMENT STORE'!D36</f>
        <v>6240706-SUPERMALL LGC3A</v>
      </c>
      <c r="E36" s="140" t="str">
        <f>'[1]ACHIEVEMENT STORE'!E36</f>
        <v>ADE RIVALDI L</v>
      </c>
      <c r="F36" s="192">
        <f>IFERROR(INDEX('[1]SALES PERTYPE'!$D$10:$D$52,MATCH($C36,'[1]SALES PERTYPE'!$B$10:$B$52,0)),0)</f>
        <v>2</v>
      </c>
      <c r="G36" s="192">
        <f>IFERROR(INDEX('[1]Sales per type juli'!$D$10:$BA$51,MATCH($C36,'[1]Sales per type juli'!$B$10:$B$51,0),MATCH("Y05",'[1]Sales per type juli'!$D$8:$BA$8,0)),0)</f>
        <v>2</v>
      </c>
      <c r="H36" s="192">
        <f>F36-G36</f>
        <v>0</v>
      </c>
      <c r="I36" s="192">
        <f>IFERROR(INDEX('[1]SALES PERTYPE'!$E$10:$E$52,MATCH($C36,'[1]SALES PERTYPE'!$B$10:$B$52,0)),0)</f>
        <v>4598000</v>
      </c>
      <c r="J36" s="192" cm="1">
        <f t="array" ref="J36">IFERROR(INDEX('[1]Sales per type juli'!$D$10:$BA$51,MATCH($C36,'[1]Sales per type juli'!$B$10:$B$51,0),MATCH("Y05",'[1]Sales per type juli'!$D$8:$BA$8,0)+1),0)</f>
        <v>4798000</v>
      </c>
      <c r="K36" s="192">
        <f>I36-J36</f>
        <v>-200000</v>
      </c>
      <c r="L36" s="192">
        <f>IFERROR(INDEX('[1]SALES PERTYPE'!$F$10:$F$52,MATCH($C36,'[1]SALES PERTYPE'!$B$10:$B$52,0)),0)</f>
        <v>3</v>
      </c>
      <c r="M36" s="192">
        <f>IFERROR(INDEX('[1]Sales per type juli'!$D$10:$BA$51,MATCH($C36,'[1]Sales per type juli'!$B$10:$B$51,0),MATCH("Y11d",'[1]Sales per type juli'!$D$8:$BA$8,0)),0)</f>
        <v>3</v>
      </c>
      <c r="N36" s="192">
        <f>L36-M36</f>
        <v>0</v>
      </c>
      <c r="O36" s="192">
        <f>IFERROR(INDEX('[1]SALES PERTYPE'!$G$10:$G$52,MATCH($C36,'[1]SALES PERTYPE'!$B$10:$B$52,0)),0)</f>
        <v>7997000</v>
      </c>
      <c r="P36" s="192" cm="1">
        <f t="array" ref="P36">IFERROR(INDEX('[1]Sales per type juli'!$D$10:$BA$51,MATCH($C36,'[1]Sales per type juli'!$B$10:$B$51,0),MATCH("Y11d",'[1]Sales per type juli'!$D$8:$BA$8,0)+1),0)</f>
        <v>7997000</v>
      </c>
      <c r="Q36" s="192">
        <f>O36-P36</f>
        <v>0</v>
      </c>
      <c r="R36" s="192">
        <f>IFERROR(INDEX('[1]SALES PERTYPE'!$H$10:$H$52,MATCH($C36,'[1]SALES PERTYPE'!$B$10:$B$52,0)),0)</f>
        <v>0</v>
      </c>
      <c r="S36" s="192">
        <f>IFERROR(INDEX('[1]Sales per type juli'!$D$10:$BA$51,MATCH($C36,'[1]Sales per type juli'!$B$10:$B$51,0),MATCH("Watch GT 2",'[1]Sales per type juli'!$D$8:$BA$8,0)),0)</f>
        <v>0</v>
      </c>
      <c r="T36" s="192">
        <f>R36-S36</f>
        <v>0</v>
      </c>
      <c r="U36" s="192">
        <f>IFERROR(INDEX('[1]SALES PERTYPE'!$I$10:$I$52,MATCH($C36,'[1]SALES PERTYPE'!$B$10:$B$52,0)),0)</f>
        <v>0</v>
      </c>
      <c r="V36" s="192" cm="1">
        <f t="array" ref="V36">IFERROR(INDEX('[1]Sales per type juli'!$D$10:$BA$51,MATCH($C36,'[1]Sales per type juli'!$B$10:$B$51,0),MATCH("Watch GT 2",'[1]Sales per type juli'!$D$8:$BA$8,0)+1),0)</f>
        <v>0</v>
      </c>
      <c r="W36" s="192">
        <f>U36-V36</f>
        <v>0</v>
      </c>
      <c r="X36" s="192">
        <f>IFERROR(INDEX('[1]SALES PERTYPE'!$J$10:$J$52,MATCH($C36,'[1]SALES PERTYPE'!$B$10:$B$52,0)),0)</f>
        <v>1</v>
      </c>
      <c r="Y36" s="192">
        <f>IFERROR(INDEX('[1]Sales per type juli'!$D$10:$BA$51,MATCH($C36,'[1]Sales per type juli'!$B$10:$B$51,0),MATCH("Y05e",'[1]Sales per type juli'!$D$8:$BA$8,0)),0)</f>
        <v>0</v>
      </c>
      <c r="Z36" s="192">
        <f>X36-Y36</f>
        <v>1</v>
      </c>
      <c r="AA36" s="192">
        <f>IFERROR(INDEX('[1]SALES PERTYPE'!$K$10:$K$52,MATCH($C36,'[1]SALES PERTYPE'!$B$10:$B$52,0)),0)</f>
        <v>2099000</v>
      </c>
      <c r="AB36" s="192" cm="1">
        <f t="array" ref="AB36">IFERROR(INDEX('[1]Sales per type juli'!$D$10:$BA$51,MATCH($C36,'[1]Sales per type juli'!$B$10:$B$51,0),MATCH("Y05e",'[1]Sales per type juli'!$D$8:$BA$8,0)+1),0)</f>
        <v>0</v>
      </c>
      <c r="AC36" s="192">
        <f>AA36-AB36</f>
        <v>2099000</v>
      </c>
      <c r="AD36" s="192">
        <f>IFERROR(INDEX('[1]SALES PERTYPE'!$L$10:$L$52,MATCH($C36,'[1]SALES PERTYPE'!$B$10:$B$52,0)),0)</f>
        <v>1</v>
      </c>
      <c r="AE36" s="192">
        <f>IFERROR(INDEX('[1]Sales per type juli'!$D$10:$BA$51,MATCH($C36,'[1]Sales per type juli'!$B$10:$B$51,0),MATCH("V70",'[1]Sales per type juli'!$D$8:$BA$8,0)),0)</f>
        <v>2</v>
      </c>
      <c r="AF36" s="192">
        <f>AD36-AE36</f>
        <v>-1</v>
      </c>
      <c r="AG36" s="192">
        <f>IFERROR(INDEX('[1]SALES PERTYPE'!$M$10:$M$52,MATCH($C36,'[1]SALES PERTYPE'!$B$10:$B$52,0)),0)</f>
        <v>9999000</v>
      </c>
      <c r="AH36" s="192" cm="1">
        <f t="array" ref="AH36">IFERROR(INDEX('[1]Sales per type juli'!$D$10:$BA$51,MATCH($C36,'[1]Sales per type juli'!$B$10:$B$51,0),MATCH("V70",'[1]Sales per type juli'!$D$8:$BA$8,0)+1),0)</f>
        <v>17998000</v>
      </c>
      <c r="AI36" s="192">
        <f>AG36-AH36</f>
        <v>-7999000</v>
      </c>
      <c r="AJ36" s="192">
        <f>IFERROR(INDEX('[1]SALES PERTYPE'!$N$10:$N$52,MATCH($C36,'[1]SALES PERTYPE'!$B$10:$B$52,0)),0)</f>
        <v>2</v>
      </c>
      <c r="AK36" s="192">
        <f>IFERROR(INDEX('[1]Sales per type juli'!$D$10:$BA$51,MATCH($C36,'[1]Sales per type juli'!$B$10:$B$51,0),MATCH("Y31d Pro",'[1]Sales per type juli'!$D$8:$BA$8,0)),0)</f>
        <v>1</v>
      </c>
      <c r="AL36" s="192">
        <f>AJ36-AK36</f>
        <v>1</v>
      </c>
      <c r="AM36" s="192">
        <f>IFERROR(INDEX('[1]SALES PERTYPE'!$O$10:$O$52,MATCH($C36,'[1]SALES PERTYPE'!$B$10:$B$52,0)),0)</f>
        <v>9398000</v>
      </c>
      <c r="AN36" s="192" cm="1">
        <f t="array" ref="AN36">IFERROR(INDEX('[1]Sales per type juli'!$D$10:$BA$51,MATCH($C36,'[1]Sales per type juli'!$B$10:$B$51,0),MATCH("Y31d Pro",'[1]Sales per type juli'!$D$8:$BA$8,0)+1),0)</f>
        <v>4299000</v>
      </c>
      <c r="AO36" s="192">
        <f>AM36-AN36</f>
        <v>5099000</v>
      </c>
      <c r="AP36" s="192">
        <f>IFERROR(INDEX('[1]SALES PERTYPE'!$P$10:$P$52,MATCH($C36,'[1]SALES PERTYPE'!$B$10:$B$52,0)),0)</f>
        <v>0</v>
      </c>
      <c r="AQ36" s="192" cm="1">
        <f t="array" ref="AQ36">IFERROR(INDEX('[1]Sales per type juli'!$D$10:$BA$51,MATCH($C36,'[1]Sales per type juli'!$B$10:$B$51,0),$FG$2),0)</f>
        <v>1</v>
      </c>
      <c r="AR36" s="192">
        <f>AP36-AQ36</f>
        <v>-1</v>
      </c>
      <c r="AS36" s="192">
        <f>IFERROR(INDEX('[1]SALES PERTYPE'!$Q$10:$Q$52,MATCH($C36,'[1]SALES PERTYPE'!$B$10:$B$52,0)),0)</f>
        <v>0</v>
      </c>
      <c r="AT36" s="192" cm="1">
        <f t="array" ref="AT36">IFERROR(INDEX('[1]Sales per type juli'!$D$10:$BA$51,MATCH($C36,'[1]Sales per type juli'!$B$10:$B$51,0),$FG$2+1),0)</f>
        <v>3599000</v>
      </c>
      <c r="AU36" s="192">
        <f>AS36-AT36</f>
        <v>-3599000</v>
      </c>
      <c r="AV36" s="192">
        <f>IFERROR(INDEX('[1]SALES PERTYPE'!$R$10:$R$52,MATCH($C36,'[1]SALES PERTYPE'!$B$10:$B$52,0)),0)</f>
        <v>0</v>
      </c>
      <c r="AW36" s="192">
        <f>IFERROR(INDEX('[1]Sales per type juli'!$D$10:$BA$51,MATCH($C36,'[1]Sales per type juli'!$B$10:$B$51,0),MATCH("Y31d ",'[1]Sales per type juli'!$D$8:$BA$8,0)),0)</f>
        <v>0</v>
      </c>
      <c r="AX36" s="192">
        <f>AV36-AW36</f>
        <v>0</v>
      </c>
      <c r="AY36" s="192">
        <f>IFERROR(INDEX('[1]SALES PERTYPE'!$S$10:$S$52,MATCH($C36,'[1]SALES PERTYPE'!$B$10:$B$52,0)),0)</f>
        <v>0</v>
      </c>
      <c r="AZ36" s="192" cm="1">
        <f t="array" ref="AZ36">IFERROR(INDEX('[1]Sales per type juli'!$D$10:$BA$51,MATCH($C36,'[1]Sales per type juli'!$B$10:$B$51,0),MATCH("Y31d ",'[1]Sales per type juli'!$D$8:$BA$8,0)+1),0)</f>
        <v>0</v>
      </c>
      <c r="BA36" s="192">
        <f>AY36-AZ36</f>
        <v>0</v>
      </c>
      <c r="BB36" s="192">
        <f>IFERROR(INDEX('[1]SALES PERTYPE'!$T$10:$T$52,MATCH($C36,'[1]SALES PERTYPE'!$B$10:$B$52,0)),0)</f>
        <v>0</v>
      </c>
      <c r="BC36" s="192">
        <f>IFERROR(INDEX('[1]Sales per type juli'!$D$10:$BA$51,MATCH($C36,'[1]Sales per type juli'!$B$10:$B$51,0),MATCH("V70 FE",'[1]Sales per type juli'!$D$8:$BA$8,0)),0)</f>
        <v>2</v>
      </c>
      <c r="BD36" s="192">
        <f>BB36-BC36</f>
        <v>-2</v>
      </c>
      <c r="BE36" s="192">
        <f>IFERROR(INDEX('[1]SALES PERTYPE'!$U$10:$U$52,MATCH($C36,'[1]SALES PERTYPE'!$B$10:$B$52,0)),0)</f>
        <v>0</v>
      </c>
      <c r="BF36" s="192" cm="1">
        <f t="array" ref="BF36">IFERROR(INDEX('[1]Sales per type juli'!$D$10:$BA$51,MATCH($C36,'[1]Sales per type juli'!$B$10:$B$51,0),MATCH("V70 FE",'[1]Sales per type juli'!$D$8:$BA$8,0)+1),0)</f>
        <v>12998000</v>
      </c>
      <c r="BG36" s="192">
        <f>BE36-BF36</f>
        <v>-12998000</v>
      </c>
      <c r="BH36" s="192">
        <f>IFERROR(INDEX('[1]SALES PERTYPE'!$V$10:$V$52,MATCH($C36,'[1]SALES PERTYPE'!$B$10:$B$52,0)),0)</f>
        <v>0</v>
      </c>
      <c r="BI36" s="192">
        <f>IFERROR(INDEX('[1]Sales per type juli'!$D$10:$BA$51,MATCH($C36,'[1]Sales per type juli'!$B$10:$B$51,0),MATCH("Y31d",'[1]Sales per type juli'!$D$8:$BA$8,0)),0)</f>
        <v>0</v>
      </c>
      <c r="BJ36" s="192">
        <f>BH36-BI36</f>
        <v>0</v>
      </c>
      <c r="BK36" s="192">
        <f>IFERROR(INDEX('[1]SALES PERTYPE'!$W$10:$W$52,MATCH($C36,'[1]SALES PERTYPE'!$B$10:$B$52,0)),0)</f>
        <v>0</v>
      </c>
      <c r="BL36" s="192" cm="1">
        <f t="array" ref="BL36">IFERROR(INDEX('[1]Sales per type juli'!$D$10:$BA$51,MATCH($C36,'[1]Sales per type juli'!$B$10:$B$51,0),MATCH("Y31d",'[1]Sales per type juli'!$D$8:$BA$8,0)+1),0)</f>
        <v>0</v>
      </c>
      <c r="BM36" s="192">
        <f>BK36-BL36</f>
        <v>0</v>
      </c>
      <c r="BN36" s="192">
        <f>IFERROR(INDEX('[1]SALES PERTYPE'!$X$10:$X$52,MATCH($C36,'[1]SALES PERTYPE'!$B$10:$B$52,0)),0)</f>
        <v>0</v>
      </c>
      <c r="BO36" s="192">
        <f>IFERROR(INDEX('[1]Sales per type juli'!$D$10:$BA$51,MATCH($C36,'[1]Sales per type juli'!$B$10:$B$51,0),MATCH("Y500",'[1]Sales per type juli'!$D$8:$BA$8,0)),0)</f>
        <v>2</v>
      </c>
      <c r="BP36" s="192">
        <f>BN36-BO36</f>
        <v>-2</v>
      </c>
      <c r="BQ36" s="192">
        <f>IFERROR(INDEX('[1]SALES PERTYPE'!$Y$10:$Y$52,MATCH($C36,'[1]SALES PERTYPE'!$B$10:$B$52,0)),0)</f>
        <v>0</v>
      </c>
      <c r="BR36" s="192" cm="1">
        <f t="array" ref="BR36">IFERROR(INDEX('[1]Sales per type juli'!$D$10:$BA$51,MATCH($C36,'[1]Sales per type juli'!$B$10:$B$51,0),MATCH("Y500",'[1]Sales per type juli'!$D$8:$BA$8,0)+1),0)</f>
        <v>10998000</v>
      </c>
      <c r="BS36" s="192">
        <f>BQ36-BR36</f>
        <v>-10998000</v>
      </c>
      <c r="BT36" s="192">
        <f>IFERROR(INDEX('[1]SALES PERTYPE'!$Z$10:$Z$52,MATCH($C36,'[1]SALES PERTYPE'!$B$10:$B$52,0)),0)</f>
        <v>0</v>
      </c>
      <c r="BU36" s="192">
        <f>IFERROR(INDEX('[1]Sales per type juli'!$D$10:$BA$51,MATCH($C36,'[1]Sales per type juli'!$B$10:$B$51,0),MATCH("IQOO 15R",'[1]Sales per type juli'!$D$8:$BA$8,0)),0)</f>
        <v>0</v>
      </c>
      <c r="BV36" s="192">
        <f>BT36-BU36</f>
        <v>0</v>
      </c>
      <c r="BW36" s="192">
        <f>IFERROR(INDEX('[1]SALES PERTYPE'!$AA$10:$AA$52,MATCH($C36,'[1]SALES PERTYPE'!$B$10:$B$52,0)),0)</f>
        <v>0</v>
      </c>
      <c r="BX36" s="192" cm="1">
        <f t="array" ref="BX36">IFERROR(INDEX('[1]Sales per type juli'!$D$10:$BA$51,MATCH($C36,'[1]Sales per type juli'!$B$10:$B$51,0),MATCH("IQOO 15R",'[1]Sales per type juli'!$D$8:$BA$8,0)+1),0)</f>
        <v>0</v>
      </c>
      <c r="BY36" s="192">
        <f>BW36-BX36</f>
        <v>0</v>
      </c>
      <c r="BZ36" s="192">
        <f>IFERROR(INDEX('[1]SALES PERTYPE'!$AB$10:$AB$52,MATCH($C36,'[1]SALES PERTYPE'!$B$10:$B$52,0)),0)</f>
        <v>1</v>
      </c>
      <c r="CA36" s="192">
        <f>IFERROR(INDEX('[1]Sales per type juli'!$D$10:$BA$51,MATCH($C36,'[1]Sales per type juli'!$B$10:$B$51,0),MATCH("V60 Lite",'[1]Sales per type juli'!$D$8:$BA$8,0)),0)</f>
        <v>1</v>
      </c>
      <c r="CB36" s="192">
        <f>BZ36-CA36</f>
        <v>0</v>
      </c>
      <c r="CC36" s="192">
        <f>IFERROR(INDEX('[1]SALES PERTYPE'!$AC$10:$AC$52,MATCH($C36,'[1]SALES PERTYPE'!$B$10:$B$52,0)),0)</f>
        <v>5299000</v>
      </c>
      <c r="CD36" s="192" cm="1">
        <f t="array" ref="CD36">IFERROR(INDEX('[1]Sales per type juli'!$D$10:$BA$51,MATCH($C36,'[1]Sales per type juli'!$B$10:$B$51,0),MATCH("V60 Lite",'[1]Sales per type juli'!$D$8:$BA$8,0)+1),0)</f>
        <v>5299000</v>
      </c>
      <c r="CE36" s="192">
        <f>CC36-CD36</f>
        <v>0</v>
      </c>
      <c r="CF36" s="192">
        <f>IFERROR(INDEX('[1]SALES PERTYPE'!$AD$10:$AD$52,MATCH($C36,'[1]SALES PERTYPE'!$B$10:$B$52,0)),0)</f>
        <v>0</v>
      </c>
      <c r="CG36" s="192">
        <f>IFERROR(INDEX('[1]Sales per type juli'!$D$10:$BA$51,MATCH($C36,'[1]Sales per type juli'!$B$10:$B$51,0),MATCH("X300 Ultra",'[1]Sales per type juli'!$D$8:$BA$8,0)),0)</f>
        <v>0</v>
      </c>
      <c r="CH36" s="192">
        <f>CF36-CG36</f>
        <v>0</v>
      </c>
      <c r="CI36" s="192">
        <f>IFERROR(INDEX('[1]SALES PERTYPE'!$AE$10:$AE$52,MATCH($C36,'[1]SALES PERTYPE'!$B$10:$B$52,0)),0)</f>
        <v>0</v>
      </c>
      <c r="CJ36" s="192" cm="1">
        <f t="array" ref="CJ36">IFERROR(INDEX('[1]Sales per type juli'!$D$10:$BA$51,MATCH($C36,'[1]Sales per type juli'!$B$10:$B$51,0),MATCH("X300 Ultra",'[1]Sales per type juli'!$D$8:$BA$8,0)+1),0)</f>
        <v>0</v>
      </c>
      <c r="CK36" s="192">
        <f>CI36-CJ36</f>
        <v>0</v>
      </c>
      <c r="CL36" s="192">
        <f>IFERROR(INDEX('[1]SALES PERTYPE'!$AF$10:$AF$52,MATCH($C36,'[1]SALES PERTYPE'!$B$10:$B$52,0)),0)</f>
        <v>0</v>
      </c>
      <c r="CM36" s="192">
        <f>IFERROR(INDEX('[1]Sales per type juli'!$D$10:$BA$51,MATCH($C36,'[1]Sales per type juli'!$B$10:$B$51,0),MATCH("IQOO 15",'[1]Sales per type juli'!$D$8:$BA$8,0)),0)</f>
        <v>0</v>
      </c>
      <c r="CN36" s="192">
        <f>CL36-CM36</f>
        <v>0</v>
      </c>
      <c r="CO36" s="192">
        <f>IFERROR(INDEX('[1]SALES PERTYPE'!$AG$10:$AG$52,MATCH($C36,'[1]SALES PERTYPE'!$B$10:$B$52,0)),0)</f>
        <v>0</v>
      </c>
      <c r="CP36" s="192" cm="1">
        <f t="array" ref="CP36">IFERROR(INDEX('[1]Sales per type juli'!$D$10:$BA$51,MATCH($C36,'[1]Sales per type juli'!$B$10:$B$51,0),MATCH("IQOO 15",'[1]Sales per type juli'!$D$8:$BA$8,0)+1),0)</f>
        <v>0</v>
      </c>
      <c r="CQ36" s="192">
        <f>CO36-CP36</f>
        <v>0</v>
      </c>
      <c r="CR36" s="192">
        <f>IFERROR(INDEX('[1]SALES PERTYPE'!$AH$10:$AH$52,MATCH($C36,'[1]SALES PERTYPE'!$B$10:$B$52,0)),0)</f>
        <v>0</v>
      </c>
      <c r="CS36" s="192">
        <f>IFERROR(INDEX('[1]Sales per type juli'!$D$10:$BA$51,MATCH($C36,'[1]Sales per type juli'!$B$10:$B$51,0),MATCH("IQOO Z11x",'[1]Sales per type juli'!$D$8:$BA$8,0)),0)</f>
        <v>0</v>
      </c>
      <c r="CT36" s="192">
        <f>CR36-CS36</f>
        <v>0</v>
      </c>
      <c r="CU36" s="192">
        <f>IFERROR(INDEX('[1]SALES PERTYPE'!$AI$10:$AI$52,MATCH($C36,'[1]SALES PERTYPE'!$B$10:$B$52,0)),0)</f>
        <v>0</v>
      </c>
      <c r="CV36" s="192" cm="1">
        <f t="array" ref="CV36">IFERROR(INDEX('[1]Sales per type juli'!$D$10:$BA$51,MATCH($C36,'[1]Sales per type juli'!$B$10:$B$51,0),MATCH("IQOO Z11x",'[1]Sales per type juli'!$D$8:$BA$8,0)+1),0)</f>
        <v>0</v>
      </c>
      <c r="CW36" s="192">
        <f>CU36-CV36</f>
        <v>0</v>
      </c>
      <c r="CX36" s="192">
        <f>IFERROR(INDEX('[1]SALES PERTYPE'!$AJ$10:$AJ$52,MATCH($C36,'[1]SALES PERTYPE'!$B$10:$B$52,0)),0)</f>
        <v>0</v>
      </c>
      <c r="CY36" s="192">
        <f>IFERROR(INDEX('[1]Sales per type juli'!$D$10:$BA$51,MATCH($C36,'[1]Sales per type juli'!$B$10:$B$51,0),MATCH("IQOO Z11",'[1]Sales per type juli'!$D$8:$BA$8,0)),0)</f>
        <v>2</v>
      </c>
      <c r="CZ36" s="192">
        <f>CX36-CY36</f>
        <v>-2</v>
      </c>
      <c r="DA36" s="192">
        <f>IFERROR(INDEX('[1]SALES PERTYPE'!$AK$10:$AK$52,MATCH($C36,'[1]SALES PERTYPE'!$B$10:$B$52,0)),0)</f>
        <v>0</v>
      </c>
      <c r="DB36" s="192" cm="1">
        <f t="array" ref="DB36">IFERROR(INDEX('[1]Sales per type juli'!$D$10:$BA$51,MATCH($C36,'[1]Sales per type juli'!$B$10:$B$51,0),MATCH("IQOO Z11",'[1]Sales per type juli'!$D$8:$BA$8,0)+1),0)</f>
        <v>11398000</v>
      </c>
      <c r="DC36" s="192">
        <f>DA36-DB36</f>
        <v>-11398000</v>
      </c>
      <c r="DD36" s="192">
        <v>0</v>
      </c>
      <c r="DE36" s="192">
        <f>IFERROR(INDEX('[1]Sales per type juli'!$D$10:$BA$51,MATCH($C36,'[1]Sales per type juli'!$B$10:$B$51,0),MATCH("WATCH 3",'[1]Sales per type juli'!$D$8:$BA$8,0)),0)</f>
        <v>0</v>
      </c>
      <c r="DF36" s="192">
        <f>DD36-DE36</f>
        <v>0</v>
      </c>
      <c r="DG36" s="192">
        <v>0</v>
      </c>
      <c r="DH36" s="192" cm="1">
        <f t="array" ref="DH36">IFERROR(INDEX('[1]Sales per type juli'!$D$10:$BA$51,MATCH($C36,'[1]Sales per type juli'!$B$10:$B$51,0),MATCH("WATCH 3",'[1]Sales per type juli'!$D$8:$BA$8,0)+1),0)</f>
        <v>0</v>
      </c>
      <c r="DI36" s="192">
        <f>DG36-DH36</f>
        <v>0</v>
      </c>
      <c r="DJ36" s="192">
        <v>0</v>
      </c>
      <c r="DK36" s="192">
        <f>IFERROR(INDEX('[1]Sales per type juli'!$D$10:$BA$51,MATCH($C36,'[1]Sales per type juli'!$B$10:$B$51,0),MATCH("X300 Demo",'[1]Sales per type juli'!$D$8:$BA$8,0)),0)</f>
        <v>0</v>
      </c>
      <c r="DL36" s="192">
        <f>DJ36-DK36</f>
        <v>0</v>
      </c>
      <c r="DM36" s="192">
        <v>0</v>
      </c>
      <c r="DN36" s="192" cm="1">
        <f t="array" ref="DN36">IFERROR(INDEX('[1]Sales per type juli'!$D$10:$BA$51,MATCH($C36,'[1]Sales per type juli'!$B$10:$B$51,0),MATCH("X300 Demo",'[1]Sales per type juli'!$D$8:$BA$8,0)+1),0)</f>
        <v>0</v>
      </c>
      <c r="DO36" s="192">
        <f>DM36-DN36</f>
        <v>0</v>
      </c>
      <c r="DP36" s="192">
        <v>0</v>
      </c>
      <c r="DQ36" s="192">
        <f>IFERROR(INDEX('[1]Sales per type juli'!$D$10:$BA$51,MATCH($C36,'[1]Sales per type juli'!$B$10:$B$51,0),MATCH("X300 Pro Demo",'[1]Sales per type juli'!$D$8:$BA$8,0)),0)</f>
        <v>0</v>
      </c>
      <c r="DR36" s="192">
        <f>DP36-DQ36</f>
        <v>0</v>
      </c>
      <c r="DS36" s="192">
        <v>0</v>
      </c>
      <c r="DT36" s="192" cm="1">
        <f t="array" ref="DT36">IFERROR(INDEX('[1]Sales per type juli'!$D$10:$BA$51,MATCH($C36,'[1]Sales per type juli'!$B$10:$B$51,0),MATCH("X300 Pro Demo",'[1]Sales per type juli'!$D$8:$BA$8,0)+1),0)</f>
        <v>0</v>
      </c>
      <c r="DU36" s="192">
        <f>DS36-DT36</f>
        <v>0</v>
      </c>
      <c r="DV36" s="192">
        <v>0</v>
      </c>
      <c r="DW36" s="192">
        <f>IFERROR(INDEX('[1]Sales per type juli'!$D$10:$BA$51,MATCH($C36,'[1]Sales per type juli'!$B$10:$B$51,0),MATCH("X Fold5 DEMO",'[1]Sales per type juli'!$D$8:$BA$8,0)),0)</f>
        <v>0</v>
      </c>
      <c r="DX36" s="192">
        <f>DV36-DW36</f>
        <v>0</v>
      </c>
      <c r="DY36" s="192">
        <v>0</v>
      </c>
      <c r="DZ36" s="192" cm="1">
        <f t="array" ref="DZ36">IFERROR(INDEX('[1]Sales per type juli'!$D$10:$BA$51,MATCH($C36,'[1]Sales per type juli'!$B$10:$B$51,0),MATCH("X Fold5 DEMO",'[1]Sales per type juli'!$D$8:$BA$8,0)+1),0)</f>
        <v>0</v>
      </c>
      <c r="EA36" s="192">
        <f>DY36-DZ36</f>
        <v>0</v>
      </c>
      <c r="EB36" s="192">
        <v>0</v>
      </c>
      <c r="EC36" s="192">
        <f>IFERROR(INDEX('[1]Sales per type juli'!$D$10:$BA$51,MATCH($C36,'[1]Sales per type juli'!$B$10:$B$51,0),MATCH("X Fold5",'[1]Sales per type juli'!$D$8:$BA$8,0)),0)</f>
        <v>0</v>
      </c>
      <c r="ED36" s="192">
        <f>EB36-EC36</f>
        <v>0</v>
      </c>
      <c r="EE36" s="192">
        <v>0</v>
      </c>
      <c r="EF36" s="192" cm="1">
        <f t="array" ref="EF36">IFERROR(INDEX('[1]Sales per type juli'!$D$10:$BA$51,MATCH($C36,'[1]Sales per type juli'!$B$10:$B$51,0),MATCH("X Fold5",'[1]Sales per type juli'!$D$8:$BA$8,0)+1),0)</f>
        <v>0</v>
      </c>
      <c r="EG36" s="192">
        <f>EE36-EF36</f>
        <v>0</v>
      </c>
      <c r="EH36" s="192">
        <v>0</v>
      </c>
      <c r="EI36" s="192">
        <f>IFERROR(INDEX('[1]Sales per type juli'!$D$10:$BA$51,MATCH($C36,'[1]Sales per type juli'!$B$10:$B$51,0),MATCH("IQOO 15 Demo",'[1]Sales per type juli'!$D$8:$BA$8,0)),0)</f>
        <v>0</v>
      </c>
      <c r="EJ36" s="192">
        <f>EH36-EI36</f>
        <v>0</v>
      </c>
      <c r="EK36" s="192">
        <v>0</v>
      </c>
      <c r="EL36" s="192" cm="1">
        <f t="array" ref="EL36">IFERROR(INDEX('[1]Sales per type juli'!$D$10:$BA$51,MATCH($C36,'[1]Sales per type juli'!$B$10:$B$51,0),MATCH("IQOO 15 Demo",'[1]Sales per type juli'!$D$8:$BA$8,0)+1),0)</f>
        <v>0</v>
      </c>
      <c r="EM36" s="192">
        <f>EK36-EL36</f>
        <v>0</v>
      </c>
      <c r="EN36" s="192">
        <v>0</v>
      </c>
      <c r="EO36" s="192">
        <f>IFERROR(INDEX('[1]Sales per type juli'!$D$10:$BA$51,MATCH($C36,'[1]Sales per type juli'!$B$10:$B$51,0),MATCH("X300 PRO",'[1]Sales per type juli'!$D$8:$BA$8,0)),0)</f>
        <v>0</v>
      </c>
      <c r="EP36" s="192">
        <f>EN36-EO36</f>
        <v>0</v>
      </c>
      <c r="EQ36" s="192">
        <v>0</v>
      </c>
      <c r="ER36" s="192" cm="1">
        <f t="array" ref="ER36">IFERROR(INDEX('[1]Sales per type juli'!$D$10:$BA$51,MATCH($C36,'[1]Sales per type juli'!$B$10:$B$51,0),MATCH("X300 PRO",'[1]Sales per type juli'!$D$8:$BA$8,0)+1),0)</f>
        <v>0</v>
      </c>
      <c r="ES36" s="192">
        <f>EQ36-ER36</f>
        <v>0</v>
      </c>
      <c r="ET36" s="192">
        <v>0</v>
      </c>
      <c r="EU36" s="192">
        <f>IFERROR(INDEX('[1]Sales per type juli'!$D$10:$BA$51,MATCH($C36,'[1]Sales per type juli'!$B$10:$B$51,0),MATCH("X300 ",'[1]Sales per type juli'!$D$8:$BA$8,0)),0)</f>
        <v>0</v>
      </c>
      <c r="EV36" s="192">
        <f>ET36-EU36</f>
        <v>0</v>
      </c>
      <c r="EW36" s="192">
        <v>0</v>
      </c>
      <c r="EX36" s="192" cm="1">
        <f t="array" ref="EX36">IFERROR(INDEX('[1]Sales per type juli'!$D$10:$BA$51,MATCH($C36,'[1]Sales per type juli'!$B$10:$B$51,0),MATCH("X300 ",'[1]Sales per type juli'!$D$8:$BA$8,0)+1),0)</f>
        <v>0</v>
      </c>
      <c r="EY36" s="192">
        <f>EW36-EX36</f>
        <v>0</v>
      </c>
      <c r="EZ36" s="192">
        <f>F36+L36+R36+X36+AD36+AJ36+AP36+AV36+BB36+BH36+BN36+BT36+BZ36+CF36+CL36+CR36+CX36+DD36+DJ36+DP36+DV36+EB36+EH36+EN36+ET36</f>
        <v>10</v>
      </c>
      <c r="FA36" s="192">
        <f>G36+M36+S36+Y36+AE36+AK36+AQ36+AW36+BC36+BI36+BO36+BU36+CA36+CG36+CM36+CS36+CY36+DE36+DK36+DQ36+DW36+EC36+EI36+EO36+EU36</f>
        <v>16</v>
      </c>
      <c r="FB36" s="192">
        <f>EZ36-FA36</f>
        <v>-6</v>
      </c>
      <c r="FC36" s="192">
        <f>I36+O36+U36+AA36+AG36+AM36+AS36+AY36+BE36+BK36+BQ36+BW36+CC36+CI36+CO36+CU36+DA36+DG36+DM36+DS36+DY36+EE36+EK36+EQ36+EW36</f>
        <v>39390000</v>
      </c>
      <c r="FD36" s="192">
        <f>J36+P36+V36+AB36+AH36+AN36+AT36+AZ36+BF36+BL36+BR36+BX36+CD36+CJ36+CP36+CV36+DB36+DH36+DN36+DT36+DZ36+EF36+EL36+ER36+EX36</f>
        <v>79384000</v>
      </c>
      <c r="FE36" s="192">
        <f>FC36-FD36</f>
        <v>-39994000</v>
      </c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</row>
    <row r="37" spans="1:208" ht="16" x14ac:dyDescent="0.2">
      <c r="A37" s="137">
        <f>'[1]ACHIEVEMENT STORE'!A37</f>
        <v>33</v>
      </c>
      <c r="B37" s="138" t="str">
        <f>'[1]ACHIEVEMENT STORE'!B37</f>
        <v>619-万隆市区BDG KOTA</v>
      </c>
      <c r="C37" s="137">
        <f>'[1]ACHIEVEMENT STORE'!C37</f>
        <v>6190701</v>
      </c>
      <c r="D37" s="138" t="str">
        <f>'[1]ACHIEVEMENT STORE'!D37</f>
        <v>6190701-VIVO STORE UG</v>
      </c>
      <c r="E37" s="138" t="str">
        <f>'[1]ACHIEVEMENT STORE'!E37</f>
        <v>EKO PURWANTO</v>
      </c>
      <c r="F37" s="192">
        <f>IFERROR(INDEX('[1]SALES PERTYPE'!$D$10:$D$52,MATCH($C37,'[1]SALES PERTYPE'!$B$10:$B$52,0)),0)</f>
        <v>1</v>
      </c>
      <c r="G37" s="192">
        <f>IFERROR(INDEX('[1]Sales per type juli'!$D$10:$BA$51,MATCH($C37,'[1]Sales per type juli'!$B$10:$B$51,0),MATCH("Y05",'[1]Sales per type juli'!$D$8:$BA$8,0)),0)</f>
        <v>10</v>
      </c>
      <c r="H37" s="192">
        <f>F37-G37</f>
        <v>-9</v>
      </c>
      <c r="I37" s="192">
        <f>IFERROR(INDEX('[1]SALES PERTYPE'!$E$10:$E$52,MATCH($C37,'[1]SALES PERTYPE'!$B$10:$B$52,0)),0)</f>
        <v>2299000</v>
      </c>
      <c r="J37" s="192" cm="1">
        <f t="array" ref="J37">IFERROR(INDEX('[1]Sales per type juli'!$D$10:$BA$51,MATCH($C37,'[1]Sales per type juli'!$B$10:$B$51,0),MATCH("Y05",'[1]Sales per type juli'!$D$8:$BA$8,0)+1),0)</f>
        <v>23390000</v>
      </c>
      <c r="K37" s="192">
        <f>I37-J37</f>
        <v>-21091000</v>
      </c>
      <c r="L37" s="192">
        <f>IFERROR(INDEX('[1]SALES PERTYPE'!$F$10:$F$52,MATCH($C37,'[1]SALES PERTYPE'!$B$10:$B$52,0)),0)</f>
        <v>5</v>
      </c>
      <c r="M37" s="192">
        <f>IFERROR(INDEX('[1]Sales per type juli'!$D$10:$BA$51,MATCH($C37,'[1]Sales per type juli'!$B$10:$B$51,0),MATCH("Y11d",'[1]Sales per type juli'!$D$8:$BA$8,0)),0)</f>
        <v>4</v>
      </c>
      <c r="N37" s="192">
        <f>L37-M37</f>
        <v>1</v>
      </c>
      <c r="O37" s="192">
        <f>IFERROR(INDEX('[1]SALES PERTYPE'!$G$10:$G$52,MATCH($C37,'[1]SALES PERTYPE'!$B$10:$B$52,0)),0)</f>
        <v>13595000</v>
      </c>
      <c r="P37" s="192" cm="1">
        <f t="array" ref="P37">IFERROR(INDEX('[1]Sales per type juli'!$D$10:$BA$51,MATCH($C37,'[1]Sales per type juli'!$B$10:$B$51,0),MATCH("Y11d",'[1]Sales per type juli'!$D$8:$BA$8,0)+1),0)</f>
        <v>10796000</v>
      </c>
      <c r="Q37" s="192">
        <f>O37-P37</f>
        <v>2799000</v>
      </c>
      <c r="R37" s="192">
        <f>IFERROR(INDEX('[1]SALES PERTYPE'!$H$10:$H$52,MATCH($C37,'[1]SALES PERTYPE'!$B$10:$B$52,0)),0)</f>
        <v>0</v>
      </c>
      <c r="S37" s="192">
        <f>IFERROR(INDEX('[1]Sales per type juli'!$D$10:$BA$51,MATCH($C37,'[1]Sales per type juli'!$B$10:$B$51,0),MATCH("Watch GT 2",'[1]Sales per type juli'!$D$8:$BA$8,0)),0)</f>
        <v>0</v>
      </c>
      <c r="T37" s="192">
        <f>R37-S37</f>
        <v>0</v>
      </c>
      <c r="U37" s="192">
        <f>IFERROR(INDEX('[1]SALES PERTYPE'!$I$10:$I$52,MATCH($C37,'[1]SALES PERTYPE'!$B$10:$B$52,0)),0)</f>
        <v>0</v>
      </c>
      <c r="V37" s="192" cm="1">
        <f t="array" ref="V37">IFERROR(INDEX('[1]Sales per type juli'!$D$10:$BA$51,MATCH($C37,'[1]Sales per type juli'!$B$10:$B$51,0),MATCH("Watch GT 2",'[1]Sales per type juli'!$D$8:$BA$8,0)+1),0)</f>
        <v>0</v>
      </c>
      <c r="W37" s="192">
        <f>U37-V37</f>
        <v>0</v>
      </c>
      <c r="X37" s="192">
        <f>IFERROR(INDEX('[1]SALES PERTYPE'!$J$10:$J$52,MATCH($C37,'[1]SALES PERTYPE'!$B$10:$B$52,0)),0)</f>
        <v>5</v>
      </c>
      <c r="Y37" s="192">
        <f>IFERROR(INDEX('[1]Sales per type juli'!$D$10:$BA$51,MATCH($C37,'[1]Sales per type juli'!$B$10:$B$51,0),MATCH("Y05e",'[1]Sales per type juli'!$D$8:$BA$8,0)),0)</f>
        <v>0</v>
      </c>
      <c r="Z37" s="192">
        <f>X37-Y37</f>
        <v>5</v>
      </c>
      <c r="AA37" s="192">
        <f>IFERROR(INDEX('[1]SALES PERTYPE'!$K$10:$K$52,MATCH($C37,'[1]SALES PERTYPE'!$B$10:$B$52,0)),0)</f>
        <v>10495000</v>
      </c>
      <c r="AB37" s="192" cm="1">
        <f t="array" ref="AB37">IFERROR(INDEX('[1]Sales per type juli'!$D$10:$BA$51,MATCH($C37,'[1]Sales per type juli'!$B$10:$B$51,0),MATCH("Y05e",'[1]Sales per type juli'!$D$8:$BA$8,0)+1),0)</f>
        <v>0</v>
      </c>
      <c r="AC37" s="192">
        <f>AA37-AB37</f>
        <v>10495000</v>
      </c>
      <c r="AD37" s="192">
        <f>IFERROR(INDEX('[1]SALES PERTYPE'!$L$10:$L$52,MATCH($C37,'[1]SALES PERTYPE'!$B$10:$B$52,0)),0)</f>
        <v>0</v>
      </c>
      <c r="AE37" s="192">
        <f>IFERROR(INDEX('[1]Sales per type juli'!$D$10:$BA$51,MATCH($C37,'[1]Sales per type juli'!$B$10:$B$51,0),MATCH("V70",'[1]Sales per type juli'!$D$8:$BA$8,0)),0)</f>
        <v>1</v>
      </c>
      <c r="AF37" s="192">
        <f>AD37-AE37</f>
        <v>-1</v>
      </c>
      <c r="AG37" s="192">
        <f>IFERROR(INDEX('[1]SALES PERTYPE'!$M$10:$M$52,MATCH($C37,'[1]SALES PERTYPE'!$B$10:$B$52,0)),0)</f>
        <v>0</v>
      </c>
      <c r="AH37" s="192" cm="1">
        <f t="array" ref="AH37">IFERROR(INDEX('[1]Sales per type juli'!$D$10:$BA$51,MATCH($C37,'[1]Sales per type juli'!$B$10:$B$51,0),MATCH("V70",'[1]Sales per type juli'!$D$8:$BA$8,0)+1),0)</f>
        <v>10999000</v>
      </c>
      <c r="AI37" s="192">
        <f>AG37-AH37</f>
        <v>-10999000</v>
      </c>
      <c r="AJ37" s="192">
        <f>IFERROR(INDEX('[1]SALES PERTYPE'!$N$10:$N$52,MATCH($C37,'[1]SALES PERTYPE'!$B$10:$B$52,0)),0)</f>
        <v>3</v>
      </c>
      <c r="AK37" s="192">
        <f>IFERROR(INDEX('[1]Sales per type juli'!$D$10:$BA$51,MATCH($C37,'[1]Sales per type juli'!$B$10:$B$51,0),MATCH("Y31d Pro",'[1]Sales per type juli'!$D$8:$BA$8,0)),0)</f>
        <v>3</v>
      </c>
      <c r="AL37" s="192">
        <f>AJ37-AK37</f>
        <v>0</v>
      </c>
      <c r="AM37" s="192">
        <f>IFERROR(INDEX('[1]SALES PERTYPE'!$O$10:$O$52,MATCH($C37,'[1]SALES PERTYPE'!$B$10:$B$52,0)),0)</f>
        <v>11697000</v>
      </c>
      <c r="AN37" s="192" cm="1">
        <f t="array" ref="AN37">IFERROR(INDEX('[1]Sales per type juli'!$D$10:$BA$51,MATCH($C37,'[1]Sales per type juli'!$B$10:$B$51,0),MATCH("Y31d Pro",'[1]Sales per type juli'!$D$8:$BA$8,0)+1),0)</f>
        <v>12097000</v>
      </c>
      <c r="AO37" s="192">
        <f>AM37-AN37</f>
        <v>-400000</v>
      </c>
      <c r="AP37" s="192">
        <f>IFERROR(INDEX('[1]SALES PERTYPE'!$P$10:$P$52,MATCH($C37,'[1]SALES PERTYPE'!$B$10:$B$52,0)),0)</f>
        <v>1</v>
      </c>
      <c r="AQ37" s="192" cm="1">
        <f t="array" ref="AQ37">IFERROR(INDEX('[1]Sales per type juli'!$D$10:$BA$51,MATCH($C37,'[1]Sales per type juli'!$B$10:$B$51,0),$FG$2),0)</f>
        <v>0</v>
      </c>
      <c r="AR37" s="192">
        <f>AP37-AQ37</f>
        <v>1</v>
      </c>
      <c r="AS37" s="192">
        <f>IFERROR(INDEX('[1]SALES PERTYPE'!$Q$10:$Q$52,MATCH($C37,'[1]SALES PERTYPE'!$B$10:$B$52,0)),0)</f>
        <v>3599000</v>
      </c>
      <c r="AT37" s="192" cm="1">
        <f t="array" ref="AT37">IFERROR(INDEX('[1]Sales per type juli'!$D$10:$BA$51,MATCH($C37,'[1]Sales per type juli'!$B$10:$B$51,0),$FG$2+1),0)</f>
        <v>0</v>
      </c>
      <c r="AU37" s="192">
        <f>AS37-AT37</f>
        <v>3599000</v>
      </c>
      <c r="AV37" s="192">
        <f>IFERROR(INDEX('[1]SALES PERTYPE'!$R$10:$R$52,MATCH($C37,'[1]SALES PERTYPE'!$B$10:$B$52,0)),0)</f>
        <v>0</v>
      </c>
      <c r="AW37" s="192">
        <f>IFERROR(INDEX('[1]Sales per type juli'!$D$10:$BA$51,MATCH($C37,'[1]Sales per type juli'!$B$10:$B$51,0),MATCH("Y31d ",'[1]Sales per type juli'!$D$8:$BA$8,0)),0)</f>
        <v>0</v>
      </c>
      <c r="AX37" s="192">
        <f>AV37-AW37</f>
        <v>0</v>
      </c>
      <c r="AY37" s="192">
        <f>IFERROR(INDEX('[1]SALES PERTYPE'!$S$10:$S$52,MATCH($C37,'[1]SALES PERTYPE'!$B$10:$B$52,0)),0)</f>
        <v>0</v>
      </c>
      <c r="AZ37" s="192" cm="1">
        <f t="array" ref="AZ37">IFERROR(INDEX('[1]Sales per type juli'!$D$10:$BA$51,MATCH($C37,'[1]Sales per type juli'!$B$10:$B$51,0),MATCH("Y31d ",'[1]Sales per type juli'!$D$8:$BA$8,0)+1),0)</f>
        <v>0</v>
      </c>
      <c r="BA37" s="192">
        <f>AY37-AZ37</f>
        <v>0</v>
      </c>
      <c r="BB37" s="192">
        <f>IFERROR(INDEX('[1]SALES PERTYPE'!$T$10:$T$52,MATCH($C37,'[1]SALES PERTYPE'!$B$10:$B$52,0)),0)</f>
        <v>0</v>
      </c>
      <c r="BC37" s="192">
        <f>IFERROR(INDEX('[1]Sales per type juli'!$D$10:$BA$51,MATCH($C37,'[1]Sales per type juli'!$B$10:$B$51,0),MATCH("V70 FE",'[1]Sales per type juli'!$D$8:$BA$8,0)),0)</f>
        <v>1</v>
      </c>
      <c r="BD37" s="192">
        <f>BB37-BC37</f>
        <v>-1</v>
      </c>
      <c r="BE37" s="192">
        <f>IFERROR(INDEX('[1]SALES PERTYPE'!$U$10:$U$52,MATCH($C37,'[1]SALES PERTYPE'!$B$10:$B$52,0)),0)</f>
        <v>0</v>
      </c>
      <c r="BF37" s="192" cm="1">
        <f t="array" ref="BF37">IFERROR(INDEX('[1]Sales per type juli'!$D$10:$BA$51,MATCH($C37,'[1]Sales per type juli'!$B$10:$B$51,0),MATCH("V70 FE",'[1]Sales per type juli'!$D$8:$BA$8,0)+1),0)</f>
        <v>6499000</v>
      </c>
      <c r="BG37" s="192">
        <f>BE37-BF37</f>
        <v>-6499000</v>
      </c>
      <c r="BH37" s="192">
        <f>IFERROR(INDEX('[1]SALES PERTYPE'!$V$10:$V$52,MATCH($C37,'[1]SALES PERTYPE'!$B$10:$B$52,0)),0)</f>
        <v>0</v>
      </c>
      <c r="BI37" s="192">
        <f>IFERROR(INDEX('[1]Sales per type juli'!$D$10:$BA$51,MATCH($C37,'[1]Sales per type juli'!$B$10:$B$51,0),MATCH("Y31d",'[1]Sales per type juli'!$D$8:$BA$8,0)),0)</f>
        <v>0</v>
      </c>
      <c r="BJ37" s="192">
        <f>BH37-BI37</f>
        <v>0</v>
      </c>
      <c r="BK37" s="192">
        <f>IFERROR(INDEX('[1]SALES PERTYPE'!$W$10:$W$52,MATCH($C37,'[1]SALES PERTYPE'!$B$10:$B$52,0)),0)</f>
        <v>0</v>
      </c>
      <c r="BL37" s="192" cm="1">
        <f t="array" ref="BL37">IFERROR(INDEX('[1]Sales per type juli'!$D$10:$BA$51,MATCH($C37,'[1]Sales per type juli'!$B$10:$B$51,0),MATCH("Y31d",'[1]Sales per type juli'!$D$8:$BA$8,0)+1),0)</f>
        <v>0</v>
      </c>
      <c r="BM37" s="192">
        <f>BK37-BL37</f>
        <v>0</v>
      </c>
      <c r="BN37" s="192">
        <f>IFERROR(INDEX('[1]SALES PERTYPE'!$X$10:$X$52,MATCH($C37,'[1]SALES PERTYPE'!$B$10:$B$52,0)),0)</f>
        <v>0</v>
      </c>
      <c r="BO37" s="192">
        <f>IFERROR(INDEX('[1]Sales per type juli'!$D$10:$BA$51,MATCH($C37,'[1]Sales per type juli'!$B$10:$B$51,0),MATCH("Y500",'[1]Sales per type juli'!$D$8:$BA$8,0)),0)</f>
        <v>0</v>
      </c>
      <c r="BP37" s="192">
        <f>BN37-BO37</f>
        <v>0</v>
      </c>
      <c r="BQ37" s="192">
        <f>IFERROR(INDEX('[1]SALES PERTYPE'!$Y$10:$Y$52,MATCH($C37,'[1]SALES PERTYPE'!$B$10:$B$52,0)),0)</f>
        <v>0</v>
      </c>
      <c r="BR37" s="192" cm="1">
        <f t="array" ref="BR37">IFERROR(INDEX('[1]Sales per type juli'!$D$10:$BA$51,MATCH($C37,'[1]Sales per type juli'!$B$10:$B$51,0),MATCH("Y500",'[1]Sales per type juli'!$D$8:$BA$8,0)+1),0)</f>
        <v>0</v>
      </c>
      <c r="BS37" s="192">
        <f>BQ37-BR37</f>
        <v>0</v>
      </c>
      <c r="BT37" s="192">
        <f>IFERROR(INDEX('[1]SALES PERTYPE'!$Z$10:$Z$52,MATCH($C37,'[1]SALES PERTYPE'!$B$10:$B$52,0)),0)</f>
        <v>0</v>
      </c>
      <c r="BU37" s="192">
        <f>IFERROR(INDEX('[1]Sales per type juli'!$D$10:$BA$51,MATCH($C37,'[1]Sales per type juli'!$B$10:$B$51,0),MATCH("IQOO 15R",'[1]Sales per type juli'!$D$8:$BA$8,0)),0)</f>
        <v>0</v>
      </c>
      <c r="BV37" s="192">
        <f>BT37-BU37</f>
        <v>0</v>
      </c>
      <c r="BW37" s="192">
        <f>IFERROR(INDEX('[1]SALES PERTYPE'!$AA$10:$AA$52,MATCH($C37,'[1]SALES PERTYPE'!$B$10:$B$52,0)),0)</f>
        <v>0</v>
      </c>
      <c r="BX37" s="192" cm="1">
        <f t="array" ref="BX37">IFERROR(INDEX('[1]Sales per type juli'!$D$10:$BA$51,MATCH($C37,'[1]Sales per type juli'!$B$10:$B$51,0),MATCH("IQOO 15R",'[1]Sales per type juli'!$D$8:$BA$8,0)+1),0)</f>
        <v>0</v>
      </c>
      <c r="BY37" s="192">
        <f>BW37-BX37</f>
        <v>0</v>
      </c>
      <c r="BZ37" s="192">
        <f>IFERROR(INDEX('[1]SALES PERTYPE'!$AB$10:$AB$52,MATCH($C37,'[1]SALES PERTYPE'!$B$10:$B$52,0)),0)</f>
        <v>1</v>
      </c>
      <c r="CA37" s="192">
        <f>IFERROR(INDEX('[1]Sales per type juli'!$D$10:$BA$51,MATCH($C37,'[1]Sales per type juli'!$B$10:$B$51,0),MATCH("V60 Lite",'[1]Sales per type juli'!$D$8:$BA$8,0)),0)</f>
        <v>0</v>
      </c>
      <c r="CB37" s="192">
        <f>BZ37-CA37</f>
        <v>1</v>
      </c>
      <c r="CC37" s="192">
        <f>IFERROR(INDEX('[1]SALES PERTYPE'!$AC$10:$AC$52,MATCH($C37,'[1]SALES PERTYPE'!$B$10:$B$52,0)),0)</f>
        <v>5299000</v>
      </c>
      <c r="CD37" s="192" cm="1">
        <f t="array" ref="CD37">IFERROR(INDEX('[1]Sales per type juli'!$D$10:$BA$51,MATCH($C37,'[1]Sales per type juli'!$B$10:$B$51,0),MATCH("V60 Lite",'[1]Sales per type juli'!$D$8:$BA$8,0)+1),0)</f>
        <v>0</v>
      </c>
      <c r="CE37" s="192">
        <f>CC37-CD37</f>
        <v>5299000</v>
      </c>
      <c r="CF37" s="192">
        <f>IFERROR(INDEX('[1]SALES PERTYPE'!$AD$10:$AD$52,MATCH($C37,'[1]SALES PERTYPE'!$B$10:$B$52,0)),0)</f>
        <v>0</v>
      </c>
      <c r="CG37" s="192">
        <f>IFERROR(INDEX('[1]Sales per type juli'!$D$10:$BA$51,MATCH($C37,'[1]Sales per type juli'!$B$10:$B$51,0),MATCH("X300 Ultra",'[1]Sales per type juli'!$D$8:$BA$8,0)),0)</f>
        <v>0</v>
      </c>
      <c r="CH37" s="192">
        <f>CF37-CG37</f>
        <v>0</v>
      </c>
      <c r="CI37" s="192">
        <f>IFERROR(INDEX('[1]SALES PERTYPE'!$AE$10:$AE$52,MATCH($C37,'[1]SALES PERTYPE'!$B$10:$B$52,0)),0)</f>
        <v>0</v>
      </c>
      <c r="CJ37" s="192" cm="1">
        <f t="array" ref="CJ37">IFERROR(INDEX('[1]Sales per type juli'!$D$10:$BA$51,MATCH($C37,'[1]Sales per type juli'!$B$10:$B$51,0),MATCH("X300 Ultra",'[1]Sales per type juli'!$D$8:$BA$8,0)+1),0)</f>
        <v>0</v>
      </c>
      <c r="CK37" s="192">
        <f>CI37-CJ37</f>
        <v>0</v>
      </c>
      <c r="CL37" s="192">
        <f>IFERROR(INDEX('[1]SALES PERTYPE'!$AF$10:$AF$52,MATCH($C37,'[1]SALES PERTYPE'!$B$10:$B$52,0)),0)</f>
        <v>0</v>
      </c>
      <c r="CM37" s="192">
        <f>IFERROR(INDEX('[1]Sales per type juli'!$D$10:$BA$51,MATCH($C37,'[1]Sales per type juli'!$B$10:$B$51,0),MATCH("IQOO 15",'[1]Sales per type juli'!$D$8:$BA$8,0)),0)</f>
        <v>1</v>
      </c>
      <c r="CN37" s="192">
        <f>CL37-CM37</f>
        <v>-1</v>
      </c>
      <c r="CO37" s="192">
        <f>IFERROR(INDEX('[1]SALES PERTYPE'!$AG$10:$AG$52,MATCH($C37,'[1]SALES PERTYPE'!$B$10:$B$52,0)),0)</f>
        <v>0</v>
      </c>
      <c r="CP37" s="192" cm="1">
        <f t="array" ref="CP37">IFERROR(INDEX('[1]Sales per type juli'!$D$10:$BA$51,MATCH($C37,'[1]Sales per type juli'!$B$10:$B$51,0),MATCH("IQOO 15",'[1]Sales per type juli'!$D$8:$BA$8,0)+1),0)</f>
        <v>13999000</v>
      </c>
      <c r="CQ37" s="192">
        <f>CO37-CP37</f>
        <v>-13999000</v>
      </c>
      <c r="CR37" s="192">
        <f>IFERROR(INDEX('[1]SALES PERTYPE'!$AH$10:$AH$52,MATCH($C37,'[1]SALES PERTYPE'!$B$10:$B$52,0)),0)</f>
        <v>0</v>
      </c>
      <c r="CS37" s="192">
        <f>IFERROR(INDEX('[1]Sales per type juli'!$D$10:$BA$51,MATCH($C37,'[1]Sales per type juli'!$B$10:$B$51,0),MATCH("IQOO Z11x",'[1]Sales per type juli'!$D$8:$BA$8,0)),0)</f>
        <v>2</v>
      </c>
      <c r="CT37" s="192">
        <f>CR37-CS37</f>
        <v>-2</v>
      </c>
      <c r="CU37" s="192">
        <f>IFERROR(INDEX('[1]SALES PERTYPE'!$AI$10:$AI$52,MATCH($C37,'[1]SALES PERTYPE'!$B$10:$B$52,0)),0)</f>
        <v>0</v>
      </c>
      <c r="CV37" s="192" cm="1">
        <f t="array" ref="CV37">IFERROR(INDEX('[1]Sales per type juli'!$D$10:$BA$51,MATCH($C37,'[1]Sales per type juli'!$B$10:$B$51,0),MATCH("IQOO Z11x",'[1]Sales per type juli'!$D$8:$BA$8,0)+1),0)</f>
        <v>9598000</v>
      </c>
      <c r="CW37" s="192">
        <f>CU37-CV37</f>
        <v>-9598000</v>
      </c>
      <c r="CX37" s="192">
        <f>IFERROR(INDEX('[1]SALES PERTYPE'!$AJ$10:$AJ$52,MATCH($C37,'[1]SALES PERTYPE'!$B$10:$B$52,0)),0)</f>
        <v>1</v>
      </c>
      <c r="CY37" s="192">
        <f>IFERROR(INDEX('[1]Sales per type juli'!$D$10:$BA$51,MATCH($C37,'[1]Sales per type juli'!$B$10:$B$51,0),MATCH("IQOO Z11",'[1]Sales per type juli'!$D$8:$BA$8,0)),0)</f>
        <v>0</v>
      </c>
      <c r="CZ37" s="192">
        <f>CX37-CY37</f>
        <v>1</v>
      </c>
      <c r="DA37" s="192">
        <f>IFERROR(INDEX('[1]SALES PERTYPE'!$AK$10:$AK$52,MATCH($C37,'[1]SALES PERTYPE'!$B$10:$B$52,0)),0)</f>
        <v>6899000</v>
      </c>
      <c r="DB37" s="192" cm="1">
        <f t="array" ref="DB37">IFERROR(INDEX('[1]Sales per type juli'!$D$10:$BA$51,MATCH($C37,'[1]Sales per type juli'!$B$10:$B$51,0),MATCH("IQOO Z11",'[1]Sales per type juli'!$D$8:$BA$8,0)+1),0)</f>
        <v>0</v>
      </c>
      <c r="DC37" s="192">
        <f>DA37-DB37</f>
        <v>6899000</v>
      </c>
      <c r="DD37" s="192">
        <v>0</v>
      </c>
      <c r="DE37" s="192">
        <f>IFERROR(INDEX('[1]Sales per type juli'!$D$10:$BA$51,MATCH($C37,'[1]Sales per type juli'!$B$10:$B$51,0),MATCH("WATCH 3",'[1]Sales per type juli'!$D$8:$BA$8,0)),0)</f>
        <v>0</v>
      </c>
      <c r="DF37" s="192">
        <f>DD37-DE37</f>
        <v>0</v>
      </c>
      <c r="DG37" s="192">
        <v>0</v>
      </c>
      <c r="DH37" s="192" cm="1">
        <f t="array" ref="DH37">IFERROR(INDEX('[1]Sales per type juli'!$D$10:$BA$51,MATCH($C37,'[1]Sales per type juli'!$B$10:$B$51,0),MATCH("WATCH 3",'[1]Sales per type juli'!$D$8:$BA$8,0)+1),0)</f>
        <v>0</v>
      </c>
      <c r="DI37" s="192">
        <f>DG37-DH37</f>
        <v>0</v>
      </c>
      <c r="DJ37" s="192">
        <v>0</v>
      </c>
      <c r="DK37" s="192">
        <f>IFERROR(INDEX('[1]Sales per type juli'!$D$10:$BA$51,MATCH($C37,'[1]Sales per type juli'!$B$10:$B$51,0),MATCH("X300 Demo",'[1]Sales per type juli'!$D$8:$BA$8,0)),0)</f>
        <v>4</v>
      </c>
      <c r="DL37" s="192">
        <f>DJ37-DK37</f>
        <v>-4</v>
      </c>
      <c r="DM37" s="192">
        <v>0</v>
      </c>
      <c r="DN37" s="192" cm="1">
        <f t="array" ref="DN37">IFERROR(INDEX('[1]Sales per type juli'!$D$10:$BA$51,MATCH($C37,'[1]Sales per type juli'!$B$10:$B$51,0),MATCH("X300 Demo",'[1]Sales per type juli'!$D$8:$BA$8,0)+1),0)</f>
        <v>63996000</v>
      </c>
      <c r="DO37" s="192">
        <f>DM37-DN37</f>
        <v>-63996000</v>
      </c>
      <c r="DP37" s="192">
        <v>0</v>
      </c>
      <c r="DQ37" s="192">
        <f>IFERROR(INDEX('[1]Sales per type juli'!$D$10:$BA$51,MATCH($C37,'[1]Sales per type juli'!$B$10:$B$51,0),MATCH("X300 Pro Demo",'[1]Sales per type juli'!$D$8:$BA$8,0)),0)</f>
        <v>2</v>
      </c>
      <c r="DR37" s="192">
        <f>DP37-DQ37</f>
        <v>-2</v>
      </c>
      <c r="DS37" s="192">
        <v>0</v>
      </c>
      <c r="DT37" s="192" cm="1">
        <f t="array" ref="DT37">IFERROR(INDEX('[1]Sales per type juli'!$D$10:$BA$51,MATCH($C37,'[1]Sales per type juli'!$B$10:$B$51,0),MATCH("X300 Pro Demo",'[1]Sales per type juli'!$D$8:$BA$8,0)+1),0)</f>
        <v>37998000</v>
      </c>
      <c r="DU37" s="192">
        <f>DS37-DT37</f>
        <v>-37998000</v>
      </c>
      <c r="DV37" s="192">
        <v>0</v>
      </c>
      <c r="DW37" s="192">
        <f>IFERROR(INDEX('[1]Sales per type juli'!$D$10:$BA$51,MATCH($C37,'[1]Sales per type juli'!$B$10:$B$51,0),MATCH("X Fold5 DEMO",'[1]Sales per type juli'!$D$8:$BA$8,0)),0)</f>
        <v>0</v>
      </c>
      <c r="DX37" s="192">
        <f>DV37-DW37</f>
        <v>0</v>
      </c>
      <c r="DY37" s="192">
        <v>0</v>
      </c>
      <c r="DZ37" s="192" cm="1">
        <f t="array" ref="DZ37">IFERROR(INDEX('[1]Sales per type juli'!$D$10:$BA$51,MATCH($C37,'[1]Sales per type juli'!$B$10:$B$51,0),MATCH("X Fold5 DEMO",'[1]Sales per type juli'!$D$8:$BA$8,0)+1),0)</f>
        <v>0</v>
      </c>
      <c r="EA37" s="192">
        <f>DY37-DZ37</f>
        <v>0</v>
      </c>
      <c r="EB37" s="192">
        <v>0</v>
      </c>
      <c r="EC37" s="192">
        <f>IFERROR(INDEX('[1]Sales per type juli'!$D$10:$BA$51,MATCH($C37,'[1]Sales per type juli'!$B$10:$B$51,0),MATCH("X Fold5",'[1]Sales per type juli'!$D$8:$BA$8,0)),0)</f>
        <v>0</v>
      </c>
      <c r="ED37" s="192">
        <f>EB37-EC37</f>
        <v>0</v>
      </c>
      <c r="EE37" s="192">
        <v>0</v>
      </c>
      <c r="EF37" s="192" cm="1">
        <f t="array" ref="EF37">IFERROR(INDEX('[1]Sales per type juli'!$D$10:$BA$51,MATCH($C37,'[1]Sales per type juli'!$B$10:$B$51,0),MATCH("X Fold5",'[1]Sales per type juli'!$D$8:$BA$8,0)+1),0)</f>
        <v>0</v>
      </c>
      <c r="EG37" s="192">
        <f>EE37-EF37</f>
        <v>0</v>
      </c>
      <c r="EH37" s="192">
        <v>0</v>
      </c>
      <c r="EI37" s="192">
        <f>IFERROR(INDEX('[1]Sales per type juli'!$D$10:$BA$51,MATCH($C37,'[1]Sales per type juli'!$B$10:$B$51,0),MATCH("IQOO 15 Demo",'[1]Sales per type juli'!$D$8:$BA$8,0)),0)</f>
        <v>3</v>
      </c>
      <c r="EJ37" s="192">
        <f>EH37-EI37</f>
        <v>-3</v>
      </c>
      <c r="EK37" s="192">
        <v>0</v>
      </c>
      <c r="EL37" s="192" cm="1">
        <f t="array" ref="EL37">IFERROR(INDEX('[1]Sales per type juli'!$D$10:$BA$51,MATCH($C37,'[1]Sales per type juli'!$B$10:$B$51,0),MATCH("IQOO 15 Demo",'[1]Sales per type juli'!$D$8:$BA$8,0)+1),0)</f>
        <v>41997000</v>
      </c>
      <c r="EM37" s="192">
        <f>EK37-EL37</f>
        <v>-41997000</v>
      </c>
      <c r="EN37" s="192">
        <v>0</v>
      </c>
      <c r="EO37" s="192">
        <f>IFERROR(INDEX('[1]Sales per type juli'!$D$10:$BA$51,MATCH($C37,'[1]Sales per type juli'!$B$10:$B$51,0),MATCH("X300 PRO",'[1]Sales per type juli'!$D$8:$BA$8,0)),0)</f>
        <v>0</v>
      </c>
      <c r="EP37" s="192">
        <f>EN37-EO37</f>
        <v>0</v>
      </c>
      <c r="EQ37" s="192">
        <v>0</v>
      </c>
      <c r="ER37" s="192" cm="1">
        <f t="array" ref="ER37">IFERROR(INDEX('[1]Sales per type juli'!$D$10:$BA$51,MATCH($C37,'[1]Sales per type juli'!$B$10:$B$51,0),MATCH("X300 PRO",'[1]Sales per type juli'!$D$8:$BA$8,0)+1),0)</f>
        <v>0</v>
      </c>
      <c r="ES37" s="192">
        <f>EQ37-ER37</f>
        <v>0</v>
      </c>
      <c r="ET37" s="192">
        <v>0</v>
      </c>
      <c r="EU37" s="192">
        <f>IFERROR(INDEX('[1]Sales per type juli'!$D$10:$BA$51,MATCH($C37,'[1]Sales per type juli'!$B$10:$B$51,0),MATCH("X300 ",'[1]Sales per type juli'!$D$8:$BA$8,0)),0)</f>
        <v>0</v>
      </c>
      <c r="EV37" s="192">
        <f>ET37-EU37</f>
        <v>0</v>
      </c>
      <c r="EW37" s="192">
        <v>0</v>
      </c>
      <c r="EX37" s="192" cm="1">
        <f t="array" ref="EX37">IFERROR(INDEX('[1]Sales per type juli'!$D$10:$BA$51,MATCH($C37,'[1]Sales per type juli'!$B$10:$B$51,0),MATCH("X300 ",'[1]Sales per type juli'!$D$8:$BA$8,0)+1),0)</f>
        <v>0</v>
      </c>
      <c r="EY37" s="192">
        <f>EW37-EX37</f>
        <v>0</v>
      </c>
      <c r="EZ37" s="192">
        <f>F37+L37+R37+X37+AD37+AJ37+AP37+AV37+BB37+BH37+BN37+BT37+BZ37+CF37+CL37+CR37+CX37+DD37+DJ37+DP37+DV37+EB37+EH37+EN37+ET37</f>
        <v>17</v>
      </c>
      <c r="FA37" s="192">
        <f>G37+M37+S37+Y37+AE37+AK37+AQ37+AW37+BC37+BI37+BO37+BU37+CA37+CG37+CM37+CS37+CY37+DE37+DK37+DQ37+DW37+EC37+EI37+EO37+EU37</f>
        <v>31</v>
      </c>
      <c r="FB37" s="192">
        <f>EZ37-FA37</f>
        <v>-14</v>
      </c>
      <c r="FC37" s="192">
        <f>I37+O37+U37+AA37+AG37+AM37+AS37+AY37+BE37+BK37+BQ37+BW37+CC37+CI37+CO37+CU37+DA37+DG37+DM37+DS37+DY37+EE37+EK37+EQ37+EW37</f>
        <v>53883000</v>
      </c>
      <c r="FD37" s="192">
        <f>J37+P37+V37+AB37+AH37+AN37+AT37+AZ37+BF37+BL37+BR37+BX37+CD37+CJ37+CP37+CV37+DB37+DH37+DN37+DT37+DZ37+EF37+EL37+ER37+EX37</f>
        <v>231369000</v>
      </c>
      <c r="FE37" s="192">
        <f>FC37-FD37</f>
        <v>-177486000</v>
      </c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</row>
    <row r="38" spans="1:208" ht="16" x14ac:dyDescent="0.2">
      <c r="A38" s="139">
        <f>'[1]ACHIEVEMENT STORE'!A38</f>
        <v>34</v>
      </c>
      <c r="B38" s="140" t="str">
        <f>'[1]ACHIEVEMENT STORE'!B38</f>
        <v>619-万隆市区BDG KOTA</v>
      </c>
      <c r="C38" s="139">
        <f>'[1]ACHIEVEMENT STORE'!C38</f>
        <v>6190706</v>
      </c>
      <c r="D38" s="140" t="str">
        <f>'[1]ACHIEVEMENT STORE'!D38</f>
        <v>A300102-VIVO STORE 4 BEC</v>
      </c>
      <c r="E38" s="140" t="str">
        <f>'[1]ACHIEVEMENT STORE'!E38</f>
        <v>EKO PURWANTO</v>
      </c>
      <c r="F38" s="192">
        <f>IFERROR(INDEX('[1]SALES PERTYPE'!$D$10:$D$52,MATCH($C38,'[1]SALES PERTYPE'!$B$10:$B$52,0)),0)</f>
        <v>9</v>
      </c>
      <c r="G38" s="192">
        <f>IFERROR(INDEX('[1]Sales per type juli'!$D$10:$BA$51,MATCH($C38,'[1]Sales per type juli'!$B$10:$B$51,0),MATCH("Y05",'[1]Sales per type juli'!$D$8:$BA$8,0)),0)</f>
        <v>24</v>
      </c>
      <c r="H38" s="192">
        <f>F38-G38</f>
        <v>-15</v>
      </c>
      <c r="I38" s="192">
        <f>IFERROR(INDEX('[1]SALES PERTYPE'!$E$10:$E$52,MATCH($C38,'[1]SALES PERTYPE'!$B$10:$B$52,0)),0)</f>
        <v>22791000</v>
      </c>
      <c r="J38" s="192" cm="1">
        <f t="array" ref="J38">IFERROR(INDEX('[1]Sales per type juli'!$D$10:$BA$51,MATCH($C38,'[1]Sales per type juli'!$B$10:$B$51,0),MATCH("Y05",'[1]Sales per type juli'!$D$8:$BA$8,0)+1),0)</f>
        <v>53076000</v>
      </c>
      <c r="K38" s="192">
        <f>I38-J38</f>
        <v>-30285000</v>
      </c>
      <c r="L38" s="192">
        <f>IFERROR(INDEX('[1]SALES PERTYPE'!$F$10:$F$52,MATCH($C38,'[1]SALES PERTYPE'!$B$10:$B$52,0)),0)</f>
        <v>13</v>
      </c>
      <c r="M38" s="192">
        <f>IFERROR(INDEX('[1]Sales per type juli'!$D$10:$BA$51,MATCH($C38,'[1]Sales per type juli'!$B$10:$B$51,0),MATCH("Y11d",'[1]Sales per type juli'!$D$8:$BA$8,0)),0)</f>
        <v>8</v>
      </c>
      <c r="N38" s="192">
        <f>L38-M38</f>
        <v>5</v>
      </c>
      <c r="O38" s="192">
        <f>IFERROR(INDEX('[1]SALES PERTYPE'!$G$10:$G$52,MATCH($C38,'[1]SALES PERTYPE'!$B$10:$B$52,0)),0)</f>
        <v>33587000</v>
      </c>
      <c r="P38" s="192" cm="1">
        <f t="array" ref="P38">IFERROR(INDEX('[1]Sales per type juli'!$D$10:$BA$51,MATCH($C38,'[1]Sales per type juli'!$B$10:$B$51,0),MATCH("Y11d",'[1]Sales per type juli'!$D$8:$BA$8,0)+1),0)</f>
        <v>20792000</v>
      </c>
      <c r="Q38" s="192">
        <f>O38-P38</f>
        <v>12795000</v>
      </c>
      <c r="R38" s="192">
        <f>IFERROR(INDEX('[1]SALES PERTYPE'!$H$10:$H$52,MATCH($C38,'[1]SALES PERTYPE'!$B$10:$B$52,0)),0)</f>
        <v>0</v>
      </c>
      <c r="S38" s="192">
        <f>IFERROR(INDEX('[1]Sales per type juli'!$D$10:$BA$51,MATCH($C38,'[1]Sales per type juli'!$B$10:$B$51,0),MATCH("Watch GT 2",'[1]Sales per type juli'!$D$8:$BA$8,0)),0)</f>
        <v>0</v>
      </c>
      <c r="T38" s="192">
        <f>R38-S38</f>
        <v>0</v>
      </c>
      <c r="U38" s="192">
        <f>IFERROR(INDEX('[1]SALES PERTYPE'!$I$10:$I$52,MATCH($C38,'[1]SALES PERTYPE'!$B$10:$B$52,0)),0)</f>
        <v>0</v>
      </c>
      <c r="V38" s="192" cm="1">
        <f t="array" ref="V38">IFERROR(INDEX('[1]Sales per type juli'!$D$10:$BA$51,MATCH($C38,'[1]Sales per type juli'!$B$10:$B$51,0),MATCH("Watch GT 2",'[1]Sales per type juli'!$D$8:$BA$8,0)+1),0)</f>
        <v>0</v>
      </c>
      <c r="W38" s="192">
        <f>U38-V38</f>
        <v>0</v>
      </c>
      <c r="X38" s="192">
        <f>IFERROR(INDEX('[1]SALES PERTYPE'!$J$10:$J$52,MATCH($C38,'[1]SALES PERTYPE'!$B$10:$B$52,0)),0)</f>
        <v>4</v>
      </c>
      <c r="Y38" s="192">
        <f>IFERROR(INDEX('[1]Sales per type juli'!$D$10:$BA$51,MATCH($C38,'[1]Sales per type juli'!$B$10:$B$51,0),MATCH("Y05e",'[1]Sales per type juli'!$D$8:$BA$8,0)),0)</f>
        <v>0</v>
      </c>
      <c r="Z38" s="192">
        <f>X38-Y38</f>
        <v>4</v>
      </c>
      <c r="AA38" s="192">
        <f>IFERROR(INDEX('[1]SALES PERTYPE'!$K$10:$K$52,MATCH($C38,'[1]SALES PERTYPE'!$B$10:$B$52,0)),0)</f>
        <v>8396000</v>
      </c>
      <c r="AB38" s="192" cm="1">
        <f t="array" ref="AB38">IFERROR(INDEX('[1]Sales per type juli'!$D$10:$BA$51,MATCH($C38,'[1]Sales per type juli'!$B$10:$B$51,0),MATCH("Y05e",'[1]Sales per type juli'!$D$8:$BA$8,0)+1),0)</f>
        <v>0</v>
      </c>
      <c r="AC38" s="192">
        <f>AA38-AB38</f>
        <v>8396000</v>
      </c>
      <c r="AD38" s="192">
        <f>IFERROR(INDEX('[1]SALES PERTYPE'!$L$10:$L$52,MATCH($C38,'[1]SALES PERTYPE'!$B$10:$B$52,0)),0)</f>
        <v>2</v>
      </c>
      <c r="AE38" s="192">
        <f>IFERROR(INDEX('[1]Sales per type juli'!$D$10:$BA$51,MATCH($C38,'[1]Sales per type juli'!$B$10:$B$51,0),MATCH("V70",'[1]Sales per type juli'!$D$8:$BA$8,0)),0)</f>
        <v>3</v>
      </c>
      <c r="AF38" s="192">
        <f>AD38-AE38</f>
        <v>-1</v>
      </c>
      <c r="AG38" s="192">
        <f>IFERROR(INDEX('[1]SALES PERTYPE'!$M$10:$M$52,MATCH($C38,'[1]SALES PERTYPE'!$B$10:$B$52,0)),0)</f>
        <v>19998000</v>
      </c>
      <c r="AH38" s="192" cm="1">
        <f t="array" ref="AH38">IFERROR(INDEX('[1]Sales per type juli'!$D$10:$BA$51,MATCH($C38,'[1]Sales per type juli'!$B$10:$B$51,0),MATCH("V70",'[1]Sales per type juli'!$D$8:$BA$8,0)+1),0)</f>
        <v>28997000</v>
      </c>
      <c r="AI38" s="192">
        <f>AG38-AH38</f>
        <v>-8999000</v>
      </c>
      <c r="AJ38" s="192">
        <f>IFERROR(INDEX('[1]SALES PERTYPE'!$N$10:$N$52,MATCH($C38,'[1]SALES PERTYPE'!$B$10:$B$52,0)),0)</f>
        <v>9</v>
      </c>
      <c r="AK38" s="192">
        <f>IFERROR(INDEX('[1]Sales per type juli'!$D$10:$BA$51,MATCH($C38,'[1]Sales per type juli'!$B$10:$B$51,0),MATCH("Y31d Pro",'[1]Sales per type juli'!$D$8:$BA$8,0)),0)</f>
        <v>5</v>
      </c>
      <c r="AL38" s="192">
        <f>AJ38-AK38</f>
        <v>4</v>
      </c>
      <c r="AM38" s="192">
        <f>IFERROR(INDEX('[1]SALES PERTYPE'!$O$10:$O$52,MATCH($C38,'[1]SALES PERTYPE'!$B$10:$B$52,0)),0)</f>
        <v>39891000</v>
      </c>
      <c r="AN38" s="192" cm="1">
        <f t="array" ref="AN38">IFERROR(INDEX('[1]Sales per type juli'!$D$10:$BA$51,MATCH($C38,'[1]Sales per type juli'!$B$10:$B$51,0),MATCH("Y31d Pro",'[1]Sales per type juli'!$D$8:$BA$8,0)+1),0)</f>
        <v>21495000</v>
      </c>
      <c r="AO38" s="192">
        <f>AM38-AN38</f>
        <v>18396000</v>
      </c>
      <c r="AP38" s="192">
        <f>IFERROR(INDEX('[1]SALES PERTYPE'!$P$10:$P$52,MATCH($C38,'[1]SALES PERTYPE'!$B$10:$B$52,0)),0)</f>
        <v>0</v>
      </c>
      <c r="AQ38" s="192" cm="1">
        <f t="array" ref="AQ38">IFERROR(INDEX('[1]Sales per type juli'!$D$10:$BA$51,MATCH($C38,'[1]Sales per type juli'!$B$10:$B$51,0),$FG$2),0)</f>
        <v>1</v>
      </c>
      <c r="AR38" s="192">
        <f>AP38-AQ38</f>
        <v>-1</v>
      </c>
      <c r="AS38" s="192">
        <f>IFERROR(INDEX('[1]SALES PERTYPE'!$Q$10:$Q$52,MATCH($C38,'[1]SALES PERTYPE'!$B$10:$B$52,0)),0)</f>
        <v>0</v>
      </c>
      <c r="AT38" s="192" cm="1">
        <f t="array" ref="AT38">IFERROR(INDEX('[1]Sales per type juli'!$D$10:$BA$51,MATCH($C38,'[1]Sales per type juli'!$B$10:$B$51,0),$FG$2+1),0)</f>
        <v>3599000</v>
      </c>
      <c r="AU38" s="192">
        <f>AS38-AT38</f>
        <v>-3599000</v>
      </c>
      <c r="AV38" s="192">
        <f>IFERROR(INDEX('[1]SALES PERTYPE'!$R$10:$R$52,MATCH($C38,'[1]SALES PERTYPE'!$B$10:$B$52,0)),0)</f>
        <v>0</v>
      </c>
      <c r="AW38" s="192">
        <f>IFERROR(INDEX('[1]Sales per type juli'!$D$10:$BA$51,MATCH($C38,'[1]Sales per type juli'!$B$10:$B$51,0),MATCH("Y31d ",'[1]Sales per type juli'!$D$8:$BA$8,0)),0)</f>
        <v>1</v>
      </c>
      <c r="AX38" s="192">
        <f>AV38-AW38</f>
        <v>-1</v>
      </c>
      <c r="AY38" s="192">
        <f>IFERROR(INDEX('[1]SALES PERTYPE'!$S$10:$S$52,MATCH($C38,'[1]SALES PERTYPE'!$B$10:$B$52,0)),0)</f>
        <v>0</v>
      </c>
      <c r="AZ38" s="192" cm="1">
        <f t="array" ref="AZ38">IFERROR(INDEX('[1]Sales per type juli'!$D$10:$BA$51,MATCH($C38,'[1]Sales per type juli'!$B$10:$B$51,0),MATCH("Y31d ",'[1]Sales per type juli'!$D$8:$BA$8,0)+1),0)</f>
        <v>3599000</v>
      </c>
      <c r="BA38" s="192">
        <f>AY38-AZ38</f>
        <v>-3599000</v>
      </c>
      <c r="BB38" s="192">
        <f>IFERROR(INDEX('[1]SALES PERTYPE'!$T$10:$T$52,MATCH($C38,'[1]SALES PERTYPE'!$B$10:$B$52,0)),0)</f>
        <v>4</v>
      </c>
      <c r="BC38" s="192">
        <f>IFERROR(INDEX('[1]Sales per type juli'!$D$10:$BA$51,MATCH($C38,'[1]Sales per type juli'!$B$10:$B$51,0),MATCH("V70 FE",'[1]Sales per type juli'!$D$8:$BA$8,0)),0)</f>
        <v>7</v>
      </c>
      <c r="BD38" s="192">
        <f>BB38-BC38</f>
        <v>-3</v>
      </c>
      <c r="BE38" s="192">
        <f>IFERROR(INDEX('[1]SALES PERTYPE'!$U$10:$U$52,MATCH($C38,'[1]SALES PERTYPE'!$B$10:$B$52,0)),0)</f>
        <v>30396000</v>
      </c>
      <c r="BF38" s="192" cm="1">
        <f t="array" ref="BF38">IFERROR(INDEX('[1]Sales per type juli'!$D$10:$BA$51,MATCH($C38,'[1]Sales per type juli'!$B$10:$B$51,0),MATCH("V70 FE",'[1]Sales per type juli'!$D$8:$BA$8,0)+1),0)</f>
        <v>46193000</v>
      </c>
      <c r="BG38" s="192">
        <f>BE38-BF38</f>
        <v>-15797000</v>
      </c>
      <c r="BH38" s="192">
        <f>IFERROR(INDEX('[1]SALES PERTYPE'!$V$10:$V$52,MATCH($C38,'[1]SALES PERTYPE'!$B$10:$B$52,0)),0)</f>
        <v>0</v>
      </c>
      <c r="BI38" s="192">
        <f>IFERROR(INDEX('[1]Sales per type juli'!$D$10:$BA$51,MATCH($C38,'[1]Sales per type juli'!$B$10:$B$51,0),MATCH("Y31d",'[1]Sales per type juli'!$D$8:$BA$8,0)),0)</f>
        <v>2</v>
      </c>
      <c r="BJ38" s="192">
        <f>BH38-BI38</f>
        <v>-2</v>
      </c>
      <c r="BK38" s="192">
        <f>IFERROR(INDEX('[1]SALES PERTYPE'!$W$10:$W$52,MATCH($C38,'[1]SALES PERTYPE'!$B$10:$B$52,0)),0)</f>
        <v>0</v>
      </c>
      <c r="BL38" s="192" cm="1">
        <f t="array" ref="BL38">IFERROR(INDEX('[1]Sales per type juli'!$D$10:$BA$51,MATCH($C38,'[1]Sales per type juli'!$B$10:$B$51,0),MATCH("Y31d",'[1]Sales per type juli'!$D$8:$BA$8,0)+1),0)</f>
        <v>7198000</v>
      </c>
      <c r="BM38" s="192">
        <f>BK38-BL38</f>
        <v>-7198000</v>
      </c>
      <c r="BN38" s="192">
        <f>IFERROR(INDEX('[1]SALES PERTYPE'!$X$10:$X$52,MATCH($C38,'[1]SALES PERTYPE'!$B$10:$B$52,0)),0)</f>
        <v>3</v>
      </c>
      <c r="BO38" s="192">
        <f>IFERROR(INDEX('[1]Sales per type juli'!$D$10:$BA$51,MATCH($C38,'[1]Sales per type juli'!$B$10:$B$51,0),MATCH("Y500",'[1]Sales per type juli'!$D$8:$BA$8,0)),0)</f>
        <v>0</v>
      </c>
      <c r="BP38" s="192">
        <f>BN38-BO38</f>
        <v>3</v>
      </c>
      <c r="BQ38" s="192">
        <f>IFERROR(INDEX('[1]SALES PERTYPE'!$Y$10:$Y$52,MATCH($C38,'[1]SALES PERTYPE'!$B$10:$B$52,0)),0)</f>
        <v>16497000</v>
      </c>
      <c r="BR38" s="192" cm="1">
        <f t="array" ref="BR38">IFERROR(INDEX('[1]Sales per type juli'!$D$10:$BA$51,MATCH($C38,'[1]Sales per type juli'!$B$10:$B$51,0),MATCH("Y500",'[1]Sales per type juli'!$D$8:$BA$8,0)+1),0)</f>
        <v>0</v>
      </c>
      <c r="BS38" s="192">
        <f>BQ38-BR38</f>
        <v>16497000</v>
      </c>
      <c r="BT38" s="192">
        <f>IFERROR(INDEX('[1]SALES PERTYPE'!$Z$10:$Z$52,MATCH($C38,'[1]SALES PERTYPE'!$B$10:$B$52,0)),0)</f>
        <v>0</v>
      </c>
      <c r="BU38" s="192">
        <f>IFERROR(INDEX('[1]Sales per type juli'!$D$10:$BA$51,MATCH($C38,'[1]Sales per type juli'!$B$10:$B$51,0),MATCH("IQOO 15R",'[1]Sales per type juli'!$D$8:$BA$8,0)),0)</f>
        <v>1</v>
      </c>
      <c r="BV38" s="192">
        <f>BT38-BU38</f>
        <v>-1</v>
      </c>
      <c r="BW38" s="192">
        <f>IFERROR(INDEX('[1]SALES PERTYPE'!$AA$10:$AA$52,MATCH($C38,'[1]SALES PERTYPE'!$B$10:$B$52,0)),0)</f>
        <v>0</v>
      </c>
      <c r="BX38" s="192" cm="1">
        <f t="array" ref="BX38">IFERROR(INDEX('[1]Sales per type juli'!$D$10:$BA$51,MATCH($C38,'[1]Sales per type juli'!$B$10:$B$51,0),MATCH("IQOO 15R",'[1]Sales per type juli'!$D$8:$BA$8,0)+1),0)</f>
        <v>9899000</v>
      </c>
      <c r="BY38" s="192">
        <f>BW38-BX38</f>
        <v>-9899000</v>
      </c>
      <c r="BZ38" s="192">
        <f>IFERROR(INDEX('[1]SALES PERTYPE'!$AB$10:$AB$52,MATCH($C38,'[1]SALES PERTYPE'!$B$10:$B$52,0)),0)</f>
        <v>1</v>
      </c>
      <c r="CA38" s="192">
        <f>IFERROR(INDEX('[1]Sales per type juli'!$D$10:$BA$51,MATCH($C38,'[1]Sales per type juli'!$B$10:$B$51,0),MATCH("V60 Lite",'[1]Sales per type juli'!$D$8:$BA$8,0)),0)</f>
        <v>0</v>
      </c>
      <c r="CB38" s="192">
        <f>BZ38-CA38</f>
        <v>1</v>
      </c>
      <c r="CC38" s="192">
        <f>IFERROR(INDEX('[1]SALES PERTYPE'!$AC$10:$AC$52,MATCH($C38,'[1]SALES PERTYPE'!$B$10:$B$52,0)),0)</f>
        <v>5299000</v>
      </c>
      <c r="CD38" s="192" cm="1">
        <f t="array" ref="CD38">IFERROR(INDEX('[1]Sales per type juli'!$D$10:$BA$51,MATCH($C38,'[1]Sales per type juli'!$B$10:$B$51,0),MATCH("V60 Lite",'[1]Sales per type juli'!$D$8:$BA$8,0)+1),0)</f>
        <v>0</v>
      </c>
      <c r="CE38" s="192">
        <f>CC38-CD38</f>
        <v>5299000</v>
      </c>
      <c r="CF38" s="192">
        <f>IFERROR(INDEX('[1]SALES PERTYPE'!$AD$10:$AD$52,MATCH($C38,'[1]SALES PERTYPE'!$B$10:$B$52,0)),0)</f>
        <v>2</v>
      </c>
      <c r="CG38" s="192">
        <f>IFERROR(INDEX('[1]Sales per type juli'!$D$10:$BA$51,MATCH($C38,'[1]Sales per type juli'!$B$10:$B$51,0),MATCH("X300 Ultra",'[1]Sales per type juli'!$D$8:$BA$8,0)),0)</f>
        <v>0</v>
      </c>
      <c r="CH38" s="192">
        <f>CF38-CG38</f>
        <v>2</v>
      </c>
      <c r="CI38" s="192">
        <f>IFERROR(INDEX('[1]SALES PERTYPE'!$AE$10:$AE$52,MATCH($C38,'[1]SALES PERTYPE'!$B$10:$B$52,0)),0)</f>
        <v>51998000</v>
      </c>
      <c r="CJ38" s="192" cm="1">
        <f t="array" ref="CJ38">IFERROR(INDEX('[1]Sales per type juli'!$D$10:$BA$51,MATCH($C38,'[1]Sales per type juli'!$B$10:$B$51,0),MATCH("X300 Ultra",'[1]Sales per type juli'!$D$8:$BA$8,0)+1),0)</f>
        <v>0</v>
      </c>
      <c r="CK38" s="192">
        <f>CI38-CJ38</f>
        <v>51998000</v>
      </c>
      <c r="CL38" s="192">
        <f>IFERROR(INDEX('[1]SALES PERTYPE'!$AF$10:$AF$52,MATCH($C38,'[1]SALES PERTYPE'!$B$10:$B$52,0)),0)</f>
        <v>0</v>
      </c>
      <c r="CM38" s="192">
        <f>IFERROR(INDEX('[1]Sales per type juli'!$D$10:$BA$51,MATCH($C38,'[1]Sales per type juli'!$B$10:$B$51,0),MATCH("IQOO 15",'[1]Sales per type juli'!$D$8:$BA$8,0)),0)</f>
        <v>0</v>
      </c>
      <c r="CN38" s="192">
        <f>CL38-CM38</f>
        <v>0</v>
      </c>
      <c r="CO38" s="192">
        <f>IFERROR(INDEX('[1]SALES PERTYPE'!$AG$10:$AG$52,MATCH($C38,'[1]SALES PERTYPE'!$B$10:$B$52,0)),0)</f>
        <v>0</v>
      </c>
      <c r="CP38" s="192" cm="1">
        <f t="array" ref="CP38">IFERROR(INDEX('[1]Sales per type juli'!$D$10:$BA$51,MATCH($C38,'[1]Sales per type juli'!$B$10:$B$51,0),MATCH("IQOO 15",'[1]Sales per type juli'!$D$8:$BA$8,0)+1),0)</f>
        <v>0</v>
      </c>
      <c r="CQ38" s="192">
        <f>CO38-CP38</f>
        <v>0</v>
      </c>
      <c r="CR38" s="192">
        <f>IFERROR(INDEX('[1]SALES PERTYPE'!$AH$10:$AH$52,MATCH($C38,'[1]SALES PERTYPE'!$B$10:$B$52,0)),0)</f>
        <v>0</v>
      </c>
      <c r="CS38" s="192">
        <f>IFERROR(INDEX('[1]Sales per type juli'!$D$10:$BA$51,MATCH($C38,'[1]Sales per type juli'!$B$10:$B$51,0),MATCH("IQOO Z11x",'[1]Sales per type juli'!$D$8:$BA$8,0)),0)</f>
        <v>1</v>
      </c>
      <c r="CT38" s="192">
        <f>CR38-CS38</f>
        <v>-1</v>
      </c>
      <c r="CU38" s="192">
        <f>IFERROR(INDEX('[1]SALES PERTYPE'!$AI$10:$AI$52,MATCH($C38,'[1]SALES PERTYPE'!$B$10:$B$52,0)),0)</f>
        <v>0</v>
      </c>
      <c r="CV38" s="192" cm="1">
        <f t="array" ref="CV38">IFERROR(INDEX('[1]Sales per type juli'!$D$10:$BA$51,MATCH($C38,'[1]Sales per type juli'!$B$10:$B$51,0),MATCH("IQOO Z11x",'[1]Sales per type juli'!$D$8:$BA$8,0)+1),0)</f>
        <v>4799000</v>
      </c>
      <c r="CW38" s="192">
        <f>CU38-CV38</f>
        <v>-4799000</v>
      </c>
      <c r="CX38" s="192">
        <f>IFERROR(INDEX('[1]SALES PERTYPE'!$AJ$10:$AJ$52,MATCH($C38,'[1]SALES PERTYPE'!$B$10:$B$52,0)),0)</f>
        <v>2</v>
      </c>
      <c r="CY38" s="192">
        <f>IFERROR(INDEX('[1]Sales per type juli'!$D$10:$BA$51,MATCH($C38,'[1]Sales per type juli'!$B$10:$B$51,0),MATCH("IQOO Z11",'[1]Sales per type juli'!$D$8:$BA$8,0)),0)</f>
        <v>0</v>
      </c>
      <c r="CZ38" s="192">
        <f>CX38-CY38</f>
        <v>2</v>
      </c>
      <c r="DA38" s="192">
        <f>IFERROR(INDEX('[1]SALES PERTYPE'!$AK$10:$AK$52,MATCH($C38,'[1]SALES PERTYPE'!$B$10:$B$52,0)),0)</f>
        <v>13798000</v>
      </c>
      <c r="DB38" s="192" cm="1">
        <f t="array" ref="DB38">IFERROR(INDEX('[1]Sales per type juli'!$D$10:$BA$51,MATCH($C38,'[1]Sales per type juli'!$B$10:$B$51,0),MATCH("IQOO Z11",'[1]Sales per type juli'!$D$8:$BA$8,0)+1),0)</f>
        <v>0</v>
      </c>
      <c r="DC38" s="192">
        <f>DA38-DB38</f>
        <v>13798000</v>
      </c>
      <c r="DD38" s="192">
        <v>0</v>
      </c>
      <c r="DE38" s="192">
        <f>IFERROR(INDEX('[1]Sales per type juli'!$D$10:$BA$51,MATCH($C38,'[1]Sales per type juli'!$B$10:$B$51,0),MATCH("WATCH 3",'[1]Sales per type juli'!$D$8:$BA$8,0)),0)</f>
        <v>0</v>
      </c>
      <c r="DF38" s="192">
        <f>DD38-DE38</f>
        <v>0</v>
      </c>
      <c r="DG38" s="192">
        <v>0</v>
      </c>
      <c r="DH38" s="192" cm="1">
        <f t="array" ref="DH38">IFERROR(INDEX('[1]Sales per type juli'!$D$10:$BA$51,MATCH($C38,'[1]Sales per type juli'!$B$10:$B$51,0),MATCH("WATCH 3",'[1]Sales per type juli'!$D$8:$BA$8,0)+1),0)</f>
        <v>0</v>
      </c>
      <c r="DI38" s="192">
        <f>DG38-DH38</f>
        <v>0</v>
      </c>
      <c r="DJ38" s="192">
        <v>0</v>
      </c>
      <c r="DK38" s="192">
        <f>IFERROR(INDEX('[1]Sales per type juli'!$D$10:$BA$51,MATCH($C38,'[1]Sales per type juli'!$B$10:$B$51,0),MATCH("X300 Demo",'[1]Sales per type juli'!$D$8:$BA$8,0)),0)</f>
        <v>0</v>
      </c>
      <c r="DL38" s="192">
        <f>DJ38-DK38</f>
        <v>0</v>
      </c>
      <c r="DM38" s="192">
        <v>0</v>
      </c>
      <c r="DN38" s="192" cm="1">
        <f t="array" ref="DN38">IFERROR(INDEX('[1]Sales per type juli'!$D$10:$BA$51,MATCH($C38,'[1]Sales per type juli'!$B$10:$B$51,0),MATCH("X300 Demo",'[1]Sales per type juli'!$D$8:$BA$8,0)+1),0)</f>
        <v>0</v>
      </c>
      <c r="DO38" s="192">
        <f>DM38-DN38</f>
        <v>0</v>
      </c>
      <c r="DP38" s="192">
        <v>0</v>
      </c>
      <c r="DQ38" s="192">
        <f>IFERROR(INDEX('[1]Sales per type juli'!$D$10:$BA$51,MATCH($C38,'[1]Sales per type juli'!$B$10:$B$51,0),MATCH("X300 Pro Demo",'[1]Sales per type juli'!$D$8:$BA$8,0)),0)</f>
        <v>0</v>
      </c>
      <c r="DR38" s="192">
        <f>DP38-DQ38</f>
        <v>0</v>
      </c>
      <c r="DS38" s="192">
        <v>0</v>
      </c>
      <c r="DT38" s="192" cm="1">
        <f t="array" ref="DT38">IFERROR(INDEX('[1]Sales per type juli'!$D$10:$BA$51,MATCH($C38,'[1]Sales per type juli'!$B$10:$B$51,0),MATCH("X300 Pro Demo",'[1]Sales per type juli'!$D$8:$BA$8,0)+1),0)</f>
        <v>0</v>
      </c>
      <c r="DU38" s="192">
        <f>DS38-DT38</f>
        <v>0</v>
      </c>
      <c r="DV38" s="192">
        <v>0</v>
      </c>
      <c r="DW38" s="192">
        <f>IFERROR(INDEX('[1]Sales per type juli'!$D$10:$BA$51,MATCH($C38,'[1]Sales per type juli'!$B$10:$B$51,0),MATCH("X Fold5 DEMO",'[1]Sales per type juli'!$D$8:$BA$8,0)),0)</f>
        <v>0</v>
      </c>
      <c r="DX38" s="192">
        <f>DV38-DW38</f>
        <v>0</v>
      </c>
      <c r="DY38" s="192">
        <v>0</v>
      </c>
      <c r="DZ38" s="192" cm="1">
        <f t="array" ref="DZ38">IFERROR(INDEX('[1]Sales per type juli'!$D$10:$BA$51,MATCH($C38,'[1]Sales per type juli'!$B$10:$B$51,0),MATCH("X Fold5 DEMO",'[1]Sales per type juli'!$D$8:$BA$8,0)+1),0)</f>
        <v>0</v>
      </c>
      <c r="EA38" s="192">
        <f>DY38-DZ38</f>
        <v>0</v>
      </c>
      <c r="EB38" s="192">
        <v>0</v>
      </c>
      <c r="EC38" s="192">
        <f>IFERROR(INDEX('[1]Sales per type juli'!$D$10:$BA$51,MATCH($C38,'[1]Sales per type juli'!$B$10:$B$51,0),MATCH("X Fold5",'[1]Sales per type juli'!$D$8:$BA$8,0)),0)</f>
        <v>0</v>
      </c>
      <c r="ED38" s="192">
        <f>EB38-EC38</f>
        <v>0</v>
      </c>
      <c r="EE38" s="192">
        <v>0</v>
      </c>
      <c r="EF38" s="192" cm="1">
        <f t="array" ref="EF38">IFERROR(INDEX('[1]Sales per type juli'!$D$10:$BA$51,MATCH($C38,'[1]Sales per type juli'!$B$10:$B$51,0),MATCH("X Fold5",'[1]Sales per type juli'!$D$8:$BA$8,0)+1),0)</f>
        <v>0</v>
      </c>
      <c r="EG38" s="192">
        <f>EE38-EF38</f>
        <v>0</v>
      </c>
      <c r="EH38" s="192">
        <v>0</v>
      </c>
      <c r="EI38" s="192">
        <f>IFERROR(INDEX('[1]Sales per type juli'!$D$10:$BA$51,MATCH($C38,'[1]Sales per type juli'!$B$10:$B$51,0),MATCH("IQOO 15 Demo",'[1]Sales per type juli'!$D$8:$BA$8,0)),0)</f>
        <v>0</v>
      </c>
      <c r="EJ38" s="192">
        <f>EH38-EI38</f>
        <v>0</v>
      </c>
      <c r="EK38" s="192">
        <v>0</v>
      </c>
      <c r="EL38" s="192" cm="1">
        <f t="array" ref="EL38">IFERROR(INDEX('[1]Sales per type juli'!$D$10:$BA$51,MATCH($C38,'[1]Sales per type juli'!$B$10:$B$51,0),MATCH("IQOO 15 Demo",'[1]Sales per type juli'!$D$8:$BA$8,0)+1),0)</f>
        <v>0</v>
      </c>
      <c r="EM38" s="192">
        <f>EK38-EL38</f>
        <v>0</v>
      </c>
      <c r="EN38" s="192">
        <v>0</v>
      </c>
      <c r="EO38" s="192">
        <f>IFERROR(INDEX('[1]Sales per type juli'!$D$10:$BA$51,MATCH($C38,'[1]Sales per type juli'!$B$10:$B$51,0),MATCH("X300 PRO",'[1]Sales per type juli'!$D$8:$BA$8,0)),0)</f>
        <v>0</v>
      </c>
      <c r="EP38" s="192">
        <f>EN38-EO38</f>
        <v>0</v>
      </c>
      <c r="EQ38" s="192">
        <v>0</v>
      </c>
      <c r="ER38" s="192" cm="1">
        <f t="array" ref="ER38">IFERROR(INDEX('[1]Sales per type juli'!$D$10:$BA$51,MATCH($C38,'[1]Sales per type juli'!$B$10:$B$51,0),MATCH("X300 PRO",'[1]Sales per type juli'!$D$8:$BA$8,0)+1),0)</f>
        <v>0</v>
      </c>
      <c r="ES38" s="192">
        <f>EQ38-ER38</f>
        <v>0</v>
      </c>
      <c r="ET38" s="192">
        <v>0</v>
      </c>
      <c r="EU38" s="192">
        <f>IFERROR(INDEX('[1]Sales per type juli'!$D$10:$BA$51,MATCH($C38,'[1]Sales per type juli'!$B$10:$B$51,0),MATCH("X300 ",'[1]Sales per type juli'!$D$8:$BA$8,0)),0)</f>
        <v>0</v>
      </c>
      <c r="EV38" s="192">
        <f>ET38-EU38</f>
        <v>0</v>
      </c>
      <c r="EW38" s="192">
        <v>0</v>
      </c>
      <c r="EX38" s="192" cm="1">
        <f t="array" ref="EX38">IFERROR(INDEX('[1]Sales per type juli'!$D$10:$BA$51,MATCH($C38,'[1]Sales per type juli'!$B$10:$B$51,0),MATCH("X300 ",'[1]Sales per type juli'!$D$8:$BA$8,0)+1),0)</f>
        <v>0</v>
      </c>
      <c r="EY38" s="192">
        <f>EW38-EX38</f>
        <v>0</v>
      </c>
      <c r="EZ38" s="192">
        <f>F38+L38+R38+X38+AD38+AJ38+AP38+AV38+BB38+BH38+BN38+BT38+BZ38+CF38+CL38+CR38+CX38+DD38+DJ38+DP38+DV38+EB38+EH38+EN38+ET38</f>
        <v>49</v>
      </c>
      <c r="FA38" s="192">
        <f>G38+M38+S38+Y38+AE38+AK38+AQ38+AW38+BC38+BI38+BO38+BU38+CA38+CG38+CM38+CS38+CY38+DE38+DK38+DQ38+DW38+EC38+EI38+EO38+EU38</f>
        <v>53</v>
      </c>
      <c r="FB38" s="192">
        <f>EZ38-FA38</f>
        <v>-4</v>
      </c>
      <c r="FC38" s="192">
        <f>I38+O38+U38+AA38+AG38+AM38+AS38+AY38+BE38+BK38+BQ38+BW38+CC38+CI38+CO38+CU38+DA38+DG38+DM38+DS38+DY38+EE38+EK38+EQ38+EW38</f>
        <v>242651000</v>
      </c>
      <c r="FD38" s="192">
        <f>J38+P38+V38+AB38+AH38+AN38+AT38+AZ38+BF38+BL38+BR38+BX38+CD38+CJ38+CP38+CV38+DB38+DH38+DN38+DT38+DZ38+EF38+EL38+ER38+EX38</f>
        <v>199647000</v>
      </c>
      <c r="FE38" s="192">
        <f>FC38-FD38</f>
        <v>43004000</v>
      </c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</row>
    <row r="39" spans="1:208" ht="16" x14ac:dyDescent="0.2">
      <c r="A39" s="137">
        <f>'[1]ACHIEVEMENT STORE'!A39</f>
        <v>35</v>
      </c>
      <c r="B39" s="138" t="str">
        <f>'[1]ACHIEVEMENT STORE'!B39</f>
        <v>619-万隆市区BDG KOTA</v>
      </c>
      <c r="C39" s="137">
        <f>'[1]ACHIEVEMENT STORE'!C39</f>
        <v>6190705</v>
      </c>
      <c r="D39" s="138" t="str">
        <f>'[1]ACHIEVEMENT STORE'!D39</f>
        <v>A300105-VIVO STORE LG F20</v>
      </c>
      <c r="E39" s="138" t="str">
        <f>'[1]ACHIEVEMENT STORE'!E39</f>
        <v>EKO PURWANTO</v>
      </c>
      <c r="F39" s="192">
        <f>IFERROR(INDEX('[1]SALES PERTYPE'!$D$10:$D$52,MATCH($C39,'[1]SALES PERTYPE'!$B$10:$B$52,0)),0)</f>
        <v>2</v>
      </c>
      <c r="G39" s="192">
        <f>IFERROR(INDEX('[1]Sales per type juli'!$D$10:$BA$51,MATCH($C39,'[1]Sales per type juli'!$B$10:$B$51,0),MATCH("Y05",'[1]Sales per type juli'!$D$8:$BA$8,0)),0)</f>
        <v>11</v>
      </c>
      <c r="H39" s="192">
        <f>F39-G39</f>
        <v>-9</v>
      </c>
      <c r="I39" s="192">
        <f>IFERROR(INDEX('[1]SALES PERTYPE'!$E$10:$E$52,MATCH($C39,'[1]SALES PERTYPE'!$B$10:$B$52,0)),0)</f>
        <v>4598000</v>
      </c>
      <c r="J39" s="192" cm="1">
        <f t="array" ref="J39">IFERROR(INDEX('[1]Sales per type juli'!$D$10:$BA$51,MATCH($C39,'[1]Sales per type juli'!$B$10:$B$51,0),MATCH("Y05",'[1]Sales per type juli'!$D$8:$BA$8,0)+1),0)</f>
        <v>24289000</v>
      </c>
      <c r="K39" s="192">
        <f>I39-J39</f>
        <v>-19691000</v>
      </c>
      <c r="L39" s="192">
        <f>IFERROR(INDEX('[1]SALES PERTYPE'!$F$10:$F$52,MATCH($C39,'[1]SALES PERTYPE'!$B$10:$B$52,0)),0)</f>
        <v>3</v>
      </c>
      <c r="M39" s="192">
        <f>IFERROR(INDEX('[1]Sales per type juli'!$D$10:$BA$51,MATCH($C39,'[1]Sales per type juli'!$B$10:$B$51,0),MATCH("Y11d",'[1]Sales per type juli'!$D$8:$BA$8,0)),0)</f>
        <v>4</v>
      </c>
      <c r="N39" s="192">
        <f>L39-M39</f>
        <v>-1</v>
      </c>
      <c r="O39" s="192">
        <f>IFERROR(INDEX('[1]SALES PERTYPE'!$G$10:$G$52,MATCH($C39,'[1]SALES PERTYPE'!$B$10:$B$52,0)),0)</f>
        <v>7597000</v>
      </c>
      <c r="P39" s="192" cm="1">
        <f t="array" ref="P39">IFERROR(INDEX('[1]Sales per type juli'!$D$10:$BA$51,MATCH($C39,'[1]Sales per type juli'!$B$10:$B$51,0),MATCH("Y11d",'[1]Sales per type juli'!$D$8:$BA$8,0)+1),0)</f>
        <v>10796000</v>
      </c>
      <c r="Q39" s="192">
        <f>O39-P39</f>
        <v>-3199000</v>
      </c>
      <c r="R39" s="192">
        <f>IFERROR(INDEX('[1]SALES PERTYPE'!$H$10:$H$52,MATCH($C39,'[1]SALES PERTYPE'!$B$10:$B$52,0)),0)</f>
        <v>0</v>
      </c>
      <c r="S39" s="192">
        <f>IFERROR(INDEX('[1]Sales per type juli'!$D$10:$BA$51,MATCH($C39,'[1]Sales per type juli'!$B$10:$B$51,0),MATCH("Watch GT 2",'[1]Sales per type juli'!$D$8:$BA$8,0)),0)</f>
        <v>0</v>
      </c>
      <c r="T39" s="192">
        <f>R39-S39</f>
        <v>0</v>
      </c>
      <c r="U39" s="192">
        <f>IFERROR(INDEX('[1]SALES PERTYPE'!$I$10:$I$52,MATCH($C39,'[1]SALES PERTYPE'!$B$10:$B$52,0)),0)</f>
        <v>0</v>
      </c>
      <c r="V39" s="192" cm="1">
        <f t="array" ref="V39">IFERROR(INDEX('[1]Sales per type juli'!$D$10:$BA$51,MATCH($C39,'[1]Sales per type juli'!$B$10:$B$51,0),MATCH("Watch GT 2",'[1]Sales per type juli'!$D$8:$BA$8,0)+1),0)</f>
        <v>0</v>
      </c>
      <c r="W39" s="192">
        <f>U39-V39</f>
        <v>0</v>
      </c>
      <c r="X39" s="192">
        <f>IFERROR(INDEX('[1]SALES PERTYPE'!$J$10:$J$52,MATCH($C39,'[1]SALES PERTYPE'!$B$10:$B$52,0)),0)</f>
        <v>2</v>
      </c>
      <c r="Y39" s="192">
        <f>IFERROR(INDEX('[1]Sales per type juli'!$D$10:$BA$51,MATCH($C39,'[1]Sales per type juli'!$B$10:$B$51,0),MATCH("Y05e",'[1]Sales per type juli'!$D$8:$BA$8,0)),0)</f>
        <v>0</v>
      </c>
      <c r="Z39" s="192">
        <f>X39-Y39</f>
        <v>2</v>
      </c>
      <c r="AA39" s="192">
        <f>IFERROR(INDEX('[1]SALES PERTYPE'!$K$10:$K$52,MATCH($C39,'[1]SALES PERTYPE'!$B$10:$B$52,0)),0)</f>
        <v>4198000</v>
      </c>
      <c r="AB39" s="192" cm="1">
        <f t="array" ref="AB39">IFERROR(INDEX('[1]Sales per type juli'!$D$10:$BA$51,MATCH($C39,'[1]Sales per type juli'!$B$10:$B$51,0),MATCH("Y05e",'[1]Sales per type juli'!$D$8:$BA$8,0)+1),0)</f>
        <v>0</v>
      </c>
      <c r="AC39" s="192">
        <f>AA39-AB39</f>
        <v>4198000</v>
      </c>
      <c r="AD39" s="192">
        <f>IFERROR(INDEX('[1]SALES PERTYPE'!$L$10:$L$52,MATCH($C39,'[1]SALES PERTYPE'!$B$10:$B$52,0)),0)</f>
        <v>0</v>
      </c>
      <c r="AE39" s="192">
        <f>IFERROR(INDEX('[1]Sales per type juli'!$D$10:$BA$51,MATCH($C39,'[1]Sales per type juli'!$B$10:$B$51,0),MATCH("V70",'[1]Sales per type juli'!$D$8:$BA$8,0)),0)</f>
        <v>0</v>
      </c>
      <c r="AF39" s="192">
        <f>AD39-AE39</f>
        <v>0</v>
      </c>
      <c r="AG39" s="192">
        <f>IFERROR(INDEX('[1]SALES PERTYPE'!$M$10:$M$52,MATCH($C39,'[1]SALES PERTYPE'!$B$10:$B$52,0)),0)</f>
        <v>0</v>
      </c>
      <c r="AH39" s="192" cm="1">
        <f t="array" ref="AH39">IFERROR(INDEX('[1]Sales per type juli'!$D$10:$BA$51,MATCH($C39,'[1]Sales per type juli'!$B$10:$B$51,0),MATCH("V70",'[1]Sales per type juli'!$D$8:$BA$8,0)+1),0)</f>
        <v>0</v>
      </c>
      <c r="AI39" s="192">
        <f>AG39-AH39</f>
        <v>0</v>
      </c>
      <c r="AJ39" s="192">
        <f>IFERROR(INDEX('[1]SALES PERTYPE'!$N$10:$N$52,MATCH($C39,'[1]SALES PERTYPE'!$B$10:$B$52,0)),0)</f>
        <v>3</v>
      </c>
      <c r="AK39" s="192">
        <f>IFERROR(INDEX('[1]Sales per type juli'!$D$10:$BA$51,MATCH($C39,'[1]Sales per type juli'!$B$10:$B$51,0),MATCH("Y31d Pro",'[1]Sales per type juli'!$D$8:$BA$8,0)),0)</f>
        <v>3</v>
      </c>
      <c r="AL39" s="192">
        <f>AJ39-AK39</f>
        <v>0</v>
      </c>
      <c r="AM39" s="192">
        <f>IFERROR(INDEX('[1]SALES PERTYPE'!$O$10:$O$52,MATCH($C39,'[1]SALES PERTYPE'!$B$10:$B$52,0)),0)</f>
        <v>11697000</v>
      </c>
      <c r="AN39" s="192" cm="1">
        <f t="array" ref="AN39">IFERROR(INDEX('[1]Sales per type juli'!$D$10:$BA$51,MATCH($C39,'[1]Sales per type juli'!$B$10:$B$51,0),MATCH("Y31d Pro",'[1]Sales per type juli'!$D$8:$BA$8,0)+1),0)</f>
        <v>12897000</v>
      </c>
      <c r="AO39" s="192">
        <f>AM39-AN39</f>
        <v>-1200000</v>
      </c>
      <c r="AP39" s="192">
        <f>IFERROR(INDEX('[1]SALES PERTYPE'!$P$10:$P$52,MATCH($C39,'[1]SALES PERTYPE'!$B$10:$B$52,0)),0)</f>
        <v>1</v>
      </c>
      <c r="AQ39" s="192" cm="1">
        <f t="array" ref="AQ39">IFERROR(INDEX('[1]Sales per type juli'!$D$10:$BA$51,MATCH($C39,'[1]Sales per type juli'!$B$10:$B$51,0),$FG$2),0)</f>
        <v>0</v>
      </c>
      <c r="AR39" s="192">
        <f>AP39-AQ39</f>
        <v>1</v>
      </c>
      <c r="AS39" s="192">
        <f>IFERROR(INDEX('[1]SALES PERTYPE'!$Q$10:$Q$52,MATCH($C39,'[1]SALES PERTYPE'!$B$10:$B$52,0)),0)</f>
        <v>3599000</v>
      </c>
      <c r="AT39" s="192" cm="1">
        <f t="array" ref="AT39">IFERROR(INDEX('[1]Sales per type juli'!$D$10:$BA$51,MATCH($C39,'[1]Sales per type juli'!$B$10:$B$51,0),$FG$2+1),0)</f>
        <v>0</v>
      </c>
      <c r="AU39" s="192">
        <f>AS39-AT39</f>
        <v>3599000</v>
      </c>
      <c r="AV39" s="192">
        <f>IFERROR(INDEX('[1]SALES PERTYPE'!$R$10:$R$52,MATCH($C39,'[1]SALES PERTYPE'!$B$10:$B$52,0)),0)</f>
        <v>0</v>
      </c>
      <c r="AW39" s="192">
        <f>IFERROR(INDEX('[1]Sales per type juli'!$D$10:$BA$51,MATCH($C39,'[1]Sales per type juli'!$B$10:$B$51,0),MATCH("Y31d ",'[1]Sales per type juli'!$D$8:$BA$8,0)),0)</f>
        <v>1</v>
      </c>
      <c r="AX39" s="192">
        <f>AV39-AW39</f>
        <v>-1</v>
      </c>
      <c r="AY39" s="192">
        <f>IFERROR(INDEX('[1]SALES PERTYPE'!$S$10:$S$52,MATCH($C39,'[1]SALES PERTYPE'!$B$10:$B$52,0)),0)</f>
        <v>0</v>
      </c>
      <c r="AZ39" s="192" cm="1">
        <f t="array" ref="AZ39">IFERROR(INDEX('[1]Sales per type juli'!$D$10:$BA$51,MATCH($C39,'[1]Sales per type juli'!$B$10:$B$51,0),MATCH("Y31d ",'[1]Sales per type juli'!$D$8:$BA$8,0)+1),0)</f>
        <v>3599000</v>
      </c>
      <c r="BA39" s="192">
        <f>AY39-AZ39</f>
        <v>-3599000</v>
      </c>
      <c r="BB39" s="192">
        <f>IFERROR(INDEX('[1]SALES PERTYPE'!$T$10:$T$52,MATCH($C39,'[1]SALES PERTYPE'!$B$10:$B$52,0)),0)</f>
        <v>0</v>
      </c>
      <c r="BC39" s="192">
        <f>IFERROR(INDEX('[1]Sales per type juli'!$D$10:$BA$51,MATCH($C39,'[1]Sales per type juli'!$B$10:$B$51,0),MATCH("V70 FE",'[1]Sales per type juli'!$D$8:$BA$8,0)),0)</f>
        <v>2</v>
      </c>
      <c r="BD39" s="192">
        <f>BB39-BC39</f>
        <v>-2</v>
      </c>
      <c r="BE39" s="192">
        <f>IFERROR(INDEX('[1]SALES PERTYPE'!$U$10:$U$52,MATCH($C39,'[1]SALES PERTYPE'!$B$10:$B$52,0)),0)</f>
        <v>0</v>
      </c>
      <c r="BF39" s="192" cm="1">
        <f t="array" ref="BF39">IFERROR(INDEX('[1]Sales per type juli'!$D$10:$BA$51,MATCH($C39,'[1]Sales per type juli'!$B$10:$B$51,0),MATCH("V70 FE",'[1]Sales per type juli'!$D$8:$BA$8,0)+1),0)</f>
        <v>13698000</v>
      </c>
      <c r="BG39" s="192">
        <f>BE39-BF39</f>
        <v>-13698000</v>
      </c>
      <c r="BH39" s="192">
        <f>IFERROR(INDEX('[1]SALES PERTYPE'!$V$10:$V$52,MATCH($C39,'[1]SALES PERTYPE'!$B$10:$B$52,0)),0)</f>
        <v>0</v>
      </c>
      <c r="BI39" s="192">
        <f>IFERROR(INDEX('[1]Sales per type juli'!$D$10:$BA$51,MATCH($C39,'[1]Sales per type juli'!$B$10:$B$51,0),MATCH("Y31d",'[1]Sales per type juli'!$D$8:$BA$8,0)),0)</f>
        <v>0</v>
      </c>
      <c r="BJ39" s="192">
        <f>BH39-BI39</f>
        <v>0</v>
      </c>
      <c r="BK39" s="192">
        <f>IFERROR(INDEX('[1]SALES PERTYPE'!$W$10:$W$52,MATCH($C39,'[1]SALES PERTYPE'!$B$10:$B$52,0)),0)</f>
        <v>0</v>
      </c>
      <c r="BL39" s="192" cm="1">
        <f t="array" ref="BL39">IFERROR(INDEX('[1]Sales per type juli'!$D$10:$BA$51,MATCH($C39,'[1]Sales per type juli'!$B$10:$B$51,0),MATCH("Y31d",'[1]Sales per type juli'!$D$8:$BA$8,0)+1),0)</f>
        <v>0</v>
      </c>
      <c r="BM39" s="192">
        <f>BK39-BL39</f>
        <v>0</v>
      </c>
      <c r="BN39" s="192">
        <f>IFERROR(INDEX('[1]SALES PERTYPE'!$X$10:$X$52,MATCH($C39,'[1]SALES PERTYPE'!$B$10:$B$52,0)),0)</f>
        <v>0</v>
      </c>
      <c r="BO39" s="192">
        <f>IFERROR(INDEX('[1]Sales per type juli'!$D$10:$BA$51,MATCH($C39,'[1]Sales per type juli'!$B$10:$B$51,0),MATCH("Y500",'[1]Sales per type juli'!$D$8:$BA$8,0)),0)</f>
        <v>0</v>
      </c>
      <c r="BP39" s="192">
        <f>BN39-BO39</f>
        <v>0</v>
      </c>
      <c r="BQ39" s="192">
        <f>IFERROR(INDEX('[1]SALES PERTYPE'!$Y$10:$Y$52,MATCH($C39,'[1]SALES PERTYPE'!$B$10:$B$52,0)),0)</f>
        <v>0</v>
      </c>
      <c r="BR39" s="192" cm="1">
        <f t="array" ref="BR39">IFERROR(INDEX('[1]Sales per type juli'!$D$10:$BA$51,MATCH($C39,'[1]Sales per type juli'!$B$10:$B$51,0),MATCH("Y500",'[1]Sales per type juli'!$D$8:$BA$8,0)+1),0)</f>
        <v>0</v>
      </c>
      <c r="BS39" s="192">
        <f>BQ39-BR39</f>
        <v>0</v>
      </c>
      <c r="BT39" s="192">
        <f>IFERROR(INDEX('[1]SALES PERTYPE'!$Z$10:$Z$52,MATCH($C39,'[1]SALES PERTYPE'!$B$10:$B$52,0)),0)</f>
        <v>1</v>
      </c>
      <c r="BU39" s="192">
        <f>IFERROR(INDEX('[1]Sales per type juli'!$D$10:$BA$51,MATCH($C39,'[1]Sales per type juli'!$B$10:$B$51,0),MATCH("IQOO 15R",'[1]Sales per type juli'!$D$8:$BA$8,0)),0)</f>
        <v>1</v>
      </c>
      <c r="BV39" s="192">
        <f>BT39-BU39</f>
        <v>0</v>
      </c>
      <c r="BW39" s="192">
        <f>IFERROR(INDEX('[1]SALES PERTYPE'!$AA$10:$AA$52,MATCH($C39,'[1]SALES PERTYPE'!$B$10:$B$52,0)),0)</f>
        <v>11999000</v>
      </c>
      <c r="BX39" s="192" cm="1">
        <f t="array" ref="BX39">IFERROR(INDEX('[1]Sales per type juli'!$D$10:$BA$51,MATCH($C39,'[1]Sales per type juli'!$B$10:$B$51,0),MATCH("IQOO 15R",'[1]Sales per type juli'!$D$8:$BA$8,0)+1),0)</f>
        <v>9899000</v>
      </c>
      <c r="BY39" s="192">
        <f>BW39-BX39</f>
        <v>2100000</v>
      </c>
      <c r="BZ39" s="192">
        <f>IFERROR(INDEX('[1]SALES PERTYPE'!$AB$10:$AB$52,MATCH($C39,'[1]SALES PERTYPE'!$B$10:$B$52,0)),0)</f>
        <v>0</v>
      </c>
      <c r="CA39" s="192">
        <f>IFERROR(INDEX('[1]Sales per type juli'!$D$10:$BA$51,MATCH($C39,'[1]Sales per type juli'!$B$10:$B$51,0),MATCH("V60 Lite",'[1]Sales per type juli'!$D$8:$BA$8,0)),0)</f>
        <v>0</v>
      </c>
      <c r="CB39" s="192">
        <f>BZ39-CA39</f>
        <v>0</v>
      </c>
      <c r="CC39" s="192">
        <f>IFERROR(INDEX('[1]SALES PERTYPE'!$AC$10:$AC$52,MATCH($C39,'[1]SALES PERTYPE'!$B$10:$B$52,0)),0)</f>
        <v>0</v>
      </c>
      <c r="CD39" s="192" cm="1">
        <f t="array" ref="CD39">IFERROR(INDEX('[1]Sales per type juli'!$D$10:$BA$51,MATCH($C39,'[1]Sales per type juli'!$B$10:$B$51,0),MATCH("V60 Lite",'[1]Sales per type juli'!$D$8:$BA$8,0)+1),0)</f>
        <v>0</v>
      </c>
      <c r="CE39" s="192">
        <f>CC39-CD39</f>
        <v>0</v>
      </c>
      <c r="CF39" s="192">
        <f>IFERROR(INDEX('[1]SALES PERTYPE'!$AD$10:$AD$52,MATCH($C39,'[1]SALES PERTYPE'!$B$10:$B$52,0)),0)</f>
        <v>0</v>
      </c>
      <c r="CG39" s="192">
        <f>IFERROR(INDEX('[1]Sales per type juli'!$D$10:$BA$51,MATCH($C39,'[1]Sales per type juli'!$B$10:$B$51,0),MATCH("X300 Ultra",'[1]Sales per type juli'!$D$8:$BA$8,0)),0)</f>
        <v>0</v>
      </c>
      <c r="CH39" s="192">
        <f>CF39-CG39</f>
        <v>0</v>
      </c>
      <c r="CI39" s="192">
        <f>IFERROR(INDEX('[1]SALES PERTYPE'!$AE$10:$AE$52,MATCH($C39,'[1]SALES PERTYPE'!$B$10:$B$52,0)),0)</f>
        <v>0</v>
      </c>
      <c r="CJ39" s="192" cm="1">
        <f t="array" ref="CJ39">IFERROR(INDEX('[1]Sales per type juli'!$D$10:$BA$51,MATCH($C39,'[1]Sales per type juli'!$B$10:$B$51,0),MATCH("X300 Ultra",'[1]Sales per type juli'!$D$8:$BA$8,0)+1),0)</f>
        <v>0</v>
      </c>
      <c r="CK39" s="192">
        <f>CI39-CJ39</f>
        <v>0</v>
      </c>
      <c r="CL39" s="192">
        <f>IFERROR(INDEX('[1]SALES PERTYPE'!$AF$10:$AF$52,MATCH($C39,'[1]SALES PERTYPE'!$B$10:$B$52,0)),0)</f>
        <v>0</v>
      </c>
      <c r="CM39" s="192">
        <f>IFERROR(INDEX('[1]Sales per type juli'!$D$10:$BA$51,MATCH($C39,'[1]Sales per type juli'!$B$10:$B$51,0),MATCH("IQOO 15",'[1]Sales per type juli'!$D$8:$BA$8,0)),0)</f>
        <v>0</v>
      </c>
      <c r="CN39" s="192">
        <f>CL39-CM39</f>
        <v>0</v>
      </c>
      <c r="CO39" s="192">
        <f>IFERROR(INDEX('[1]SALES PERTYPE'!$AG$10:$AG$52,MATCH($C39,'[1]SALES PERTYPE'!$B$10:$B$52,0)),0)</f>
        <v>0</v>
      </c>
      <c r="CP39" s="192" cm="1">
        <f t="array" ref="CP39">IFERROR(INDEX('[1]Sales per type juli'!$D$10:$BA$51,MATCH($C39,'[1]Sales per type juli'!$B$10:$B$51,0),MATCH("IQOO 15",'[1]Sales per type juli'!$D$8:$BA$8,0)+1),0)</f>
        <v>0</v>
      </c>
      <c r="CQ39" s="192">
        <f>CO39-CP39</f>
        <v>0</v>
      </c>
      <c r="CR39" s="192">
        <f>IFERROR(INDEX('[1]SALES PERTYPE'!$AH$10:$AH$52,MATCH($C39,'[1]SALES PERTYPE'!$B$10:$B$52,0)),0)</f>
        <v>0</v>
      </c>
      <c r="CS39" s="192">
        <f>IFERROR(INDEX('[1]Sales per type juli'!$D$10:$BA$51,MATCH($C39,'[1]Sales per type juli'!$B$10:$B$51,0),MATCH("IQOO Z11x",'[1]Sales per type juli'!$D$8:$BA$8,0)),0)</f>
        <v>0</v>
      </c>
      <c r="CT39" s="192">
        <f>CR39-CS39</f>
        <v>0</v>
      </c>
      <c r="CU39" s="192">
        <f>IFERROR(INDEX('[1]SALES PERTYPE'!$AI$10:$AI$52,MATCH($C39,'[1]SALES PERTYPE'!$B$10:$B$52,0)),0)</f>
        <v>0</v>
      </c>
      <c r="CV39" s="192" cm="1">
        <f t="array" ref="CV39">IFERROR(INDEX('[1]Sales per type juli'!$D$10:$BA$51,MATCH($C39,'[1]Sales per type juli'!$B$10:$B$51,0),MATCH("IQOO Z11x",'[1]Sales per type juli'!$D$8:$BA$8,0)+1),0)</f>
        <v>0</v>
      </c>
      <c r="CW39" s="192">
        <f>CU39-CV39</f>
        <v>0</v>
      </c>
      <c r="CX39" s="192">
        <f>IFERROR(INDEX('[1]SALES PERTYPE'!$AJ$10:$AJ$52,MATCH($C39,'[1]SALES PERTYPE'!$B$10:$B$52,0)),0)</f>
        <v>0</v>
      </c>
      <c r="CY39" s="192">
        <f>IFERROR(INDEX('[1]Sales per type juli'!$D$10:$BA$51,MATCH($C39,'[1]Sales per type juli'!$B$10:$B$51,0),MATCH("IQOO Z11",'[1]Sales per type juli'!$D$8:$BA$8,0)),0)</f>
        <v>1</v>
      </c>
      <c r="CZ39" s="192">
        <f>CX39-CY39</f>
        <v>-1</v>
      </c>
      <c r="DA39" s="192">
        <f>IFERROR(INDEX('[1]SALES PERTYPE'!$AK$10:$AK$52,MATCH($C39,'[1]SALES PERTYPE'!$B$10:$B$52,0)),0)</f>
        <v>0</v>
      </c>
      <c r="DB39" s="192" cm="1">
        <f t="array" ref="DB39">IFERROR(INDEX('[1]Sales per type juli'!$D$10:$BA$51,MATCH($C39,'[1]Sales per type juli'!$B$10:$B$51,0),MATCH("IQOO Z11",'[1]Sales per type juli'!$D$8:$BA$8,0)+1),0)</f>
        <v>5699000</v>
      </c>
      <c r="DC39" s="192">
        <f>DA39-DB39</f>
        <v>-5699000</v>
      </c>
      <c r="DD39" s="192">
        <v>0</v>
      </c>
      <c r="DE39" s="192">
        <f>IFERROR(INDEX('[1]Sales per type juli'!$D$10:$BA$51,MATCH($C39,'[1]Sales per type juli'!$B$10:$B$51,0),MATCH("WATCH 3",'[1]Sales per type juli'!$D$8:$BA$8,0)),0)</f>
        <v>0</v>
      </c>
      <c r="DF39" s="192">
        <f>DD39-DE39</f>
        <v>0</v>
      </c>
      <c r="DG39" s="192">
        <v>0</v>
      </c>
      <c r="DH39" s="192" cm="1">
        <f t="array" ref="DH39">IFERROR(INDEX('[1]Sales per type juli'!$D$10:$BA$51,MATCH($C39,'[1]Sales per type juli'!$B$10:$B$51,0),MATCH("WATCH 3",'[1]Sales per type juli'!$D$8:$BA$8,0)+1),0)</f>
        <v>0</v>
      </c>
      <c r="DI39" s="192">
        <f>DG39-DH39</f>
        <v>0</v>
      </c>
      <c r="DJ39" s="192">
        <v>0</v>
      </c>
      <c r="DK39" s="192">
        <f>IFERROR(INDEX('[1]Sales per type juli'!$D$10:$BA$51,MATCH($C39,'[1]Sales per type juli'!$B$10:$B$51,0),MATCH("X300 Demo",'[1]Sales per type juli'!$D$8:$BA$8,0)),0)</f>
        <v>0</v>
      </c>
      <c r="DL39" s="192">
        <f>DJ39-DK39</f>
        <v>0</v>
      </c>
      <c r="DM39" s="192">
        <v>0</v>
      </c>
      <c r="DN39" s="192" cm="1">
        <f t="array" ref="DN39">IFERROR(INDEX('[1]Sales per type juli'!$D$10:$BA$51,MATCH($C39,'[1]Sales per type juli'!$B$10:$B$51,0),MATCH("X300 Demo",'[1]Sales per type juli'!$D$8:$BA$8,0)+1),0)</f>
        <v>0</v>
      </c>
      <c r="DO39" s="192">
        <f>DM39-DN39</f>
        <v>0</v>
      </c>
      <c r="DP39" s="192">
        <v>0</v>
      </c>
      <c r="DQ39" s="192">
        <f>IFERROR(INDEX('[1]Sales per type juli'!$D$10:$BA$51,MATCH($C39,'[1]Sales per type juli'!$B$10:$B$51,0),MATCH("X300 Pro Demo",'[1]Sales per type juli'!$D$8:$BA$8,0)),0)</f>
        <v>0</v>
      </c>
      <c r="DR39" s="192">
        <f>DP39-DQ39</f>
        <v>0</v>
      </c>
      <c r="DS39" s="192">
        <v>0</v>
      </c>
      <c r="DT39" s="192" cm="1">
        <f t="array" ref="DT39">IFERROR(INDEX('[1]Sales per type juli'!$D$10:$BA$51,MATCH($C39,'[1]Sales per type juli'!$B$10:$B$51,0),MATCH("X300 Pro Demo",'[1]Sales per type juli'!$D$8:$BA$8,0)+1),0)</f>
        <v>0</v>
      </c>
      <c r="DU39" s="192">
        <f>DS39-DT39</f>
        <v>0</v>
      </c>
      <c r="DV39" s="192">
        <v>0</v>
      </c>
      <c r="DW39" s="192">
        <f>IFERROR(INDEX('[1]Sales per type juli'!$D$10:$BA$51,MATCH($C39,'[1]Sales per type juli'!$B$10:$B$51,0),MATCH("X Fold5 DEMO",'[1]Sales per type juli'!$D$8:$BA$8,0)),0)</f>
        <v>0</v>
      </c>
      <c r="DX39" s="192">
        <f>DV39-DW39</f>
        <v>0</v>
      </c>
      <c r="DY39" s="192">
        <v>0</v>
      </c>
      <c r="DZ39" s="192" cm="1">
        <f t="array" ref="DZ39">IFERROR(INDEX('[1]Sales per type juli'!$D$10:$BA$51,MATCH($C39,'[1]Sales per type juli'!$B$10:$B$51,0),MATCH("X Fold5 DEMO",'[1]Sales per type juli'!$D$8:$BA$8,0)+1),0)</f>
        <v>0</v>
      </c>
      <c r="EA39" s="192">
        <f>DY39-DZ39</f>
        <v>0</v>
      </c>
      <c r="EB39" s="192">
        <v>0</v>
      </c>
      <c r="EC39" s="192">
        <f>IFERROR(INDEX('[1]Sales per type juli'!$D$10:$BA$51,MATCH($C39,'[1]Sales per type juli'!$B$10:$B$51,0),MATCH("X Fold5",'[1]Sales per type juli'!$D$8:$BA$8,0)),0)</f>
        <v>0</v>
      </c>
      <c r="ED39" s="192">
        <f>EB39-EC39</f>
        <v>0</v>
      </c>
      <c r="EE39" s="192">
        <v>0</v>
      </c>
      <c r="EF39" s="192" cm="1">
        <f t="array" ref="EF39">IFERROR(INDEX('[1]Sales per type juli'!$D$10:$BA$51,MATCH($C39,'[1]Sales per type juli'!$B$10:$B$51,0),MATCH("X Fold5",'[1]Sales per type juli'!$D$8:$BA$8,0)+1),0)</f>
        <v>0</v>
      </c>
      <c r="EG39" s="192">
        <f>EE39-EF39</f>
        <v>0</v>
      </c>
      <c r="EH39" s="192">
        <v>0</v>
      </c>
      <c r="EI39" s="192">
        <f>IFERROR(INDEX('[1]Sales per type juli'!$D$10:$BA$51,MATCH($C39,'[1]Sales per type juli'!$B$10:$B$51,0),MATCH("IQOO 15 Demo",'[1]Sales per type juli'!$D$8:$BA$8,0)),0)</f>
        <v>0</v>
      </c>
      <c r="EJ39" s="192">
        <f>EH39-EI39</f>
        <v>0</v>
      </c>
      <c r="EK39" s="192">
        <v>0</v>
      </c>
      <c r="EL39" s="192" cm="1">
        <f t="array" ref="EL39">IFERROR(INDEX('[1]Sales per type juli'!$D$10:$BA$51,MATCH($C39,'[1]Sales per type juli'!$B$10:$B$51,0),MATCH("IQOO 15 Demo",'[1]Sales per type juli'!$D$8:$BA$8,0)+1),0)</f>
        <v>0</v>
      </c>
      <c r="EM39" s="192">
        <f>EK39-EL39</f>
        <v>0</v>
      </c>
      <c r="EN39" s="192">
        <v>0</v>
      </c>
      <c r="EO39" s="192">
        <f>IFERROR(INDEX('[1]Sales per type juli'!$D$10:$BA$51,MATCH($C39,'[1]Sales per type juli'!$B$10:$B$51,0),MATCH("X300 PRO",'[1]Sales per type juli'!$D$8:$BA$8,0)),0)</f>
        <v>0</v>
      </c>
      <c r="EP39" s="192">
        <f>EN39-EO39</f>
        <v>0</v>
      </c>
      <c r="EQ39" s="192">
        <v>0</v>
      </c>
      <c r="ER39" s="192" cm="1">
        <f t="array" ref="ER39">IFERROR(INDEX('[1]Sales per type juli'!$D$10:$BA$51,MATCH($C39,'[1]Sales per type juli'!$B$10:$B$51,0),MATCH("X300 PRO",'[1]Sales per type juli'!$D$8:$BA$8,0)+1),0)</f>
        <v>0</v>
      </c>
      <c r="ES39" s="192">
        <f>EQ39-ER39</f>
        <v>0</v>
      </c>
      <c r="ET39" s="192">
        <v>0</v>
      </c>
      <c r="EU39" s="192">
        <f>IFERROR(INDEX('[1]Sales per type juli'!$D$10:$BA$51,MATCH($C39,'[1]Sales per type juli'!$B$10:$B$51,0),MATCH("X300 ",'[1]Sales per type juli'!$D$8:$BA$8,0)),0)</f>
        <v>0</v>
      </c>
      <c r="EV39" s="192">
        <f>ET39-EU39</f>
        <v>0</v>
      </c>
      <c r="EW39" s="192">
        <v>0</v>
      </c>
      <c r="EX39" s="192" cm="1">
        <f t="array" ref="EX39">IFERROR(INDEX('[1]Sales per type juli'!$D$10:$BA$51,MATCH($C39,'[1]Sales per type juli'!$B$10:$B$51,0),MATCH("X300 ",'[1]Sales per type juli'!$D$8:$BA$8,0)+1),0)</f>
        <v>0</v>
      </c>
      <c r="EY39" s="192">
        <f>EW39-EX39</f>
        <v>0</v>
      </c>
      <c r="EZ39" s="192">
        <f>F39+L39+R39+X39+AD39+AJ39+AP39+AV39+BB39+BH39+BN39+BT39+BZ39+CF39+CL39+CR39+CX39+DD39+DJ39+DP39+DV39+EB39+EH39+EN39+ET39</f>
        <v>12</v>
      </c>
      <c r="FA39" s="192">
        <f>G39+M39+S39+Y39+AE39+AK39+AQ39+AW39+BC39+BI39+BO39+BU39+CA39+CG39+CM39+CS39+CY39+DE39+DK39+DQ39+DW39+EC39+EI39+EO39+EU39</f>
        <v>23</v>
      </c>
      <c r="FB39" s="192">
        <f>EZ39-FA39</f>
        <v>-11</v>
      </c>
      <c r="FC39" s="192">
        <f>I39+O39+U39+AA39+AG39+AM39+AS39+AY39+BE39+BK39+BQ39+BW39+CC39+CI39+CO39+CU39+DA39+DG39+DM39+DS39+DY39+EE39+EK39+EQ39+EW39</f>
        <v>43688000</v>
      </c>
      <c r="FD39" s="192">
        <f>J39+P39+V39+AB39+AH39+AN39+AT39+AZ39+BF39+BL39+BR39+BX39+CD39+CJ39+CP39+CV39+DB39+DH39+DN39+DT39+DZ39+EF39+EL39+ER39+EX39</f>
        <v>80877000</v>
      </c>
      <c r="FE39" s="192">
        <f>FC39-FD39</f>
        <v>-37189000</v>
      </c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</row>
    <row r="40" spans="1:208" ht="16" x14ac:dyDescent="0.2">
      <c r="A40" s="139">
        <f>'[1]ACHIEVEMENT STORE'!A40</f>
        <v>36</v>
      </c>
      <c r="B40" s="140" t="str">
        <f>'[1]ACHIEVEMENT STORE'!B40</f>
        <v>619-万隆市区BDG KOTA</v>
      </c>
      <c r="C40" s="139">
        <f>'[1]ACHIEVEMENT STORE'!C40</f>
        <v>6190704</v>
      </c>
      <c r="D40" s="140" t="str">
        <f>'[1]ACHIEVEMENT STORE'!D40</f>
        <v>A300201-VIVO STORE 1 BEC</v>
      </c>
      <c r="E40" s="140" t="str">
        <f>'[1]ACHIEVEMENT STORE'!E40</f>
        <v>NENG TOTOH</v>
      </c>
      <c r="F40" s="192">
        <f>IFERROR(INDEX('[1]SALES PERTYPE'!$D$10:$D$52,MATCH($C40,'[1]SALES PERTYPE'!$B$10:$B$52,0)),0)</f>
        <v>4</v>
      </c>
      <c r="G40" s="192">
        <f>IFERROR(INDEX('[1]Sales per type juli'!$D$10:$BA$51,MATCH($C40,'[1]Sales per type juli'!$B$10:$B$51,0),MATCH("Y05",'[1]Sales per type juli'!$D$8:$BA$8,0)),0)</f>
        <v>18</v>
      </c>
      <c r="H40" s="192">
        <f>F40-G40</f>
        <v>-14</v>
      </c>
      <c r="I40" s="192">
        <f>IFERROR(INDEX('[1]SALES PERTYPE'!$E$10:$E$52,MATCH($C40,'[1]SALES PERTYPE'!$B$10:$B$52,0)),0)</f>
        <v>9796000</v>
      </c>
      <c r="J40" s="192" cm="1">
        <f t="array" ref="J40">IFERROR(INDEX('[1]Sales per type juli'!$D$10:$BA$51,MATCH($C40,'[1]Sales per type juli'!$B$10:$B$51,0),MATCH("Y05",'[1]Sales per type juli'!$D$8:$BA$8,0)+1),0)</f>
        <v>40182000</v>
      </c>
      <c r="K40" s="192">
        <f>I40-J40</f>
        <v>-30386000</v>
      </c>
      <c r="L40" s="192">
        <f>IFERROR(INDEX('[1]SALES PERTYPE'!$F$10:$F$52,MATCH($C40,'[1]SALES PERTYPE'!$B$10:$B$52,0)),0)</f>
        <v>10</v>
      </c>
      <c r="M40" s="192">
        <f>IFERROR(INDEX('[1]Sales per type juli'!$D$10:$BA$51,MATCH($C40,'[1]Sales per type juli'!$B$10:$B$51,0),MATCH("Y11d",'[1]Sales per type juli'!$D$8:$BA$8,0)),0)</f>
        <v>7</v>
      </c>
      <c r="N40" s="192">
        <f>L40-M40</f>
        <v>3</v>
      </c>
      <c r="O40" s="192">
        <f>IFERROR(INDEX('[1]SALES PERTYPE'!$G$10:$G$52,MATCH($C40,'[1]SALES PERTYPE'!$B$10:$B$52,0)),0)</f>
        <v>25590000</v>
      </c>
      <c r="P40" s="192" cm="1">
        <f t="array" ref="P40">IFERROR(INDEX('[1]Sales per type juli'!$D$10:$BA$51,MATCH($C40,'[1]Sales per type juli'!$B$10:$B$51,0),MATCH("Y11d",'[1]Sales per type juli'!$D$8:$BA$8,0)+1),0)</f>
        <v>18793000</v>
      </c>
      <c r="Q40" s="192">
        <f>O40-P40</f>
        <v>6797000</v>
      </c>
      <c r="R40" s="192">
        <f>IFERROR(INDEX('[1]SALES PERTYPE'!$H$10:$H$52,MATCH($C40,'[1]SALES PERTYPE'!$B$10:$B$52,0)),0)</f>
        <v>0</v>
      </c>
      <c r="S40" s="192">
        <f>IFERROR(INDEX('[1]Sales per type juli'!$D$10:$BA$51,MATCH($C40,'[1]Sales per type juli'!$B$10:$B$51,0),MATCH("Watch GT 2",'[1]Sales per type juli'!$D$8:$BA$8,0)),0)</f>
        <v>0</v>
      </c>
      <c r="T40" s="192">
        <f>R40-S40</f>
        <v>0</v>
      </c>
      <c r="U40" s="192">
        <f>IFERROR(INDEX('[1]SALES PERTYPE'!$I$10:$I$52,MATCH($C40,'[1]SALES PERTYPE'!$B$10:$B$52,0)),0)</f>
        <v>0</v>
      </c>
      <c r="V40" s="192" cm="1">
        <f t="array" ref="V40">IFERROR(INDEX('[1]Sales per type juli'!$D$10:$BA$51,MATCH($C40,'[1]Sales per type juli'!$B$10:$B$51,0),MATCH("Watch GT 2",'[1]Sales per type juli'!$D$8:$BA$8,0)+1),0)</f>
        <v>0</v>
      </c>
      <c r="W40" s="192">
        <f>U40-V40</f>
        <v>0</v>
      </c>
      <c r="X40" s="192">
        <f>IFERROR(INDEX('[1]SALES PERTYPE'!$J$10:$J$52,MATCH($C40,'[1]SALES PERTYPE'!$B$10:$B$52,0)),0)</f>
        <v>17</v>
      </c>
      <c r="Y40" s="192">
        <f>IFERROR(INDEX('[1]Sales per type juli'!$D$10:$BA$51,MATCH($C40,'[1]Sales per type juli'!$B$10:$B$51,0),MATCH("Y05e",'[1]Sales per type juli'!$D$8:$BA$8,0)),0)</f>
        <v>0</v>
      </c>
      <c r="Z40" s="192">
        <f>X40-Y40</f>
        <v>17</v>
      </c>
      <c r="AA40" s="192">
        <f>IFERROR(INDEX('[1]SALES PERTYPE'!$K$10:$K$52,MATCH($C40,'[1]SALES PERTYPE'!$B$10:$B$52,0)),0)</f>
        <v>35683000</v>
      </c>
      <c r="AB40" s="192" cm="1">
        <f t="array" ref="AB40">IFERROR(INDEX('[1]Sales per type juli'!$D$10:$BA$51,MATCH($C40,'[1]Sales per type juli'!$B$10:$B$51,0),MATCH("Y05e",'[1]Sales per type juli'!$D$8:$BA$8,0)+1),0)</f>
        <v>0</v>
      </c>
      <c r="AC40" s="192">
        <f>AA40-AB40</f>
        <v>35683000</v>
      </c>
      <c r="AD40" s="192">
        <f>IFERROR(INDEX('[1]SALES PERTYPE'!$L$10:$L$52,MATCH($C40,'[1]SALES PERTYPE'!$B$10:$B$52,0)),0)</f>
        <v>1</v>
      </c>
      <c r="AE40" s="192">
        <f>IFERROR(INDEX('[1]Sales per type juli'!$D$10:$BA$51,MATCH($C40,'[1]Sales per type juli'!$B$10:$B$51,0),MATCH("V70",'[1]Sales per type juli'!$D$8:$BA$8,0)),0)</f>
        <v>2</v>
      </c>
      <c r="AF40" s="192">
        <f>AD40-AE40</f>
        <v>-1</v>
      </c>
      <c r="AG40" s="192">
        <f>IFERROR(INDEX('[1]SALES PERTYPE'!$M$10:$M$52,MATCH($C40,'[1]SALES PERTYPE'!$B$10:$B$52,0)),0)</f>
        <v>8999000</v>
      </c>
      <c r="AH40" s="192" cm="1">
        <f t="array" ref="AH40">IFERROR(INDEX('[1]Sales per type juli'!$D$10:$BA$51,MATCH($C40,'[1]Sales per type juli'!$B$10:$B$51,0),MATCH("V70",'[1]Sales per type juli'!$D$8:$BA$8,0)+1),0)</f>
        <v>19998000</v>
      </c>
      <c r="AI40" s="192">
        <f>AG40-AH40</f>
        <v>-10999000</v>
      </c>
      <c r="AJ40" s="192">
        <f>IFERROR(INDEX('[1]SALES PERTYPE'!$N$10:$N$52,MATCH($C40,'[1]SALES PERTYPE'!$B$10:$B$52,0)),0)</f>
        <v>6</v>
      </c>
      <c r="AK40" s="192">
        <f>IFERROR(INDEX('[1]Sales per type juli'!$D$10:$BA$51,MATCH($C40,'[1]Sales per type juli'!$B$10:$B$51,0),MATCH("Y31d Pro",'[1]Sales per type juli'!$D$8:$BA$8,0)),0)</f>
        <v>6</v>
      </c>
      <c r="AL40" s="192">
        <f>AJ40-AK40</f>
        <v>0</v>
      </c>
      <c r="AM40" s="192">
        <f>IFERROR(INDEX('[1]SALES PERTYPE'!$O$10:$O$52,MATCH($C40,'[1]SALES PERTYPE'!$B$10:$B$52,0)),0)</f>
        <v>28994000</v>
      </c>
      <c r="AN40" s="192" cm="1">
        <f t="array" ref="AN40">IFERROR(INDEX('[1]Sales per type juli'!$D$10:$BA$51,MATCH($C40,'[1]Sales per type juli'!$B$10:$B$51,0),MATCH("Y31d Pro",'[1]Sales per type juli'!$D$8:$BA$8,0)+1),0)</f>
        <v>25794000</v>
      </c>
      <c r="AO40" s="192">
        <f>AM40-AN40</f>
        <v>3200000</v>
      </c>
      <c r="AP40" s="192">
        <f>IFERROR(INDEX('[1]SALES PERTYPE'!$P$10:$P$52,MATCH($C40,'[1]SALES PERTYPE'!$B$10:$B$52,0)),0)</f>
        <v>0</v>
      </c>
      <c r="AQ40" s="192" cm="1">
        <f t="array" ref="AQ40">IFERROR(INDEX('[1]Sales per type juli'!$D$10:$BA$51,MATCH($C40,'[1]Sales per type juli'!$B$10:$B$51,0),$FG$2),0)</f>
        <v>0</v>
      </c>
      <c r="AR40" s="192">
        <f>AP40-AQ40</f>
        <v>0</v>
      </c>
      <c r="AS40" s="192">
        <f>IFERROR(INDEX('[1]SALES PERTYPE'!$Q$10:$Q$52,MATCH($C40,'[1]SALES PERTYPE'!$B$10:$B$52,0)),0)</f>
        <v>0</v>
      </c>
      <c r="AT40" s="192" cm="1">
        <f t="array" ref="AT40">IFERROR(INDEX('[1]Sales per type juli'!$D$10:$BA$51,MATCH($C40,'[1]Sales per type juli'!$B$10:$B$51,0),$FG$2+1),0)</f>
        <v>0</v>
      </c>
      <c r="AU40" s="192">
        <f>AS40-AT40</f>
        <v>0</v>
      </c>
      <c r="AV40" s="192">
        <f>IFERROR(INDEX('[1]SALES PERTYPE'!$R$10:$R$52,MATCH($C40,'[1]SALES PERTYPE'!$B$10:$B$52,0)),0)</f>
        <v>0</v>
      </c>
      <c r="AW40" s="192">
        <f>IFERROR(INDEX('[1]Sales per type juli'!$D$10:$BA$51,MATCH($C40,'[1]Sales per type juli'!$B$10:$B$51,0),MATCH("Y31d ",'[1]Sales per type juli'!$D$8:$BA$8,0)),0)</f>
        <v>0</v>
      </c>
      <c r="AX40" s="192">
        <f>AV40-AW40</f>
        <v>0</v>
      </c>
      <c r="AY40" s="192">
        <f>IFERROR(INDEX('[1]SALES PERTYPE'!$S$10:$S$52,MATCH($C40,'[1]SALES PERTYPE'!$B$10:$B$52,0)),0)</f>
        <v>0</v>
      </c>
      <c r="AZ40" s="192" cm="1">
        <f t="array" ref="AZ40">IFERROR(INDEX('[1]Sales per type juli'!$D$10:$BA$51,MATCH($C40,'[1]Sales per type juli'!$B$10:$B$51,0),MATCH("Y31d ",'[1]Sales per type juli'!$D$8:$BA$8,0)+1),0)</f>
        <v>0</v>
      </c>
      <c r="BA40" s="192">
        <f>AY40-AZ40</f>
        <v>0</v>
      </c>
      <c r="BB40" s="192">
        <f>IFERROR(INDEX('[1]SALES PERTYPE'!$T$10:$T$52,MATCH($C40,'[1]SALES PERTYPE'!$B$10:$B$52,0)),0)</f>
        <v>4</v>
      </c>
      <c r="BC40" s="192">
        <f>IFERROR(INDEX('[1]Sales per type juli'!$D$10:$BA$51,MATCH($C40,'[1]Sales per type juli'!$B$10:$B$51,0),MATCH("V70 FE",'[1]Sales per type juli'!$D$8:$BA$8,0)),0)</f>
        <v>2</v>
      </c>
      <c r="BD40" s="192">
        <f>BB40-BC40</f>
        <v>2</v>
      </c>
      <c r="BE40" s="192">
        <f>IFERROR(INDEX('[1]SALES PERTYPE'!$U$10:$U$52,MATCH($C40,'[1]SALES PERTYPE'!$B$10:$B$52,0)),0)</f>
        <v>28896000</v>
      </c>
      <c r="BF40" s="192" cm="1">
        <f t="array" ref="BF40">IFERROR(INDEX('[1]Sales per type juli'!$D$10:$BA$51,MATCH($C40,'[1]Sales per type juli'!$B$10:$B$51,0),MATCH("V70 FE",'[1]Sales per type juli'!$D$8:$BA$8,0)+1),0)</f>
        <v>13698000</v>
      </c>
      <c r="BG40" s="192">
        <f>BE40-BF40</f>
        <v>15198000</v>
      </c>
      <c r="BH40" s="192">
        <f>IFERROR(INDEX('[1]SALES PERTYPE'!$V$10:$V$52,MATCH($C40,'[1]SALES PERTYPE'!$B$10:$B$52,0)),0)</f>
        <v>0</v>
      </c>
      <c r="BI40" s="192">
        <f>IFERROR(INDEX('[1]Sales per type juli'!$D$10:$BA$51,MATCH($C40,'[1]Sales per type juli'!$B$10:$B$51,0),MATCH("Y31d",'[1]Sales per type juli'!$D$8:$BA$8,0)),0)</f>
        <v>1</v>
      </c>
      <c r="BJ40" s="192">
        <f>BH40-BI40</f>
        <v>-1</v>
      </c>
      <c r="BK40" s="192">
        <f>IFERROR(INDEX('[1]SALES PERTYPE'!$W$10:$W$52,MATCH($C40,'[1]SALES PERTYPE'!$B$10:$B$52,0)),0)</f>
        <v>0</v>
      </c>
      <c r="BL40" s="192" cm="1">
        <f t="array" ref="BL40">IFERROR(INDEX('[1]Sales per type juli'!$D$10:$BA$51,MATCH($C40,'[1]Sales per type juli'!$B$10:$B$51,0),MATCH("Y31d",'[1]Sales per type juli'!$D$8:$BA$8,0)+1),0)</f>
        <v>3599000</v>
      </c>
      <c r="BM40" s="192">
        <f>BK40-BL40</f>
        <v>-3599000</v>
      </c>
      <c r="BN40" s="192">
        <f>IFERROR(INDEX('[1]SALES PERTYPE'!$X$10:$X$52,MATCH($C40,'[1]SALES PERTYPE'!$B$10:$B$52,0)),0)</f>
        <v>1</v>
      </c>
      <c r="BO40" s="192">
        <f>IFERROR(INDEX('[1]Sales per type juli'!$D$10:$BA$51,MATCH($C40,'[1]Sales per type juli'!$B$10:$B$51,0),MATCH("Y500",'[1]Sales per type juli'!$D$8:$BA$8,0)),0)</f>
        <v>0</v>
      </c>
      <c r="BP40" s="192">
        <f>BN40-BO40</f>
        <v>1</v>
      </c>
      <c r="BQ40" s="192">
        <f>IFERROR(INDEX('[1]SALES PERTYPE'!$Y$10:$Y$52,MATCH($C40,'[1]SALES PERTYPE'!$B$10:$B$52,0)),0)</f>
        <v>5499000</v>
      </c>
      <c r="BR40" s="192" cm="1">
        <f t="array" ref="BR40">IFERROR(INDEX('[1]Sales per type juli'!$D$10:$BA$51,MATCH($C40,'[1]Sales per type juli'!$B$10:$B$51,0),MATCH("Y500",'[1]Sales per type juli'!$D$8:$BA$8,0)+1),0)</f>
        <v>0</v>
      </c>
      <c r="BS40" s="192">
        <f>BQ40-BR40</f>
        <v>5499000</v>
      </c>
      <c r="BT40" s="192">
        <f>IFERROR(INDEX('[1]SALES PERTYPE'!$Z$10:$Z$52,MATCH($C40,'[1]SALES PERTYPE'!$B$10:$B$52,0)),0)</f>
        <v>1</v>
      </c>
      <c r="BU40" s="192">
        <f>IFERROR(INDEX('[1]Sales per type juli'!$D$10:$BA$51,MATCH($C40,'[1]Sales per type juli'!$B$10:$B$51,0),MATCH("IQOO 15R",'[1]Sales per type juli'!$D$8:$BA$8,0)),0)</f>
        <v>0</v>
      </c>
      <c r="BV40" s="192">
        <f>BT40-BU40</f>
        <v>1</v>
      </c>
      <c r="BW40" s="192">
        <f>IFERROR(INDEX('[1]SALES PERTYPE'!$AA$10:$AA$52,MATCH($C40,'[1]SALES PERTYPE'!$B$10:$B$52,0)),0)</f>
        <v>11999000</v>
      </c>
      <c r="BX40" s="192" cm="1">
        <f t="array" ref="BX40">IFERROR(INDEX('[1]Sales per type juli'!$D$10:$BA$51,MATCH($C40,'[1]Sales per type juli'!$B$10:$B$51,0),MATCH("IQOO 15R",'[1]Sales per type juli'!$D$8:$BA$8,0)+1),0)</f>
        <v>0</v>
      </c>
      <c r="BY40" s="192">
        <f>BW40-BX40</f>
        <v>11999000</v>
      </c>
      <c r="BZ40" s="192">
        <f>IFERROR(INDEX('[1]SALES PERTYPE'!$AB$10:$AB$52,MATCH($C40,'[1]SALES PERTYPE'!$B$10:$B$52,0)),0)</f>
        <v>1</v>
      </c>
      <c r="CA40" s="192">
        <f>IFERROR(INDEX('[1]Sales per type juli'!$D$10:$BA$51,MATCH($C40,'[1]Sales per type juli'!$B$10:$B$51,0),MATCH("V60 Lite",'[1]Sales per type juli'!$D$8:$BA$8,0)),0)</f>
        <v>1</v>
      </c>
      <c r="CB40" s="192">
        <f>BZ40-CA40</f>
        <v>0</v>
      </c>
      <c r="CC40" s="192">
        <f>IFERROR(INDEX('[1]SALES PERTYPE'!$AC$10:$AC$52,MATCH($C40,'[1]SALES PERTYPE'!$B$10:$B$52,0)),0)</f>
        <v>5899000</v>
      </c>
      <c r="CD40" s="192" cm="1">
        <f t="array" ref="CD40">IFERROR(INDEX('[1]Sales per type juli'!$D$10:$BA$51,MATCH($C40,'[1]Sales per type juli'!$B$10:$B$51,0),MATCH("V60 Lite",'[1]Sales per type juli'!$D$8:$BA$8,0)+1),0)</f>
        <v>5299000</v>
      </c>
      <c r="CE40" s="192">
        <f>CC40-CD40</f>
        <v>600000</v>
      </c>
      <c r="CF40" s="192">
        <f>IFERROR(INDEX('[1]SALES PERTYPE'!$AD$10:$AD$52,MATCH($C40,'[1]SALES PERTYPE'!$B$10:$B$52,0)),0)</f>
        <v>0</v>
      </c>
      <c r="CG40" s="192">
        <f>IFERROR(INDEX('[1]Sales per type juli'!$D$10:$BA$51,MATCH($C40,'[1]Sales per type juli'!$B$10:$B$51,0),MATCH("X300 Ultra",'[1]Sales per type juli'!$D$8:$BA$8,0)),0)</f>
        <v>0</v>
      </c>
      <c r="CH40" s="192">
        <f>CF40-CG40</f>
        <v>0</v>
      </c>
      <c r="CI40" s="192">
        <f>IFERROR(INDEX('[1]SALES PERTYPE'!$AE$10:$AE$52,MATCH($C40,'[1]SALES PERTYPE'!$B$10:$B$52,0)),0)</f>
        <v>0</v>
      </c>
      <c r="CJ40" s="192" cm="1">
        <f t="array" ref="CJ40">IFERROR(INDEX('[1]Sales per type juli'!$D$10:$BA$51,MATCH($C40,'[1]Sales per type juli'!$B$10:$B$51,0),MATCH("X300 Ultra",'[1]Sales per type juli'!$D$8:$BA$8,0)+1),0)</f>
        <v>0</v>
      </c>
      <c r="CK40" s="192">
        <f>CI40-CJ40</f>
        <v>0</v>
      </c>
      <c r="CL40" s="192">
        <f>IFERROR(INDEX('[1]SALES PERTYPE'!$AF$10:$AF$52,MATCH($C40,'[1]SALES PERTYPE'!$B$10:$B$52,0)),0)</f>
        <v>0</v>
      </c>
      <c r="CM40" s="192">
        <f>IFERROR(INDEX('[1]Sales per type juli'!$D$10:$BA$51,MATCH($C40,'[1]Sales per type juli'!$B$10:$B$51,0),MATCH("IQOO 15",'[1]Sales per type juli'!$D$8:$BA$8,0)),0)</f>
        <v>0</v>
      </c>
      <c r="CN40" s="192">
        <f>CL40-CM40</f>
        <v>0</v>
      </c>
      <c r="CO40" s="192">
        <f>IFERROR(INDEX('[1]SALES PERTYPE'!$AG$10:$AG$52,MATCH($C40,'[1]SALES PERTYPE'!$B$10:$B$52,0)),0)</f>
        <v>0</v>
      </c>
      <c r="CP40" s="192" cm="1">
        <f t="array" ref="CP40">IFERROR(INDEX('[1]Sales per type juli'!$D$10:$BA$51,MATCH($C40,'[1]Sales per type juli'!$B$10:$B$51,0),MATCH("IQOO 15",'[1]Sales per type juli'!$D$8:$BA$8,0)+1),0)</f>
        <v>0</v>
      </c>
      <c r="CQ40" s="192">
        <f>CO40-CP40</f>
        <v>0</v>
      </c>
      <c r="CR40" s="192">
        <f>IFERROR(INDEX('[1]SALES PERTYPE'!$AH$10:$AH$52,MATCH($C40,'[1]SALES PERTYPE'!$B$10:$B$52,0)),0)</f>
        <v>1</v>
      </c>
      <c r="CS40" s="192">
        <f>IFERROR(INDEX('[1]Sales per type juli'!$D$10:$BA$51,MATCH($C40,'[1]Sales per type juli'!$B$10:$B$51,0),MATCH("IQOO Z11x",'[1]Sales per type juli'!$D$8:$BA$8,0)),0)</f>
        <v>3</v>
      </c>
      <c r="CT40" s="192">
        <f>CR40-CS40</f>
        <v>-2</v>
      </c>
      <c r="CU40" s="192">
        <f>IFERROR(INDEX('[1]SALES PERTYPE'!$AI$10:$AI$52,MATCH($C40,'[1]SALES PERTYPE'!$B$10:$B$52,0)),0)</f>
        <v>5699000</v>
      </c>
      <c r="CV40" s="192" cm="1">
        <f t="array" ref="CV40">IFERROR(INDEX('[1]Sales per type juli'!$D$10:$BA$51,MATCH($C40,'[1]Sales per type juli'!$B$10:$B$51,0),MATCH("IQOO Z11x",'[1]Sales per type juli'!$D$8:$BA$8,0)+1),0)</f>
        <v>14397000</v>
      </c>
      <c r="CW40" s="192">
        <f>CU40-CV40</f>
        <v>-8698000</v>
      </c>
      <c r="CX40" s="192">
        <f>IFERROR(INDEX('[1]SALES PERTYPE'!$AJ$10:$AJ$52,MATCH($C40,'[1]SALES PERTYPE'!$B$10:$B$52,0)),0)</f>
        <v>0</v>
      </c>
      <c r="CY40" s="192">
        <f>IFERROR(INDEX('[1]Sales per type juli'!$D$10:$BA$51,MATCH($C40,'[1]Sales per type juli'!$B$10:$B$51,0),MATCH("IQOO Z11",'[1]Sales per type juli'!$D$8:$BA$8,0)),0)</f>
        <v>3</v>
      </c>
      <c r="CZ40" s="192">
        <f>CX40-CY40</f>
        <v>-3</v>
      </c>
      <c r="DA40" s="192">
        <f>IFERROR(INDEX('[1]SALES PERTYPE'!$AK$10:$AK$52,MATCH($C40,'[1]SALES PERTYPE'!$B$10:$B$52,0)),0)</f>
        <v>0</v>
      </c>
      <c r="DB40" s="192" cm="1">
        <f t="array" ref="DB40">IFERROR(INDEX('[1]Sales per type juli'!$D$10:$BA$51,MATCH($C40,'[1]Sales per type juli'!$B$10:$B$51,0),MATCH("IQOO Z11",'[1]Sales per type juli'!$D$8:$BA$8,0)+1),0)</f>
        <v>17097000</v>
      </c>
      <c r="DC40" s="192">
        <f>DA40-DB40</f>
        <v>-17097000</v>
      </c>
      <c r="DD40" s="192">
        <v>0</v>
      </c>
      <c r="DE40" s="192">
        <f>IFERROR(INDEX('[1]Sales per type juli'!$D$10:$BA$51,MATCH($C40,'[1]Sales per type juli'!$B$10:$B$51,0),MATCH("WATCH 3",'[1]Sales per type juli'!$D$8:$BA$8,0)),0)</f>
        <v>0</v>
      </c>
      <c r="DF40" s="192">
        <f>DD40-DE40</f>
        <v>0</v>
      </c>
      <c r="DG40" s="192">
        <v>0</v>
      </c>
      <c r="DH40" s="192" cm="1">
        <f t="array" ref="DH40">IFERROR(INDEX('[1]Sales per type juli'!$D$10:$BA$51,MATCH($C40,'[1]Sales per type juli'!$B$10:$B$51,0),MATCH("WATCH 3",'[1]Sales per type juli'!$D$8:$BA$8,0)+1),0)</f>
        <v>0</v>
      </c>
      <c r="DI40" s="192">
        <f>DG40-DH40</f>
        <v>0</v>
      </c>
      <c r="DJ40" s="192">
        <v>0</v>
      </c>
      <c r="DK40" s="192">
        <f>IFERROR(INDEX('[1]Sales per type juli'!$D$10:$BA$51,MATCH($C40,'[1]Sales per type juli'!$B$10:$B$51,0),MATCH("X300 Demo",'[1]Sales per type juli'!$D$8:$BA$8,0)),0)</f>
        <v>0</v>
      </c>
      <c r="DL40" s="192">
        <f>DJ40-DK40</f>
        <v>0</v>
      </c>
      <c r="DM40" s="192">
        <v>0</v>
      </c>
      <c r="DN40" s="192" cm="1">
        <f t="array" ref="DN40">IFERROR(INDEX('[1]Sales per type juli'!$D$10:$BA$51,MATCH($C40,'[1]Sales per type juli'!$B$10:$B$51,0),MATCH("X300 Demo",'[1]Sales per type juli'!$D$8:$BA$8,0)+1),0)</f>
        <v>0</v>
      </c>
      <c r="DO40" s="192">
        <f>DM40-DN40</f>
        <v>0</v>
      </c>
      <c r="DP40" s="192">
        <v>0</v>
      </c>
      <c r="DQ40" s="192">
        <f>IFERROR(INDEX('[1]Sales per type juli'!$D$10:$BA$51,MATCH($C40,'[1]Sales per type juli'!$B$10:$B$51,0),MATCH("X300 Pro Demo",'[1]Sales per type juli'!$D$8:$BA$8,0)),0)</f>
        <v>0</v>
      </c>
      <c r="DR40" s="192">
        <f>DP40-DQ40</f>
        <v>0</v>
      </c>
      <c r="DS40" s="192">
        <v>0</v>
      </c>
      <c r="DT40" s="192" cm="1">
        <f t="array" ref="DT40">IFERROR(INDEX('[1]Sales per type juli'!$D$10:$BA$51,MATCH($C40,'[1]Sales per type juli'!$B$10:$B$51,0),MATCH("X300 Pro Demo",'[1]Sales per type juli'!$D$8:$BA$8,0)+1),0)</f>
        <v>0</v>
      </c>
      <c r="DU40" s="192">
        <f>DS40-DT40</f>
        <v>0</v>
      </c>
      <c r="DV40" s="192">
        <v>0</v>
      </c>
      <c r="DW40" s="192">
        <f>IFERROR(INDEX('[1]Sales per type juli'!$D$10:$BA$51,MATCH($C40,'[1]Sales per type juli'!$B$10:$B$51,0),MATCH("X Fold5 DEMO",'[1]Sales per type juli'!$D$8:$BA$8,0)),0)</f>
        <v>0</v>
      </c>
      <c r="DX40" s="192">
        <f>DV40-DW40</f>
        <v>0</v>
      </c>
      <c r="DY40" s="192">
        <v>0</v>
      </c>
      <c r="DZ40" s="192" cm="1">
        <f t="array" ref="DZ40">IFERROR(INDEX('[1]Sales per type juli'!$D$10:$BA$51,MATCH($C40,'[1]Sales per type juli'!$B$10:$B$51,0),MATCH("X Fold5 DEMO",'[1]Sales per type juli'!$D$8:$BA$8,0)+1),0)</f>
        <v>0</v>
      </c>
      <c r="EA40" s="192">
        <f>DY40-DZ40</f>
        <v>0</v>
      </c>
      <c r="EB40" s="192">
        <v>0</v>
      </c>
      <c r="EC40" s="192">
        <f>IFERROR(INDEX('[1]Sales per type juli'!$D$10:$BA$51,MATCH($C40,'[1]Sales per type juli'!$B$10:$B$51,0),MATCH("X Fold5",'[1]Sales per type juli'!$D$8:$BA$8,0)),0)</f>
        <v>0</v>
      </c>
      <c r="ED40" s="192">
        <f>EB40-EC40</f>
        <v>0</v>
      </c>
      <c r="EE40" s="192">
        <v>0</v>
      </c>
      <c r="EF40" s="192" cm="1">
        <f t="array" ref="EF40">IFERROR(INDEX('[1]Sales per type juli'!$D$10:$BA$51,MATCH($C40,'[1]Sales per type juli'!$B$10:$B$51,0),MATCH("X Fold5",'[1]Sales per type juli'!$D$8:$BA$8,0)+1),0)</f>
        <v>0</v>
      </c>
      <c r="EG40" s="192">
        <f>EE40-EF40</f>
        <v>0</v>
      </c>
      <c r="EH40" s="192">
        <v>0</v>
      </c>
      <c r="EI40" s="192">
        <f>IFERROR(INDEX('[1]Sales per type juli'!$D$10:$BA$51,MATCH($C40,'[1]Sales per type juli'!$B$10:$B$51,0),MATCH("IQOO 15 Demo",'[1]Sales per type juli'!$D$8:$BA$8,0)),0)</f>
        <v>0</v>
      </c>
      <c r="EJ40" s="192">
        <f>EH40-EI40</f>
        <v>0</v>
      </c>
      <c r="EK40" s="192">
        <v>0</v>
      </c>
      <c r="EL40" s="192" cm="1">
        <f t="array" ref="EL40">IFERROR(INDEX('[1]Sales per type juli'!$D$10:$BA$51,MATCH($C40,'[1]Sales per type juli'!$B$10:$B$51,0),MATCH("IQOO 15 Demo",'[1]Sales per type juli'!$D$8:$BA$8,0)+1),0)</f>
        <v>0</v>
      </c>
      <c r="EM40" s="192">
        <f>EK40-EL40</f>
        <v>0</v>
      </c>
      <c r="EN40" s="192">
        <v>0</v>
      </c>
      <c r="EO40" s="192">
        <f>IFERROR(INDEX('[1]Sales per type juli'!$D$10:$BA$51,MATCH($C40,'[1]Sales per type juli'!$B$10:$B$51,0),MATCH("X300 PRO",'[1]Sales per type juli'!$D$8:$BA$8,0)),0)</f>
        <v>0</v>
      </c>
      <c r="EP40" s="192">
        <f>EN40-EO40</f>
        <v>0</v>
      </c>
      <c r="EQ40" s="192">
        <v>0</v>
      </c>
      <c r="ER40" s="192" cm="1">
        <f t="array" ref="ER40">IFERROR(INDEX('[1]Sales per type juli'!$D$10:$BA$51,MATCH($C40,'[1]Sales per type juli'!$B$10:$B$51,0),MATCH("X300 PRO",'[1]Sales per type juli'!$D$8:$BA$8,0)+1),0)</f>
        <v>0</v>
      </c>
      <c r="ES40" s="192">
        <f>EQ40-ER40</f>
        <v>0</v>
      </c>
      <c r="ET40" s="192">
        <v>0</v>
      </c>
      <c r="EU40" s="192">
        <f>IFERROR(INDEX('[1]Sales per type juli'!$D$10:$BA$51,MATCH($C40,'[1]Sales per type juli'!$B$10:$B$51,0),MATCH("X300 ",'[1]Sales per type juli'!$D$8:$BA$8,0)),0)</f>
        <v>0</v>
      </c>
      <c r="EV40" s="192">
        <f>ET40-EU40</f>
        <v>0</v>
      </c>
      <c r="EW40" s="192">
        <v>0</v>
      </c>
      <c r="EX40" s="192" cm="1">
        <f t="array" ref="EX40">IFERROR(INDEX('[1]Sales per type juli'!$D$10:$BA$51,MATCH($C40,'[1]Sales per type juli'!$B$10:$B$51,0),MATCH("X300 ",'[1]Sales per type juli'!$D$8:$BA$8,0)+1),0)</f>
        <v>0</v>
      </c>
      <c r="EY40" s="192">
        <f>EW40-EX40</f>
        <v>0</v>
      </c>
      <c r="EZ40" s="192">
        <f>F40+L40+R40+X40+AD40+AJ40+AP40+AV40+BB40+BH40+BN40+BT40+BZ40+CF40+CL40+CR40+CX40+DD40+DJ40+DP40+DV40+EB40+EH40+EN40+ET40</f>
        <v>46</v>
      </c>
      <c r="FA40" s="192">
        <f>G40+M40+S40+Y40+AE40+AK40+AQ40+AW40+BC40+BI40+BO40+BU40+CA40+CG40+CM40+CS40+CY40+DE40+DK40+DQ40+DW40+EC40+EI40+EO40+EU40</f>
        <v>43</v>
      </c>
      <c r="FB40" s="192">
        <f>EZ40-FA40</f>
        <v>3</v>
      </c>
      <c r="FC40" s="192">
        <f>I40+O40+U40+AA40+AG40+AM40+AS40+AY40+BE40+BK40+BQ40+BW40+CC40+CI40+CO40+CU40+DA40+DG40+DM40+DS40+DY40+EE40+EK40+EQ40+EW40</f>
        <v>167054000</v>
      </c>
      <c r="FD40" s="192">
        <f>J40+P40+V40+AB40+AH40+AN40+AT40+AZ40+BF40+BL40+BR40+BX40+CD40+CJ40+CP40+CV40+DB40+DH40+DN40+DT40+DZ40+EF40+EL40+ER40+EX40</f>
        <v>158857000</v>
      </c>
      <c r="FE40" s="192">
        <f>FC40-FD40</f>
        <v>8197000</v>
      </c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</row>
    <row r="41" spans="1:208" ht="16" x14ac:dyDescent="0.2">
      <c r="A41" s="137">
        <f>'[1]ACHIEVEMENT STORE'!A41</f>
        <v>37</v>
      </c>
      <c r="B41" s="138" t="str">
        <f>'[1]ACHIEVEMENT STORE'!B41</f>
        <v>619-万隆市区BDG KOTA</v>
      </c>
      <c r="C41" s="137">
        <f>'[1]ACHIEVEMENT STORE'!C41</f>
        <v>6190707</v>
      </c>
      <c r="D41" s="138" t="str">
        <f>'[1]ACHIEVEMENT STORE'!D41</f>
        <v>A300202-VIVO STORE LU</v>
      </c>
      <c r="E41" s="138" t="str">
        <f>'[1]ACHIEVEMENT STORE'!E41</f>
        <v>NENG TOTOH</v>
      </c>
      <c r="F41" s="192">
        <f>IFERROR(INDEX('[1]SALES PERTYPE'!$D$10:$D$52,MATCH($C41,'[1]SALES PERTYPE'!$B$10:$B$52,0)),0)</f>
        <v>13</v>
      </c>
      <c r="G41" s="192">
        <f>IFERROR(INDEX('[1]Sales per type juli'!$D$10:$BA$51,MATCH($C41,'[1]Sales per type juli'!$B$10:$B$51,0),MATCH("Y05",'[1]Sales per type juli'!$D$8:$BA$8,0)),0)</f>
        <v>28</v>
      </c>
      <c r="H41" s="192">
        <f>F41-G41</f>
        <v>-15</v>
      </c>
      <c r="I41" s="192">
        <f>IFERROR(INDEX('[1]SALES PERTYPE'!$E$10:$E$52,MATCH($C41,'[1]SALES PERTYPE'!$B$10:$B$52,0)),0)</f>
        <v>31687000</v>
      </c>
      <c r="J41" s="192" cm="1">
        <f t="array" ref="J41">IFERROR(INDEX('[1]Sales per type juli'!$D$10:$BA$51,MATCH($C41,'[1]Sales per type juli'!$B$10:$B$51,0),MATCH("Y05",'[1]Sales per type juli'!$D$8:$BA$8,0)+1),0)</f>
        <v>60572000</v>
      </c>
      <c r="K41" s="192">
        <f>I41-J41</f>
        <v>-28885000</v>
      </c>
      <c r="L41" s="192">
        <f>IFERROR(INDEX('[1]SALES PERTYPE'!$F$10:$F$52,MATCH($C41,'[1]SALES PERTYPE'!$B$10:$B$52,0)),0)</f>
        <v>13</v>
      </c>
      <c r="M41" s="192">
        <f>IFERROR(INDEX('[1]Sales per type juli'!$D$10:$BA$51,MATCH($C41,'[1]Sales per type juli'!$B$10:$B$51,0),MATCH("Y11d",'[1]Sales per type juli'!$D$8:$BA$8,0)),0)</f>
        <v>14</v>
      </c>
      <c r="N41" s="192">
        <f>L41-M41</f>
        <v>-1</v>
      </c>
      <c r="O41" s="192">
        <f>IFERROR(INDEX('[1]SALES PERTYPE'!$G$10:$G$52,MATCH($C41,'[1]SALES PERTYPE'!$B$10:$B$52,0)),0)</f>
        <v>34787000</v>
      </c>
      <c r="P41" s="192" cm="1">
        <f t="array" ref="P41">IFERROR(INDEX('[1]Sales per type juli'!$D$10:$BA$51,MATCH($C41,'[1]Sales per type juli'!$B$10:$B$51,0),MATCH("Y11d",'[1]Sales per type juli'!$D$8:$BA$8,0)+1),0)</f>
        <v>38386000</v>
      </c>
      <c r="Q41" s="192">
        <f>O41-P41</f>
        <v>-3599000</v>
      </c>
      <c r="R41" s="192">
        <f>IFERROR(INDEX('[1]SALES PERTYPE'!$H$10:$H$52,MATCH($C41,'[1]SALES PERTYPE'!$B$10:$B$52,0)),0)</f>
        <v>0</v>
      </c>
      <c r="S41" s="192">
        <f>IFERROR(INDEX('[1]Sales per type juli'!$D$10:$BA$51,MATCH($C41,'[1]Sales per type juli'!$B$10:$B$51,0),MATCH("Watch GT 2",'[1]Sales per type juli'!$D$8:$BA$8,0)),0)</f>
        <v>0</v>
      </c>
      <c r="T41" s="192">
        <f>R41-S41</f>
        <v>0</v>
      </c>
      <c r="U41" s="192">
        <f>IFERROR(INDEX('[1]SALES PERTYPE'!$I$10:$I$52,MATCH($C41,'[1]SALES PERTYPE'!$B$10:$B$52,0)),0)</f>
        <v>0</v>
      </c>
      <c r="V41" s="192" cm="1">
        <f t="array" ref="V41">IFERROR(INDEX('[1]Sales per type juli'!$D$10:$BA$51,MATCH($C41,'[1]Sales per type juli'!$B$10:$B$51,0),MATCH("Watch GT 2",'[1]Sales per type juli'!$D$8:$BA$8,0)+1),0)</f>
        <v>0</v>
      </c>
      <c r="W41" s="192">
        <f>U41-V41</f>
        <v>0</v>
      </c>
      <c r="X41" s="192">
        <f>IFERROR(INDEX('[1]SALES PERTYPE'!$J$10:$J$52,MATCH($C41,'[1]SALES PERTYPE'!$B$10:$B$52,0)),0)</f>
        <v>5</v>
      </c>
      <c r="Y41" s="192">
        <f>IFERROR(INDEX('[1]Sales per type juli'!$D$10:$BA$51,MATCH($C41,'[1]Sales per type juli'!$B$10:$B$51,0),MATCH("Y05e",'[1]Sales per type juli'!$D$8:$BA$8,0)),0)</f>
        <v>0</v>
      </c>
      <c r="Z41" s="192">
        <f>X41-Y41</f>
        <v>5</v>
      </c>
      <c r="AA41" s="192">
        <f>IFERROR(INDEX('[1]SALES PERTYPE'!$K$10:$K$52,MATCH($C41,'[1]SALES PERTYPE'!$B$10:$B$52,0)),0)</f>
        <v>10495000</v>
      </c>
      <c r="AB41" s="192" cm="1">
        <f t="array" ref="AB41">IFERROR(INDEX('[1]Sales per type juli'!$D$10:$BA$51,MATCH($C41,'[1]Sales per type juli'!$B$10:$B$51,0),MATCH("Y05e",'[1]Sales per type juli'!$D$8:$BA$8,0)+1),0)</f>
        <v>0</v>
      </c>
      <c r="AC41" s="192">
        <f>AA41-AB41</f>
        <v>10495000</v>
      </c>
      <c r="AD41" s="192">
        <f>IFERROR(INDEX('[1]SALES PERTYPE'!$L$10:$L$52,MATCH($C41,'[1]SALES PERTYPE'!$B$10:$B$52,0)),0)</f>
        <v>1</v>
      </c>
      <c r="AE41" s="192">
        <f>IFERROR(INDEX('[1]Sales per type juli'!$D$10:$BA$51,MATCH($C41,'[1]Sales per type juli'!$B$10:$B$51,0),MATCH("V70",'[1]Sales per type juli'!$D$8:$BA$8,0)),0)</f>
        <v>3</v>
      </c>
      <c r="AF41" s="192">
        <f>AD41-AE41</f>
        <v>-2</v>
      </c>
      <c r="AG41" s="192">
        <f>IFERROR(INDEX('[1]SALES PERTYPE'!$M$10:$M$52,MATCH($C41,'[1]SALES PERTYPE'!$B$10:$B$52,0)),0)</f>
        <v>9999000</v>
      </c>
      <c r="AH41" s="192" cm="1">
        <f t="array" ref="AH41">IFERROR(INDEX('[1]Sales per type juli'!$D$10:$BA$51,MATCH($C41,'[1]Sales per type juli'!$B$10:$B$51,0),MATCH("V70",'[1]Sales per type juli'!$D$8:$BA$8,0)+1),0)</f>
        <v>28997000</v>
      </c>
      <c r="AI41" s="192">
        <f>AG41-AH41</f>
        <v>-18998000</v>
      </c>
      <c r="AJ41" s="192">
        <f>IFERROR(INDEX('[1]SALES PERTYPE'!$N$10:$N$52,MATCH($C41,'[1]SALES PERTYPE'!$B$10:$B$52,0)),0)</f>
        <v>8</v>
      </c>
      <c r="AK41" s="192">
        <f>IFERROR(INDEX('[1]Sales per type juli'!$D$10:$BA$51,MATCH($C41,'[1]Sales per type juli'!$B$10:$B$51,0),MATCH("Y31d Pro",'[1]Sales per type juli'!$D$8:$BA$8,0)),0)</f>
        <v>2</v>
      </c>
      <c r="AL41" s="192">
        <f>AJ41-AK41</f>
        <v>6</v>
      </c>
      <c r="AM41" s="192">
        <f>IFERROR(INDEX('[1]SALES PERTYPE'!$O$10:$O$52,MATCH($C41,'[1]SALES PERTYPE'!$B$10:$B$52,0)),0)</f>
        <v>38992000</v>
      </c>
      <c r="AN41" s="192" cm="1">
        <f t="array" ref="AN41">IFERROR(INDEX('[1]Sales per type juli'!$D$10:$BA$51,MATCH($C41,'[1]Sales per type juli'!$B$10:$B$51,0),MATCH("Y31d Pro",'[1]Sales per type juli'!$D$8:$BA$8,0)+1),0)</f>
        <v>9798000</v>
      </c>
      <c r="AO41" s="192">
        <f>AM41-AN41</f>
        <v>29194000</v>
      </c>
      <c r="AP41" s="192">
        <f>IFERROR(INDEX('[1]SALES PERTYPE'!$P$10:$P$52,MATCH($C41,'[1]SALES PERTYPE'!$B$10:$B$52,0)),0)</f>
        <v>0</v>
      </c>
      <c r="AQ41" s="192" cm="1">
        <f t="array" ref="AQ41">IFERROR(INDEX('[1]Sales per type juli'!$D$10:$BA$51,MATCH($C41,'[1]Sales per type juli'!$B$10:$B$51,0),$FG$2),0)</f>
        <v>1</v>
      </c>
      <c r="AR41" s="192">
        <f>AP41-AQ41</f>
        <v>-1</v>
      </c>
      <c r="AS41" s="192">
        <f>IFERROR(INDEX('[1]SALES PERTYPE'!$Q$10:$Q$52,MATCH($C41,'[1]SALES PERTYPE'!$B$10:$B$52,0)),0)</f>
        <v>0</v>
      </c>
      <c r="AT41" s="192" cm="1">
        <f t="array" ref="AT41">IFERROR(INDEX('[1]Sales per type juli'!$D$10:$BA$51,MATCH($C41,'[1]Sales per type juli'!$B$10:$B$51,0),$FG$2+1),0)</f>
        <v>3599000</v>
      </c>
      <c r="AU41" s="192">
        <f>AS41-AT41</f>
        <v>-3599000</v>
      </c>
      <c r="AV41" s="192">
        <f>IFERROR(INDEX('[1]SALES PERTYPE'!$R$10:$R$52,MATCH($C41,'[1]SALES PERTYPE'!$B$10:$B$52,0)),0)</f>
        <v>0</v>
      </c>
      <c r="AW41" s="192">
        <f>IFERROR(INDEX('[1]Sales per type juli'!$D$10:$BA$51,MATCH($C41,'[1]Sales per type juli'!$B$10:$B$51,0),MATCH("Y31d ",'[1]Sales per type juli'!$D$8:$BA$8,0)),0)</f>
        <v>1</v>
      </c>
      <c r="AX41" s="192">
        <f>AV41-AW41</f>
        <v>-1</v>
      </c>
      <c r="AY41" s="192">
        <f>IFERROR(INDEX('[1]SALES PERTYPE'!$S$10:$S$52,MATCH($C41,'[1]SALES PERTYPE'!$B$10:$B$52,0)),0)</f>
        <v>0</v>
      </c>
      <c r="AZ41" s="192" cm="1">
        <f t="array" ref="AZ41">IFERROR(INDEX('[1]Sales per type juli'!$D$10:$BA$51,MATCH($C41,'[1]Sales per type juli'!$B$10:$B$51,0),MATCH("Y31d ",'[1]Sales per type juli'!$D$8:$BA$8,0)+1),0)</f>
        <v>3599000</v>
      </c>
      <c r="BA41" s="192">
        <f>AY41-AZ41</f>
        <v>-3599000</v>
      </c>
      <c r="BB41" s="192">
        <f>IFERROR(INDEX('[1]SALES PERTYPE'!$T$10:$T$52,MATCH($C41,'[1]SALES PERTYPE'!$B$10:$B$52,0)),0)</f>
        <v>1</v>
      </c>
      <c r="BC41" s="192">
        <f>IFERROR(INDEX('[1]Sales per type juli'!$D$10:$BA$51,MATCH($C41,'[1]Sales per type juli'!$B$10:$B$51,0),MATCH("V70 FE",'[1]Sales per type juli'!$D$8:$BA$8,0)),0)</f>
        <v>9</v>
      </c>
      <c r="BD41" s="192">
        <f>BB41-BC41</f>
        <v>-8</v>
      </c>
      <c r="BE41" s="192">
        <f>IFERROR(INDEX('[1]SALES PERTYPE'!$U$10:$U$52,MATCH($C41,'[1]SALES PERTYPE'!$B$10:$B$52,0)),0)</f>
        <v>7999000</v>
      </c>
      <c r="BF41" s="192" cm="1">
        <f t="array" ref="BF41">IFERROR(INDEX('[1]Sales per type juli'!$D$10:$BA$51,MATCH($C41,'[1]Sales per type juli'!$B$10:$B$51,0),MATCH("V70 FE",'[1]Sales per type juli'!$D$8:$BA$8,0)+1),0)</f>
        <v>59191000</v>
      </c>
      <c r="BG41" s="192">
        <f>BE41-BF41</f>
        <v>-51192000</v>
      </c>
      <c r="BH41" s="192">
        <f>IFERROR(INDEX('[1]SALES PERTYPE'!$V$10:$V$52,MATCH($C41,'[1]SALES PERTYPE'!$B$10:$B$52,0)),0)</f>
        <v>0</v>
      </c>
      <c r="BI41" s="192">
        <f>IFERROR(INDEX('[1]Sales per type juli'!$D$10:$BA$51,MATCH($C41,'[1]Sales per type juli'!$B$10:$B$51,0),MATCH("Y31d",'[1]Sales per type juli'!$D$8:$BA$8,0)),0)</f>
        <v>1</v>
      </c>
      <c r="BJ41" s="192">
        <f>BH41-BI41</f>
        <v>-1</v>
      </c>
      <c r="BK41" s="192">
        <f>IFERROR(INDEX('[1]SALES PERTYPE'!$W$10:$W$52,MATCH($C41,'[1]SALES PERTYPE'!$B$10:$B$52,0)),0)</f>
        <v>0</v>
      </c>
      <c r="BL41" s="192" cm="1">
        <f t="array" ref="BL41">IFERROR(INDEX('[1]Sales per type juli'!$D$10:$BA$51,MATCH($C41,'[1]Sales per type juli'!$B$10:$B$51,0),MATCH("Y31d",'[1]Sales per type juli'!$D$8:$BA$8,0)+1),0)</f>
        <v>3599000</v>
      </c>
      <c r="BM41" s="192">
        <f>BK41-BL41</f>
        <v>-3599000</v>
      </c>
      <c r="BN41" s="192">
        <f>IFERROR(INDEX('[1]SALES PERTYPE'!$X$10:$X$52,MATCH($C41,'[1]SALES PERTYPE'!$B$10:$B$52,0)),0)</f>
        <v>1</v>
      </c>
      <c r="BO41" s="192">
        <f>IFERROR(INDEX('[1]Sales per type juli'!$D$10:$BA$51,MATCH($C41,'[1]Sales per type juli'!$B$10:$B$51,0),MATCH("Y500",'[1]Sales per type juli'!$D$8:$BA$8,0)),0)</f>
        <v>0</v>
      </c>
      <c r="BP41" s="192">
        <f>BN41-BO41</f>
        <v>1</v>
      </c>
      <c r="BQ41" s="192">
        <f>IFERROR(INDEX('[1]SALES PERTYPE'!$Y$10:$Y$52,MATCH($C41,'[1]SALES PERTYPE'!$B$10:$B$52,0)),0)</f>
        <v>5499000</v>
      </c>
      <c r="BR41" s="192" cm="1">
        <f t="array" ref="BR41">IFERROR(INDEX('[1]Sales per type juli'!$D$10:$BA$51,MATCH($C41,'[1]Sales per type juli'!$B$10:$B$51,0),MATCH("Y500",'[1]Sales per type juli'!$D$8:$BA$8,0)+1),0)</f>
        <v>0</v>
      </c>
      <c r="BS41" s="192">
        <f>BQ41-BR41</f>
        <v>5499000</v>
      </c>
      <c r="BT41" s="192">
        <f>IFERROR(INDEX('[1]SALES PERTYPE'!$Z$10:$Z$52,MATCH($C41,'[1]SALES PERTYPE'!$B$10:$B$52,0)),0)</f>
        <v>1</v>
      </c>
      <c r="BU41" s="192">
        <f>IFERROR(INDEX('[1]Sales per type juli'!$D$10:$BA$51,MATCH($C41,'[1]Sales per type juli'!$B$10:$B$51,0),MATCH("IQOO 15R",'[1]Sales per type juli'!$D$8:$BA$8,0)),0)</f>
        <v>1</v>
      </c>
      <c r="BV41" s="192">
        <f>BT41-BU41</f>
        <v>0</v>
      </c>
      <c r="BW41" s="192">
        <f>IFERROR(INDEX('[1]SALES PERTYPE'!$AA$10:$AA$52,MATCH($C41,'[1]SALES PERTYPE'!$B$10:$B$52,0)),0)</f>
        <v>11999000</v>
      </c>
      <c r="BX41" s="192" cm="1">
        <f t="array" ref="BX41">IFERROR(INDEX('[1]Sales per type juli'!$D$10:$BA$51,MATCH($C41,'[1]Sales per type juli'!$B$10:$B$51,0),MATCH("IQOO 15R",'[1]Sales per type juli'!$D$8:$BA$8,0)+1),0)</f>
        <v>9899000</v>
      </c>
      <c r="BY41" s="192">
        <f>BW41-BX41</f>
        <v>2100000</v>
      </c>
      <c r="BZ41" s="192">
        <f>IFERROR(INDEX('[1]SALES PERTYPE'!$AB$10:$AB$52,MATCH($C41,'[1]SALES PERTYPE'!$B$10:$B$52,0)),0)</f>
        <v>2</v>
      </c>
      <c r="CA41" s="192">
        <f>IFERROR(INDEX('[1]Sales per type juli'!$D$10:$BA$51,MATCH($C41,'[1]Sales per type juli'!$B$10:$B$51,0),MATCH("V60 Lite",'[1]Sales per type juli'!$D$8:$BA$8,0)),0)</f>
        <v>2</v>
      </c>
      <c r="CB41" s="192">
        <f>BZ41-CA41</f>
        <v>0</v>
      </c>
      <c r="CC41" s="192">
        <f>IFERROR(INDEX('[1]SALES PERTYPE'!$AC$10:$AC$52,MATCH($C41,'[1]SALES PERTYPE'!$B$10:$B$52,0)),0)</f>
        <v>11198000</v>
      </c>
      <c r="CD41" s="192" cm="1">
        <f t="array" ref="CD41">IFERROR(INDEX('[1]Sales per type juli'!$D$10:$BA$51,MATCH($C41,'[1]Sales per type juli'!$B$10:$B$51,0),MATCH("V60 Lite",'[1]Sales per type juli'!$D$8:$BA$8,0)+1),0)</f>
        <v>10598000</v>
      </c>
      <c r="CE41" s="192">
        <f>CC41-CD41</f>
        <v>600000</v>
      </c>
      <c r="CF41" s="192">
        <f>IFERROR(INDEX('[1]SALES PERTYPE'!$AD$10:$AD$52,MATCH($C41,'[1]SALES PERTYPE'!$B$10:$B$52,0)),0)</f>
        <v>0</v>
      </c>
      <c r="CG41" s="192">
        <f>IFERROR(INDEX('[1]Sales per type juli'!$D$10:$BA$51,MATCH($C41,'[1]Sales per type juli'!$B$10:$B$51,0),MATCH("X300 Ultra",'[1]Sales per type juli'!$D$8:$BA$8,0)),0)</f>
        <v>0</v>
      </c>
      <c r="CH41" s="192">
        <f>CF41-CG41</f>
        <v>0</v>
      </c>
      <c r="CI41" s="192">
        <f>IFERROR(INDEX('[1]SALES PERTYPE'!$AE$10:$AE$52,MATCH($C41,'[1]SALES PERTYPE'!$B$10:$B$52,0)),0)</f>
        <v>0</v>
      </c>
      <c r="CJ41" s="192" cm="1">
        <f t="array" ref="CJ41">IFERROR(INDEX('[1]Sales per type juli'!$D$10:$BA$51,MATCH($C41,'[1]Sales per type juli'!$B$10:$B$51,0),MATCH("X300 Ultra",'[1]Sales per type juli'!$D$8:$BA$8,0)+1),0)</f>
        <v>0</v>
      </c>
      <c r="CK41" s="192">
        <f>CI41-CJ41</f>
        <v>0</v>
      </c>
      <c r="CL41" s="192">
        <f>IFERROR(INDEX('[1]SALES PERTYPE'!$AF$10:$AF$52,MATCH($C41,'[1]SALES PERTYPE'!$B$10:$B$52,0)),0)</f>
        <v>0</v>
      </c>
      <c r="CM41" s="192">
        <f>IFERROR(INDEX('[1]Sales per type juli'!$D$10:$BA$51,MATCH($C41,'[1]Sales per type juli'!$B$10:$B$51,0),MATCH("IQOO 15",'[1]Sales per type juli'!$D$8:$BA$8,0)),0)</f>
        <v>0</v>
      </c>
      <c r="CN41" s="192">
        <f>CL41-CM41</f>
        <v>0</v>
      </c>
      <c r="CO41" s="192">
        <f>IFERROR(INDEX('[1]SALES PERTYPE'!$AG$10:$AG$52,MATCH($C41,'[1]SALES PERTYPE'!$B$10:$B$52,0)),0)</f>
        <v>0</v>
      </c>
      <c r="CP41" s="192" cm="1">
        <f t="array" ref="CP41">IFERROR(INDEX('[1]Sales per type juli'!$D$10:$BA$51,MATCH($C41,'[1]Sales per type juli'!$B$10:$B$51,0),MATCH("IQOO 15",'[1]Sales per type juli'!$D$8:$BA$8,0)+1),0)</f>
        <v>0</v>
      </c>
      <c r="CQ41" s="192">
        <f>CO41-CP41</f>
        <v>0</v>
      </c>
      <c r="CR41" s="192">
        <f>IFERROR(INDEX('[1]SALES PERTYPE'!$AH$10:$AH$52,MATCH($C41,'[1]SALES PERTYPE'!$B$10:$B$52,0)),0)</f>
        <v>1</v>
      </c>
      <c r="CS41" s="192">
        <f>IFERROR(INDEX('[1]Sales per type juli'!$D$10:$BA$51,MATCH($C41,'[1]Sales per type juli'!$B$10:$B$51,0),MATCH("IQOO Z11x",'[1]Sales per type juli'!$D$8:$BA$8,0)),0)</f>
        <v>1</v>
      </c>
      <c r="CT41" s="192">
        <f>CR41-CS41</f>
        <v>0</v>
      </c>
      <c r="CU41" s="192">
        <f>IFERROR(INDEX('[1]SALES PERTYPE'!$AI$10:$AI$52,MATCH($C41,'[1]SALES PERTYPE'!$B$10:$B$52,0)),0)</f>
        <v>5699000</v>
      </c>
      <c r="CV41" s="192" cm="1">
        <f t="array" ref="CV41">IFERROR(INDEX('[1]Sales per type juli'!$D$10:$BA$51,MATCH($C41,'[1]Sales per type juli'!$B$10:$B$51,0),MATCH("IQOO Z11x",'[1]Sales per type juli'!$D$8:$BA$8,0)+1),0)</f>
        <v>4799000</v>
      </c>
      <c r="CW41" s="192">
        <f>CU41-CV41</f>
        <v>900000</v>
      </c>
      <c r="CX41" s="192">
        <f>IFERROR(INDEX('[1]SALES PERTYPE'!$AJ$10:$AJ$52,MATCH($C41,'[1]SALES PERTYPE'!$B$10:$B$52,0)),0)</f>
        <v>2</v>
      </c>
      <c r="CY41" s="192">
        <f>IFERROR(INDEX('[1]Sales per type juli'!$D$10:$BA$51,MATCH($C41,'[1]Sales per type juli'!$B$10:$B$51,0),MATCH("IQOO Z11",'[1]Sales per type juli'!$D$8:$BA$8,0)),0)</f>
        <v>1</v>
      </c>
      <c r="CZ41" s="192">
        <f>CX41-CY41</f>
        <v>1</v>
      </c>
      <c r="DA41" s="192">
        <f>IFERROR(INDEX('[1]SALES PERTYPE'!$AK$10:$AK$52,MATCH($C41,'[1]SALES PERTYPE'!$B$10:$B$52,0)),0)</f>
        <v>13798000</v>
      </c>
      <c r="DB41" s="192" cm="1">
        <f t="array" ref="DB41">IFERROR(INDEX('[1]Sales per type juli'!$D$10:$BA$51,MATCH($C41,'[1]Sales per type juli'!$B$10:$B$51,0),MATCH("IQOO Z11",'[1]Sales per type juli'!$D$8:$BA$8,0)+1),0)</f>
        <v>5699000</v>
      </c>
      <c r="DC41" s="192">
        <f>DA41-DB41</f>
        <v>8099000</v>
      </c>
      <c r="DD41" s="192">
        <v>0</v>
      </c>
      <c r="DE41" s="192">
        <f>IFERROR(INDEX('[1]Sales per type juli'!$D$10:$BA$51,MATCH($C41,'[1]Sales per type juli'!$B$10:$B$51,0),MATCH("WATCH 3",'[1]Sales per type juli'!$D$8:$BA$8,0)),0)</f>
        <v>0</v>
      </c>
      <c r="DF41" s="192">
        <f>DD41-DE41</f>
        <v>0</v>
      </c>
      <c r="DG41" s="192">
        <v>0</v>
      </c>
      <c r="DH41" s="192" cm="1">
        <f t="array" ref="DH41">IFERROR(INDEX('[1]Sales per type juli'!$D$10:$BA$51,MATCH($C41,'[1]Sales per type juli'!$B$10:$B$51,0),MATCH("WATCH 3",'[1]Sales per type juli'!$D$8:$BA$8,0)+1),0)</f>
        <v>0</v>
      </c>
      <c r="DI41" s="192">
        <f>DG41-DH41</f>
        <v>0</v>
      </c>
      <c r="DJ41" s="192">
        <v>0</v>
      </c>
      <c r="DK41" s="192">
        <f>IFERROR(INDEX('[1]Sales per type juli'!$D$10:$BA$51,MATCH($C41,'[1]Sales per type juli'!$B$10:$B$51,0),MATCH("X300 Demo",'[1]Sales per type juli'!$D$8:$BA$8,0)),0)</f>
        <v>3</v>
      </c>
      <c r="DL41" s="192">
        <f>DJ41-DK41</f>
        <v>-3</v>
      </c>
      <c r="DM41" s="192">
        <v>0</v>
      </c>
      <c r="DN41" s="192" cm="1">
        <f t="array" ref="DN41">IFERROR(INDEX('[1]Sales per type juli'!$D$10:$BA$51,MATCH($C41,'[1]Sales per type juli'!$B$10:$B$51,0),MATCH("X300 Demo",'[1]Sales per type juli'!$D$8:$BA$8,0)+1),0)</f>
        <v>48997000</v>
      </c>
      <c r="DO41" s="192">
        <f>DM41-DN41</f>
        <v>-48997000</v>
      </c>
      <c r="DP41" s="192">
        <v>0</v>
      </c>
      <c r="DQ41" s="192">
        <f>IFERROR(INDEX('[1]Sales per type juli'!$D$10:$BA$51,MATCH($C41,'[1]Sales per type juli'!$B$10:$B$51,0),MATCH("X300 Pro Demo",'[1]Sales per type juli'!$D$8:$BA$8,0)),0)</f>
        <v>1</v>
      </c>
      <c r="DR41" s="192">
        <f>DP41-DQ41</f>
        <v>-1</v>
      </c>
      <c r="DS41" s="192">
        <v>0</v>
      </c>
      <c r="DT41" s="192" cm="1">
        <f t="array" ref="DT41">IFERROR(INDEX('[1]Sales per type juli'!$D$10:$BA$51,MATCH($C41,'[1]Sales per type juli'!$B$10:$B$51,0),MATCH("X300 Pro Demo",'[1]Sales per type juli'!$D$8:$BA$8,0)+1),0)</f>
        <v>18999000</v>
      </c>
      <c r="DU41" s="192">
        <f>DS41-DT41</f>
        <v>-18999000</v>
      </c>
      <c r="DV41" s="192">
        <v>0</v>
      </c>
      <c r="DW41" s="192">
        <f>IFERROR(INDEX('[1]Sales per type juli'!$D$10:$BA$51,MATCH($C41,'[1]Sales per type juli'!$B$10:$B$51,0),MATCH("X Fold5 DEMO",'[1]Sales per type juli'!$D$8:$BA$8,0)),0)</f>
        <v>0</v>
      </c>
      <c r="DX41" s="192">
        <f>DV41-DW41</f>
        <v>0</v>
      </c>
      <c r="DY41" s="192">
        <v>0</v>
      </c>
      <c r="DZ41" s="192" cm="1">
        <f t="array" ref="DZ41">IFERROR(INDEX('[1]Sales per type juli'!$D$10:$BA$51,MATCH($C41,'[1]Sales per type juli'!$B$10:$B$51,0),MATCH("X Fold5 DEMO",'[1]Sales per type juli'!$D$8:$BA$8,0)+1),0)</f>
        <v>0</v>
      </c>
      <c r="EA41" s="192">
        <f>DY41-DZ41</f>
        <v>0</v>
      </c>
      <c r="EB41" s="192">
        <v>0</v>
      </c>
      <c r="EC41" s="192">
        <f>IFERROR(INDEX('[1]Sales per type juli'!$D$10:$BA$51,MATCH($C41,'[1]Sales per type juli'!$B$10:$B$51,0),MATCH("X Fold5",'[1]Sales per type juli'!$D$8:$BA$8,0)),0)</f>
        <v>0</v>
      </c>
      <c r="ED41" s="192">
        <f>EB41-EC41</f>
        <v>0</v>
      </c>
      <c r="EE41" s="192">
        <v>0</v>
      </c>
      <c r="EF41" s="192" cm="1">
        <f t="array" ref="EF41">IFERROR(INDEX('[1]Sales per type juli'!$D$10:$BA$51,MATCH($C41,'[1]Sales per type juli'!$B$10:$B$51,0),MATCH("X Fold5",'[1]Sales per type juli'!$D$8:$BA$8,0)+1),0)</f>
        <v>0</v>
      </c>
      <c r="EG41" s="192">
        <f>EE41-EF41</f>
        <v>0</v>
      </c>
      <c r="EH41" s="192">
        <v>0</v>
      </c>
      <c r="EI41" s="192">
        <f>IFERROR(INDEX('[1]Sales per type juli'!$D$10:$BA$51,MATCH($C41,'[1]Sales per type juli'!$B$10:$B$51,0),MATCH("IQOO 15 Demo",'[1]Sales per type juli'!$D$8:$BA$8,0)),0)</f>
        <v>2</v>
      </c>
      <c r="EJ41" s="192">
        <f>EH41-EI41</f>
        <v>-2</v>
      </c>
      <c r="EK41" s="192">
        <v>0</v>
      </c>
      <c r="EL41" s="192" cm="1">
        <f t="array" ref="EL41">IFERROR(INDEX('[1]Sales per type juli'!$D$10:$BA$51,MATCH($C41,'[1]Sales per type juli'!$B$10:$B$51,0),MATCH("IQOO 15 Demo",'[1]Sales per type juli'!$D$8:$BA$8,0)+1),0)</f>
        <v>27998000</v>
      </c>
      <c r="EM41" s="192">
        <f>EK41-EL41</f>
        <v>-27998000</v>
      </c>
      <c r="EN41" s="192">
        <v>0</v>
      </c>
      <c r="EO41" s="192">
        <f>IFERROR(INDEX('[1]Sales per type juli'!$D$10:$BA$51,MATCH($C41,'[1]Sales per type juli'!$B$10:$B$51,0),MATCH("X300 PRO",'[1]Sales per type juli'!$D$8:$BA$8,0)),0)</f>
        <v>0</v>
      </c>
      <c r="EP41" s="192">
        <f>EN41-EO41</f>
        <v>0</v>
      </c>
      <c r="EQ41" s="192">
        <v>0</v>
      </c>
      <c r="ER41" s="192" cm="1">
        <f t="array" ref="ER41">IFERROR(INDEX('[1]Sales per type juli'!$D$10:$BA$51,MATCH($C41,'[1]Sales per type juli'!$B$10:$B$51,0),MATCH("X300 PRO",'[1]Sales per type juli'!$D$8:$BA$8,0)+1),0)</f>
        <v>0</v>
      </c>
      <c r="ES41" s="192">
        <f>EQ41-ER41</f>
        <v>0</v>
      </c>
      <c r="ET41" s="192">
        <v>0</v>
      </c>
      <c r="EU41" s="192">
        <f>IFERROR(INDEX('[1]Sales per type juli'!$D$10:$BA$51,MATCH($C41,'[1]Sales per type juli'!$B$10:$B$51,0),MATCH("X300 ",'[1]Sales per type juli'!$D$8:$BA$8,0)),0)</f>
        <v>0</v>
      </c>
      <c r="EV41" s="192">
        <f>ET41-EU41</f>
        <v>0</v>
      </c>
      <c r="EW41" s="192">
        <v>0</v>
      </c>
      <c r="EX41" s="192" cm="1">
        <f t="array" ref="EX41">IFERROR(INDEX('[1]Sales per type juli'!$D$10:$BA$51,MATCH($C41,'[1]Sales per type juli'!$B$10:$B$51,0),MATCH("X300 ",'[1]Sales per type juli'!$D$8:$BA$8,0)+1),0)</f>
        <v>0</v>
      </c>
      <c r="EY41" s="192">
        <f>EW41-EX41</f>
        <v>0</v>
      </c>
      <c r="EZ41" s="192">
        <f>F41+L41+R41+X41+AD41+AJ41+AP41+AV41+BB41+BH41+BN41+BT41+BZ41+CF41+CL41+CR41+CX41+DD41+DJ41+DP41+DV41+EB41+EH41+EN41+ET41</f>
        <v>48</v>
      </c>
      <c r="FA41" s="192">
        <f>G41+M41+S41+Y41+AE41+AK41+AQ41+AW41+BC41+BI41+BO41+BU41+CA41+CG41+CM41+CS41+CY41+DE41+DK41+DQ41+DW41+EC41+EI41+EO41+EU41</f>
        <v>70</v>
      </c>
      <c r="FB41" s="192">
        <f>EZ41-FA41</f>
        <v>-22</v>
      </c>
      <c r="FC41" s="192">
        <f>I41+O41+U41+AA41+AG41+AM41+AS41+AY41+BE41+BK41+BQ41+BW41+CC41+CI41+CO41+CU41+DA41+DG41+DM41+DS41+DY41+EE41+EK41+EQ41+EW41</f>
        <v>182152000</v>
      </c>
      <c r="FD41" s="192">
        <f>J41+P41+V41+AB41+AH41+AN41+AT41+AZ41+BF41+BL41+BR41+BX41+CD41+CJ41+CP41+CV41+DB41+DH41+DN41+DT41+DZ41+EF41+EL41+ER41+EX41</f>
        <v>334730000</v>
      </c>
      <c r="FE41" s="192">
        <f>FC41-FD41</f>
        <v>-152578000</v>
      </c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</row>
    <row r="42" spans="1:208" ht="16" x14ac:dyDescent="0.2">
      <c r="A42" s="139">
        <f>'[1]ACHIEVEMENT STORE'!A42</f>
        <v>38</v>
      </c>
      <c r="B42" s="140" t="str">
        <f>'[1]ACHIEVEMENT STORE'!B42</f>
        <v>619-万隆市区BDG KOTA</v>
      </c>
      <c r="C42" s="139">
        <f>'[1]ACHIEVEMENT STORE'!C42</f>
        <v>6190708</v>
      </c>
      <c r="D42" s="140" t="str">
        <f>'[1]ACHIEVEMENT STORE'!D42</f>
        <v>6190708-BEC SC LGAA07</v>
      </c>
      <c r="E42" s="140" t="str">
        <f>'[1]ACHIEVEMENT STORE'!E42</f>
        <v>NENG TOTOH</v>
      </c>
      <c r="F42" s="192">
        <f>IFERROR(INDEX('[1]SALES PERTYPE'!$D$10:$D$52,MATCH($C42,'[1]SALES PERTYPE'!$B$10:$B$52,0)),0)</f>
        <v>0</v>
      </c>
      <c r="G42" s="192">
        <f>IFERROR(INDEX('[1]Sales per type juli'!$D$10:$BA$51,MATCH($C42,'[1]Sales per type juli'!$B$10:$B$51,0),MATCH("Y05",'[1]Sales per type juli'!$D$8:$BA$8,0)),0)</f>
        <v>2</v>
      </c>
      <c r="H42" s="192">
        <f>F42-G42</f>
        <v>-2</v>
      </c>
      <c r="I42" s="192">
        <f>IFERROR(INDEX('[1]SALES PERTYPE'!$E$10:$E$52,MATCH($C42,'[1]SALES PERTYPE'!$B$10:$B$52,0)),0)</f>
        <v>0</v>
      </c>
      <c r="J42" s="192" cm="1">
        <f t="array" ref="J42">IFERROR(INDEX('[1]Sales per type juli'!$D$10:$BA$51,MATCH($C42,'[1]Sales per type juli'!$B$10:$B$51,0),MATCH("Y05",'[1]Sales per type juli'!$D$8:$BA$8,0)+1),0)</f>
        <v>4798000</v>
      </c>
      <c r="K42" s="192">
        <f>I42-J42</f>
        <v>-4798000</v>
      </c>
      <c r="L42" s="192">
        <f>IFERROR(INDEX('[1]SALES PERTYPE'!$F$10:$F$52,MATCH($C42,'[1]SALES PERTYPE'!$B$10:$B$52,0)),0)</f>
        <v>2</v>
      </c>
      <c r="M42" s="192">
        <f>IFERROR(INDEX('[1]Sales per type juli'!$D$10:$BA$51,MATCH($C42,'[1]Sales per type juli'!$B$10:$B$51,0),MATCH("Y11d",'[1]Sales per type juli'!$D$8:$BA$8,0)),0)</f>
        <v>0</v>
      </c>
      <c r="N42" s="192">
        <f>L42-M42</f>
        <v>2</v>
      </c>
      <c r="O42" s="192">
        <f>IFERROR(INDEX('[1]SALES PERTYPE'!$G$10:$G$52,MATCH($C42,'[1]SALES PERTYPE'!$B$10:$B$52,0)),0)</f>
        <v>5198000</v>
      </c>
      <c r="P42" s="192" cm="1">
        <f t="array" ref="P42">IFERROR(INDEX('[1]Sales per type juli'!$D$10:$BA$51,MATCH($C42,'[1]Sales per type juli'!$B$10:$B$51,0),MATCH("Y11d",'[1]Sales per type juli'!$D$8:$BA$8,0)+1),0)</f>
        <v>0</v>
      </c>
      <c r="Q42" s="192">
        <f>O42-P42</f>
        <v>5198000</v>
      </c>
      <c r="R42" s="192">
        <f>IFERROR(INDEX('[1]SALES PERTYPE'!$H$10:$H$52,MATCH($C42,'[1]SALES PERTYPE'!$B$10:$B$52,0)),0)</f>
        <v>0</v>
      </c>
      <c r="S42" s="192">
        <f>IFERROR(INDEX('[1]Sales per type juli'!$D$10:$BA$51,MATCH($C42,'[1]Sales per type juli'!$B$10:$B$51,0),MATCH("Watch GT 2",'[1]Sales per type juli'!$D$8:$BA$8,0)),0)</f>
        <v>0</v>
      </c>
      <c r="T42" s="192">
        <f>R42-S42</f>
        <v>0</v>
      </c>
      <c r="U42" s="192">
        <f>IFERROR(INDEX('[1]SALES PERTYPE'!$I$10:$I$52,MATCH($C42,'[1]SALES PERTYPE'!$B$10:$B$52,0)),0)</f>
        <v>0</v>
      </c>
      <c r="V42" s="192" cm="1">
        <f t="array" ref="V42">IFERROR(INDEX('[1]Sales per type juli'!$D$10:$BA$51,MATCH($C42,'[1]Sales per type juli'!$B$10:$B$51,0),MATCH("Watch GT 2",'[1]Sales per type juli'!$D$8:$BA$8,0)+1),0)</f>
        <v>0</v>
      </c>
      <c r="W42" s="192">
        <f>U42-V42</f>
        <v>0</v>
      </c>
      <c r="X42" s="192">
        <f>IFERROR(INDEX('[1]SALES PERTYPE'!$J$10:$J$52,MATCH($C42,'[1]SALES PERTYPE'!$B$10:$B$52,0)),0)</f>
        <v>0</v>
      </c>
      <c r="Y42" s="192">
        <f>IFERROR(INDEX('[1]Sales per type juli'!$D$10:$BA$51,MATCH($C42,'[1]Sales per type juli'!$B$10:$B$51,0),MATCH("Y05e",'[1]Sales per type juli'!$D$8:$BA$8,0)),0)</f>
        <v>0</v>
      </c>
      <c r="Z42" s="192">
        <f>X42-Y42</f>
        <v>0</v>
      </c>
      <c r="AA42" s="192">
        <f>IFERROR(INDEX('[1]SALES PERTYPE'!$K$10:$K$52,MATCH($C42,'[1]SALES PERTYPE'!$B$10:$B$52,0)),0)</f>
        <v>0</v>
      </c>
      <c r="AB42" s="192" cm="1">
        <f t="array" ref="AB42">IFERROR(INDEX('[1]Sales per type juli'!$D$10:$BA$51,MATCH($C42,'[1]Sales per type juli'!$B$10:$B$51,0),MATCH("Y05e",'[1]Sales per type juli'!$D$8:$BA$8,0)+1),0)</f>
        <v>0</v>
      </c>
      <c r="AC42" s="192">
        <f>AA42-AB42</f>
        <v>0</v>
      </c>
      <c r="AD42" s="192">
        <f>IFERROR(INDEX('[1]SALES PERTYPE'!$L$10:$L$52,MATCH($C42,'[1]SALES PERTYPE'!$B$10:$B$52,0)),0)</f>
        <v>1</v>
      </c>
      <c r="AE42" s="192">
        <f>IFERROR(INDEX('[1]Sales per type juli'!$D$10:$BA$51,MATCH($C42,'[1]Sales per type juli'!$B$10:$B$51,0),MATCH("V70",'[1]Sales per type juli'!$D$8:$BA$8,0)),0)</f>
        <v>0</v>
      </c>
      <c r="AF42" s="192">
        <f>AD42-AE42</f>
        <v>1</v>
      </c>
      <c r="AG42" s="192">
        <f>IFERROR(INDEX('[1]SALES PERTYPE'!$M$10:$M$52,MATCH($C42,'[1]SALES PERTYPE'!$B$10:$B$52,0)),0)</f>
        <v>9999000</v>
      </c>
      <c r="AH42" s="192" cm="1">
        <f t="array" ref="AH42">IFERROR(INDEX('[1]Sales per type juli'!$D$10:$BA$51,MATCH($C42,'[1]Sales per type juli'!$B$10:$B$51,0),MATCH("V70",'[1]Sales per type juli'!$D$8:$BA$8,0)+1),0)</f>
        <v>0</v>
      </c>
      <c r="AI42" s="192">
        <f>AG42-AH42</f>
        <v>9999000</v>
      </c>
      <c r="AJ42" s="192">
        <f>IFERROR(INDEX('[1]SALES PERTYPE'!$N$10:$N$52,MATCH($C42,'[1]SALES PERTYPE'!$B$10:$B$52,0)),0)</f>
        <v>1</v>
      </c>
      <c r="AK42" s="192">
        <f>IFERROR(INDEX('[1]Sales per type juli'!$D$10:$BA$51,MATCH($C42,'[1]Sales per type juli'!$B$10:$B$51,0),MATCH("Y31d Pro",'[1]Sales per type juli'!$D$8:$BA$8,0)),0)</f>
        <v>0</v>
      </c>
      <c r="AL42" s="192">
        <f>AJ42-AK42</f>
        <v>1</v>
      </c>
      <c r="AM42" s="192">
        <f>IFERROR(INDEX('[1]SALES PERTYPE'!$O$10:$O$52,MATCH($C42,'[1]SALES PERTYPE'!$B$10:$B$52,0)),0)</f>
        <v>4299000</v>
      </c>
      <c r="AN42" s="192" cm="1">
        <f t="array" ref="AN42">IFERROR(INDEX('[1]Sales per type juli'!$D$10:$BA$51,MATCH($C42,'[1]Sales per type juli'!$B$10:$B$51,0),MATCH("Y31d Pro",'[1]Sales per type juli'!$D$8:$BA$8,0)+1),0)</f>
        <v>0</v>
      </c>
      <c r="AO42" s="192">
        <f>AM42-AN42</f>
        <v>4299000</v>
      </c>
      <c r="AP42" s="192">
        <f>IFERROR(INDEX('[1]SALES PERTYPE'!$P$10:$P$52,MATCH($C42,'[1]SALES PERTYPE'!$B$10:$B$52,0)),0)</f>
        <v>0</v>
      </c>
      <c r="AQ42" s="192" cm="1">
        <f t="array" ref="AQ42">IFERROR(INDEX('[1]Sales per type juli'!$D$10:$BA$51,MATCH($C42,'[1]Sales per type juli'!$B$10:$B$51,0),$FG$2),0)</f>
        <v>0</v>
      </c>
      <c r="AR42" s="192">
        <f>AP42-AQ42</f>
        <v>0</v>
      </c>
      <c r="AS42" s="192">
        <f>IFERROR(INDEX('[1]SALES PERTYPE'!$Q$10:$Q$52,MATCH($C42,'[1]SALES PERTYPE'!$B$10:$B$52,0)),0)</f>
        <v>0</v>
      </c>
      <c r="AT42" s="192" cm="1">
        <f t="array" ref="AT42">IFERROR(INDEX('[1]Sales per type juli'!$D$10:$BA$51,MATCH($C42,'[1]Sales per type juli'!$B$10:$B$51,0),$FG$2+1),0)</f>
        <v>0</v>
      </c>
      <c r="AU42" s="192">
        <f>AS42-AT42</f>
        <v>0</v>
      </c>
      <c r="AV42" s="192">
        <f>IFERROR(INDEX('[1]SALES PERTYPE'!$R$10:$R$52,MATCH($C42,'[1]SALES PERTYPE'!$B$10:$B$52,0)),0)</f>
        <v>0</v>
      </c>
      <c r="AW42" s="192">
        <f>IFERROR(INDEX('[1]Sales per type juli'!$D$10:$BA$51,MATCH($C42,'[1]Sales per type juli'!$B$10:$B$51,0),MATCH("Y31d ",'[1]Sales per type juli'!$D$8:$BA$8,0)),0)</f>
        <v>0</v>
      </c>
      <c r="AX42" s="192">
        <f>AV42-AW42</f>
        <v>0</v>
      </c>
      <c r="AY42" s="192">
        <f>IFERROR(INDEX('[1]SALES PERTYPE'!$S$10:$S$52,MATCH($C42,'[1]SALES PERTYPE'!$B$10:$B$52,0)),0)</f>
        <v>0</v>
      </c>
      <c r="AZ42" s="192" cm="1">
        <f t="array" ref="AZ42">IFERROR(INDEX('[1]Sales per type juli'!$D$10:$BA$51,MATCH($C42,'[1]Sales per type juli'!$B$10:$B$51,0),MATCH("Y31d ",'[1]Sales per type juli'!$D$8:$BA$8,0)+1),0)</f>
        <v>0</v>
      </c>
      <c r="BA42" s="192">
        <f>AY42-AZ42</f>
        <v>0</v>
      </c>
      <c r="BB42" s="192">
        <f>IFERROR(INDEX('[1]SALES PERTYPE'!$T$10:$T$52,MATCH($C42,'[1]SALES PERTYPE'!$B$10:$B$52,0)),0)</f>
        <v>0</v>
      </c>
      <c r="BC42" s="192">
        <f>IFERROR(INDEX('[1]Sales per type juli'!$D$10:$BA$51,MATCH($C42,'[1]Sales per type juli'!$B$10:$B$51,0),MATCH("V70 FE",'[1]Sales per type juli'!$D$8:$BA$8,0)),0)</f>
        <v>0</v>
      </c>
      <c r="BD42" s="192">
        <f>BB42-BC42</f>
        <v>0</v>
      </c>
      <c r="BE42" s="192">
        <f>IFERROR(INDEX('[1]SALES PERTYPE'!$U$10:$U$52,MATCH($C42,'[1]SALES PERTYPE'!$B$10:$B$52,0)),0)</f>
        <v>0</v>
      </c>
      <c r="BF42" s="192" cm="1">
        <f t="array" ref="BF42">IFERROR(INDEX('[1]Sales per type juli'!$D$10:$BA$51,MATCH($C42,'[1]Sales per type juli'!$B$10:$B$51,0),MATCH("V70 FE",'[1]Sales per type juli'!$D$8:$BA$8,0)+1),0)</f>
        <v>0</v>
      </c>
      <c r="BG42" s="192">
        <f>BE42-BF42</f>
        <v>0</v>
      </c>
      <c r="BH42" s="192">
        <f>IFERROR(INDEX('[1]SALES PERTYPE'!$V$10:$V$52,MATCH($C42,'[1]SALES PERTYPE'!$B$10:$B$52,0)),0)</f>
        <v>0</v>
      </c>
      <c r="BI42" s="192">
        <f>IFERROR(INDEX('[1]Sales per type juli'!$D$10:$BA$51,MATCH($C42,'[1]Sales per type juli'!$B$10:$B$51,0),MATCH("Y31d",'[1]Sales per type juli'!$D$8:$BA$8,0)),0)</f>
        <v>0</v>
      </c>
      <c r="BJ42" s="192">
        <f>BH42-BI42</f>
        <v>0</v>
      </c>
      <c r="BK42" s="192">
        <f>IFERROR(INDEX('[1]SALES PERTYPE'!$W$10:$W$52,MATCH($C42,'[1]SALES PERTYPE'!$B$10:$B$52,0)),0)</f>
        <v>0</v>
      </c>
      <c r="BL42" s="192" cm="1">
        <f t="array" ref="BL42">IFERROR(INDEX('[1]Sales per type juli'!$D$10:$BA$51,MATCH($C42,'[1]Sales per type juli'!$B$10:$B$51,0),MATCH("Y31d",'[1]Sales per type juli'!$D$8:$BA$8,0)+1),0)</f>
        <v>0</v>
      </c>
      <c r="BM42" s="192">
        <f>BK42-BL42</f>
        <v>0</v>
      </c>
      <c r="BN42" s="192">
        <f>IFERROR(INDEX('[1]SALES PERTYPE'!$X$10:$X$52,MATCH($C42,'[1]SALES PERTYPE'!$B$10:$B$52,0)),0)</f>
        <v>0</v>
      </c>
      <c r="BO42" s="192">
        <f>IFERROR(INDEX('[1]Sales per type juli'!$D$10:$BA$51,MATCH($C42,'[1]Sales per type juli'!$B$10:$B$51,0),MATCH("Y500",'[1]Sales per type juli'!$D$8:$BA$8,0)),0)</f>
        <v>1</v>
      </c>
      <c r="BP42" s="192">
        <f>BN42-BO42</f>
        <v>-1</v>
      </c>
      <c r="BQ42" s="192">
        <f>IFERROR(INDEX('[1]SALES PERTYPE'!$Y$10:$Y$52,MATCH($C42,'[1]SALES PERTYPE'!$B$10:$B$52,0)),0)</f>
        <v>0</v>
      </c>
      <c r="BR42" s="192" cm="1">
        <f t="array" ref="BR42">IFERROR(INDEX('[1]Sales per type juli'!$D$10:$BA$51,MATCH($C42,'[1]Sales per type juli'!$B$10:$B$51,0),MATCH("Y500",'[1]Sales per type juli'!$D$8:$BA$8,0)+1),0)</f>
        <v>6299000</v>
      </c>
      <c r="BS42" s="192">
        <f>BQ42-BR42</f>
        <v>-6299000</v>
      </c>
      <c r="BT42" s="192">
        <f>IFERROR(INDEX('[1]SALES PERTYPE'!$Z$10:$Z$52,MATCH($C42,'[1]SALES PERTYPE'!$B$10:$B$52,0)),0)</f>
        <v>0</v>
      </c>
      <c r="BU42" s="192">
        <f>IFERROR(INDEX('[1]Sales per type juli'!$D$10:$BA$51,MATCH($C42,'[1]Sales per type juli'!$B$10:$B$51,0),MATCH("IQOO 15R",'[1]Sales per type juli'!$D$8:$BA$8,0)),0)</f>
        <v>0</v>
      </c>
      <c r="BV42" s="192">
        <f>BT42-BU42</f>
        <v>0</v>
      </c>
      <c r="BW42" s="192">
        <f>IFERROR(INDEX('[1]SALES PERTYPE'!$AA$10:$AA$52,MATCH($C42,'[1]SALES PERTYPE'!$B$10:$B$52,0)),0)</f>
        <v>0</v>
      </c>
      <c r="BX42" s="192" cm="1">
        <f t="array" ref="BX42">IFERROR(INDEX('[1]Sales per type juli'!$D$10:$BA$51,MATCH($C42,'[1]Sales per type juli'!$B$10:$B$51,0),MATCH("IQOO 15R",'[1]Sales per type juli'!$D$8:$BA$8,0)+1),0)</f>
        <v>0</v>
      </c>
      <c r="BY42" s="192">
        <f>BW42-BX42</f>
        <v>0</v>
      </c>
      <c r="BZ42" s="192">
        <f>IFERROR(INDEX('[1]SALES PERTYPE'!$AB$10:$AB$52,MATCH($C42,'[1]SALES PERTYPE'!$B$10:$B$52,0)),0)</f>
        <v>0</v>
      </c>
      <c r="CA42" s="192">
        <f>IFERROR(INDEX('[1]Sales per type juli'!$D$10:$BA$51,MATCH($C42,'[1]Sales per type juli'!$B$10:$B$51,0),MATCH("V60 Lite",'[1]Sales per type juli'!$D$8:$BA$8,0)),0)</f>
        <v>0</v>
      </c>
      <c r="CB42" s="192">
        <f>BZ42-CA42</f>
        <v>0</v>
      </c>
      <c r="CC42" s="192">
        <f>IFERROR(INDEX('[1]SALES PERTYPE'!$AC$10:$AC$52,MATCH($C42,'[1]SALES PERTYPE'!$B$10:$B$52,0)),0)</f>
        <v>0</v>
      </c>
      <c r="CD42" s="192" cm="1">
        <f t="array" ref="CD42">IFERROR(INDEX('[1]Sales per type juli'!$D$10:$BA$51,MATCH($C42,'[1]Sales per type juli'!$B$10:$B$51,0),MATCH("V60 Lite",'[1]Sales per type juli'!$D$8:$BA$8,0)+1),0)</f>
        <v>0</v>
      </c>
      <c r="CE42" s="192">
        <f>CC42-CD42</f>
        <v>0</v>
      </c>
      <c r="CF42" s="192">
        <f>IFERROR(INDEX('[1]SALES PERTYPE'!$AD$10:$AD$52,MATCH($C42,'[1]SALES PERTYPE'!$B$10:$B$52,0)),0)</f>
        <v>0</v>
      </c>
      <c r="CG42" s="192">
        <f>IFERROR(INDEX('[1]Sales per type juli'!$D$10:$BA$51,MATCH($C42,'[1]Sales per type juli'!$B$10:$B$51,0),MATCH("X300 Ultra",'[1]Sales per type juli'!$D$8:$BA$8,0)),0)</f>
        <v>0</v>
      </c>
      <c r="CH42" s="192">
        <f>CF42-CG42</f>
        <v>0</v>
      </c>
      <c r="CI42" s="192">
        <f>IFERROR(INDEX('[1]SALES PERTYPE'!$AE$10:$AE$52,MATCH($C42,'[1]SALES PERTYPE'!$B$10:$B$52,0)),0)</f>
        <v>0</v>
      </c>
      <c r="CJ42" s="192" cm="1">
        <f t="array" ref="CJ42">IFERROR(INDEX('[1]Sales per type juli'!$D$10:$BA$51,MATCH($C42,'[1]Sales per type juli'!$B$10:$B$51,0),MATCH("X300 Ultra",'[1]Sales per type juli'!$D$8:$BA$8,0)+1),0)</f>
        <v>0</v>
      </c>
      <c r="CK42" s="192">
        <f>CI42-CJ42</f>
        <v>0</v>
      </c>
      <c r="CL42" s="192">
        <f>IFERROR(INDEX('[1]SALES PERTYPE'!$AF$10:$AF$52,MATCH($C42,'[1]SALES PERTYPE'!$B$10:$B$52,0)),0)</f>
        <v>0</v>
      </c>
      <c r="CM42" s="192">
        <f>IFERROR(INDEX('[1]Sales per type juli'!$D$10:$BA$51,MATCH($C42,'[1]Sales per type juli'!$B$10:$B$51,0),MATCH("IQOO 15",'[1]Sales per type juli'!$D$8:$BA$8,0)),0)</f>
        <v>0</v>
      </c>
      <c r="CN42" s="192">
        <f>CL42-CM42</f>
        <v>0</v>
      </c>
      <c r="CO42" s="192">
        <f>IFERROR(INDEX('[1]SALES PERTYPE'!$AG$10:$AG$52,MATCH($C42,'[1]SALES PERTYPE'!$B$10:$B$52,0)),0)</f>
        <v>0</v>
      </c>
      <c r="CP42" s="192" cm="1">
        <f t="array" ref="CP42">IFERROR(INDEX('[1]Sales per type juli'!$D$10:$BA$51,MATCH($C42,'[1]Sales per type juli'!$B$10:$B$51,0),MATCH("IQOO 15",'[1]Sales per type juli'!$D$8:$BA$8,0)+1),0)</f>
        <v>0</v>
      </c>
      <c r="CQ42" s="192">
        <f>CO42-CP42</f>
        <v>0</v>
      </c>
      <c r="CR42" s="192">
        <f>IFERROR(INDEX('[1]SALES PERTYPE'!$AH$10:$AH$52,MATCH($C42,'[1]SALES PERTYPE'!$B$10:$B$52,0)),0)</f>
        <v>0</v>
      </c>
      <c r="CS42" s="192">
        <f>IFERROR(INDEX('[1]Sales per type juli'!$D$10:$BA$51,MATCH($C42,'[1]Sales per type juli'!$B$10:$B$51,0),MATCH("IQOO Z11x",'[1]Sales per type juli'!$D$8:$BA$8,0)),0)</f>
        <v>1</v>
      </c>
      <c r="CT42" s="192">
        <f>CR42-CS42</f>
        <v>-1</v>
      </c>
      <c r="CU42" s="192">
        <f>IFERROR(INDEX('[1]SALES PERTYPE'!$AI$10:$AI$52,MATCH($C42,'[1]SALES PERTYPE'!$B$10:$B$52,0)),0)</f>
        <v>0</v>
      </c>
      <c r="CV42" s="192" cm="1">
        <f t="array" ref="CV42">IFERROR(INDEX('[1]Sales per type juli'!$D$10:$BA$51,MATCH($C42,'[1]Sales per type juli'!$B$10:$B$51,0),MATCH("IQOO Z11x",'[1]Sales per type juli'!$D$8:$BA$8,0)+1),0)</f>
        <v>4799000</v>
      </c>
      <c r="CW42" s="192">
        <f>CU42-CV42</f>
        <v>-4799000</v>
      </c>
      <c r="CX42" s="192">
        <f>IFERROR(INDEX('[1]SALES PERTYPE'!$AJ$10:$AJ$52,MATCH($C42,'[1]SALES PERTYPE'!$B$10:$B$52,0)),0)</f>
        <v>0</v>
      </c>
      <c r="CY42" s="192">
        <f>IFERROR(INDEX('[1]Sales per type juli'!$D$10:$BA$51,MATCH($C42,'[1]Sales per type juli'!$B$10:$B$51,0),MATCH("IQOO Z11",'[1]Sales per type juli'!$D$8:$BA$8,0)),0)</f>
        <v>2</v>
      </c>
      <c r="CZ42" s="192">
        <f>CX42-CY42</f>
        <v>-2</v>
      </c>
      <c r="DA42" s="192">
        <f>IFERROR(INDEX('[1]SALES PERTYPE'!$AK$10:$AK$52,MATCH($C42,'[1]SALES PERTYPE'!$B$10:$B$52,0)),0)</f>
        <v>0</v>
      </c>
      <c r="DB42" s="192" cm="1">
        <f t="array" ref="DB42">IFERROR(INDEX('[1]Sales per type juli'!$D$10:$BA$51,MATCH($C42,'[1]Sales per type juli'!$B$10:$B$51,0),MATCH("IQOO Z11",'[1]Sales per type juli'!$D$8:$BA$8,0)+1),0)</f>
        <v>11398000</v>
      </c>
      <c r="DC42" s="192">
        <f>DA42-DB42</f>
        <v>-11398000</v>
      </c>
      <c r="DD42" s="192">
        <v>0</v>
      </c>
      <c r="DE42" s="192">
        <f>IFERROR(INDEX('[1]Sales per type juli'!$D$10:$BA$51,MATCH($C42,'[1]Sales per type juli'!$B$10:$B$51,0),MATCH("WATCH 3",'[1]Sales per type juli'!$D$8:$BA$8,0)),0)</f>
        <v>0</v>
      </c>
      <c r="DF42" s="192">
        <f>DD42-DE42</f>
        <v>0</v>
      </c>
      <c r="DG42" s="192">
        <v>0</v>
      </c>
      <c r="DH42" s="192" cm="1">
        <f t="array" ref="DH42">IFERROR(INDEX('[1]Sales per type juli'!$D$10:$BA$51,MATCH($C42,'[1]Sales per type juli'!$B$10:$B$51,0),MATCH("WATCH 3",'[1]Sales per type juli'!$D$8:$BA$8,0)+1),0)</f>
        <v>0</v>
      </c>
      <c r="DI42" s="192">
        <f>DG42-DH42</f>
        <v>0</v>
      </c>
      <c r="DJ42" s="192">
        <v>0</v>
      </c>
      <c r="DK42" s="192">
        <f>IFERROR(INDEX('[1]Sales per type juli'!$D$10:$BA$51,MATCH($C42,'[1]Sales per type juli'!$B$10:$B$51,0),MATCH("X300 Demo",'[1]Sales per type juli'!$D$8:$BA$8,0)),0)</f>
        <v>0</v>
      </c>
      <c r="DL42" s="192">
        <f>DJ42-DK42</f>
        <v>0</v>
      </c>
      <c r="DM42" s="192">
        <v>0</v>
      </c>
      <c r="DN42" s="192" cm="1">
        <f t="array" ref="DN42">IFERROR(INDEX('[1]Sales per type juli'!$D$10:$BA$51,MATCH($C42,'[1]Sales per type juli'!$B$10:$B$51,0),MATCH("X300 Demo",'[1]Sales per type juli'!$D$8:$BA$8,0)+1),0)</f>
        <v>0</v>
      </c>
      <c r="DO42" s="192">
        <f>DM42-DN42</f>
        <v>0</v>
      </c>
      <c r="DP42" s="192">
        <v>0</v>
      </c>
      <c r="DQ42" s="192">
        <f>IFERROR(INDEX('[1]Sales per type juli'!$D$10:$BA$51,MATCH($C42,'[1]Sales per type juli'!$B$10:$B$51,0),MATCH("X300 Pro Demo",'[1]Sales per type juli'!$D$8:$BA$8,0)),0)</f>
        <v>0</v>
      </c>
      <c r="DR42" s="192">
        <f>DP42-DQ42</f>
        <v>0</v>
      </c>
      <c r="DS42" s="192">
        <v>0</v>
      </c>
      <c r="DT42" s="192" cm="1">
        <f t="array" ref="DT42">IFERROR(INDEX('[1]Sales per type juli'!$D$10:$BA$51,MATCH($C42,'[1]Sales per type juli'!$B$10:$B$51,0),MATCH("X300 Pro Demo",'[1]Sales per type juli'!$D$8:$BA$8,0)+1),0)</f>
        <v>0</v>
      </c>
      <c r="DU42" s="192">
        <f>DS42-DT42</f>
        <v>0</v>
      </c>
      <c r="DV42" s="192">
        <v>0</v>
      </c>
      <c r="DW42" s="192">
        <f>IFERROR(INDEX('[1]Sales per type juli'!$D$10:$BA$51,MATCH($C42,'[1]Sales per type juli'!$B$10:$B$51,0),MATCH("X Fold5 DEMO",'[1]Sales per type juli'!$D$8:$BA$8,0)),0)</f>
        <v>0</v>
      </c>
      <c r="DX42" s="192">
        <f>DV42-DW42</f>
        <v>0</v>
      </c>
      <c r="DY42" s="192">
        <v>0</v>
      </c>
      <c r="DZ42" s="192" cm="1">
        <f t="array" ref="DZ42">IFERROR(INDEX('[1]Sales per type juli'!$D$10:$BA$51,MATCH($C42,'[1]Sales per type juli'!$B$10:$B$51,0),MATCH("X Fold5 DEMO",'[1]Sales per type juli'!$D$8:$BA$8,0)+1),0)</f>
        <v>0</v>
      </c>
      <c r="EA42" s="192">
        <f>DY42-DZ42</f>
        <v>0</v>
      </c>
      <c r="EB42" s="192">
        <v>0</v>
      </c>
      <c r="EC42" s="192">
        <f>IFERROR(INDEX('[1]Sales per type juli'!$D$10:$BA$51,MATCH($C42,'[1]Sales per type juli'!$B$10:$B$51,0),MATCH("X Fold5",'[1]Sales per type juli'!$D$8:$BA$8,0)),0)</f>
        <v>0</v>
      </c>
      <c r="ED42" s="192">
        <f>EB42-EC42</f>
        <v>0</v>
      </c>
      <c r="EE42" s="192">
        <v>0</v>
      </c>
      <c r="EF42" s="192" cm="1">
        <f t="array" ref="EF42">IFERROR(INDEX('[1]Sales per type juli'!$D$10:$BA$51,MATCH($C42,'[1]Sales per type juli'!$B$10:$B$51,0),MATCH("X Fold5",'[1]Sales per type juli'!$D$8:$BA$8,0)+1),0)</f>
        <v>0</v>
      </c>
      <c r="EG42" s="192">
        <f>EE42-EF42</f>
        <v>0</v>
      </c>
      <c r="EH42" s="192">
        <v>0</v>
      </c>
      <c r="EI42" s="192">
        <f>IFERROR(INDEX('[1]Sales per type juli'!$D$10:$BA$51,MATCH($C42,'[1]Sales per type juli'!$B$10:$B$51,0),MATCH("IQOO 15 Demo",'[1]Sales per type juli'!$D$8:$BA$8,0)),0)</f>
        <v>0</v>
      </c>
      <c r="EJ42" s="192">
        <f>EH42-EI42</f>
        <v>0</v>
      </c>
      <c r="EK42" s="192">
        <v>0</v>
      </c>
      <c r="EL42" s="192" cm="1">
        <f t="array" ref="EL42">IFERROR(INDEX('[1]Sales per type juli'!$D$10:$BA$51,MATCH($C42,'[1]Sales per type juli'!$B$10:$B$51,0),MATCH("IQOO 15 Demo",'[1]Sales per type juli'!$D$8:$BA$8,0)+1),0)</f>
        <v>0</v>
      </c>
      <c r="EM42" s="192">
        <f>EK42-EL42</f>
        <v>0</v>
      </c>
      <c r="EN42" s="192">
        <v>0</v>
      </c>
      <c r="EO42" s="192">
        <f>IFERROR(INDEX('[1]Sales per type juli'!$D$10:$BA$51,MATCH($C42,'[1]Sales per type juli'!$B$10:$B$51,0),MATCH("X300 PRO",'[1]Sales per type juli'!$D$8:$BA$8,0)),0)</f>
        <v>0</v>
      </c>
      <c r="EP42" s="192">
        <f>EN42-EO42</f>
        <v>0</v>
      </c>
      <c r="EQ42" s="192">
        <v>0</v>
      </c>
      <c r="ER42" s="192" cm="1">
        <f t="array" ref="ER42">IFERROR(INDEX('[1]Sales per type juli'!$D$10:$BA$51,MATCH($C42,'[1]Sales per type juli'!$B$10:$B$51,0),MATCH("X300 PRO",'[1]Sales per type juli'!$D$8:$BA$8,0)+1),0)</f>
        <v>0</v>
      </c>
      <c r="ES42" s="192">
        <f>EQ42-ER42</f>
        <v>0</v>
      </c>
      <c r="ET42" s="192">
        <v>0</v>
      </c>
      <c r="EU42" s="192">
        <f>IFERROR(INDEX('[1]Sales per type juli'!$D$10:$BA$51,MATCH($C42,'[1]Sales per type juli'!$B$10:$B$51,0),MATCH("X300 ",'[1]Sales per type juli'!$D$8:$BA$8,0)),0)</f>
        <v>0</v>
      </c>
      <c r="EV42" s="192">
        <f>ET42-EU42</f>
        <v>0</v>
      </c>
      <c r="EW42" s="192">
        <v>0</v>
      </c>
      <c r="EX42" s="192" cm="1">
        <f t="array" ref="EX42">IFERROR(INDEX('[1]Sales per type juli'!$D$10:$BA$51,MATCH($C42,'[1]Sales per type juli'!$B$10:$B$51,0),MATCH("X300 ",'[1]Sales per type juli'!$D$8:$BA$8,0)+1),0)</f>
        <v>0</v>
      </c>
      <c r="EY42" s="192">
        <f>EW42-EX42</f>
        <v>0</v>
      </c>
      <c r="EZ42" s="192">
        <f>F42+L42+R42+X42+AD42+AJ42+AP42+AV42+BB42+BH42+BN42+BT42+BZ42+CF42+CL42+CR42+CX42+DD42+DJ42+DP42+DV42+EB42+EH42+EN42+ET42</f>
        <v>4</v>
      </c>
      <c r="FA42" s="192">
        <f>G42+M42+S42+Y42+AE42+AK42+AQ42+AW42+BC42+BI42+BO42+BU42+CA42+CG42+CM42+CS42+CY42+DE42+DK42+DQ42+DW42+EC42+EI42+EO42+EU42</f>
        <v>6</v>
      </c>
      <c r="FB42" s="192">
        <f>EZ42-FA42</f>
        <v>-2</v>
      </c>
      <c r="FC42" s="192">
        <f>I42+O42+U42+AA42+AG42+AM42+AS42+AY42+BE42+BK42+BQ42+BW42+CC42+CI42+CO42+CU42+DA42+DG42+DM42+DS42+DY42+EE42+EK42+EQ42+EW42</f>
        <v>19496000</v>
      </c>
      <c r="FD42" s="192">
        <f>J42+P42+V42+AB42+AH42+AN42+AT42+AZ42+BF42+BL42+BR42+BX42+CD42+CJ42+CP42+CV42+DB42+DH42+DN42+DT42+DZ42+EF42+EL42+ER42+EX42</f>
        <v>27294000</v>
      </c>
      <c r="FE42" s="192">
        <f>FC42-FD42</f>
        <v>-7798000</v>
      </c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</row>
    <row r="43" spans="1:208" ht="16" x14ac:dyDescent="0.2">
      <c r="A43" s="137">
        <f>'[1]ACHIEVEMENT STORE'!A43</f>
        <v>39</v>
      </c>
      <c r="B43" s="138" t="str">
        <f>'[1]ACHIEVEMENT STORE'!B43</f>
        <v>615-中爪哇东SOLO</v>
      </c>
      <c r="C43" s="137">
        <f>'[1]ACHIEVEMENT STORE'!C43</f>
        <v>6150702</v>
      </c>
      <c r="D43" s="138" t="str">
        <f>'[1]ACHIEVEMENT STORE'!D43</f>
        <v>6150702-GRANMALL SC GF-11</v>
      </c>
      <c r="E43" s="138" t="str">
        <f>'[1]ACHIEVEMENT STORE'!E43</f>
        <v>BIRILYAN KUSWARA</v>
      </c>
      <c r="F43" s="192">
        <f>IFERROR(INDEX('[1]SALES PERTYPE'!$D$10:$D$52,MATCH($C43,'[1]SALES PERTYPE'!$B$10:$B$52,0)),0)</f>
        <v>0</v>
      </c>
      <c r="G43" s="192">
        <f>IFERROR(INDEX('[1]Sales per type juli'!$D$10:$BA$51,MATCH($C43,'[1]Sales per type juli'!$B$10:$B$51,0),MATCH("Y05",'[1]Sales per type juli'!$D$8:$BA$8,0)),0)</f>
        <v>0</v>
      </c>
      <c r="H43" s="192">
        <f>F43-G43</f>
        <v>0</v>
      </c>
      <c r="I43" s="192">
        <f>IFERROR(INDEX('[1]SALES PERTYPE'!$E$10:$E$52,MATCH($C43,'[1]SALES PERTYPE'!$B$10:$B$52,0)),0)</f>
        <v>0</v>
      </c>
      <c r="J43" s="192" cm="1">
        <f t="array" ref="J43">IFERROR(INDEX('[1]Sales per type juli'!$D$10:$BA$51,MATCH($C43,'[1]Sales per type juli'!$B$10:$B$51,0),MATCH("Y05",'[1]Sales per type juli'!$D$8:$BA$8,0)+1),0)</f>
        <v>0</v>
      </c>
      <c r="K43" s="192">
        <f>I43-J43</f>
        <v>0</v>
      </c>
      <c r="L43" s="192">
        <f>IFERROR(INDEX('[1]SALES PERTYPE'!$F$10:$F$52,MATCH($C43,'[1]SALES PERTYPE'!$B$10:$B$52,0)),0)</f>
        <v>0</v>
      </c>
      <c r="M43" s="192">
        <f>IFERROR(INDEX('[1]Sales per type juli'!$D$10:$BA$51,MATCH($C43,'[1]Sales per type juli'!$B$10:$B$51,0),MATCH("Y11d",'[1]Sales per type juli'!$D$8:$BA$8,0)),0)</f>
        <v>2</v>
      </c>
      <c r="N43" s="192">
        <f>L43-M43</f>
        <v>-2</v>
      </c>
      <c r="O43" s="192">
        <f>IFERROR(INDEX('[1]SALES PERTYPE'!$G$10:$G$52,MATCH($C43,'[1]SALES PERTYPE'!$B$10:$B$52,0)),0)</f>
        <v>0</v>
      </c>
      <c r="P43" s="192" cm="1">
        <f t="array" ref="P43">IFERROR(INDEX('[1]Sales per type juli'!$D$10:$BA$51,MATCH($C43,'[1]Sales per type juli'!$B$10:$B$51,0),MATCH("Y11d",'[1]Sales per type juli'!$D$8:$BA$8,0)+1),0)</f>
        <v>5198000</v>
      </c>
      <c r="Q43" s="192">
        <f>O43-P43</f>
        <v>-5198000</v>
      </c>
      <c r="R43" s="192">
        <f>IFERROR(INDEX('[1]SALES PERTYPE'!$H$10:$H$52,MATCH($C43,'[1]SALES PERTYPE'!$B$10:$B$52,0)),0)</f>
        <v>0</v>
      </c>
      <c r="S43" s="192">
        <f>IFERROR(INDEX('[1]Sales per type juli'!$D$10:$BA$51,MATCH($C43,'[1]Sales per type juli'!$B$10:$B$51,0),MATCH("Watch GT 2",'[1]Sales per type juli'!$D$8:$BA$8,0)),0)</f>
        <v>0</v>
      </c>
      <c r="T43" s="192">
        <f>R43-S43</f>
        <v>0</v>
      </c>
      <c r="U43" s="192">
        <f>IFERROR(INDEX('[1]SALES PERTYPE'!$I$10:$I$52,MATCH($C43,'[1]SALES PERTYPE'!$B$10:$B$52,0)),0)</f>
        <v>0</v>
      </c>
      <c r="V43" s="192" cm="1">
        <f t="array" ref="V43">IFERROR(INDEX('[1]Sales per type juli'!$D$10:$BA$51,MATCH($C43,'[1]Sales per type juli'!$B$10:$B$51,0),MATCH("Watch GT 2",'[1]Sales per type juli'!$D$8:$BA$8,0)+1),0)</f>
        <v>0</v>
      </c>
      <c r="W43" s="192">
        <f>U43-V43</f>
        <v>0</v>
      </c>
      <c r="X43" s="192">
        <f>IFERROR(INDEX('[1]SALES PERTYPE'!$J$10:$J$52,MATCH($C43,'[1]SALES PERTYPE'!$B$10:$B$52,0)),0)</f>
        <v>0</v>
      </c>
      <c r="Y43" s="192">
        <f>IFERROR(INDEX('[1]Sales per type juli'!$D$10:$BA$51,MATCH($C43,'[1]Sales per type juli'!$B$10:$B$51,0),MATCH("Y05e",'[1]Sales per type juli'!$D$8:$BA$8,0)),0)</f>
        <v>0</v>
      </c>
      <c r="Z43" s="192">
        <f>X43-Y43</f>
        <v>0</v>
      </c>
      <c r="AA43" s="192">
        <f>IFERROR(INDEX('[1]SALES PERTYPE'!$K$10:$K$52,MATCH($C43,'[1]SALES PERTYPE'!$B$10:$B$52,0)),0)</f>
        <v>0</v>
      </c>
      <c r="AB43" s="192" cm="1">
        <f t="array" ref="AB43">IFERROR(INDEX('[1]Sales per type juli'!$D$10:$BA$51,MATCH($C43,'[1]Sales per type juli'!$B$10:$B$51,0),MATCH("Y05e",'[1]Sales per type juli'!$D$8:$BA$8,0)+1),0)</f>
        <v>0</v>
      </c>
      <c r="AC43" s="192">
        <f>AA43-AB43</f>
        <v>0</v>
      </c>
      <c r="AD43" s="192">
        <f>IFERROR(INDEX('[1]SALES PERTYPE'!$L$10:$L$52,MATCH($C43,'[1]SALES PERTYPE'!$B$10:$B$52,0)),0)</f>
        <v>0</v>
      </c>
      <c r="AE43" s="192">
        <f>IFERROR(INDEX('[1]Sales per type juli'!$D$10:$BA$51,MATCH($C43,'[1]Sales per type juli'!$B$10:$B$51,0),MATCH("V70",'[1]Sales per type juli'!$D$8:$BA$8,0)),0)</f>
        <v>0</v>
      </c>
      <c r="AF43" s="192">
        <f>AD43-AE43</f>
        <v>0</v>
      </c>
      <c r="AG43" s="192">
        <f>IFERROR(INDEX('[1]SALES PERTYPE'!$M$10:$M$52,MATCH($C43,'[1]SALES PERTYPE'!$B$10:$B$52,0)),0)</f>
        <v>0</v>
      </c>
      <c r="AH43" s="192" cm="1">
        <f t="array" ref="AH43">IFERROR(INDEX('[1]Sales per type juli'!$D$10:$BA$51,MATCH($C43,'[1]Sales per type juli'!$B$10:$B$51,0),MATCH("V70",'[1]Sales per type juli'!$D$8:$BA$8,0)+1),0)</f>
        <v>0</v>
      </c>
      <c r="AI43" s="192">
        <f>AG43-AH43</f>
        <v>0</v>
      </c>
      <c r="AJ43" s="192">
        <f>IFERROR(INDEX('[1]SALES PERTYPE'!$N$10:$N$52,MATCH($C43,'[1]SALES PERTYPE'!$B$10:$B$52,0)),0)</f>
        <v>1</v>
      </c>
      <c r="AK43" s="192">
        <f>IFERROR(INDEX('[1]Sales per type juli'!$D$10:$BA$51,MATCH($C43,'[1]Sales per type juli'!$B$10:$B$51,0),MATCH("Y31d Pro",'[1]Sales per type juli'!$D$8:$BA$8,0)),0)</f>
        <v>0</v>
      </c>
      <c r="AL43" s="192">
        <f>AJ43-AK43</f>
        <v>1</v>
      </c>
      <c r="AM43" s="192">
        <f>IFERROR(INDEX('[1]SALES PERTYPE'!$O$10:$O$52,MATCH($C43,'[1]SALES PERTYPE'!$B$10:$B$52,0)),0)</f>
        <v>4299000</v>
      </c>
      <c r="AN43" s="192" cm="1">
        <f t="array" ref="AN43">IFERROR(INDEX('[1]Sales per type juli'!$D$10:$BA$51,MATCH($C43,'[1]Sales per type juli'!$B$10:$B$51,0),MATCH("Y31d Pro",'[1]Sales per type juli'!$D$8:$BA$8,0)+1),0)</f>
        <v>0</v>
      </c>
      <c r="AO43" s="192">
        <f>AM43-AN43</f>
        <v>4299000</v>
      </c>
      <c r="AP43" s="192">
        <f>IFERROR(INDEX('[1]SALES PERTYPE'!$P$10:$P$52,MATCH($C43,'[1]SALES PERTYPE'!$B$10:$B$52,0)),0)</f>
        <v>0</v>
      </c>
      <c r="AQ43" s="192" cm="1">
        <f t="array" ref="AQ43">IFERROR(INDEX('[1]Sales per type juli'!$D$10:$BA$51,MATCH($C43,'[1]Sales per type juli'!$B$10:$B$51,0),$FG$2),0)</f>
        <v>0</v>
      </c>
      <c r="AR43" s="192">
        <f>AP43-AQ43</f>
        <v>0</v>
      </c>
      <c r="AS43" s="192">
        <f>IFERROR(INDEX('[1]SALES PERTYPE'!$Q$10:$Q$52,MATCH($C43,'[1]SALES PERTYPE'!$B$10:$B$52,0)),0)</f>
        <v>0</v>
      </c>
      <c r="AT43" s="192" cm="1">
        <f t="array" ref="AT43">IFERROR(INDEX('[1]Sales per type juli'!$D$10:$BA$51,MATCH($C43,'[1]Sales per type juli'!$B$10:$B$51,0),$FG$2+1),0)</f>
        <v>0</v>
      </c>
      <c r="AU43" s="192">
        <f>AS43-AT43</f>
        <v>0</v>
      </c>
      <c r="AV43" s="192">
        <f>IFERROR(INDEX('[1]SALES PERTYPE'!$R$10:$R$52,MATCH($C43,'[1]SALES PERTYPE'!$B$10:$B$52,0)),0)</f>
        <v>0</v>
      </c>
      <c r="AW43" s="192">
        <f>IFERROR(INDEX('[1]Sales per type juli'!$D$10:$BA$51,MATCH($C43,'[1]Sales per type juli'!$B$10:$B$51,0),MATCH("Y31d ",'[1]Sales per type juli'!$D$8:$BA$8,0)),0)</f>
        <v>0</v>
      </c>
      <c r="AX43" s="192">
        <f>AV43-AW43</f>
        <v>0</v>
      </c>
      <c r="AY43" s="192">
        <f>IFERROR(INDEX('[1]SALES PERTYPE'!$S$10:$S$52,MATCH($C43,'[1]SALES PERTYPE'!$B$10:$B$52,0)),0)</f>
        <v>0</v>
      </c>
      <c r="AZ43" s="192" cm="1">
        <f t="array" ref="AZ43">IFERROR(INDEX('[1]Sales per type juli'!$D$10:$BA$51,MATCH($C43,'[1]Sales per type juli'!$B$10:$B$51,0),MATCH("Y31d ",'[1]Sales per type juli'!$D$8:$BA$8,0)+1),0)</f>
        <v>0</v>
      </c>
      <c r="BA43" s="192">
        <f>AY43-AZ43</f>
        <v>0</v>
      </c>
      <c r="BB43" s="192">
        <f>IFERROR(INDEX('[1]SALES PERTYPE'!$T$10:$T$52,MATCH($C43,'[1]SALES PERTYPE'!$B$10:$B$52,0)),0)</f>
        <v>0</v>
      </c>
      <c r="BC43" s="192">
        <f>IFERROR(INDEX('[1]Sales per type juli'!$D$10:$BA$51,MATCH($C43,'[1]Sales per type juli'!$B$10:$B$51,0),MATCH("V70 FE",'[1]Sales per type juli'!$D$8:$BA$8,0)),0)</f>
        <v>0</v>
      </c>
      <c r="BD43" s="192">
        <f>BB43-BC43</f>
        <v>0</v>
      </c>
      <c r="BE43" s="192">
        <f>IFERROR(INDEX('[1]SALES PERTYPE'!$U$10:$U$52,MATCH($C43,'[1]SALES PERTYPE'!$B$10:$B$52,0)),0)</f>
        <v>0</v>
      </c>
      <c r="BF43" s="192" cm="1">
        <f t="array" ref="BF43">IFERROR(INDEX('[1]Sales per type juli'!$D$10:$BA$51,MATCH($C43,'[1]Sales per type juli'!$B$10:$B$51,0),MATCH("V70 FE",'[1]Sales per type juli'!$D$8:$BA$8,0)+1),0)</f>
        <v>0</v>
      </c>
      <c r="BG43" s="192">
        <f>BE43-BF43</f>
        <v>0</v>
      </c>
      <c r="BH43" s="192">
        <f>IFERROR(INDEX('[1]SALES PERTYPE'!$V$10:$V$52,MATCH($C43,'[1]SALES PERTYPE'!$B$10:$B$52,0)),0)</f>
        <v>1</v>
      </c>
      <c r="BI43" s="192">
        <f>IFERROR(INDEX('[1]Sales per type juli'!$D$10:$BA$51,MATCH($C43,'[1]Sales per type juli'!$B$10:$B$51,0),MATCH("Y31d",'[1]Sales per type juli'!$D$8:$BA$8,0)),0)</f>
        <v>0</v>
      </c>
      <c r="BJ43" s="192">
        <f>BH43-BI43</f>
        <v>1</v>
      </c>
      <c r="BK43" s="192">
        <f>IFERROR(INDEX('[1]SALES PERTYPE'!$W$10:$W$52,MATCH($C43,'[1]SALES PERTYPE'!$B$10:$B$52,0)),0)</f>
        <v>3599000</v>
      </c>
      <c r="BL43" s="192" cm="1">
        <f t="array" ref="BL43">IFERROR(INDEX('[1]Sales per type juli'!$D$10:$BA$51,MATCH($C43,'[1]Sales per type juli'!$B$10:$B$51,0),MATCH("Y31d",'[1]Sales per type juli'!$D$8:$BA$8,0)+1),0)</f>
        <v>0</v>
      </c>
      <c r="BM43" s="192">
        <f>BK43-BL43</f>
        <v>3599000</v>
      </c>
      <c r="BN43" s="192">
        <f>IFERROR(INDEX('[1]SALES PERTYPE'!$X$10:$X$52,MATCH($C43,'[1]SALES PERTYPE'!$B$10:$B$52,0)),0)</f>
        <v>1</v>
      </c>
      <c r="BO43" s="192">
        <f>IFERROR(INDEX('[1]Sales per type juli'!$D$10:$BA$51,MATCH($C43,'[1]Sales per type juli'!$B$10:$B$51,0),MATCH("Y500",'[1]Sales per type juli'!$D$8:$BA$8,0)),0)</f>
        <v>0</v>
      </c>
      <c r="BP43" s="192">
        <f>BN43-BO43</f>
        <v>1</v>
      </c>
      <c r="BQ43" s="192">
        <f>IFERROR(INDEX('[1]SALES PERTYPE'!$Y$10:$Y$52,MATCH($C43,'[1]SALES PERTYPE'!$B$10:$B$52,0)),0)</f>
        <v>5499000</v>
      </c>
      <c r="BR43" s="192" cm="1">
        <f t="array" ref="BR43">IFERROR(INDEX('[1]Sales per type juli'!$D$10:$BA$51,MATCH($C43,'[1]Sales per type juli'!$B$10:$B$51,0),MATCH("Y500",'[1]Sales per type juli'!$D$8:$BA$8,0)+1),0)</f>
        <v>0</v>
      </c>
      <c r="BS43" s="192">
        <f>BQ43-BR43</f>
        <v>5499000</v>
      </c>
      <c r="BT43" s="192">
        <f>IFERROR(INDEX('[1]SALES PERTYPE'!$Z$10:$Z$52,MATCH($C43,'[1]SALES PERTYPE'!$B$10:$B$52,0)),0)</f>
        <v>0</v>
      </c>
      <c r="BU43" s="192">
        <f>IFERROR(INDEX('[1]Sales per type juli'!$D$10:$BA$51,MATCH($C43,'[1]Sales per type juli'!$B$10:$B$51,0),MATCH("IQOO 15R",'[1]Sales per type juli'!$D$8:$BA$8,0)),0)</f>
        <v>0</v>
      </c>
      <c r="BV43" s="192">
        <f>BT43-BU43</f>
        <v>0</v>
      </c>
      <c r="BW43" s="192">
        <f>IFERROR(INDEX('[1]SALES PERTYPE'!$AA$10:$AA$52,MATCH($C43,'[1]SALES PERTYPE'!$B$10:$B$52,0)),0)</f>
        <v>0</v>
      </c>
      <c r="BX43" s="192" cm="1">
        <f t="array" ref="BX43">IFERROR(INDEX('[1]Sales per type juli'!$D$10:$BA$51,MATCH($C43,'[1]Sales per type juli'!$B$10:$B$51,0),MATCH("IQOO 15R",'[1]Sales per type juli'!$D$8:$BA$8,0)+1),0)</f>
        <v>0</v>
      </c>
      <c r="BY43" s="192">
        <f>BW43-BX43</f>
        <v>0</v>
      </c>
      <c r="BZ43" s="192">
        <f>IFERROR(INDEX('[1]SALES PERTYPE'!$AB$10:$AB$52,MATCH($C43,'[1]SALES PERTYPE'!$B$10:$B$52,0)),0)</f>
        <v>0</v>
      </c>
      <c r="CA43" s="192">
        <f>IFERROR(INDEX('[1]Sales per type juli'!$D$10:$BA$51,MATCH($C43,'[1]Sales per type juli'!$B$10:$B$51,0),MATCH("V60 Lite",'[1]Sales per type juli'!$D$8:$BA$8,0)),0)</f>
        <v>0</v>
      </c>
      <c r="CB43" s="192">
        <f>BZ43-CA43</f>
        <v>0</v>
      </c>
      <c r="CC43" s="192">
        <f>IFERROR(INDEX('[1]SALES PERTYPE'!$AC$10:$AC$52,MATCH($C43,'[1]SALES PERTYPE'!$B$10:$B$52,0)),0)</f>
        <v>0</v>
      </c>
      <c r="CD43" s="192" cm="1">
        <f t="array" ref="CD43">IFERROR(INDEX('[1]Sales per type juli'!$D$10:$BA$51,MATCH($C43,'[1]Sales per type juli'!$B$10:$B$51,0),MATCH("V60 Lite",'[1]Sales per type juli'!$D$8:$BA$8,0)+1),0)</f>
        <v>0</v>
      </c>
      <c r="CE43" s="192">
        <f>CC43-CD43</f>
        <v>0</v>
      </c>
      <c r="CF43" s="192">
        <f>IFERROR(INDEX('[1]SALES PERTYPE'!$AD$10:$AD$52,MATCH($C43,'[1]SALES PERTYPE'!$B$10:$B$52,0)),0)</f>
        <v>0</v>
      </c>
      <c r="CG43" s="192">
        <f>IFERROR(INDEX('[1]Sales per type juli'!$D$10:$BA$51,MATCH($C43,'[1]Sales per type juli'!$B$10:$B$51,0),MATCH("X300 Ultra",'[1]Sales per type juli'!$D$8:$BA$8,0)),0)</f>
        <v>0</v>
      </c>
      <c r="CH43" s="192">
        <f>CF43-CG43</f>
        <v>0</v>
      </c>
      <c r="CI43" s="192">
        <f>IFERROR(INDEX('[1]SALES PERTYPE'!$AE$10:$AE$52,MATCH($C43,'[1]SALES PERTYPE'!$B$10:$B$52,0)),0)</f>
        <v>0</v>
      </c>
      <c r="CJ43" s="192" cm="1">
        <f t="array" ref="CJ43">IFERROR(INDEX('[1]Sales per type juli'!$D$10:$BA$51,MATCH($C43,'[1]Sales per type juli'!$B$10:$B$51,0),MATCH("X300 Ultra",'[1]Sales per type juli'!$D$8:$BA$8,0)+1),0)</f>
        <v>0</v>
      </c>
      <c r="CK43" s="192">
        <f>CI43-CJ43</f>
        <v>0</v>
      </c>
      <c r="CL43" s="192">
        <f>IFERROR(INDEX('[1]SALES PERTYPE'!$AF$10:$AF$52,MATCH($C43,'[1]SALES PERTYPE'!$B$10:$B$52,0)),0)</f>
        <v>0</v>
      </c>
      <c r="CM43" s="192">
        <f>IFERROR(INDEX('[1]Sales per type juli'!$D$10:$BA$51,MATCH($C43,'[1]Sales per type juli'!$B$10:$B$51,0),MATCH("IQOO 15",'[1]Sales per type juli'!$D$8:$BA$8,0)),0)</f>
        <v>0</v>
      </c>
      <c r="CN43" s="192">
        <f>CL43-CM43</f>
        <v>0</v>
      </c>
      <c r="CO43" s="192">
        <f>IFERROR(INDEX('[1]SALES PERTYPE'!$AG$10:$AG$52,MATCH($C43,'[1]SALES PERTYPE'!$B$10:$B$52,0)),0)</f>
        <v>0</v>
      </c>
      <c r="CP43" s="192" cm="1">
        <f t="array" ref="CP43">IFERROR(INDEX('[1]Sales per type juli'!$D$10:$BA$51,MATCH($C43,'[1]Sales per type juli'!$B$10:$B$51,0),MATCH("IQOO 15",'[1]Sales per type juli'!$D$8:$BA$8,0)+1),0)</f>
        <v>0</v>
      </c>
      <c r="CQ43" s="192">
        <f>CO43-CP43</f>
        <v>0</v>
      </c>
      <c r="CR43" s="192">
        <f>IFERROR(INDEX('[1]SALES PERTYPE'!$AH$10:$AH$52,MATCH($C43,'[1]SALES PERTYPE'!$B$10:$B$52,0)),0)</f>
        <v>0</v>
      </c>
      <c r="CS43" s="192">
        <f>IFERROR(INDEX('[1]Sales per type juli'!$D$10:$BA$51,MATCH($C43,'[1]Sales per type juli'!$B$10:$B$51,0),MATCH("IQOO Z11x",'[1]Sales per type juli'!$D$8:$BA$8,0)),0)</f>
        <v>0</v>
      </c>
      <c r="CT43" s="192">
        <f>CR43-CS43</f>
        <v>0</v>
      </c>
      <c r="CU43" s="192">
        <f>IFERROR(INDEX('[1]SALES PERTYPE'!$AI$10:$AI$52,MATCH($C43,'[1]SALES PERTYPE'!$B$10:$B$52,0)),0)</f>
        <v>0</v>
      </c>
      <c r="CV43" s="192" cm="1">
        <f t="array" ref="CV43">IFERROR(INDEX('[1]Sales per type juli'!$D$10:$BA$51,MATCH($C43,'[1]Sales per type juli'!$B$10:$B$51,0),MATCH("IQOO Z11x",'[1]Sales per type juli'!$D$8:$BA$8,0)+1),0)</f>
        <v>0</v>
      </c>
      <c r="CW43" s="192">
        <f>CU43-CV43</f>
        <v>0</v>
      </c>
      <c r="CX43" s="192">
        <f>IFERROR(INDEX('[1]SALES PERTYPE'!$AJ$10:$AJ$52,MATCH($C43,'[1]SALES PERTYPE'!$B$10:$B$52,0)),0)</f>
        <v>0</v>
      </c>
      <c r="CY43" s="192">
        <f>IFERROR(INDEX('[1]Sales per type juli'!$D$10:$BA$51,MATCH($C43,'[1]Sales per type juli'!$B$10:$B$51,0),MATCH("IQOO Z11",'[1]Sales per type juli'!$D$8:$BA$8,0)),0)</f>
        <v>0</v>
      </c>
      <c r="CZ43" s="192">
        <f>CX43-CY43</f>
        <v>0</v>
      </c>
      <c r="DA43" s="192">
        <f>IFERROR(INDEX('[1]SALES PERTYPE'!$AK$10:$AK$52,MATCH($C43,'[1]SALES PERTYPE'!$B$10:$B$52,0)),0)</f>
        <v>0</v>
      </c>
      <c r="DB43" s="192" cm="1">
        <f t="array" ref="DB43">IFERROR(INDEX('[1]Sales per type juli'!$D$10:$BA$51,MATCH($C43,'[1]Sales per type juli'!$B$10:$B$51,0),MATCH("IQOO Z11",'[1]Sales per type juli'!$D$8:$BA$8,0)+1),0)</f>
        <v>0</v>
      </c>
      <c r="DC43" s="192">
        <f>DA43-DB43</f>
        <v>0</v>
      </c>
      <c r="DD43" s="192">
        <v>0</v>
      </c>
      <c r="DE43" s="192">
        <f>IFERROR(INDEX('[1]Sales per type juli'!$D$10:$BA$51,MATCH($C43,'[1]Sales per type juli'!$B$10:$B$51,0),MATCH("WATCH 3",'[1]Sales per type juli'!$D$8:$BA$8,0)),0)</f>
        <v>0</v>
      </c>
      <c r="DF43" s="192">
        <f>DD43-DE43</f>
        <v>0</v>
      </c>
      <c r="DG43" s="192">
        <v>0</v>
      </c>
      <c r="DH43" s="192" cm="1">
        <f t="array" ref="DH43">IFERROR(INDEX('[1]Sales per type juli'!$D$10:$BA$51,MATCH($C43,'[1]Sales per type juli'!$B$10:$B$51,0),MATCH("WATCH 3",'[1]Sales per type juli'!$D$8:$BA$8,0)+1),0)</f>
        <v>0</v>
      </c>
      <c r="DI43" s="192">
        <f>DG43-DH43</f>
        <v>0</v>
      </c>
      <c r="DJ43" s="192">
        <v>0</v>
      </c>
      <c r="DK43" s="192">
        <f>IFERROR(INDEX('[1]Sales per type juli'!$D$10:$BA$51,MATCH($C43,'[1]Sales per type juli'!$B$10:$B$51,0),MATCH("X300 Demo",'[1]Sales per type juli'!$D$8:$BA$8,0)),0)</f>
        <v>0</v>
      </c>
      <c r="DL43" s="192">
        <f>DJ43-DK43</f>
        <v>0</v>
      </c>
      <c r="DM43" s="192">
        <v>0</v>
      </c>
      <c r="DN43" s="192" cm="1">
        <f t="array" ref="DN43">IFERROR(INDEX('[1]Sales per type juli'!$D$10:$BA$51,MATCH($C43,'[1]Sales per type juli'!$B$10:$B$51,0),MATCH("X300 Demo",'[1]Sales per type juli'!$D$8:$BA$8,0)+1),0)</f>
        <v>0</v>
      </c>
      <c r="DO43" s="192">
        <f>DM43-DN43</f>
        <v>0</v>
      </c>
      <c r="DP43" s="192">
        <v>0</v>
      </c>
      <c r="DQ43" s="192">
        <f>IFERROR(INDEX('[1]Sales per type juli'!$D$10:$BA$51,MATCH($C43,'[1]Sales per type juli'!$B$10:$B$51,0),MATCH("X300 Pro Demo",'[1]Sales per type juli'!$D$8:$BA$8,0)),0)</f>
        <v>0</v>
      </c>
      <c r="DR43" s="192">
        <f>DP43-DQ43</f>
        <v>0</v>
      </c>
      <c r="DS43" s="192">
        <v>0</v>
      </c>
      <c r="DT43" s="192" cm="1">
        <f t="array" ref="DT43">IFERROR(INDEX('[1]Sales per type juli'!$D$10:$BA$51,MATCH($C43,'[1]Sales per type juli'!$B$10:$B$51,0),MATCH("X300 Pro Demo",'[1]Sales per type juli'!$D$8:$BA$8,0)+1),0)</f>
        <v>0</v>
      </c>
      <c r="DU43" s="192">
        <f>DS43-DT43</f>
        <v>0</v>
      </c>
      <c r="DV43" s="192">
        <v>0</v>
      </c>
      <c r="DW43" s="192">
        <f>IFERROR(INDEX('[1]Sales per type juli'!$D$10:$BA$51,MATCH($C43,'[1]Sales per type juli'!$B$10:$B$51,0),MATCH("X Fold5 DEMO",'[1]Sales per type juli'!$D$8:$BA$8,0)),0)</f>
        <v>0</v>
      </c>
      <c r="DX43" s="192">
        <f>DV43-DW43</f>
        <v>0</v>
      </c>
      <c r="DY43" s="192">
        <v>0</v>
      </c>
      <c r="DZ43" s="192" cm="1">
        <f t="array" ref="DZ43">IFERROR(INDEX('[1]Sales per type juli'!$D$10:$BA$51,MATCH($C43,'[1]Sales per type juli'!$B$10:$B$51,0),MATCH("X Fold5 DEMO",'[1]Sales per type juli'!$D$8:$BA$8,0)+1),0)</f>
        <v>0</v>
      </c>
      <c r="EA43" s="192">
        <f>DY43-DZ43</f>
        <v>0</v>
      </c>
      <c r="EB43" s="192">
        <v>0</v>
      </c>
      <c r="EC43" s="192">
        <f>IFERROR(INDEX('[1]Sales per type juli'!$D$10:$BA$51,MATCH($C43,'[1]Sales per type juli'!$B$10:$B$51,0),MATCH("X Fold5",'[1]Sales per type juli'!$D$8:$BA$8,0)),0)</f>
        <v>0</v>
      </c>
      <c r="ED43" s="192">
        <f>EB43-EC43</f>
        <v>0</v>
      </c>
      <c r="EE43" s="192">
        <v>0</v>
      </c>
      <c r="EF43" s="192" cm="1">
        <f t="array" ref="EF43">IFERROR(INDEX('[1]Sales per type juli'!$D$10:$BA$51,MATCH($C43,'[1]Sales per type juli'!$B$10:$B$51,0),MATCH("X Fold5",'[1]Sales per type juli'!$D$8:$BA$8,0)+1),0)</f>
        <v>0</v>
      </c>
      <c r="EG43" s="192">
        <f>EE43-EF43</f>
        <v>0</v>
      </c>
      <c r="EH43" s="192">
        <v>0</v>
      </c>
      <c r="EI43" s="192">
        <f>IFERROR(INDEX('[1]Sales per type juli'!$D$10:$BA$51,MATCH($C43,'[1]Sales per type juli'!$B$10:$B$51,0),MATCH("IQOO 15 Demo",'[1]Sales per type juli'!$D$8:$BA$8,0)),0)</f>
        <v>0</v>
      </c>
      <c r="EJ43" s="192">
        <f>EH43-EI43</f>
        <v>0</v>
      </c>
      <c r="EK43" s="192">
        <v>0</v>
      </c>
      <c r="EL43" s="192" cm="1">
        <f t="array" ref="EL43">IFERROR(INDEX('[1]Sales per type juli'!$D$10:$BA$51,MATCH($C43,'[1]Sales per type juli'!$B$10:$B$51,0),MATCH("IQOO 15 Demo",'[1]Sales per type juli'!$D$8:$BA$8,0)+1),0)</f>
        <v>0</v>
      </c>
      <c r="EM43" s="192">
        <f>EK43-EL43</f>
        <v>0</v>
      </c>
      <c r="EN43" s="192">
        <v>0</v>
      </c>
      <c r="EO43" s="192">
        <f>IFERROR(INDEX('[1]Sales per type juli'!$D$10:$BA$51,MATCH($C43,'[1]Sales per type juli'!$B$10:$B$51,0),MATCH("X300 PRO",'[1]Sales per type juli'!$D$8:$BA$8,0)),0)</f>
        <v>0</v>
      </c>
      <c r="EP43" s="192">
        <f>EN43-EO43</f>
        <v>0</v>
      </c>
      <c r="EQ43" s="192">
        <v>0</v>
      </c>
      <c r="ER43" s="192" cm="1">
        <f t="array" ref="ER43">IFERROR(INDEX('[1]Sales per type juli'!$D$10:$BA$51,MATCH($C43,'[1]Sales per type juli'!$B$10:$B$51,0),MATCH("X300 PRO",'[1]Sales per type juli'!$D$8:$BA$8,0)+1),0)</f>
        <v>0</v>
      </c>
      <c r="ES43" s="192">
        <f>EQ43-ER43</f>
        <v>0</v>
      </c>
      <c r="ET43" s="192">
        <v>0</v>
      </c>
      <c r="EU43" s="192">
        <f>IFERROR(INDEX('[1]Sales per type juli'!$D$10:$BA$51,MATCH($C43,'[1]Sales per type juli'!$B$10:$B$51,0),MATCH("X300 ",'[1]Sales per type juli'!$D$8:$BA$8,0)),0)</f>
        <v>0</v>
      </c>
      <c r="EV43" s="192">
        <f>ET43-EU43</f>
        <v>0</v>
      </c>
      <c r="EW43" s="192">
        <v>0</v>
      </c>
      <c r="EX43" s="192" cm="1">
        <f t="array" ref="EX43">IFERROR(INDEX('[1]Sales per type juli'!$D$10:$BA$51,MATCH($C43,'[1]Sales per type juli'!$B$10:$B$51,0),MATCH("X300 ",'[1]Sales per type juli'!$D$8:$BA$8,0)+1),0)</f>
        <v>0</v>
      </c>
      <c r="EY43" s="192">
        <f>EW43-EX43</f>
        <v>0</v>
      </c>
      <c r="EZ43" s="192">
        <f>F43+L43+R43+X43+AD43+AJ43+AP43+AV43+BB43+BH43+BN43+BT43+BZ43+CF43+CL43+CR43+CX43+DD43+DJ43+DP43+DV43+EB43+EH43+EN43+ET43</f>
        <v>3</v>
      </c>
      <c r="FA43" s="192">
        <f>G43+M43+S43+Y43+AE43+AK43+AQ43+AW43+BC43+BI43+BO43+BU43+CA43+CG43+CM43+CS43+CY43+DE43+DK43+DQ43+DW43+EC43+EI43+EO43+EU43</f>
        <v>2</v>
      </c>
      <c r="FB43" s="192">
        <f>EZ43-FA43</f>
        <v>1</v>
      </c>
      <c r="FC43" s="192">
        <f>I43+O43+U43+AA43+AG43+AM43+AS43+AY43+BE43+BK43+BQ43+BW43+CC43+CI43+CO43+CU43+DA43+DG43+DM43+DS43+DY43+EE43+EK43+EQ43+EW43</f>
        <v>13397000</v>
      </c>
      <c r="FD43" s="192">
        <f>J43+P43+V43+AB43+AH43+AN43+AT43+AZ43+BF43+BL43+BR43+BX43+CD43+CJ43+CP43+CV43+DB43+DH43+DN43+DT43+DZ43+EF43+EL43+ER43+EX43</f>
        <v>5198000</v>
      </c>
      <c r="FE43" s="192">
        <f>FC43-FD43</f>
        <v>8199000</v>
      </c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</row>
    <row r="44" spans="1:208" ht="16" x14ac:dyDescent="0.2">
      <c r="A44" s="139">
        <f>'[1]ACHIEVEMENT STORE'!A44</f>
        <v>40</v>
      </c>
      <c r="B44" s="140" t="str">
        <f>'[1]ACHIEVEMENT STORE'!B44</f>
        <v>中爪哇西 - Purwokerto</v>
      </c>
      <c r="C44" s="139">
        <f>'[1]ACHIEVEMENT STORE'!C44</f>
        <v>6130702</v>
      </c>
      <c r="D44" s="140" t="str">
        <f>'[1]ACHIEVEMENT STORE'!D44</f>
        <v>6130702-RITA SUPERMALL SF36-37</v>
      </c>
      <c r="E44" s="140" t="str">
        <f>'[1]ACHIEVEMENT STORE'!E44</f>
        <v>FRISKA FAJAR</v>
      </c>
      <c r="F44" s="192">
        <f>IFERROR(INDEX('[1]SALES PERTYPE'!$D$10:$D$52,MATCH($C44,'[1]SALES PERTYPE'!$B$10:$B$52,0)),0)</f>
        <v>2</v>
      </c>
      <c r="G44" s="192">
        <f>IFERROR(INDEX('[1]Sales per type juli'!$D$10:$BA$51,MATCH($C44,'[1]Sales per type juli'!$B$10:$B$51,0),MATCH("Y05",'[1]Sales per type juli'!$D$8:$BA$8,0)),0)</f>
        <v>1</v>
      </c>
      <c r="H44" s="192">
        <f>F44-G44</f>
        <v>1</v>
      </c>
      <c r="I44" s="192">
        <f>IFERROR(INDEX('[1]SALES PERTYPE'!$E$10:$E$52,MATCH($C44,'[1]SALES PERTYPE'!$B$10:$B$52,0)),0)</f>
        <v>4598000</v>
      </c>
      <c r="J44" s="192" cm="1">
        <f t="array" ref="J44">IFERROR(INDEX('[1]Sales per type juli'!$D$10:$BA$51,MATCH($C44,'[1]Sales per type juli'!$B$10:$B$51,0),MATCH("Y05",'[1]Sales per type juli'!$D$8:$BA$8,0)+1),0)</f>
        <v>2399000</v>
      </c>
      <c r="K44" s="192">
        <f>I44-J44</f>
        <v>2199000</v>
      </c>
      <c r="L44" s="192">
        <f>IFERROR(INDEX('[1]SALES PERTYPE'!$F$10:$F$52,MATCH($C44,'[1]SALES PERTYPE'!$B$10:$B$52,0)),0)</f>
        <v>1</v>
      </c>
      <c r="M44" s="192">
        <f>IFERROR(INDEX('[1]Sales per type juli'!$D$10:$BA$51,MATCH($C44,'[1]Sales per type juli'!$B$10:$B$51,0),MATCH("Y11d",'[1]Sales per type juli'!$D$8:$BA$8,0)),0)</f>
        <v>3</v>
      </c>
      <c r="N44" s="192">
        <f>L44-M44</f>
        <v>-2</v>
      </c>
      <c r="O44" s="192">
        <f>IFERROR(INDEX('[1]SALES PERTYPE'!$G$10:$G$52,MATCH($C44,'[1]SALES PERTYPE'!$B$10:$B$52,0)),0)</f>
        <v>2799000</v>
      </c>
      <c r="P44" s="192" cm="1">
        <f t="array" ref="P44">IFERROR(INDEX('[1]Sales per type juli'!$D$10:$BA$51,MATCH($C44,'[1]Sales per type juli'!$B$10:$B$51,0),MATCH("Y11d",'[1]Sales per type juli'!$D$8:$BA$8,0)+1),0)</f>
        <v>8397000</v>
      </c>
      <c r="Q44" s="192">
        <f>O44-P44</f>
        <v>-5598000</v>
      </c>
      <c r="R44" s="192">
        <f>IFERROR(INDEX('[1]SALES PERTYPE'!$H$10:$H$52,MATCH($C44,'[1]SALES PERTYPE'!$B$10:$B$52,0)),0)</f>
        <v>0</v>
      </c>
      <c r="S44" s="192">
        <f>IFERROR(INDEX('[1]Sales per type juli'!$D$10:$BA$51,MATCH($C44,'[1]Sales per type juli'!$B$10:$B$51,0),MATCH("Watch GT 2",'[1]Sales per type juli'!$D$8:$BA$8,0)),0)</f>
        <v>0</v>
      </c>
      <c r="T44" s="192">
        <f>R44-S44</f>
        <v>0</v>
      </c>
      <c r="U44" s="192">
        <f>IFERROR(INDEX('[1]SALES PERTYPE'!$I$10:$I$52,MATCH($C44,'[1]SALES PERTYPE'!$B$10:$B$52,0)),0)</f>
        <v>0</v>
      </c>
      <c r="V44" s="192" cm="1">
        <f t="array" ref="V44">IFERROR(INDEX('[1]Sales per type juli'!$D$10:$BA$51,MATCH($C44,'[1]Sales per type juli'!$B$10:$B$51,0),MATCH("Watch GT 2",'[1]Sales per type juli'!$D$8:$BA$8,0)+1),0)</f>
        <v>0</v>
      </c>
      <c r="W44" s="192">
        <f>U44-V44</f>
        <v>0</v>
      </c>
      <c r="X44" s="192">
        <f>IFERROR(INDEX('[1]SALES PERTYPE'!$J$10:$J$52,MATCH($C44,'[1]SALES PERTYPE'!$B$10:$B$52,0)),0)</f>
        <v>1</v>
      </c>
      <c r="Y44" s="192">
        <f>IFERROR(INDEX('[1]Sales per type juli'!$D$10:$BA$51,MATCH($C44,'[1]Sales per type juli'!$B$10:$B$51,0),MATCH("Y05e",'[1]Sales per type juli'!$D$8:$BA$8,0)),0)</f>
        <v>0</v>
      </c>
      <c r="Z44" s="192">
        <f>X44-Y44</f>
        <v>1</v>
      </c>
      <c r="AA44" s="192">
        <f>IFERROR(INDEX('[1]SALES PERTYPE'!$K$10:$K$52,MATCH($C44,'[1]SALES PERTYPE'!$B$10:$B$52,0)),0)</f>
        <v>2099000</v>
      </c>
      <c r="AB44" s="192" cm="1">
        <f t="array" ref="AB44">IFERROR(INDEX('[1]Sales per type juli'!$D$10:$BA$51,MATCH($C44,'[1]Sales per type juli'!$B$10:$B$51,0),MATCH("Y05e",'[1]Sales per type juli'!$D$8:$BA$8,0)+1),0)</f>
        <v>0</v>
      </c>
      <c r="AC44" s="192">
        <f>AA44-AB44</f>
        <v>2099000</v>
      </c>
      <c r="AD44" s="192">
        <f>IFERROR(INDEX('[1]SALES PERTYPE'!$L$10:$L$52,MATCH($C44,'[1]SALES PERTYPE'!$B$10:$B$52,0)),0)</f>
        <v>1</v>
      </c>
      <c r="AE44" s="192">
        <f>IFERROR(INDEX('[1]Sales per type juli'!$D$10:$BA$51,MATCH($C44,'[1]Sales per type juli'!$B$10:$B$51,0),MATCH("V70",'[1]Sales per type juli'!$D$8:$BA$8,0)),0)</f>
        <v>1</v>
      </c>
      <c r="AF44" s="192">
        <f>AD44-AE44</f>
        <v>0</v>
      </c>
      <c r="AG44" s="192">
        <f>IFERROR(INDEX('[1]SALES PERTYPE'!$M$10:$M$52,MATCH($C44,'[1]SALES PERTYPE'!$B$10:$B$52,0)),0)</f>
        <v>8999000</v>
      </c>
      <c r="AH44" s="192" cm="1">
        <f t="array" ref="AH44">IFERROR(INDEX('[1]Sales per type juli'!$D$10:$BA$51,MATCH($C44,'[1]Sales per type juli'!$B$10:$B$51,0),MATCH("V70",'[1]Sales per type juli'!$D$8:$BA$8,0)+1),0)</f>
        <v>8999000</v>
      </c>
      <c r="AI44" s="192">
        <f>AG44-AH44</f>
        <v>0</v>
      </c>
      <c r="AJ44" s="192">
        <f>IFERROR(INDEX('[1]SALES PERTYPE'!$N$10:$N$52,MATCH($C44,'[1]SALES PERTYPE'!$B$10:$B$52,0)),0)</f>
        <v>3</v>
      </c>
      <c r="AK44" s="192">
        <f>IFERROR(INDEX('[1]Sales per type juli'!$D$10:$BA$51,MATCH($C44,'[1]Sales per type juli'!$B$10:$B$51,0),MATCH("Y31d Pro",'[1]Sales per type juli'!$D$8:$BA$8,0)),0)</f>
        <v>0</v>
      </c>
      <c r="AL44" s="192">
        <f>AJ44-AK44</f>
        <v>3</v>
      </c>
      <c r="AM44" s="192">
        <f>IFERROR(INDEX('[1]SALES PERTYPE'!$O$10:$O$52,MATCH($C44,'[1]SALES PERTYPE'!$B$10:$B$52,0)),0)</f>
        <v>13097000</v>
      </c>
      <c r="AN44" s="192" cm="1">
        <f t="array" ref="AN44">IFERROR(INDEX('[1]Sales per type juli'!$D$10:$BA$51,MATCH($C44,'[1]Sales per type juli'!$B$10:$B$51,0),MATCH("Y31d Pro",'[1]Sales per type juli'!$D$8:$BA$8,0)+1),0)</f>
        <v>0</v>
      </c>
      <c r="AO44" s="192">
        <f>AM44-AN44</f>
        <v>13097000</v>
      </c>
      <c r="AP44" s="192">
        <f>IFERROR(INDEX('[1]SALES PERTYPE'!$P$10:$P$52,MATCH($C44,'[1]SALES PERTYPE'!$B$10:$B$52,0)),0)</f>
        <v>0</v>
      </c>
      <c r="AQ44" s="192" cm="1">
        <f t="array" ref="AQ44">IFERROR(INDEX('[1]Sales per type juli'!$D$10:$BA$51,MATCH($C44,'[1]Sales per type juli'!$B$10:$B$51,0),$FG$2),0)</f>
        <v>0</v>
      </c>
      <c r="AR44" s="192">
        <f>AP44-AQ44</f>
        <v>0</v>
      </c>
      <c r="AS44" s="192">
        <f>IFERROR(INDEX('[1]SALES PERTYPE'!$Q$10:$Q$52,MATCH($C44,'[1]SALES PERTYPE'!$B$10:$B$52,0)),0)</f>
        <v>0</v>
      </c>
      <c r="AT44" s="192" cm="1">
        <f t="array" ref="AT44">IFERROR(INDEX('[1]Sales per type juli'!$D$10:$BA$51,MATCH($C44,'[1]Sales per type juli'!$B$10:$B$51,0),$FG$2+1),0)</f>
        <v>0</v>
      </c>
      <c r="AU44" s="192">
        <f>AS44-AT44</f>
        <v>0</v>
      </c>
      <c r="AV44" s="192">
        <f>IFERROR(INDEX('[1]SALES PERTYPE'!$R$10:$R$52,MATCH($C44,'[1]SALES PERTYPE'!$B$10:$B$52,0)),0)</f>
        <v>0</v>
      </c>
      <c r="AW44" s="192">
        <f>IFERROR(INDEX('[1]Sales per type juli'!$D$10:$BA$51,MATCH($C44,'[1]Sales per type juli'!$B$10:$B$51,0),MATCH("Y31d ",'[1]Sales per type juli'!$D$8:$BA$8,0)),0)</f>
        <v>1</v>
      </c>
      <c r="AX44" s="192">
        <f>AV44-AW44</f>
        <v>-1</v>
      </c>
      <c r="AY44" s="192">
        <f>IFERROR(INDEX('[1]SALES PERTYPE'!$S$10:$S$52,MATCH($C44,'[1]SALES PERTYPE'!$B$10:$B$52,0)),0)</f>
        <v>0</v>
      </c>
      <c r="AZ44" s="192" cm="1">
        <f t="array" ref="AZ44">IFERROR(INDEX('[1]Sales per type juli'!$D$10:$BA$51,MATCH($C44,'[1]Sales per type juli'!$B$10:$B$51,0),MATCH("Y31d ",'[1]Sales per type juli'!$D$8:$BA$8,0)+1),0)</f>
        <v>3599000</v>
      </c>
      <c r="BA44" s="192">
        <f>AY44-AZ44</f>
        <v>-3599000</v>
      </c>
      <c r="BB44" s="192">
        <f>IFERROR(INDEX('[1]SALES PERTYPE'!$T$10:$T$52,MATCH($C44,'[1]SALES PERTYPE'!$B$10:$B$52,0)),0)</f>
        <v>2</v>
      </c>
      <c r="BC44" s="192">
        <f>IFERROR(INDEX('[1]Sales per type juli'!$D$10:$BA$51,MATCH($C44,'[1]Sales per type juli'!$B$10:$B$51,0),MATCH("V70 FE",'[1]Sales per type juli'!$D$8:$BA$8,0)),0)</f>
        <v>2</v>
      </c>
      <c r="BD44" s="192">
        <f>BB44-BC44</f>
        <v>0</v>
      </c>
      <c r="BE44" s="192">
        <f>IFERROR(INDEX('[1]SALES PERTYPE'!$U$10:$U$52,MATCH($C44,'[1]SALES PERTYPE'!$B$10:$B$52,0)),0)</f>
        <v>13998000</v>
      </c>
      <c r="BF44" s="192" cm="1">
        <f t="array" ref="BF44">IFERROR(INDEX('[1]Sales per type juli'!$D$10:$BA$51,MATCH($C44,'[1]Sales per type juli'!$B$10:$B$51,0),MATCH("V70 FE",'[1]Sales per type juli'!$D$8:$BA$8,0)+1),0)</f>
        <v>12998000</v>
      </c>
      <c r="BG44" s="192">
        <f>BE44-BF44</f>
        <v>1000000</v>
      </c>
      <c r="BH44" s="192">
        <f>IFERROR(INDEX('[1]SALES PERTYPE'!$V$10:$V$52,MATCH($C44,'[1]SALES PERTYPE'!$B$10:$B$52,0)),0)</f>
        <v>0</v>
      </c>
      <c r="BI44" s="192">
        <f>IFERROR(INDEX('[1]Sales per type juli'!$D$10:$BA$51,MATCH($C44,'[1]Sales per type juli'!$B$10:$B$51,0),MATCH("Y31d",'[1]Sales per type juli'!$D$8:$BA$8,0)),0)</f>
        <v>2</v>
      </c>
      <c r="BJ44" s="192">
        <f>BH44-BI44</f>
        <v>-2</v>
      </c>
      <c r="BK44" s="192">
        <f>IFERROR(INDEX('[1]SALES PERTYPE'!$W$10:$W$52,MATCH($C44,'[1]SALES PERTYPE'!$B$10:$B$52,0)),0)</f>
        <v>0</v>
      </c>
      <c r="BL44" s="192" cm="1">
        <f t="array" ref="BL44">IFERROR(INDEX('[1]Sales per type juli'!$D$10:$BA$51,MATCH($C44,'[1]Sales per type juli'!$B$10:$B$51,0),MATCH("Y31d",'[1]Sales per type juli'!$D$8:$BA$8,0)+1),0)</f>
        <v>7198000</v>
      </c>
      <c r="BM44" s="192">
        <f>BK44-BL44</f>
        <v>-7198000</v>
      </c>
      <c r="BN44" s="192">
        <f>IFERROR(INDEX('[1]SALES PERTYPE'!$X$10:$X$52,MATCH($C44,'[1]SALES PERTYPE'!$B$10:$B$52,0)),0)</f>
        <v>1</v>
      </c>
      <c r="BO44" s="192">
        <f>IFERROR(INDEX('[1]Sales per type juli'!$D$10:$BA$51,MATCH($C44,'[1]Sales per type juli'!$B$10:$B$51,0),MATCH("Y500",'[1]Sales per type juli'!$D$8:$BA$8,0)),0)</f>
        <v>3</v>
      </c>
      <c r="BP44" s="192">
        <f>BN44-BO44</f>
        <v>-2</v>
      </c>
      <c r="BQ44" s="192">
        <f>IFERROR(INDEX('[1]SALES PERTYPE'!$Y$10:$Y$52,MATCH($C44,'[1]SALES PERTYPE'!$B$10:$B$52,0)),0)</f>
        <v>6299000</v>
      </c>
      <c r="BR44" s="192" cm="1">
        <f t="array" ref="BR44">IFERROR(INDEX('[1]Sales per type juli'!$D$10:$BA$51,MATCH($C44,'[1]Sales per type juli'!$B$10:$B$51,0),MATCH("Y500",'[1]Sales per type juli'!$D$8:$BA$8,0)+1),0)</f>
        <v>18897000</v>
      </c>
      <c r="BS44" s="192">
        <f>BQ44-BR44</f>
        <v>-12598000</v>
      </c>
      <c r="BT44" s="192">
        <f>IFERROR(INDEX('[1]SALES PERTYPE'!$Z$10:$Z$52,MATCH($C44,'[1]SALES PERTYPE'!$B$10:$B$52,0)),0)</f>
        <v>2</v>
      </c>
      <c r="BU44" s="192">
        <f>IFERROR(INDEX('[1]Sales per type juli'!$D$10:$BA$51,MATCH($C44,'[1]Sales per type juli'!$B$10:$B$51,0),MATCH("IQOO 15R",'[1]Sales per type juli'!$D$8:$BA$8,0)),0)</f>
        <v>1</v>
      </c>
      <c r="BV44" s="192">
        <f>BT44-BU44</f>
        <v>1</v>
      </c>
      <c r="BW44" s="192">
        <f>IFERROR(INDEX('[1]SALES PERTYPE'!$AA$10:$AA$52,MATCH($C44,'[1]SALES PERTYPE'!$B$10:$B$52,0)),0)</f>
        <v>23998000</v>
      </c>
      <c r="BX44" s="192" cm="1">
        <f t="array" ref="BX44">IFERROR(INDEX('[1]Sales per type juli'!$D$10:$BA$51,MATCH($C44,'[1]Sales per type juli'!$B$10:$B$51,0),MATCH("IQOO 15R",'[1]Sales per type juli'!$D$8:$BA$8,0)+1),0)</f>
        <v>9899000</v>
      </c>
      <c r="BY44" s="192">
        <f>BW44-BX44</f>
        <v>14099000</v>
      </c>
      <c r="BZ44" s="192">
        <f>IFERROR(INDEX('[1]SALES PERTYPE'!$AB$10:$AB$52,MATCH($C44,'[1]SALES PERTYPE'!$B$10:$B$52,0)),0)</f>
        <v>0</v>
      </c>
      <c r="CA44" s="192">
        <f>IFERROR(INDEX('[1]Sales per type juli'!$D$10:$BA$51,MATCH($C44,'[1]Sales per type juli'!$B$10:$B$51,0),MATCH("V60 Lite",'[1]Sales per type juli'!$D$8:$BA$8,0)),0)</f>
        <v>2</v>
      </c>
      <c r="CB44" s="192">
        <f>BZ44-CA44</f>
        <v>-2</v>
      </c>
      <c r="CC44" s="192">
        <f>IFERROR(INDEX('[1]SALES PERTYPE'!$AC$10:$AC$52,MATCH($C44,'[1]SALES PERTYPE'!$B$10:$B$52,0)),0)</f>
        <v>0</v>
      </c>
      <c r="CD44" s="192" cm="1">
        <f t="array" ref="CD44">IFERROR(INDEX('[1]Sales per type juli'!$D$10:$BA$51,MATCH($C44,'[1]Sales per type juli'!$B$10:$B$51,0),MATCH("V60 Lite",'[1]Sales per type juli'!$D$8:$BA$8,0)+1),0)</f>
        <v>10598000</v>
      </c>
      <c r="CE44" s="192">
        <f>CC44-CD44</f>
        <v>-10598000</v>
      </c>
      <c r="CF44" s="192">
        <f>IFERROR(INDEX('[1]SALES PERTYPE'!$AD$10:$AD$52,MATCH($C44,'[1]SALES PERTYPE'!$B$10:$B$52,0)),0)</f>
        <v>0</v>
      </c>
      <c r="CG44" s="192">
        <f>IFERROR(INDEX('[1]Sales per type juli'!$D$10:$BA$51,MATCH($C44,'[1]Sales per type juli'!$B$10:$B$51,0),MATCH("X300 Ultra",'[1]Sales per type juli'!$D$8:$BA$8,0)),0)</f>
        <v>0</v>
      </c>
      <c r="CH44" s="192">
        <f>CF44-CG44</f>
        <v>0</v>
      </c>
      <c r="CI44" s="192">
        <f>IFERROR(INDEX('[1]SALES PERTYPE'!$AE$10:$AE$52,MATCH($C44,'[1]SALES PERTYPE'!$B$10:$B$52,0)),0)</f>
        <v>0</v>
      </c>
      <c r="CJ44" s="192" cm="1">
        <f t="array" ref="CJ44">IFERROR(INDEX('[1]Sales per type juli'!$D$10:$BA$51,MATCH($C44,'[1]Sales per type juli'!$B$10:$B$51,0),MATCH("X300 Ultra",'[1]Sales per type juli'!$D$8:$BA$8,0)+1),0)</f>
        <v>0</v>
      </c>
      <c r="CK44" s="192">
        <f>CI44-CJ44</f>
        <v>0</v>
      </c>
      <c r="CL44" s="192">
        <f>IFERROR(INDEX('[1]SALES PERTYPE'!$AF$10:$AF$52,MATCH($C44,'[1]SALES PERTYPE'!$B$10:$B$52,0)),0)</f>
        <v>0</v>
      </c>
      <c r="CM44" s="192">
        <f>IFERROR(INDEX('[1]Sales per type juli'!$D$10:$BA$51,MATCH($C44,'[1]Sales per type juli'!$B$10:$B$51,0),MATCH("IQOO 15",'[1]Sales per type juli'!$D$8:$BA$8,0)),0)</f>
        <v>1</v>
      </c>
      <c r="CN44" s="192">
        <f>CL44-CM44</f>
        <v>-1</v>
      </c>
      <c r="CO44" s="192">
        <f>IFERROR(INDEX('[1]SALES PERTYPE'!$AG$10:$AG$52,MATCH($C44,'[1]SALES PERTYPE'!$B$10:$B$52,0)),0)</f>
        <v>0</v>
      </c>
      <c r="CP44" s="192" cm="1">
        <f t="array" ref="CP44">IFERROR(INDEX('[1]Sales per type juli'!$D$10:$BA$51,MATCH($C44,'[1]Sales per type juli'!$B$10:$B$51,0),MATCH("IQOO 15",'[1]Sales per type juli'!$D$8:$BA$8,0)+1),0)</f>
        <v>13999000</v>
      </c>
      <c r="CQ44" s="192">
        <f>CO44-CP44</f>
        <v>-13999000</v>
      </c>
      <c r="CR44" s="192">
        <f>IFERROR(INDEX('[1]SALES PERTYPE'!$AH$10:$AH$52,MATCH($C44,'[1]SALES PERTYPE'!$B$10:$B$52,0)),0)</f>
        <v>0</v>
      </c>
      <c r="CS44" s="192">
        <f>IFERROR(INDEX('[1]Sales per type juli'!$D$10:$BA$51,MATCH($C44,'[1]Sales per type juli'!$B$10:$B$51,0),MATCH("IQOO Z11x",'[1]Sales per type juli'!$D$8:$BA$8,0)),0)</f>
        <v>1</v>
      </c>
      <c r="CT44" s="192">
        <f>CR44-CS44</f>
        <v>-1</v>
      </c>
      <c r="CU44" s="192">
        <f>IFERROR(INDEX('[1]SALES PERTYPE'!$AI$10:$AI$52,MATCH($C44,'[1]SALES PERTYPE'!$B$10:$B$52,0)),0)</f>
        <v>0</v>
      </c>
      <c r="CV44" s="192" cm="1">
        <f t="array" ref="CV44">IFERROR(INDEX('[1]Sales per type juli'!$D$10:$BA$51,MATCH($C44,'[1]Sales per type juli'!$B$10:$B$51,0),MATCH("IQOO Z11x",'[1]Sales per type juli'!$D$8:$BA$8,0)+1),0)</f>
        <v>4799000</v>
      </c>
      <c r="CW44" s="192">
        <f>CU44-CV44</f>
        <v>-4799000</v>
      </c>
      <c r="CX44" s="192">
        <f>IFERROR(INDEX('[1]SALES PERTYPE'!$AJ$10:$AJ$52,MATCH($C44,'[1]SALES PERTYPE'!$B$10:$B$52,0)),0)</f>
        <v>2</v>
      </c>
      <c r="CY44" s="192">
        <f>IFERROR(INDEX('[1]Sales per type juli'!$D$10:$BA$51,MATCH($C44,'[1]Sales per type juli'!$B$10:$B$51,0),MATCH("IQOO Z11",'[1]Sales per type juli'!$D$8:$BA$8,0)),0)</f>
        <v>5</v>
      </c>
      <c r="CZ44" s="192">
        <f>CX44-CY44</f>
        <v>-3</v>
      </c>
      <c r="DA44" s="192">
        <f>IFERROR(INDEX('[1]SALES PERTYPE'!$AK$10:$AK$52,MATCH($C44,'[1]SALES PERTYPE'!$B$10:$B$52,0)),0)</f>
        <v>15098000</v>
      </c>
      <c r="DB44" s="192" cm="1">
        <f t="array" ref="DB44">IFERROR(INDEX('[1]Sales per type juli'!$D$10:$BA$51,MATCH($C44,'[1]Sales per type juli'!$B$10:$B$51,0),MATCH("IQOO Z11",'[1]Sales per type juli'!$D$8:$BA$8,0)+1),0)</f>
        <v>28495000</v>
      </c>
      <c r="DC44" s="192">
        <f>DA44-DB44</f>
        <v>-13397000</v>
      </c>
      <c r="DD44" s="192">
        <v>0</v>
      </c>
      <c r="DE44" s="192">
        <f>IFERROR(INDEX('[1]Sales per type juli'!$D$10:$BA$51,MATCH($C44,'[1]Sales per type juli'!$B$10:$B$51,0),MATCH("WATCH 3",'[1]Sales per type juli'!$D$8:$BA$8,0)),0)</f>
        <v>1</v>
      </c>
      <c r="DF44" s="192">
        <f>DD44-DE44</f>
        <v>-1</v>
      </c>
      <c r="DG44" s="192">
        <v>0</v>
      </c>
      <c r="DH44" s="192" cm="1">
        <f t="array" ref="DH44">IFERROR(INDEX('[1]Sales per type juli'!$D$10:$BA$51,MATCH($C44,'[1]Sales per type juli'!$B$10:$B$51,0),MATCH("WATCH 3",'[1]Sales per type juli'!$D$8:$BA$8,0)+1),0)</f>
        <v>2999000</v>
      </c>
      <c r="DI44" s="192">
        <f>DG44-DH44</f>
        <v>-2999000</v>
      </c>
      <c r="DJ44" s="192">
        <v>0</v>
      </c>
      <c r="DK44" s="192">
        <f>IFERROR(INDEX('[1]Sales per type juli'!$D$10:$BA$51,MATCH($C44,'[1]Sales per type juli'!$B$10:$B$51,0),MATCH("X300 Demo",'[1]Sales per type juli'!$D$8:$BA$8,0)),0)</f>
        <v>0</v>
      </c>
      <c r="DL44" s="192">
        <f>DJ44-DK44</f>
        <v>0</v>
      </c>
      <c r="DM44" s="192">
        <v>0</v>
      </c>
      <c r="DN44" s="192" cm="1">
        <f t="array" ref="DN44">IFERROR(INDEX('[1]Sales per type juli'!$D$10:$BA$51,MATCH($C44,'[1]Sales per type juli'!$B$10:$B$51,0),MATCH("X300 Demo",'[1]Sales per type juli'!$D$8:$BA$8,0)+1),0)</f>
        <v>0</v>
      </c>
      <c r="DO44" s="192">
        <f>DM44-DN44</f>
        <v>0</v>
      </c>
      <c r="DP44" s="192">
        <v>0</v>
      </c>
      <c r="DQ44" s="192">
        <f>IFERROR(INDEX('[1]Sales per type juli'!$D$10:$BA$51,MATCH($C44,'[1]Sales per type juli'!$B$10:$B$51,0),MATCH("X300 Pro Demo",'[1]Sales per type juli'!$D$8:$BA$8,0)),0)</f>
        <v>0</v>
      </c>
      <c r="DR44" s="192">
        <f>DP44-DQ44</f>
        <v>0</v>
      </c>
      <c r="DS44" s="192">
        <v>0</v>
      </c>
      <c r="DT44" s="192" cm="1">
        <f t="array" ref="DT44">IFERROR(INDEX('[1]Sales per type juli'!$D$10:$BA$51,MATCH($C44,'[1]Sales per type juli'!$B$10:$B$51,0),MATCH("X300 Pro Demo",'[1]Sales per type juli'!$D$8:$BA$8,0)+1),0)</f>
        <v>0</v>
      </c>
      <c r="DU44" s="192">
        <f>DS44-DT44</f>
        <v>0</v>
      </c>
      <c r="DV44" s="192">
        <v>0</v>
      </c>
      <c r="DW44" s="192">
        <f>IFERROR(INDEX('[1]Sales per type juli'!$D$10:$BA$51,MATCH($C44,'[1]Sales per type juli'!$B$10:$B$51,0),MATCH("X Fold5 DEMO",'[1]Sales per type juli'!$D$8:$BA$8,0)),0)</f>
        <v>0</v>
      </c>
      <c r="DX44" s="192">
        <f>DV44-DW44</f>
        <v>0</v>
      </c>
      <c r="DY44" s="192">
        <v>0</v>
      </c>
      <c r="DZ44" s="192" cm="1">
        <f t="array" ref="DZ44">IFERROR(INDEX('[1]Sales per type juli'!$D$10:$BA$51,MATCH($C44,'[1]Sales per type juli'!$B$10:$B$51,0),MATCH("X Fold5 DEMO",'[1]Sales per type juli'!$D$8:$BA$8,0)+1),0)</f>
        <v>0</v>
      </c>
      <c r="EA44" s="192">
        <f>DY44-DZ44</f>
        <v>0</v>
      </c>
      <c r="EB44" s="192">
        <v>0</v>
      </c>
      <c r="EC44" s="192">
        <f>IFERROR(INDEX('[1]Sales per type juli'!$D$10:$BA$51,MATCH($C44,'[1]Sales per type juli'!$B$10:$B$51,0),MATCH("X Fold5",'[1]Sales per type juli'!$D$8:$BA$8,0)),0)</f>
        <v>0</v>
      </c>
      <c r="ED44" s="192">
        <f>EB44-EC44</f>
        <v>0</v>
      </c>
      <c r="EE44" s="192">
        <v>0</v>
      </c>
      <c r="EF44" s="192" cm="1">
        <f t="array" ref="EF44">IFERROR(INDEX('[1]Sales per type juli'!$D$10:$BA$51,MATCH($C44,'[1]Sales per type juli'!$B$10:$B$51,0),MATCH("X Fold5",'[1]Sales per type juli'!$D$8:$BA$8,0)+1),0)</f>
        <v>0</v>
      </c>
      <c r="EG44" s="192">
        <f>EE44-EF44</f>
        <v>0</v>
      </c>
      <c r="EH44" s="192">
        <v>0</v>
      </c>
      <c r="EI44" s="192">
        <f>IFERROR(INDEX('[1]Sales per type juli'!$D$10:$BA$51,MATCH($C44,'[1]Sales per type juli'!$B$10:$B$51,0),MATCH("IQOO 15 Demo",'[1]Sales per type juli'!$D$8:$BA$8,0)),0)</f>
        <v>0</v>
      </c>
      <c r="EJ44" s="192">
        <f>EH44-EI44</f>
        <v>0</v>
      </c>
      <c r="EK44" s="192">
        <v>0</v>
      </c>
      <c r="EL44" s="192" cm="1">
        <f t="array" ref="EL44">IFERROR(INDEX('[1]Sales per type juli'!$D$10:$BA$51,MATCH($C44,'[1]Sales per type juli'!$B$10:$B$51,0),MATCH("IQOO 15 Demo",'[1]Sales per type juli'!$D$8:$BA$8,0)+1),0)</f>
        <v>0</v>
      </c>
      <c r="EM44" s="192">
        <f>EK44-EL44</f>
        <v>0</v>
      </c>
      <c r="EN44" s="192">
        <v>0</v>
      </c>
      <c r="EO44" s="192">
        <f>IFERROR(INDEX('[1]Sales per type juli'!$D$10:$BA$51,MATCH($C44,'[1]Sales per type juli'!$B$10:$B$51,0),MATCH("X300 PRO",'[1]Sales per type juli'!$D$8:$BA$8,0)),0)</f>
        <v>0</v>
      </c>
      <c r="EP44" s="192">
        <f>EN44-EO44</f>
        <v>0</v>
      </c>
      <c r="EQ44" s="192">
        <v>0</v>
      </c>
      <c r="ER44" s="192" cm="1">
        <f t="array" ref="ER44">IFERROR(INDEX('[1]Sales per type juli'!$D$10:$BA$51,MATCH($C44,'[1]Sales per type juli'!$B$10:$B$51,0),MATCH("X300 PRO",'[1]Sales per type juli'!$D$8:$BA$8,0)+1),0)</f>
        <v>0</v>
      </c>
      <c r="ES44" s="192">
        <f>EQ44-ER44</f>
        <v>0</v>
      </c>
      <c r="ET44" s="192">
        <v>0</v>
      </c>
      <c r="EU44" s="192">
        <f>IFERROR(INDEX('[1]Sales per type juli'!$D$10:$BA$51,MATCH($C44,'[1]Sales per type juli'!$B$10:$B$51,0),MATCH("X300 ",'[1]Sales per type juli'!$D$8:$BA$8,0)),0)</f>
        <v>0</v>
      </c>
      <c r="EV44" s="192">
        <f>ET44-EU44</f>
        <v>0</v>
      </c>
      <c r="EW44" s="192">
        <v>0</v>
      </c>
      <c r="EX44" s="192" cm="1">
        <f t="array" ref="EX44">IFERROR(INDEX('[1]Sales per type juli'!$D$10:$BA$51,MATCH($C44,'[1]Sales per type juli'!$B$10:$B$51,0),MATCH("X300 ",'[1]Sales per type juli'!$D$8:$BA$8,0)+1),0)</f>
        <v>0</v>
      </c>
      <c r="EY44" s="192">
        <f>EW44-EX44</f>
        <v>0</v>
      </c>
      <c r="EZ44" s="192">
        <f>F44+L44+R44+X44+AD44+AJ44+AP44+AV44+BB44+BH44+BN44+BT44+BZ44+CF44+CL44+CR44+CX44+DD44+DJ44+DP44+DV44+EB44+EH44+EN44+ET44</f>
        <v>15</v>
      </c>
      <c r="FA44" s="192">
        <f>G44+M44+S44+Y44+AE44+AK44+AQ44+AW44+BC44+BI44+BO44+BU44+CA44+CG44+CM44+CS44+CY44+DE44+DK44+DQ44+DW44+EC44+EI44+EO44+EU44</f>
        <v>24</v>
      </c>
      <c r="FB44" s="192">
        <f>EZ44-FA44</f>
        <v>-9</v>
      </c>
      <c r="FC44" s="192">
        <f>I44+O44+U44+AA44+AG44+AM44+AS44+AY44+BE44+BK44+BQ44+BW44+CC44+CI44+CO44+CU44+DA44+DG44+DM44+DS44+DY44+EE44+EK44+EQ44+EW44</f>
        <v>90985000</v>
      </c>
      <c r="FD44" s="192">
        <f>J44+P44+V44+AB44+AH44+AN44+AT44+AZ44+BF44+BL44+BR44+BX44+CD44+CJ44+CP44+CV44+DB44+DH44+DN44+DT44+DZ44+EF44+EL44+ER44+EX44</f>
        <v>133276000</v>
      </c>
      <c r="FE44" s="192">
        <f>FC44-FD44</f>
        <v>-42291000</v>
      </c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</row>
    <row r="45" spans="1:208" ht="16" x14ac:dyDescent="0.2">
      <c r="A45" s="137">
        <f>'[1]ACHIEVEMENT STORE'!A45</f>
        <v>41</v>
      </c>
      <c r="B45" s="138" t="str">
        <f>'[1]ACHIEVEMENT STORE'!B45</f>
        <v>614 三宝垄 Semarang</v>
      </c>
      <c r="C45" s="137">
        <f>'[1]ACHIEVEMENT STORE'!C45</f>
        <v>6100702</v>
      </c>
      <c r="D45" s="138" t="str">
        <f>'[1]ACHIEVEMENT STORE'!D45</f>
        <v>6100702-VS Jogja City Mall</v>
      </c>
      <c r="E45" s="138" t="str">
        <f>'[1]ACHIEVEMENT STORE'!E45</f>
        <v>BIRILYAN KUSWARA</v>
      </c>
      <c r="F45" s="192">
        <f>IFERROR(INDEX('[1]SALES PERTYPE'!$D$10:$D$52,MATCH($C45,'[1]SALES PERTYPE'!$B$10:$B$52,0)),0)</f>
        <v>0</v>
      </c>
      <c r="G45" s="192">
        <f>IFERROR(INDEX('[1]Sales per type juli'!$D$10:$BA$51,MATCH($C45,'[1]Sales per type juli'!$B$10:$B$51,0),MATCH("Y05",'[1]Sales per type juli'!$D$8:$BA$8,0)),0)</f>
        <v>2</v>
      </c>
      <c r="H45" s="192">
        <f>F45-G45</f>
        <v>-2</v>
      </c>
      <c r="I45" s="192">
        <f>IFERROR(INDEX('[1]SALES PERTYPE'!$E$10:$E$52,MATCH($C45,'[1]SALES PERTYPE'!$B$10:$B$52,0)),0)</f>
        <v>0</v>
      </c>
      <c r="J45" s="192" cm="1">
        <f t="array" ref="J45">IFERROR(INDEX('[1]Sales per type juli'!$D$10:$BA$51,MATCH($C45,'[1]Sales per type juli'!$B$10:$B$51,0),MATCH("Y05",'[1]Sales per type juli'!$D$8:$BA$8,0)+1),0)</f>
        <v>4498000</v>
      </c>
      <c r="K45" s="192">
        <f>I45-J45</f>
        <v>-4498000</v>
      </c>
      <c r="L45" s="192">
        <f>IFERROR(INDEX('[1]SALES PERTYPE'!$F$10:$F$52,MATCH($C45,'[1]SALES PERTYPE'!$B$10:$B$52,0)),0)</f>
        <v>2</v>
      </c>
      <c r="M45" s="192">
        <f>IFERROR(INDEX('[1]Sales per type juli'!$D$10:$BA$51,MATCH($C45,'[1]Sales per type juli'!$B$10:$B$51,0),MATCH("Y11d",'[1]Sales per type juli'!$D$8:$BA$8,0)),0)</f>
        <v>3</v>
      </c>
      <c r="N45" s="192">
        <f>L45-M45</f>
        <v>-1</v>
      </c>
      <c r="O45" s="192">
        <f>IFERROR(INDEX('[1]SALES PERTYPE'!$G$10:$G$52,MATCH($C45,'[1]SALES PERTYPE'!$B$10:$B$52,0)),0)</f>
        <v>5198000</v>
      </c>
      <c r="P45" s="192" cm="1">
        <f t="array" ref="P45">IFERROR(INDEX('[1]Sales per type juli'!$D$10:$BA$51,MATCH($C45,'[1]Sales per type juli'!$B$10:$B$51,0),MATCH("Y11d",'[1]Sales per type juli'!$D$8:$BA$8,0)+1),0)</f>
        <v>7597000</v>
      </c>
      <c r="Q45" s="192">
        <f>O45-P45</f>
        <v>-2399000</v>
      </c>
      <c r="R45" s="192">
        <f>IFERROR(INDEX('[1]SALES PERTYPE'!$H$10:$H$52,MATCH($C45,'[1]SALES PERTYPE'!$B$10:$B$52,0)),0)</f>
        <v>0</v>
      </c>
      <c r="S45" s="192">
        <f>IFERROR(INDEX('[1]Sales per type juli'!$D$10:$BA$51,MATCH($C45,'[1]Sales per type juli'!$B$10:$B$51,0),MATCH("Watch GT 2",'[1]Sales per type juli'!$D$8:$BA$8,0)),0)</f>
        <v>1</v>
      </c>
      <c r="T45" s="192">
        <f>R45-S45</f>
        <v>-1</v>
      </c>
      <c r="U45" s="192">
        <f>IFERROR(INDEX('[1]SALES PERTYPE'!$I$10:$I$52,MATCH($C45,'[1]SALES PERTYPE'!$B$10:$B$52,0)),0)</f>
        <v>0</v>
      </c>
      <c r="V45" s="192" cm="1">
        <f t="array" ref="V45">IFERROR(INDEX('[1]Sales per type juli'!$D$10:$BA$51,MATCH($C45,'[1]Sales per type juli'!$B$10:$B$51,0),MATCH("Watch GT 2",'[1]Sales per type juli'!$D$8:$BA$8,0)+1),0)</f>
        <v>1799000</v>
      </c>
      <c r="W45" s="192">
        <f>U45-V45</f>
        <v>-1799000</v>
      </c>
      <c r="X45" s="192">
        <f>IFERROR(INDEX('[1]SALES PERTYPE'!$J$10:$J$52,MATCH($C45,'[1]SALES PERTYPE'!$B$10:$B$52,0)),0)</f>
        <v>1</v>
      </c>
      <c r="Y45" s="192">
        <f>IFERROR(INDEX('[1]Sales per type juli'!$D$10:$BA$51,MATCH($C45,'[1]Sales per type juli'!$B$10:$B$51,0),MATCH("Y05e",'[1]Sales per type juli'!$D$8:$BA$8,0)),0)</f>
        <v>0</v>
      </c>
      <c r="Z45" s="192">
        <f>X45-Y45</f>
        <v>1</v>
      </c>
      <c r="AA45" s="192">
        <f>IFERROR(INDEX('[1]SALES PERTYPE'!$K$10:$K$52,MATCH($C45,'[1]SALES PERTYPE'!$B$10:$B$52,0)),0)</f>
        <v>2099000</v>
      </c>
      <c r="AB45" s="192" cm="1">
        <f t="array" ref="AB45">IFERROR(INDEX('[1]Sales per type juli'!$D$10:$BA$51,MATCH($C45,'[1]Sales per type juli'!$B$10:$B$51,0),MATCH("Y05e",'[1]Sales per type juli'!$D$8:$BA$8,0)+1),0)</f>
        <v>0</v>
      </c>
      <c r="AC45" s="192">
        <f>AA45-AB45</f>
        <v>2099000</v>
      </c>
      <c r="AD45" s="192">
        <f>IFERROR(INDEX('[1]SALES PERTYPE'!$L$10:$L$52,MATCH($C45,'[1]SALES PERTYPE'!$B$10:$B$52,0)),0)</f>
        <v>0</v>
      </c>
      <c r="AE45" s="192">
        <f>IFERROR(INDEX('[1]Sales per type juli'!$D$10:$BA$51,MATCH($C45,'[1]Sales per type juli'!$B$10:$B$51,0),MATCH("V70",'[1]Sales per type juli'!$D$8:$BA$8,0)),0)</f>
        <v>1</v>
      </c>
      <c r="AF45" s="192">
        <f>AD45-AE45</f>
        <v>-1</v>
      </c>
      <c r="AG45" s="192">
        <f>IFERROR(INDEX('[1]SALES PERTYPE'!$M$10:$M$52,MATCH($C45,'[1]SALES PERTYPE'!$B$10:$B$52,0)),0)</f>
        <v>0</v>
      </c>
      <c r="AH45" s="192" cm="1">
        <f t="array" ref="AH45">IFERROR(INDEX('[1]Sales per type juli'!$D$10:$BA$51,MATCH($C45,'[1]Sales per type juli'!$B$10:$B$51,0),MATCH("V70",'[1]Sales per type juli'!$D$8:$BA$8,0)+1),0)</f>
        <v>8999000</v>
      </c>
      <c r="AI45" s="192">
        <f>AG45-AH45</f>
        <v>-8999000</v>
      </c>
      <c r="AJ45" s="192">
        <f>IFERROR(INDEX('[1]SALES PERTYPE'!$N$10:$N$52,MATCH($C45,'[1]SALES PERTYPE'!$B$10:$B$52,0)),0)</f>
        <v>2</v>
      </c>
      <c r="AK45" s="192">
        <f>IFERROR(INDEX('[1]Sales per type juli'!$D$10:$BA$51,MATCH($C45,'[1]Sales per type juli'!$B$10:$B$51,0),MATCH("Y31d Pro",'[1]Sales per type juli'!$D$8:$BA$8,0)),0)</f>
        <v>1</v>
      </c>
      <c r="AL45" s="192">
        <f>AJ45-AK45</f>
        <v>1</v>
      </c>
      <c r="AM45" s="192">
        <f>IFERROR(INDEX('[1]SALES PERTYPE'!$O$10:$O$52,MATCH($C45,'[1]SALES PERTYPE'!$B$10:$B$52,0)),0)</f>
        <v>8198000</v>
      </c>
      <c r="AN45" s="192" cm="1">
        <f t="array" ref="AN45">IFERROR(INDEX('[1]Sales per type juli'!$D$10:$BA$51,MATCH($C45,'[1]Sales per type juli'!$B$10:$B$51,0),MATCH("Y31d Pro",'[1]Sales per type juli'!$D$8:$BA$8,0)+1),0)</f>
        <v>4299000</v>
      </c>
      <c r="AO45" s="192">
        <f>AM45-AN45</f>
        <v>3899000</v>
      </c>
      <c r="AP45" s="192">
        <f>IFERROR(INDEX('[1]SALES PERTYPE'!$P$10:$P$52,MATCH($C45,'[1]SALES PERTYPE'!$B$10:$B$52,0)),0)</f>
        <v>0</v>
      </c>
      <c r="AQ45" s="192" cm="1">
        <f t="array" ref="AQ45">IFERROR(INDEX('[1]Sales per type juli'!$D$10:$BA$51,MATCH($C45,'[1]Sales per type juli'!$B$10:$B$51,0),$FG$2),0)</f>
        <v>0</v>
      </c>
      <c r="AR45" s="192">
        <f>AP45-AQ45</f>
        <v>0</v>
      </c>
      <c r="AS45" s="192">
        <f>IFERROR(INDEX('[1]SALES PERTYPE'!$Q$10:$Q$52,MATCH($C45,'[1]SALES PERTYPE'!$B$10:$B$52,0)),0)</f>
        <v>0</v>
      </c>
      <c r="AT45" s="192" cm="1">
        <f t="array" ref="AT45">IFERROR(INDEX('[1]Sales per type juli'!$D$10:$BA$51,MATCH($C45,'[1]Sales per type juli'!$B$10:$B$51,0),$FG$2+1),0)</f>
        <v>0</v>
      </c>
      <c r="AU45" s="192">
        <f>AS45-AT45</f>
        <v>0</v>
      </c>
      <c r="AV45" s="192">
        <f>IFERROR(INDEX('[1]SALES PERTYPE'!$R$10:$R$52,MATCH($C45,'[1]SALES PERTYPE'!$B$10:$B$52,0)),0)</f>
        <v>1</v>
      </c>
      <c r="AW45" s="192">
        <f>IFERROR(INDEX('[1]Sales per type juli'!$D$10:$BA$51,MATCH($C45,'[1]Sales per type juli'!$B$10:$B$51,0),MATCH("Y31d ",'[1]Sales per type juli'!$D$8:$BA$8,0)),0)</f>
        <v>0</v>
      </c>
      <c r="AX45" s="192">
        <f>AV45-AW45</f>
        <v>1</v>
      </c>
      <c r="AY45" s="192">
        <f>IFERROR(INDEX('[1]SALES PERTYPE'!$S$10:$S$52,MATCH($C45,'[1]SALES PERTYPE'!$B$10:$B$52,0)),0)</f>
        <v>3599000</v>
      </c>
      <c r="AZ45" s="192" cm="1">
        <f t="array" ref="AZ45">IFERROR(INDEX('[1]Sales per type juli'!$D$10:$BA$51,MATCH($C45,'[1]Sales per type juli'!$B$10:$B$51,0),MATCH("Y31d ",'[1]Sales per type juli'!$D$8:$BA$8,0)+1),0)</f>
        <v>0</v>
      </c>
      <c r="BA45" s="192">
        <f>AY45-AZ45</f>
        <v>3599000</v>
      </c>
      <c r="BB45" s="192">
        <f>IFERROR(INDEX('[1]SALES PERTYPE'!$T$10:$T$52,MATCH($C45,'[1]SALES PERTYPE'!$B$10:$B$52,0)),0)</f>
        <v>0</v>
      </c>
      <c r="BC45" s="192">
        <f>IFERROR(INDEX('[1]Sales per type juli'!$D$10:$BA$51,MATCH($C45,'[1]Sales per type juli'!$B$10:$B$51,0),MATCH("V70 FE",'[1]Sales per type juli'!$D$8:$BA$8,0)),0)</f>
        <v>2</v>
      </c>
      <c r="BD45" s="192">
        <f>BB45-BC45</f>
        <v>-2</v>
      </c>
      <c r="BE45" s="192">
        <f>IFERROR(INDEX('[1]SALES PERTYPE'!$U$10:$U$52,MATCH($C45,'[1]SALES PERTYPE'!$B$10:$B$52,0)),0)</f>
        <v>0</v>
      </c>
      <c r="BF45" s="192" cm="1">
        <f t="array" ref="BF45">IFERROR(INDEX('[1]Sales per type juli'!$D$10:$BA$51,MATCH($C45,'[1]Sales per type juli'!$B$10:$B$51,0),MATCH("V70 FE",'[1]Sales per type juli'!$D$8:$BA$8,0)+1),0)</f>
        <v>12998000</v>
      </c>
      <c r="BG45" s="192">
        <f>BE45-BF45</f>
        <v>-12998000</v>
      </c>
      <c r="BH45" s="192">
        <f>IFERROR(INDEX('[1]SALES PERTYPE'!$V$10:$V$52,MATCH($C45,'[1]SALES PERTYPE'!$B$10:$B$52,0)),0)</f>
        <v>2</v>
      </c>
      <c r="BI45" s="192">
        <f>IFERROR(INDEX('[1]Sales per type juli'!$D$10:$BA$51,MATCH($C45,'[1]Sales per type juli'!$B$10:$B$51,0),MATCH("Y31d",'[1]Sales per type juli'!$D$8:$BA$8,0)),0)</f>
        <v>2</v>
      </c>
      <c r="BJ45" s="192">
        <f>BH45-BI45</f>
        <v>0</v>
      </c>
      <c r="BK45" s="192">
        <f>IFERROR(INDEX('[1]SALES PERTYPE'!$W$10:$W$52,MATCH($C45,'[1]SALES PERTYPE'!$B$10:$B$52,0)),0)</f>
        <v>7198000</v>
      </c>
      <c r="BL45" s="192" cm="1">
        <f t="array" ref="BL45">IFERROR(INDEX('[1]Sales per type juli'!$D$10:$BA$51,MATCH($C45,'[1]Sales per type juli'!$B$10:$B$51,0),MATCH("Y31d",'[1]Sales per type juli'!$D$8:$BA$8,0)+1),0)</f>
        <v>7198000</v>
      </c>
      <c r="BM45" s="192">
        <f>BK45-BL45</f>
        <v>0</v>
      </c>
      <c r="BN45" s="192">
        <f>IFERROR(INDEX('[1]SALES PERTYPE'!$X$10:$X$52,MATCH($C45,'[1]SALES PERTYPE'!$B$10:$B$52,0)),0)</f>
        <v>0</v>
      </c>
      <c r="BO45" s="192">
        <f>IFERROR(INDEX('[1]Sales per type juli'!$D$10:$BA$51,MATCH($C45,'[1]Sales per type juli'!$B$10:$B$51,0),MATCH("Y500",'[1]Sales per type juli'!$D$8:$BA$8,0)),0)</f>
        <v>2</v>
      </c>
      <c r="BP45" s="192">
        <f>BN45-BO45</f>
        <v>-2</v>
      </c>
      <c r="BQ45" s="192">
        <f>IFERROR(INDEX('[1]SALES PERTYPE'!$Y$10:$Y$52,MATCH($C45,'[1]SALES PERTYPE'!$B$10:$B$52,0)),0)</f>
        <v>0</v>
      </c>
      <c r="BR45" s="192" cm="1">
        <f t="array" ref="BR45">IFERROR(INDEX('[1]Sales per type juli'!$D$10:$BA$51,MATCH($C45,'[1]Sales per type juli'!$B$10:$B$51,0),MATCH("Y500",'[1]Sales per type juli'!$D$8:$BA$8,0)+1),0)</f>
        <v>10998000</v>
      </c>
      <c r="BS45" s="192">
        <f>BQ45-BR45</f>
        <v>-10998000</v>
      </c>
      <c r="BT45" s="192">
        <f>IFERROR(INDEX('[1]SALES PERTYPE'!$Z$10:$Z$52,MATCH($C45,'[1]SALES PERTYPE'!$B$10:$B$52,0)),0)</f>
        <v>1</v>
      </c>
      <c r="BU45" s="192">
        <f>IFERROR(INDEX('[1]Sales per type juli'!$D$10:$BA$51,MATCH($C45,'[1]Sales per type juli'!$B$10:$B$51,0),MATCH("IQOO 15R",'[1]Sales per type juli'!$D$8:$BA$8,0)),0)</f>
        <v>1</v>
      </c>
      <c r="BV45" s="192">
        <f>BT45-BU45</f>
        <v>0</v>
      </c>
      <c r="BW45" s="192">
        <f>IFERROR(INDEX('[1]SALES PERTYPE'!$AA$10:$AA$52,MATCH($C45,'[1]SALES PERTYPE'!$B$10:$B$52,0)),0)</f>
        <v>11999000</v>
      </c>
      <c r="BX45" s="192" cm="1">
        <f t="array" ref="BX45">IFERROR(INDEX('[1]Sales per type juli'!$D$10:$BA$51,MATCH($C45,'[1]Sales per type juli'!$B$10:$B$51,0),MATCH("IQOO 15R",'[1]Sales per type juli'!$D$8:$BA$8,0)+1),0)</f>
        <v>9899000</v>
      </c>
      <c r="BY45" s="192">
        <f>BW45-BX45</f>
        <v>2100000</v>
      </c>
      <c r="BZ45" s="192">
        <f>IFERROR(INDEX('[1]SALES PERTYPE'!$AB$10:$AB$52,MATCH($C45,'[1]SALES PERTYPE'!$B$10:$B$52,0)),0)</f>
        <v>2</v>
      </c>
      <c r="CA45" s="192">
        <f>IFERROR(INDEX('[1]Sales per type juli'!$D$10:$BA$51,MATCH($C45,'[1]Sales per type juli'!$B$10:$B$51,0),MATCH("V60 Lite",'[1]Sales per type juli'!$D$8:$BA$8,0)),0)</f>
        <v>2</v>
      </c>
      <c r="CB45" s="192">
        <f>BZ45-CA45</f>
        <v>0</v>
      </c>
      <c r="CC45" s="192">
        <f>IFERROR(INDEX('[1]SALES PERTYPE'!$AC$10:$AC$52,MATCH($C45,'[1]SALES PERTYPE'!$B$10:$B$52,0)),0)</f>
        <v>11798000</v>
      </c>
      <c r="CD45" s="192" cm="1">
        <f t="array" ref="CD45">IFERROR(INDEX('[1]Sales per type juli'!$D$10:$BA$51,MATCH($C45,'[1]Sales per type juli'!$B$10:$B$51,0),MATCH("V60 Lite",'[1]Sales per type juli'!$D$8:$BA$8,0)+1),0)</f>
        <v>10598000</v>
      </c>
      <c r="CE45" s="192">
        <f>CC45-CD45</f>
        <v>1200000</v>
      </c>
      <c r="CF45" s="192">
        <f>IFERROR(INDEX('[1]SALES PERTYPE'!$AD$10:$AD$52,MATCH($C45,'[1]SALES PERTYPE'!$B$10:$B$52,0)),0)</f>
        <v>0</v>
      </c>
      <c r="CG45" s="192">
        <f>IFERROR(INDEX('[1]Sales per type juli'!$D$10:$BA$51,MATCH($C45,'[1]Sales per type juli'!$B$10:$B$51,0),MATCH("X300 Ultra",'[1]Sales per type juli'!$D$8:$BA$8,0)),0)</f>
        <v>2</v>
      </c>
      <c r="CH45" s="192">
        <f>CF45-CG45</f>
        <v>-2</v>
      </c>
      <c r="CI45" s="192">
        <f>IFERROR(INDEX('[1]SALES PERTYPE'!$AE$10:$AE$52,MATCH($C45,'[1]SALES PERTYPE'!$B$10:$B$52,0)),0)</f>
        <v>0</v>
      </c>
      <c r="CJ45" s="192" cm="1">
        <f t="array" ref="CJ45">IFERROR(INDEX('[1]Sales per type juli'!$D$10:$BA$51,MATCH($C45,'[1]Sales per type juli'!$B$10:$B$51,0),MATCH("X300 Ultra",'[1]Sales per type juli'!$D$8:$BA$8,0)+1),0)</f>
        <v>51998000</v>
      </c>
      <c r="CK45" s="192">
        <f>CI45-CJ45</f>
        <v>-51998000</v>
      </c>
      <c r="CL45" s="192">
        <f>IFERROR(INDEX('[1]SALES PERTYPE'!$AF$10:$AF$52,MATCH($C45,'[1]SALES PERTYPE'!$B$10:$B$52,0)),0)</f>
        <v>0</v>
      </c>
      <c r="CM45" s="192">
        <f>IFERROR(INDEX('[1]Sales per type juli'!$D$10:$BA$51,MATCH($C45,'[1]Sales per type juli'!$B$10:$B$51,0),MATCH("IQOO 15",'[1]Sales per type juli'!$D$8:$BA$8,0)),0)</f>
        <v>0</v>
      </c>
      <c r="CN45" s="192">
        <f>CL45-CM45</f>
        <v>0</v>
      </c>
      <c r="CO45" s="192">
        <f>IFERROR(INDEX('[1]SALES PERTYPE'!$AG$10:$AG$52,MATCH($C45,'[1]SALES PERTYPE'!$B$10:$B$52,0)),0)</f>
        <v>0</v>
      </c>
      <c r="CP45" s="192" cm="1">
        <f t="array" ref="CP45">IFERROR(INDEX('[1]Sales per type juli'!$D$10:$BA$51,MATCH($C45,'[1]Sales per type juli'!$B$10:$B$51,0),MATCH("IQOO 15",'[1]Sales per type juli'!$D$8:$BA$8,0)+1),0)</f>
        <v>0</v>
      </c>
      <c r="CQ45" s="192">
        <f>CO45-CP45</f>
        <v>0</v>
      </c>
      <c r="CR45" s="192">
        <f>IFERROR(INDEX('[1]SALES PERTYPE'!$AH$10:$AH$52,MATCH($C45,'[1]SALES PERTYPE'!$B$10:$B$52,0)),0)</f>
        <v>0</v>
      </c>
      <c r="CS45" s="192">
        <f>IFERROR(INDEX('[1]Sales per type juli'!$D$10:$BA$51,MATCH($C45,'[1]Sales per type juli'!$B$10:$B$51,0),MATCH("IQOO Z11x",'[1]Sales per type juli'!$D$8:$BA$8,0)),0)</f>
        <v>2</v>
      </c>
      <c r="CT45" s="192">
        <f>CR45-CS45</f>
        <v>-2</v>
      </c>
      <c r="CU45" s="192">
        <f>IFERROR(INDEX('[1]SALES PERTYPE'!$AI$10:$AI$52,MATCH($C45,'[1]SALES PERTYPE'!$B$10:$B$52,0)),0)</f>
        <v>0</v>
      </c>
      <c r="CV45" s="192" cm="1">
        <f t="array" ref="CV45">IFERROR(INDEX('[1]Sales per type juli'!$D$10:$BA$51,MATCH($C45,'[1]Sales per type juli'!$B$10:$B$51,0),MATCH("IQOO Z11x",'[1]Sales per type juli'!$D$8:$BA$8,0)+1),0)</f>
        <v>9598000</v>
      </c>
      <c r="CW45" s="192">
        <f>CU45-CV45</f>
        <v>-9598000</v>
      </c>
      <c r="CX45" s="192">
        <f>IFERROR(INDEX('[1]SALES PERTYPE'!$AJ$10:$AJ$52,MATCH($C45,'[1]SALES PERTYPE'!$B$10:$B$52,0)),0)</f>
        <v>0</v>
      </c>
      <c r="CY45" s="192">
        <f>IFERROR(INDEX('[1]Sales per type juli'!$D$10:$BA$51,MATCH($C45,'[1]Sales per type juli'!$B$10:$B$51,0),MATCH("IQOO Z11",'[1]Sales per type juli'!$D$8:$BA$8,0)),0)</f>
        <v>3</v>
      </c>
      <c r="CZ45" s="192">
        <f>CX45-CY45</f>
        <v>-3</v>
      </c>
      <c r="DA45" s="192">
        <f>IFERROR(INDEX('[1]SALES PERTYPE'!$AK$10:$AK$52,MATCH($C45,'[1]SALES PERTYPE'!$B$10:$B$52,0)),0)</f>
        <v>0</v>
      </c>
      <c r="DB45" s="192" cm="1">
        <f t="array" ref="DB45">IFERROR(INDEX('[1]Sales per type juli'!$D$10:$BA$51,MATCH($C45,'[1]Sales per type juli'!$B$10:$B$51,0),MATCH("IQOO Z11",'[1]Sales per type juli'!$D$8:$BA$8,0)+1),0)</f>
        <v>17097000</v>
      </c>
      <c r="DC45" s="192">
        <f>DA45-DB45</f>
        <v>-17097000</v>
      </c>
      <c r="DD45" s="192">
        <v>0</v>
      </c>
      <c r="DE45" s="192">
        <f>IFERROR(INDEX('[1]Sales per type juli'!$D$10:$BA$51,MATCH($C45,'[1]Sales per type juli'!$B$10:$B$51,0),MATCH("WATCH 3",'[1]Sales per type juli'!$D$8:$BA$8,0)),0)</f>
        <v>0</v>
      </c>
      <c r="DF45" s="192">
        <f>DD45-DE45</f>
        <v>0</v>
      </c>
      <c r="DG45" s="192">
        <v>0</v>
      </c>
      <c r="DH45" s="192" cm="1">
        <f t="array" ref="DH45">IFERROR(INDEX('[1]Sales per type juli'!$D$10:$BA$51,MATCH($C45,'[1]Sales per type juli'!$B$10:$B$51,0),MATCH("WATCH 3",'[1]Sales per type juli'!$D$8:$BA$8,0)+1),0)</f>
        <v>0</v>
      </c>
      <c r="DI45" s="192">
        <f>DG45-DH45</f>
        <v>0</v>
      </c>
      <c r="DJ45" s="192">
        <v>0</v>
      </c>
      <c r="DK45" s="192">
        <f>IFERROR(INDEX('[1]Sales per type juli'!$D$10:$BA$51,MATCH($C45,'[1]Sales per type juli'!$B$10:$B$51,0),MATCH("X300 Demo",'[1]Sales per type juli'!$D$8:$BA$8,0)),0)</f>
        <v>0</v>
      </c>
      <c r="DL45" s="192">
        <f>DJ45-DK45</f>
        <v>0</v>
      </c>
      <c r="DM45" s="192">
        <v>0</v>
      </c>
      <c r="DN45" s="192" cm="1">
        <f t="array" ref="DN45">IFERROR(INDEX('[1]Sales per type juli'!$D$10:$BA$51,MATCH($C45,'[1]Sales per type juli'!$B$10:$B$51,0),MATCH("X300 Demo",'[1]Sales per type juli'!$D$8:$BA$8,0)+1),0)</f>
        <v>0</v>
      </c>
      <c r="DO45" s="192">
        <f>DM45-DN45</f>
        <v>0</v>
      </c>
      <c r="DP45" s="192">
        <v>0</v>
      </c>
      <c r="DQ45" s="192">
        <f>IFERROR(INDEX('[1]Sales per type juli'!$D$10:$BA$51,MATCH($C45,'[1]Sales per type juli'!$B$10:$B$51,0),MATCH("X300 Pro Demo",'[1]Sales per type juli'!$D$8:$BA$8,0)),0)</f>
        <v>0</v>
      </c>
      <c r="DR45" s="192">
        <f>DP45-DQ45</f>
        <v>0</v>
      </c>
      <c r="DS45" s="192">
        <v>0</v>
      </c>
      <c r="DT45" s="192" cm="1">
        <f t="array" ref="DT45">IFERROR(INDEX('[1]Sales per type juli'!$D$10:$BA$51,MATCH($C45,'[1]Sales per type juli'!$B$10:$B$51,0),MATCH("X300 Pro Demo",'[1]Sales per type juli'!$D$8:$BA$8,0)+1),0)</f>
        <v>0</v>
      </c>
      <c r="DU45" s="192">
        <f>DS45-DT45</f>
        <v>0</v>
      </c>
      <c r="DV45" s="192">
        <v>0</v>
      </c>
      <c r="DW45" s="192">
        <f>IFERROR(INDEX('[1]Sales per type juli'!$D$10:$BA$51,MATCH($C45,'[1]Sales per type juli'!$B$10:$B$51,0),MATCH("X Fold5 DEMO",'[1]Sales per type juli'!$D$8:$BA$8,0)),0)</f>
        <v>0</v>
      </c>
      <c r="DX45" s="192">
        <f>DV45-DW45</f>
        <v>0</v>
      </c>
      <c r="DY45" s="192">
        <v>0</v>
      </c>
      <c r="DZ45" s="192" cm="1">
        <f t="array" ref="DZ45">IFERROR(INDEX('[1]Sales per type juli'!$D$10:$BA$51,MATCH($C45,'[1]Sales per type juli'!$B$10:$B$51,0),MATCH("X Fold5 DEMO",'[1]Sales per type juli'!$D$8:$BA$8,0)+1),0)</f>
        <v>0</v>
      </c>
      <c r="EA45" s="192">
        <f>DY45-DZ45</f>
        <v>0</v>
      </c>
      <c r="EB45" s="192">
        <v>0</v>
      </c>
      <c r="EC45" s="192">
        <f>IFERROR(INDEX('[1]Sales per type juli'!$D$10:$BA$51,MATCH($C45,'[1]Sales per type juli'!$B$10:$B$51,0),MATCH("X Fold5",'[1]Sales per type juli'!$D$8:$BA$8,0)),0)</f>
        <v>0</v>
      </c>
      <c r="ED45" s="192">
        <f>EB45-EC45</f>
        <v>0</v>
      </c>
      <c r="EE45" s="192">
        <v>0</v>
      </c>
      <c r="EF45" s="192" cm="1">
        <f t="array" ref="EF45">IFERROR(INDEX('[1]Sales per type juli'!$D$10:$BA$51,MATCH($C45,'[1]Sales per type juli'!$B$10:$B$51,0),MATCH("X Fold5",'[1]Sales per type juli'!$D$8:$BA$8,0)+1),0)</f>
        <v>0</v>
      </c>
      <c r="EG45" s="192">
        <f>EE45-EF45</f>
        <v>0</v>
      </c>
      <c r="EH45" s="192">
        <v>0</v>
      </c>
      <c r="EI45" s="192">
        <f>IFERROR(INDEX('[1]Sales per type juli'!$D$10:$BA$51,MATCH($C45,'[1]Sales per type juli'!$B$10:$B$51,0),MATCH("IQOO 15 Demo",'[1]Sales per type juli'!$D$8:$BA$8,0)),0)</f>
        <v>0</v>
      </c>
      <c r="EJ45" s="192">
        <f>EH45-EI45</f>
        <v>0</v>
      </c>
      <c r="EK45" s="192">
        <v>0</v>
      </c>
      <c r="EL45" s="192" cm="1">
        <f t="array" ref="EL45">IFERROR(INDEX('[1]Sales per type juli'!$D$10:$BA$51,MATCH($C45,'[1]Sales per type juli'!$B$10:$B$51,0),MATCH("IQOO 15 Demo",'[1]Sales per type juli'!$D$8:$BA$8,0)+1),0)</f>
        <v>0</v>
      </c>
      <c r="EM45" s="192">
        <f>EK45-EL45</f>
        <v>0</v>
      </c>
      <c r="EN45" s="192">
        <v>0</v>
      </c>
      <c r="EO45" s="192">
        <f>IFERROR(INDEX('[1]Sales per type juli'!$D$10:$BA$51,MATCH($C45,'[1]Sales per type juli'!$B$10:$B$51,0),MATCH("X300 PRO",'[1]Sales per type juli'!$D$8:$BA$8,0)),0)</f>
        <v>1</v>
      </c>
      <c r="EP45" s="192">
        <f>EN45-EO45</f>
        <v>-1</v>
      </c>
      <c r="EQ45" s="192">
        <v>0</v>
      </c>
      <c r="ER45" s="192" cm="1">
        <f t="array" ref="ER45">IFERROR(INDEX('[1]Sales per type juli'!$D$10:$BA$51,MATCH($C45,'[1]Sales per type juli'!$B$10:$B$51,0),MATCH("X300 PRO",'[1]Sales per type juli'!$D$8:$BA$8,0)+1),0)</f>
        <v>18999000</v>
      </c>
      <c r="ES45" s="192">
        <f>EQ45-ER45</f>
        <v>-18999000</v>
      </c>
      <c r="ET45" s="192">
        <v>0</v>
      </c>
      <c r="EU45" s="192">
        <f>IFERROR(INDEX('[1]Sales per type juli'!$D$10:$BA$51,MATCH($C45,'[1]Sales per type juli'!$B$10:$B$51,0),MATCH("X300 ",'[1]Sales per type juli'!$D$8:$BA$8,0)),0)</f>
        <v>0</v>
      </c>
      <c r="EV45" s="192">
        <f>ET45-EU45</f>
        <v>0</v>
      </c>
      <c r="EW45" s="192">
        <v>0</v>
      </c>
      <c r="EX45" s="192" cm="1">
        <f t="array" ref="EX45">IFERROR(INDEX('[1]Sales per type juli'!$D$10:$BA$51,MATCH($C45,'[1]Sales per type juli'!$B$10:$B$51,0),MATCH("X300 ",'[1]Sales per type juli'!$D$8:$BA$8,0)+1),0)</f>
        <v>0</v>
      </c>
      <c r="EY45" s="192">
        <f>EW45-EX45</f>
        <v>0</v>
      </c>
      <c r="EZ45" s="192">
        <f>F45+L45+R45+X45+AD45+AJ45+AP45+AV45+BB45+BH45+BN45+BT45+BZ45+CF45+CL45+CR45+CX45+DD45+DJ45+DP45+DV45+EB45+EH45+EN45+ET45</f>
        <v>11</v>
      </c>
      <c r="FA45" s="192">
        <f>G45+M45+S45+Y45+AE45+AK45+AQ45+AW45+BC45+BI45+BO45+BU45+CA45+CG45+CM45+CS45+CY45+DE45+DK45+DQ45+DW45+EC45+EI45+EO45+EU45</f>
        <v>25</v>
      </c>
      <c r="FB45" s="192">
        <f>EZ45-FA45</f>
        <v>-14</v>
      </c>
      <c r="FC45" s="192">
        <f>I45+O45+U45+AA45+AG45+AM45+AS45+AY45+BE45+BK45+BQ45+BW45+CC45+CI45+CO45+CU45+DA45+DG45+DM45+DS45+DY45+EE45+EK45+EQ45+EW45</f>
        <v>50089000</v>
      </c>
      <c r="FD45" s="192">
        <f>J45+P45+V45+AB45+AH45+AN45+AT45+AZ45+BF45+BL45+BR45+BX45+CD45+CJ45+CP45+CV45+DB45+DH45+DN45+DT45+DZ45+EF45+EL45+ER45+EX45</f>
        <v>176575000</v>
      </c>
      <c r="FE45" s="192">
        <f>FC45-FD45</f>
        <v>-126486000</v>
      </c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</row>
    <row r="46" spans="1:208" ht="16" x14ac:dyDescent="0.2">
      <c r="A46" s="139">
        <f>'[1]ACHIEVEMENT STORE'!A46</f>
        <v>42</v>
      </c>
      <c r="B46" s="140" t="str">
        <f>'[1]ACHIEVEMENT STORE'!B46</f>
        <v>614 三宝垄 Semarang</v>
      </c>
      <c r="C46" s="139">
        <f>'[1]ACHIEVEMENT STORE'!C46</f>
        <v>6140706</v>
      </c>
      <c r="D46" s="140" t="str">
        <f>'[1]ACHIEVEMENT STORE'!D46</f>
        <v>6140706-23 SEMARANG MALL 1F065-66</v>
      </c>
      <c r="E46" s="140" t="str">
        <f>'[1]ACHIEVEMENT STORE'!E46</f>
        <v>VICKY DINDA INEZ</v>
      </c>
      <c r="F46" s="192">
        <f>IFERROR(INDEX('[1]SALES PERTYPE'!$D$10:$D$52,MATCH($C46,'[1]SALES PERTYPE'!$B$10:$B$52,0)),0)</f>
        <v>0</v>
      </c>
      <c r="G46" s="192">
        <f>IFERROR(INDEX('[1]Sales per type juli'!$D$10:$BA$51,MATCH($C46,'[1]Sales per type juli'!$B$10:$B$51,0),MATCH("Y05",'[1]Sales per type juli'!$D$8:$BA$8,0)),0)</f>
        <v>0</v>
      </c>
      <c r="H46" s="192">
        <f>F46-G46</f>
        <v>0</v>
      </c>
      <c r="I46" s="192">
        <f>IFERROR(INDEX('[1]SALES PERTYPE'!$E$10:$E$52,MATCH($C46,'[1]SALES PERTYPE'!$B$10:$B$52,0)),0)</f>
        <v>0</v>
      </c>
      <c r="J46" s="192" cm="1">
        <f t="array" ref="J46">IFERROR(INDEX('[1]Sales per type juli'!$D$10:$BA$51,MATCH($C46,'[1]Sales per type juli'!$B$10:$B$51,0),MATCH("Y05",'[1]Sales per type juli'!$D$8:$BA$8,0)+1),0)</f>
        <v>0</v>
      </c>
      <c r="K46" s="192">
        <f>I46-J46</f>
        <v>0</v>
      </c>
      <c r="L46" s="192">
        <f>IFERROR(INDEX('[1]SALES PERTYPE'!$F$10:$F$52,MATCH($C46,'[1]SALES PERTYPE'!$B$10:$B$52,0)),0)</f>
        <v>2</v>
      </c>
      <c r="M46" s="192">
        <f>IFERROR(INDEX('[1]Sales per type juli'!$D$10:$BA$51,MATCH($C46,'[1]Sales per type juli'!$B$10:$B$51,0),MATCH("Y11d",'[1]Sales per type juli'!$D$8:$BA$8,0)),0)</f>
        <v>1</v>
      </c>
      <c r="N46" s="192">
        <f>L46-M46</f>
        <v>1</v>
      </c>
      <c r="O46" s="192">
        <f>IFERROR(INDEX('[1]SALES PERTYPE'!$G$10:$G$52,MATCH($C46,'[1]SALES PERTYPE'!$B$10:$B$52,0)),0)</f>
        <v>5198000</v>
      </c>
      <c r="P46" s="192" cm="1">
        <f t="array" ref="P46">IFERROR(INDEX('[1]Sales per type juli'!$D$10:$BA$51,MATCH($C46,'[1]Sales per type juli'!$B$10:$B$51,0),MATCH("Y11d",'[1]Sales per type juli'!$D$8:$BA$8,0)+1),0)</f>
        <v>2799000</v>
      </c>
      <c r="Q46" s="192">
        <f>O46-P46</f>
        <v>2399000</v>
      </c>
      <c r="R46" s="192">
        <f>IFERROR(INDEX('[1]SALES PERTYPE'!$H$10:$H$52,MATCH($C46,'[1]SALES PERTYPE'!$B$10:$B$52,0)),0)</f>
        <v>0</v>
      </c>
      <c r="S46" s="192">
        <f>IFERROR(INDEX('[1]Sales per type juli'!$D$10:$BA$51,MATCH($C46,'[1]Sales per type juli'!$B$10:$B$51,0),MATCH("Watch GT 2",'[1]Sales per type juli'!$D$8:$BA$8,0)),0)</f>
        <v>0</v>
      </c>
      <c r="T46" s="192">
        <f>R46-S46</f>
        <v>0</v>
      </c>
      <c r="U46" s="192">
        <f>IFERROR(INDEX('[1]SALES PERTYPE'!$I$10:$I$52,MATCH($C46,'[1]SALES PERTYPE'!$B$10:$B$52,0)),0)</f>
        <v>0</v>
      </c>
      <c r="V46" s="192" cm="1">
        <f t="array" ref="V46">IFERROR(INDEX('[1]Sales per type juli'!$D$10:$BA$51,MATCH($C46,'[1]Sales per type juli'!$B$10:$B$51,0),MATCH("Watch GT 2",'[1]Sales per type juli'!$D$8:$BA$8,0)+1),0)</f>
        <v>0</v>
      </c>
      <c r="W46" s="192">
        <f>U46-V46</f>
        <v>0</v>
      </c>
      <c r="X46" s="192">
        <f>IFERROR(INDEX('[1]SALES PERTYPE'!$J$10:$J$52,MATCH($C46,'[1]SALES PERTYPE'!$B$10:$B$52,0)),0)</f>
        <v>0</v>
      </c>
      <c r="Y46" s="192">
        <f>IFERROR(INDEX('[1]Sales per type juli'!$D$10:$BA$51,MATCH($C46,'[1]Sales per type juli'!$B$10:$B$51,0),MATCH("Y05e",'[1]Sales per type juli'!$D$8:$BA$8,0)),0)</f>
        <v>0</v>
      </c>
      <c r="Z46" s="192">
        <f>X46-Y46</f>
        <v>0</v>
      </c>
      <c r="AA46" s="192">
        <f>IFERROR(INDEX('[1]SALES PERTYPE'!$K$10:$K$52,MATCH($C46,'[1]SALES PERTYPE'!$B$10:$B$52,0)),0)</f>
        <v>0</v>
      </c>
      <c r="AB46" s="192" cm="1">
        <f t="array" ref="AB46">IFERROR(INDEX('[1]Sales per type juli'!$D$10:$BA$51,MATCH($C46,'[1]Sales per type juli'!$B$10:$B$51,0),MATCH("Y05e",'[1]Sales per type juli'!$D$8:$BA$8,0)+1),0)</f>
        <v>0</v>
      </c>
      <c r="AC46" s="192">
        <f>AA46-AB46</f>
        <v>0</v>
      </c>
      <c r="AD46" s="192">
        <f>IFERROR(INDEX('[1]SALES PERTYPE'!$L$10:$L$52,MATCH($C46,'[1]SALES PERTYPE'!$B$10:$B$52,0)),0)</f>
        <v>1</v>
      </c>
      <c r="AE46" s="192">
        <f>IFERROR(INDEX('[1]Sales per type juli'!$D$10:$BA$51,MATCH($C46,'[1]Sales per type juli'!$B$10:$B$51,0),MATCH("V70",'[1]Sales per type juli'!$D$8:$BA$8,0)),0)</f>
        <v>2</v>
      </c>
      <c r="AF46" s="192">
        <f>AD46-AE46</f>
        <v>-1</v>
      </c>
      <c r="AG46" s="192">
        <f>IFERROR(INDEX('[1]SALES PERTYPE'!$M$10:$M$52,MATCH($C46,'[1]SALES PERTYPE'!$B$10:$B$52,0)),0)</f>
        <v>9999000</v>
      </c>
      <c r="AH46" s="192" cm="1">
        <f t="array" ref="AH46">IFERROR(INDEX('[1]Sales per type juli'!$D$10:$BA$51,MATCH($C46,'[1]Sales per type juli'!$B$10:$B$51,0),MATCH("V70",'[1]Sales per type juli'!$D$8:$BA$8,0)+1),0)</f>
        <v>17998000</v>
      </c>
      <c r="AI46" s="192">
        <f>AG46-AH46</f>
        <v>-7999000</v>
      </c>
      <c r="AJ46" s="192">
        <f>IFERROR(INDEX('[1]SALES PERTYPE'!$N$10:$N$52,MATCH($C46,'[1]SALES PERTYPE'!$B$10:$B$52,0)),0)</f>
        <v>1</v>
      </c>
      <c r="AK46" s="192">
        <f>IFERROR(INDEX('[1]Sales per type juli'!$D$10:$BA$51,MATCH($C46,'[1]Sales per type juli'!$B$10:$B$51,0),MATCH("Y31d Pro",'[1]Sales per type juli'!$D$8:$BA$8,0)),0)</f>
        <v>1</v>
      </c>
      <c r="AL46" s="192">
        <f>AJ46-AK46</f>
        <v>0</v>
      </c>
      <c r="AM46" s="192">
        <f>IFERROR(INDEX('[1]SALES PERTYPE'!$O$10:$O$52,MATCH($C46,'[1]SALES PERTYPE'!$B$10:$B$52,0)),0)</f>
        <v>3899000</v>
      </c>
      <c r="AN46" s="192" cm="1">
        <f t="array" ref="AN46">IFERROR(INDEX('[1]Sales per type juli'!$D$10:$BA$51,MATCH($C46,'[1]Sales per type juli'!$B$10:$B$51,0),MATCH("Y31d Pro",'[1]Sales per type juli'!$D$8:$BA$8,0)+1),0)</f>
        <v>4299000</v>
      </c>
      <c r="AO46" s="192">
        <f>AM46-AN46</f>
        <v>-400000</v>
      </c>
      <c r="AP46" s="192">
        <f>IFERROR(INDEX('[1]SALES PERTYPE'!$P$10:$P$52,MATCH($C46,'[1]SALES PERTYPE'!$B$10:$B$52,0)),0)</f>
        <v>0</v>
      </c>
      <c r="AQ46" s="192" cm="1">
        <f t="array" ref="AQ46">IFERROR(INDEX('[1]Sales per type juli'!$D$10:$BA$51,MATCH($C46,'[1]Sales per type juli'!$B$10:$B$51,0),$FG$2),0)</f>
        <v>0</v>
      </c>
      <c r="AR46" s="192">
        <f>AP46-AQ46</f>
        <v>0</v>
      </c>
      <c r="AS46" s="192">
        <f>IFERROR(INDEX('[1]SALES PERTYPE'!$Q$10:$Q$52,MATCH($C46,'[1]SALES PERTYPE'!$B$10:$B$52,0)),0)</f>
        <v>0</v>
      </c>
      <c r="AT46" s="192" cm="1">
        <f t="array" ref="AT46">IFERROR(INDEX('[1]Sales per type juli'!$D$10:$BA$51,MATCH($C46,'[1]Sales per type juli'!$B$10:$B$51,0),$FG$2+1),0)</f>
        <v>0</v>
      </c>
      <c r="AU46" s="192">
        <f>AS46-AT46</f>
        <v>0</v>
      </c>
      <c r="AV46" s="192">
        <f>IFERROR(INDEX('[1]SALES PERTYPE'!$R$10:$R$52,MATCH($C46,'[1]SALES PERTYPE'!$B$10:$B$52,0)),0)</f>
        <v>0</v>
      </c>
      <c r="AW46" s="192">
        <f>IFERROR(INDEX('[1]Sales per type juli'!$D$10:$BA$51,MATCH($C46,'[1]Sales per type juli'!$B$10:$B$51,0),MATCH("Y31d ",'[1]Sales per type juli'!$D$8:$BA$8,0)),0)</f>
        <v>0</v>
      </c>
      <c r="AX46" s="192">
        <f>AV46-AW46</f>
        <v>0</v>
      </c>
      <c r="AY46" s="192">
        <f>IFERROR(INDEX('[1]SALES PERTYPE'!$S$10:$S$52,MATCH($C46,'[1]SALES PERTYPE'!$B$10:$B$52,0)),0)</f>
        <v>0</v>
      </c>
      <c r="AZ46" s="192" cm="1">
        <f t="array" ref="AZ46">IFERROR(INDEX('[1]Sales per type juli'!$D$10:$BA$51,MATCH($C46,'[1]Sales per type juli'!$B$10:$B$51,0),MATCH("Y31d ",'[1]Sales per type juli'!$D$8:$BA$8,0)+1),0)</f>
        <v>0</v>
      </c>
      <c r="BA46" s="192">
        <f>AY46-AZ46</f>
        <v>0</v>
      </c>
      <c r="BB46" s="192">
        <f>IFERROR(INDEX('[1]SALES PERTYPE'!$T$10:$T$52,MATCH($C46,'[1]SALES PERTYPE'!$B$10:$B$52,0)),0)</f>
        <v>0</v>
      </c>
      <c r="BC46" s="192">
        <f>IFERROR(INDEX('[1]Sales per type juli'!$D$10:$BA$51,MATCH($C46,'[1]Sales per type juli'!$B$10:$B$51,0),MATCH("V70 FE",'[1]Sales per type juli'!$D$8:$BA$8,0)),0)</f>
        <v>1</v>
      </c>
      <c r="BD46" s="192">
        <f>BB46-BC46</f>
        <v>-1</v>
      </c>
      <c r="BE46" s="192">
        <f>IFERROR(INDEX('[1]SALES PERTYPE'!$U$10:$U$52,MATCH($C46,'[1]SALES PERTYPE'!$B$10:$B$52,0)),0)</f>
        <v>0</v>
      </c>
      <c r="BF46" s="192" cm="1">
        <f t="array" ref="BF46">IFERROR(INDEX('[1]Sales per type juli'!$D$10:$BA$51,MATCH($C46,'[1]Sales per type juli'!$B$10:$B$51,0),MATCH("V70 FE",'[1]Sales per type juli'!$D$8:$BA$8,0)+1),0)</f>
        <v>7199000</v>
      </c>
      <c r="BG46" s="192">
        <f>BE46-BF46</f>
        <v>-7199000</v>
      </c>
      <c r="BH46" s="192">
        <f>IFERROR(INDEX('[1]SALES PERTYPE'!$V$10:$V$52,MATCH($C46,'[1]SALES PERTYPE'!$B$10:$B$52,0)),0)</f>
        <v>0</v>
      </c>
      <c r="BI46" s="192">
        <f>IFERROR(INDEX('[1]Sales per type juli'!$D$10:$BA$51,MATCH($C46,'[1]Sales per type juli'!$B$10:$B$51,0),MATCH("Y31d",'[1]Sales per type juli'!$D$8:$BA$8,0)),0)</f>
        <v>0</v>
      </c>
      <c r="BJ46" s="192">
        <f>BH46-BI46</f>
        <v>0</v>
      </c>
      <c r="BK46" s="192">
        <f>IFERROR(INDEX('[1]SALES PERTYPE'!$W$10:$W$52,MATCH($C46,'[1]SALES PERTYPE'!$B$10:$B$52,0)),0)</f>
        <v>0</v>
      </c>
      <c r="BL46" s="192" cm="1">
        <f t="array" ref="BL46">IFERROR(INDEX('[1]Sales per type juli'!$D$10:$BA$51,MATCH($C46,'[1]Sales per type juli'!$B$10:$B$51,0),MATCH("Y31d",'[1]Sales per type juli'!$D$8:$BA$8,0)+1),0)</f>
        <v>0</v>
      </c>
      <c r="BM46" s="192">
        <f>BK46-BL46</f>
        <v>0</v>
      </c>
      <c r="BN46" s="192">
        <f>IFERROR(INDEX('[1]SALES PERTYPE'!$X$10:$X$52,MATCH($C46,'[1]SALES PERTYPE'!$B$10:$B$52,0)),0)</f>
        <v>0</v>
      </c>
      <c r="BO46" s="192">
        <f>IFERROR(INDEX('[1]Sales per type juli'!$D$10:$BA$51,MATCH($C46,'[1]Sales per type juli'!$B$10:$B$51,0),MATCH("Y500",'[1]Sales per type juli'!$D$8:$BA$8,0)),0)</f>
        <v>0</v>
      </c>
      <c r="BP46" s="192">
        <f>BN46-BO46</f>
        <v>0</v>
      </c>
      <c r="BQ46" s="192">
        <f>IFERROR(INDEX('[1]SALES PERTYPE'!$Y$10:$Y$52,MATCH($C46,'[1]SALES PERTYPE'!$B$10:$B$52,0)),0)</f>
        <v>0</v>
      </c>
      <c r="BR46" s="192" cm="1">
        <f t="array" ref="BR46">IFERROR(INDEX('[1]Sales per type juli'!$D$10:$BA$51,MATCH($C46,'[1]Sales per type juli'!$B$10:$B$51,0),MATCH("Y500",'[1]Sales per type juli'!$D$8:$BA$8,0)+1),0)</f>
        <v>0</v>
      </c>
      <c r="BS46" s="192">
        <f>BQ46-BR46</f>
        <v>0</v>
      </c>
      <c r="BT46" s="192">
        <f>IFERROR(INDEX('[1]SALES PERTYPE'!$Z$10:$Z$52,MATCH($C46,'[1]SALES PERTYPE'!$B$10:$B$52,0)),0)</f>
        <v>0</v>
      </c>
      <c r="BU46" s="192">
        <f>IFERROR(INDEX('[1]Sales per type juli'!$D$10:$BA$51,MATCH($C46,'[1]Sales per type juli'!$B$10:$B$51,0),MATCH("IQOO 15R",'[1]Sales per type juli'!$D$8:$BA$8,0)),0)</f>
        <v>1</v>
      </c>
      <c r="BV46" s="192">
        <f>BT46-BU46</f>
        <v>-1</v>
      </c>
      <c r="BW46" s="192">
        <f>IFERROR(INDEX('[1]SALES PERTYPE'!$AA$10:$AA$52,MATCH($C46,'[1]SALES PERTYPE'!$B$10:$B$52,0)),0)</f>
        <v>0</v>
      </c>
      <c r="BX46" s="192" cm="1">
        <f t="array" ref="BX46">IFERROR(INDEX('[1]Sales per type juli'!$D$10:$BA$51,MATCH($C46,'[1]Sales per type juli'!$B$10:$B$51,0),MATCH("IQOO 15R",'[1]Sales per type juli'!$D$8:$BA$8,0)+1),0)</f>
        <v>9899000</v>
      </c>
      <c r="BY46" s="192">
        <f>BW46-BX46</f>
        <v>-9899000</v>
      </c>
      <c r="BZ46" s="192">
        <f>IFERROR(INDEX('[1]SALES PERTYPE'!$AB$10:$AB$52,MATCH($C46,'[1]SALES PERTYPE'!$B$10:$B$52,0)),0)</f>
        <v>0</v>
      </c>
      <c r="CA46" s="192">
        <f>IFERROR(INDEX('[1]Sales per type juli'!$D$10:$BA$51,MATCH($C46,'[1]Sales per type juli'!$B$10:$B$51,0),MATCH("V60 Lite",'[1]Sales per type juli'!$D$8:$BA$8,0)),0)</f>
        <v>0</v>
      </c>
      <c r="CB46" s="192">
        <f>BZ46-CA46</f>
        <v>0</v>
      </c>
      <c r="CC46" s="192">
        <f>IFERROR(INDEX('[1]SALES PERTYPE'!$AC$10:$AC$52,MATCH($C46,'[1]SALES PERTYPE'!$B$10:$B$52,0)),0)</f>
        <v>0</v>
      </c>
      <c r="CD46" s="192" cm="1">
        <f t="array" ref="CD46">IFERROR(INDEX('[1]Sales per type juli'!$D$10:$BA$51,MATCH($C46,'[1]Sales per type juli'!$B$10:$B$51,0),MATCH("V60 Lite",'[1]Sales per type juli'!$D$8:$BA$8,0)+1),0)</f>
        <v>0</v>
      </c>
      <c r="CE46" s="192">
        <f>CC46-CD46</f>
        <v>0</v>
      </c>
      <c r="CF46" s="192">
        <f>IFERROR(INDEX('[1]SALES PERTYPE'!$AD$10:$AD$52,MATCH($C46,'[1]SALES PERTYPE'!$B$10:$B$52,0)),0)</f>
        <v>1</v>
      </c>
      <c r="CG46" s="192">
        <f>IFERROR(INDEX('[1]Sales per type juli'!$D$10:$BA$51,MATCH($C46,'[1]Sales per type juli'!$B$10:$B$51,0),MATCH("X300 Ultra",'[1]Sales per type juli'!$D$8:$BA$8,0)),0)</f>
        <v>0</v>
      </c>
      <c r="CH46" s="192">
        <f>CF46-CG46</f>
        <v>1</v>
      </c>
      <c r="CI46" s="192">
        <f>IFERROR(INDEX('[1]SALES PERTYPE'!$AE$10:$AE$52,MATCH($C46,'[1]SALES PERTYPE'!$B$10:$B$52,0)),0)</f>
        <v>25999000</v>
      </c>
      <c r="CJ46" s="192" cm="1">
        <f t="array" ref="CJ46">IFERROR(INDEX('[1]Sales per type juli'!$D$10:$BA$51,MATCH($C46,'[1]Sales per type juli'!$B$10:$B$51,0),MATCH("X300 Ultra",'[1]Sales per type juli'!$D$8:$BA$8,0)+1),0)</f>
        <v>0</v>
      </c>
      <c r="CK46" s="192">
        <f>CI46-CJ46</f>
        <v>25999000</v>
      </c>
      <c r="CL46" s="192">
        <f>IFERROR(INDEX('[1]SALES PERTYPE'!$AF$10:$AF$52,MATCH($C46,'[1]SALES PERTYPE'!$B$10:$B$52,0)),0)</f>
        <v>0</v>
      </c>
      <c r="CM46" s="192">
        <f>IFERROR(INDEX('[1]Sales per type juli'!$D$10:$BA$51,MATCH($C46,'[1]Sales per type juli'!$B$10:$B$51,0),MATCH("IQOO 15",'[1]Sales per type juli'!$D$8:$BA$8,0)),0)</f>
        <v>0</v>
      </c>
      <c r="CN46" s="192">
        <f>CL46-CM46</f>
        <v>0</v>
      </c>
      <c r="CO46" s="192">
        <f>IFERROR(INDEX('[1]SALES PERTYPE'!$AG$10:$AG$52,MATCH($C46,'[1]SALES PERTYPE'!$B$10:$B$52,0)),0)</f>
        <v>0</v>
      </c>
      <c r="CP46" s="192" cm="1">
        <f t="array" ref="CP46">IFERROR(INDEX('[1]Sales per type juli'!$D$10:$BA$51,MATCH($C46,'[1]Sales per type juli'!$B$10:$B$51,0),MATCH("IQOO 15",'[1]Sales per type juli'!$D$8:$BA$8,0)+1),0)</f>
        <v>0</v>
      </c>
      <c r="CQ46" s="192">
        <f>CO46-CP46</f>
        <v>0</v>
      </c>
      <c r="CR46" s="192">
        <f>IFERROR(INDEX('[1]SALES PERTYPE'!$AH$10:$AH$52,MATCH($C46,'[1]SALES PERTYPE'!$B$10:$B$52,0)),0)</f>
        <v>0</v>
      </c>
      <c r="CS46" s="192">
        <f>IFERROR(INDEX('[1]Sales per type juli'!$D$10:$BA$51,MATCH($C46,'[1]Sales per type juli'!$B$10:$B$51,0),MATCH("IQOO Z11x",'[1]Sales per type juli'!$D$8:$BA$8,0)),0)</f>
        <v>1</v>
      </c>
      <c r="CT46" s="192">
        <f>CR46-CS46</f>
        <v>-1</v>
      </c>
      <c r="CU46" s="192">
        <f>IFERROR(INDEX('[1]SALES PERTYPE'!$AI$10:$AI$52,MATCH($C46,'[1]SALES PERTYPE'!$B$10:$B$52,0)),0)</f>
        <v>0</v>
      </c>
      <c r="CV46" s="192" cm="1">
        <f t="array" ref="CV46">IFERROR(INDEX('[1]Sales per type juli'!$D$10:$BA$51,MATCH($C46,'[1]Sales per type juli'!$B$10:$B$51,0),MATCH("IQOO Z11x",'[1]Sales per type juli'!$D$8:$BA$8,0)+1),0)</f>
        <v>4799000</v>
      </c>
      <c r="CW46" s="192">
        <f>CU46-CV46</f>
        <v>-4799000</v>
      </c>
      <c r="CX46" s="192">
        <f>IFERROR(INDEX('[1]SALES PERTYPE'!$AJ$10:$AJ$52,MATCH($C46,'[1]SALES PERTYPE'!$B$10:$B$52,0)),0)</f>
        <v>0</v>
      </c>
      <c r="CY46" s="192">
        <f>IFERROR(INDEX('[1]Sales per type juli'!$D$10:$BA$51,MATCH($C46,'[1]Sales per type juli'!$B$10:$B$51,0),MATCH("IQOO Z11",'[1]Sales per type juli'!$D$8:$BA$8,0)),0)</f>
        <v>0</v>
      </c>
      <c r="CZ46" s="192">
        <f>CX46-CY46</f>
        <v>0</v>
      </c>
      <c r="DA46" s="192">
        <f>IFERROR(INDEX('[1]SALES PERTYPE'!$AK$10:$AK$52,MATCH($C46,'[1]SALES PERTYPE'!$B$10:$B$52,0)),0)</f>
        <v>0</v>
      </c>
      <c r="DB46" s="192" cm="1">
        <f t="array" ref="DB46">IFERROR(INDEX('[1]Sales per type juli'!$D$10:$BA$51,MATCH($C46,'[1]Sales per type juli'!$B$10:$B$51,0),MATCH("IQOO Z11",'[1]Sales per type juli'!$D$8:$BA$8,0)+1),0)</f>
        <v>0</v>
      </c>
      <c r="DC46" s="192">
        <f>DA46-DB46</f>
        <v>0</v>
      </c>
      <c r="DD46" s="192">
        <v>0</v>
      </c>
      <c r="DE46" s="192">
        <f>IFERROR(INDEX('[1]Sales per type juli'!$D$10:$BA$51,MATCH($C46,'[1]Sales per type juli'!$B$10:$B$51,0),MATCH("WATCH 3",'[1]Sales per type juli'!$D$8:$BA$8,0)),0)</f>
        <v>0</v>
      </c>
      <c r="DF46" s="192">
        <f>DD46-DE46</f>
        <v>0</v>
      </c>
      <c r="DG46" s="192">
        <v>0</v>
      </c>
      <c r="DH46" s="192" cm="1">
        <f t="array" ref="DH46">IFERROR(INDEX('[1]Sales per type juli'!$D$10:$BA$51,MATCH($C46,'[1]Sales per type juli'!$B$10:$B$51,0),MATCH("WATCH 3",'[1]Sales per type juli'!$D$8:$BA$8,0)+1),0)</f>
        <v>0</v>
      </c>
      <c r="DI46" s="192">
        <f>DG46-DH46</f>
        <v>0</v>
      </c>
      <c r="DJ46" s="192">
        <v>0</v>
      </c>
      <c r="DK46" s="192">
        <f>IFERROR(INDEX('[1]Sales per type juli'!$D$10:$BA$51,MATCH($C46,'[1]Sales per type juli'!$B$10:$B$51,0),MATCH("X300 Demo",'[1]Sales per type juli'!$D$8:$BA$8,0)),0)</f>
        <v>0</v>
      </c>
      <c r="DL46" s="192">
        <f>DJ46-DK46</f>
        <v>0</v>
      </c>
      <c r="DM46" s="192">
        <v>0</v>
      </c>
      <c r="DN46" s="192" cm="1">
        <f t="array" ref="DN46">IFERROR(INDEX('[1]Sales per type juli'!$D$10:$BA$51,MATCH($C46,'[1]Sales per type juli'!$B$10:$B$51,0),MATCH("X300 Demo",'[1]Sales per type juli'!$D$8:$BA$8,0)+1),0)</f>
        <v>0</v>
      </c>
      <c r="DO46" s="192">
        <f>DM46-DN46</f>
        <v>0</v>
      </c>
      <c r="DP46" s="192">
        <v>0</v>
      </c>
      <c r="DQ46" s="192">
        <f>IFERROR(INDEX('[1]Sales per type juli'!$D$10:$BA$51,MATCH($C46,'[1]Sales per type juli'!$B$10:$B$51,0),MATCH("X300 Pro Demo",'[1]Sales per type juli'!$D$8:$BA$8,0)),0)</f>
        <v>0</v>
      </c>
      <c r="DR46" s="192">
        <f>DP46-DQ46</f>
        <v>0</v>
      </c>
      <c r="DS46" s="192">
        <v>0</v>
      </c>
      <c r="DT46" s="192" cm="1">
        <f t="array" ref="DT46">IFERROR(INDEX('[1]Sales per type juli'!$D$10:$BA$51,MATCH($C46,'[1]Sales per type juli'!$B$10:$B$51,0),MATCH("X300 Pro Demo",'[1]Sales per type juli'!$D$8:$BA$8,0)+1),0)</f>
        <v>0</v>
      </c>
      <c r="DU46" s="192">
        <f>DS46-DT46</f>
        <v>0</v>
      </c>
      <c r="DV46" s="192">
        <v>0</v>
      </c>
      <c r="DW46" s="192">
        <f>IFERROR(INDEX('[1]Sales per type juli'!$D$10:$BA$51,MATCH($C46,'[1]Sales per type juli'!$B$10:$B$51,0),MATCH("X Fold5 DEMO",'[1]Sales per type juli'!$D$8:$BA$8,0)),0)</f>
        <v>0</v>
      </c>
      <c r="DX46" s="192">
        <f>DV46-DW46</f>
        <v>0</v>
      </c>
      <c r="DY46" s="192">
        <v>0</v>
      </c>
      <c r="DZ46" s="192" cm="1">
        <f t="array" ref="DZ46">IFERROR(INDEX('[1]Sales per type juli'!$D$10:$BA$51,MATCH($C46,'[1]Sales per type juli'!$B$10:$B$51,0),MATCH("X Fold5 DEMO",'[1]Sales per type juli'!$D$8:$BA$8,0)+1),0)</f>
        <v>0</v>
      </c>
      <c r="EA46" s="192">
        <f>DY46-DZ46</f>
        <v>0</v>
      </c>
      <c r="EB46" s="192">
        <v>0</v>
      </c>
      <c r="EC46" s="192">
        <f>IFERROR(INDEX('[1]Sales per type juli'!$D$10:$BA$51,MATCH($C46,'[1]Sales per type juli'!$B$10:$B$51,0),MATCH("X Fold5",'[1]Sales per type juli'!$D$8:$BA$8,0)),0)</f>
        <v>0</v>
      </c>
      <c r="ED46" s="192">
        <f>EB46-EC46</f>
        <v>0</v>
      </c>
      <c r="EE46" s="192">
        <v>0</v>
      </c>
      <c r="EF46" s="192" cm="1">
        <f t="array" ref="EF46">IFERROR(INDEX('[1]Sales per type juli'!$D$10:$BA$51,MATCH($C46,'[1]Sales per type juli'!$B$10:$B$51,0),MATCH("X Fold5",'[1]Sales per type juli'!$D$8:$BA$8,0)+1),0)</f>
        <v>0</v>
      </c>
      <c r="EG46" s="192">
        <f>EE46-EF46</f>
        <v>0</v>
      </c>
      <c r="EH46" s="192">
        <v>0</v>
      </c>
      <c r="EI46" s="192">
        <f>IFERROR(INDEX('[1]Sales per type juli'!$D$10:$BA$51,MATCH($C46,'[1]Sales per type juli'!$B$10:$B$51,0),MATCH("IQOO 15 Demo",'[1]Sales per type juli'!$D$8:$BA$8,0)),0)</f>
        <v>0</v>
      </c>
      <c r="EJ46" s="192">
        <f>EH46-EI46</f>
        <v>0</v>
      </c>
      <c r="EK46" s="192">
        <v>0</v>
      </c>
      <c r="EL46" s="192" cm="1">
        <f t="array" ref="EL46">IFERROR(INDEX('[1]Sales per type juli'!$D$10:$BA$51,MATCH($C46,'[1]Sales per type juli'!$B$10:$B$51,0),MATCH("IQOO 15 Demo",'[1]Sales per type juli'!$D$8:$BA$8,0)+1),0)</f>
        <v>0</v>
      </c>
      <c r="EM46" s="192">
        <f>EK46-EL46</f>
        <v>0</v>
      </c>
      <c r="EN46" s="192">
        <v>0</v>
      </c>
      <c r="EO46" s="192">
        <f>IFERROR(INDEX('[1]Sales per type juli'!$D$10:$BA$51,MATCH($C46,'[1]Sales per type juli'!$B$10:$B$51,0),MATCH("X300 PRO",'[1]Sales per type juli'!$D$8:$BA$8,0)),0)</f>
        <v>0</v>
      </c>
      <c r="EP46" s="192">
        <f>EN46-EO46</f>
        <v>0</v>
      </c>
      <c r="EQ46" s="192">
        <v>0</v>
      </c>
      <c r="ER46" s="192" cm="1">
        <f t="array" ref="ER46">IFERROR(INDEX('[1]Sales per type juli'!$D$10:$BA$51,MATCH($C46,'[1]Sales per type juli'!$B$10:$B$51,0),MATCH("X300 PRO",'[1]Sales per type juli'!$D$8:$BA$8,0)+1),0)</f>
        <v>0</v>
      </c>
      <c r="ES46" s="192">
        <f>EQ46-ER46</f>
        <v>0</v>
      </c>
      <c r="ET46" s="192">
        <v>0</v>
      </c>
      <c r="EU46" s="192">
        <f>IFERROR(INDEX('[1]Sales per type juli'!$D$10:$BA$51,MATCH($C46,'[1]Sales per type juli'!$B$10:$B$51,0),MATCH("X300 ",'[1]Sales per type juli'!$D$8:$BA$8,0)),0)</f>
        <v>0</v>
      </c>
      <c r="EV46" s="192">
        <f>ET46-EU46</f>
        <v>0</v>
      </c>
      <c r="EW46" s="192">
        <v>0</v>
      </c>
      <c r="EX46" s="192" cm="1">
        <f t="array" ref="EX46">IFERROR(INDEX('[1]Sales per type juli'!$D$10:$BA$51,MATCH($C46,'[1]Sales per type juli'!$B$10:$B$51,0),MATCH("X300 ",'[1]Sales per type juli'!$D$8:$BA$8,0)+1),0)</f>
        <v>0</v>
      </c>
      <c r="EY46" s="192">
        <f>EW46-EX46</f>
        <v>0</v>
      </c>
      <c r="EZ46" s="192">
        <f>F46+L46+R46+X46+AD46+AJ46+AP46+AV46+BB46+BH46+BN46+BT46+BZ46+CF46+CL46+CR46+CX46+DD46+DJ46+DP46+DV46+EB46+EH46+EN46+ET46</f>
        <v>5</v>
      </c>
      <c r="FA46" s="192">
        <f>G46+M46+S46+Y46+AE46+AK46+AQ46+AW46+BC46+BI46+BO46+BU46+CA46+CG46+CM46+CS46+CY46+DE46+DK46+DQ46+DW46+EC46+EI46+EO46+EU46</f>
        <v>7</v>
      </c>
      <c r="FB46" s="192">
        <f>EZ46-FA46</f>
        <v>-2</v>
      </c>
      <c r="FC46" s="192">
        <f>I46+O46+U46+AA46+AG46+AM46+AS46+AY46+BE46+BK46+BQ46+BW46+CC46+CI46+CO46+CU46+DA46+DG46+DM46+DS46+DY46+EE46+EK46+EQ46+EW46</f>
        <v>45095000</v>
      </c>
      <c r="FD46" s="192">
        <f>J46+P46+V46+AB46+AH46+AN46+AT46+AZ46+BF46+BL46+BR46+BX46+CD46+CJ46+CP46+CV46+DB46+DH46+DN46+DT46+DZ46+EF46+EL46+ER46+EX46</f>
        <v>46993000</v>
      </c>
      <c r="FE46" s="192">
        <f>FC46-FD46</f>
        <v>-1898000</v>
      </c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</row>
    <row r="47" spans="1:208" ht="16" x14ac:dyDescent="0.2">
      <c r="A47" s="137">
        <f>'[1]ACHIEVEMENT STORE'!A47</f>
        <v>43</v>
      </c>
      <c r="B47" s="138" t="str">
        <f>'[1]ACHIEVEMENT STORE'!B47</f>
        <v>614 三宝垄 Semarang</v>
      </c>
      <c r="C47" s="137">
        <f>'[1]ACHIEVEMENT STORE'!C47</f>
        <v>6140705</v>
      </c>
      <c r="D47" s="138" t="str">
        <f>'[1]ACHIEVEMENT STORE'!D47</f>
        <v>6140705-QUEENCITY 2F027</v>
      </c>
      <c r="E47" s="138" t="str">
        <f>'[1]ACHIEVEMENT STORE'!E47</f>
        <v>EDI SUSANTO</v>
      </c>
      <c r="F47" s="192">
        <f>IFERROR(INDEX('[1]SALES PERTYPE'!$D$10:$D$52,MATCH($C47,'[1]SALES PERTYPE'!$B$10:$B$52,0)),0)</f>
        <v>0</v>
      </c>
      <c r="G47" s="192">
        <f>IFERROR(INDEX('[1]Sales per type juli'!$D$10:$BA$51,MATCH($C47,'[1]Sales per type juli'!$B$10:$B$51,0),MATCH("Y05",'[1]Sales per type juli'!$D$8:$BA$8,0)),0)</f>
        <v>2</v>
      </c>
      <c r="H47" s="192">
        <f>F47-G47</f>
        <v>-2</v>
      </c>
      <c r="I47" s="192">
        <f>IFERROR(INDEX('[1]SALES PERTYPE'!$E$10:$E$52,MATCH($C47,'[1]SALES PERTYPE'!$B$10:$B$52,0)),0)</f>
        <v>0</v>
      </c>
      <c r="J47" s="192" cm="1">
        <f t="array" ref="J47">IFERROR(INDEX('[1]Sales per type juli'!$D$10:$BA$51,MATCH($C47,'[1]Sales per type juli'!$B$10:$B$51,0),MATCH("Y05",'[1]Sales per type juli'!$D$8:$BA$8,0)+1),0)</f>
        <v>4498000</v>
      </c>
      <c r="K47" s="192">
        <f>I47-J47</f>
        <v>-4498000</v>
      </c>
      <c r="L47" s="192">
        <f>IFERROR(INDEX('[1]SALES PERTYPE'!$F$10:$F$52,MATCH($C47,'[1]SALES PERTYPE'!$B$10:$B$52,0)),0)</f>
        <v>2</v>
      </c>
      <c r="M47" s="192">
        <f>IFERROR(INDEX('[1]Sales per type juli'!$D$10:$BA$51,MATCH($C47,'[1]Sales per type juli'!$B$10:$B$51,0),MATCH("Y11d",'[1]Sales per type juli'!$D$8:$BA$8,0)),0)</f>
        <v>1</v>
      </c>
      <c r="N47" s="192">
        <f>L47-M47</f>
        <v>1</v>
      </c>
      <c r="O47" s="192">
        <f>IFERROR(INDEX('[1]SALES PERTYPE'!$G$10:$G$52,MATCH($C47,'[1]SALES PERTYPE'!$B$10:$B$52,0)),0)</f>
        <v>4798000</v>
      </c>
      <c r="P47" s="192" cm="1">
        <f t="array" ref="P47">IFERROR(INDEX('[1]Sales per type juli'!$D$10:$BA$51,MATCH($C47,'[1]Sales per type juli'!$B$10:$B$51,0),MATCH("Y11d",'[1]Sales per type juli'!$D$8:$BA$8,0)+1),0)</f>
        <v>2799000</v>
      </c>
      <c r="Q47" s="192">
        <f>O47-P47</f>
        <v>1999000</v>
      </c>
      <c r="R47" s="192">
        <f>IFERROR(INDEX('[1]SALES PERTYPE'!$H$10:$H$52,MATCH($C47,'[1]SALES PERTYPE'!$B$10:$B$52,0)),0)</f>
        <v>0</v>
      </c>
      <c r="S47" s="192">
        <f>IFERROR(INDEX('[1]Sales per type juli'!$D$10:$BA$51,MATCH($C47,'[1]Sales per type juli'!$B$10:$B$51,0),MATCH("Watch GT 2",'[1]Sales per type juli'!$D$8:$BA$8,0)),0)</f>
        <v>0</v>
      </c>
      <c r="T47" s="192">
        <f>R47-S47</f>
        <v>0</v>
      </c>
      <c r="U47" s="192">
        <f>IFERROR(INDEX('[1]SALES PERTYPE'!$I$10:$I$52,MATCH($C47,'[1]SALES PERTYPE'!$B$10:$B$52,0)),0)</f>
        <v>0</v>
      </c>
      <c r="V47" s="192" cm="1">
        <f t="array" ref="V47">IFERROR(INDEX('[1]Sales per type juli'!$D$10:$BA$51,MATCH($C47,'[1]Sales per type juli'!$B$10:$B$51,0),MATCH("Watch GT 2",'[1]Sales per type juli'!$D$8:$BA$8,0)+1),0)</f>
        <v>0</v>
      </c>
      <c r="W47" s="192">
        <f>U47-V47</f>
        <v>0</v>
      </c>
      <c r="X47" s="192">
        <f>IFERROR(INDEX('[1]SALES PERTYPE'!$J$10:$J$52,MATCH($C47,'[1]SALES PERTYPE'!$B$10:$B$52,0)),0)</f>
        <v>2</v>
      </c>
      <c r="Y47" s="192">
        <f>IFERROR(INDEX('[1]Sales per type juli'!$D$10:$BA$51,MATCH($C47,'[1]Sales per type juli'!$B$10:$B$51,0),MATCH("Y05e",'[1]Sales per type juli'!$D$8:$BA$8,0)),0)</f>
        <v>0</v>
      </c>
      <c r="Z47" s="192">
        <f>X47-Y47</f>
        <v>2</v>
      </c>
      <c r="AA47" s="192">
        <f>IFERROR(INDEX('[1]SALES PERTYPE'!$K$10:$K$52,MATCH($C47,'[1]SALES PERTYPE'!$B$10:$B$52,0)),0)</f>
        <v>4198000</v>
      </c>
      <c r="AB47" s="192" cm="1">
        <f t="array" ref="AB47">IFERROR(INDEX('[1]Sales per type juli'!$D$10:$BA$51,MATCH($C47,'[1]Sales per type juli'!$B$10:$B$51,0),MATCH("Y05e",'[1]Sales per type juli'!$D$8:$BA$8,0)+1),0)</f>
        <v>0</v>
      </c>
      <c r="AC47" s="192">
        <f>AA47-AB47</f>
        <v>4198000</v>
      </c>
      <c r="AD47" s="192">
        <f>IFERROR(INDEX('[1]SALES PERTYPE'!$L$10:$L$52,MATCH($C47,'[1]SALES PERTYPE'!$B$10:$B$52,0)),0)</f>
        <v>2</v>
      </c>
      <c r="AE47" s="192">
        <f>IFERROR(INDEX('[1]Sales per type juli'!$D$10:$BA$51,MATCH($C47,'[1]Sales per type juli'!$B$10:$B$51,0),MATCH("V70",'[1]Sales per type juli'!$D$8:$BA$8,0)),0)</f>
        <v>6</v>
      </c>
      <c r="AF47" s="192">
        <f>AD47-AE47</f>
        <v>-4</v>
      </c>
      <c r="AG47" s="192">
        <f>IFERROR(INDEX('[1]SALES PERTYPE'!$M$10:$M$52,MATCH($C47,'[1]SALES PERTYPE'!$B$10:$B$52,0)),0)</f>
        <v>19998000</v>
      </c>
      <c r="AH47" s="192" cm="1">
        <f t="array" ref="AH47">IFERROR(INDEX('[1]Sales per type juli'!$D$10:$BA$51,MATCH($C47,'[1]Sales per type juli'!$B$10:$B$51,0),MATCH("V70",'[1]Sales per type juli'!$D$8:$BA$8,0)+1),0)</f>
        <v>57994000</v>
      </c>
      <c r="AI47" s="192">
        <f>AG47-AH47</f>
        <v>-37996000</v>
      </c>
      <c r="AJ47" s="192">
        <f>IFERROR(INDEX('[1]SALES PERTYPE'!$N$10:$N$52,MATCH($C47,'[1]SALES PERTYPE'!$B$10:$B$52,0)),0)</f>
        <v>4</v>
      </c>
      <c r="AK47" s="192">
        <f>IFERROR(INDEX('[1]Sales per type juli'!$D$10:$BA$51,MATCH($C47,'[1]Sales per type juli'!$B$10:$B$51,0),MATCH("Y31d Pro",'[1]Sales per type juli'!$D$8:$BA$8,0)),0)</f>
        <v>4</v>
      </c>
      <c r="AL47" s="192">
        <f>AJ47-AK47</f>
        <v>0</v>
      </c>
      <c r="AM47" s="192">
        <f>IFERROR(INDEX('[1]SALES PERTYPE'!$O$10:$O$52,MATCH($C47,'[1]SALES PERTYPE'!$B$10:$B$52,0)),0)</f>
        <v>16396000</v>
      </c>
      <c r="AN47" s="192" cm="1">
        <f t="array" ref="AN47">IFERROR(INDEX('[1]Sales per type juli'!$D$10:$BA$51,MATCH($C47,'[1]Sales per type juli'!$B$10:$B$51,0),MATCH("Y31d Pro",'[1]Sales per type juli'!$D$8:$BA$8,0)+1),0)</f>
        <v>16396000</v>
      </c>
      <c r="AO47" s="192">
        <f>AM47-AN47</f>
        <v>0</v>
      </c>
      <c r="AP47" s="192">
        <f>IFERROR(INDEX('[1]SALES PERTYPE'!$P$10:$P$52,MATCH($C47,'[1]SALES PERTYPE'!$B$10:$B$52,0)),0)</f>
        <v>0</v>
      </c>
      <c r="AQ47" s="192" cm="1">
        <f t="array" ref="AQ47">IFERROR(INDEX('[1]Sales per type juli'!$D$10:$BA$51,MATCH($C47,'[1]Sales per type juli'!$B$10:$B$51,0),$FG$2),0)</f>
        <v>0</v>
      </c>
      <c r="AR47" s="192">
        <f>AP47-AQ47</f>
        <v>0</v>
      </c>
      <c r="AS47" s="192">
        <f>IFERROR(INDEX('[1]SALES PERTYPE'!$Q$10:$Q$52,MATCH($C47,'[1]SALES PERTYPE'!$B$10:$B$52,0)),0)</f>
        <v>0</v>
      </c>
      <c r="AT47" s="192" cm="1">
        <f t="array" ref="AT47">IFERROR(INDEX('[1]Sales per type juli'!$D$10:$BA$51,MATCH($C47,'[1]Sales per type juli'!$B$10:$B$51,0),$FG$2+1),0)</f>
        <v>0</v>
      </c>
      <c r="AU47" s="192">
        <f>AS47-AT47</f>
        <v>0</v>
      </c>
      <c r="AV47" s="192">
        <f>IFERROR(INDEX('[1]SALES PERTYPE'!$R$10:$R$52,MATCH($C47,'[1]SALES PERTYPE'!$B$10:$B$52,0)),0)</f>
        <v>0</v>
      </c>
      <c r="AW47" s="192">
        <f>IFERROR(INDEX('[1]Sales per type juli'!$D$10:$BA$51,MATCH($C47,'[1]Sales per type juli'!$B$10:$B$51,0),MATCH("Y31d ",'[1]Sales per type juli'!$D$8:$BA$8,0)),0)</f>
        <v>0</v>
      </c>
      <c r="AX47" s="192">
        <f>AV47-AW47</f>
        <v>0</v>
      </c>
      <c r="AY47" s="192">
        <f>IFERROR(INDEX('[1]SALES PERTYPE'!$S$10:$S$52,MATCH($C47,'[1]SALES PERTYPE'!$B$10:$B$52,0)),0)</f>
        <v>0</v>
      </c>
      <c r="AZ47" s="192" cm="1">
        <f t="array" ref="AZ47">IFERROR(INDEX('[1]Sales per type juli'!$D$10:$BA$51,MATCH($C47,'[1]Sales per type juli'!$B$10:$B$51,0),MATCH("Y31d ",'[1]Sales per type juli'!$D$8:$BA$8,0)+1),0)</f>
        <v>0</v>
      </c>
      <c r="BA47" s="192">
        <f>AY47-AZ47</f>
        <v>0</v>
      </c>
      <c r="BB47" s="192">
        <f>IFERROR(INDEX('[1]SALES PERTYPE'!$T$10:$T$52,MATCH($C47,'[1]SALES PERTYPE'!$B$10:$B$52,0)),0)</f>
        <v>2</v>
      </c>
      <c r="BC47" s="192">
        <f>IFERROR(INDEX('[1]Sales per type juli'!$D$10:$BA$51,MATCH($C47,'[1]Sales per type juli'!$B$10:$B$51,0),MATCH("V70 FE",'[1]Sales per type juli'!$D$8:$BA$8,0)),0)</f>
        <v>1</v>
      </c>
      <c r="BD47" s="192">
        <f>BB47-BC47</f>
        <v>1</v>
      </c>
      <c r="BE47" s="192">
        <f>IFERROR(INDEX('[1]SALES PERTYPE'!$U$10:$U$52,MATCH($C47,'[1]SALES PERTYPE'!$B$10:$B$52,0)),0)</f>
        <v>12998000</v>
      </c>
      <c r="BF47" s="192" cm="1">
        <f t="array" ref="BF47">IFERROR(INDEX('[1]Sales per type juli'!$D$10:$BA$51,MATCH($C47,'[1]Sales per type juli'!$B$10:$B$51,0),MATCH("V70 FE",'[1]Sales per type juli'!$D$8:$BA$8,0)+1),0)</f>
        <v>6499000</v>
      </c>
      <c r="BG47" s="192">
        <f>BE47-BF47</f>
        <v>6499000</v>
      </c>
      <c r="BH47" s="192">
        <f>IFERROR(INDEX('[1]SALES PERTYPE'!$V$10:$V$52,MATCH($C47,'[1]SALES PERTYPE'!$B$10:$B$52,0)),0)</f>
        <v>0</v>
      </c>
      <c r="BI47" s="192">
        <f>IFERROR(INDEX('[1]Sales per type juli'!$D$10:$BA$51,MATCH($C47,'[1]Sales per type juli'!$B$10:$B$51,0),MATCH("Y31d",'[1]Sales per type juli'!$D$8:$BA$8,0)),0)</f>
        <v>0</v>
      </c>
      <c r="BJ47" s="192">
        <f>BH47-BI47</f>
        <v>0</v>
      </c>
      <c r="BK47" s="192">
        <f>IFERROR(INDEX('[1]SALES PERTYPE'!$W$10:$W$52,MATCH($C47,'[1]SALES PERTYPE'!$B$10:$B$52,0)),0)</f>
        <v>0</v>
      </c>
      <c r="BL47" s="192" cm="1">
        <f t="array" ref="BL47">IFERROR(INDEX('[1]Sales per type juli'!$D$10:$BA$51,MATCH($C47,'[1]Sales per type juli'!$B$10:$B$51,0),MATCH("Y31d",'[1]Sales per type juli'!$D$8:$BA$8,0)+1),0)</f>
        <v>0</v>
      </c>
      <c r="BM47" s="192">
        <f>BK47-BL47</f>
        <v>0</v>
      </c>
      <c r="BN47" s="192">
        <f>IFERROR(INDEX('[1]SALES PERTYPE'!$X$10:$X$52,MATCH($C47,'[1]SALES PERTYPE'!$B$10:$B$52,0)),0)</f>
        <v>0</v>
      </c>
      <c r="BO47" s="192">
        <f>IFERROR(INDEX('[1]Sales per type juli'!$D$10:$BA$51,MATCH($C47,'[1]Sales per type juli'!$B$10:$B$51,0),MATCH("Y500",'[1]Sales per type juli'!$D$8:$BA$8,0)),0)</f>
        <v>0</v>
      </c>
      <c r="BP47" s="192">
        <f>BN47-BO47</f>
        <v>0</v>
      </c>
      <c r="BQ47" s="192">
        <f>IFERROR(INDEX('[1]SALES PERTYPE'!$Y$10:$Y$52,MATCH($C47,'[1]SALES PERTYPE'!$B$10:$B$52,0)),0)</f>
        <v>0</v>
      </c>
      <c r="BR47" s="192" cm="1">
        <f t="array" ref="BR47">IFERROR(INDEX('[1]Sales per type juli'!$D$10:$BA$51,MATCH($C47,'[1]Sales per type juli'!$B$10:$B$51,0),MATCH("Y500",'[1]Sales per type juli'!$D$8:$BA$8,0)+1),0)</f>
        <v>0</v>
      </c>
      <c r="BS47" s="192">
        <f>BQ47-BR47</f>
        <v>0</v>
      </c>
      <c r="BT47" s="192">
        <f>IFERROR(INDEX('[1]SALES PERTYPE'!$Z$10:$Z$52,MATCH($C47,'[1]SALES PERTYPE'!$B$10:$B$52,0)),0)</f>
        <v>0</v>
      </c>
      <c r="BU47" s="192">
        <f>IFERROR(INDEX('[1]Sales per type juli'!$D$10:$BA$51,MATCH($C47,'[1]Sales per type juli'!$B$10:$B$51,0),MATCH("IQOO 15R",'[1]Sales per type juli'!$D$8:$BA$8,0)),0)</f>
        <v>3</v>
      </c>
      <c r="BV47" s="192">
        <f>BT47-BU47</f>
        <v>-3</v>
      </c>
      <c r="BW47" s="192">
        <f>IFERROR(INDEX('[1]SALES PERTYPE'!$AA$10:$AA$52,MATCH($C47,'[1]SALES PERTYPE'!$B$10:$B$52,0)),0)</f>
        <v>0</v>
      </c>
      <c r="BX47" s="192" cm="1">
        <f t="array" ref="BX47">IFERROR(INDEX('[1]Sales per type juli'!$D$10:$BA$51,MATCH($C47,'[1]Sales per type juli'!$B$10:$B$51,0),MATCH("IQOO 15R",'[1]Sales per type juli'!$D$8:$BA$8,0)+1),0)</f>
        <v>29697000</v>
      </c>
      <c r="BY47" s="192">
        <f>BW47-BX47</f>
        <v>-29697000</v>
      </c>
      <c r="BZ47" s="192">
        <f>IFERROR(INDEX('[1]SALES PERTYPE'!$AB$10:$AB$52,MATCH($C47,'[1]SALES PERTYPE'!$B$10:$B$52,0)),0)</f>
        <v>1</v>
      </c>
      <c r="CA47" s="192">
        <f>IFERROR(INDEX('[1]Sales per type juli'!$D$10:$BA$51,MATCH($C47,'[1]Sales per type juli'!$B$10:$B$51,0),MATCH("V60 Lite",'[1]Sales per type juli'!$D$8:$BA$8,0)),0)</f>
        <v>2</v>
      </c>
      <c r="CB47" s="192">
        <f>BZ47-CA47</f>
        <v>-1</v>
      </c>
      <c r="CC47" s="192">
        <f>IFERROR(INDEX('[1]SALES PERTYPE'!$AC$10:$AC$52,MATCH($C47,'[1]SALES PERTYPE'!$B$10:$B$52,0)),0)</f>
        <v>5299000</v>
      </c>
      <c r="CD47" s="192" cm="1">
        <f t="array" ref="CD47">IFERROR(INDEX('[1]Sales per type juli'!$D$10:$BA$51,MATCH($C47,'[1]Sales per type juli'!$B$10:$B$51,0),MATCH("V60 Lite",'[1]Sales per type juli'!$D$8:$BA$8,0)+1),0)</f>
        <v>10598000</v>
      </c>
      <c r="CE47" s="192">
        <f>CC47-CD47</f>
        <v>-5299000</v>
      </c>
      <c r="CF47" s="192">
        <f>IFERROR(INDEX('[1]SALES PERTYPE'!$AD$10:$AD$52,MATCH($C47,'[1]SALES PERTYPE'!$B$10:$B$52,0)),0)</f>
        <v>1</v>
      </c>
      <c r="CG47" s="192">
        <f>IFERROR(INDEX('[1]Sales per type juli'!$D$10:$BA$51,MATCH($C47,'[1]Sales per type juli'!$B$10:$B$51,0),MATCH("X300 Ultra",'[1]Sales per type juli'!$D$8:$BA$8,0)),0)</f>
        <v>0</v>
      </c>
      <c r="CH47" s="192">
        <f>CF47-CG47</f>
        <v>1</v>
      </c>
      <c r="CI47" s="192">
        <f>IFERROR(INDEX('[1]SALES PERTYPE'!$AE$10:$AE$52,MATCH($C47,'[1]SALES PERTYPE'!$B$10:$B$52,0)),0)</f>
        <v>25999000</v>
      </c>
      <c r="CJ47" s="192" cm="1">
        <f t="array" ref="CJ47">IFERROR(INDEX('[1]Sales per type juli'!$D$10:$BA$51,MATCH($C47,'[1]Sales per type juli'!$B$10:$B$51,0),MATCH("X300 Ultra",'[1]Sales per type juli'!$D$8:$BA$8,0)+1),0)</f>
        <v>0</v>
      </c>
      <c r="CK47" s="192">
        <f>CI47-CJ47</f>
        <v>25999000</v>
      </c>
      <c r="CL47" s="192">
        <f>IFERROR(INDEX('[1]SALES PERTYPE'!$AF$10:$AF$52,MATCH($C47,'[1]SALES PERTYPE'!$B$10:$B$52,0)),0)</f>
        <v>0</v>
      </c>
      <c r="CM47" s="192">
        <f>IFERROR(INDEX('[1]Sales per type juli'!$D$10:$BA$51,MATCH($C47,'[1]Sales per type juli'!$B$10:$B$51,0),MATCH("IQOO 15",'[1]Sales per type juli'!$D$8:$BA$8,0)),0)</f>
        <v>0</v>
      </c>
      <c r="CN47" s="192">
        <f>CL47-CM47</f>
        <v>0</v>
      </c>
      <c r="CO47" s="192">
        <f>IFERROR(INDEX('[1]SALES PERTYPE'!$AG$10:$AG$52,MATCH($C47,'[1]SALES PERTYPE'!$B$10:$B$52,0)),0)</f>
        <v>0</v>
      </c>
      <c r="CP47" s="192" cm="1">
        <f t="array" ref="CP47">IFERROR(INDEX('[1]Sales per type juli'!$D$10:$BA$51,MATCH($C47,'[1]Sales per type juli'!$B$10:$B$51,0),MATCH("IQOO 15",'[1]Sales per type juli'!$D$8:$BA$8,0)+1),0)</f>
        <v>0</v>
      </c>
      <c r="CQ47" s="192">
        <f>CO47-CP47</f>
        <v>0</v>
      </c>
      <c r="CR47" s="192">
        <f>IFERROR(INDEX('[1]SALES PERTYPE'!$AH$10:$AH$52,MATCH($C47,'[1]SALES PERTYPE'!$B$10:$B$52,0)),0)</f>
        <v>2</v>
      </c>
      <c r="CS47" s="192">
        <f>IFERROR(INDEX('[1]Sales per type juli'!$D$10:$BA$51,MATCH($C47,'[1]Sales per type juli'!$B$10:$B$51,0),MATCH("IQOO Z11x",'[1]Sales per type juli'!$D$8:$BA$8,0)),0)</f>
        <v>1</v>
      </c>
      <c r="CT47" s="192">
        <f>CR47-CS47</f>
        <v>1</v>
      </c>
      <c r="CU47" s="192">
        <f>IFERROR(INDEX('[1]SALES PERTYPE'!$AI$10:$AI$52,MATCH($C47,'[1]SALES PERTYPE'!$B$10:$B$52,0)),0)</f>
        <v>11398000</v>
      </c>
      <c r="CV47" s="192" cm="1">
        <f t="array" ref="CV47">IFERROR(INDEX('[1]Sales per type juli'!$D$10:$BA$51,MATCH($C47,'[1]Sales per type juli'!$B$10:$B$51,0),MATCH("IQOO Z11x",'[1]Sales per type juli'!$D$8:$BA$8,0)+1),0)</f>
        <v>4799000</v>
      </c>
      <c r="CW47" s="192">
        <f>CU47-CV47</f>
        <v>6599000</v>
      </c>
      <c r="CX47" s="192">
        <f>IFERROR(INDEX('[1]SALES PERTYPE'!$AJ$10:$AJ$52,MATCH($C47,'[1]SALES PERTYPE'!$B$10:$B$52,0)),0)</f>
        <v>4</v>
      </c>
      <c r="CY47" s="192">
        <f>IFERROR(INDEX('[1]Sales per type juli'!$D$10:$BA$51,MATCH($C47,'[1]Sales per type juli'!$B$10:$B$51,0),MATCH("IQOO Z11",'[1]Sales per type juli'!$D$8:$BA$8,0)),0)</f>
        <v>5</v>
      </c>
      <c r="CZ47" s="192">
        <f>CX47-CY47</f>
        <v>-1</v>
      </c>
      <c r="DA47" s="192">
        <f>IFERROR(INDEX('[1]SALES PERTYPE'!$AK$10:$AK$52,MATCH($C47,'[1]SALES PERTYPE'!$B$10:$B$52,0)),0)</f>
        <v>27596000</v>
      </c>
      <c r="DB47" s="192" cm="1">
        <f t="array" ref="DB47">IFERROR(INDEX('[1]Sales per type juli'!$D$10:$BA$51,MATCH($C47,'[1]Sales per type juli'!$B$10:$B$51,0),MATCH("IQOO Z11",'[1]Sales per type juli'!$D$8:$BA$8,0)+1),0)</f>
        <v>28495000</v>
      </c>
      <c r="DC47" s="192">
        <f>DA47-DB47</f>
        <v>-899000</v>
      </c>
      <c r="DD47" s="192">
        <v>0</v>
      </c>
      <c r="DE47" s="192">
        <f>IFERROR(INDEX('[1]Sales per type juli'!$D$10:$BA$51,MATCH($C47,'[1]Sales per type juli'!$B$10:$B$51,0),MATCH("WATCH 3",'[1]Sales per type juli'!$D$8:$BA$8,0)),0)</f>
        <v>0</v>
      </c>
      <c r="DF47" s="192">
        <f>DD47-DE47</f>
        <v>0</v>
      </c>
      <c r="DG47" s="192">
        <v>0</v>
      </c>
      <c r="DH47" s="192" cm="1">
        <f t="array" ref="DH47">IFERROR(INDEX('[1]Sales per type juli'!$D$10:$BA$51,MATCH($C47,'[1]Sales per type juli'!$B$10:$B$51,0),MATCH("WATCH 3",'[1]Sales per type juli'!$D$8:$BA$8,0)+1),0)</f>
        <v>0</v>
      </c>
      <c r="DI47" s="192">
        <f>DG47-DH47</f>
        <v>0</v>
      </c>
      <c r="DJ47" s="192">
        <v>0</v>
      </c>
      <c r="DK47" s="192">
        <f>IFERROR(INDEX('[1]Sales per type juli'!$D$10:$BA$51,MATCH($C47,'[1]Sales per type juli'!$B$10:$B$51,0),MATCH("X300 Demo",'[1]Sales per type juli'!$D$8:$BA$8,0)),0)</f>
        <v>0</v>
      </c>
      <c r="DL47" s="192">
        <f>DJ47-DK47</f>
        <v>0</v>
      </c>
      <c r="DM47" s="192">
        <v>0</v>
      </c>
      <c r="DN47" s="192" cm="1">
        <f t="array" ref="DN47">IFERROR(INDEX('[1]Sales per type juli'!$D$10:$BA$51,MATCH($C47,'[1]Sales per type juli'!$B$10:$B$51,0),MATCH("X300 Demo",'[1]Sales per type juli'!$D$8:$BA$8,0)+1),0)</f>
        <v>0</v>
      </c>
      <c r="DO47" s="192">
        <f>DM47-DN47</f>
        <v>0</v>
      </c>
      <c r="DP47" s="192">
        <v>0</v>
      </c>
      <c r="DQ47" s="192">
        <f>IFERROR(INDEX('[1]Sales per type juli'!$D$10:$BA$51,MATCH($C47,'[1]Sales per type juli'!$B$10:$B$51,0),MATCH("X300 Pro Demo",'[1]Sales per type juli'!$D$8:$BA$8,0)),0)</f>
        <v>0</v>
      </c>
      <c r="DR47" s="192">
        <f>DP47-DQ47</f>
        <v>0</v>
      </c>
      <c r="DS47" s="192">
        <v>0</v>
      </c>
      <c r="DT47" s="192" cm="1">
        <f t="array" ref="DT47">IFERROR(INDEX('[1]Sales per type juli'!$D$10:$BA$51,MATCH($C47,'[1]Sales per type juli'!$B$10:$B$51,0),MATCH("X300 Pro Demo",'[1]Sales per type juli'!$D$8:$BA$8,0)+1),0)</f>
        <v>0</v>
      </c>
      <c r="DU47" s="192">
        <f>DS47-DT47</f>
        <v>0</v>
      </c>
      <c r="DV47" s="192">
        <v>0</v>
      </c>
      <c r="DW47" s="192">
        <f>IFERROR(INDEX('[1]Sales per type juli'!$D$10:$BA$51,MATCH($C47,'[1]Sales per type juli'!$B$10:$B$51,0),MATCH("X Fold5 DEMO",'[1]Sales per type juli'!$D$8:$BA$8,0)),0)</f>
        <v>1</v>
      </c>
      <c r="DX47" s="192">
        <f>DV47-DW47</f>
        <v>-1</v>
      </c>
      <c r="DY47" s="192">
        <v>0</v>
      </c>
      <c r="DZ47" s="192" cm="1">
        <f t="array" ref="DZ47">IFERROR(INDEX('[1]Sales per type juli'!$D$10:$BA$51,MATCH($C47,'[1]Sales per type juli'!$B$10:$B$51,0),MATCH("X Fold5 DEMO",'[1]Sales per type juli'!$D$8:$BA$8,0)+1),0)</f>
        <v>24999000</v>
      </c>
      <c r="EA47" s="192">
        <f>DY47-DZ47</f>
        <v>-24999000</v>
      </c>
      <c r="EB47" s="192">
        <v>0</v>
      </c>
      <c r="EC47" s="192">
        <f>IFERROR(INDEX('[1]Sales per type juli'!$D$10:$BA$51,MATCH($C47,'[1]Sales per type juli'!$B$10:$B$51,0),MATCH("X Fold5",'[1]Sales per type juli'!$D$8:$BA$8,0)),0)</f>
        <v>0</v>
      </c>
      <c r="ED47" s="192">
        <f>EB47-EC47</f>
        <v>0</v>
      </c>
      <c r="EE47" s="192">
        <v>0</v>
      </c>
      <c r="EF47" s="192" cm="1">
        <f t="array" ref="EF47">IFERROR(INDEX('[1]Sales per type juli'!$D$10:$BA$51,MATCH($C47,'[1]Sales per type juli'!$B$10:$B$51,0),MATCH("X Fold5",'[1]Sales per type juli'!$D$8:$BA$8,0)+1),0)</f>
        <v>0</v>
      </c>
      <c r="EG47" s="192">
        <f>EE47-EF47</f>
        <v>0</v>
      </c>
      <c r="EH47" s="192">
        <v>0</v>
      </c>
      <c r="EI47" s="192">
        <f>IFERROR(INDEX('[1]Sales per type juli'!$D$10:$BA$51,MATCH($C47,'[1]Sales per type juli'!$B$10:$B$51,0),MATCH("IQOO 15 Demo",'[1]Sales per type juli'!$D$8:$BA$8,0)),0)</f>
        <v>0</v>
      </c>
      <c r="EJ47" s="192">
        <f>EH47-EI47</f>
        <v>0</v>
      </c>
      <c r="EK47" s="192">
        <v>0</v>
      </c>
      <c r="EL47" s="192" cm="1">
        <f t="array" ref="EL47">IFERROR(INDEX('[1]Sales per type juli'!$D$10:$BA$51,MATCH($C47,'[1]Sales per type juli'!$B$10:$B$51,0),MATCH("IQOO 15 Demo",'[1]Sales per type juli'!$D$8:$BA$8,0)+1),0)</f>
        <v>0</v>
      </c>
      <c r="EM47" s="192">
        <f>EK47-EL47</f>
        <v>0</v>
      </c>
      <c r="EN47" s="192">
        <v>0</v>
      </c>
      <c r="EO47" s="192">
        <f>IFERROR(INDEX('[1]Sales per type juli'!$D$10:$BA$51,MATCH($C47,'[1]Sales per type juli'!$B$10:$B$51,0),MATCH("X300 PRO",'[1]Sales per type juli'!$D$8:$BA$8,0)),0)</f>
        <v>0</v>
      </c>
      <c r="EP47" s="192">
        <f>EN47-EO47</f>
        <v>0</v>
      </c>
      <c r="EQ47" s="192">
        <v>0</v>
      </c>
      <c r="ER47" s="192" cm="1">
        <f t="array" ref="ER47">IFERROR(INDEX('[1]Sales per type juli'!$D$10:$BA$51,MATCH($C47,'[1]Sales per type juli'!$B$10:$B$51,0),MATCH("X300 PRO",'[1]Sales per type juli'!$D$8:$BA$8,0)+1),0)</f>
        <v>0</v>
      </c>
      <c r="ES47" s="192">
        <f>EQ47-ER47</f>
        <v>0</v>
      </c>
      <c r="ET47" s="192">
        <v>0</v>
      </c>
      <c r="EU47" s="192">
        <f>IFERROR(INDEX('[1]Sales per type juli'!$D$10:$BA$51,MATCH($C47,'[1]Sales per type juli'!$B$10:$B$51,0),MATCH("X300 ",'[1]Sales per type juli'!$D$8:$BA$8,0)),0)</f>
        <v>0</v>
      </c>
      <c r="EV47" s="192">
        <f>ET47-EU47</f>
        <v>0</v>
      </c>
      <c r="EW47" s="192">
        <v>0</v>
      </c>
      <c r="EX47" s="192" cm="1">
        <f t="array" ref="EX47">IFERROR(INDEX('[1]Sales per type juli'!$D$10:$BA$51,MATCH($C47,'[1]Sales per type juli'!$B$10:$B$51,0),MATCH("X300 ",'[1]Sales per type juli'!$D$8:$BA$8,0)+1),0)</f>
        <v>0</v>
      </c>
      <c r="EY47" s="192">
        <f>EW47-EX47</f>
        <v>0</v>
      </c>
      <c r="EZ47" s="192">
        <f>F47+L47+R47+X47+AD47+AJ47+AP47+AV47+BB47+BH47+BN47+BT47+BZ47+CF47+CL47+CR47+CX47+DD47+DJ47+DP47+DV47+EB47+EH47+EN47+ET47</f>
        <v>20</v>
      </c>
      <c r="FA47" s="192">
        <f>G47+M47+S47+Y47+AE47+AK47+AQ47+AW47+BC47+BI47+BO47+BU47+CA47+CG47+CM47+CS47+CY47+DE47+DK47+DQ47+DW47+EC47+EI47+EO47+EU47</f>
        <v>26</v>
      </c>
      <c r="FB47" s="192">
        <f>EZ47-FA47</f>
        <v>-6</v>
      </c>
      <c r="FC47" s="192">
        <f>I47+O47+U47+AA47+AG47+AM47+AS47+AY47+BE47+BK47+BQ47+BW47+CC47+CI47+CO47+CU47+DA47+DG47+DM47+DS47+DY47+EE47+EK47+EQ47+EW47</f>
        <v>128680000</v>
      </c>
      <c r="FD47" s="192">
        <f>J47+P47+V47+AB47+AH47+AN47+AT47+AZ47+BF47+BL47+BR47+BX47+CD47+CJ47+CP47+CV47+DB47+DH47+DN47+DT47+DZ47+EF47+EL47+ER47+EX47</f>
        <v>186774000</v>
      </c>
      <c r="FE47" s="192">
        <f>FC47-FD47</f>
        <v>-58094000</v>
      </c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</row>
    <row r="48" spans="1:208" x14ac:dyDescent="0.15">
      <c r="A48" s="141" t="s">
        <v>111</v>
      </c>
      <c r="B48" s="141"/>
      <c r="C48" s="141"/>
      <c r="D48" s="141"/>
      <c r="E48" s="141"/>
      <c r="F48" s="193">
        <f>SUM(F5:F47)</f>
        <v>214</v>
      </c>
      <c r="G48" s="193">
        <f>SUM(G5:G47)</f>
        <v>580</v>
      </c>
      <c r="H48" s="193">
        <f>F48-G48</f>
        <v>-366</v>
      </c>
      <c r="I48" s="193">
        <f>SUM(I5:I47)</f>
        <v>521086000</v>
      </c>
      <c r="J48" s="193">
        <f>SUM(J5:J47)</f>
        <v>1281320000</v>
      </c>
      <c r="K48" s="193">
        <f>I48-J48</f>
        <v>-760234000</v>
      </c>
      <c r="L48" s="193">
        <f>SUM(L5:L47)</f>
        <v>284</v>
      </c>
      <c r="M48" s="193">
        <f>SUM(M5:M47)</f>
        <v>200</v>
      </c>
      <c r="N48" s="193">
        <f>L48-M48</f>
        <v>84</v>
      </c>
      <c r="O48" s="193">
        <f>SUM(O5:O47)</f>
        <v>752516000</v>
      </c>
      <c r="P48" s="193">
        <f>SUM(P5:P47)</f>
        <v>532600000</v>
      </c>
      <c r="Q48" s="193">
        <f>O48-P48</f>
        <v>219916000</v>
      </c>
      <c r="R48" s="193">
        <f>SUM(R5:R47)</f>
        <v>2</v>
      </c>
      <c r="S48" s="193">
        <f>SUM(S5:S47)</f>
        <v>2</v>
      </c>
      <c r="T48" s="193">
        <f>R48-S48</f>
        <v>0</v>
      </c>
      <c r="U48" s="193">
        <f>SUM(U5:U47)</f>
        <v>3598000</v>
      </c>
      <c r="V48" s="193">
        <f>SUM(V5:V47)</f>
        <v>3598000</v>
      </c>
      <c r="W48" s="193">
        <f>U48-V48</f>
        <v>0</v>
      </c>
      <c r="X48" s="193">
        <f>SUM(X5:X47)</f>
        <v>296</v>
      </c>
      <c r="Y48" s="193">
        <f>SUM(Y5:Y47)</f>
        <v>0</v>
      </c>
      <c r="Z48" s="193">
        <f>X48-Y48</f>
        <v>296</v>
      </c>
      <c r="AA48" s="193">
        <f>SUM(AA5:AA47)</f>
        <v>621304000</v>
      </c>
      <c r="AB48" s="193">
        <f>SUM(AB5:AB47)</f>
        <v>0</v>
      </c>
      <c r="AC48" s="193">
        <f>AA48-AB48</f>
        <v>621304000</v>
      </c>
      <c r="AD48" s="193">
        <f>SUM(AD5:AD47)</f>
        <v>33</v>
      </c>
      <c r="AE48" s="193">
        <f>SUM(AE5:AE47)</f>
        <v>87</v>
      </c>
      <c r="AF48" s="193">
        <f>AD48-AE48</f>
        <v>-54</v>
      </c>
      <c r="AG48" s="193">
        <f>SUM(AG5:AG47)</f>
        <v>327967000</v>
      </c>
      <c r="AH48" s="193">
        <f>SUM(AH5:AH47)</f>
        <v>822913000</v>
      </c>
      <c r="AI48" s="193">
        <f>AG48-AH48</f>
        <v>-494946000</v>
      </c>
      <c r="AJ48" s="193">
        <f>SUM(AJ5:AJ47)</f>
        <v>205</v>
      </c>
      <c r="AK48" s="193">
        <f>SUM(AK5:AK47)</f>
        <v>118</v>
      </c>
      <c r="AL48" s="193">
        <f>AJ48-AK48</f>
        <v>87</v>
      </c>
      <c r="AM48" s="193">
        <f>SUM(AM5:AM47)</f>
        <v>898895000</v>
      </c>
      <c r="AN48" s="193">
        <f>SUM(AN5:AN47)</f>
        <v>503082000</v>
      </c>
      <c r="AO48" s="193">
        <f>AM48-AN48</f>
        <v>395813000</v>
      </c>
      <c r="AP48" s="193">
        <f>SUM(AP5:AP47)</f>
        <v>8</v>
      </c>
      <c r="AQ48" s="193">
        <f>SUM(AQ5:AQ47)</f>
        <v>18</v>
      </c>
      <c r="AR48" s="193">
        <f>AP48-AQ48</f>
        <v>-10</v>
      </c>
      <c r="AS48" s="193">
        <f>SUM(AS5:AS47)</f>
        <v>28792000</v>
      </c>
      <c r="AT48" s="193">
        <f>SUM(AT5:AT47)</f>
        <v>64782000</v>
      </c>
      <c r="AU48" s="193">
        <f>AS48-AT48</f>
        <v>-35990000</v>
      </c>
      <c r="AV48" s="193">
        <f>SUM(AV5:AV47)</f>
        <v>16</v>
      </c>
      <c r="AW48" s="193">
        <f>SUM(AW5:AW47)</f>
        <v>21</v>
      </c>
      <c r="AX48" s="193">
        <f>AV48-AW48</f>
        <v>-5</v>
      </c>
      <c r="AY48" s="193">
        <f>SUM(AY5:AY47)</f>
        <v>57584000</v>
      </c>
      <c r="AZ48" s="193">
        <f>SUM(AZ5:AZ47)</f>
        <v>75579000</v>
      </c>
      <c r="BA48" s="193">
        <f>AY48-AZ48</f>
        <v>-17995000</v>
      </c>
      <c r="BB48" s="193">
        <f>SUM(BB5:BB47)</f>
        <v>47</v>
      </c>
      <c r="BC48" s="193">
        <f>SUM(BC5:BC47)</f>
        <v>98</v>
      </c>
      <c r="BD48" s="193">
        <f>BB48-BC48</f>
        <v>-51</v>
      </c>
      <c r="BE48" s="193">
        <f>SUM(BE5:BE47)</f>
        <v>345153000</v>
      </c>
      <c r="BF48" s="193">
        <f>SUM(BF5:BF47)</f>
        <v>654402000</v>
      </c>
      <c r="BG48" s="193">
        <f>BE48-BF48</f>
        <v>-309249000</v>
      </c>
      <c r="BH48" s="193">
        <f>SUM(BH5:BH47)</f>
        <v>15</v>
      </c>
      <c r="BI48" s="193">
        <f>SUM(BI5:BI47)</f>
        <v>58</v>
      </c>
      <c r="BJ48" s="193">
        <f>BH48-BI48</f>
        <v>-43</v>
      </c>
      <c r="BK48" s="193">
        <f>SUM(BK5:BK47)</f>
        <v>53985000</v>
      </c>
      <c r="BL48" s="193">
        <f>SUM(BL5:BL47)</f>
        <v>208742000</v>
      </c>
      <c r="BM48" s="193">
        <f>BK48-BL48</f>
        <v>-154757000</v>
      </c>
      <c r="BN48" s="193">
        <f>SUM(BN5:BN47)</f>
        <v>47</v>
      </c>
      <c r="BO48" s="193">
        <f>SUM(BO5:BO47)</f>
        <v>39</v>
      </c>
      <c r="BP48" s="193">
        <f>BN48-BO48</f>
        <v>8</v>
      </c>
      <c r="BQ48" s="193">
        <f>SUM(BQ5:BQ47)</f>
        <v>272853000</v>
      </c>
      <c r="BR48" s="193">
        <f>SUM(BR5:BR47)</f>
        <v>224061000</v>
      </c>
      <c r="BS48" s="193">
        <f>BQ48-BR48</f>
        <v>48792000</v>
      </c>
      <c r="BT48" s="193">
        <f>SUM(BT5:BT47)</f>
        <v>9</v>
      </c>
      <c r="BU48" s="193">
        <f>SUM(BU5:BU47)</f>
        <v>39</v>
      </c>
      <c r="BV48" s="193">
        <f>BT48-BU48</f>
        <v>-30</v>
      </c>
      <c r="BW48" s="193">
        <f>SUM(BW5:BW47)</f>
        <v>107991000</v>
      </c>
      <c r="BX48" s="193">
        <f>SUM(BX5:BX47)</f>
        <v>386061000</v>
      </c>
      <c r="BY48" s="193">
        <f>BW48-BX48</f>
        <v>-278070000</v>
      </c>
      <c r="BZ48" s="193">
        <f>SUM(BZ5:BZ47)</f>
        <v>41</v>
      </c>
      <c r="CA48" s="193">
        <f>SUM(CA5:CA47)</f>
        <v>39</v>
      </c>
      <c r="CB48" s="193">
        <f>BZ48-CA48</f>
        <v>2</v>
      </c>
      <c r="CC48" s="193">
        <f>SUM(CC5:CC47)</f>
        <v>233259000</v>
      </c>
      <c r="CD48" s="193">
        <f>SUM(CD5:CD47)</f>
        <v>212261000</v>
      </c>
      <c r="CE48" s="193">
        <f>CC48-CD48</f>
        <v>20998000</v>
      </c>
      <c r="CF48" s="193">
        <f>SUM(CF5:CF47)</f>
        <v>13</v>
      </c>
      <c r="CG48" s="193">
        <f>SUM(CG5:CG47)</f>
        <v>5</v>
      </c>
      <c r="CH48" s="193">
        <f>CF48-CG48</f>
        <v>8</v>
      </c>
      <c r="CI48" s="193">
        <f>SUM(CI5:CI47)</f>
        <v>345987000</v>
      </c>
      <c r="CJ48" s="193">
        <f>SUM(CJ5:CJ47)</f>
        <v>129995000</v>
      </c>
      <c r="CK48" s="193">
        <f>CI48-CJ48</f>
        <v>215992000</v>
      </c>
      <c r="CL48" s="193">
        <f>SUM(CL5:CL47)</f>
        <v>1</v>
      </c>
      <c r="CM48" s="193">
        <f>SUM(CM5:CM47)</f>
        <v>7</v>
      </c>
      <c r="CN48" s="193">
        <f>CL48-CM48</f>
        <v>-6</v>
      </c>
      <c r="CO48" s="193">
        <f>SUM(CO5:CO47)</f>
        <v>15999000</v>
      </c>
      <c r="CP48" s="193">
        <f>SUM(CP5:CP47)</f>
        <v>99993000</v>
      </c>
      <c r="CQ48" s="193">
        <f>CO48-CP48</f>
        <v>-83994000</v>
      </c>
      <c r="CR48" s="193">
        <f>SUM(CR5:CR47)</f>
        <v>19</v>
      </c>
      <c r="CS48" s="193">
        <f>SUM(CS5:CS47)</f>
        <v>39</v>
      </c>
      <c r="CT48" s="193">
        <f>CR48-CS48</f>
        <v>-20</v>
      </c>
      <c r="CU48" s="193">
        <f>SUM(CU5:CU47)</f>
        <v>108081000</v>
      </c>
      <c r="CV48" s="193">
        <f>SUM(CV5:CV47)</f>
        <v>187161000</v>
      </c>
      <c r="CW48" s="193">
        <f>CU48-CV48</f>
        <v>-79080000</v>
      </c>
      <c r="CX48" s="193">
        <f>SUM(CX5:CX47)</f>
        <v>35</v>
      </c>
      <c r="CY48" s="193">
        <f>SUM(CY5:CY47)</f>
        <v>96</v>
      </c>
      <c r="CZ48" s="193">
        <f>CX48-CY48</f>
        <v>-61</v>
      </c>
      <c r="DA48" s="193">
        <f>SUM(DA5:DA47)</f>
        <v>253365000</v>
      </c>
      <c r="DB48" s="193">
        <f>SUM(DB5:DB47)</f>
        <v>547104000</v>
      </c>
      <c r="DC48" s="193">
        <f>DA48-DB48</f>
        <v>-293739000</v>
      </c>
      <c r="DD48" s="193">
        <f>SUM(DD5:DD47)</f>
        <v>0</v>
      </c>
      <c r="DE48" s="193">
        <f>SUM(DE5:DE47)</f>
        <v>1</v>
      </c>
      <c r="DF48" s="193">
        <f>DD48-DE48</f>
        <v>-1</v>
      </c>
      <c r="DG48" s="193">
        <f>SUM(DG5:DG47)</f>
        <v>0</v>
      </c>
      <c r="DH48" s="193">
        <f>SUM(DH5:DH47)</f>
        <v>2999000</v>
      </c>
      <c r="DI48" s="193">
        <f>DG48-DH48</f>
        <v>-2999000</v>
      </c>
      <c r="DJ48" s="193">
        <f>SUM(DJ5:DJ47)</f>
        <v>0</v>
      </c>
      <c r="DK48" s="193">
        <f>SUM(DK5:DK47)</f>
        <v>25</v>
      </c>
      <c r="DL48" s="193">
        <f>DJ48-DK48</f>
        <v>-25</v>
      </c>
      <c r="DM48" s="193">
        <f>SUM(DM5:DM47)</f>
        <v>0</v>
      </c>
      <c r="DN48" s="193">
        <f>SUM(DN5:DN47)</f>
        <v>410975000</v>
      </c>
      <c r="DO48" s="193">
        <f>DM48-DN48</f>
        <v>-410975000</v>
      </c>
      <c r="DP48" s="193">
        <f>SUM(DP5:DP47)</f>
        <v>0</v>
      </c>
      <c r="DQ48" s="193">
        <f>SUM(DQ5:DQ47)</f>
        <v>6</v>
      </c>
      <c r="DR48" s="193">
        <f>DP48-DQ48</f>
        <v>-6</v>
      </c>
      <c r="DS48" s="193">
        <f>SUM(DS5:DS47)</f>
        <v>0</v>
      </c>
      <c r="DT48" s="193">
        <f>SUM(DT5:DT47)</f>
        <v>113994000</v>
      </c>
      <c r="DU48" s="193">
        <f>DS48-DT48</f>
        <v>-113994000</v>
      </c>
      <c r="DV48" s="193">
        <f>SUM(DV5:DV47)</f>
        <v>0</v>
      </c>
      <c r="DW48" s="193">
        <f>SUM(DW5:DW47)</f>
        <v>1</v>
      </c>
      <c r="DX48" s="193">
        <f>DV48-DW48</f>
        <v>-1</v>
      </c>
      <c r="DY48" s="193">
        <f>SUM(DY5:DY47)</f>
        <v>0</v>
      </c>
      <c r="DZ48" s="193">
        <f>SUM(DZ5:DZ47)</f>
        <v>24999000</v>
      </c>
      <c r="EA48" s="193">
        <f>DY48-DZ48</f>
        <v>-24999000</v>
      </c>
      <c r="EB48" s="193">
        <f>SUM(EB5:EB47)</f>
        <v>0</v>
      </c>
      <c r="EC48" s="193">
        <f>SUM(EC5:EC47)</f>
        <v>0</v>
      </c>
      <c r="ED48" s="193">
        <f>EB48-EC48</f>
        <v>0</v>
      </c>
      <c r="EE48" s="193">
        <f>SUM(EE5:EE47)</f>
        <v>0</v>
      </c>
      <c r="EF48" s="193">
        <f>SUM(EF5:EF47)</f>
        <v>0</v>
      </c>
      <c r="EG48" s="193">
        <f>EE48-EF48</f>
        <v>0</v>
      </c>
      <c r="EH48" s="193">
        <f>SUM(EH5:EH47)</f>
        <v>0</v>
      </c>
      <c r="EI48" s="193">
        <f>SUM(EI5:EI47)</f>
        <v>13</v>
      </c>
      <c r="EJ48" s="193">
        <f>EH48-EI48</f>
        <v>-13</v>
      </c>
      <c r="EK48" s="193">
        <f>SUM(EK5:EK47)</f>
        <v>0</v>
      </c>
      <c r="EL48" s="193">
        <f>SUM(EL5:EL47)</f>
        <v>181987000</v>
      </c>
      <c r="EM48" s="193">
        <f>EK48-EL48</f>
        <v>-181987000</v>
      </c>
      <c r="EN48" s="193">
        <f>SUM(EN5:EN47)</f>
        <v>0</v>
      </c>
      <c r="EO48" s="193">
        <f>SUM(EO5:EO47)</f>
        <v>2</v>
      </c>
      <c r="EP48" s="193">
        <f>EN48-EO48</f>
        <v>-2</v>
      </c>
      <c r="EQ48" s="193">
        <f>SUM(EQ5:EQ47)</f>
        <v>0</v>
      </c>
      <c r="ER48" s="193">
        <f>SUM(ER5:ER47)</f>
        <v>37998000</v>
      </c>
      <c r="ES48" s="193">
        <f>EQ48-ER48</f>
        <v>-37998000</v>
      </c>
      <c r="ET48" s="193">
        <f>SUM(ET5:ET47)</f>
        <v>0</v>
      </c>
      <c r="EU48" s="193">
        <f>SUM(EU5:EU47)</f>
        <v>4</v>
      </c>
      <c r="EV48" s="193">
        <f>ET48-EU48</f>
        <v>-4</v>
      </c>
      <c r="EW48" s="193">
        <f>SUM(EW5:EW47)</f>
        <v>0</v>
      </c>
      <c r="EX48" s="193">
        <f>SUM(EX5:EX47)</f>
        <v>59996000</v>
      </c>
      <c r="EY48" s="193">
        <f>EW48-EX48</f>
        <v>-59996000</v>
      </c>
      <c r="EZ48" s="193">
        <f>SUM(EZ5:EZ47)</f>
        <v>1285</v>
      </c>
      <c r="FA48" s="193">
        <f>SUM(FA5:FA47)</f>
        <v>1498</v>
      </c>
      <c r="FB48" s="193">
        <f>EZ48-FA48</f>
        <v>-213</v>
      </c>
      <c r="FC48" s="193">
        <f>SUM(FC5:FC47)</f>
        <v>4948415000</v>
      </c>
      <c r="FD48" s="193">
        <f>SUM(FD5:FD47)</f>
        <v>6766602000</v>
      </c>
      <c r="FE48" s="193">
        <f>FC48-FD48</f>
        <v>-1818187000</v>
      </c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</row>
    <row r="49" spans="6:208" x14ac:dyDescent="0.15"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</row>
    <row r="50" spans="6:208" x14ac:dyDescent="0.15"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</row>
    <row r="51" spans="6:208" x14ac:dyDescent="0.15"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</row>
    <row r="52" spans="6:208" x14ac:dyDescent="0.15"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</row>
    <row r="53" spans="6:208" x14ac:dyDescent="0.15"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</row>
    <row r="54" spans="6:208" x14ac:dyDescent="0.15"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</row>
    <row r="55" spans="6:208" x14ac:dyDescent="0.15"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</row>
    <row r="56" spans="6:208" x14ac:dyDescent="0.15"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</row>
    <row r="57" spans="6:208" x14ac:dyDescent="0.15"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</row>
    <row r="58" spans="6:208" x14ac:dyDescent="0.15"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</row>
    <row r="59" spans="6:208" x14ac:dyDescent="0.15"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  <c r="EZ59" s="18"/>
      <c r="FA59" s="18"/>
      <c r="FB59" s="18"/>
      <c r="FC59" s="18"/>
      <c r="FD59" s="18"/>
      <c r="FE59" s="18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</row>
    <row r="60" spans="6:208" x14ac:dyDescent="0.15"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  <c r="EZ60" s="18"/>
      <c r="FA60" s="18"/>
      <c r="FB60" s="18"/>
      <c r="FC60" s="18"/>
      <c r="FD60" s="18"/>
      <c r="FE60" s="18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</row>
  </sheetData>
  <mergeCells count="32">
    <mergeCell ref="A1:FE1"/>
    <mergeCell ref="A3:A4"/>
    <mergeCell ref="B3:B4"/>
    <mergeCell ref="C3:C4"/>
    <mergeCell ref="D3:D4"/>
    <mergeCell ref="E3:E4"/>
    <mergeCell ref="F3:K3"/>
    <mergeCell ref="L3:Q3"/>
    <mergeCell ref="R3:W3"/>
    <mergeCell ref="X3:AC3"/>
    <mergeCell ref="CR3:CW3"/>
    <mergeCell ref="AD3:AI3"/>
    <mergeCell ref="AJ3:AO3"/>
    <mergeCell ref="AP3:AU3"/>
    <mergeCell ref="AV3:BA3"/>
    <mergeCell ref="BB3:BG3"/>
    <mergeCell ref="BH3:BM3"/>
    <mergeCell ref="BN3:BS3"/>
    <mergeCell ref="BT3:BY3"/>
    <mergeCell ref="BZ3:CE3"/>
    <mergeCell ref="CF3:CK3"/>
    <mergeCell ref="CL3:CQ3"/>
    <mergeCell ref="EH3:EM3"/>
    <mergeCell ref="EN3:ES3"/>
    <mergeCell ref="ET3:EY3"/>
    <mergeCell ref="EZ3:FE3"/>
    <mergeCell ref="CX3:DC3"/>
    <mergeCell ref="DD3:DI3"/>
    <mergeCell ref="DJ3:DO3"/>
    <mergeCell ref="DP3:DU3"/>
    <mergeCell ref="DV3:EA3"/>
    <mergeCell ref="EB3:E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VALUE PER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michaelfumar</dc:creator>
  <cp:lastModifiedBy>michaelfumar</cp:lastModifiedBy>
  <dcterms:created xsi:type="dcterms:W3CDTF">2026-08-06T15:28:00Z</dcterms:created>
  <dcterms:modified xsi:type="dcterms:W3CDTF">2026-08-12T01:46:33Z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A1233A920CE837C6D136756A0025220A_42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