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740" windowHeight="15440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<sst xmlns="http://schemas.openxmlformats.org/spreadsheetml/2006/main" count="220" uniqueCount="112">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</sst>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13809]dd\ mmmm\ yyyy;@"/>
    <numFmt numFmtId="177" formatCode="0_ "/>
    <numFmt numFmtId="178" formatCode="#,##0.0_);[Red]\(#,##0.0\)"/>
  </numFmts>
  <fonts count="29">
    <font>
      <sz val="12"/>
      <color theme="1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b/>
      <sz val="10"/>
      <color rgb="FFFFFFFF"/>
      <name val="Aptos Narrow"/>
      <charset val="134"/>
      <scheme val="minor"/>
    </font>
    <font>
      <b/>
      <sz val="9"/>
      <color rgb="FFFFFFFF"/>
      <name val="Aptos Narrow"/>
      <charset val="134"/>
      <scheme val="minor"/>
    </font>
    <font>
      <b/>
      <sz val="9"/>
      <color rgb="FF000000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1"/>
      <name val="Aptos Narrow"/>
      <charset val="134"/>
      <scheme val="minor"/>
    </font>
    <font>
      <b/>
      <sz val="11"/>
      <color theme="1"/>
      <name val="Calibri"/>
      <charset val="134"/>
    </font>
    <font>
      <b/>
      <sz val="10"/>
      <color rgb="FFFFFFFF"/>
      <name val="Arial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3" borderId="4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4" applyNumberFormat="0" applyFill="0" applyAlignment="0" applyProtection="0">
      <alignment vertical="center"/>
    </xf>
    <xf numFmtId="0" fontId="16" fillId="0" borderId="44" applyNumberFormat="0" applyFill="0" applyAlignment="0" applyProtection="0">
      <alignment vertical="center"/>
    </xf>
    <xf numFmtId="0" fontId="17" fillId="0" borderId="4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46" applyNumberFormat="0" applyAlignment="0" applyProtection="0">
      <alignment vertical="center"/>
    </xf>
    <xf numFmtId="0" fontId="19" fillId="15" borderId="47" applyNumberFormat="0" applyAlignment="0" applyProtection="0">
      <alignment vertical="center"/>
    </xf>
    <xf numFmtId="0" fontId="20" fillId="15" borderId="46" applyNumberFormat="0" applyAlignment="0" applyProtection="0">
      <alignment vertical="center"/>
    </xf>
    <xf numFmtId="0" fontId="21" fillId="16" borderId="48" applyNumberFormat="0" applyAlignment="0" applyProtection="0">
      <alignment vertical="center"/>
    </xf>
    <xf numFmtId="0" fontId="22" fillId="0" borderId="49" applyNumberFormat="0" applyFill="0" applyAlignment="0" applyProtection="0">
      <alignment vertical="center"/>
    </xf>
    <xf numFmtId="0" fontId="23" fillId="0" borderId="50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17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right" vertical="center" wrapText="1"/>
    </xf>
    <xf numFmtId="9" fontId="1" fillId="2" borderId="10" xfId="3" applyFont="1" applyFill="1" applyBorder="1" applyAlignment="1">
      <alignment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vertical="center"/>
    </xf>
    <xf numFmtId="0" fontId="3" fillId="3" borderId="24" xfId="0" applyFont="1" applyFill="1" applyBorder="1" applyAlignment="1">
      <alignment horizontal="center" vertical="center"/>
    </xf>
    <xf numFmtId="0" fontId="4" fillId="5" borderId="25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6" borderId="25" xfId="0" applyFont="1" applyFill="1" applyBorder="1" applyAlignment="1">
      <alignment horizontal="center" vertical="center" wrapText="1"/>
    </xf>
    <xf numFmtId="0" fontId="4" fillId="6" borderId="27" xfId="0" applyFont="1" applyFill="1" applyBorder="1" applyAlignment="1">
      <alignment horizontal="center" vertical="center" wrapText="1"/>
    </xf>
    <xf numFmtId="0" fontId="4" fillId="6" borderId="23" xfId="0" applyFont="1" applyFill="1" applyBorder="1" applyAlignment="1">
      <alignment horizontal="center" vertical="center" wrapText="1"/>
    </xf>
    <xf numFmtId="0" fontId="4" fillId="6" borderId="24" xfId="0" applyFont="1" applyFill="1" applyBorder="1" applyAlignment="1">
      <alignment horizontal="center" vertical="center" wrapText="1"/>
    </xf>
    <xf numFmtId="0" fontId="4" fillId="7" borderId="25" xfId="0" applyFont="1" applyFill="1" applyBorder="1" applyAlignment="1">
      <alignment horizontal="center" vertical="center" wrapText="1"/>
    </xf>
    <xf numFmtId="0" fontId="4" fillId="7" borderId="27" xfId="0" applyFont="1" applyFill="1" applyBorder="1" applyAlignment="1">
      <alignment horizontal="center" vertical="center" wrapText="1"/>
    </xf>
    <xf numFmtId="9" fontId="4" fillId="7" borderId="23" xfId="3" applyFont="1" applyFill="1" applyBorder="1" applyAlignment="1">
      <alignment horizontal="center" vertical="center" wrapText="1"/>
    </xf>
    <xf numFmtId="9" fontId="4" fillId="7" borderId="24" xfId="3" applyFont="1" applyFill="1" applyBorder="1" applyAlignment="1">
      <alignment horizontal="center" vertical="center" wrapText="1"/>
    </xf>
    <xf numFmtId="9" fontId="4" fillId="8" borderId="25" xfId="3" applyFont="1" applyFill="1" applyBorder="1" applyAlignment="1">
      <alignment horizontal="center" vertical="center" wrapText="1"/>
    </xf>
    <xf numFmtId="9" fontId="4" fillId="8" borderId="26" xfId="3" applyFont="1" applyFill="1" applyBorder="1" applyAlignment="1">
      <alignment horizontal="center" vertical="center" wrapText="1"/>
    </xf>
    <xf numFmtId="9" fontId="4" fillId="9" borderId="25" xfId="3" applyFont="1" applyFill="1" applyBorder="1" applyAlignment="1">
      <alignment horizontal="center" vertical="center" wrapText="1"/>
    </xf>
    <xf numFmtId="9" fontId="4" fillId="9" borderId="27" xfId="3" applyFont="1" applyFill="1" applyBorder="1" applyAlignment="1">
      <alignment horizontal="center" vertical="center" wrapText="1"/>
    </xf>
    <xf numFmtId="9" fontId="4" fillId="9" borderId="23" xfId="3" applyFont="1" applyFill="1" applyBorder="1" applyAlignment="1">
      <alignment horizontal="center" vertical="center" wrapText="1"/>
    </xf>
    <xf numFmtId="9" fontId="4" fillId="9" borderId="24" xfId="3" applyFont="1" applyFill="1" applyBorder="1" applyAlignment="1">
      <alignment horizontal="center" vertical="center" wrapText="1"/>
    </xf>
    <xf numFmtId="0" fontId="4" fillId="10" borderId="25" xfId="0" applyFont="1" applyFill="1" applyBorder="1" applyAlignment="1">
      <alignment horizontal="center" vertical="center" wrapText="1"/>
    </xf>
    <xf numFmtId="0" fontId="4" fillId="10" borderId="27" xfId="0" applyFont="1" applyFill="1" applyBorder="1" applyAlignment="1">
      <alignment horizontal="center" vertical="center" wrapText="1"/>
    </xf>
    <xf numFmtId="0" fontId="4" fillId="10" borderId="23" xfId="0" applyFont="1" applyFill="1" applyBorder="1" applyAlignment="1">
      <alignment horizontal="center" vertical="center" wrapText="1"/>
    </xf>
    <xf numFmtId="0" fontId="4" fillId="10" borderId="24" xfId="0" applyFont="1" applyFill="1" applyBorder="1" applyAlignment="1">
      <alignment horizontal="center" vertical="center" wrapText="1"/>
    </xf>
    <xf numFmtId="0" fontId="4" fillId="11" borderId="25" xfId="0" applyFont="1" applyFill="1" applyBorder="1" applyAlignment="1">
      <alignment horizontal="center" vertical="center" wrapText="1"/>
    </xf>
    <xf numFmtId="0" fontId="4" fillId="11" borderId="27" xfId="0" applyFont="1" applyFill="1" applyBorder="1" applyAlignment="1">
      <alignment horizontal="center" vertical="center" wrapText="1"/>
    </xf>
    <xf numFmtId="0" fontId="4" fillId="11" borderId="23" xfId="0" applyFont="1" applyFill="1" applyBorder="1" applyAlignment="1">
      <alignment horizontal="center" vertical="center" wrapText="1"/>
    </xf>
    <xf numFmtId="0" fontId="4" fillId="11" borderId="28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6" fillId="0" borderId="30" xfId="0" applyFont="1" applyBorder="1"/>
    <xf numFmtId="176" fontId="7" fillId="12" borderId="30" xfId="0" applyNumberFormat="1" applyFont="1" applyFill="1" applyBorder="1" applyAlignment="1">
      <alignment horizontal="left" vertical="center"/>
    </xf>
    <xf numFmtId="0" fontId="5" fillId="0" borderId="31" xfId="0" applyFont="1" applyBorder="1" applyAlignment="1">
      <alignment horizontal="center" vertical="center"/>
    </xf>
    <xf numFmtId="1" fontId="6" fillId="0" borderId="32" xfId="0" applyNumberFormat="1" applyFont="1" applyBorder="1" applyAlignment="1">
      <alignment horizontal="center" vertical="center"/>
    </xf>
    <xf numFmtId="3" fontId="6" fillId="0" borderId="33" xfId="3" applyNumberFormat="1" applyFont="1" applyBorder="1" applyAlignment="1">
      <alignment horizontal="center" vertical="center"/>
    </xf>
    <xf numFmtId="9" fontId="6" fillId="0" borderId="34" xfId="3" applyFont="1" applyFill="1" applyBorder="1" applyAlignment="1">
      <alignment horizontal="center" vertical="center"/>
    </xf>
    <xf numFmtId="1" fontId="6" fillId="0" borderId="30" xfId="0" applyNumberFormat="1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9" fontId="6" fillId="0" borderId="30" xfId="3" applyFont="1" applyFill="1" applyBorder="1" applyAlignment="1">
      <alignment horizontal="center" vertical="center"/>
    </xf>
    <xf numFmtId="1" fontId="6" fillId="0" borderId="30" xfId="3" applyNumberFormat="1" applyFont="1" applyFill="1" applyBorder="1" applyAlignment="1">
      <alignment horizontal="center" vertical="center"/>
    </xf>
    <xf numFmtId="3" fontId="6" fillId="0" borderId="30" xfId="3" applyNumberFormat="1" applyFont="1" applyFill="1" applyBorder="1" applyAlignment="1">
      <alignment horizontal="center" vertical="center"/>
    </xf>
    <xf numFmtId="3" fontId="6" fillId="0" borderId="31" xfId="3" applyNumberFormat="1" applyFont="1" applyFill="1" applyBorder="1" applyAlignment="1">
      <alignment horizontal="center" vertical="center"/>
    </xf>
    <xf numFmtId="177" fontId="6" fillId="0" borderId="32" xfId="0" applyNumberFormat="1" applyFont="1" applyBorder="1" applyAlignment="1">
      <alignment horizontal="center" vertical="center"/>
    </xf>
    <xf numFmtId="9" fontId="5" fillId="0" borderId="34" xfId="3" applyFont="1" applyFill="1" applyBorder="1" applyAlignment="1">
      <alignment horizontal="center" vertical="center"/>
    </xf>
    <xf numFmtId="1" fontId="5" fillId="0" borderId="30" xfId="3" applyNumberFormat="1" applyFont="1" applyFill="1" applyBorder="1" applyAlignment="1">
      <alignment horizontal="center" vertical="center"/>
    </xf>
    <xf numFmtId="3" fontId="5" fillId="0" borderId="30" xfId="3" applyNumberFormat="1" applyFont="1" applyFill="1" applyBorder="1" applyAlignment="1">
      <alignment horizontal="center" vertical="center"/>
    </xf>
    <xf numFmtId="9" fontId="5" fillId="0" borderId="31" xfId="3" applyFont="1" applyFill="1" applyBorder="1" applyAlignment="1">
      <alignment horizontal="center" vertical="center"/>
    </xf>
    <xf numFmtId="178" fontId="6" fillId="0" borderId="32" xfId="3" applyNumberFormat="1" applyFont="1" applyFill="1" applyBorder="1" applyAlignment="1">
      <alignment horizontal="center" vertical="center"/>
    </xf>
    <xf numFmtId="3" fontId="6" fillId="0" borderId="33" xfId="0" applyNumberFormat="1" applyFont="1" applyBorder="1" applyAlignment="1">
      <alignment horizontal="center" vertical="center"/>
    </xf>
    <xf numFmtId="1" fontId="6" fillId="0" borderId="34" xfId="3" applyNumberFormat="1" applyFont="1" applyFill="1" applyBorder="1" applyAlignment="1">
      <alignment horizontal="center" vertical="center"/>
    </xf>
    <xf numFmtId="9" fontId="6" fillId="0" borderId="31" xfId="3" applyFont="1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1" fontId="6" fillId="0" borderId="34" xfId="0" applyNumberFormat="1" applyFont="1" applyBorder="1" applyAlignment="1">
      <alignment horizontal="center" vertical="center"/>
    </xf>
    <xf numFmtId="3" fontId="6" fillId="0" borderId="30" xfId="0" applyNumberFormat="1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3" fontId="6" fillId="0" borderId="30" xfId="3" applyNumberFormat="1" applyFont="1" applyBorder="1" applyAlignment="1">
      <alignment horizontal="center" vertical="center"/>
    </xf>
    <xf numFmtId="9" fontId="6" fillId="0" borderId="35" xfId="3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/>
    <xf numFmtId="0" fontId="5" fillId="0" borderId="9" xfId="0" applyFont="1" applyBorder="1" applyAlignment="1">
      <alignment vertical="center"/>
    </xf>
    <xf numFmtId="0" fontId="5" fillId="12" borderId="9" xfId="0" applyFont="1" applyFill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/>
    </xf>
    <xf numFmtId="3" fontId="6" fillId="0" borderId="12" xfId="3" applyNumberFormat="1" applyFont="1" applyBorder="1" applyAlignment="1">
      <alignment horizontal="center" vertical="center"/>
    </xf>
    <xf numFmtId="9" fontId="6" fillId="0" borderId="13" xfId="3" applyFont="1" applyFill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9" xfId="3" applyFont="1" applyFill="1" applyBorder="1" applyAlignment="1">
      <alignment horizontal="center" vertical="center"/>
    </xf>
    <xf numFmtId="1" fontId="6" fillId="0" borderId="9" xfId="3" applyNumberFormat="1" applyFont="1" applyFill="1" applyBorder="1" applyAlignment="1">
      <alignment horizontal="center" vertical="center"/>
    </xf>
    <xf numFmtId="3" fontId="6" fillId="0" borderId="9" xfId="3" applyNumberFormat="1" applyFont="1" applyFill="1" applyBorder="1" applyAlignment="1">
      <alignment horizontal="center" vertical="center"/>
    </xf>
    <xf numFmtId="3" fontId="6" fillId="0" borderId="10" xfId="3" applyNumberFormat="1" applyFont="1" applyFill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9" fontId="5" fillId="0" borderId="13" xfId="3" applyFont="1" applyFill="1" applyBorder="1" applyAlignment="1">
      <alignment horizontal="center" vertical="center"/>
    </xf>
    <xf numFmtId="1" fontId="5" fillId="0" borderId="9" xfId="3" applyNumberFormat="1" applyFont="1" applyFill="1" applyBorder="1" applyAlignment="1">
      <alignment horizontal="center" vertical="center"/>
    </xf>
    <xf numFmtId="3" fontId="5" fillId="0" borderId="9" xfId="3" applyNumberFormat="1" applyFont="1" applyFill="1" applyBorder="1" applyAlignment="1">
      <alignment horizontal="center" vertical="center"/>
    </xf>
    <xf numFmtId="9" fontId="5" fillId="0" borderId="10" xfId="3" applyFont="1" applyFill="1" applyBorder="1" applyAlignment="1">
      <alignment horizontal="center" vertical="center"/>
    </xf>
    <xf numFmtId="178" fontId="6" fillId="0" borderId="11" xfId="3" applyNumberFormat="1" applyFont="1" applyFill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1" fontId="6" fillId="0" borderId="13" xfId="3" applyNumberFormat="1" applyFont="1" applyFill="1" applyBorder="1" applyAlignment="1">
      <alignment horizontal="center" vertical="center"/>
    </xf>
    <xf numFmtId="9" fontId="6" fillId="0" borderId="10" xfId="3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1" fontId="6" fillId="0" borderId="13" xfId="0" applyNumberFormat="1" applyFont="1" applyBorder="1" applyAlignment="1">
      <alignment horizontal="center" vertical="center"/>
    </xf>
    <xf numFmtId="3" fontId="6" fillId="0" borderId="9" xfId="0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3" fontId="6" fillId="0" borderId="9" xfId="3" applyNumberFormat="1" applyFont="1" applyBorder="1" applyAlignment="1">
      <alignment horizontal="center" vertical="center"/>
    </xf>
    <xf numFmtId="9" fontId="6" fillId="0" borderId="14" xfId="3" applyFont="1" applyFill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6" fillId="0" borderId="16" xfId="0" applyFont="1" applyBorder="1"/>
    <xf numFmtId="0" fontId="5" fillId="0" borderId="16" xfId="0" applyFont="1" applyBorder="1" applyAlignment="1">
      <alignment vertical="center"/>
    </xf>
    <xf numFmtId="0" fontId="5" fillId="0" borderId="16" xfId="0" applyFont="1" applyBorder="1" applyAlignment="1">
      <alignment horizontal="left" vertical="center"/>
    </xf>
    <xf numFmtId="0" fontId="5" fillId="0" borderId="17" xfId="0" applyFont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 vertical="center"/>
    </xf>
    <xf numFmtId="3" fontId="6" fillId="0" borderId="19" xfId="3" applyNumberFormat="1" applyFont="1" applyBorder="1" applyAlignment="1">
      <alignment horizontal="center" vertical="center"/>
    </xf>
    <xf numFmtId="9" fontId="6" fillId="0" borderId="20" xfId="3" applyFont="1" applyFill="1" applyBorder="1" applyAlignment="1">
      <alignment horizontal="center" vertical="center"/>
    </xf>
    <xf numFmtId="1" fontId="6" fillId="0" borderId="16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9" fontId="6" fillId="0" borderId="16" xfId="3" applyFont="1" applyFill="1" applyBorder="1" applyAlignment="1">
      <alignment horizontal="center" vertical="center"/>
    </xf>
    <xf numFmtId="1" fontId="6" fillId="0" borderId="16" xfId="3" applyNumberFormat="1" applyFont="1" applyFill="1" applyBorder="1" applyAlignment="1">
      <alignment horizontal="center" vertical="center"/>
    </xf>
    <xf numFmtId="3" fontId="6" fillId="0" borderId="16" xfId="3" applyNumberFormat="1" applyFont="1" applyFill="1" applyBorder="1" applyAlignment="1">
      <alignment horizontal="center" vertical="center"/>
    </xf>
    <xf numFmtId="3" fontId="6" fillId="0" borderId="17" xfId="3" applyNumberFormat="1" applyFont="1" applyFill="1" applyBorder="1" applyAlignment="1">
      <alignment horizontal="center" vertical="center"/>
    </xf>
    <xf numFmtId="177" fontId="6" fillId="0" borderId="18" xfId="0" applyNumberFormat="1" applyFont="1" applyBorder="1" applyAlignment="1">
      <alignment horizontal="center" vertical="center"/>
    </xf>
    <xf numFmtId="9" fontId="5" fillId="0" borderId="20" xfId="3" applyFont="1" applyFill="1" applyBorder="1" applyAlignment="1">
      <alignment horizontal="center" vertical="center"/>
    </xf>
    <xf numFmtId="1" fontId="5" fillId="0" borderId="16" xfId="3" applyNumberFormat="1" applyFont="1" applyFill="1" applyBorder="1" applyAlignment="1">
      <alignment horizontal="center" vertical="center"/>
    </xf>
    <xf numFmtId="3" fontId="5" fillId="0" borderId="16" xfId="3" applyNumberFormat="1" applyFont="1" applyFill="1" applyBorder="1" applyAlignment="1">
      <alignment horizontal="center" vertical="center"/>
    </xf>
    <xf numFmtId="9" fontId="5" fillId="0" borderId="17" xfId="3" applyFont="1" applyFill="1" applyBorder="1" applyAlignment="1">
      <alignment horizontal="center" vertical="center"/>
    </xf>
    <xf numFmtId="178" fontId="6" fillId="0" borderId="18" xfId="3" applyNumberFormat="1" applyFont="1" applyFill="1" applyBorder="1" applyAlignment="1">
      <alignment horizontal="center" vertical="center"/>
    </xf>
    <xf numFmtId="3" fontId="6" fillId="0" borderId="19" xfId="0" applyNumberFormat="1" applyFont="1" applyBorder="1" applyAlignment="1">
      <alignment horizontal="center" vertical="center"/>
    </xf>
    <xf numFmtId="1" fontId="6" fillId="0" borderId="20" xfId="3" applyNumberFormat="1" applyFont="1" applyFill="1" applyBorder="1" applyAlignment="1">
      <alignment horizontal="center" vertical="center"/>
    </xf>
    <xf numFmtId="9" fontId="6" fillId="0" borderId="17" xfId="3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1" fontId="6" fillId="0" borderId="20" xfId="0" applyNumberFormat="1" applyFont="1" applyBorder="1" applyAlignment="1">
      <alignment horizontal="center" vertical="center"/>
    </xf>
    <xf numFmtId="3" fontId="6" fillId="0" borderId="16" xfId="0" applyNumberFormat="1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3" fontId="6" fillId="0" borderId="16" xfId="3" applyNumberFormat="1" applyFont="1" applyBorder="1" applyAlignment="1">
      <alignment horizontal="center" vertical="center"/>
    </xf>
    <xf numFmtId="9" fontId="6" fillId="0" borderId="21" xfId="3" applyFont="1" applyFill="1" applyBorder="1" applyAlignment="1">
      <alignment horizontal="center" vertical="center"/>
    </xf>
    <xf numFmtId="0" fontId="8" fillId="4" borderId="36" xfId="0" applyFont="1" applyFill="1" applyBorder="1" applyAlignment="1">
      <alignment horizontal="left" indent="1"/>
    </xf>
    <xf numFmtId="0" fontId="8" fillId="4" borderId="37" xfId="0" applyFont="1" applyFill="1" applyBorder="1" applyAlignment="1">
      <alignment horizontal="center"/>
    </xf>
    <xf numFmtId="0" fontId="8" fillId="4" borderId="38" xfId="0" applyFont="1" applyFill="1" applyBorder="1" applyAlignment="1">
      <alignment horizontal="center"/>
    </xf>
    <xf numFmtId="1" fontId="8" fillId="4" borderId="39" xfId="0" applyNumberFormat="1" applyFont="1" applyFill="1" applyBorder="1" applyAlignment="1">
      <alignment horizontal="center"/>
    </xf>
    <xf numFmtId="3" fontId="8" fillId="4" borderId="40" xfId="0" applyNumberFormat="1" applyFont="1" applyFill="1" applyBorder="1" applyAlignment="1">
      <alignment horizontal="center"/>
    </xf>
    <xf numFmtId="9" fontId="8" fillId="4" borderId="41" xfId="0" applyNumberFormat="1" applyFont="1" applyFill="1" applyBorder="1" applyAlignment="1">
      <alignment horizontal="center"/>
    </xf>
    <xf numFmtId="1" fontId="8" fillId="4" borderId="37" xfId="0" applyNumberFormat="1" applyFont="1" applyFill="1" applyBorder="1" applyAlignment="1">
      <alignment horizontal="center"/>
    </xf>
    <xf numFmtId="9" fontId="8" fillId="4" borderId="37" xfId="0" applyNumberFormat="1" applyFont="1" applyFill="1" applyBorder="1" applyAlignment="1">
      <alignment horizontal="center"/>
    </xf>
    <xf numFmtId="3" fontId="8" fillId="4" borderId="37" xfId="0" applyNumberFormat="1" applyFont="1" applyFill="1" applyBorder="1" applyAlignment="1">
      <alignment horizontal="center"/>
    </xf>
    <xf numFmtId="3" fontId="8" fillId="4" borderId="38" xfId="0" applyNumberFormat="1" applyFont="1" applyFill="1" applyBorder="1" applyAlignment="1">
      <alignment horizontal="center"/>
    </xf>
    <xf numFmtId="177" fontId="8" fillId="4" borderId="39" xfId="0" applyNumberFormat="1" applyFont="1" applyFill="1" applyBorder="1" applyAlignment="1">
      <alignment horizontal="center"/>
    </xf>
    <xf numFmtId="9" fontId="8" fillId="4" borderId="38" xfId="0" applyNumberFormat="1" applyFont="1" applyFill="1" applyBorder="1" applyAlignment="1">
      <alignment horizontal="center"/>
    </xf>
    <xf numFmtId="178" fontId="8" fillId="4" borderId="39" xfId="0" applyNumberFormat="1" applyFont="1" applyFill="1" applyBorder="1" applyAlignment="1">
      <alignment horizontal="center"/>
    </xf>
    <xf numFmtId="1" fontId="8" fillId="4" borderId="41" xfId="0" applyNumberFormat="1" applyFont="1" applyFill="1" applyBorder="1" applyAlignment="1">
      <alignment horizontal="center"/>
    </xf>
    <xf numFmtId="0" fontId="8" fillId="4" borderId="39" xfId="0" applyFont="1" applyFill="1" applyBorder="1" applyAlignment="1">
      <alignment horizontal="center"/>
    </xf>
    <xf numFmtId="0" fontId="8" fillId="4" borderId="41" xfId="0" applyFont="1" applyFill="1" applyBorder="1" applyAlignment="1">
      <alignment horizontal="center"/>
    </xf>
    <xf numFmtId="9" fontId="8" fillId="4" borderId="42" xfId="0" applyNumberFormat="1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"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ichael/Desktop/2026-08-06%20Store%20perfomanc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5">
          <cell r="A5" t="str">
            <v>Sum of SRP</v>
          </cell>
        </row>
      </sheetData>
      <sheetData sheetId="16"/>
      <sheetData sheetId="17">
        <row r="5">
          <cell r="A5" t="str">
            <v>Sum of Qty</v>
          </cell>
        </row>
      </sheetData>
      <sheetData sheetId="18">
        <row r="5">
          <cell r="A5" t="str">
            <v>Sum of Qty</v>
          </cell>
        </row>
      </sheetData>
      <sheetData sheetId="19"/>
      <sheetData sheetId="20"/>
      <sheetData sheetId="21">
        <row r="6">
          <cell r="A6" t="str">
            <v>Sum of Qty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>
        <row r="2">
          <cell r="E2" t="str">
            <v>DEVICE</v>
          </cell>
        </row>
        <row r="2">
          <cell r="I2" t="str">
            <v>3MIO+</v>
          </cell>
        </row>
        <row r="2">
          <cell r="M2" t="str">
            <v>VALUE</v>
          </cell>
        </row>
        <row r="2"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</row>
        <row r="5">
          <cell r="I5">
            <v>65</v>
          </cell>
          <cell r="J5">
            <v>3</v>
          </cell>
          <cell r="K5">
            <v>21.6666666666667</v>
          </cell>
        </row>
        <row r="5">
          <cell r="M5">
            <v>840000000</v>
          </cell>
          <cell r="N5">
            <v>3</v>
          </cell>
          <cell r="O5">
            <v>280000000</v>
          </cell>
        </row>
        <row r="5"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</row>
        <row r="6">
          <cell r="I6">
            <v>130</v>
          </cell>
          <cell r="J6">
            <v>6</v>
          </cell>
          <cell r="K6">
            <v>21.6666666666667</v>
          </cell>
        </row>
        <row r="6">
          <cell r="M6">
            <v>962000000</v>
          </cell>
          <cell r="N6">
            <v>6</v>
          </cell>
          <cell r="O6">
            <v>160333333.333333</v>
          </cell>
        </row>
        <row r="6"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</row>
        <row r="7">
          <cell r="I7">
            <v>130</v>
          </cell>
          <cell r="J7">
            <v>6</v>
          </cell>
          <cell r="K7">
            <v>21.6666666666667</v>
          </cell>
        </row>
        <row r="7">
          <cell r="M7">
            <v>962000000</v>
          </cell>
          <cell r="N7">
            <v>6</v>
          </cell>
          <cell r="O7">
            <v>160333333.333333</v>
          </cell>
        </row>
        <row r="7"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</row>
        <row r="8">
          <cell r="I8">
            <v>50</v>
          </cell>
          <cell r="J8">
            <v>3</v>
          </cell>
          <cell r="K8">
            <v>16.6666666666667</v>
          </cell>
        </row>
        <row r="8">
          <cell r="M8">
            <v>420000000</v>
          </cell>
          <cell r="N8">
            <v>3</v>
          </cell>
          <cell r="O8">
            <v>140000000</v>
          </cell>
        </row>
        <row r="8"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</v>
          </cell>
        </row>
        <row r="9">
          <cell r="I9">
            <v>135</v>
          </cell>
          <cell r="J9">
            <v>7</v>
          </cell>
          <cell r="K9">
            <v>19.2857142857143</v>
          </cell>
        </row>
        <row r="9">
          <cell r="M9">
            <v>1120000000</v>
          </cell>
          <cell r="N9">
            <v>7</v>
          </cell>
          <cell r="O9">
            <v>160000000</v>
          </cell>
        </row>
        <row r="9"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</row>
        <row r="10">
          <cell r="I10">
            <v>55</v>
          </cell>
          <cell r="J10">
            <v>4</v>
          </cell>
          <cell r="K10">
            <v>13.75</v>
          </cell>
        </row>
        <row r="10">
          <cell r="M10">
            <v>385000000</v>
          </cell>
          <cell r="N10">
            <v>4</v>
          </cell>
          <cell r="O10">
            <v>96250000</v>
          </cell>
        </row>
        <row r="10"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</row>
        <row r="11">
          <cell r="I11">
            <v>0</v>
          </cell>
          <cell r="J11">
            <v>3</v>
          </cell>
          <cell r="K11">
            <v>0</v>
          </cell>
        </row>
        <row r="11">
          <cell r="M11">
            <v>350000000</v>
          </cell>
          <cell r="N11">
            <v>3</v>
          </cell>
          <cell r="O11">
            <v>116666666.666667</v>
          </cell>
        </row>
        <row r="11"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</row>
        <row r="12">
          <cell r="I12">
            <v>65</v>
          </cell>
          <cell r="J12">
            <v>3</v>
          </cell>
          <cell r="K12">
            <v>21.6666666666667</v>
          </cell>
        </row>
        <row r="12">
          <cell r="M12">
            <v>840000000</v>
          </cell>
          <cell r="N12">
            <v>3</v>
          </cell>
          <cell r="O12">
            <v>280000000</v>
          </cell>
        </row>
        <row r="12"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</row>
        <row r="13">
          <cell r="I13">
            <v>50</v>
          </cell>
          <cell r="J13">
            <v>3</v>
          </cell>
          <cell r="K13">
            <v>16.6666666666667</v>
          </cell>
        </row>
        <row r="13">
          <cell r="M13">
            <v>430000000</v>
          </cell>
          <cell r="N13">
            <v>3</v>
          </cell>
          <cell r="O13">
            <v>143333333.333333</v>
          </cell>
        </row>
        <row r="13"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</row>
        <row r="14">
          <cell r="I14">
            <v>40</v>
          </cell>
          <cell r="J14">
            <v>3</v>
          </cell>
          <cell r="K14">
            <v>13.3333333333333</v>
          </cell>
        </row>
        <row r="14">
          <cell r="M14">
            <v>258000000</v>
          </cell>
          <cell r="N14">
            <v>3</v>
          </cell>
          <cell r="O14">
            <v>86000000</v>
          </cell>
        </row>
        <row r="14"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</row>
        <row r="15">
          <cell r="I15">
            <v>29</v>
          </cell>
          <cell r="J15">
            <v>2</v>
          </cell>
          <cell r="K15">
            <v>14.5</v>
          </cell>
        </row>
        <row r="15">
          <cell r="M15">
            <v>215000000</v>
          </cell>
          <cell r="N15">
            <v>2</v>
          </cell>
          <cell r="O15">
            <v>107500000</v>
          </cell>
        </row>
        <row r="15"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</row>
        <row r="16">
          <cell r="I16">
            <v>40</v>
          </cell>
          <cell r="J16">
            <v>3</v>
          </cell>
          <cell r="K16">
            <v>13.3333333333333</v>
          </cell>
        </row>
        <row r="16">
          <cell r="M16">
            <v>258000000</v>
          </cell>
          <cell r="N16">
            <v>3</v>
          </cell>
          <cell r="O16">
            <v>86000000</v>
          </cell>
        </row>
        <row r="16"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</row>
        <row r="17">
          <cell r="I17">
            <v>30</v>
          </cell>
          <cell r="J17">
            <v>3</v>
          </cell>
          <cell r="K17">
            <v>10</v>
          </cell>
        </row>
        <row r="17">
          <cell r="M17">
            <v>210000000</v>
          </cell>
          <cell r="N17">
            <v>3</v>
          </cell>
          <cell r="O17">
            <v>70000000</v>
          </cell>
        </row>
        <row r="17"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</row>
        <row r="18">
          <cell r="I18">
            <v>30</v>
          </cell>
          <cell r="J18">
            <v>2</v>
          </cell>
          <cell r="K18">
            <v>15</v>
          </cell>
        </row>
        <row r="18">
          <cell r="M18">
            <v>220000000</v>
          </cell>
          <cell r="N18">
            <v>2</v>
          </cell>
          <cell r="O18">
            <v>110000000</v>
          </cell>
        </row>
        <row r="18"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</row>
        <row r="19">
          <cell r="I19">
            <v>35</v>
          </cell>
          <cell r="J19">
            <v>2</v>
          </cell>
          <cell r="K19">
            <v>17.5</v>
          </cell>
        </row>
        <row r="19">
          <cell r="M19">
            <v>330000000</v>
          </cell>
          <cell r="N19">
            <v>2</v>
          </cell>
          <cell r="O19">
            <v>165000000</v>
          </cell>
        </row>
        <row r="19"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80</v>
          </cell>
          <cell r="F20">
            <v>1</v>
          </cell>
        </row>
        <row r="20">
          <cell r="M20">
            <v>440000000</v>
          </cell>
        </row>
        <row r="20"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20</v>
          </cell>
          <cell r="F21">
            <v>3</v>
          </cell>
          <cell r="G21">
            <v>6.66666666666667</v>
          </cell>
        </row>
        <row r="21">
          <cell r="I21">
            <v>45</v>
          </cell>
          <cell r="J21">
            <v>3</v>
          </cell>
          <cell r="K21">
            <v>15</v>
          </cell>
        </row>
        <row r="21">
          <cell r="M21">
            <v>90000000</v>
          </cell>
          <cell r="N21">
            <v>3</v>
          </cell>
          <cell r="O21">
            <v>30000000</v>
          </cell>
        </row>
        <row r="21"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</row>
        <row r="22">
          <cell r="M22">
            <v>165000000</v>
          </cell>
        </row>
        <row r="22"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</row>
        <row r="23">
          <cell r="I23">
            <v>65</v>
          </cell>
          <cell r="J23">
            <v>3</v>
          </cell>
          <cell r="K23">
            <v>21.6666666666667</v>
          </cell>
        </row>
        <row r="23">
          <cell r="M23">
            <v>624000000</v>
          </cell>
          <cell r="N23">
            <v>3</v>
          </cell>
          <cell r="O23">
            <v>208000000</v>
          </cell>
        </row>
        <row r="23"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</row>
        <row r="24">
          <cell r="I24">
            <v>15</v>
          </cell>
          <cell r="J24">
            <v>1</v>
          </cell>
          <cell r="K24">
            <v>15</v>
          </cell>
        </row>
        <row r="24">
          <cell r="M24">
            <v>100000000</v>
          </cell>
          <cell r="N24">
            <v>1</v>
          </cell>
          <cell r="O24">
            <v>100000000</v>
          </cell>
        </row>
        <row r="24"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</row>
        <row r="25">
          <cell r="I25">
            <v>36</v>
          </cell>
          <cell r="J25">
            <v>3</v>
          </cell>
          <cell r="K25">
            <v>12</v>
          </cell>
        </row>
        <row r="25">
          <cell r="M25">
            <v>344000000</v>
          </cell>
          <cell r="N25">
            <v>3</v>
          </cell>
          <cell r="O25">
            <v>114666666.666667</v>
          </cell>
        </row>
        <row r="25"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</row>
        <row r="26">
          <cell r="I26">
            <v>50</v>
          </cell>
          <cell r="J26">
            <v>3</v>
          </cell>
          <cell r="K26">
            <v>16.6666666666667</v>
          </cell>
        </row>
        <row r="26">
          <cell r="M26">
            <v>430000000</v>
          </cell>
          <cell r="N26">
            <v>3</v>
          </cell>
          <cell r="O26">
            <v>143333333.333333</v>
          </cell>
        </row>
        <row r="26"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</row>
        <row r="27">
          <cell r="I27">
            <v>22</v>
          </cell>
          <cell r="J27">
            <v>2</v>
          </cell>
          <cell r="K27">
            <v>11</v>
          </cell>
        </row>
        <row r="27">
          <cell r="M27">
            <v>129000000</v>
          </cell>
          <cell r="N27">
            <v>2</v>
          </cell>
          <cell r="O27">
            <v>64500000</v>
          </cell>
        </row>
        <row r="27"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</row>
        <row r="28">
          <cell r="I28">
            <v>47</v>
          </cell>
          <cell r="J28">
            <v>4</v>
          </cell>
          <cell r="K28">
            <v>11.75</v>
          </cell>
        </row>
        <row r="28">
          <cell r="M28">
            <v>387000000</v>
          </cell>
          <cell r="N28">
            <v>4</v>
          </cell>
          <cell r="O28">
            <v>96750000</v>
          </cell>
        </row>
        <row r="28"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</row>
        <row r="29">
          <cell r="I29">
            <v>40</v>
          </cell>
          <cell r="J29">
            <v>3</v>
          </cell>
          <cell r="K29">
            <v>13.3333333333333</v>
          </cell>
        </row>
        <row r="29">
          <cell r="M29">
            <v>387000000</v>
          </cell>
          <cell r="N29">
            <v>3</v>
          </cell>
          <cell r="O29">
            <v>129000000</v>
          </cell>
        </row>
        <row r="29"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</row>
        <row r="30">
          <cell r="I30">
            <v>36</v>
          </cell>
          <cell r="J30">
            <v>2</v>
          </cell>
          <cell r="K30">
            <v>18</v>
          </cell>
        </row>
        <row r="30">
          <cell r="M30">
            <v>387000000</v>
          </cell>
          <cell r="N30">
            <v>2</v>
          </cell>
          <cell r="O30">
            <v>193500000</v>
          </cell>
        </row>
        <row r="30"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</row>
        <row r="31">
          <cell r="I31">
            <v>18</v>
          </cell>
          <cell r="J31">
            <v>2</v>
          </cell>
          <cell r="K31">
            <v>9</v>
          </cell>
        </row>
        <row r="31">
          <cell r="M31">
            <v>150000000</v>
          </cell>
          <cell r="N31">
            <v>2</v>
          </cell>
          <cell r="O31">
            <v>75000000</v>
          </cell>
        </row>
        <row r="31"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</row>
        <row r="32">
          <cell r="I32">
            <v>18</v>
          </cell>
          <cell r="J32">
            <v>2</v>
          </cell>
          <cell r="K32">
            <v>9</v>
          </cell>
        </row>
        <row r="32">
          <cell r="M32">
            <v>172000000</v>
          </cell>
          <cell r="N32">
            <v>2</v>
          </cell>
          <cell r="O32">
            <v>86000000</v>
          </cell>
        </row>
        <row r="32"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</row>
        <row r="33">
          <cell r="I33">
            <v>18</v>
          </cell>
          <cell r="J33">
            <v>2</v>
          </cell>
          <cell r="K33">
            <v>9</v>
          </cell>
        </row>
        <row r="33">
          <cell r="M33">
            <v>165000000</v>
          </cell>
          <cell r="N33">
            <v>2</v>
          </cell>
          <cell r="O33">
            <v>82500000</v>
          </cell>
        </row>
        <row r="33"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</row>
        <row r="34">
          <cell r="I34">
            <v>18</v>
          </cell>
          <cell r="J34">
            <v>2</v>
          </cell>
          <cell r="K34">
            <v>9</v>
          </cell>
        </row>
        <row r="34">
          <cell r="M34">
            <v>165000000</v>
          </cell>
          <cell r="N34">
            <v>2</v>
          </cell>
          <cell r="O34">
            <v>82500000</v>
          </cell>
        </row>
        <row r="34"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</row>
        <row r="35">
          <cell r="I35">
            <v>0</v>
          </cell>
          <cell r="J35">
            <v>2</v>
          </cell>
          <cell r="K35">
            <v>0</v>
          </cell>
        </row>
        <row r="35">
          <cell r="M35">
            <v>150000000</v>
          </cell>
          <cell r="N35">
            <v>2</v>
          </cell>
          <cell r="O35">
            <v>75000000</v>
          </cell>
        </row>
        <row r="35"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</row>
        <row r="36">
          <cell r="I36">
            <v>0</v>
          </cell>
          <cell r="J36">
            <v>2</v>
          </cell>
          <cell r="K36">
            <v>0</v>
          </cell>
        </row>
        <row r="36">
          <cell r="M36">
            <v>150000000</v>
          </cell>
          <cell r="N36">
            <v>2</v>
          </cell>
          <cell r="O36">
            <v>75000000</v>
          </cell>
        </row>
        <row r="36"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</row>
        <row r="37">
          <cell r="I37">
            <v>32</v>
          </cell>
          <cell r="J37">
            <v>2</v>
          </cell>
          <cell r="K37">
            <v>16</v>
          </cell>
        </row>
        <row r="37">
          <cell r="M37">
            <v>215000000</v>
          </cell>
          <cell r="N37">
            <v>2</v>
          </cell>
          <cell r="O37">
            <v>107500000</v>
          </cell>
        </row>
        <row r="37"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</row>
        <row r="38">
          <cell r="I38">
            <v>61</v>
          </cell>
          <cell r="J38">
            <v>4</v>
          </cell>
          <cell r="K38">
            <v>15.25</v>
          </cell>
        </row>
        <row r="38">
          <cell r="M38">
            <v>473000000</v>
          </cell>
          <cell r="N38">
            <v>4</v>
          </cell>
          <cell r="O38">
            <v>118250000</v>
          </cell>
        </row>
        <row r="38"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</row>
        <row r="39">
          <cell r="I39">
            <v>29</v>
          </cell>
          <cell r="J39">
            <v>2</v>
          </cell>
          <cell r="K39">
            <v>14.5</v>
          </cell>
        </row>
        <row r="39">
          <cell r="M39">
            <v>258000000</v>
          </cell>
          <cell r="N39">
            <v>2</v>
          </cell>
          <cell r="O39">
            <v>129000000</v>
          </cell>
        </row>
        <row r="39"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</row>
        <row r="40">
          <cell r="I40">
            <v>50</v>
          </cell>
          <cell r="J40">
            <v>4</v>
          </cell>
          <cell r="K40">
            <v>12.5</v>
          </cell>
        </row>
        <row r="40">
          <cell r="M40">
            <v>516000000</v>
          </cell>
          <cell r="N40">
            <v>4</v>
          </cell>
          <cell r="O40">
            <v>129000000</v>
          </cell>
        </row>
        <row r="40"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</row>
        <row r="41">
          <cell r="I41">
            <v>58</v>
          </cell>
          <cell r="J41">
            <v>4</v>
          </cell>
          <cell r="K41">
            <v>14.5</v>
          </cell>
        </row>
        <row r="41">
          <cell r="M41">
            <v>516000000</v>
          </cell>
          <cell r="N41">
            <v>4</v>
          </cell>
          <cell r="O41">
            <v>129000000</v>
          </cell>
        </row>
        <row r="41"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</row>
        <row r="42">
          <cell r="M42">
            <v>86000000</v>
          </cell>
        </row>
        <row r="42"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</row>
        <row r="43">
          <cell r="M43">
            <v>80000000</v>
          </cell>
        </row>
        <row r="43"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</row>
        <row r="44">
          <cell r="I44">
            <v>22</v>
          </cell>
          <cell r="J44">
            <v>1</v>
          </cell>
          <cell r="K44">
            <v>22</v>
          </cell>
        </row>
        <row r="44">
          <cell r="M44">
            <v>350000000</v>
          </cell>
          <cell r="N44">
            <v>1</v>
          </cell>
          <cell r="O44">
            <v>350000000</v>
          </cell>
        </row>
        <row r="44"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</row>
        <row r="45">
          <cell r="I45">
            <v>40</v>
          </cell>
          <cell r="J45">
            <v>4</v>
          </cell>
          <cell r="K45">
            <v>10</v>
          </cell>
        </row>
        <row r="45">
          <cell r="M45">
            <v>300000000</v>
          </cell>
          <cell r="N45">
            <v>4</v>
          </cell>
          <cell r="O45">
            <v>75000000</v>
          </cell>
        </row>
        <row r="45"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</row>
        <row r="46">
          <cell r="M46">
            <v>210000000</v>
          </cell>
        </row>
        <row r="46"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</row>
        <row r="47">
          <cell r="I47">
            <v>15</v>
          </cell>
          <cell r="J47">
            <v>3</v>
          </cell>
          <cell r="K47">
            <v>5</v>
          </cell>
        </row>
        <row r="47">
          <cell r="M47">
            <v>420000000</v>
          </cell>
          <cell r="N47">
            <v>3</v>
          </cell>
          <cell r="O47">
            <v>140000000</v>
          </cell>
        </row>
        <row r="47"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</row>
        <row r="48">
          <cell r="I48">
            <v>1619</v>
          </cell>
          <cell r="J48">
            <v>113</v>
          </cell>
        </row>
        <row r="48">
          <cell r="M48">
            <v>15659000000</v>
          </cell>
          <cell r="N48">
            <v>113</v>
          </cell>
          <cell r="O48">
            <v>138575221.238938</v>
          </cell>
        </row>
        <row r="48"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</row>
        <row r="49">
          <cell r="I49">
            <v>1619</v>
          </cell>
        </row>
      </sheetData>
      <sheetData sheetId="30"/>
      <sheetData sheetId="31"/>
      <sheetData sheetId="32"/>
      <sheetData sheetId="33"/>
      <sheetData sheetId="34">
        <row r="6">
          <cell r="A6" t="str">
            <v>Sum of Qty</v>
          </cell>
        </row>
      </sheetData>
      <sheetData sheetId="35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976368000</v>
          </cell>
          <cell r="D17">
            <v>132</v>
          </cell>
          <cell r="E17">
            <v>7396727.27272727</v>
          </cell>
        </row>
        <row r="18">
          <cell r="A18">
            <v>6010701</v>
          </cell>
          <cell r="B18" t="str">
            <v>6010701-MVS ROXY SHOWROOM 21</v>
          </cell>
          <cell r="C18">
            <v>994150000</v>
          </cell>
          <cell r="D18">
            <v>250</v>
          </cell>
          <cell r="E18">
            <v>3976600</v>
          </cell>
        </row>
        <row r="19">
          <cell r="A19">
            <v>6010702</v>
          </cell>
          <cell r="B19" t="str">
            <v>6010702-ME ROXY PAMERAN TIMUR</v>
          </cell>
          <cell r="C19">
            <v>957513000</v>
          </cell>
          <cell r="D19">
            <v>287</v>
          </cell>
          <cell r="E19">
            <v>3336282.22996516</v>
          </cell>
        </row>
        <row r="20">
          <cell r="A20">
            <v>6010703</v>
          </cell>
          <cell r="B20" t="str">
            <v>6010703-VIVO STORE WINSHOP</v>
          </cell>
          <cell r="C20">
            <v>337397000</v>
          </cell>
          <cell r="D20">
            <v>103</v>
          </cell>
          <cell r="E20">
            <v>3275699.02912621</v>
          </cell>
        </row>
        <row r="21">
          <cell r="A21">
            <v>6020711</v>
          </cell>
          <cell r="B21" t="str">
            <v>6020711-vivostore emporium</v>
          </cell>
          <cell r="C21">
            <v>786093000</v>
          </cell>
          <cell r="D21">
            <v>107</v>
          </cell>
          <cell r="E21">
            <v>7346663.55140187</v>
          </cell>
        </row>
        <row r="22">
          <cell r="A22">
            <v>6010711</v>
          </cell>
          <cell r="B22" t="str">
            <v>6010711-LIPPO MALL PURI 1FK02</v>
          </cell>
          <cell r="C22">
            <v>490946000</v>
          </cell>
          <cell r="D22">
            <v>54</v>
          </cell>
          <cell r="E22">
            <v>9091592.59259259</v>
          </cell>
        </row>
        <row r="23">
          <cell r="A23">
            <v>6020706</v>
          </cell>
          <cell r="B23" t="str">
            <v>6020706-MVS CEMPAKA SHOWROOM 2 (454)</v>
          </cell>
          <cell r="C23">
            <v>454591000</v>
          </cell>
          <cell r="D23">
            <v>109</v>
          </cell>
          <cell r="E23">
            <v>4170559.63302752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140859000</v>
          </cell>
          <cell r="D24">
            <v>41</v>
          </cell>
          <cell r="E24">
            <v>3435585.36585366</v>
          </cell>
        </row>
        <row r="25">
          <cell r="A25">
            <v>6080712</v>
          </cell>
          <cell r="B25" t="str">
            <v>6080712-MVS ITC DEPOK VIVO STORE 2</v>
          </cell>
          <cell r="C25">
            <v>278943000</v>
          </cell>
          <cell r="D25">
            <v>57</v>
          </cell>
          <cell r="E25">
            <v>4893736.84210526</v>
          </cell>
        </row>
        <row r="26">
          <cell r="A26">
            <v>6040702</v>
          </cell>
          <cell r="B26" t="str">
            <v>6040702-TRAN STUDIO MALL 2F059</v>
          </cell>
          <cell r="C26">
            <v>125879000</v>
          </cell>
          <cell r="D26">
            <v>21</v>
          </cell>
          <cell r="E26">
            <v>5994238.0952381</v>
          </cell>
        </row>
        <row r="27">
          <cell r="A27">
            <v>6040703</v>
          </cell>
          <cell r="B27" t="str">
            <v>6040703-SAWANGAN 1F1-0320</v>
          </cell>
          <cell r="C27">
            <v>166171000</v>
          </cell>
          <cell r="D27">
            <v>29</v>
          </cell>
          <cell r="E27">
            <v>5730034.48275862</v>
          </cell>
        </row>
        <row r="28">
          <cell r="A28">
            <v>6050701</v>
          </cell>
          <cell r="B28" t="str">
            <v>6050701-MVS X6 DS0824</v>
          </cell>
          <cell r="C28">
            <v>319839000</v>
          </cell>
          <cell r="D28">
            <v>61</v>
          </cell>
          <cell r="E28">
            <v>5243262.29508197</v>
          </cell>
        </row>
        <row r="29">
          <cell r="A29">
            <v>6220701</v>
          </cell>
          <cell r="B29" t="str">
            <v>6220701-MVS MBH-VIP VIVO STORE-DD284</v>
          </cell>
          <cell r="C29">
            <v>452022000</v>
          </cell>
          <cell r="D29">
            <v>78</v>
          </cell>
          <cell r="E29">
            <v>5795153.84615385</v>
          </cell>
        </row>
        <row r="30">
          <cell r="A30">
            <v>6180706</v>
          </cell>
          <cell r="B30" t="str">
            <v>6180706-MVS MALL CCM</v>
          </cell>
          <cell r="C30">
            <v>741568000</v>
          </cell>
          <cell r="D30">
            <v>132</v>
          </cell>
          <cell r="E30">
            <v>5617939.39393939</v>
          </cell>
        </row>
        <row r="31">
          <cell r="A31">
            <v>6180707</v>
          </cell>
          <cell r="B31" t="str">
            <v>6180707-SC BTM</v>
          </cell>
          <cell r="C31">
            <v>125772000</v>
          </cell>
          <cell r="D31">
            <v>28</v>
          </cell>
          <cell r="E31">
            <v>4491857.14285714</v>
          </cell>
        </row>
        <row r="32">
          <cell r="A32">
            <v>6170707</v>
          </cell>
          <cell r="B32" t="str">
            <v>6170707-LG BLOK D NO. 01D</v>
          </cell>
          <cell r="C32">
            <v>250237000</v>
          </cell>
          <cell r="D32">
            <v>63</v>
          </cell>
          <cell r="E32">
            <v>3972015.87301587</v>
          </cell>
        </row>
        <row r="33">
          <cell r="A33">
            <v>6170706</v>
          </cell>
          <cell r="B33" t="str">
            <v>A200802-CHARLES</v>
          </cell>
          <cell r="C33">
            <v>367310000</v>
          </cell>
          <cell r="D33">
            <v>90</v>
          </cell>
          <cell r="E33">
            <v>4081222.22222222</v>
          </cell>
        </row>
        <row r="34">
          <cell r="A34">
            <v>6240704</v>
          </cell>
          <cell r="B34" t="str">
            <v>6240704-TANGCITY LG017 WEST LOBBY</v>
          </cell>
          <cell r="C34">
            <v>137463000</v>
          </cell>
          <cell r="D34">
            <v>37</v>
          </cell>
          <cell r="E34">
            <v>3715216.21621622</v>
          </cell>
        </row>
        <row r="35">
          <cell r="A35">
            <v>6240703</v>
          </cell>
          <cell r="B35" t="str">
            <v>6240703-TANGCITY LG009 CENTER</v>
          </cell>
          <cell r="C35">
            <v>298937000</v>
          </cell>
          <cell r="D35">
            <v>63</v>
          </cell>
          <cell r="E35">
            <v>4745031.74603175</v>
          </cell>
        </row>
        <row r="36">
          <cell r="A36">
            <v>6240705</v>
          </cell>
          <cell r="B36" t="str">
            <v>6240705-CIPUTRA 2FC15</v>
          </cell>
          <cell r="C36">
            <v>151169000</v>
          </cell>
          <cell r="D36">
            <v>31</v>
          </cell>
          <cell r="E36">
            <v>4876419.35483871</v>
          </cell>
        </row>
        <row r="37">
          <cell r="A37">
            <v>6240709</v>
          </cell>
          <cell r="B37" t="str">
            <v>6240709-ITC BSD 1F49-50</v>
          </cell>
          <cell r="C37">
            <v>96280000</v>
          </cell>
          <cell r="D37">
            <v>20</v>
          </cell>
          <cell r="E37">
            <v>4814000</v>
          </cell>
        </row>
        <row r="38">
          <cell r="A38">
            <v>6240708</v>
          </cell>
          <cell r="B38" t="str">
            <v>6240708-ITC BSD 1F09-14</v>
          </cell>
          <cell r="C38">
            <v>139374000</v>
          </cell>
          <cell r="D38">
            <v>26</v>
          </cell>
          <cell r="E38">
            <v>5360538.46153846</v>
          </cell>
        </row>
        <row r="39">
          <cell r="A39">
            <v>6240707</v>
          </cell>
          <cell r="B39" t="str">
            <v>6240707-SUPERMALL UGN3A仓库</v>
          </cell>
          <cell r="C39">
            <v>212570000</v>
          </cell>
          <cell r="D39">
            <v>30</v>
          </cell>
          <cell r="E39">
            <v>7085666.66666667</v>
          </cell>
        </row>
        <row r="40">
          <cell r="A40">
            <v>6240706</v>
          </cell>
          <cell r="B40" t="str">
            <v>6240706-SUPERMALL LGC3A</v>
          </cell>
          <cell r="C40">
            <v>165669000</v>
          </cell>
          <cell r="D40">
            <v>31</v>
          </cell>
          <cell r="E40">
            <v>5344161.29032258</v>
          </cell>
        </row>
        <row r="41">
          <cell r="A41">
            <v>6170703</v>
          </cell>
          <cell r="B41" t="str">
            <v>6170703-4004 MVS-BNT-CCM STORE</v>
          </cell>
          <cell r="C41">
            <v>86480000</v>
          </cell>
          <cell r="D41">
            <v>20</v>
          </cell>
          <cell r="E41">
            <v>4324000</v>
          </cell>
        </row>
        <row r="42">
          <cell r="A42">
            <v>6190701</v>
          </cell>
          <cell r="B42" t="str">
            <v>6190701-VIVO STORE UG</v>
          </cell>
          <cell r="C42">
            <v>116569000</v>
          </cell>
          <cell r="D42">
            <v>31</v>
          </cell>
          <cell r="E42">
            <v>3760290.32258065</v>
          </cell>
        </row>
        <row r="43">
          <cell r="A43">
            <v>6190704</v>
          </cell>
          <cell r="B43" t="str">
            <v>A300201-VIVO STORE 1 BEC</v>
          </cell>
          <cell r="C43">
            <v>535686000</v>
          </cell>
          <cell r="D43">
            <v>114</v>
          </cell>
          <cell r="E43">
            <v>4699000</v>
          </cell>
        </row>
        <row r="44">
          <cell r="A44">
            <v>6190707</v>
          </cell>
          <cell r="B44" t="str">
            <v>A300202-VIVO STORE LU</v>
          </cell>
          <cell r="C44">
            <v>482282000</v>
          </cell>
          <cell r="D44">
            <v>118</v>
          </cell>
          <cell r="E44">
            <v>4087135.59322034</v>
          </cell>
        </row>
        <row r="45">
          <cell r="A45">
            <v>6100702</v>
          </cell>
          <cell r="B45" t="str">
            <v>6100702-VS Jogja City Mall</v>
          </cell>
          <cell r="C45">
            <v>387653000</v>
          </cell>
          <cell r="D45">
            <v>47</v>
          </cell>
          <cell r="E45">
            <v>8247936.17021277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369330000</v>
          </cell>
          <cell r="D47">
            <v>70</v>
          </cell>
          <cell r="E47">
            <v>5276142.85714286</v>
          </cell>
        </row>
        <row r="48">
          <cell r="A48">
            <v>6140705</v>
          </cell>
          <cell r="B48" t="str">
            <v>6140705-QUEENCITY 2F027</v>
          </cell>
          <cell r="C48">
            <v>500244000</v>
          </cell>
          <cell r="D48">
            <v>56</v>
          </cell>
          <cell r="E48">
            <v>8932928.57142857</v>
          </cell>
        </row>
        <row r="49">
          <cell r="A49">
            <v>6190705</v>
          </cell>
          <cell r="B49" t="str">
            <v>A300105-VIVO STORE LG F20</v>
          </cell>
          <cell r="C49">
            <v>183847000</v>
          </cell>
          <cell r="D49">
            <v>53</v>
          </cell>
          <cell r="E49">
            <v>3468811.32075472</v>
          </cell>
        </row>
        <row r="50">
          <cell r="A50">
            <v>6190706</v>
          </cell>
          <cell r="B50" t="str">
            <v>A300102-VIVO STORE 4 BEC</v>
          </cell>
          <cell r="C50">
            <v>540976000</v>
          </cell>
          <cell r="D50">
            <v>124</v>
          </cell>
          <cell r="E50">
            <v>4362709.67741936</v>
          </cell>
        </row>
        <row r="51">
          <cell r="A51">
            <v>6240702</v>
          </cell>
          <cell r="B51" t="str">
            <v>A200902-LG BLOK B NO. 01B</v>
          </cell>
          <cell r="C51">
            <v>396913000</v>
          </cell>
          <cell r="D51">
            <v>87</v>
          </cell>
          <cell r="E51">
            <v>4562218.3908046</v>
          </cell>
        </row>
        <row r="52">
          <cell r="A52">
            <v>6240701</v>
          </cell>
          <cell r="B52" t="str">
            <v>A200803-LG BLOK A-B NO. 12</v>
          </cell>
          <cell r="C52">
            <v>443806000</v>
          </cell>
          <cell r="D52">
            <v>94</v>
          </cell>
          <cell r="E52">
            <v>4721340.42553191</v>
          </cell>
        </row>
        <row r="53">
          <cell r="A53">
            <v>6040701</v>
          </cell>
          <cell r="B53" t="str">
            <v>A200402-ITC-VIVO STORE 1</v>
          </cell>
          <cell r="C53">
            <v>187652000</v>
          </cell>
          <cell r="D53">
            <v>48</v>
          </cell>
          <cell r="E53">
            <v>3909416.66666667</v>
          </cell>
        </row>
        <row r="54">
          <cell r="A54">
            <v>6010710</v>
          </cell>
          <cell r="B54" t="str">
            <v>A100304-PAMERAN SELATAN</v>
          </cell>
          <cell r="C54">
            <v>296710000</v>
          </cell>
          <cell r="D54">
            <v>90</v>
          </cell>
          <cell r="E54">
            <v>3296777.77777778</v>
          </cell>
        </row>
        <row r="55">
          <cell r="A55">
            <v>6010709</v>
          </cell>
          <cell r="B55" t="str">
            <v>A100303-PAMERAN UTARA</v>
          </cell>
          <cell r="C55">
            <v>933505000</v>
          </cell>
          <cell r="D55">
            <v>295</v>
          </cell>
          <cell r="E55">
            <v>3164423.72881356</v>
          </cell>
        </row>
        <row r="56">
          <cell r="C56">
            <v>14628773000</v>
          </cell>
          <cell r="D56">
            <v>3127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48"/>
  <sheetViews>
    <sheetView tabSelected="1" topLeftCell="A23" workbookViewId="0">
      <selection activeCell="K10" sqref="K10"/>
    </sheetView>
  </sheetViews>
  <sheetFormatPr defaultColWidth="11" defaultRowHeight="17.6"/>
  <sheetData>
    <row r="1" spans="1:69">
      <c r="A1" s="1" t="s">
        <v>0</v>
      </c>
      <c r="B1" s="2"/>
      <c r="C1" s="2"/>
      <c r="D1" s="3" t="s">
        <v>1</v>
      </c>
      <c r="E1" s="3" t="s">
        <v>2</v>
      </c>
      <c r="F1" s="4" t="s">
        <v>3</v>
      </c>
      <c r="G1" s="5" t="s">
        <v>4</v>
      </c>
      <c r="H1" s="6"/>
      <c r="I1" s="5" t="s">
        <v>5</v>
      </c>
      <c r="J1" s="7"/>
      <c r="K1" s="8"/>
      <c r="L1" s="8"/>
      <c r="M1" s="8"/>
      <c r="N1" s="8"/>
      <c r="O1" s="8"/>
      <c r="P1" s="8"/>
      <c r="Q1" s="8"/>
      <c r="R1" s="8"/>
      <c r="S1" s="8"/>
      <c r="T1" s="9"/>
      <c r="U1" s="5" t="s">
        <v>6</v>
      </c>
      <c r="V1" s="7"/>
      <c r="W1" s="8"/>
      <c r="X1" s="8"/>
      <c r="Y1" s="8"/>
      <c r="Z1" s="8"/>
      <c r="AA1" s="8"/>
      <c r="AB1" s="9"/>
      <c r="AC1" s="5" t="s">
        <v>7</v>
      </c>
      <c r="AD1" s="6"/>
      <c r="AE1" s="5" t="s">
        <v>8</v>
      </c>
      <c r="AF1" s="7"/>
      <c r="AG1" s="8"/>
      <c r="AH1" s="9"/>
      <c r="AI1" s="10" t="s">
        <v>9</v>
      </c>
      <c r="AJ1" s="11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3"/>
      <c r="BC1" s="10" t="s">
        <v>10</v>
      </c>
      <c r="BD1" s="11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4"/>
    </row>
    <row r="2" spans="1:69">
      <c r="A2" s="15"/>
      <c r="B2" s="16"/>
      <c r="C2" s="16"/>
      <c r="D2" s="17">
        <v>30</v>
      </c>
      <c r="E2" s="17">
        <v>6</v>
      </c>
      <c r="F2" s="18">
        <f>E2/D2</f>
        <v>0.2</v>
      </c>
      <c r="G2" s="19"/>
      <c r="H2" s="20"/>
      <c r="I2" s="19"/>
      <c r="J2" s="21"/>
      <c r="K2" s="22"/>
      <c r="L2" s="22"/>
      <c r="M2" s="22"/>
      <c r="N2" s="22"/>
      <c r="O2" s="22"/>
      <c r="P2" s="22"/>
      <c r="Q2" s="22"/>
      <c r="R2" s="22"/>
      <c r="S2" s="22"/>
      <c r="T2" s="23"/>
      <c r="U2" s="19"/>
      <c r="V2" s="21"/>
      <c r="W2" s="22"/>
      <c r="X2" s="22"/>
      <c r="Y2" s="22"/>
      <c r="Z2" s="22"/>
      <c r="AA2" s="22"/>
      <c r="AB2" s="23"/>
      <c r="AC2" s="19"/>
      <c r="AD2" s="20"/>
      <c r="AE2" s="19"/>
      <c r="AF2" s="21"/>
      <c r="AG2" s="22"/>
      <c r="AH2" s="23"/>
      <c r="AI2" s="24"/>
      <c r="AJ2" s="25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7"/>
      <c r="BC2" s="24" t="s">
        <v>11</v>
      </c>
      <c r="BD2" s="25"/>
      <c r="BE2" s="26"/>
      <c r="BF2" s="26" t="s">
        <v>12</v>
      </c>
      <c r="BG2" s="26"/>
      <c r="BH2" s="26"/>
      <c r="BI2" s="26" t="s">
        <v>13</v>
      </c>
      <c r="BJ2" s="26"/>
      <c r="BK2" s="26"/>
      <c r="BL2" s="26" t="s">
        <v>14</v>
      </c>
      <c r="BM2" s="26"/>
      <c r="BN2" s="26"/>
      <c r="BO2" s="26" t="s">
        <v>15</v>
      </c>
      <c r="BP2" s="26"/>
      <c r="BQ2" s="28"/>
    </row>
    <row r="3" spans="1:69">
      <c r="A3" s="29" t="s">
        <v>16</v>
      </c>
      <c r="B3" s="30" t="s">
        <v>17</v>
      </c>
      <c r="C3" s="30" t="s">
        <v>18</v>
      </c>
      <c r="D3" s="30" t="s">
        <v>19</v>
      </c>
      <c r="E3" s="30" t="s">
        <v>20</v>
      </c>
      <c r="F3" s="31" t="s">
        <v>21</v>
      </c>
      <c r="G3" s="32"/>
      <c r="H3" s="33"/>
      <c r="I3" s="32"/>
      <c r="J3" s="34"/>
      <c r="K3" s="35"/>
      <c r="L3" s="35"/>
      <c r="M3" s="35"/>
      <c r="N3" s="35"/>
      <c r="O3" s="35"/>
      <c r="P3" s="35"/>
      <c r="Q3" s="35"/>
      <c r="R3" s="35"/>
      <c r="S3" s="35"/>
      <c r="T3" s="36"/>
      <c r="U3" s="32"/>
      <c r="V3" s="34"/>
      <c r="W3" s="35"/>
      <c r="X3" s="35"/>
      <c r="Y3" s="35"/>
      <c r="Z3" s="35"/>
      <c r="AA3" s="35"/>
      <c r="AB3" s="36"/>
      <c r="AC3" s="32"/>
      <c r="AD3" s="33"/>
      <c r="AE3" s="32"/>
      <c r="AF3" s="34"/>
      <c r="AG3" s="35"/>
      <c r="AH3" s="36"/>
      <c r="AI3" s="32" t="s">
        <v>22</v>
      </c>
      <c r="AJ3" s="34"/>
      <c r="AK3" s="35"/>
      <c r="AL3" s="35"/>
      <c r="AM3" s="35" t="s">
        <v>23</v>
      </c>
      <c r="AN3" s="35"/>
      <c r="AO3" s="35"/>
      <c r="AP3" s="35"/>
      <c r="AQ3" s="35" t="s">
        <v>24</v>
      </c>
      <c r="AR3" s="35"/>
      <c r="AS3" s="35"/>
      <c r="AT3" s="35"/>
      <c r="AU3" s="35" t="s">
        <v>25</v>
      </c>
      <c r="AV3" s="35"/>
      <c r="AW3" s="35"/>
      <c r="AX3" s="35"/>
      <c r="AY3" s="35" t="s">
        <v>26</v>
      </c>
      <c r="AZ3" s="35"/>
      <c r="BA3" s="35"/>
      <c r="BB3" s="36"/>
      <c r="BC3" s="32" t="s">
        <v>27</v>
      </c>
      <c r="BD3" s="34" t="s">
        <v>28</v>
      </c>
      <c r="BE3" s="35" t="s">
        <v>29</v>
      </c>
      <c r="BF3" s="35" t="s">
        <v>30</v>
      </c>
      <c r="BG3" s="35" t="s">
        <v>28</v>
      </c>
      <c r="BH3" s="35" t="s">
        <v>29</v>
      </c>
      <c r="BI3" s="35" t="s">
        <v>31</v>
      </c>
      <c r="BJ3" s="35" t="s">
        <v>28</v>
      </c>
      <c r="BK3" s="35" t="s">
        <v>29</v>
      </c>
      <c r="BL3" s="35" t="s">
        <v>32</v>
      </c>
      <c r="BM3" s="35" t="s">
        <v>28</v>
      </c>
      <c r="BN3" s="35" t="s">
        <v>29</v>
      </c>
      <c r="BO3" s="35" t="s">
        <v>33</v>
      </c>
      <c r="BP3" s="35" t="s">
        <v>28</v>
      </c>
      <c r="BQ3" s="37" t="s">
        <v>29</v>
      </c>
    </row>
    <row r="4" ht="28.75" spans="1:69">
      <c r="A4" s="38"/>
      <c r="B4" s="39"/>
      <c r="C4" s="40"/>
      <c r="D4" s="39"/>
      <c r="E4" s="39"/>
      <c r="F4" s="41"/>
      <c r="G4" s="42" t="s">
        <v>22</v>
      </c>
      <c r="H4" s="43" t="s">
        <v>25</v>
      </c>
      <c r="I4" s="44" t="s">
        <v>22</v>
      </c>
      <c r="J4" s="45" t="s">
        <v>29</v>
      </c>
      <c r="K4" s="46" t="s">
        <v>34</v>
      </c>
      <c r="L4" s="46" t="s">
        <v>35</v>
      </c>
      <c r="M4" s="46" t="s">
        <v>24</v>
      </c>
      <c r="N4" s="46" t="s">
        <v>29</v>
      </c>
      <c r="O4" s="46" t="s">
        <v>8</v>
      </c>
      <c r="P4" s="46" t="s">
        <v>29</v>
      </c>
      <c r="Q4" s="46" t="s">
        <v>36</v>
      </c>
      <c r="R4" s="46" t="s">
        <v>25</v>
      </c>
      <c r="S4" s="46" t="s">
        <v>29</v>
      </c>
      <c r="T4" s="47" t="s">
        <v>34</v>
      </c>
      <c r="U4" s="48" t="s">
        <v>22</v>
      </c>
      <c r="V4" s="49" t="s">
        <v>29</v>
      </c>
      <c r="W4" s="50" t="s">
        <v>34</v>
      </c>
      <c r="X4" s="50" t="s">
        <v>24</v>
      </c>
      <c r="Y4" s="50" t="s">
        <v>34</v>
      </c>
      <c r="Z4" s="50" t="s">
        <v>25</v>
      </c>
      <c r="AA4" s="50" t="s">
        <v>34</v>
      </c>
      <c r="AB4" s="51" t="s">
        <v>29</v>
      </c>
      <c r="AC4" s="52" t="s">
        <v>22</v>
      </c>
      <c r="AD4" s="53" t="s">
        <v>25</v>
      </c>
      <c r="AE4" s="54" t="s">
        <v>37</v>
      </c>
      <c r="AF4" s="55" t="s">
        <v>38</v>
      </c>
      <c r="AG4" s="56" t="s">
        <v>34</v>
      </c>
      <c r="AH4" s="57" t="s">
        <v>29</v>
      </c>
      <c r="AI4" s="58" t="s">
        <v>37</v>
      </c>
      <c r="AJ4" s="59" t="s">
        <v>38</v>
      </c>
      <c r="AK4" s="60" t="s">
        <v>34</v>
      </c>
      <c r="AL4" s="60" t="s">
        <v>29</v>
      </c>
      <c r="AM4" s="60" t="s">
        <v>37</v>
      </c>
      <c r="AN4" s="60" t="s">
        <v>38</v>
      </c>
      <c r="AO4" s="60" t="s">
        <v>34</v>
      </c>
      <c r="AP4" s="60" t="s">
        <v>29</v>
      </c>
      <c r="AQ4" s="60" t="s">
        <v>37</v>
      </c>
      <c r="AR4" s="60" t="s">
        <v>38</v>
      </c>
      <c r="AS4" s="60" t="s">
        <v>34</v>
      </c>
      <c r="AT4" s="60" t="s">
        <v>39</v>
      </c>
      <c r="AU4" s="60" t="s">
        <v>37</v>
      </c>
      <c r="AV4" s="60" t="s">
        <v>38</v>
      </c>
      <c r="AW4" s="60" t="s">
        <v>34</v>
      </c>
      <c r="AX4" s="60" t="s">
        <v>29</v>
      </c>
      <c r="AY4" s="60" t="s">
        <v>37</v>
      </c>
      <c r="AZ4" s="60" t="s">
        <v>38</v>
      </c>
      <c r="BA4" s="60" t="s">
        <v>34</v>
      </c>
      <c r="BB4" s="61" t="s">
        <v>29</v>
      </c>
      <c r="BC4" s="62"/>
      <c r="BD4" s="63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5"/>
    </row>
    <row r="5" spans="1:69">
      <c r="A5" s="66">
        <v>1</v>
      </c>
      <c r="B5" s="67" t="s">
        <v>40</v>
      </c>
      <c r="C5" s="68">
        <v>6010708</v>
      </c>
      <c r="D5" s="69" t="s">
        <v>41</v>
      </c>
      <c r="E5" s="70" t="s">
        <v>42</v>
      </c>
      <c r="F5" s="71">
        <v>3</v>
      </c>
      <c r="G5" s="72">
        <f>IFERROR(VLOOKUP(C5,'[1]TARGET THIS MONTH'!C:E,3,0),0)</f>
        <v>120</v>
      </c>
      <c r="H5" s="73">
        <f>IFERROR(VLOOKUP(C5,'[1]TARGET THIS MONTH'!C:M,11,0),0)</f>
        <v>840000000</v>
      </c>
      <c r="I5" s="72">
        <f>IFERROR(GETPIVOTDATA("Sum of Qty",'[1]DEVICE &amp; VALUE'!$A$6,"ID Store",$C5),0)</f>
        <v>16</v>
      </c>
      <c r="J5" s="74">
        <f t="shared" ref="J5:J48" si="0">I5/G5</f>
        <v>0.133333333333333</v>
      </c>
      <c r="K5" s="75">
        <f t="shared" ref="K5:K48" si="1">I5-G5</f>
        <v>-104</v>
      </c>
      <c r="L5" s="76">
        <f>IFERROR(GETPIVOTDATA("Sum of Qty",[1]PF!$A$5,"ID Store",$C5),0)</f>
        <v>3</v>
      </c>
      <c r="M5" s="76">
        <f>IFERROR(GETPIVOTDATA("Sum of Qty",'[1]DEVICE &amp; VALUE'!$A$6,"ID Store",$C5,"Segment Price","3mio&gt;"),0)</f>
        <v>8</v>
      </c>
      <c r="N5" s="77">
        <f t="shared" ref="N5:N47" si="2">IFERROR(M5/I5,0)</f>
        <v>0.5</v>
      </c>
      <c r="O5" s="78">
        <f>IFERROR(GETPIVOTDATA("Sum of Qty",[1]IQOO!$A$6,"ID Store",$C5),0)</f>
        <v>1</v>
      </c>
      <c r="P5" s="77">
        <f t="shared" ref="P5:P47" si="3">IFERROR(O5/I5,0)</f>
        <v>0.0625</v>
      </c>
      <c r="Q5" s="77">
        <f t="shared" ref="Q5:Q47" si="4">IFERROR(M5/I5,0)</f>
        <v>0.5</v>
      </c>
      <c r="R5" s="79">
        <f>IFERROR(GETPIVOTDATA("Sum of SRP",'[1]DEVICE &amp; VALUE'!$A$6,"ID Store",$C5),0)</f>
        <v>65084000</v>
      </c>
      <c r="S5" s="77">
        <f t="shared" ref="S5:S47" si="5">IFERROR(R5/H5,0)</f>
        <v>0.0774809523809524</v>
      </c>
      <c r="T5" s="80">
        <f t="shared" ref="T5:T48" si="6">R5-H5</f>
        <v>-774916000</v>
      </c>
      <c r="U5" s="81">
        <f t="shared" ref="U5:U47" si="7">I5/$E$2*$D$2</f>
        <v>80</v>
      </c>
      <c r="V5" s="82">
        <f t="shared" ref="V5:V47" si="8">IFERROR(U5/G5,0)</f>
        <v>0.666666666666667</v>
      </c>
      <c r="W5" s="83">
        <f t="shared" ref="W5:W48" si="9">U5-G5</f>
        <v>-40</v>
      </c>
      <c r="X5" s="83">
        <f t="shared" ref="X5:X47" si="10">M5/$E$2*$D$2</f>
        <v>40</v>
      </c>
      <c r="Y5" s="83">
        <f t="shared" ref="Y5:Y48" si="11">X5-G5</f>
        <v>-80</v>
      </c>
      <c r="Z5" s="84">
        <f t="shared" ref="Z5:Z47" si="12">R5/$E$2*$D$2</f>
        <v>325420000</v>
      </c>
      <c r="AA5" s="84">
        <f t="shared" ref="AA5:AA48" si="13">Z5-H5</f>
        <v>-514580000</v>
      </c>
      <c r="AB5" s="85">
        <f t="shared" ref="AB5:AB47" si="14">IFERROR(Z5/H5,0)</f>
        <v>0.387404761904762</v>
      </c>
      <c r="AC5" s="86">
        <f t="shared" ref="AC5:AC47" si="15">IFERROR(($G5-$I5)/($D$2-$E$2),0)</f>
        <v>4.33333333333333</v>
      </c>
      <c r="AD5" s="87">
        <f t="shared" ref="AD5:AD47" si="16">IFERROR(($H5-$R5)/($D$2-$E$2),0)</f>
        <v>32288166.6666667</v>
      </c>
      <c r="AE5" s="72">
        <f>IFERROR(GETPIVOTDATA("Sum of Qty",'[1]DATA LAST MONTH IQOO'!$A$6,"ID Store",$C5),0)</f>
        <v>25</v>
      </c>
      <c r="AF5" s="88">
        <f>IFERROR(GETPIVOTDATA("Sum of Qty",[1]IQOO!$A$6,"ID Store",$C5),0)</f>
        <v>1</v>
      </c>
      <c r="AG5" s="75">
        <f t="shared" ref="AG5:AG48" si="17">AF5-AE5</f>
        <v>-24</v>
      </c>
      <c r="AH5" s="89">
        <f t="shared" ref="AH5:AH47" si="18">IFERROR(AG5/AE5,0)</f>
        <v>-0.96</v>
      </c>
      <c r="AI5" s="90">
        <f>IFERROR(GETPIVOTDATA("Sum of Qty",'[1]DATA LAST MONTH DEVICE'!$A$6,"ID Store",$C5),0)</f>
        <v>132</v>
      </c>
      <c r="AJ5" s="91">
        <f t="shared" ref="AJ5:AJ47" si="19">I5</f>
        <v>16</v>
      </c>
      <c r="AK5" s="75">
        <f t="shared" ref="AK5:AK48" si="20">AJ5-AI5</f>
        <v>-116</v>
      </c>
      <c r="AL5" s="77">
        <f t="shared" ref="AL5:AL47" si="21">IFERROR(AK5/AI5,0)</f>
        <v>-0.878787878787879</v>
      </c>
      <c r="AM5" s="76">
        <f>IFERROR(GETPIVOTDATA("Sum of Qty",'[1]Store 3mio+ last month'!$A$6,"ID Store",$C5),0)</f>
        <v>132</v>
      </c>
      <c r="AN5" s="75">
        <f t="shared" ref="AN5:AN47" si="22">VLOOKUP(C:C,C:U,19,0)</f>
        <v>80</v>
      </c>
      <c r="AO5" s="75">
        <f t="shared" ref="AO5:AO48" si="23">AN5-AM5</f>
        <v>-52</v>
      </c>
      <c r="AP5" s="77">
        <f t="shared" ref="AP5:AP47" si="24">IFERROR(AO5/AM5,0)</f>
        <v>-0.393939393939394</v>
      </c>
      <c r="AQ5" s="76">
        <f>IFERROR(GETPIVOTDATA("Sum of Qty",'[1]DATA LAST MONTH DEVICE'!$A$6,"ID Store",$C5,"Segment Price","3mio&gt;"),0)</f>
        <v>85</v>
      </c>
      <c r="AR5" s="78">
        <f t="shared" ref="AR5:AR47" si="25">M5</f>
        <v>8</v>
      </c>
      <c r="AS5" s="78">
        <f t="shared" ref="AS5:AS48" si="26">AR5-AQ5</f>
        <v>-77</v>
      </c>
      <c r="AT5" s="77">
        <f t="shared" ref="AT5:AT47" si="27">IFERROR(AS5/AQ5,0)</f>
        <v>-0.905882352941176</v>
      </c>
      <c r="AU5" s="92">
        <f>IFERROR(GETPIVOTDATA("Sum of SRP",'[1]DATA LAST MONTH DEVICE'!$A$6,"ID Store",$C5),0)</f>
        <v>976368000</v>
      </c>
      <c r="AV5" s="92">
        <f t="shared" ref="AV5:AV47" si="28">R5</f>
        <v>65084000</v>
      </c>
      <c r="AW5" s="92">
        <f t="shared" ref="AW5:AW48" si="29">AV5-AU5</f>
        <v>-911284000</v>
      </c>
      <c r="AX5" s="77">
        <f t="shared" ref="AX5:AX47" si="30">IFERROR(AW5/AU5,0)</f>
        <v>-0.933340707602052</v>
      </c>
      <c r="AY5" s="92">
        <f>IFERROR(VLOOKUP(C5,'[1]DATA SALES LAST MONTH'!A:E,5,0),0)</f>
        <v>7396727.27272727</v>
      </c>
      <c r="AZ5" s="79">
        <f t="shared" ref="AZ5:AZ47" si="31">IFERROR(Z5/U5,0)</f>
        <v>4067750</v>
      </c>
      <c r="BA5" s="79">
        <f t="shared" ref="BA5:BA48" si="32">AZ5-AY5</f>
        <v>-3328977.27272727</v>
      </c>
      <c r="BB5" s="89">
        <f t="shared" ref="BB5:BB47" si="33">IFERROR(BA5/AY5,0)</f>
        <v>-0.450060837716926</v>
      </c>
      <c r="BC5" s="72">
        <f>IFERROR(VLOOKUP(C5,'[1]TARGET THIS MONTH'!C:U,15,0),0)</f>
        <v>12</v>
      </c>
      <c r="BD5" s="93">
        <f>IFERROR(GETPIVOTDATA("Sum of Qty",[1]ACC!$A$5,"ID Store",$C5),0)</f>
        <v>12</v>
      </c>
      <c r="BE5" s="77">
        <f t="shared" ref="BE5:BE47" si="34">IFERROR(BD5/BC5,0)</f>
        <v>1</v>
      </c>
      <c r="BF5" s="94">
        <f>IFERROR(VLOOKUP(C5,'[1]TARGET THIS MONTH'!C:U,16,0),0)</f>
        <v>4200000</v>
      </c>
      <c r="BG5" s="94">
        <f>IFERROR(GETPIVOTDATA("Sum of SRP",'[1]Insurance by Store'!$A$5,"ID Store",$C5,"Product Type","Qoala"),0)</f>
        <v>318000</v>
      </c>
      <c r="BH5" s="77">
        <f t="shared" ref="BH5:BH47" si="35">IFERROR(BG5/BF5,0)</f>
        <v>0.0757142857142857</v>
      </c>
      <c r="BI5" s="94">
        <f>IFERROR(VLOOKUP(C5,'[1]TARGET THIS MONTH'!C:U,17,0),0)</f>
        <v>840000</v>
      </c>
      <c r="BJ5" s="94">
        <f>IFERROR(GETPIVOTDATA("Sum of SRP",'[1]Insurance by Store'!$A$5,"ID Store",$C5,"Product Type","Vivo Care"),0)</f>
        <v>0</v>
      </c>
      <c r="BK5" s="77">
        <f t="shared" ref="BK5:BK47" si="36">IFERROR(BJ5/BI5,0)</f>
        <v>0</v>
      </c>
      <c r="BL5" s="75">
        <f>IFERROR(VLOOKUP(C5,'[1]TARGET THIS MONTH'!C:U,18,0),0)</f>
        <v>3.6</v>
      </c>
      <c r="BM5" s="76">
        <f>IFERROR(GETPIVOTDATA("Sum of Qty",'[1]Operator by Store'!$A$5,"ID Store",$C5,"Product Type","Indosat"),0)</f>
        <v>0</v>
      </c>
      <c r="BN5" s="77">
        <f t="shared" ref="BN5:BN47" si="37">IFERROR(BM5/BL5,0)</f>
        <v>0</v>
      </c>
      <c r="BO5" s="75">
        <f>VLOOKUP(C5,'[1]TARGET THIS MONTH'!C:U,19,0)</f>
        <v>36</v>
      </c>
      <c r="BP5" s="76">
        <f>IFERROR(GETPIVOTDATA("Sum of Qty",'[1]Operator by Store'!$A$5,"ID Store",$C5,"Product Type","Telkomsel"),0)</f>
        <v>0</v>
      </c>
      <c r="BQ5" s="95">
        <f t="shared" ref="BQ5:BQ47" si="38">IFERROR(BP5/BO5,0)</f>
        <v>0</v>
      </c>
    </row>
    <row r="6" spans="1:69">
      <c r="A6" s="96">
        <v>2</v>
      </c>
      <c r="B6" s="97" t="s">
        <v>40</v>
      </c>
      <c r="C6" s="98">
        <v>6010701</v>
      </c>
      <c r="D6" s="99" t="s">
        <v>43</v>
      </c>
      <c r="E6" s="100" t="s">
        <v>44</v>
      </c>
      <c r="F6" s="101">
        <v>6</v>
      </c>
      <c r="G6" s="102">
        <f>IFERROR(VLOOKUP(C6,'[1]TARGET THIS MONTH'!C:E,3,0),0)</f>
        <v>260</v>
      </c>
      <c r="H6" s="103">
        <f>IFERROR(VLOOKUP(C6,'[1]TARGET THIS MONTH'!C:M,11,0),0)</f>
        <v>962000000</v>
      </c>
      <c r="I6" s="102">
        <f>IFERROR(GETPIVOTDATA("Sum of Qty",'[1]DEVICE &amp; VALUE'!$A$6,"ID Store",$C6),0)</f>
        <v>66</v>
      </c>
      <c r="J6" s="104">
        <f t="shared" si="0"/>
        <v>0.253846153846154</v>
      </c>
      <c r="K6" s="105">
        <f t="shared" si="1"/>
        <v>-194</v>
      </c>
      <c r="L6" s="106">
        <f>IFERROR(GETPIVOTDATA("Sum of Qty",[1]PF!$A$5,"ID Store",$C6),0)</f>
        <v>18</v>
      </c>
      <c r="M6" s="106">
        <f>IFERROR(GETPIVOTDATA("Sum of Qty",'[1]DEVICE &amp; VALUE'!$A$6,"ID Store",$C6,"Segment Price","3mio&gt;"),0)</f>
        <v>26</v>
      </c>
      <c r="N6" s="107">
        <f t="shared" si="2"/>
        <v>0.393939393939394</v>
      </c>
      <c r="O6" s="108">
        <f>IFERROR(GETPIVOTDATA("Sum of Qty",[1]IQOO!$A$6,"ID Store",$C6),0)</f>
        <v>2</v>
      </c>
      <c r="P6" s="107">
        <f t="shared" si="3"/>
        <v>0.0303030303030303</v>
      </c>
      <c r="Q6" s="107">
        <f t="shared" si="4"/>
        <v>0.393939393939394</v>
      </c>
      <c r="R6" s="109">
        <f>IFERROR(GETPIVOTDATA("Sum of SRP",'[1]DEVICE &amp; VALUE'!$A$6,"ID Store",$C6),0)</f>
        <v>252834000</v>
      </c>
      <c r="S6" s="107">
        <f t="shared" si="5"/>
        <v>0.262821205821206</v>
      </c>
      <c r="T6" s="110">
        <f t="shared" si="6"/>
        <v>-709166000</v>
      </c>
      <c r="U6" s="111">
        <f t="shared" si="7"/>
        <v>330</v>
      </c>
      <c r="V6" s="112">
        <f t="shared" si="8"/>
        <v>1.26923076923077</v>
      </c>
      <c r="W6" s="113">
        <f t="shared" si="9"/>
        <v>70</v>
      </c>
      <c r="X6" s="113">
        <f t="shared" si="10"/>
        <v>130</v>
      </c>
      <c r="Y6" s="113">
        <f t="shared" si="11"/>
        <v>-130</v>
      </c>
      <c r="Z6" s="114">
        <f t="shared" si="12"/>
        <v>1264170000</v>
      </c>
      <c r="AA6" s="114">
        <f t="shared" si="13"/>
        <v>302170000</v>
      </c>
      <c r="AB6" s="115">
        <f t="shared" si="14"/>
        <v>1.31410602910603</v>
      </c>
      <c r="AC6" s="116">
        <f t="shared" si="15"/>
        <v>8.08333333333333</v>
      </c>
      <c r="AD6" s="117">
        <f t="shared" si="16"/>
        <v>29548583.3333333</v>
      </c>
      <c r="AE6" s="102">
        <f>IFERROR(GETPIVOTDATA("Sum of Qty",'[1]DATA LAST MONTH IQOO'!$A$6,"ID Store",$C6),0)</f>
        <v>24</v>
      </c>
      <c r="AF6" s="118">
        <f>IFERROR(GETPIVOTDATA("Sum of Qty",[1]IQOO!$A$6,"ID Store",$C6),0)</f>
        <v>2</v>
      </c>
      <c r="AG6" s="105">
        <f t="shared" si="17"/>
        <v>-22</v>
      </c>
      <c r="AH6" s="119">
        <f t="shared" si="18"/>
        <v>-0.916666666666667</v>
      </c>
      <c r="AI6" s="120">
        <f>IFERROR(GETPIVOTDATA("Sum of Qty",'[1]DATA LAST MONTH DEVICE'!$A$6,"ID Store",$C6),0)</f>
        <v>250</v>
      </c>
      <c r="AJ6" s="121">
        <f t="shared" si="19"/>
        <v>66</v>
      </c>
      <c r="AK6" s="105">
        <f t="shared" si="20"/>
        <v>-184</v>
      </c>
      <c r="AL6" s="107">
        <f t="shared" si="21"/>
        <v>-0.736</v>
      </c>
      <c r="AM6" s="106">
        <f>IFERROR(GETPIVOTDATA("Sum of Qty",'[1]Store 3mio+ last month'!$A$6,"ID Store",$C6),0)</f>
        <v>250</v>
      </c>
      <c r="AN6" s="105">
        <f t="shared" si="22"/>
        <v>330</v>
      </c>
      <c r="AO6" s="105">
        <f t="shared" si="23"/>
        <v>80</v>
      </c>
      <c r="AP6" s="107">
        <f t="shared" si="24"/>
        <v>0.32</v>
      </c>
      <c r="AQ6" s="106">
        <f>IFERROR(GETPIVOTDATA("Sum of Qty",'[1]DATA LAST MONTH DEVICE'!$A$6,"ID Store",$C6,"Segment Price","3mio&gt;"),0)</f>
        <v>94</v>
      </c>
      <c r="AR6" s="108">
        <f t="shared" si="25"/>
        <v>26</v>
      </c>
      <c r="AS6" s="108">
        <f t="shared" si="26"/>
        <v>-68</v>
      </c>
      <c r="AT6" s="107">
        <f t="shared" si="27"/>
        <v>-0.723404255319149</v>
      </c>
      <c r="AU6" s="122">
        <f>IFERROR(GETPIVOTDATA("Sum of SRP",'[1]DATA LAST MONTH DEVICE'!$A$6,"ID Store",$C6),0)</f>
        <v>994150000</v>
      </c>
      <c r="AV6" s="122">
        <f t="shared" si="28"/>
        <v>252834000</v>
      </c>
      <c r="AW6" s="122">
        <f t="shared" si="29"/>
        <v>-741316000</v>
      </c>
      <c r="AX6" s="107">
        <f t="shared" si="30"/>
        <v>-0.745678217572801</v>
      </c>
      <c r="AY6" s="122">
        <f>IFERROR(VLOOKUP(C6,'[1]DATA SALES LAST MONTH'!A:E,5,0),0)</f>
        <v>3976600</v>
      </c>
      <c r="AZ6" s="109">
        <f t="shared" si="31"/>
        <v>3830818.18181818</v>
      </c>
      <c r="BA6" s="109">
        <f t="shared" si="32"/>
        <v>-145781.818181818</v>
      </c>
      <c r="BB6" s="119">
        <f t="shared" si="33"/>
        <v>-0.0366599150484882</v>
      </c>
      <c r="BC6" s="102">
        <f>IFERROR(VLOOKUP(C6,'[1]TARGET THIS MONTH'!C:U,15,0),0)</f>
        <v>26</v>
      </c>
      <c r="BD6" s="123">
        <f>IFERROR(GETPIVOTDATA("Sum of Qty",[1]ACC!$A$5,"ID Store",$C6),0)</f>
        <v>26</v>
      </c>
      <c r="BE6" s="107">
        <f t="shared" si="34"/>
        <v>1</v>
      </c>
      <c r="BF6" s="124">
        <f>IFERROR(VLOOKUP(C6,'[1]TARGET THIS MONTH'!C:U,16,0),0)</f>
        <v>4810000</v>
      </c>
      <c r="BG6" s="124">
        <f>IFERROR(GETPIVOTDATA("Sum of SRP",'[1]Insurance by Store'!$A$5,"ID Store",$C6,"Product Type","Qoala"),0)</f>
        <v>2612000</v>
      </c>
      <c r="BH6" s="107">
        <f t="shared" si="35"/>
        <v>0.543035343035343</v>
      </c>
      <c r="BI6" s="124">
        <f>IFERROR(VLOOKUP(C6,'[1]TARGET THIS MONTH'!C:U,17,0),0)</f>
        <v>962000</v>
      </c>
      <c r="BJ6" s="124">
        <f>IFERROR(GETPIVOTDATA("Sum of SRP",'[1]Insurance by Store'!$A$5,"ID Store",$C6,"Product Type","Vivo Care"),0)</f>
        <v>0</v>
      </c>
      <c r="BK6" s="107">
        <f t="shared" si="36"/>
        <v>0</v>
      </c>
      <c r="BL6" s="105">
        <f>IFERROR(VLOOKUP(C6,'[1]TARGET THIS MONTH'!C:U,18,0),0)</f>
        <v>7.8</v>
      </c>
      <c r="BM6" s="106">
        <f>IFERROR(GETPIVOTDATA("Sum of Qty",'[1]Operator by Store'!$A$5,"ID Store",$C6,"Product Type","Indosat"),0)</f>
        <v>0</v>
      </c>
      <c r="BN6" s="107">
        <f t="shared" si="37"/>
        <v>0</v>
      </c>
      <c r="BO6" s="105">
        <f>VLOOKUP(C6,'[1]TARGET THIS MONTH'!C:U,19,0)</f>
        <v>78</v>
      </c>
      <c r="BP6" s="106">
        <f>IFERROR(GETPIVOTDATA("Sum of Qty",'[1]Operator by Store'!$A$5,"ID Store",$C6,"Product Type","Telkomsel"),0)</f>
        <v>0</v>
      </c>
      <c r="BQ6" s="125">
        <f t="shared" si="38"/>
        <v>0</v>
      </c>
    </row>
    <row r="7" spans="1:69">
      <c r="A7" s="96">
        <v>3</v>
      </c>
      <c r="B7" s="97" t="s">
        <v>40</v>
      </c>
      <c r="C7" s="98">
        <v>6010702</v>
      </c>
      <c r="D7" s="99" t="s">
        <v>45</v>
      </c>
      <c r="E7" s="100" t="s">
        <v>44</v>
      </c>
      <c r="F7" s="101">
        <v>7</v>
      </c>
      <c r="G7" s="102">
        <f>IFERROR(VLOOKUP(C7,'[1]TARGET THIS MONTH'!C:E,3,0),0)</f>
        <v>260</v>
      </c>
      <c r="H7" s="103">
        <f>IFERROR(VLOOKUP(C7,'[1]TARGET THIS MONTH'!C:M,11,0),0)</f>
        <v>962000000</v>
      </c>
      <c r="I7" s="102">
        <f>IFERROR(GETPIVOTDATA("Sum of Qty",'[1]DEVICE &amp; VALUE'!$A$6,"ID Store",$C7),0)</f>
        <v>67</v>
      </c>
      <c r="J7" s="104">
        <f t="shared" si="0"/>
        <v>0.257692307692308</v>
      </c>
      <c r="K7" s="105">
        <f t="shared" si="1"/>
        <v>-193</v>
      </c>
      <c r="L7" s="106">
        <f>IFERROR(GETPIVOTDATA("Sum of Qty",[1]PF!$A$5,"ID Store",$C7),0)</f>
        <v>10</v>
      </c>
      <c r="M7" s="106">
        <f>IFERROR(GETPIVOTDATA("Sum of Qty",'[1]DEVICE &amp; VALUE'!$A$6,"ID Store",$C7,"Segment Price","3mio&gt;"),0)</f>
        <v>13</v>
      </c>
      <c r="N7" s="107">
        <f t="shared" si="2"/>
        <v>0.194029850746269</v>
      </c>
      <c r="O7" s="108">
        <f>IFERROR(GETPIVOTDATA("Sum of Qty",[1]IQOO!$A$6,"ID Store",$C7),0)</f>
        <v>2</v>
      </c>
      <c r="P7" s="107">
        <f t="shared" si="3"/>
        <v>0.0298507462686567</v>
      </c>
      <c r="Q7" s="107">
        <f t="shared" si="4"/>
        <v>0.194029850746269</v>
      </c>
      <c r="R7" s="109">
        <f>IFERROR(GETPIVOTDATA("Sum of SRP",'[1]DEVICE &amp; VALUE'!$A$6,"ID Store",$C7),0)</f>
        <v>189133000</v>
      </c>
      <c r="S7" s="107">
        <f t="shared" si="5"/>
        <v>0.19660395010395</v>
      </c>
      <c r="T7" s="110">
        <f t="shared" si="6"/>
        <v>-772867000</v>
      </c>
      <c r="U7" s="111">
        <f t="shared" si="7"/>
        <v>335</v>
      </c>
      <c r="V7" s="112">
        <f t="shared" si="8"/>
        <v>1.28846153846154</v>
      </c>
      <c r="W7" s="113">
        <f t="shared" si="9"/>
        <v>75</v>
      </c>
      <c r="X7" s="113">
        <f t="shared" si="10"/>
        <v>65</v>
      </c>
      <c r="Y7" s="113">
        <f t="shared" si="11"/>
        <v>-195</v>
      </c>
      <c r="Z7" s="114">
        <f t="shared" si="12"/>
        <v>945665000</v>
      </c>
      <c r="AA7" s="114">
        <f t="shared" si="13"/>
        <v>-16335000</v>
      </c>
      <c r="AB7" s="115">
        <f t="shared" si="14"/>
        <v>0.983019750519751</v>
      </c>
      <c r="AC7" s="116">
        <f t="shared" si="15"/>
        <v>8.04166666666667</v>
      </c>
      <c r="AD7" s="117">
        <f t="shared" si="16"/>
        <v>32202791.6666667</v>
      </c>
      <c r="AE7" s="102">
        <f>IFERROR(GETPIVOTDATA("Sum of Qty",'[1]DATA LAST MONTH IQOO'!$A$6,"ID Store",$C7),0)</f>
        <v>22</v>
      </c>
      <c r="AF7" s="118">
        <f>IFERROR(GETPIVOTDATA("Sum of Qty",[1]IQOO!$A$6,"ID Store",$C7),0)</f>
        <v>2</v>
      </c>
      <c r="AG7" s="105">
        <f t="shared" si="17"/>
        <v>-20</v>
      </c>
      <c r="AH7" s="119">
        <f t="shared" si="18"/>
        <v>-0.909090909090909</v>
      </c>
      <c r="AI7" s="120">
        <f>IFERROR(GETPIVOTDATA("Sum of Qty",'[1]DATA LAST MONTH DEVICE'!$A$6,"ID Store",$C7),0)</f>
        <v>287</v>
      </c>
      <c r="AJ7" s="121">
        <f t="shared" si="19"/>
        <v>67</v>
      </c>
      <c r="AK7" s="105">
        <f t="shared" si="20"/>
        <v>-220</v>
      </c>
      <c r="AL7" s="107">
        <f t="shared" si="21"/>
        <v>-0.766550522648084</v>
      </c>
      <c r="AM7" s="106">
        <f>IFERROR(GETPIVOTDATA("Sum of Qty",'[1]Store 3mio+ last month'!$A$6,"ID Store",$C7),0)</f>
        <v>287</v>
      </c>
      <c r="AN7" s="105">
        <f t="shared" si="22"/>
        <v>335</v>
      </c>
      <c r="AO7" s="105">
        <f t="shared" si="23"/>
        <v>48</v>
      </c>
      <c r="AP7" s="107">
        <f t="shared" si="24"/>
        <v>0.167247386759582</v>
      </c>
      <c r="AQ7" s="106">
        <f>IFERROR(GETPIVOTDATA("Sum of Qty",'[1]DATA LAST MONTH DEVICE'!$A$6,"ID Store",$C7,"Segment Price","3mio&gt;"),0)</f>
        <v>79</v>
      </c>
      <c r="AR7" s="108">
        <f t="shared" si="25"/>
        <v>13</v>
      </c>
      <c r="AS7" s="108">
        <f t="shared" si="26"/>
        <v>-66</v>
      </c>
      <c r="AT7" s="107">
        <f t="shared" si="27"/>
        <v>-0.835443037974684</v>
      </c>
      <c r="AU7" s="122">
        <f>IFERROR(GETPIVOTDATA("Sum of SRP",'[1]DATA LAST MONTH DEVICE'!$A$6,"ID Store",$C7),0)</f>
        <v>957513000</v>
      </c>
      <c r="AV7" s="122">
        <f t="shared" si="28"/>
        <v>189133000</v>
      </c>
      <c r="AW7" s="122">
        <f t="shared" si="29"/>
        <v>-768380000</v>
      </c>
      <c r="AX7" s="107">
        <f t="shared" si="30"/>
        <v>-0.802474744468221</v>
      </c>
      <c r="AY7" s="122">
        <f>IFERROR(VLOOKUP(C7,'[1]DATA SALES LAST MONTH'!A:E,5,0),0)</f>
        <v>3336282.22996516</v>
      </c>
      <c r="AZ7" s="109">
        <f t="shared" si="31"/>
        <v>2822880.59701493</v>
      </c>
      <c r="BA7" s="109">
        <f t="shared" si="32"/>
        <v>-513401.632950231</v>
      </c>
      <c r="BB7" s="119">
        <f t="shared" si="33"/>
        <v>-0.153884353169844</v>
      </c>
      <c r="BC7" s="102">
        <f>IFERROR(VLOOKUP(C7,'[1]TARGET THIS MONTH'!C:U,15,0),0)</f>
        <v>26</v>
      </c>
      <c r="BD7" s="123">
        <f>IFERROR(GETPIVOTDATA("Sum of Qty",[1]ACC!$A$5,"ID Store",$C7),0)</f>
        <v>12</v>
      </c>
      <c r="BE7" s="107">
        <f t="shared" si="34"/>
        <v>0.461538461538462</v>
      </c>
      <c r="BF7" s="124">
        <f>IFERROR(VLOOKUP(C7,'[1]TARGET THIS MONTH'!C:U,16,0),0)</f>
        <v>4810000</v>
      </c>
      <c r="BG7" s="124">
        <f>IFERROR(GETPIVOTDATA("Sum of SRP",'[1]Insurance by Store'!$A$5,"ID Store",$C7,"Product Type","Qoala"),0)</f>
        <v>1590000</v>
      </c>
      <c r="BH7" s="107">
        <f t="shared" si="35"/>
        <v>0.330561330561331</v>
      </c>
      <c r="BI7" s="124">
        <f>IFERROR(VLOOKUP(C7,'[1]TARGET THIS MONTH'!C:U,17,0),0)</f>
        <v>962000</v>
      </c>
      <c r="BJ7" s="124">
        <f>IFERROR(GETPIVOTDATA("Sum of SRP",'[1]Insurance by Store'!$A$5,"ID Store",$C7,"Product Type","Vivo Care"),0)</f>
        <v>0</v>
      </c>
      <c r="BK7" s="107">
        <f t="shared" si="36"/>
        <v>0</v>
      </c>
      <c r="BL7" s="105">
        <f>IFERROR(VLOOKUP(C7,'[1]TARGET THIS MONTH'!C:U,18,0),0)</f>
        <v>7.8</v>
      </c>
      <c r="BM7" s="106">
        <f>IFERROR(GETPIVOTDATA("Sum of Qty",'[1]Operator by Store'!$A$5,"ID Store",$C7,"Product Type","Indosat"),0)</f>
        <v>0</v>
      </c>
      <c r="BN7" s="107">
        <f t="shared" si="37"/>
        <v>0</v>
      </c>
      <c r="BO7" s="105">
        <f>VLOOKUP(C7,'[1]TARGET THIS MONTH'!C:U,19,0)</f>
        <v>78</v>
      </c>
      <c r="BP7" s="106">
        <f>IFERROR(GETPIVOTDATA("Sum of Qty",'[1]Operator by Store'!$A$5,"ID Store",$C7,"Product Type","Telkomsel"),0)</f>
        <v>0</v>
      </c>
      <c r="BQ7" s="125">
        <f t="shared" si="38"/>
        <v>0</v>
      </c>
    </row>
    <row r="8" spans="1:69">
      <c r="A8" s="96">
        <v>4</v>
      </c>
      <c r="B8" s="97" t="s">
        <v>40</v>
      </c>
      <c r="C8" s="98">
        <v>6010703</v>
      </c>
      <c r="D8" s="99" t="s">
        <v>46</v>
      </c>
      <c r="E8" s="100" t="s">
        <v>47</v>
      </c>
      <c r="F8" s="101">
        <v>3</v>
      </c>
      <c r="G8" s="102">
        <f>IFERROR(VLOOKUP(C8,'[1]TARGET THIS MONTH'!C:E,3,0),0)</f>
        <v>120</v>
      </c>
      <c r="H8" s="103">
        <f>IFERROR(VLOOKUP(C8,'[1]TARGET THIS MONTH'!C:M,11,0),0)</f>
        <v>420000000</v>
      </c>
      <c r="I8" s="102">
        <f>IFERROR(GETPIVOTDATA("Sum of Qty",'[1]DEVICE &amp; VALUE'!$A$6,"ID Store",$C8),0)</f>
        <v>30</v>
      </c>
      <c r="J8" s="104">
        <f t="shared" si="0"/>
        <v>0.25</v>
      </c>
      <c r="K8" s="105">
        <f t="shared" si="1"/>
        <v>-90</v>
      </c>
      <c r="L8" s="106">
        <f>IFERROR(GETPIVOTDATA("Sum of Qty",[1]PF!$A$5,"ID Store",$C8),0)</f>
        <v>4</v>
      </c>
      <c r="M8" s="106">
        <f>IFERROR(GETPIVOTDATA("Sum of Qty",'[1]DEVICE &amp; VALUE'!$A$6,"ID Store",$C8,"Segment Price","3mio&gt;"),0)</f>
        <v>4</v>
      </c>
      <c r="N8" s="107">
        <f t="shared" si="2"/>
        <v>0.133333333333333</v>
      </c>
      <c r="O8" s="108">
        <f>IFERROR(GETPIVOTDATA("Sum of Qty",[1]IQOO!$A$6,"ID Store",$C8),0)</f>
        <v>0</v>
      </c>
      <c r="P8" s="107">
        <f t="shared" si="3"/>
        <v>0</v>
      </c>
      <c r="Q8" s="107">
        <f t="shared" si="4"/>
        <v>0.133333333333333</v>
      </c>
      <c r="R8" s="109">
        <f>IFERROR(GETPIVOTDATA("Sum of SRP",'[1]DEVICE &amp; VALUE'!$A$6,"ID Store",$C8),0)</f>
        <v>74270000</v>
      </c>
      <c r="S8" s="107">
        <f t="shared" si="5"/>
        <v>0.176833333333333</v>
      </c>
      <c r="T8" s="110">
        <f t="shared" si="6"/>
        <v>-345730000</v>
      </c>
      <c r="U8" s="111">
        <f t="shared" si="7"/>
        <v>150</v>
      </c>
      <c r="V8" s="112">
        <f t="shared" si="8"/>
        <v>1.25</v>
      </c>
      <c r="W8" s="113">
        <f t="shared" si="9"/>
        <v>30</v>
      </c>
      <c r="X8" s="113">
        <f t="shared" si="10"/>
        <v>20</v>
      </c>
      <c r="Y8" s="113">
        <f t="shared" si="11"/>
        <v>-100</v>
      </c>
      <c r="Z8" s="114">
        <f t="shared" si="12"/>
        <v>371350000</v>
      </c>
      <c r="AA8" s="114">
        <f t="shared" si="13"/>
        <v>-48650000</v>
      </c>
      <c r="AB8" s="115">
        <f t="shared" si="14"/>
        <v>0.884166666666667</v>
      </c>
      <c r="AC8" s="116">
        <f t="shared" si="15"/>
        <v>3.75</v>
      </c>
      <c r="AD8" s="117">
        <f t="shared" si="16"/>
        <v>14405416.6666667</v>
      </c>
      <c r="AE8" s="102">
        <f>IFERROR(GETPIVOTDATA("Sum of Qty",'[1]DATA LAST MONTH IQOO'!$A$6,"ID Store",$C8),0)</f>
        <v>11</v>
      </c>
      <c r="AF8" s="118">
        <f>IFERROR(GETPIVOTDATA("Sum of Qty",[1]IQOO!$A$6,"ID Store",$C8),0)</f>
        <v>0</v>
      </c>
      <c r="AG8" s="105">
        <f t="shared" si="17"/>
        <v>-11</v>
      </c>
      <c r="AH8" s="119">
        <f t="shared" si="18"/>
        <v>-1</v>
      </c>
      <c r="AI8" s="120">
        <f>IFERROR(GETPIVOTDATA("Sum of Qty",'[1]DATA LAST MONTH DEVICE'!$A$6,"ID Store",$C8),0)</f>
        <v>103</v>
      </c>
      <c r="AJ8" s="121">
        <f t="shared" si="19"/>
        <v>30</v>
      </c>
      <c r="AK8" s="105">
        <f t="shared" si="20"/>
        <v>-73</v>
      </c>
      <c r="AL8" s="107">
        <f t="shared" si="21"/>
        <v>-0.70873786407767</v>
      </c>
      <c r="AM8" s="106">
        <f>IFERROR(GETPIVOTDATA("Sum of Qty",'[1]Store 3mio+ last month'!$A$6,"ID Store",$C8),0)</f>
        <v>103</v>
      </c>
      <c r="AN8" s="105">
        <f t="shared" si="22"/>
        <v>150</v>
      </c>
      <c r="AO8" s="105">
        <f t="shared" si="23"/>
        <v>47</v>
      </c>
      <c r="AP8" s="107">
        <f t="shared" si="24"/>
        <v>0.456310679611651</v>
      </c>
      <c r="AQ8" s="106">
        <f>IFERROR(GETPIVOTDATA("Sum of Qty",'[1]DATA LAST MONTH DEVICE'!$A$6,"ID Store",$C8,"Segment Price","3mio&gt;"),0)</f>
        <v>25</v>
      </c>
      <c r="AR8" s="108">
        <f t="shared" si="25"/>
        <v>4</v>
      </c>
      <c r="AS8" s="108">
        <f t="shared" si="26"/>
        <v>-21</v>
      </c>
      <c r="AT8" s="107">
        <f t="shared" si="27"/>
        <v>-0.84</v>
      </c>
      <c r="AU8" s="122">
        <f>IFERROR(GETPIVOTDATA("Sum of SRP",'[1]DATA LAST MONTH DEVICE'!$A$6,"ID Store",$C8),0)</f>
        <v>337397000</v>
      </c>
      <c r="AV8" s="122">
        <f t="shared" si="28"/>
        <v>74270000</v>
      </c>
      <c r="AW8" s="122">
        <f t="shared" si="29"/>
        <v>-263127000</v>
      </c>
      <c r="AX8" s="107">
        <f t="shared" si="30"/>
        <v>-0.779873561412816</v>
      </c>
      <c r="AY8" s="122">
        <f>IFERROR(VLOOKUP(C8,'[1]DATA SALES LAST MONTH'!A:E,5,0),0)</f>
        <v>3275699.02912621</v>
      </c>
      <c r="AZ8" s="109">
        <f t="shared" si="31"/>
        <v>2475666.66666667</v>
      </c>
      <c r="BA8" s="109">
        <f t="shared" si="32"/>
        <v>-800032.362459547</v>
      </c>
      <c r="BB8" s="119">
        <f t="shared" si="33"/>
        <v>-0.244232560850669</v>
      </c>
      <c r="BC8" s="102">
        <f>IFERROR(VLOOKUP(C8,'[1]TARGET THIS MONTH'!C:U,15,0),0)</f>
        <v>12</v>
      </c>
      <c r="BD8" s="123">
        <f>IFERROR(GETPIVOTDATA("Sum of Qty",[1]ACC!$A$5,"ID Store",$C8),0)</f>
        <v>5</v>
      </c>
      <c r="BE8" s="107">
        <f t="shared" si="34"/>
        <v>0.416666666666667</v>
      </c>
      <c r="BF8" s="124">
        <f>IFERROR(VLOOKUP(C8,'[1]TARGET THIS MONTH'!C:U,16,0),0)</f>
        <v>2100000</v>
      </c>
      <c r="BG8" s="124">
        <f>IFERROR(GETPIVOTDATA("Sum of SRP",'[1]Insurance by Store'!$A$5,"ID Store",$C8,"Product Type","Qoala"),0)</f>
        <v>477000</v>
      </c>
      <c r="BH8" s="107">
        <f t="shared" si="35"/>
        <v>0.227142857142857</v>
      </c>
      <c r="BI8" s="124">
        <f>IFERROR(VLOOKUP(C8,'[1]TARGET THIS MONTH'!C:U,17,0),0)</f>
        <v>420000</v>
      </c>
      <c r="BJ8" s="124">
        <f>IFERROR(GETPIVOTDATA("Sum of SRP",'[1]Insurance by Store'!$A$5,"ID Store",$C8,"Product Type","Vivo Care"),0)</f>
        <v>0</v>
      </c>
      <c r="BK8" s="107">
        <f t="shared" si="36"/>
        <v>0</v>
      </c>
      <c r="BL8" s="105">
        <f>IFERROR(VLOOKUP(C8,'[1]TARGET THIS MONTH'!C:U,18,0),0)</f>
        <v>3.6</v>
      </c>
      <c r="BM8" s="106">
        <f>IFERROR(GETPIVOTDATA("Sum of Qty",'[1]Operator by Store'!$A$5,"ID Store",$C8,"Product Type","Indosat"),0)</f>
        <v>1</v>
      </c>
      <c r="BN8" s="107">
        <f t="shared" si="37"/>
        <v>0.277777777777778</v>
      </c>
      <c r="BO8" s="105">
        <f>VLOOKUP(C8,'[1]TARGET THIS MONTH'!C:U,19,0)</f>
        <v>36</v>
      </c>
      <c r="BP8" s="106">
        <f>IFERROR(GETPIVOTDATA("Sum of Qty",'[1]Operator by Store'!$A$5,"ID Store",$C8,"Product Type","Telkomsel"),0)</f>
        <v>0</v>
      </c>
      <c r="BQ8" s="125">
        <f t="shared" si="38"/>
        <v>0</v>
      </c>
    </row>
    <row r="9" spans="1:69">
      <c r="A9" s="96">
        <v>5</v>
      </c>
      <c r="B9" s="97" t="s">
        <v>40</v>
      </c>
      <c r="C9" s="98">
        <v>6010709</v>
      </c>
      <c r="D9" s="99" t="s">
        <v>48</v>
      </c>
      <c r="E9" s="100" t="s">
        <v>47</v>
      </c>
      <c r="F9" s="101">
        <v>7</v>
      </c>
      <c r="G9" s="102">
        <f>IFERROR(VLOOKUP(C9,'[1]TARGET THIS MONTH'!C:E,3,0),0)</f>
        <v>320</v>
      </c>
      <c r="H9" s="103">
        <f>IFERROR(VLOOKUP(C9,'[1]TARGET THIS MONTH'!C:M,11,0),0)</f>
        <v>1120000000</v>
      </c>
      <c r="I9" s="102">
        <f>IFERROR(GETPIVOTDATA("Sum of Qty",'[1]DEVICE &amp; VALUE'!$A$6,"ID Store",$C9),0)</f>
        <v>78</v>
      </c>
      <c r="J9" s="104">
        <f t="shared" si="0"/>
        <v>0.24375</v>
      </c>
      <c r="K9" s="105">
        <f t="shared" si="1"/>
        <v>-242</v>
      </c>
      <c r="L9" s="106">
        <f>IFERROR(GETPIVOTDATA("Sum of Qty",[1]PF!$A$5,"ID Store",$C9),0)</f>
        <v>14</v>
      </c>
      <c r="M9" s="106">
        <f>IFERROR(GETPIVOTDATA("Sum of Qty",'[1]DEVICE &amp; VALUE'!$A$6,"ID Store",$C9,"Segment Price","3mio&gt;"),0)</f>
        <v>21</v>
      </c>
      <c r="N9" s="107">
        <f t="shared" si="2"/>
        <v>0.269230769230769</v>
      </c>
      <c r="O9" s="108">
        <f>IFERROR(GETPIVOTDATA("Sum of Qty",[1]IQOO!$A$6,"ID Store",$C9),0)</f>
        <v>1</v>
      </c>
      <c r="P9" s="107">
        <f t="shared" si="3"/>
        <v>0.0128205128205128</v>
      </c>
      <c r="Q9" s="107">
        <f t="shared" si="4"/>
        <v>0.269230769230769</v>
      </c>
      <c r="R9" s="109">
        <f>IFERROR(GETPIVOTDATA("Sum of SRP",'[1]DEVICE &amp; VALUE'!$A$6,"ID Store",$C9),0)</f>
        <v>238722000</v>
      </c>
      <c r="S9" s="107">
        <f t="shared" si="5"/>
        <v>0.213144642857143</v>
      </c>
      <c r="T9" s="110">
        <f t="shared" si="6"/>
        <v>-881278000</v>
      </c>
      <c r="U9" s="111">
        <f t="shared" si="7"/>
        <v>390</v>
      </c>
      <c r="V9" s="112">
        <f t="shared" si="8"/>
        <v>1.21875</v>
      </c>
      <c r="W9" s="113">
        <f t="shared" si="9"/>
        <v>70</v>
      </c>
      <c r="X9" s="113">
        <f t="shared" si="10"/>
        <v>105</v>
      </c>
      <c r="Y9" s="113">
        <f t="shared" si="11"/>
        <v>-215</v>
      </c>
      <c r="Z9" s="114">
        <f t="shared" si="12"/>
        <v>1193610000</v>
      </c>
      <c r="AA9" s="114">
        <f t="shared" si="13"/>
        <v>73610000</v>
      </c>
      <c r="AB9" s="115">
        <f t="shared" si="14"/>
        <v>1.06572321428571</v>
      </c>
      <c r="AC9" s="116">
        <f t="shared" si="15"/>
        <v>10.0833333333333</v>
      </c>
      <c r="AD9" s="117">
        <f t="shared" si="16"/>
        <v>36719916.6666667</v>
      </c>
      <c r="AE9" s="102">
        <f>IFERROR(GETPIVOTDATA("Sum of Qty",'[1]DATA LAST MONTH IQOO'!$A$6,"ID Store",$C9),0)</f>
        <v>20</v>
      </c>
      <c r="AF9" s="118">
        <f>IFERROR(GETPIVOTDATA("Sum of Qty",[1]IQOO!$A$6,"ID Store",$C9),0)</f>
        <v>1</v>
      </c>
      <c r="AG9" s="105">
        <f t="shared" si="17"/>
        <v>-19</v>
      </c>
      <c r="AH9" s="119">
        <f t="shared" si="18"/>
        <v>-0.95</v>
      </c>
      <c r="AI9" s="120">
        <f>IFERROR(GETPIVOTDATA("Sum of Qty",'[1]DATA LAST MONTH DEVICE'!$A$6,"ID Store",$C9),0)</f>
        <v>295</v>
      </c>
      <c r="AJ9" s="121">
        <f t="shared" si="19"/>
        <v>78</v>
      </c>
      <c r="AK9" s="105">
        <f t="shared" si="20"/>
        <v>-217</v>
      </c>
      <c r="AL9" s="107">
        <f t="shared" si="21"/>
        <v>-0.735593220338983</v>
      </c>
      <c r="AM9" s="106">
        <f>IFERROR(GETPIVOTDATA("Sum of Qty",'[1]Store 3mio+ last month'!$A$6,"ID Store",$C9),0)</f>
        <v>295</v>
      </c>
      <c r="AN9" s="105">
        <f t="shared" si="22"/>
        <v>390</v>
      </c>
      <c r="AO9" s="105">
        <f t="shared" si="23"/>
        <v>95</v>
      </c>
      <c r="AP9" s="107">
        <f t="shared" si="24"/>
        <v>0.322033898305085</v>
      </c>
      <c r="AQ9" s="106">
        <f>IFERROR(GETPIVOTDATA("Sum of Qty",'[1]DATA LAST MONTH DEVICE'!$A$6,"ID Store",$C9,"Segment Price","3mio&gt;"),0)</f>
        <v>67</v>
      </c>
      <c r="AR9" s="108">
        <f t="shared" si="25"/>
        <v>21</v>
      </c>
      <c r="AS9" s="108">
        <f t="shared" si="26"/>
        <v>-46</v>
      </c>
      <c r="AT9" s="107">
        <f t="shared" si="27"/>
        <v>-0.686567164179104</v>
      </c>
      <c r="AU9" s="122">
        <f>IFERROR(GETPIVOTDATA("Sum of SRP",'[1]DATA LAST MONTH DEVICE'!$A$6,"ID Store",$C9),0)</f>
        <v>933505000</v>
      </c>
      <c r="AV9" s="122">
        <f t="shared" si="28"/>
        <v>238722000</v>
      </c>
      <c r="AW9" s="122">
        <f t="shared" si="29"/>
        <v>-694783000</v>
      </c>
      <c r="AX9" s="107">
        <f t="shared" si="30"/>
        <v>-0.744273463987874</v>
      </c>
      <c r="AY9" s="122">
        <f>IFERROR(VLOOKUP(C9,'[1]DATA SALES LAST MONTH'!A:E,5,0),0)</f>
        <v>3164423.72881356</v>
      </c>
      <c r="AZ9" s="109">
        <f t="shared" si="31"/>
        <v>3060538.46153846</v>
      </c>
      <c r="BA9" s="109">
        <f t="shared" si="32"/>
        <v>-103885.267275098</v>
      </c>
      <c r="BB9" s="119">
        <f t="shared" si="33"/>
        <v>-0.0328291266208042</v>
      </c>
      <c r="BC9" s="102">
        <f>IFERROR(VLOOKUP(C9,'[1]TARGET THIS MONTH'!C:U,15,0),0)</f>
        <v>32</v>
      </c>
      <c r="BD9" s="123">
        <f>IFERROR(GETPIVOTDATA("Sum of Qty",[1]ACC!$A$5,"ID Store",$C9),0)</f>
        <v>17</v>
      </c>
      <c r="BE9" s="107">
        <f t="shared" si="34"/>
        <v>0.53125</v>
      </c>
      <c r="BF9" s="124">
        <f>IFERROR(VLOOKUP(C9,'[1]TARGET THIS MONTH'!C:U,16,0),0)</f>
        <v>5600000</v>
      </c>
      <c r="BG9" s="124">
        <f>IFERROR(GETPIVOTDATA("Sum of SRP",'[1]Insurance by Store'!$A$5,"ID Store",$C9,"Product Type","Qoala"),0)</f>
        <v>954000</v>
      </c>
      <c r="BH9" s="107">
        <f t="shared" si="35"/>
        <v>0.170357142857143</v>
      </c>
      <c r="BI9" s="124">
        <f>IFERROR(VLOOKUP(C9,'[1]TARGET THIS MONTH'!C:U,17,0),0)</f>
        <v>1120000</v>
      </c>
      <c r="BJ9" s="124">
        <f>IFERROR(GETPIVOTDATA("Sum of SRP",'[1]Insurance by Store'!$A$5,"ID Store",$C9,"Product Type","Vivo Care"),0)</f>
        <v>0</v>
      </c>
      <c r="BK9" s="107">
        <f t="shared" si="36"/>
        <v>0</v>
      </c>
      <c r="BL9" s="105">
        <f>IFERROR(VLOOKUP(C9,'[1]TARGET THIS MONTH'!C:U,18,0),0)</f>
        <v>9.6</v>
      </c>
      <c r="BM9" s="106">
        <f>IFERROR(GETPIVOTDATA("Sum of Qty",'[1]Operator by Store'!$A$5,"ID Store",$C9,"Product Type","Indosat"),0)</f>
        <v>2</v>
      </c>
      <c r="BN9" s="107">
        <f t="shared" si="37"/>
        <v>0.208333333333333</v>
      </c>
      <c r="BO9" s="105">
        <f>VLOOKUP(C9,'[1]TARGET THIS MONTH'!C:U,19,0)</f>
        <v>96</v>
      </c>
      <c r="BP9" s="106">
        <f>IFERROR(GETPIVOTDATA("Sum of Qty",'[1]Operator by Store'!$A$5,"ID Store",$C9,"Product Type","Telkomsel"),0)</f>
        <v>0</v>
      </c>
      <c r="BQ9" s="125">
        <f t="shared" si="38"/>
        <v>0</v>
      </c>
    </row>
    <row r="10" spans="1:69">
      <c r="A10" s="96">
        <v>6</v>
      </c>
      <c r="B10" s="97" t="s">
        <v>40</v>
      </c>
      <c r="C10" s="98">
        <v>6010710</v>
      </c>
      <c r="D10" s="99" t="s">
        <v>49</v>
      </c>
      <c r="E10" s="126" t="s">
        <v>47</v>
      </c>
      <c r="F10" s="101">
        <v>3</v>
      </c>
      <c r="G10" s="102">
        <f>IFERROR(VLOOKUP(C10,'[1]TARGET THIS MONTH'!C:E,3,0),0)</f>
        <v>110</v>
      </c>
      <c r="H10" s="103">
        <f>IFERROR(VLOOKUP(C10,'[1]TARGET THIS MONTH'!C:M,11,0),0)</f>
        <v>385000000</v>
      </c>
      <c r="I10" s="102">
        <f>IFERROR(GETPIVOTDATA("Sum of Qty",'[1]DEVICE &amp; VALUE'!$A$6,"ID Store",$C10),0)</f>
        <v>34</v>
      </c>
      <c r="J10" s="104">
        <f t="shared" si="0"/>
        <v>0.309090909090909</v>
      </c>
      <c r="K10" s="105">
        <f t="shared" si="1"/>
        <v>-76</v>
      </c>
      <c r="L10" s="106">
        <f>IFERROR(GETPIVOTDATA("Sum of Qty",[1]PF!$A$5,"ID Store",$C10),0)</f>
        <v>3</v>
      </c>
      <c r="M10" s="106">
        <f>IFERROR(GETPIVOTDATA("Sum of Qty",'[1]DEVICE &amp; VALUE'!$A$6,"ID Store",$C10,"Segment Price","3mio&gt;"),0)</f>
        <v>3</v>
      </c>
      <c r="N10" s="107">
        <f t="shared" si="2"/>
        <v>0.0882352941176471</v>
      </c>
      <c r="O10" s="108">
        <f>IFERROR(GETPIVOTDATA("Sum of Qty",[1]IQOO!$A$6,"ID Store",$C10),0)</f>
        <v>0</v>
      </c>
      <c r="P10" s="107">
        <f t="shared" si="3"/>
        <v>0</v>
      </c>
      <c r="Q10" s="107">
        <f t="shared" si="4"/>
        <v>0.0882352941176471</v>
      </c>
      <c r="R10" s="109">
        <f>IFERROR(GETPIVOTDATA("Sum of SRP",'[1]DEVICE &amp; VALUE'!$A$6,"ID Store",$C10),0)</f>
        <v>82566000</v>
      </c>
      <c r="S10" s="107">
        <f t="shared" si="5"/>
        <v>0.214457142857143</v>
      </c>
      <c r="T10" s="110">
        <f t="shared" si="6"/>
        <v>-302434000</v>
      </c>
      <c r="U10" s="111">
        <f t="shared" si="7"/>
        <v>170</v>
      </c>
      <c r="V10" s="112">
        <f t="shared" si="8"/>
        <v>1.54545454545455</v>
      </c>
      <c r="W10" s="113">
        <f t="shared" si="9"/>
        <v>60</v>
      </c>
      <c r="X10" s="113">
        <f t="shared" si="10"/>
        <v>15</v>
      </c>
      <c r="Y10" s="113">
        <f t="shared" si="11"/>
        <v>-95</v>
      </c>
      <c r="Z10" s="114">
        <f t="shared" si="12"/>
        <v>412830000</v>
      </c>
      <c r="AA10" s="114">
        <f t="shared" si="13"/>
        <v>27830000</v>
      </c>
      <c r="AB10" s="115">
        <f t="shared" si="14"/>
        <v>1.07228571428571</v>
      </c>
      <c r="AC10" s="116">
        <f t="shared" si="15"/>
        <v>3.16666666666667</v>
      </c>
      <c r="AD10" s="117">
        <f t="shared" si="16"/>
        <v>12601416.6666667</v>
      </c>
      <c r="AE10" s="102">
        <f>IFERROR(GETPIVOTDATA("Sum of Qty",'[1]DATA LAST MONTH IQOO'!$A$6,"ID Store",$C10),0)</f>
        <v>7</v>
      </c>
      <c r="AF10" s="118">
        <f>IFERROR(GETPIVOTDATA("Sum of Qty",[1]IQOO!$A$6,"ID Store",$C10),0)</f>
        <v>0</v>
      </c>
      <c r="AG10" s="105">
        <f t="shared" si="17"/>
        <v>-7</v>
      </c>
      <c r="AH10" s="119">
        <f t="shared" si="18"/>
        <v>-1</v>
      </c>
      <c r="AI10" s="120">
        <f>IFERROR(GETPIVOTDATA("Sum of Qty",'[1]DATA LAST MONTH DEVICE'!$A$6,"ID Store",$C10),0)</f>
        <v>90</v>
      </c>
      <c r="AJ10" s="121">
        <f t="shared" si="19"/>
        <v>34</v>
      </c>
      <c r="AK10" s="105">
        <f t="shared" si="20"/>
        <v>-56</v>
      </c>
      <c r="AL10" s="107">
        <f t="shared" si="21"/>
        <v>-0.622222222222222</v>
      </c>
      <c r="AM10" s="106">
        <f>IFERROR(GETPIVOTDATA("Sum of Qty",'[1]Store 3mio+ last month'!$A$6,"ID Store",$C10),0)</f>
        <v>90</v>
      </c>
      <c r="AN10" s="105">
        <f t="shared" si="22"/>
        <v>170</v>
      </c>
      <c r="AO10" s="105">
        <f t="shared" si="23"/>
        <v>80</v>
      </c>
      <c r="AP10" s="107">
        <f t="shared" si="24"/>
        <v>0.888888888888889</v>
      </c>
      <c r="AQ10" s="106">
        <f>IFERROR(GETPIVOTDATA("Sum of Qty",'[1]DATA LAST MONTH DEVICE'!$A$6,"ID Store",$C10,"Segment Price","3mio&gt;"),0)</f>
        <v>26</v>
      </c>
      <c r="AR10" s="108">
        <f t="shared" si="25"/>
        <v>3</v>
      </c>
      <c r="AS10" s="108">
        <f t="shared" si="26"/>
        <v>-23</v>
      </c>
      <c r="AT10" s="107">
        <f t="shared" si="27"/>
        <v>-0.884615384615385</v>
      </c>
      <c r="AU10" s="122">
        <f>IFERROR(GETPIVOTDATA("Sum of SRP",'[1]DATA LAST MONTH DEVICE'!$A$6,"ID Store",$C10),0)</f>
        <v>296710000</v>
      </c>
      <c r="AV10" s="122">
        <f t="shared" si="28"/>
        <v>82566000</v>
      </c>
      <c r="AW10" s="122">
        <f t="shared" si="29"/>
        <v>-214144000</v>
      </c>
      <c r="AX10" s="107">
        <f t="shared" si="30"/>
        <v>-0.721728286879445</v>
      </c>
      <c r="AY10" s="122">
        <f>IFERROR(VLOOKUP(C10,'[1]DATA SALES LAST MONTH'!A:E,5,0),0)</f>
        <v>3296777.77777778</v>
      </c>
      <c r="AZ10" s="109">
        <f t="shared" si="31"/>
        <v>2428411.76470588</v>
      </c>
      <c r="BA10" s="109">
        <f t="shared" si="32"/>
        <v>-868366.013071896</v>
      </c>
      <c r="BB10" s="119">
        <f t="shared" si="33"/>
        <v>-0.263398406445589</v>
      </c>
      <c r="BC10" s="102">
        <f>IFERROR(VLOOKUP(C10,'[1]TARGET THIS MONTH'!C:U,15,0),0)</f>
        <v>11</v>
      </c>
      <c r="BD10" s="123">
        <f>IFERROR(GETPIVOTDATA("Sum of Qty",[1]ACC!$A$5,"ID Store",$C10),0)</f>
        <v>6</v>
      </c>
      <c r="BE10" s="107">
        <f t="shared" si="34"/>
        <v>0.545454545454545</v>
      </c>
      <c r="BF10" s="124">
        <f>IFERROR(VLOOKUP(C10,'[1]TARGET THIS MONTH'!C:U,16,0),0)</f>
        <v>1925000</v>
      </c>
      <c r="BG10" s="124">
        <f>IFERROR(GETPIVOTDATA("Sum of SRP",'[1]Insurance by Store'!$A$5,"ID Store",$C10,"Product Type","Qoala"),0)</f>
        <v>636000</v>
      </c>
      <c r="BH10" s="107">
        <f t="shared" si="35"/>
        <v>0.33038961038961</v>
      </c>
      <c r="BI10" s="124">
        <f>IFERROR(VLOOKUP(C10,'[1]TARGET THIS MONTH'!C:U,17,0),0)</f>
        <v>385000</v>
      </c>
      <c r="BJ10" s="124">
        <f>IFERROR(GETPIVOTDATA("Sum of SRP",'[1]Insurance by Store'!$A$5,"ID Store",$C10,"Product Type","Vivo Care"),0)</f>
        <v>0</v>
      </c>
      <c r="BK10" s="107">
        <f t="shared" si="36"/>
        <v>0</v>
      </c>
      <c r="BL10" s="105">
        <f>IFERROR(VLOOKUP(C10,'[1]TARGET THIS MONTH'!C:U,18,0),0)</f>
        <v>3.3</v>
      </c>
      <c r="BM10" s="106">
        <f>IFERROR(GETPIVOTDATA("Sum of Qty",'[1]Operator by Store'!$A$5,"ID Store",$C10,"Product Type","Indosat"),0)</f>
        <v>0</v>
      </c>
      <c r="BN10" s="107">
        <f t="shared" si="37"/>
        <v>0</v>
      </c>
      <c r="BO10" s="105">
        <f>VLOOKUP(C10,'[1]TARGET THIS MONTH'!C:U,19,0)</f>
        <v>33</v>
      </c>
      <c r="BP10" s="106">
        <f>IFERROR(GETPIVOTDATA("Sum of Qty",'[1]Operator by Store'!$A$5,"ID Store",$C10,"Product Type","Telkomsel"),0)</f>
        <v>0</v>
      </c>
      <c r="BQ10" s="125">
        <f t="shared" si="38"/>
        <v>0</v>
      </c>
    </row>
    <row r="11" spans="1:69">
      <c r="A11" s="96">
        <v>7</v>
      </c>
      <c r="B11" s="97" t="s">
        <v>40</v>
      </c>
      <c r="C11" s="98">
        <v>6020711</v>
      </c>
      <c r="D11" s="99" t="s">
        <v>50</v>
      </c>
      <c r="E11" s="127" t="s">
        <v>51</v>
      </c>
      <c r="F11" s="101">
        <v>3</v>
      </c>
      <c r="G11" s="102">
        <f>IFERROR(VLOOKUP(C11,'[1]TARGET THIS MONTH'!C:E,3,0),0)</f>
        <v>120</v>
      </c>
      <c r="H11" s="103">
        <f>IFERROR(VLOOKUP(C11,'[1]TARGET THIS MONTH'!C:M,11,0),0)</f>
        <v>840000000</v>
      </c>
      <c r="I11" s="102">
        <f>IFERROR(GETPIVOTDATA("Sum of Qty",'[1]DEVICE &amp; VALUE'!$A$6,"ID Store",$C11),0)</f>
        <v>19</v>
      </c>
      <c r="J11" s="104">
        <f t="shared" si="0"/>
        <v>0.158333333333333</v>
      </c>
      <c r="K11" s="105">
        <f t="shared" si="1"/>
        <v>-101</v>
      </c>
      <c r="L11" s="106">
        <f>IFERROR(GETPIVOTDATA("Sum of Qty",[1]PF!$A$5,"ID Store",$C11),0)</f>
        <v>3</v>
      </c>
      <c r="M11" s="106">
        <f>IFERROR(GETPIVOTDATA("Sum of Qty",'[1]DEVICE &amp; VALUE'!$A$6,"ID Store",$C11,"Segment Price","3mio&gt;"),0)</f>
        <v>8</v>
      </c>
      <c r="N11" s="107">
        <f t="shared" si="2"/>
        <v>0.421052631578947</v>
      </c>
      <c r="O11" s="108">
        <f>IFERROR(GETPIVOTDATA("Sum of Qty",[1]IQOO!$A$6,"ID Store",$C11),0)</f>
        <v>0</v>
      </c>
      <c r="P11" s="107">
        <f t="shared" si="3"/>
        <v>0</v>
      </c>
      <c r="Q11" s="107">
        <f t="shared" si="4"/>
        <v>0.421052631578947</v>
      </c>
      <c r="R11" s="109">
        <f>IFERROR(GETPIVOTDATA("Sum of SRP",'[1]DEVICE &amp; VALUE'!$A$6,"ID Store",$C11),0)</f>
        <v>103181000</v>
      </c>
      <c r="S11" s="107">
        <f t="shared" si="5"/>
        <v>0.122834523809524</v>
      </c>
      <c r="T11" s="110">
        <f t="shared" si="6"/>
        <v>-736819000</v>
      </c>
      <c r="U11" s="111">
        <f t="shared" si="7"/>
        <v>95</v>
      </c>
      <c r="V11" s="112">
        <f t="shared" si="8"/>
        <v>0.791666666666667</v>
      </c>
      <c r="W11" s="113">
        <f t="shared" si="9"/>
        <v>-25</v>
      </c>
      <c r="X11" s="113">
        <f t="shared" si="10"/>
        <v>40</v>
      </c>
      <c r="Y11" s="113">
        <f t="shared" si="11"/>
        <v>-80</v>
      </c>
      <c r="Z11" s="114">
        <f t="shared" si="12"/>
        <v>515905000</v>
      </c>
      <c r="AA11" s="114">
        <f t="shared" si="13"/>
        <v>-324095000</v>
      </c>
      <c r="AB11" s="115">
        <f t="shared" si="14"/>
        <v>0.614172619047619</v>
      </c>
      <c r="AC11" s="116">
        <f t="shared" si="15"/>
        <v>4.20833333333333</v>
      </c>
      <c r="AD11" s="117">
        <f t="shared" si="16"/>
        <v>30700791.6666667</v>
      </c>
      <c r="AE11" s="102">
        <f>IFERROR(GETPIVOTDATA("Sum of Qty",'[1]DATA LAST MONTH IQOO'!$A$6,"ID Store",$C11),0)</f>
        <v>16</v>
      </c>
      <c r="AF11" s="118">
        <f>IFERROR(GETPIVOTDATA("Sum of Qty",[1]IQOO!$A$6,"ID Store",$C11),0)</f>
        <v>0</v>
      </c>
      <c r="AG11" s="105">
        <f t="shared" si="17"/>
        <v>-16</v>
      </c>
      <c r="AH11" s="119">
        <f t="shared" si="18"/>
        <v>-1</v>
      </c>
      <c r="AI11" s="120">
        <f>IFERROR(GETPIVOTDATA("Sum of Qty",'[1]DATA LAST MONTH DEVICE'!$A$6,"ID Store",$C11),0)</f>
        <v>107</v>
      </c>
      <c r="AJ11" s="121">
        <f t="shared" si="19"/>
        <v>19</v>
      </c>
      <c r="AK11" s="105">
        <f t="shared" si="20"/>
        <v>-88</v>
      </c>
      <c r="AL11" s="107">
        <f t="shared" si="21"/>
        <v>-0.822429906542056</v>
      </c>
      <c r="AM11" s="106">
        <f>IFERROR(GETPIVOTDATA("Sum of Qty",'[1]Store 3mio+ last month'!$A$6,"ID Store",$C11),0)</f>
        <v>107</v>
      </c>
      <c r="AN11" s="105">
        <f t="shared" si="22"/>
        <v>95</v>
      </c>
      <c r="AO11" s="105">
        <f t="shared" si="23"/>
        <v>-12</v>
      </c>
      <c r="AP11" s="107">
        <f t="shared" si="24"/>
        <v>-0.11214953271028</v>
      </c>
      <c r="AQ11" s="106">
        <f>IFERROR(GETPIVOTDATA("Sum of Qty",'[1]DATA LAST MONTH DEVICE'!$A$6,"ID Store",$C11,"Segment Price","3mio&gt;"),0)</f>
        <v>66</v>
      </c>
      <c r="AR11" s="108">
        <f t="shared" si="25"/>
        <v>8</v>
      </c>
      <c r="AS11" s="108">
        <f t="shared" si="26"/>
        <v>-58</v>
      </c>
      <c r="AT11" s="107">
        <f t="shared" si="27"/>
        <v>-0.878787878787879</v>
      </c>
      <c r="AU11" s="122">
        <f>IFERROR(GETPIVOTDATA("Sum of SRP",'[1]DATA LAST MONTH DEVICE'!$A$6,"ID Store",$C11),0)</f>
        <v>786093000</v>
      </c>
      <c r="AV11" s="122">
        <f t="shared" si="28"/>
        <v>103181000</v>
      </c>
      <c r="AW11" s="122">
        <f t="shared" si="29"/>
        <v>-682912000</v>
      </c>
      <c r="AX11" s="107">
        <f t="shared" si="30"/>
        <v>-0.868741993631797</v>
      </c>
      <c r="AY11" s="122">
        <f>IFERROR(VLOOKUP(C11,'[1]DATA SALES LAST MONTH'!A:E,5,0),0)</f>
        <v>7346663.55140187</v>
      </c>
      <c r="AZ11" s="109">
        <f t="shared" si="31"/>
        <v>5430578.94736842</v>
      </c>
      <c r="BA11" s="109">
        <f t="shared" si="32"/>
        <v>-1916084.60403345</v>
      </c>
      <c r="BB11" s="119">
        <f t="shared" si="33"/>
        <v>-0.260810174663276</v>
      </c>
      <c r="BC11" s="102">
        <f>IFERROR(VLOOKUP(C11,'[1]TARGET THIS MONTH'!C:U,15,0),0)</f>
        <v>12</v>
      </c>
      <c r="BD11" s="123">
        <f>IFERROR(GETPIVOTDATA("Sum of Qty",[1]ACC!$A$5,"ID Store",$C11),0)</f>
        <v>9</v>
      </c>
      <c r="BE11" s="107">
        <f t="shared" si="34"/>
        <v>0.75</v>
      </c>
      <c r="BF11" s="124">
        <f>IFERROR(VLOOKUP(C11,'[1]TARGET THIS MONTH'!C:U,16,0),0)</f>
        <v>4200000</v>
      </c>
      <c r="BG11" s="124">
        <f>IFERROR(GETPIVOTDATA("Sum of SRP",'[1]Insurance by Store'!$A$5,"ID Store",$C11,"Product Type","Qoala"),0)</f>
        <v>159000</v>
      </c>
      <c r="BH11" s="107">
        <f t="shared" si="35"/>
        <v>0.0378571428571429</v>
      </c>
      <c r="BI11" s="124">
        <f>IFERROR(VLOOKUP(C11,'[1]TARGET THIS MONTH'!C:U,17,0),0)</f>
        <v>840000</v>
      </c>
      <c r="BJ11" s="124">
        <f>IFERROR(GETPIVOTDATA("Sum of SRP",'[1]Insurance by Store'!$A$5,"ID Store",$C11,"Product Type","Vivo Care"),0)</f>
        <v>0</v>
      </c>
      <c r="BK11" s="107">
        <f t="shared" si="36"/>
        <v>0</v>
      </c>
      <c r="BL11" s="105">
        <f>IFERROR(VLOOKUP(C11,'[1]TARGET THIS MONTH'!C:U,18,0),0)</f>
        <v>3.6</v>
      </c>
      <c r="BM11" s="106">
        <f>IFERROR(GETPIVOTDATA("Sum of Qty",'[1]Operator by Store'!$A$5,"ID Store",$C11,"Product Type","Indosat"),0)</f>
        <v>0</v>
      </c>
      <c r="BN11" s="107">
        <f t="shared" si="37"/>
        <v>0</v>
      </c>
      <c r="BO11" s="105">
        <f>VLOOKUP(C11,'[1]TARGET THIS MONTH'!C:U,19,0)</f>
        <v>36</v>
      </c>
      <c r="BP11" s="106">
        <f>IFERROR(GETPIVOTDATA("Sum of Qty",'[1]Operator by Store'!$A$5,"ID Store",$C11,"Product Type","Telkomsel"),0)</f>
        <v>0</v>
      </c>
      <c r="BQ11" s="125">
        <f t="shared" si="38"/>
        <v>0</v>
      </c>
    </row>
    <row r="12" spans="1:69">
      <c r="A12" s="96">
        <v>8</v>
      </c>
      <c r="B12" s="97" t="s">
        <v>40</v>
      </c>
      <c r="C12" s="98">
        <v>6010711</v>
      </c>
      <c r="D12" s="99" t="s">
        <v>52</v>
      </c>
      <c r="E12" s="126" t="s">
        <v>53</v>
      </c>
      <c r="F12" s="101">
        <v>3</v>
      </c>
      <c r="G12" s="102">
        <f>IFERROR(VLOOKUP(C12,'[1]TARGET THIS MONTH'!C:E,3,0),0)</f>
        <v>50</v>
      </c>
      <c r="H12" s="103">
        <f>IFERROR(VLOOKUP(C12,'[1]TARGET THIS MONTH'!C:M,11,0),0)</f>
        <v>350000000</v>
      </c>
      <c r="I12" s="102">
        <f>IFERROR(GETPIVOTDATA("Sum of Qty",'[1]DEVICE &amp; VALUE'!$A$6,"ID Store",$C12),0)</f>
        <v>13</v>
      </c>
      <c r="J12" s="104">
        <f t="shared" si="0"/>
        <v>0.26</v>
      </c>
      <c r="K12" s="105">
        <f t="shared" si="1"/>
        <v>-37</v>
      </c>
      <c r="L12" s="106">
        <f>IFERROR(GETPIVOTDATA("Sum of Qty",[1]PF!$A$5,"ID Store",$C12),0)</f>
        <v>3</v>
      </c>
      <c r="M12" s="106">
        <f>IFERROR(GETPIVOTDATA("Sum of Qty",'[1]DEVICE &amp; VALUE'!$A$6,"ID Store",$C12,"Segment Price","3mio&gt;"),0)</f>
        <v>7</v>
      </c>
      <c r="N12" s="107">
        <f t="shared" si="2"/>
        <v>0.538461538461538</v>
      </c>
      <c r="O12" s="108">
        <f>IFERROR(GETPIVOTDATA("Sum of Qty",[1]IQOO!$A$6,"ID Store",$C12),0)</f>
        <v>1</v>
      </c>
      <c r="P12" s="107">
        <f t="shared" si="3"/>
        <v>0.0769230769230769</v>
      </c>
      <c r="Q12" s="107">
        <f t="shared" si="4"/>
        <v>0.538461538461538</v>
      </c>
      <c r="R12" s="109">
        <f>IFERROR(GETPIVOTDATA("Sum of SRP",'[1]DEVICE &amp; VALUE'!$A$6,"ID Store",$C12),0)</f>
        <v>108887000</v>
      </c>
      <c r="S12" s="107">
        <f t="shared" si="5"/>
        <v>0.311105714285714</v>
      </c>
      <c r="T12" s="110">
        <f t="shared" si="6"/>
        <v>-241113000</v>
      </c>
      <c r="U12" s="111">
        <f t="shared" si="7"/>
        <v>65</v>
      </c>
      <c r="V12" s="112">
        <f t="shared" si="8"/>
        <v>1.3</v>
      </c>
      <c r="W12" s="113">
        <f t="shared" si="9"/>
        <v>15</v>
      </c>
      <c r="X12" s="113">
        <f t="shared" si="10"/>
        <v>35</v>
      </c>
      <c r="Y12" s="113">
        <f t="shared" si="11"/>
        <v>-15</v>
      </c>
      <c r="Z12" s="114">
        <f t="shared" si="12"/>
        <v>544435000</v>
      </c>
      <c r="AA12" s="114">
        <f t="shared" si="13"/>
        <v>194435000</v>
      </c>
      <c r="AB12" s="115">
        <f t="shared" si="14"/>
        <v>1.55552857142857</v>
      </c>
      <c r="AC12" s="116">
        <f t="shared" si="15"/>
        <v>1.54166666666667</v>
      </c>
      <c r="AD12" s="117">
        <f t="shared" si="16"/>
        <v>10046375</v>
      </c>
      <c r="AE12" s="102">
        <f>IFERROR(GETPIVOTDATA("Sum of Qty",'[1]DATA LAST MONTH IQOO'!$A$6,"ID Store",$C12),0)</f>
        <v>13</v>
      </c>
      <c r="AF12" s="118">
        <f>IFERROR(GETPIVOTDATA("Sum of Qty",[1]IQOO!$A$6,"ID Store",$C12),0)</f>
        <v>1</v>
      </c>
      <c r="AG12" s="105">
        <f t="shared" si="17"/>
        <v>-12</v>
      </c>
      <c r="AH12" s="119">
        <f t="shared" si="18"/>
        <v>-0.923076923076923</v>
      </c>
      <c r="AI12" s="120">
        <f>IFERROR(GETPIVOTDATA("Sum of Qty",'[1]DATA LAST MONTH DEVICE'!$A$6,"ID Store",$C12),0)</f>
        <v>54</v>
      </c>
      <c r="AJ12" s="121">
        <f t="shared" si="19"/>
        <v>13</v>
      </c>
      <c r="AK12" s="105">
        <f t="shared" si="20"/>
        <v>-41</v>
      </c>
      <c r="AL12" s="107">
        <f t="shared" si="21"/>
        <v>-0.759259259259259</v>
      </c>
      <c r="AM12" s="106">
        <f>IFERROR(GETPIVOTDATA("Sum of Qty",'[1]Store 3mio+ last month'!$A$6,"ID Store",$C12),0)</f>
        <v>54</v>
      </c>
      <c r="AN12" s="105">
        <f t="shared" si="22"/>
        <v>65</v>
      </c>
      <c r="AO12" s="105">
        <f t="shared" si="23"/>
        <v>11</v>
      </c>
      <c r="AP12" s="107">
        <f t="shared" si="24"/>
        <v>0.203703703703704</v>
      </c>
      <c r="AQ12" s="106">
        <f>IFERROR(GETPIVOTDATA("Sum of Qty",'[1]DATA LAST MONTH DEVICE'!$A$6,"ID Store",$C12,"Segment Price","3mio&gt;"),0)</f>
        <v>40</v>
      </c>
      <c r="AR12" s="108">
        <f t="shared" si="25"/>
        <v>7</v>
      </c>
      <c r="AS12" s="108">
        <f t="shared" si="26"/>
        <v>-33</v>
      </c>
      <c r="AT12" s="107">
        <f t="shared" si="27"/>
        <v>-0.825</v>
      </c>
      <c r="AU12" s="122">
        <f>IFERROR(GETPIVOTDATA("Sum of SRP",'[1]DATA LAST MONTH DEVICE'!$A$6,"ID Store",$C12),0)</f>
        <v>490946000</v>
      </c>
      <c r="AV12" s="122">
        <f t="shared" si="28"/>
        <v>108887000</v>
      </c>
      <c r="AW12" s="122">
        <f t="shared" si="29"/>
        <v>-382059000</v>
      </c>
      <c r="AX12" s="107">
        <f t="shared" si="30"/>
        <v>-0.778209823483642</v>
      </c>
      <c r="AY12" s="122">
        <f>IFERROR(VLOOKUP(C12,'[1]DATA SALES LAST MONTH'!A:E,5,0),0)</f>
        <v>9091592.59259259</v>
      </c>
      <c r="AZ12" s="109">
        <f t="shared" si="31"/>
        <v>8375923.07692308</v>
      </c>
      <c r="BA12" s="109">
        <f t="shared" si="32"/>
        <v>-715669.515669516</v>
      </c>
      <c r="BB12" s="119">
        <f t="shared" si="33"/>
        <v>-0.0787177283166659</v>
      </c>
      <c r="BC12" s="102">
        <f>IFERROR(VLOOKUP(C12,'[1]TARGET THIS MONTH'!C:U,15,0),0)</f>
        <v>5</v>
      </c>
      <c r="BD12" s="123">
        <f>IFERROR(GETPIVOTDATA("Sum of Qty",[1]ACC!$A$5,"ID Store",$C12),0)</f>
        <v>2</v>
      </c>
      <c r="BE12" s="107">
        <f t="shared" si="34"/>
        <v>0.4</v>
      </c>
      <c r="BF12" s="124">
        <f>IFERROR(VLOOKUP(C12,'[1]TARGET THIS MONTH'!C:U,16,0),0)</f>
        <v>1750000</v>
      </c>
      <c r="BG12" s="124">
        <f>IFERROR(GETPIVOTDATA("Sum of SRP",'[1]Insurance by Store'!$A$5,"ID Store",$C12,"Product Type","Qoala"),0)</f>
        <v>817000</v>
      </c>
      <c r="BH12" s="107">
        <f t="shared" si="35"/>
        <v>0.466857142857143</v>
      </c>
      <c r="BI12" s="124">
        <f>IFERROR(VLOOKUP(C12,'[1]TARGET THIS MONTH'!C:U,17,0),0)</f>
        <v>350000</v>
      </c>
      <c r="BJ12" s="124">
        <f>IFERROR(GETPIVOTDATA("Sum of SRP",'[1]Insurance by Store'!$A$5,"ID Store",$C12,"Product Type","Vivo Care"),0)</f>
        <v>0</v>
      </c>
      <c r="BK12" s="107">
        <f t="shared" si="36"/>
        <v>0</v>
      </c>
      <c r="BL12" s="105">
        <f>IFERROR(VLOOKUP(C12,'[1]TARGET THIS MONTH'!C:U,18,0),0)</f>
        <v>1.5</v>
      </c>
      <c r="BM12" s="106">
        <f>IFERROR(GETPIVOTDATA("Sum of Qty",'[1]Operator by Store'!$A$5,"ID Store",$C12,"Product Type","Indosat"),0)</f>
        <v>0</v>
      </c>
      <c r="BN12" s="107">
        <f t="shared" si="37"/>
        <v>0</v>
      </c>
      <c r="BO12" s="105">
        <f>VLOOKUP(C12,'[1]TARGET THIS MONTH'!C:U,19,0)</f>
        <v>15</v>
      </c>
      <c r="BP12" s="106">
        <f>IFERROR(GETPIVOTDATA("Sum of Qty",'[1]Operator by Store'!$A$5,"ID Store",$C12,"Product Type","Telkomsel"),0)</f>
        <v>0</v>
      </c>
      <c r="BQ12" s="125">
        <f t="shared" si="38"/>
        <v>0</v>
      </c>
    </row>
    <row r="13" spans="1:69">
      <c r="A13" s="96">
        <v>9</v>
      </c>
      <c r="B13" s="97" t="s">
        <v>40</v>
      </c>
      <c r="C13" s="98">
        <v>6020706</v>
      </c>
      <c r="D13" s="99" t="s">
        <v>54</v>
      </c>
      <c r="E13" s="126" t="s">
        <v>55</v>
      </c>
      <c r="F13" s="101">
        <v>3</v>
      </c>
      <c r="G13" s="102">
        <f>IFERROR(VLOOKUP(C13,'[1]TARGET THIS MONTH'!C:E,3,0),0)</f>
        <v>100</v>
      </c>
      <c r="H13" s="103">
        <f>IFERROR(VLOOKUP(C13,'[1]TARGET THIS MONTH'!C:M,11,0),0)</f>
        <v>430000000</v>
      </c>
      <c r="I13" s="102">
        <f>IFERROR(GETPIVOTDATA("Sum of Qty",'[1]DEVICE &amp; VALUE'!$A$6,"ID Store",$C13),0)</f>
        <v>17</v>
      </c>
      <c r="J13" s="104">
        <f t="shared" si="0"/>
        <v>0.17</v>
      </c>
      <c r="K13" s="105">
        <f t="shared" si="1"/>
        <v>-83</v>
      </c>
      <c r="L13" s="106">
        <f>IFERROR(GETPIVOTDATA("Sum of Qty",[1]PF!$A$5,"ID Store",$C13),0)</f>
        <v>6</v>
      </c>
      <c r="M13" s="106">
        <f>IFERROR(GETPIVOTDATA("Sum of Qty",'[1]DEVICE &amp; VALUE'!$A$6,"ID Store",$C13,"Segment Price","3mio&gt;"),0)</f>
        <v>8</v>
      </c>
      <c r="N13" s="107">
        <f t="shared" si="2"/>
        <v>0.470588235294118</v>
      </c>
      <c r="O13" s="108">
        <f>IFERROR(GETPIVOTDATA("Sum of Qty",[1]IQOO!$A$6,"ID Store",$C13),0)</f>
        <v>0</v>
      </c>
      <c r="P13" s="107">
        <f t="shared" si="3"/>
        <v>0</v>
      </c>
      <c r="Q13" s="107">
        <f t="shared" si="4"/>
        <v>0.470588235294118</v>
      </c>
      <c r="R13" s="109">
        <f>IFERROR(GETPIVOTDATA("Sum of SRP",'[1]DEVICE &amp; VALUE'!$A$6,"ID Store",$C13),0)</f>
        <v>62383000</v>
      </c>
      <c r="S13" s="107">
        <f t="shared" si="5"/>
        <v>0.145076744186047</v>
      </c>
      <c r="T13" s="110">
        <f t="shared" si="6"/>
        <v>-367617000</v>
      </c>
      <c r="U13" s="111">
        <f t="shared" si="7"/>
        <v>85</v>
      </c>
      <c r="V13" s="112">
        <f t="shared" si="8"/>
        <v>0.85</v>
      </c>
      <c r="W13" s="113">
        <f t="shared" si="9"/>
        <v>-15</v>
      </c>
      <c r="X13" s="113">
        <f t="shared" si="10"/>
        <v>40</v>
      </c>
      <c r="Y13" s="113">
        <f t="shared" si="11"/>
        <v>-60</v>
      </c>
      <c r="Z13" s="114">
        <f t="shared" si="12"/>
        <v>311915000</v>
      </c>
      <c r="AA13" s="114">
        <f t="shared" si="13"/>
        <v>-118085000</v>
      </c>
      <c r="AB13" s="115">
        <f t="shared" si="14"/>
        <v>0.725383720930233</v>
      </c>
      <c r="AC13" s="116">
        <f t="shared" si="15"/>
        <v>3.45833333333333</v>
      </c>
      <c r="AD13" s="117">
        <f t="shared" si="16"/>
        <v>15317375</v>
      </c>
      <c r="AE13" s="102">
        <f>IFERROR(GETPIVOTDATA("Sum of Qty",'[1]DATA LAST MONTH IQOO'!$A$6,"ID Store",$C13),0)</f>
        <v>21</v>
      </c>
      <c r="AF13" s="118">
        <f>IFERROR(GETPIVOTDATA("Sum of Qty",[1]IQOO!$A$6,"ID Store",$C13),0)</f>
        <v>0</v>
      </c>
      <c r="AG13" s="105">
        <f t="shared" si="17"/>
        <v>-21</v>
      </c>
      <c r="AH13" s="119">
        <f t="shared" si="18"/>
        <v>-1</v>
      </c>
      <c r="AI13" s="120">
        <f>IFERROR(GETPIVOTDATA("Sum of Qty",'[1]DATA LAST MONTH DEVICE'!$A$6,"ID Store",$C13),0)</f>
        <v>109</v>
      </c>
      <c r="AJ13" s="121">
        <f t="shared" si="19"/>
        <v>17</v>
      </c>
      <c r="AK13" s="105">
        <f t="shared" si="20"/>
        <v>-92</v>
      </c>
      <c r="AL13" s="107">
        <f t="shared" si="21"/>
        <v>-0.844036697247706</v>
      </c>
      <c r="AM13" s="106">
        <f>IFERROR(GETPIVOTDATA("Sum of Qty",'[1]Store 3mio+ last month'!$A$6,"ID Store",$C13),0)</f>
        <v>109</v>
      </c>
      <c r="AN13" s="105">
        <f t="shared" si="22"/>
        <v>85</v>
      </c>
      <c r="AO13" s="105">
        <f t="shared" si="23"/>
        <v>-24</v>
      </c>
      <c r="AP13" s="107">
        <f t="shared" si="24"/>
        <v>-0.220183486238532</v>
      </c>
      <c r="AQ13" s="106">
        <f>IFERROR(GETPIVOTDATA("Sum of Qty",'[1]DATA LAST MONTH DEVICE'!$A$6,"ID Store",$C13,"Segment Price","3mio&gt;"),0)</f>
        <v>52</v>
      </c>
      <c r="AR13" s="108">
        <f t="shared" si="25"/>
        <v>8</v>
      </c>
      <c r="AS13" s="108">
        <f t="shared" si="26"/>
        <v>-44</v>
      </c>
      <c r="AT13" s="107">
        <f t="shared" si="27"/>
        <v>-0.846153846153846</v>
      </c>
      <c r="AU13" s="122">
        <f>IFERROR(GETPIVOTDATA("Sum of SRP",'[1]DATA LAST MONTH DEVICE'!$A$6,"ID Store",$C13),0)</f>
        <v>454591000</v>
      </c>
      <c r="AV13" s="122">
        <f t="shared" si="28"/>
        <v>62383000</v>
      </c>
      <c r="AW13" s="122">
        <f t="shared" si="29"/>
        <v>-392208000</v>
      </c>
      <c r="AX13" s="107">
        <f t="shared" si="30"/>
        <v>-0.862771150330737</v>
      </c>
      <c r="AY13" s="122">
        <f>IFERROR(VLOOKUP(C13,'[1]DATA SALES LAST MONTH'!A:E,5,0),0)</f>
        <v>4170559.63302752</v>
      </c>
      <c r="AZ13" s="109">
        <f t="shared" si="31"/>
        <v>3669588.23529412</v>
      </c>
      <c r="BA13" s="109">
        <f t="shared" si="32"/>
        <v>-500971.397733405</v>
      </c>
      <c r="BB13" s="119">
        <f t="shared" si="33"/>
        <v>-0.120120905061783</v>
      </c>
      <c r="BC13" s="102">
        <f>IFERROR(VLOOKUP(C13,'[1]TARGET THIS MONTH'!C:U,15,0),0)</f>
        <v>10</v>
      </c>
      <c r="BD13" s="123">
        <f>IFERROR(GETPIVOTDATA("Sum of Qty",[1]ACC!$A$5,"ID Store",$C13),0)</f>
        <v>0</v>
      </c>
      <c r="BE13" s="107">
        <f t="shared" si="34"/>
        <v>0</v>
      </c>
      <c r="BF13" s="124">
        <f>IFERROR(VLOOKUP(C13,'[1]TARGET THIS MONTH'!C:U,16,0),0)</f>
        <v>2150000</v>
      </c>
      <c r="BG13" s="124">
        <f>IFERROR(GETPIVOTDATA("Sum of SRP",'[1]Insurance by Store'!$A$5,"ID Store",$C13,"Product Type","Qoala"),0)</f>
        <v>817000</v>
      </c>
      <c r="BH13" s="107">
        <f t="shared" si="35"/>
        <v>0.38</v>
      </c>
      <c r="BI13" s="124">
        <f>IFERROR(VLOOKUP(C13,'[1]TARGET THIS MONTH'!C:U,17,0),0)</f>
        <v>430000</v>
      </c>
      <c r="BJ13" s="124">
        <f>IFERROR(GETPIVOTDATA("Sum of SRP",'[1]Insurance by Store'!$A$5,"ID Store",$C13,"Product Type","Vivo Care"),0)</f>
        <v>0</v>
      </c>
      <c r="BK13" s="107">
        <f t="shared" si="36"/>
        <v>0</v>
      </c>
      <c r="BL13" s="105">
        <f>IFERROR(VLOOKUP(C13,'[1]TARGET THIS MONTH'!C:U,18,0),0)</f>
        <v>3</v>
      </c>
      <c r="BM13" s="106">
        <f>IFERROR(GETPIVOTDATA("Sum of Qty",'[1]Operator by Store'!$A$5,"ID Store",$C13,"Product Type","Indosat"),0)</f>
        <v>0</v>
      </c>
      <c r="BN13" s="107">
        <f t="shared" si="37"/>
        <v>0</v>
      </c>
      <c r="BO13" s="105">
        <f>VLOOKUP(C13,'[1]TARGET THIS MONTH'!C:U,19,0)</f>
        <v>30</v>
      </c>
      <c r="BP13" s="106">
        <f>IFERROR(GETPIVOTDATA("Sum of Qty",'[1]Operator by Store'!$A$5,"ID Store",$C13,"Product Type","Telkomsel"),0)</f>
        <v>0</v>
      </c>
      <c r="BQ13" s="125">
        <f t="shared" si="38"/>
        <v>0</v>
      </c>
    </row>
    <row r="14" spans="1:69">
      <c r="A14" s="96">
        <v>10</v>
      </c>
      <c r="B14" s="97" t="s">
        <v>40</v>
      </c>
      <c r="C14" s="98">
        <v>6020704</v>
      </c>
      <c r="D14" s="99" t="s">
        <v>56</v>
      </c>
      <c r="E14" s="126" t="s">
        <v>55</v>
      </c>
      <c r="F14" s="101">
        <v>3</v>
      </c>
      <c r="G14" s="102">
        <f>IFERROR(VLOOKUP(C14,'[1]TARGET THIS MONTH'!C:E,3,0),0)</f>
        <v>60</v>
      </c>
      <c r="H14" s="103">
        <f>IFERROR(VLOOKUP(C14,'[1]TARGET THIS MONTH'!C:M,11,0),0)</f>
        <v>258000000</v>
      </c>
      <c r="I14" s="102">
        <f>IFERROR(GETPIVOTDATA("Sum of Qty",'[1]DEVICE &amp; VALUE'!$A$6,"ID Store",$C14),0)</f>
        <v>11</v>
      </c>
      <c r="J14" s="104">
        <f t="shared" si="0"/>
        <v>0.183333333333333</v>
      </c>
      <c r="K14" s="105">
        <f t="shared" si="1"/>
        <v>-49</v>
      </c>
      <c r="L14" s="106">
        <f>IFERROR(GETPIVOTDATA("Sum of Qty",[1]PF!$A$5,"ID Store",$C14),0)</f>
        <v>3</v>
      </c>
      <c r="M14" s="106">
        <f>IFERROR(GETPIVOTDATA("Sum of Qty",'[1]DEVICE &amp; VALUE'!$A$6,"ID Store",$C14,"Segment Price","3mio&gt;"),0)</f>
        <v>5</v>
      </c>
      <c r="N14" s="107">
        <f t="shared" si="2"/>
        <v>0.454545454545455</v>
      </c>
      <c r="O14" s="108">
        <f>IFERROR(GETPIVOTDATA("Sum of Qty",[1]IQOO!$A$6,"ID Store",$C14),0)</f>
        <v>1</v>
      </c>
      <c r="P14" s="107">
        <f t="shared" si="3"/>
        <v>0.0909090909090909</v>
      </c>
      <c r="Q14" s="107">
        <f t="shared" si="4"/>
        <v>0.454545454545455</v>
      </c>
      <c r="R14" s="109">
        <f>IFERROR(GETPIVOTDATA("Sum of SRP",'[1]DEVICE &amp; VALUE'!$A$6,"ID Store",$C14),0)</f>
        <v>38889000</v>
      </c>
      <c r="S14" s="107">
        <f t="shared" si="5"/>
        <v>0.150732558139535</v>
      </c>
      <c r="T14" s="110">
        <f t="shared" si="6"/>
        <v>-219111000</v>
      </c>
      <c r="U14" s="111">
        <f t="shared" si="7"/>
        <v>55</v>
      </c>
      <c r="V14" s="112">
        <f t="shared" si="8"/>
        <v>0.916666666666667</v>
      </c>
      <c r="W14" s="113">
        <f t="shared" si="9"/>
        <v>-5</v>
      </c>
      <c r="X14" s="113">
        <f t="shared" si="10"/>
        <v>25</v>
      </c>
      <c r="Y14" s="113">
        <f t="shared" si="11"/>
        <v>-35</v>
      </c>
      <c r="Z14" s="114">
        <f t="shared" si="12"/>
        <v>194445000</v>
      </c>
      <c r="AA14" s="114">
        <f t="shared" si="13"/>
        <v>-63555000</v>
      </c>
      <c r="AB14" s="115">
        <f t="shared" si="14"/>
        <v>0.753662790697674</v>
      </c>
      <c r="AC14" s="116">
        <f t="shared" si="15"/>
        <v>2.04166666666667</v>
      </c>
      <c r="AD14" s="117">
        <f t="shared" si="16"/>
        <v>9129625</v>
      </c>
      <c r="AE14" s="102">
        <f>IFERROR(GETPIVOTDATA("Sum of Qty",'[1]DATA LAST MONTH IQOO'!$A$6,"ID Store",$C14),0)</f>
        <v>5</v>
      </c>
      <c r="AF14" s="118">
        <f>IFERROR(GETPIVOTDATA("Sum of Qty",[1]IQOO!$A$6,"ID Store",$C14),0)</f>
        <v>1</v>
      </c>
      <c r="AG14" s="105">
        <f t="shared" si="17"/>
        <v>-4</v>
      </c>
      <c r="AH14" s="119">
        <f t="shared" si="18"/>
        <v>-0.8</v>
      </c>
      <c r="AI14" s="120">
        <f>IFERROR(GETPIVOTDATA("Sum of Qty",'[1]DATA LAST MONTH DEVICE'!$A$6,"ID Store",$C14),0)</f>
        <v>41</v>
      </c>
      <c r="AJ14" s="121">
        <f t="shared" si="19"/>
        <v>11</v>
      </c>
      <c r="AK14" s="105">
        <f t="shared" si="20"/>
        <v>-30</v>
      </c>
      <c r="AL14" s="107">
        <f t="shared" si="21"/>
        <v>-0.731707317073171</v>
      </c>
      <c r="AM14" s="106">
        <f>IFERROR(GETPIVOTDATA("Sum of Qty",'[1]Store 3mio+ last month'!$A$6,"ID Store",$C14),0)</f>
        <v>41</v>
      </c>
      <c r="AN14" s="105">
        <f t="shared" si="22"/>
        <v>55</v>
      </c>
      <c r="AO14" s="105">
        <f t="shared" si="23"/>
        <v>14</v>
      </c>
      <c r="AP14" s="107">
        <f t="shared" si="24"/>
        <v>0.341463414634146</v>
      </c>
      <c r="AQ14" s="106">
        <f>IFERROR(GETPIVOTDATA("Sum of Qty",'[1]DATA LAST MONTH DEVICE'!$A$6,"ID Store",$C14,"Segment Price","3mio&gt;"),0)</f>
        <v>13</v>
      </c>
      <c r="AR14" s="108">
        <f t="shared" si="25"/>
        <v>5</v>
      </c>
      <c r="AS14" s="108">
        <f t="shared" si="26"/>
        <v>-8</v>
      </c>
      <c r="AT14" s="107">
        <f t="shared" si="27"/>
        <v>-0.615384615384615</v>
      </c>
      <c r="AU14" s="122">
        <f>IFERROR(GETPIVOTDATA("Sum of SRP",'[1]DATA LAST MONTH DEVICE'!$A$6,"ID Store",$C14),0)</f>
        <v>140859000</v>
      </c>
      <c r="AV14" s="122">
        <f t="shared" si="28"/>
        <v>38889000</v>
      </c>
      <c r="AW14" s="122">
        <f t="shared" si="29"/>
        <v>-101970000</v>
      </c>
      <c r="AX14" s="107">
        <f t="shared" si="30"/>
        <v>-0.723915404766469</v>
      </c>
      <c r="AY14" s="122">
        <f>IFERROR(VLOOKUP(C14,'[1]DATA SALES LAST MONTH'!A:E,5,0),0)</f>
        <v>3435585.36585366</v>
      </c>
      <c r="AZ14" s="109">
        <f t="shared" si="31"/>
        <v>3535363.63636364</v>
      </c>
      <c r="BA14" s="109">
        <f t="shared" si="32"/>
        <v>99778.2705099778</v>
      </c>
      <c r="BB14" s="119">
        <f t="shared" si="33"/>
        <v>0.0290425822340716</v>
      </c>
      <c r="BC14" s="102">
        <f>IFERROR(VLOOKUP(C14,'[1]TARGET THIS MONTH'!C:U,15,0),0)</f>
        <v>6</v>
      </c>
      <c r="BD14" s="123">
        <f>IFERROR(GETPIVOTDATA("Sum of Qty",[1]ACC!$A$5,"ID Store",$C14),0)</f>
        <v>1</v>
      </c>
      <c r="BE14" s="107">
        <f t="shared" si="34"/>
        <v>0.166666666666667</v>
      </c>
      <c r="BF14" s="124">
        <f>IFERROR(VLOOKUP(C14,'[1]TARGET THIS MONTH'!C:U,16,0),0)</f>
        <v>1290000</v>
      </c>
      <c r="BG14" s="124">
        <f>IFERROR(GETPIVOTDATA("Sum of SRP",'[1]Insurance by Store'!$A$5,"ID Store",$C14,"Product Type","Qoala"),0)</f>
        <v>249000</v>
      </c>
      <c r="BH14" s="107">
        <f t="shared" si="35"/>
        <v>0.193023255813953</v>
      </c>
      <c r="BI14" s="124">
        <f>IFERROR(VLOOKUP(C14,'[1]TARGET THIS MONTH'!C:U,17,0),0)</f>
        <v>258000</v>
      </c>
      <c r="BJ14" s="124">
        <f>IFERROR(GETPIVOTDATA("Sum of SRP",'[1]Insurance by Store'!$A$5,"ID Store",$C14,"Product Type","Vivo Care"),0)</f>
        <v>0</v>
      </c>
      <c r="BK14" s="107">
        <f t="shared" si="36"/>
        <v>0</v>
      </c>
      <c r="BL14" s="105">
        <f>IFERROR(VLOOKUP(C14,'[1]TARGET THIS MONTH'!C:U,18,0),0)</f>
        <v>1.8</v>
      </c>
      <c r="BM14" s="106">
        <f>IFERROR(GETPIVOTDATA("Sum of Qty",'[1]Operator by Store'!$A$5,"ID Store",$C14,"Product Type","Indosat"),0)</f>
        <v>0</v>
      </c>
      <c r="BN14" s="107">
        <f t="shared" si="37"/>
        <v>0</v>
      </c>
      <c r="BO14" s="105">
        <f>VLOOKUP(C14,'[1]TARGET THIS MONTH'!C:U,19,0)</f>
        <v>18</v>
      </c>
      <c r="BP14" s="106">
        <f>IFERROR(GETPIVOTDATA("Sum of Qty",'[1]Operator by Store'!$A$5,"ID Store",$C14,"Product Type","Telkomsel"),0)</f>
        <v>0</v>
      </c>
      <c r="BQ14" s="125">
        <f t="shared" si="38"/>
        <v>0</v>
      </c>
    </row>
    <row r="15" spans="1:69">
      <c r="A15" s="96">
        <v>11</v>
      </c>
      <c r="B15" s="97" t="s">
        <v>57</v>
      </c>
      <c r="C15" s="98">
        <v>6040701</v>
      </c>
      <c r="D15" s="99" t="s">
        <v>58</v>
      </c>
      <c r="E15" s="126" t="s">
        <v>59</v>
      </c>
      <c r="F15" s="101">
        <v>3</v>
      </c>
      <c r="G15" s="102">
        <f>IFERROR(VLOOKUP(C15,'[1]TARGET THIS MONTH'!C:E,3,0),0)</f>
        <v>50</v>
      </c>
      <c r="H15" s="103">
        <f>IFERROR(VLOOKUP(C15,'[1]TARGET THIS MONTH'!C:M,11,0),0)</f>
        <v>215000000</v>
      </c>
      <c r="I15" s="102">
        <f>IFERROR(GETPIVOTDATA("Sum of Qty",'[1]DEVICE &amp; VALUE'!$A$6,"ID Store",$C15),0)</f>
        <v>19</v>
      </c>
      <c r="J15" s="104">
        <f t="shared" si="0"/>
        <v>0.38</v>
      </c>
      <c r="K15" s="105">
        <f t="shared" si="1"/>
        <v>-31</v>
      </c>
      <c r="L15" s="106">
        <f>IFERROR(GETPIVOTDATA("Sum of Qty",[1]PF!$A$5,"ID Store",$C15),0)</f>
        <v>7</v>
      </c>
      <c r="M15" s="106">
        <f>IFERROR(GETPIVOTDATA("Sum of Qty",'[1]DEVICE &amp; VALUE'!$A$6,"ID Store",$C15,"Segment Price","3mio&gt;"),0)</f>
        <v>10</v>
      </c>
      <c r="N15" s="107">
        <f t="shared" si="2"/>
        <v>0.526315789473684</v>
      </c>
      <c r="O15" s="108">
        <f>IFERROR(GETPIVOTDATA("Sum of Qty",[1]IQOO!$A$6,"ID Store",$C15),0)</f>
        <v>0</v>
      </c>
      <c r="P15" s="107">
        <f t="shared" si="3"/>
        <v>0</v>
      </c>
      <c r="Q15" s="107">
        <f t="shared" si="4"/>
        <v>0.526315789473684</v>
      </c>
      <c r="R15" s="109">
        <f>IFERROR(GETPIVOTDATA("Sum of SRP",'[1]DEVICE &amp; VALUE'!$A$6,"ID Store",$C15),0)</f>
        <v>76981000</v>
      </c>
      <c r="S15" s="107">
        <f t="shared" si="5"/>
        <v>0.358051162790698</v>
      </c>
      <c r="T15" s="110">
        <f t="shared" si="6"/>
        <v>-138019000</v>
      </c>
      <c r="U15" s="111">
        <f t="shared" si="7"/>
        <v>95</v>
      </c>
      <c r="V15" s="112">
        <f t="shared" si="8"/>
        <v>1.9</v>
      </c>
      <c r="W15" s="113">
        <f t="shared" si="9"/>
        <v>45</v>
      </c>
      <c r="X15" s="113">
        <f t="shared" si="10"/>
        <v>50</v>
      </c>
      <c r="Y15" s="113">
        <f t="shared" si="11"/>
        <v>0</v>
      </c>
      <c r="Z15" s="114">
        <f t="shared" si="12"/>
        <v>384905000</v>
      </c>
      <c r="AA15" s="114">
        <f t="shared" si="13"/>
        <v>169905000</v>
      </c>
      <c r="AB15" s="115">
        <f t="shared" si="14"/>
        <v>1.79025581395349</v>
      </c>
      <c r="AC15" s="116">
        <f t="shared" si="15"/>
        <v>1.29166666666667</v>
      </c>
      <c r="AD15" s="117">
        <f t="shared" si="16"/>
        <v>5750791.66666667</v>
      </c>
      <c r="AE15" s="102">
        <f>IFERROR(GETPIVOTDATA("Sum of Qty",'[1]DATA LAST MONTH IQOO'!$A$6,"ID Store",$C15),0)</f>
        <v>6</v>
      </c>
      <c r="AF15" s="118">
        <f>IFERROR(GETPIVOTDATA("Sum of Qty",[1]IQOO!$A$6,"ID Store",$C15),0)</f>
        <v>0</v>
      </c>
      <c r="AG15" s="105">
        <f t="shared" si="17"/>
        <v>-6</v>
      </c>
      <c r="AH15" s="119">
        <f t="shared" si="18"/>
        <v>-1</v>
      </c>
      <c r="AI15" s="120">
        <f>IFERROR(GETPIVOTDATA("Sum of Qty",'[1]DATA LAST MONTH DEVICE'!$A$6,"ID Store",$C15),0)</f>
        <v>48</v>
      </c>
      <c r="AJ15" s="121">
        <f t="shared" si="19"/>
        <v>19</v>
      </c>
      <c r="AK15" s="105">
        <f t="shared" si="20"/>
        <v>-29</v>
      </c>
      <c r="AL15" s="107">
        <f t="shared" si="21"/>
        <v>-0.604166666666667</v>
      </c>
      <c r="AM15" s="106">
        <f>IFERROR(GETPIVOTDATA("Sum of Qty",'[1]Store 3mio+ last month'!$A$6,"ID Store",$C15),0)</f>
        <v>48</v>
      </c>
      <c r="AN15" s="105">
        <f t="shared" si="22"/>
        <v>95</v>
      </c>
      <c r="AO15" s="105">
        <f t="shared" si="23"/>
        <v>47</v>
      </c>
      <c r="AP15" s="107">
        <f t="shared" si="24"/>
        <v>0.979166666666667</v>
      </c>
      <c r="AQ15" s="106">
        <f>IFERROR(GETPIVOTDATA("Sum of Qty",'[1]DATA LAST MONTH DEVICE'!$A$6,"ID Store",$C15,"Segment Price","3mio&gt;"),0)</f>
        <v>21</v>
      </c>
      <c r="AR15" s="108">
        <f t="shared" si="25"/>
        <v>10</v>
      </c>
      <c r="AS15" s="108">
        <f t="shared" si="26"/>
        <v>-11</v>
      </c>
      <c r="AT15" s="107">
        <f t="shared" si="27"/>
        <v>-0.523809523809524</v>
      </c>
      <c r="AU15" s="122">
        <f>IFERROR(GETPIVOTDATA("Sum of SRP",'[1]DATA LAST MONTH DEVICE'!$A$6,"ID Store",$C15),0)</f>
        <v>187652000</v>
      </c>
      <c r="AV15" s="122">
        <f t="shared" si="28"/>
        <v>76981000</v>
      </c>
      <c r="AW15" s="122">
        <f t="shared" si="29"/>
        <v>-110671000</v>
      </c>
      <c r="AX15" s="107">
        <f t="shared" si="30"/>
        <v>-0.589767228699934</v>
      </c>
      <c r="AY15" s="122">
        <f>IFERROR(VLOOKUP(C15,'[1]DATA SALES LAST MONTH'!A:E,5,0),0)</f>
        <v>3909416.66666667</v>
      </c>
      <c r="AZ15" s="109">
        <f t="shared" si="31"/>
        <v>4051631.57894737</v>
      </c>
      <c r="BA15" s="109">
        <f t="shared" si="32"/>
        <v>142214.912280702</v>
      </c>
      <c r="BB15" s="119">
        <f t="shared" si="33"/>
        <v>0.0363775274949039</v>
      </c>
      <c r="BC15" s="102">
        <f>IFERROR(VLOOKUP(C15,'[1]TARGET THIS MONTH'!C:U,15,0),0)</f>
        <v>5</v>
      </c>
      <c r="BD15" s="123">
        <f>IFERROR(GETPIVOTDATA("Sum of Qty",[1]ACC!$A$5,"ID Store",$C15),0)</f>
        <v>0</v>
      </c>
      <c r="BE15" s="107">
        <f t="shared" si="34"/>
        <v>0</v>
      </c>
      <c r="BF15" s="124">
        <f>IFERROR(VLOOKUP(C15,'[1]TARGET THIS MONTH'!C:U,16,0),0)</f>
        <v>1075000</v>
      </c>
      <c r="BG15" s="124">
        <f>IFERROR(GETPIVOTDATA("Sum of SRP",'[1]Insurance by Store'!$A$5,"ID Store",$C15,"Product Type","Qoala"),0)</f>
        <v>318000</v>
      </c>
      <c r="BH15" s="107">
        <f t="shared" si="35"/>
        <v>0.295813953488372</v>
      </c>
      <c r="BI15" s="124">
        <f>IFERROR(VLOOKUP(C15,'[1]TARGET THIS MONTH'!C:U,17,0),0)</f>
        <v>215000</v>
      </c>
      <c r="BJ15" s="124">
        <f>IFERROR(GETPIVOTDATA("Sum of SRP",'[1]Insurance by Store'!$A$5,"ID Store",$C15,"Product Type","Vivo Care"),0)</f>
        <v>0</v>
      </c>
      <c r="BK15" s="107">
        <f t="shared" si="36"/>
        <v>0</v>
      </c>
      <c r="BL15" s="105">
        <f>IFERROR(VLOOKUP(C15,'[1]TARGET THIS MONTH'!C:U,18,0),0)</f>
        <v>1.5</v>
      </c>
      <c r="BM15" s="106">
        <f>IFERROR(GETPIVOTDATA("Sum of Qty",'[1]Operator by Store'!$A$5,"ID Store",$C15,"Product Type","Indosat"),0)</f>
        <v>0</v>
      </c>
      <c r="BN15" s="107">
        <f t="shared" si="37"/>
        <v>0</v>
      </c>
      <c r="BO15" s="105">
        <f>VLOOKUP(C15,'[1]TARGET THIS MONTH'!C:U,19,0)</f>
        <v>15</v>
      </c>
      <c r="BP15" s="106">
        <f>IFERROR(GETPIVOTDATA("Sum of Qty",'[1]Operator by Store'!$A$5,"ID Store",$C15,"Product Type","Telkomsel"),0)</f>
        <v>0</v>
      </c>
      <c r="BQ15" s="125">
        <f t="shared" si="38"/>
        <v>0</v>
      </c>
    </row>
    <row r="16" spans="1:69">
      <c r="A16" s="96">
        <v>12</v>
      </c>
      <c r="B16" s="97" t="s">
        <v>57</v>
      </c>
      <c r="C16" s="98">
        <v>6080712</v>
      </c>
      <c r="D16" s="99" t="s">
        <v>60</v>
      </c>
      <c r="E16" s="126" t="s">
        <v>59</v>
      </c>
      <c r="F16" s="101">
        <v>3</v>
      </c>
      <c r="G16" s="102">
        <f>IFERROR(VLOOKUP(C16,'[1]TARGET THIS MONTH'!C:E,3,0),0)</f>
        <v>60</v>
      </c>
      <c r="H16" s="103">
        <f>IFERROR(VLOOKUP(C16,'[1]TARGET THIS MONTH'!C:M,11,0),0)</f>
        <v>258000000</v>
      </c>
      <c r="I16" s="102">
        <f>IFERROR(GETPIVOTDATA("Sum of Qty",'[1]DEVICE &amp; VALUE'!$A$6,"ID Store",$C16),0)</f>
        <v>15</v>
      </c>
      <c r="J16" s="104">
        <f t="shared" si="0"/>
        <v>0.25</v>
      </c>
      <c r="K16" s="105">
        <f t="shared" si="1"/>
        <v>-45</v>
      </c>
      <c r="L16" s="106">
        <f>IFERROR(GETPIVOTDATA("Sum of Qty",[1]PF!$A$5,"ID Store",$C16),0)</f>
        <v>3</v>
      </c>
      <c r="M16" s="106">
        <f>IFERROR(GETPIVOTDATA("Sum of Qty",'[1]DEVICE &amp; VALUE'!$A$6,"ID Store",$C16,"Segment Price","3mio&gt;"),0)</f>
        <v>9</v>
      </c>
      <c r="N16" s="107">
        <f t="shared" si="2"/>
        <v>0.6</v>
      </c>
      <c r="O16" s="108">
        <f>IFERROR(GETPIVOTDATA("Sum of Qty",[1]IQOO!$A$6,"ID Store",$C16),0)</f>
        <v>1</v>
      </c>
      <c r="P16" s="107">
        <f t="shared" si="3"/>
        <v>0.0666666666666667</v>
      </c>
      <c r="Q16" s="107">
        <f t="shared" si="4"/>
        <v>0.6</v>
      </c>
      <c r="R16" s="109">
        <f>IFERROR(GETPIVOTDATA("Sum of SRP",'[1]DEVICE &amp; VALUE'!$A$6,"ID Store",$C16),0)</f>
        <v>79885000</v>
      </c>
      <c r="S16" s="107">
        <f t="shared" si="5"/>
        <v>0.309631782945736</v>
      </c>
      <c r="T16" s="110">
        <f t="shared" si="6"/>
        <v>-178115000</v>
      </c>
      <c r="U16" s="111">
        <f t="shared" si="7"/>
        <v>75</v>
      </c>
      <c r="V16" s="112">
        <f t="shared" si="8"/>
        <v>1.25</v>
      </c>
      <c r="W16" s="113">
        <f t="shared" si="9"/>
        <v>15</v>
      </c>
      <c r="X16" s="113">
        <f t="shared" si="10"/>
        <v>45</v>
      </c>
      <c r="Y16" s="113">
        <f t="shared" si="11"/>
        <v>-15</v>
      </c>
      <c r="Z16" s="114">
        <f t="shared" si="12"/>
        <v>399425000</v>
      </c>
      <c r="AA16" s="114">
        <f t="shared" si="13"/>
        <v>141425000</v>
      </c>
      <c r="AB16" s="115">
        <f t="shared" si="14"/>
        <v>1.54815891472868</v>
      </c>
      <c r="AC16" s="116">
        <f t="shared" si="15"/>
        <v>1.875</v>
      </c>
      <c r="AD16" s="117">
        <f t="shared" si="16"/>
        <v>7421458.33333333</v>
      </c>
      <c r="AE16" s="102">
        <f>IFERROR(GETPIVOTDATA("Sum of Qty",'[1]DATA LAST MONTH IQOO'!$A$6,"ID Store",$C16),0)</f>
        <v>7</v>
      </c>
      <c r="AF16" s="118">
        <f>IFERROR(GETPIVOTDATA("Sum of Qty",[1]IQOO!$A$6,"ID Store",$C16),0)</f>
        <v>1</v>
      </c>
      <c r="AG16" s="105">
        <f t="shared" si="17"/>
        <v>-6</v>
      </c>
      <c r="AH16" s="119">
        <f t="shared" si="18"/>
        <v>-0.857142857142857</v>
      </c>
      <c r="AI16" s="120">
        <f>IFERROR(GETPIVOTDATA("Sum of Qty",'[1]DATA LAST MONTH DEVICE'!$A$6,"ID Store",$C16),0)</f>
        <v>57</v>
      </c>
      <c r="AJ16" s="121">
        <f t="shared" si="19"/>
        <v>15</v>
      </c>
      <c r="AK16" s="105">
        <f t="shared" si="20"/>
        <v>-42</v>
      </c>
      <c r="AL16" s="107">
        <f t="shared" si="21"/>
        <v>-0.736842105263158</v>
      </c>
      <c r="AM16" s="106">
        <f>IFERROR(GETPIVOTDATA("Sum of Qty",'[1]Store 3mio+ last month'!$A$6,"ID Store",$C16),0)</f>
        <v>57</v>
      </c>
      <c r="AN16" s="105">
        <f t="shared" si="22"/>
        <v>75</v>
      </c>
      <c r="AO16" s="105">
        <f t="shared" si="23"/>
        <v>18</v>
      </c>
      <c r="AP16" s="107">
        <f t="shared" si="24"/>
        <v>0.315789473684211</v>
      </c>
      <c r="AQ16" s="106">
        <f>IFERROR(GETPIVOTDATA("Sum of Qty",'[1]DATA LAST MONTH DEVICE'!$A$6,"ID Store",$C16,"Segment Price","3mio&gt;"),0)</f>
        <v>32</v>
      </c>
      <c r="AR16" s="108">
        <f t="shared" si="25"/>
        <v>9</v>
      </c>
      <c r="AS16" s="108">
        <f t="shared" si="26"/>
        <v>-23</v>
      </c>
      <c r="AT16" s="107">
        <f t="shared" si="27"/>
        <v>-0.71875</v>
      </c>
      <c r="AU16" s="122">
        <f>IFERROR(GETPIVOTDATA("Sum of SRP",'[1]DATA LAST MONTH DEVICE'!$A$6,"ID Store",$C16),0)</f>
        <v>278943000</v>
      </c>
      <c r="AV16" s="122">
        <f t="shared" si="28"/>
        <v>79885000</v>
      </c>
      <c r="AW16" s="122">
        <f t="shared" si="29"/>
        <v>-199058000</v>
      </c>
      <c r="AX16" s="107">
        <f t="shared" si="30"/>
        <v>-0.713615326428697</v>
      </c>
      <c r="AY16" s="122">
        <f>IFERROR(VLOOKUP(C16,'[1]DATA SALES LAST MONTH'!A:E,5,0),0)</f>
        <v>4893736.84210526</v>
      </c>
      <c r="AZ16" s="109">
        <f t="shared" si="31"/>
        <v>5325666.66666667</v>
      </c>
      <c r="BA16" s="109">
        <f t="shared" si="32"/>
        <v>431929.824561404</v>
      </c>
      <c r="BB16" s="119">
        <f t="shared" si="33"/>
        <v>0.0882617595709519</v>
      </c>
      <c r="BC16" s="102">
        <f>IFERROR(VLOOKUP(C16,'[1]TARGET THIS MONTH'!C:U,15,0),0)</f>
        <v>6</v>
      </c>
      <c r="BD16" s="123">
        <f>IFERROR(GETPIVOTDATA("Sum of Qty",[1]ACC!$A$5,"ID Store",$C16),0)</f>
        <v>2</v>
      </c>
      <c r="BE16" s="107">
        <f t="shared" si="34"/>
        <v>0.333333333333333</v>
      </c>
      <c r="BF16" s="124">
        <f>IFERROR(VLOOKUP(C16,'[1]TARGET THIS MONTH'!C:U,16,0),0)</f>
        <v>1290000</v>
      </c>
      <c r="BG16" s="124">
        <f>IFERROR(GETPIVOTDATA("Sum of SRP",'[1]Insurance by Store'!$A$5,"ID Store",$C16,"Product Type","Qoala"),0)</f>
        <v>159000</v>
      </c>
      <c r="BH16" s="107">
        <f t="shared" si="35"/>
        <v>0.123255813953488</v>
      </c>
      <c r="BI16" s="124">
        <f>IFERROR(VLOOKUP(C16,'[1]TARGET THIS MONTH'!C:U,17,0),0)</f>
        <v>258000</v>
      </c>
      <c r="BJ16" s="124">
        <f>IFERROR(GETPIVOTDATA("Sum of SRP",'[1]Insurance by Store'!$A$5,"ID Store",$C16,"Product Type","Vivo Care"),0)</f>
        <v>0</v>
      </c>
      <c r="BK16" s="107">
        <f t="shared" si="36"/>
        <v>0</v>
      </c>
      <c r="BL16" s="105">
        <f>IFERROR(VLOOKUP(C16,'[1]TARGET THIS MONTH'!C:U,18,0),0)</f>
        <v>1.8</v>
      </c>
      <c r="BM16" s="106">
        <f>IFERROR(GETPIVOTDATA("Sum of Qty",'[1]Operator by Store'!$A$5,"ID Store",$C16,"Product Type","Indosat"),0)</f>
        <v>2</v>
      </c>
      <c r="BN16" s="107">
        <f t="shared" si="37"/>
        <v>1.11111111111111</v>
      </c>
      <c r="BO16" s="105">
        <f>VLOOKUP(C16,'[1]TARGET THIS MONTH'!C:U,19,0)</f>
        <v>18</v>
      </c>
      <c r="BP16" s="106">
        <f>IFERROR(GETPIVOTDATA("Sum of Qty",'[1]Operator by Store'!$A$5,"ID Store",$C16,"Product Type","Telkomsel"),0)</f>
        <v>0</v>
      </c>
      <c r="BQ16" s="125">
        <f t="shared" si="38"/>
        <v>0</v>
      </c>
    </row>
    <row r="17" spans="1:69">
      <c r="A17" s="96">
        <v>13</v>
      </c>
      <c r="B17" s="97" t="s">
        <v>57</v>
      </c>
      <c r="C17" s="98">
        <v>6040702</v>
      </c>
      <c r="D17" s="99" t="s">
        <v>61</v>
      </c>
      <c r="E17" s="126" t="s">
        <v>59</v>
      </c>
      <c r="F17" s="101">
        <v>2</v>
      </c>
      <c r="G17" s="102">
        <f>IFERROR(VLOOKUP(C17,'[1]TARGET THIS MONTH'!C:E,3,0),0)</f>
        <v>30</v>
      </c>
      <c r="H17" s="103">
        <f>IFERROR(VLOOKUP(C17,'[1]TARGET THIS MONTH'!C:M,11,0),0)</f>
        <v>210000000</v>
      </c>
      <c r="I17" s="102">
        <f>IFERROR(GETPIVOTDATA("Sum of Qty",'[1]DEVICE &amp; VALUE'!$A$6,"ID Store",$C17),0)</f>
        <v>8</v>
      </c>
      <c r="J17" s="104">
        <f t="shared" si="0"/>
        <v>0.266666666666667</v>
      </c>
      <c r="K17" s="105">
        <f t="shared" si="1"/>
        <v>-22</v>
      </c>
      <c r="L17" s="106">
        <f>IFERROR(GETPIVOTDATA("Sum of Qty",[1]PF!$A$5,"ID Store",$C17),0)</f>
        <v>2</v>
      </c>
      <c r="M17" s="106">
        <f>IFERROR(GETPIVOTDATA("Sum of Qty",'[1]DEVICE &amp; VALUE'!$A$6,"ID Store",$C17,"Segment Price","3mio&gt;"),0)</f>
        <v>5</v>
      </c>
      <c r="N17" s="107">
        <f t="shared" si="2"/>
        <v>0.625</v>
      </c>
      <c r="O17" s="108">
        <f>IFERROR(GETPIVOTDATA("Sum of Qty",[1]IQOO!$A$6,"ID Store",$C17),0)</f>
        <v>1</v>
      </c>
      <c r="P17" s="107">
        <f t="shared" si="3"/>
        <v>0.125</v>
      </c>
      <c r="Q17" s="107">
        <f t="shared" si="4"/>
        <v>0.625</v>
      </c>
      <c r="R17" s="109">
        <f>IFERROR(GETPIVOTDATA("Sum of SRP",'[1]DEVICE &amp; VALUE'!$A$6,"ID Store",$C17),0)</f>
        <v>43492000</v>
      </c>
      <c r="S17" s="107">
        <f t="shared" si="5"/>
        <v>0.207104761904762</v>
      </c>
      <c r="T17" s="110">
        <f t="shared" si="6"/>
        <v>-166508000</v>
      </c>
      <c r="U17" s="111">
        <f t="shared" si="7"/>
        <v>40</v>
      </c>
      <c r="V17" s="112">
        <f t="shared" si="8"/>
        <v>1.33333333333333</v>
      </c>
      <c r="W17" s="113">
        <f t="shared" si="9"/>
        <v>10</v>
      </c>
      <c r="X17" s="113">
        <f t="shared" si="10"/>
        <v>25</v>
      </c>
      <c r="Y17" s="113">
        <f t="shared" si="11"/>
        <v>-5</v>
      </c>
      <c r="Z17" s="114">
        <f t="shared" si="12"/>
        <v>217460000</v>
      </c>
      <c r="AA17" s="114">
        <f t="shared" si="13"/>
        <v>7460000</v>
      </c>
      <c r="AB17" s="115">
        <f t="shared" si="14"/>
        <v>1.03552380952381</v>
      </c>
      <c r="AC17" s="116">
        <f t="shared" si="15"/>
        <v>0.916666666666667</v>
      </c>
      <c r="AD17" s="117">
        <f t="shared" si="16"/>
        <v>6937833.33333333</v>
      </c>
      <c r="AE17" s="102">
        <f>IFERROR(GETPIVOTDATA("Sum of Qty",'[1]DATA LAST MONTH IQOO'!$A$6,"ID Store",$C17),0)</f>
        <v>5</v>
      </c>
      <c r="AF17" s="118">
        <f>IFERROR(GETPIVOTDATA("Sum of Qty",[1]IQOO!$A$6,"ID Store",$C17),0)</f>
        <v>1</v>
      </c>
      <c r="AG17" s="105">
        <f t="shared" si="17"/>
        <v>-4</v>
      </c>
      <c r="AH17" s="119">
        <f t="shared" si="18"/>
        <v>-0.8</v>
      </c>
      <c r="AI17" s="120">
        <f>IFERROR(GETPIVOTDATA("Sum of Qty",'[1]DATA LAST MONTH DEVICE'!$A$6,"ID Store",$C17),0)</f>
        <v>21</v>
      </c>
      <c r="AJ17" s="121">
        <f t="shared" si="19"/>
        <v>8</v>
      </c>
      <c r="AK17" s="105">
        <f t="shared" si="20"/>
        <v>-13</v>
      </c>
      <c r="AL17" s="107">
        <f t="shared" si="21"/>
        <v>-0.619047619047619</v>
      </c>
      <c r="AM17" s="106">
        <f>IFERROR(GETPIVOTDATA("Sum of Qty",'[1]Store 3mio+ last month'!$A$6,"ID Store",$C17),0)</f>
        <v>21</v>
      </c>
      <c r="AN17" s="105">
        <f t="shared" si="22"/>
        <v>40</v>
      </c>
      <c r="AO17" s="105">
        <f t="shared" si="23"/>
        <v>19</v>
      </c>
      <c r="AP17" s="107">
        <f t="shared" si="24"/>
        <v>0.904761904761905</v>
      </c>
      <c r="AQ17" s="106">
        <f>IFERROR(GETPIVOTDATA("Sum of Qty",'[1]DATA LAST MONTH DEVICE'!$A$6,"ID Store",$C17,"Segment Price","3mio&gt;"),0)</f>
        <v>11</v>
      </c>
      <c r="AR17" s="108">
        <f t="shared" si="25"/>
        <v>5</v>
      </c>
      <c r="AS17" s="108">
        <f t="shared" si="26"/>
        <v>-6</v>
      </c>
      <c r="AT17" s="107">
        <f t="shared" si="27"/>
        <v>-0.545454545454545</v>
      </c>
      <c r="AU17" s="122">
        <f>IFERROR(GETPIVOTDATA("Sum of SRP",'[1]DATA LAST MONTH DEVICE'!$A$6,"ID Store",$C17),0)</f>
        <v>125879000</v>
      </c>
      <c r="AV17" s="122">
        <f t="shared" si="28"/>
        <v>43492000</v>
      </c>
      <c r="AW17" s="122">
        <f t="shared" si="29"/>
        <v>-82387000</v>
      </c>
      <c r="AX17" s="107">
        <f t="shared" si="30"/>
        <v>-0.654493600997784</v>
      </c>
      <c r="AY17" s="122">
        <f>IFERROR(VLOOKUP(C17,'[1]DATA SALES LAST MONTH'!A:E,5,0),0)</f>
        <v>5994238.0952381</v>
      </c>
      <c r="AZ17" s="109">
        <f t="shared" si="31"/>
        <v>5436500</v>
      </c>
      <c r="BA17" s="109">
        <f t="shared" si="32"/>
        <v>-557738.095238095</v>
      </c>
      <c r="BB17" s="119">
        <f t="shared" si="33"/>
        <v>-0.0930457026191819</v>
      </c>
      <c r="BC17" s="102">
        <f>IFERROR(VLOOKUP(C17,'[1]TARGET THIS MONTH'!C:U,15,0),0)</f>
        <v>3</v>
      </c>
      <c r="BD17" s="123">
        <f>IFERROR(GETPIVOTDATA("Sum of Qty",[1]ACC!$A$5,"ID Store",$C17),0)</f>
        <v>3</v>
      </c>
      <c r="BE17" s="107">
        <f t="shared" si="34"/>
        <v>1</v>
      </c>
      <c r="BF17" s="124">
        <f>IFERROR(VLOOKUP(C17,'[1]TARGET THIS MONTH'!C:U,16,0),0)</f>
        <v>1050000</v>
      </c>
      <c r="BG17" s="124">
        <f>IFERROR(GETPIVOTDATA("Sum of SRP",'[1]Insurance by Store'!$A$5,"ID Store",$C17,"Product Type","Qoala"),0)</f>
        <v>0</v>
      </c>
      <c r="BH17" s="107">
        <f t="shared" si="35"/>
        <v>0</v>
      </c>
      <c r="BI17" s="124">
        <f>IFERROR(VLOOKUP(C17,'[1]TARGET THIS MONTH'!C:U,17,0),0)</f>
        <v>210000</v>
      </c>
      <c r="BJ17" s="124">
        <f>IFERROR(GETPIVOTDATA("Sum of SRP",'[1]Insurance by Store'!$A$5,"ID Store",$C17,"Product Type","Vivo Care"),0)</f>
        <v>0</v>
      </c>
      <c r="BK17" s="107">
        <f t="shared" si="36"/>
        <v>0</v>
      </c>
      <c r="BL17" s="105">
        <f>IFERROR(VLOOKUP(C17,'[1]TARGET THIS MONTH'!C:U,18,0),0)</f>
        <v>0.9</v>
      </c>
      <c r="BM17" s="106">
        <f>IFERROR(GETPIVOTDATA("Sum of Qty",'[1]Operator by Store'!$A$5,"ID Store",$C17,"Product Type","Indosat"),0)</f>
        <v>0</v>
      </c>
      <c r="BN17" s="107">
        <f t="shared" si="37"/>
        <v>0</v>
      </c>
      <c r="BO17" s="105">
        <f>VLOOKUP(C17,'[1]TARGET THIS MONTH'!C:U,19,0)</f>
        <v>9</v>
      </c>
      <c r="BP17" s="106">
        <f>IFERROR(GETPIVOTDATA("Sum of Qty",'[1]Operator by Store'!$A$5,"ID Store",$C17,"Product Type","Telkomsel"),0)</f>
        <v>0</v>
      </c>
      <c r="BQ17" s="125">
        <f t="shared" si="38"/>
        <v>0</v>
      </c>
    </row>
    <row r="18" spans="1:69">
      <c r="A18" s="96">
        <v>14</v>
      </c>
      <c r="B18" s="97" t="s">
        <v>57</v>
      </c>
      <c r="C18" s="98">
        <v>6040703</v>
      </c>
      <c r="D18" s="99" t="s">
        <v>62</v>
      </c>
      <c r="E18" s="126" t="s">
        <v>59</v>
      </c>
      <c r="F18" s="101">
        <v>2</v>
      </c>
      <c r="G18" s="102">
        <f>IFERROR(VLOOKUP(C18,'[1]TARGET THIS MONTH'!C:E,3,0),0)</f>
        <v>40</v>
      </c>
      <c r="H18" s="103">
        <f>IFERROR(VLOOKUP(C18,'[1]TARGET THIS MONTH'!C:M,11,0),0)</f>
        <v>220000000</v>
      </c>
      <c r="I18" s="102">
        <f>IFERROR(GETPIVOTDATA("Sum of Qty",'[1]DEVICE &amp; VALUE'!$A$6,"ID Store",$C18),0)</f>
        <v>10</v>
      </c>
      <c r="J18" s="104">
        <f t="shared" si="0"/>
        <v>0.25</v>
      </c>
      <c r="K18" s="105">
        <f t="shared" si="1"/>
        <v>-30</v>
      </c>
      <c r="L18" s="106">
        <f>IFERROR(GETPIVOTDATA("Sum of Qty",[1]PF!$A$5,"ID Store",$C18),0)</f>
        <v>1</v>
      </c>
      <c r="M18" s="106">
        <f>IFERROR(GETPIVOTDATA("Sum of Qty",'[1]DEVICE &amp; VALUE'!$A$6,"ID Store",$C18,"Segment Price","3mio&gt;"),0)</f>
        <v>5</v>
      </c>
      <c r="N18" s="107">
        <f t="shared" si="2"/>
        <v>0.5</v>
      </c>
      <c r="O18" s="108">
        <f>IFERROR(GETPIVOTDATA("Sum of Qty",[1]IQOO!$A$6,"ID Store",$C18),0)</f>
        <v>2</v>
      </c>
      <c r="P18" s="107">
        <f t="shared" si="3"/>
        <v>0.2</v>
      </c>
      <c r="Q18" s="107">
        <f t="shared" si="4"/>
        <v>0.5</v>
      </c>
      <c r="R18" s="109">
        <f>IFERROR(GETPIVOTDATA("Sum of SRP",'[1]DEVICE &amp; VALUE'!$A$6,"ID Store",$C18),0)</f>
        <v>62290000</v>
      </c>
      <c r="S18" s="107">
        <f t="shared" si="5"/>
        <v>0.283136363636364</v>
      </c>
      <c r="T18" s="110">
        <f t="shared" si="6"/>
        <v>-157710000</v>
      </c>
      <c r="U18" s="111">
        <f t="shared" si="7"/>
        <v>50</v>
      </c>
      <c r="V18" s="112">
        <f t="shared" si="8"/>
        <v>1.25</v>
      </c>
      <c r="W18" s="113">
        <f t="shared" si="9"/>
        <v>10</v>
      </c>
      <c r="X18" s="113">
        <f t="shared" si="10"/>
        <v>25</v>
      </c>
      <c r="Y18" s="113">
        <f t="shared" si="11"/>
        <v>-15</v>
      </c>
      <c r="Z18" s="114">
        <f t="shared" si="12"/>
        <v>311450000</v>
      </c>
      <c r="AA18" s="114">
        <f t="shared" si="13"/>
        <v>91450000</v>
      </c>
      <c r="AB18" s="115">
        <f t="shared" si="14"/>
        <v>1.41568181818182</v>
      </c>
      <c r="AC18" s="116">
        <f t="shared" si="15"/>
        <v>1.25</v>
      </c>
      <c r="AD18" s="117">
        <f t="shared" si="16"/>
        <v>6571250</v>
      </c>
      <c r="AE18" s="102">
        <f>IFERROR(GETPIVOTDATA("Sum of Qty",'[1]DATA LAST MONTH IQOO'!$A$6,"ID Store",$C18),0)</f>
        <v>5</v>
      </c>
      <c r="AF18" s="118">
        <f>IFERROR(GETPIVOTDATA("Sum of Qty",[1]IQOO!$A$6,"ID Store",$C18),0)</f>
        <v>2</v>
      </c>
      <c r="AG18" s="105">
        <f t="shared" si="17"/>
        <v>-3</v>
      </c>
      <c r="AH18" s="119">
        <f t="shared" si="18"/>
        <v>-0.6</v>
      </c>
      <c r="AI18" s="120">
        <f>IFERROR(GETPIVOTDATA("Sum of Qty",'[1]DATA LAST MONTH DEVICE'!$A$6,"ID Store",$C18),0)</f>
        <v>29</v>
      </c>
      <c r="AJ18" s="121">
        <f t="shared" si="19"/>
        <v>10</v>
      </c>
      <c r="AK18" s="105">
        <f t="shared" si="20"/>
        <v>-19</v>
      </c>
      <c r="AL18" s="107">
        <f t="shared" si="21"/>
        <v>-0.655172413793103</v>
      </c>
      <c r="AM18" s="106">
        <f>IFERROR(GETPIVOTDATA("Sum of Qty",'[1]Store 3mio+ last month'!$A$6,"ID Store",$C18),0)</f>
        <v>29</v>
      </c>
      <c r="AN18" s="105">
        <f t="shared" si="22"/>
        <v>50</v>
      </c>
      <c r="AO18" s="105">
        <f t="shared" si="23"/>
        <v>21</v>
      </c>
      <c r="AP18" s="107">
        <f t="shared" si="24"/>
        <v>0.724137931034483</v>
      </c>
      <c r="AQ18" s="106">
        <f>IFERROR(GETPIVOTDATA("Sum of Qty",'[1]DATA LAST MONTH DEVICE'!$A$6,"ID Store",$C18,"Segment Price","3mio&gt;"),0)</f>
        <v>21</v>
      </c>
      <c r="AR18" s="108">
        <f t="shared" si="25"/>
        <v>5</v>
      </c>
      <c r="AS18" s="108">
        <f t="shared" si="26"/>
        <v>-16</v>
      </c>
      <c r="AT18" s="107">
        <f t="shared" si="27"/>
        <v>-0.761904761904762</v>
      </c>
      <c r="AU18" s="122">
        <f>IFERROR(GETPIVOTDATA("Sum of SRP",'[1]DATA LAST MONTH DEVICE'!$A$6,"ID Store",$C18),0)</f>
        <v>166171000</v>
      </c>
      <c r="AV18" s="122">
        <f t="shared" si="28"/>
        <v>62290000</v>
      </c>
      <c r="AW18" s="122">
        <f t="shared" si="29"/>
        <v>-103881000</v>
      </c>
      <c r="AX18" s="107">
        <f t="shared" si="30"/>
        <v>-0.625145181770586</v>
      </c>
      <c r="AY18" s="122">
        <f>IFERROR(VLOOKUP(C18,'[1]DATA SALES LAST MONTH'!A:E,5,0),0)</f>
        <v>5730034.48275862</v>
      </c>
      <c r="AZ18" s="109">
        <f t="shared" si="31"/>
        <v>6229000</v>
      </c>
      <c r="BA18" s="109">
        <f t="shared" si="32"/>
        <v>498965.517241379</v>
      </c>
      <c r="BB18" s="119">
        <f t="shared" si="33"/>
        <v>0.0870789728653014</v>
      </c>
      <c r="BC18" s="102">
        <f>IFERROR(VLOOKUP(C18,'[1]TARGET THIS MONTH'!C:U,15,0),0)</f>
        <v>4</v>
      </c>
      <c r="BD18" s="123">
        <f>IFERROR(GETPIVOTDATA("Sum of Qty",[1]ACC!$A$5,"ID Store",$C18),0)</f>
        <v>3</v>
      </c>
      <c r="BE18" s="107">
        <f t="shared" si="34"/>
        <v>0.75</v>
      </c>
      <c r="BF18" s="124">
        <f>IFERROR(VLOOKUP(C18,'[1]TARGET THIS MONTH'!C:U,16,0),0)</f>
        <v>1100000</v>
      </c>
      <c r="BG18" s="124">
        <f>IFERROR(GETPIVOTDATA("Sum of SRP",'[1]Insurance by Store'!$A$5,"ID Store",$C18,"Product Type","Qoala"),0)</f>
        <v>159000</v>
      </c>
      <c r="BH18" s="107">
        <f t="shared" si="35"/>
        <v>0.144545454545455</v>
      </c>
      <c r="BI18" s="124">
        <f>IFERROR(VLOOKUP(C18,'[1]TARGET THIS MONTH'!C:U,17,0),0)</f>
        <v>220000</v>
      </c>
      <c r="BJ18" s="124">
        <f>IFERROR(GETPIVOTDATA("Sum of SRP",'[1]Insurance by Store'!$A$5,"ID Store",$C18,"Product Type","Vivo Care"),0)</f>
        <v>0</v>
      </c>
      <c r="BK18" s="107">
        <f t="shared" si="36"/>
        <v>0</v>
      </c>
      <c r="BL18" s="105">
        <f>IFERROR(VLOOKUP(C18,'[1]TARGET THIS MONTH'!C:U,18,0),0)</f>
        <v>1.2</v>
      </c>
      <c r="BM18" s="106">
        <f>IFERROR(GETPIVOTDATA("Sum of Qty",'[1]Operator by Store'!$A$5,"ID Store",$C18,"Product Type","Indosat"),0)</f>
        <v>0</v>
      </c>
      <c r="BN18" s="107">
        <f t="shared" si="37"/>
        <v>0</v>
      </c>
      <c r="BO18" s="105">
        <f>VLOOKUP(C18,'[1]TARGET THIS MONTH'!C:U,19,0)</f>
        <v>12</v>
      </c>
      <c r="BP18" s="106">
        <f>IFERROR(GETPIVOTDATA("Sum of Qty",'[1]Operator by Store'!$A$5,"ID Store",$C18,"Product Type","Telkomsel"),0)</f>
        <v>0</v>
      </c>
      <c r="BQ18" s="125">
        <f t="shared" si="38"/>
        <v>0</v>
      </c>
    </row>
    <row r="19" spans="1:69">
      <c r="A19" s="96">
        <v>15</v>
      </c>
      <c r="B19" s="97" t="s">
        <v>63</v>
      </c>
      <c r="C19" s="98">
        <v>6050701</v>
      </c>
      <c r="D19" s="99" t="s">
        <v>64</v>
      </c>
      <c r="E19" s="126" t="s">
        <v>65</v>
      </c>
      <c r="F19" s="101">
        <v>2</v>
      </c>
      <c r="G19" s="102">
        <f>IFERROR(VLOOKUP(C19,'[1]TARGET THIS MONTH'!C:E,3,0),0)</f>
        <v>60</v>
      </c>
      <c r="H19" s="103">
        <f>IFERROR(VLOOKUP(C19,'[1]TARGET THIS MONTH'!C:M,11,0),0)</f>
        <v>330000000</v>
      </c>
      <c r="I19" s="102">
        <f>IFERROR(GETPIVOTDATA("Sum of Qty",'[1]DEVICE &amp; VALUE'!$A$6,"ID Store",$C19),0)</f>
        <v>10</v>
      </c>
      <c r="J19" s="104">
        <f t="shared" si="0"/>
        <v>0.166666666666667</v>
      </c>
      <c r="K19" s="105">
        <f t="shared" si="1"/>
        <v>-50</v>
      </c>
      <c r="L19" s="106">
        <f>IFERROR(GETPIVOTDATA("Sum of Qty",[1]PF!$A$5,"ID Store",$C19),0)</f>
        <v>1</v>
      </c>
      <c r="M19" s="106">
        <f>IFERROR(GETPIVOTDATA("Sum of Qty",'[1]DEVICE &amp; VALUE'!$A$6,"ID Store",$C19,"Segment Price","3mio&gt;"),0)</f>
        <v>5</v>
      </c>
      <c r="N19" s="107">
        <f t="shared" si="2"/>
        <v>0.5</v>
      </c>
      <c r="O19" s="108">
        <f>IFERROR(GETPIVOTDATA("Sum of Qty",[1]IQOO!$A$6,"ID Store",$C19),0)</f>
        <v>1</v>
      </c>
      <c r="P19" s="107">
        <f t="shared" si="3"/>
        <v>0.1</v>
      </c>
      <c r="Q19" s="107">
        <f t="shared" si="4"/>
        <v>0.5</v>
      </c>
      <c r="R19" s="109">
        <f>IFERROR(GETPIVOTDATA("Sum of SRP",'[1]DEVICE &amp; VALUE'!$A$6,"ID Store",$C19),0)</f>
        <v>46290000</v>
      </c>
      <c r="S19" s="107">
        <f t="shared" si="5"/>
        <v>0.140272727272727</v>
      </c>
      <c r="T19" s="110">
        <f t="shared" si="6"/>
        <v>-283710000</v>
      </c>
      <c r="U19" s="111">
        <f t="shared" si="7"/>
        <v>50</v>
      </c>
      <c r="V19" s="112">
        <f t="shared" si="8"/>
        <v>0.833333333333333</v>
      </c>
      <c r="W19" s="113">
        <f t="shared" si="9"/>
        <v>-10</v>
      </c>
      <c r="X19" s="113">
        <f t="shared" si="10"/>
        <v>25</v>
      </c>
      <c r="Y19" s="113">
        <f t="shared" si="11"/>
        <v>-35</v>
      </c>
      <c r="Z19" s="114">
        <f t="shared" si="12"/>
        <v>231450000</v>
      </c>
      <c r="AA19" s="114">
        <f t="shared" si="13"/>
        <v>-98550000</v>
      </c>
      <c r="AB19" s="115">
        <f t="shared" si="14"/>
        <v>0.701363636363636</v>
      </c>
      <c r="AC19" s="116">
        <f t="shared" si="15"/>
        <v>2.08333333333333</v>
      </c>
      <c r="AD19" s="117">
        <f t="shared" si="16"/>
        <v>11821250</v>
      </c>
      <c r="AE19" s="102">
        <f>IFERROR(GETPIVOTDATA("Sum of Qty",'[1]DATA LAST MONTH IQOO'!$A$6,"ID Store",$C19),0)</f>
        <v>16</v>
      </c>
      <c r="AF19" s="118">
        <f>IFERROR(GETPIVOTDATA("Sum of Qty",[1]IQOO!$A$6,"ID Store",$C19),0)</f>
        <v>1</v>
      </c>
      <c r="AG19" s="105">
        <f t="shared" si="17"/>
        <v>-15</v>
      </c>
      <c r="AH19" s="119">
        <f t="shared" si="18"/>
        <v>-0.9375</v>
      </c>
      <c r="AI19" s="120">
        <f>IFERROR(GETPIVOTDATA("Sum of Qty",'[1]DATA LAST MONTH DEVICE'!$A$6,"ID Store",$C19),0)</f>
        <v>61</v>
      </c>
      <c r="AJ19" s="121">
        <f t="shared" si="19"/>
        <v>10</v>
      </c>
      <c r="AK19" s="105">
        <f t="shared" si="20"/>
        <v>-51</v>
      </c>
      <c r="AL19" s="107">
        <f t="shared" si="21"/>
        <v>-0.836065573770492</v>
      </c>
      <c r="AM19" s="106">
        <f>IFERROR(GETPIVOTDATA("Sum of Qty",'[1]Store 3mio+ last month'!$A$6,"ID Store",$C19),0)</f>
        <v>61</v>
      </c>
      <c r="AN19" s="105">
        <f t="shared" si="22"/>
        <v>50</v>
      </c>
      <c r="AO19" s="105">
        <f t="shared" si="23"/>
        <v>-11</v>
      </c>
      <c r="AP19" s="107">
        <f t="shared" si="24"/>
        <v>-0.180327868852459</v>
      </c>
      <c r="AQ19" s="106">
        <f>IFERROR(GETPIVOTDATA("Sum of Qty",'[1]DATA LAST MONTH DEVICE'!$A$6,"ID Store",$C19,"Segment Price","3mio&gt;"),0)</f>
        <v>36</v>
      </c>
      <c r="AR19" s="108">
        <f t="shared" si="25"/>
        <v>5</v>
      </c>
      <c r="AS19" s="108">
        <f t="shared" si="26"/>
        <v>-31</v>
      </c>
      <c r="AT19" s="107">
        <f t="shared" si="27"/>
        <v>-0.861111111111111</v>
      </c>
      <c r="AU19" s="122">
        <f>IFERROR(GETPIVOTDATA("Sum of SRP",'[1]DATA LAST MONTH DEVICE'!$A$6,"ID Store",$C19),0)</f>
        <v>319839000</v>
      </c>
      <c r="AV19" s="122">
        <f t="shared" si="28"/>
        <v>46290000</v>
      </c>
      <c r="AW19" s="122">
        <f t="shared" si="29"/>
        <v>-273549000</v>
      </c>
      <c r="AX19" s="107">
        <f t="shared" si="30"/>
        <v>-0.85527093318826</v>
      </c>
      <c r="AY19" s="122">
        <f>IFERROR(VLOOKUP(C19,'[1]DATA SALES LAST MONTH'!A:E,5,0),0)</f>
        <v>5243262.29508197</v>
      </c>
      <c r="AZ19" s="109">
        <f t="shared" si="31"/>
        <v>4629000</v>
      </c>
      <c r="BA19" s="109">
        <f t="shared" si="32"/>
        <v>-614262.295081967</v>
      </c>
      <c r="BB19" s="119">
        <f t="shared" si="33"/>
        <v>-0.117152692448388</v>
      </c>
      <c r="BC19" s="102">
        <f>IFERROR(VLOOKUP(C19,'[1]TARGET THIS MONTH'!C:U,15,0),0)</f>
        <v>6</v>
      </c>
      <c r="BD19" s="123">
        <f>IFERROR(GETPIVOTDATA("Sum of Qty",[1]ACC!$A$5,"ID Store",$C19),0)</f>
        <v>2</v>
      </c>
      <c r="BE19" s="107">
        <f t="shared" si="34"/>
        <v>0.333333333333333</v>
      </c>
      <c r="BF19" s="124">
        <f>IFERROR(VLOOKUP(C19,'[1]TARGET THIS MONTH'!C:U,16,0),0)</f>
        <v>1650000</v>
      </c>
      <c r="BG19" s="124">
        <f>IFERROR(GETPIVOTDATA("Sum of SRP",'[1]Insurance by Store'!$A$5,"ID Store",$C19,"Product Type","Qoala"),0)</f>
        <v>0</v>
      </c>
      <c r="BH19" s="107">
        <f t="shared" si="35"/>
        <v>0</v>
      </c>
      <c r="BI19" s="124">
        <f>IFERROR(VLOOKUP(C19,'[1]TARGET THIS MONTH'!C:U,17,0),0)</f>
        <v>330000</v>
      </c>
      <c r="BJ19" s="124">
        <f>IFERROR(GETPIVOTDATA("Sum of SRP",'[1]Insurance by Store'!$A$5,"ID Store",$C19,"Product Type","Vivo Care"),0)</f>
        <v>0</v>
      </c>
      <c r="BK19" s="107">
        <f t="shared" si="36"/>
        <v>0</v>
      </c>
      <c r="BL19" s="105">
        <f>IFERROR(VLOOKUP(C19,'[1]TARGET THIS MONTH'!C:U,18,0),0)</f>
        <v>1.8</v>
      </c>
      <c r="BM19" s="106">
        <f>IFERROR(GETPIVOTDATA("Sum of Qty",'[1]Operator by Store'!$A$5,"ID Store",$C19,"Product Type","Indosat"),0)</f>
        <v>0</v>
      </c>
      <c r="BN19" s="107">
        <f t="shared" si="37"/>
        <v>0</v>
      </c>
      <c r="BO19" s="105">
        <f>VLOOKUP(C19,'[1]TARGET THIS MONTH'!C:U,19,0)</f>
        <v>18</v>
      </c>
      <c r="BP19" s="106">
        <f>IFERROR(GETPIVOTDATA("Sum of Qty",'[1]Operator by Store'!$A$5,"ID Store",$C19,"Product Type","Telkomsel"),0)</f>
        <v>0</v>
      </c>
      <c r="BQ19" s="125">
        <f t="shared" si="38"/>
        <v>0</v>
      </c>
    </row>
    <row r="20" spans="1:69">
      <c r="A20" s="96">
        <v>16</v>
      </c>
      <c r="B20" s="97" t="s">
        <v>63</v>
      </c>
      <c r="C20" s="98">
        <v>6220701</v>
      </c>
      <c r="D20" s="99" t="s">
        <v>66</v>
      </c>
      <c r="E20" s="126" t="s">
        <v>65</v>
      </c>
      <c r="F20" s="101">
        <v>2</v>
      </c>
      <c r="G20" s="102">
        <f>IFERROR(VLOOKUP(C20,'[1]TARGET THIS MONTH'!C:E,3,0),0)</f>
        <v>20</v>
      </c>
      <c r="H20" s="103">
        <f>IFERROR(VLOOKUP(C20,'[1]TARGET THIS MONTH'!C:M,11,0),0)</f>
        <v>90000000</v>
      </c>
      <c r="I20" s="102">
        <f>IFERROR(GETPIVOTDATA("Sum of Qty",'[1]DEVICE &amp; VALUE'!$A$6,"ID Store",$C20),0)</f>
        <v>12</v>
      </c>
      <c r="J20" s="104">
        <f t="shared" si="0"/>
        <v>0.6</v>
      </c>
      <c r="K20" s="105">
        <f t="shared" si="1"/>
        <v>-8</v>
      </c>
      <c r="L20" s="106">
        <f>IFERROR(GETPIVOTDATA("Sum of Qty",[1]PF!$A$5,"ID Store",$C20),0)</f>
        <v>2</v>
      </c>
      <c r="M20" s="106">
        <f>IFERROR(GETPIVOTDATA("Sum of Qty",'[1]DEVICE &amp; VALUE'!$A$6,"ID Store",$C20,"Segment Price","3mio&gt;"),0)</f>
        <v>4</v>
      </c>
      <c r="N20" s="107">
        <f t="shared" si="2"/>
        <v>0.333333333333333</v>
      </c>
      <c r="O20" s="108">
        <f>IFERROR(GETPIVOTDATA("Sum of Qty",[1]IQOO!$A$6,"ID Store",$C20),0)</f>
        <v>1</v>
      </c>
      <c r="P20" s="107">
        <f t="shared" si="3"/>
        <v>0.0833333333333333</v>
      </c>
      <c r="Q20" s="107">
        <f t="shared" si="4"/>
        <v>0.333333333333333</v>
      </c>
      <c r="R20" s="109">
        <f>IFERROR(GETPIVOTDATA("Sum of SRP",'[1]DEVICE &amp; VALUE'!$A$6,"ID Store",$C20),0)</f>
        <v>42988000</v>
      </c>
      <c r="S20" s="107">
        <f t="shared" si="5"/>
        <v>0.477644444444444</v>
      </c>
      <c r="T20" s="110">
        <f t="shared" si="6"/>
        <v>-47012000</v>
      </c>
      <c r="U20" s="111">
        <f t="shared" si="7"/>
        <v>60</v>
      </c>
      <c r="V20" s="112">
        <f t="shared" si="8"/>
        <v>3</v>
      </c>
      <c r="W20" s="113">
        <f t="shared" si="9"/>
        <v>40</v>
      </c>
      <c r="X20" s="113">
        <f t="shared" si="10"/>
        <v>20</v>
      </c>
      <c r="Y20" s="113">
        <f t="shared" si="11"/>
        <v>0</v>
      </c>
      <c r="Z20" s="114">
        <f t="shared" si="12"/>
        <v>214940000</v>
      </c>
      <c r="AA20" s="114">
        <f t="shared" si="13"/>
        <v>124940000</v>
      </c>
      <c r="AB20" s="115">
        <f t="shared" si="14"/>
        <v>2.38822222222222</v>
      </c>
      <c r="AC20" s="116">
        <f t="shared" si="15"/>
        <v>0.333333333333333</v>
      </c>
      <c r="AD20" s="117">
        <f t="shared" si="16"/>
        <v>1958833.33333333</v>
      </c>
      <c r="AE20" s="102">
        <f>IFERROR(GETPIVOTDATA("Sum of Qty",'[1]DATA LAST MONTH IQOO'!$A$6,"ID Store",$C20),0)</f>
        <v>18</v>
      </c>
      <c r="AF20" s="118">
        <f>IFERROR(GETPIVOTDATA("Sum of Qty",[1]IQOO!$A$6,"ID Store",$C20),0)</f>
        <v>1</v>
      </c>
      <c r="AG20" s="105">
        <f t="shared" si="17"/>
        <v>-17</v>
      </c>
      <c r="AH20" s="119">
        <f t="shared" si="18"/>
        <v>-0.944444444444444</v>
      </c>
      <c r="AI20" s="120">
        <f>IFERROR(GETPIVOTDATA("Sum of Qty",'[1]DATA LAST MONTH DEVICE'!$A$6,"ID Store",$C20),0)</f>
        <v>78</v>
      </c>
      <c r="AJ20" s="121">
        <f t="shared" si="19"/>
        <v>12</v>
      </c>
      <c r="AK20" s="105">
        <f t="shared" si="20"/>
        <v>-66</v>
      </c>
      <c r="AL20" s="107">
        <f t="shared" si="21"/>
        <v>-0.846153846153846</v>
      </c>
      <c r="AM20" s="106">
        <f>IFERROR(GETPIVOTDATA("Sum of Qty",'[1]Store 3mio+ last month'!$A$6,"ID Store",$C20),0)</f>
        <v>78</v>
      </c>
      <c r="AN20" s="105">
        <f t="shared" si="22"/>
        <v>60</v>
      </c>
      <c r="AO20" s="105">
        <f t="shared" si="23"/>
        <v>-18</v>
      </c>
      <c r="AP20" s="107">
        <f t="shared" si="24"/>
        <v>-0.230769230769231</v>
      </c>
      <c r="AQ20" s="106">
        <f>IFERROR(GETPIVOTDATA("Sum of Qty",'[1]DATA LAST MONTH DEVICE'!$A$6,"ID Store",$C20,"Segment Price","3mio&gt;"),0)</f>
        <v>54</v>
      </c>
      <c r="AR20" s="108">
        <f t="shared" si="25"/>
        <v>4</v>
      </c>
      <c r="AS20" s="108">
        <f t="shared" si="26"/>
        <v>-50</v>
      </c>
      <c r="AT20" s="107">
        <f t="shared" si="27"/>
        <v>-0.925925925925926</v>
      </c>
      <c r="AU20" s="122">
        <f>IFERROR(GETPIVOTDATA("Sum of SRP",'[1]DATA LAST MONTH DEVICE'!$A$6,"ID Store",$C20),0)</f>
        <v>452022000</v>
      </c>
      <c r="AV20" s="122">
        <f t="shared" si="28"/>
        <v>42988000</v>
      </c>
      <c r="AW20" s="122">
        <f t="shared" si="29"/>
        <v>-409034000</v>
      </c>
      <c r="AX20" s="107">
        <f t="shared" si="30"/>
        <v>-0.904898434147011</v>
      </c>
      <c r="AY20" s="122">
        <f>IFERROR(VLOOKUP(C20,'[1]DATA SALES LAST MONTH'!A:E,5,0),0)</f>
        <v>5795153.84615385</v>
      </c>
      <c r="AZ20" s="109">
        <f t="shared" si="31"/>
        <v>3582333.33333333</v>
      </c>
      <c r="BA20" s="109">
        <f t="shared" si="32"/>
        <v>-2212820.51282051</v>
      </c>
      <c r="BB20" s="119">
        <f t="shared" si="33"/>
        <v>-0.381839821955568</v>
      </c>
      <c r="BC20" s="102">
        <f>IFERROR(VLOOKUP(C20,'[1]TARGET THIS MONTH'!C:U,15,0),0)</f>
        <v>2</v>
      </c>
      <c r="BD20" s="123">
        <f>IFERROR(GETPIVOTDATA("Sum of Qty",[1]ACC!$A$5,"ID Store",$C20),0)</f>
        <v>3</v>
      </c>
      <c r="BE20" s="107">
        <f t="shared" si="34"/>
        <v>1.5</v>
      </c>
      <c r="BF20" s="124">
        <f>IFERROR(VLOOKUP(C20,'[1]TARGET THIS MONTH'!C:U,16,0),0)</f>
        <v>450000</v>
      </c>
      <c r="BG20" s="124">
        <f>IFERROR(GETPIVOTDATA("Sum of SRP",'[1]Insurance by Store'!$A$5,"ID Store",$C20,"Product Type","Qoala"),0)</f>
        <v>329000</v>
      </c>
      <c r="BH20" s="107">
        <f t="shared" si="35"/>
        <v>0.731111111111111</v>
      </c>
      <c r="BI20" s="124">
        <f>IFERROR(VLOOKUP(C20,'[1]TARGET THIS MONTH'!C:U,17,0),0)</f>
        <v>90000</v>
      </c>
      <c r="BJ20" s="124">
        <f>IFERROR(GETPIVOTDATA("Sum of SRP",'[1]Insurance by Store'!$A$5,"ID Store",$C20,"Product Type","Vivo Care"),0)</f>
        <v>0</v>
      </c>
      <c r="BK20" s="107">
        <f t="shared" si="36"/>
        <v>0</v>
      </c>
      <c r="BL20" s="105">
        <f>IFERROR(VLOOKUP(C20,'[1]TARGET THIS MONTH'!C:U,18,0),0)</f>
        <v>0.6</v>
      </c>
      <c r="BM20" s="106">
        <f>IFERROR(GETPIVOTDATA("Sum of Qty",'[1]Operator by Store'!$A$5,"ID Store",$C20,"Product Type","Indosat"),0)</f>
        <v>0</v>
      </c>
      <c r="BN20" s="107">
        <f t="shared" si="37"/>
        <v>0</v>
      </c>
      <c r="BO20" s="105">
        <f>VLOOKUP(C20,'[1]TARGET THIS MONTH'!C:U,19,0)</f>
        <v>6</v>
      </c>
      <c r="BP20" s="106">
        <f>IFERROR(GETPIVOTDATA("Sum of Qty",'[1]Operator by Store'!$A$5,"ID Store",$C20,"Product Type","Telkomsel"),0)</f>
        <v>0</v>
      </c>
      <c r="BQ20" s="125">
        <f t="shared" si="38"/>
        <v>0</v>
      </c>
    </row>
    <row r="21" spans="1:69">
      <c r="A21" s="96">
        <v>17</v>
      </c>
      <c r="B21" s="97" t="s">
        <v>63</v>
      </c>
      <c r="C21" s="98">
        <v>6050705</v>
      </c>
      <c r="D21" s="99" t="s">
        <v>67</v>
      </c>
      <c r="E21" s="126" t="s">
        <v>65</v>
      </c>
      <c r="F21" s="101">
        <v>1</v>
      </c>
      <c r="G21" s="102">
        <f>IFERROR(VLOOKUP(C21,'[1]TARGET THIS MONTH'!C:E,3,0),0)</f>
        <v>80</v>
      </c>
      <c r="H21" s="103">
        <f>IFERROR(VLOOKUP(C21,'[1]TARGET THIS MONTH'!C:M,11,0),0)</f>
        <v>440000000</v>
      </c>
      <c r="I21" s="102">
        <f>IFERROR(GETPIVOTDATA("Sum of Qty",'[1]DEVICE &amp; VALUE'!$A$6,"ID Store",$C21),0)</f>
        <v>9</v>
      </c>
      <c r="J21" s="104">
        <f t="shared" si="0"/>
        <v>0.1125</v>
      </c>
      <c r="K21" s="105">
        <f t="shared" si="1"/>
        <v>-71</v>
      </c>
      <c r="L21" s="106">
        <f>IFERROR(GETPIVOTDATA("Sum of Qty",[1]PF!$A$5,"ID Store",$C21),0)</f>
        <v>3</v>
      </c>
      <c r="M21" s="106">
        <f>IFERROR(GETPIVOTDATA("Sum of Qty",'[1]DEVICE &amp; VALUE'!$A$6,"ID Store",$C21,"Segment Price","3mio&gt;"),0)</f>
        <v>5</v>
      </c>
      <c r="N21" s="107">
        <f t="shared" si="2"/>
        <v>0.555555555555556</v>
      </c>
      <c r="O21" s="108">
        <f>IFERROR(GETPIVOTDATA("Sum of Qty",[1]IQOO!$A$6,"ID Store",$C21),0)</f>
        <v>1</v>
      </c>
      <c r="P21" s="107">
        <f t="shared" si="3"/>
        <v>0.111111111111111</v>
      </c>
      <c r="Q21" s="107">
        <f t="shared" si="4"/>
        <v>0.555555555555556</v>
      </c>
      <c r="R21" s="109">
        <f>IFERROR(GETPIVOTDATA("Sum of SRP",'[1]DEVICE &amp; VALUE'!$A$6,"ID Store",$C21),0)</f>
        <v>43391000</v>
      </c>
      <c r="S21" s="107">
        <f t="shared" si="5"/>
        <v>0.0986159090909091</v>
      </c>
      <c r="T21" s="110">
        <f t="shared" si="6"/>
        <v>-396609000</v>
      </c>
      <c r="U21" s="111">
        <f t="shared" si="7"/>
        <v>45</v>
      </c>
      <c r="V21" s="112">
        <f t="shared" si="8"/>
        <v>0.5625</v>
      </c>
      <c r="W21" s="113">
        <f t="shared" si="9"/>
        <v>-35</v>
      </c>
      <c r="X21" s="113">
        <f t="shared" si="10"/>
        <v>25</v>
      </c>
      <c r="Y21" s="113">
        <f t="shared" si="11"/>
        <v>-55</v>
      </c>
      <c r="Z21" s="114">
        <f t="shared" si="12"/>
        <v>216955000</v>
      </c>
      <c r="AA21" s="114">
        <f t="shared" si="13"/>
        <v>-223045000</v>
      </c>
      <c r="AB21" s="115">
        <f t="shared" si="14"/>
        <v>0.493079545454545</v>
      </c>
      <c r="AC21" s="116">
        <f t="shared" si="15"/>
        <v>2.95833333333333</v>
      </c>
      <c r="AD21" s="117">
        <f t="shared" si="16"/>
        <v>16525375</v>
      </c>
      <c r="AE21" s="102">
        <f>IFERROR(GETPIVOTDATA("Sum of Qty",'[1]DATA LAST MONTH IQOO'!$A$6,"ID Store",$C21),0)</f>
        <v>5</v>
      </c>
      <c r="AF21" s="118">
        <f>IFERROR(GETPIVOTDATA("Sum of Qty",[1]IQOO!$A$6,"ID Store",$C21),0)</f>
        <v>1</v>
      </c>
      <c r="AG21" s="105">
        <f t="shared" si="17"/>
        <v>-4</v>
      </c>
      <c r="AH21" s="119">
        <f t="shared" si="18"/>
        <v>-0.8</v>
      </c>
      <c r="AI21" s="120">
        <f>IFERROR(GETPIVOTDATA("Sum of Qty",'[1]DATA LAST MONTH DEVICE'!$A$6,"ID Store",$C21),0)</f>
        <v>18</v>
      </c>
      <c r="AJ21" s="121">
        <f t="shared" si="19"/>
        <v>9</v>
      </c>
      <c r="AK21" s="105">
        <f t="shared" si="20"/>
        <v>-9</v>
      </c>
      <c r="AL21" s="107">
        <f t="shared" si="21"/>
        <v>-0.5</v>
      </c>
      <c r="AM21" s="106">
        <f>IFERROR(GETPIVOTDATA("Sum of Qty",'[1]Store 3mio+ last month'!$A$6,"ID Store",$C21),0)</f>
        <v>18</v>
      </c>
      <c r="AN21" s="105">
        <f t="shared" si="22"/>
        <v>45</v>
      </c>
      <c r="AO21" s="105">
        <f t="shared" si="23"/>
        <v>27</v>
      </c>
      <c r="AP21" s="107">
        <f t="shared" si="24"/>
        <v>1.5</v>
      </c>
      <c r="AQ21" s="106">
        <f>IFERROR(GETPIVOTDATA("Sum of Qty",'[1]DATA LAST MONTH DEVICE'!$A$6,"ID Store",$C21,"Segment Price","3mio&gt;"),0)</f>
        <v>13</v>
      </c>
      <c r="AR21" s="108">
        <f t="shared" si="25"/>
        <v>5</v>
      </c>
      <c r="AS21" s="108">
        <f t="shared" si="26"/>
        <v>-8</v>
      </c>
      <c r="AT21" s="107">
        <f t="shared" si="27"/>
        <v>-0.615384615384615</v>
      </c>
      <c r="AU21" s="122">
        <f>IFERROR(GETPIVOTDATA("Sum of SRP",'[1]DATA LAST MONTH DEVICE'!$A$6,"ID Store",$C21),0)</f>
        <v>91882000</v>
      </c>
      <c r="AV21" s="122">
        <f t="shared" si="28"/>
        <v>43391000</v>
      </c>
      <c r="AW21" s="122">
        <f t="shared" si="29"/>
        <v>-48491000</v>
      </c>
      <c r="AX21" s="107">
        <f t="shared" si="30"/>
        <v>-0.527752987527481</v>
      </c>
      <c r="AY21" s="122">
        <f>IFERROR(VLOOKUP(C21,'[1]DATA SALES LAST MONTH'!A:E,5,0),0)</f>
        <v>0</v>
      </c>
      <c r="AZ21" s="109">
        <f t="shared" si="31"/>
        <v>4821222.22222222</v>
      </c>
      <c r="BA21" s="109">
        <f t="shared" si="32"/>
        <v>4821222.22222222</v>
      </c>
      <c r="BB21" s="119">
        <f t="shared" si="33"/>
        <v>0</v>
      </c>
      <c r="BC21" s="102">
        <f>IFERROR(VLOOKUP(C21,'[1]TARGET THIS MONTH'!C:U,15,0),0)</f>
        <v>8</v>
      </c>
      <c r="BD21" s="123">
        <f>IFERROR(GETPIVOTDATA("Sum of Qty",[1]ACC!$A$5,"ID Store",$C21),0)</f>
        <v>1</v>
      </c>
      <c r="BE21" s="107">
        <f t="shared" si="34"/>
        <v>0.125</v>
      </c>
      <c r="BF21" s="124">
        <f>IFERROR(VLOOKUP(C21,'[1]TARGET THIS MONTH'!C:U,16,0),0)</f>
        <v>2200000</v>
      </c>
      <c r="BG21" s="124">
        <f>IFERROR(GETPIVOTDATA("Sum of SRP",'[1]Insurance by Store'!$A$5,"ID Store",$C21,"Product Type","Qoala"),0)</f>
        <v>578000</v>
      </c>
      <c r="BH21" s="107">
        <f t="shared" si="35"/>
        <v>0.262727272727273</v>
      </c>
      <c r="BI21" s="124">
        <f>IFERROR(VLOOKUP(C21,'[1]TARGET THIS MONTH'!C:U,17,0),0)</f>
        <v>440000</v>
      </c>
      <c r="BJ21" s="124">
        <f>IFERROR(GETPIVOTDATA("Sum of SRP",'[1]Insurance by Store'!$A$5,"ID Store",$C21,"Product Type","Vivo Care"),0)</f>
        <v>0</v>
      </c>
      <c r="BK21" s="107">
        <f t="shared" si="36"/>
        <v>0</v>
      </c>
      <c r="BL21" s="105">
        <f>IFERROR(VLOOKUP(C21,'[1]TARGET THIS MONTH'!C:U,18,0),0)</f>
        <v>2.4</v>
      </c>
      <c r="BM21" s="106">
        <f>IFERROR(GETPIVOTDATA("Sum of Qty",'[1]Operator by Store'!$A$5,"ID Store",$C21,"Product Type","Indosat"),0)</f>
        <v>0</v>
      </c>
      <c r="BN21" s="107">
        <f t="shared" si="37"/>
        <v>0</v>
      </c>
      <c r="BO21" s="105">
        <f>VLOOKUP(C21,'[1]TARGET THIS MONTH'!C:U,19,0)</f>
        <v>24</v>
      </c>
      <c r="BP21" s="106">
        <f>IFERROR(GETPIVOTDATA("Sum of Qty",'[1]Operator by Store'!$A$5,"ID Store",$C21,"Product Type","Telkomsel"),0)</f>
        <v>0</v>
      </c>
      <c r="BQ21" s="125">
        <f t="shared" si="38"/>
        <v>0</v>
      </c>
    </row>
    <row r="22" spans="1:69">
      <c r="A22" s="96">
        <v>18</v>
      </c>
      <c r="B22" s="97" t="s">
        <v>63</v>
      </c>
      <c r="C22" s="98">
        <v>6050706</v>
      </c>
      <c r="D22" s="99" t="s">
        <v>68</v>
      </c>
      <c r="E22" s="126" t="s">
        <v>65</v>
      </c>
      <c r="F22" s="101">
        <v>0</v>
      </c>
      <c r="G22" s="102">
        <f>IFERROR(VLOOKUP(C22,'[1]TARGET THIS MONTH'!C:E,3,0),0)</f>
        <v>30</v>
      </c>
      <c r="H22" s="103">
        <f>IFERROR(VLOOKUP(C22,'[1]TARGET THIS MONTH'!C:M,11,0),0)</f>
        <v>165000000</v>
      </c>
      <c r="I22" s="102">
        <f>IFERROR(GETPIVOTDATA("Sum of Qty",'[1]DEVICE &amp; VALUE'!$A$6,"ID Store",$C22),0)</f>
        <v>15</v>
      </c>
      <c r="J22" s="104">
        <f t="shared" si="0"/>
        <v>0.5</v>
      </c>
      <c r="K22" s="105">
        <f t="shared" si="1"/>
        <v>-15</v>
      </c>
      <c r="L22" s="106">
        <f>IFERROR(GETPIVOTDATA("Sum of Qty",[1]PF!$A$5,"ID Store",$C22),0)</f>
        <v>2</v>
      </c>
      <c r="M22" s="106">
        <f>IFERROR(GETPIVOTDATA("Sum of Qty",'[1]DEVICE &amp; VALUE'!$A$6,"ID Store",$C22,"Segment Price","3mio&gt;"),0)</f>
        <v>3</v>
      </c>
      <c r="N22" s="107">
        <f t="shared" si="2"/>
        <v>0.2</v>
      </c>
      <c r="O22" s="108">
        <f>IFERROR(GETPIVOTDATA("Sum of Qty",[1]IQOO!$A$6,"ID Store",$C22),0)</f>
        <v>0</v>
      </c>
      <c r="P22" s="107">
        <f t="shared" si="3"/>
        <v>0</v>
      </c>
      <c r="Q22" s="107">
        <f t="shared" si="4"/>
        <v>0.2</v>
      </c>
      <c r="R22" s="109">
        <f>IFERROR(GETPIVOTDATA("Sum of SRP",'[1]DEVICE &amp; VALUE'!$A$6,"ID Store",$C22),0)</f>
        <v>50285000</v>
      </c>
      <c r="S22" s="107">
        <f t="shared" si="5"/>
        <v>0.304757575757576</v>
      </c>
      <c r="T22" s="110">
        <f t="shared" si="6"/>
        <v>-114715000</v>
      </c>
      <c r="U22" s="111">
        <f t="shared" si="7"/>
        <v>75</v>
      </c>
      <c r="V22" s="112">
        <f t="shared" si="8"/>
        <v>2.5</v>
      </c>
      <c r="W22" s="113">
        <f t="shared" si="9"/>
        <v>45</v>
      </c>
      <c r="X22" s="113">
        <f t="shared" si="10"/>
        <v>15</v>
      </c>
      <c r="Y22" s="113">
        <f t="shared" si="11"/>
        <v>-15</v>
      </c>
      <c r="Z22" s="114">
        <f t="shared" si="12"/>
        <v>251425000</v>
      </c>
      <c r="AA22" s="114">
        <f t="shared" si="13"/>
        <v>86425000</v>
      </c>
      <c r="AB22" s="115">
        <f t="shared" si="14"/>
        <v>1.52378787878788</v>
      </c>
      <c r="AC22" s="116">
        <f t="shared" si="15"/>
        <v>0.625</v>
      </c>
      <c r="AD22" s="117">
        <f t="shared" si="16"/>
        <v>4779791.66666667</v>
      </c>
      <c r="AE22" s="102">
        <f>IFERROR(GETPIVOTDATA("Sum of Qty",'[1]DATA LAST MONTH IQOO'!$A$6,"ID Store",$C22),0)</f>
        <v>0</v>
      </c>
      <c r="AF22" s="118">
        <f>IFERROR(GETPIVOTDATA("Sum of Qty",[1]IQOO!$A$6,"ID Store",$C22),0)</f>
        <v>0</v>
      </c>
      <c r="AG22" s="105">
        <f t="shared" si="17"/>
        <v>0</v>
      </c>
      <c r="AH22" s="119">
        <f t="shared" si="18"/>
        <v>0</v>
      </c>
      <c r="AI22" s="120">
        <f>IFERROR(GETPIVOTDATA("Sum of Qty",'[1]DATA LAST MONTH DEVICE'!$A$6,"ID Store",$C22),0)</f>
        <v>0</v>
      </c>
      <c r="AJ22" s="121">
        <f t="shared" si="19"/>
        <v>15</v>
      </c>
      <c r="AK22" s="105">
        <f t="shared" si="20"/>
        <v>15</v>
      </c>
      <c r="AL22" s="107">
        <f t="shared" si="21"/>
        <v>0</v>
      </c>
      <c r="AM22" s="106">
        <f>IFERROR(GETPIVOTDATA("Sum of Qty",'[1]Store 3mio+ last month'!$A$6,"ID Store",$C22),0)</f>
        <v>0</v>
      </c>
      <c r="AN22" s="105">
        <f t="shared" si="22"/>
        <v>75</v>
      </c>
      <c r="AO22" s="105">
        <f t="shared" si="23"/>
        <v>75</v>
      </c>
      <c r="AP22" s="107">
        <f t="shared" si="24"/>
        <v>0</v>
      </c>
      <c r="AQ22" s="106">
        <f>IFERROR(GETPIVOTDATA("Sum of Qty",'[1]DATA LAST MONTH DEVICE'!$A$6,"ID Store",$C22,"Segment Price","3mio&gt;"),0)</f>
        <v>0</v>
      </c>
      <c r="AR22" s="108">
        <f t="shared" si="25"/>
        <v>3</v>
      </c>
      <c r="AS22" s="108">
        <f t="shared" si="26"/>
        <v>3</v>
      </c>
      <c r="AT22" s="107">
        <f t="shared" si="27"/>
        <v>0</v>
      </c>
      <c r="AU22" s="122">
        <f>IFERROR(GETPIVOTDATA("Sum of SRP",'[1]DATA LAST MONTH DEVICE'!$A$6,"ID Store",$C22),0)</f>
        <v>0</v>
      </c>
      <c r="AV22" s="122">
        <f t="shared" si="28"/>
        <v>50285000</v>
      </c>
      <c r="AW22" s="122">
        <f t="shared" si="29"/>
        <v>50285000</v>
      </c>
      <c r="AX22" s="107">
        <f t="shared" si="30"/>
        <v>0</v>
      </c>
      <c r="AY22" s="122">
        <f>IFERROR(VLOOKUP(C22,'[1]DATA SALES LAST MONTH'!A:E,5,0),0)</f>
        <v>0</v>
      </c>
      <c r="AZ22" s="109">
        <f t="shared" si="31"/>
        <v>3352333.33333333</v>
      </c>
      <c r="BA22" s="109">
        <f t="shared" si="32"/>
        <v>3352333.33333333</v>
      </c>
      <c r="BB22" s="119">
        <f t="shared" si="33"/>
        <v>0</v>
      </c>
      <c r="BC22" s="102">
        <f>IFERROR(VLOOKUP(C22,'[1]TARGET THIS MONTH'!C:U,15,0),0)</f>
        <v>3</v>
      </c>
      <c r="BD22" s="123">
        <f>IFERROR(GETPIVOTDATA("Sum of Qty",[1]ACC!$A$5,"ID Store",$C22),0)</f>
        <v>2</v>
      </c>
      <c r="BE22" s="107">
        <f t="shared" si="34"/>
        <v>0.666666666666667</v>
      </c>
      <c r="BF22" s="124">
        <f>IFERROR(VLOOKUP(C22,'[1]TARGET THIS MONTH'!C:U,16,0),0)</f>
        <v>825000</v>
      </c>
      <c r="BG22" s="124">
        <f>IFERROR(GETPIVOTDATA("Sum of SRP",'[1]Insurance by Store'!$A$5,"ID Store",$C22,"Product Type","Qoala"),0)</f>
        <v>159000</v>
      </c>
      <c r="BH22" s="107">
        <f t="shared" si="35"/>
        <v>0.192727272727273</v>
      </c>
      <c r="BI22" s="124">
        <f>IFERROR(VLOOKUP(C22,'[1]TARGET THIS MONTH'!C:U,17,0),0)</f>
        <v>165000</v>
      </c>
      <c r="BJ22" s="124">
        <f>IFERROR(GETPIVOTDATA("Sum of SRP",'[1]Insurance by Store'!$A$5,"ID Store",$C22,"Product Type","Vivo Care"),0)</f>
        <v>0</v>
      </c>
      <c r="BK22" s="107">
        <f t="shared" si="36"/>
        <v>0</v>
      </c>
      <c r="BL22" s="105">
        <f>IFERROR(VLOOKUP(C22,'[1]TARGET THIS MONTH'!C:U,18,0),0)</f>
        <v>0.9</v>
      </c>
      <c r="BM22" s="106">
        <f>IFERROR(GETPIVOTDATA("Sum of Qty",'[1]Operator by Store'!$A$5,"ID Store",$C22,"Product Type","Indosat"),0)</f>
        <v>0</v>
      </c>
      <c r="BN22" s="107">
        <f t="shared" si="37"/>
        <v>0</v>
      </c>
      <c r="BO22" s="105">
        <f>VLOOKUP(C22,'[1]TARGET THIS MONTH'!C:U,19,0)</f>
        <v>9</v>
      </c>
      <c r="BP22" s="106">
        <f>IFERROR(GETPIVOTDATA("Sum of Qty",'[1]Operator by Store'!$A$5,"ID Store",$C22,"Product Type","Telkomsel"),0)</f>
        <v>0</v>
      </c>
      <c r="BQ22" s="125">
        <f t="shared" si="38"/>
        <v>0</v>
      </c>
    </row>
    <row r="23" spans="1:69">
      <c r="A23" s="96">
        <v>19</v>
      </c>
      <c r="B23" s="97" t="s">
        <v>69</v>
      </c>
      <c r="C23" s="98">
        <v>6180706</v>
      </c>
      <c r="D23" s="99" t="s">
        <v>70</v>
      </c>
      <c r="E23" s="126" t="s">
        <v>71</v>
      </c>
      <c r="F23" s="101">
        <v>3</v>
      </c>
      <c r="G23" s="102">
        <f>IFERROR(VLOOKUP(C23,'[1]TARGET THIS MONTH'!C:E,3,0),0)</f>
        <v>120</v>
      </c>
      <c r="H23" s="103">
        <f>IFERROR(VLOOKUP(C23,'[1]TARGET THIS MONTH'!C:M,11,0),0)</f>
        <v>624000000</v>
      </c>
      <c r="I23" s="102">
        <f>IFERROR(GETPIVOTDATA("Sum of Qty",'[1]DEVICE &amp; VALUE'!$A$6,"ID Store",$C23),0)</f>
        <v>24</v>
      </c>
      <c r="J23" s="104">
        <f t="shared" si="0"/>
        <v>0.2</v>
      </c>
      <c r="K23" s="105">
        <f t="shared" si="1"/>
        <v>-96</v>
      </c>
      <c r="L23" s="106">
        <f>IFERROR(GETPIVOTDATA("Sum of Qty",[1]PF!$A$5,"ID Store",$C23),0)</f>
        <v>2</v>
      </c>
      <c r="M23" s="106">
        <f>IFERROR(GETPIVOTDATA("Sum of Qty",'[1]DEVICE &amp; VALUE'!$A$6,"ID Store",$C23,"Segment Price","3mio&gt;"),0)</f>
        <v>8</v>
      </c>
      <c r="N23" s="107">
        <f t="shared" si="2"/>
        <v>0.333333333333333</v>
      </c>
      <c r="O23" s="108">
        <f>IFERROR(GETPIVOTDATA("Sum of Qty",[1]IQOO!$A$6,"ID Store",$C23),0)</f>
        <v>0</v>
      </c>
      <c r="P23" s="107">
        <f t="shared" si="3"/>
        <v>0</v>
      </c>
      <c r="Q23" s="107">
        <f t="shared" si="4"/>
        <v>0.333333333333333</v>
      </c>
      <c r="R23" s="109">
        <f>IFERROR(GETPIVOTDATA("Sum of SRP",'[1]DEVICE &amp; VALUE'!$A$6,"ID Store",$C23),0)</f>
        <v>93676000</v>
      </c>
      <c r="S23" s="107">
        <f t="shared" si="5"/>
        <v>0.150121794871795</v>
      </c>
      <c r="T23" s="110">
        <f t="shared" si="6"/>
        <v>-530324000</v>
      </c>
      <c r="U23" s="111">
        <f t="shared" si="7"/>
        <v>120</v>
      </c>
      <c r="V23" s="112">
        <f t="shared" si="8"/>
        <v>1</v>
      </c>
      <c r="W23" s="113">
        <f t="shared" si="9"/>
        <v>0</v>
      </c>
      <c r="X23" s="113">
        <f t="shared" si="10"/>
        <v>40</v>
      </c>
      <c r="Y23" s="113">
        <f t="shared" si="11"/>
        <v>-80</v>
      </c>
      <c r="Z23" s="114">
        <f t="shared" si="12"/>
        <v>468380000</v>
      </c>
      <c r="AA23" s="114">
        <f t="shared" si="13"/>
        <v>-155620000</v>
      </c>
      <c r="AB23" s="115">
        <f t="shared" si="14"/>
        <v>0.750608974358974</v>
      </c>
      <c r="AC23" s="116">
        <f t="shared" si="15"/>
        <v>4</v>
      </c>
      <c r="AD23" s="117">
        <f t="shared" si="16"/>
        <v>22096833.3333333</v>
      </c>
      <c r="AE23" s="102">
        <f>IFERROR(GETPIVOTDATA("Sum of Qty",'[1]DATA LAST MONTH IQOO'!$A$6,"ID Store",$C23),0)</f>
        <v>40</v>
      </c>
      <c r="AF23" s="118">
        <f>IFERROR(GETPIVOTDATA("Sum of Qty",[1]IQOO!$A$6,"ID Store",$C23),0)</f>
        <v>0</v>
      </c>
      <c r="AG23" s="105">
        <f t="shared" si="17"/>
        <v>-40</v>
      </c>
      <c r="AH23" s="119">
        <f t="shared" si="18"/>
        <v>-1</v>
      </c>
      <c r="AI23" s="120">
        <f>IFERROR(GETPIVOTDATA("Sum of Qty",'[1]DATA LAST MONTH DEVICE'!$A$6,"ID Store",$C23),0)</f>
        <v>132</v>
      </c>
      <c r="AJ23" s="121">
        <f t="shared" si="19"/>
        <v>24</v>
      </c>
      <c r="AK23" s="105">
        <f t="shared" si="20"/>
        <v>-108</v>
      </c>
      <c r="AL23" s="107">
        <f t="shared" si="21"/>
        <v>-0.818181818181818</v>
      </c>
      <c r="AM23" s="106">
        <f>IFERROR(GETPIVOTDATA("Sum of Qty",'[1]Store 3mio+ last month'!$A$6,"ID Store",$C23),0)</f>
        <v>132</v>
      </c>
      <c r="AN23" s="105">
        <f t="shared" si="22"/>
        <v>120</v>
      </c>
      <c r="AO23" s="105">
        <f t="shared" si="23"/>
        <v>-12</v>
      </c>
      <c r="AP23" s="107">
        <f t="shared" si="24"/>
        <v>-0.0909090909090909</v>
      </c>
      <c r="AQ23" s="106">
        <f>IFERROR(GETPIVOTDATA("Sum of Qty",'[1]DATA LAST MONTH DEVICE'!$A$6,"ID Store",$C23,"Segment Price","3mio&gt;"),0)</f>
        <v>79</v>
      </c>
      <c r="AR23" s="108">
        <f t="shared" si="25"/>
        <v>8</v>
      </c>
      <c r="AS23" s="108">
        <f t="shared" si="26"/>
        <v>-71</v>
      </c>
      <c r="AT23" s="107">
        <f t="shared" si="27"/>
        <v>-0.89873417721519</v>
      </c>
      <c r="AU23" s="122">
        <f>IFERROR(GETPIVOTDATA("Sum of SRP",'[1]DATA LAST MONTH DEVICE'!$A$6,"ID Store",$C23),0)</f>
        <v>741568000</v>
      </c>
      <c r="AV23" s="122">
        <f t="shared" si="28"/>
        <v>93676000</v>
      </c>
      <c r="AW23" s="122">
        <f t="shared" si="29"/>
        <v>-647892000</v>
      </c>
      <c r="AX23" s="107">
        <f t="shared" si="30"/>
        <v>-0.873678475878139</v>
      </c>
      <c r="AY23" s="122">
        <f>IFERROR(VLOOKUP(C23,'[1]DATA SALES LAST MONTH'!A:E,5,0),0)</f>
        <v>5617939.39393939</v>
      </c>
      <c r="AZ23" s="109">
        <f t="shared" si="31"/>
        <v>3903166.66666667</v>
      </c>
      <c r="BA23" s="109">
        <f t="shared" si="32"/>
        <v>-1714772.72727273</v>
      </c>
      <c r="BB23" s="119">
        <f t="shared" si="33"/>
        <v>-0.305231617329766</v>
      </c>
      <c r="BC23" s="102">
        <f>IFERROR(VLOOKUP(C23,'[1]TARGET THIS MONTH'!C:U,15,0),0)</f>
        <v>12</v>
      </c>
      <c r="BD23" s="123">
        <f>IFERROR(GETPIVOTDATA("Sum of Qty",[1]ACC!$A$5,"ID Store",$C23),0)</f>
        <v>1</v>
      </c>
      <c r="BE23" s="107">
        <f t="shared" si="34"/>
        <v>0.0833333333333333</v>
      </c>
      <c r="BF23" s="124">
        <f>IFERROR(VLOOKUP(C23,'[1]TARGET THIS MONTH'!C:U,16,0),0)</f>
        <v>3120000</v>
      </c>
      <c r="BG23" s="124">
        <f>IFERROR(GETPIVOTDATA("Sum of SRP",'[1]Insurance by Store'!$A$5,"ID Store",$C23,"Product Type","Qoala"),0)</f>
        <v>159000</v>
      </c>
      <c r="BH23" s="107">
        <f t="shared" si="35"/>
        <v>0.0509615384615385</v>
      </c>
      <c r="BI23" s="124">
        <f>IFERROR(VLOOKUP(C23,'[1]TARGET THIS MONTH'!C:U,17,0),0)</f>
        <v>624000</v>
      </c>
      <c r="BJ23" s="124">
        <f>IFERROR(GETPIVOTDATA("Sum of SRP",'[1]Insurance by Store'!$A$5,"ID Store",$C23,"Product Type","Vivo Care"),0)</f>
        <v>0</v>
      </c>
      <c r="BK23" s="107">
        <f t="shared" si="36"/>
        <v>0</v>
      </c>
      <c r="BL23" s="105">
        <f>IFERROR(VLOOKUP(C23,'[1]TARGET THIS MONTH'!C:U,18,0),0)</f>
        <v>3.6</v>
      </c>
      <c r="BM23" s="106">
        <f>IFERROR(GETPIVOTDATA("Sum of Qty",'[1]Operator by Store'!$A$5,"ID Store",$C23,"Product Type","Indosat"),0)</f>
        <v>0</v>
      </c>
      <c r="BN23" s="107">
        <f t="shared" si="37"/>
        <v>0</v>
      </c>
      <c r="BO23" s="105">
        <f>VLOOKUP(C23,'[1]TARGET THIS MONTH'!C:U,19,0)</f>
        <v>36</v>
      </c>
      <c r="BP23" s="106">
        <f>IFERROR(GETPIVOTDATA("Sum of Qty",'[1]Operator by Store'!$A$5,"ID Store",$C23,"Product Type","Telkomsel"),0)</f>
        <v>0</v>
      </c>
      <c r="BQ23" s="125">
        <f t="shared" si="38"/>
        <v>0</v>
      </c>
    </row>
    <row r="24" spans="1:69">
      <c r="A24" s="96">
        <v>20</v>
      </c>
      <c r="B24" s="97" t="s">
        <v>69</v>
      </c>
      <c r="C24" s="98">
        <v>6180707</v>
      </c>
      <c r="D24" s="99" t="s">
        <v>72</v>
      </c>
      <c r="E24" s="126" t="s">
        <v>71</v>
      </c>
      <c r="F24" s="101">
        <v>1</v>
      </c>
      <c r="G24" s="102">
        <f>IFERROR(VLOOKUP(C24,'[1]TARGET THIS MONTH'!C:E,3,0),0)</f>
        <v>20</v>
      </c>
      <c r="H24" s="103">
        <f>IFERROR(VLOOKUP(C24,'[1]TARGET THIS MONTH'!C:M,11,0),0)</f>
        <v>100000000</v>
      </c>
      <c r="I24" s="102">
        <f>IFERROR(GETPIVOTDATA("Sum of Qty",'[1]DEVICE &amp; VALUE'!$A$6,"ID Store",$C24),0)</f>
        <v>2</v>
      </c>
      <c r="J24" s="104">
        <f t="shared" si="0"/>
        <v>0.1</v>
      </c>
      <c r="K24" s="105">
        <f t="shared" si="1"/>
        <v>-18</v>
      </c>
      <c r="L24" s="106">
        <f>IFERROR(GETPIVOTDATA("Sum of Qty",[1]PF!$A$5,"ID Store",$C24),0)</f>
        <v>1</v>
      </c>
      <c r="M24" s="106">
        <f>IFERROR(GETPIVOTDATA("Sum of Qty",'[1]DEVICE &amp; VALUE'!$A$6,"ID Store",$C24,"Segment Price","3mio&gt;"),0)</f>
        <v>1</v>
      </c>
      <c r="N24" s="107">
        <f t="shared" si="2"/>
        <v>0.5</v>
      </c>
      <c r="O24" s="108">
        <f>IFERROR(GETPIVOTDATA("Sum of Qty",[1]IQOO!$A$6,"ID Store",$C24),0)</f>
        <v>0</v>
      </c>
      <c r="P24" s="107">
        <f t="shared" si="3"/>
        <v>0</v>
      </c>
      <c r="Q24" s="107">
        <f t="shared" si="4"/>
        <v>0.5</v>
      </c>
      <c r="R24" s="109">
        <f>IFERROR(GETPIVOTDATA("Sum of SRP",'[1]DEVICE &amp; VALUE'!$A$6,"ID Store",$C24),0)</f>
        <v>7698000</v>
      </c>
      <c r="S24" s="107">
        <f t="shared" si="5"/>
        <v>0.07698</v>
      </c>
      <c r="T24" s="110">
        <f t="shared" si="6"/>
        <v>-92302000</v>
      </c>
      <c r="U24" s="111">
        <f t="shared" si="7"/>
        <v>10</v>
      </c>
      <c r="V24" s="112">
        <f t="shared" si="8"/>
        <v>0.5</v>
      </c>
      <c r="W24" s="113">
        <f t="shared" si="9"/>
        <v>-10</v>
      </c>
      <c r="X24" s="113">
        <f t="shared" si="10"/>
        <v>5</v>
      </c>
      <c r="Y24" s="113">
        <f t="shared" si="11"/>
        <v>-15</v>
      </c>
      <c r="Z24" s="114">
        <f t="shared" si="12"/>
        <v>38490000</v>
      </c>
      <c r="AA24" s="114">
        <f t="shared" si="13"/>
        <v>-61510000</v>
      </c>
      <c r="AB24" s="115">
        <f t="shared" si="14"/>
        <v>0.3849</v>
      </c>
      <c r="AC24" s="116">
        <f t="shared" si="15"/>
        <v>0.75</v>
      </c>
      <c r="AD24" s="117">
        <f t="shared" si="16"/>
        <v>3845916.66666667</v>
      </c>
      <c r="AE24" s="102">
        <f>IFERROR(GETPIVOTDATA("Sum of Qty",'[1]DATA LAST MONTH IQOO'!$A$6,"ID Store",$C24),0)</f>
        <v>4</v>
      </c>
      <c r="AF24" s="118">
        <f>IFERROR(GETPIVOTDATA("Sum of Qty",[1]IQOO!$A$6,"ID Store",$C24),0)</f>
        <v>0</v>
      </c>
      <c r="AG24" s="105">
        <f t="shared" si="17"/>
        <v>-4</v>
      </c>
      <c r="AH24" s="119">
        <f t="shared" si="18"/>
        <v>-1</v>
      </c>
      <c r="AI24" s="120">
        <f>IFERROR(GETPIVOTDATA("Sum of Qty",'[1]DATA LAST MONTH DEVICE'!$A$6,"ID Store",$C24),0)</f>
        <v>28</v>
      </c>
      <c r="AJ24" s="121">
        <f t="shared" si="19"/>
        <v>2</v>
      </c>
      <c r="AK24" s="105">
        <f t="shared" si="20"/>
        <v>-26</v>
      </c>
      <c r="AL24" s="107">
        <f t="shared" si="21"/>
        <v>-0.928571428571429</v>
      </c>
      <c r="AM24" s="106">
        <f>IFERROR(GETPIVOTDATA("Sum of Qty",'[1]Store 3mio+ last month'!$A$6,"ID Store",$C24),0)</f>
        <v>28</v>
      </c>
      <c r="AN24" s="105">
        <f t="shared" si="22"/>
        <v>10</v>
      </c>
      <c r="AO24" s="105">
        <f t="shared" si="23"/>
        <v>-18</v>
      </c>
      <c r="AP24" s="107">
        <f t="shared" si="24"/>
        <v>-0.642857142857143</v>
      </c>
      <c r="AQ24" s="106">
        <f>IFERROR(GETPIVOTDATA("Sum of Qty",'[1]DATA LAST MONTH DEVICE'!$A$6,"ID Store",$C24,"Segment Price","3mio&gt;"),0)</f>
        <v>13</v>
      </c>
      <c r="AR24" s="108">
        <f t="shared" si="25"/>
        <v>1</v>
      </c>
      <c r="AS24" s="108">
        <f t="shared" si="26"/>
        <v>-12</v>
      </c>
      <c r="AT24" s="107">
        <f t="shared" si="27"/>
        <v>-0.923076923076923</v>
      </c>
      <c r="AU24" s="122">
        <f>IFERROR(GETPIVOTDATA("Sum of SRP",'[1]DATA LAST MONTH DEVICE'!$A$6,"ID Store",$C24),0)</f>
        <v>125772000</v>
      </c>
      <c r="AV24" s="122">
        <f t="shared" si="28"/>
        <v>7698000</v>
      </c>
      <c r="AW24" s="122">
        <f t="shared" si="29"/>
        <v>-118074000</v>
      </c>
      <c r="AX24" s="107">
        <f t="shared" si="30"/>
        <v>-0.938794008205324</v>
      </c>
      <c r="AY24" s="122">
        <f>IFERROR(VLOOKUP(C24,'[1]DATA SALES LAST MONTH'!A:E,5,0),0)</f>
        <v>4491857.14285714</v>
      </c>
      <c r="AZ24" s="109">
        <f t="shared" si="31"/>
        <v>3849000</v>
      </c>
      <c r="BA24" s="109">
        <f t="shared" si="32"/>
        <v>-642857.142857143</v>
      </c>
      <c r="BB24" s="119">
        <f t="shared" si="33"/>
        <v>-0.143116114874535</v>
      </c>
      <c r="BC24" s="102">
        <f>IFERROR(VLOOKUP(C24,'[1]TARGET THIS MONTH'!C:U,15,0),0)</f>
        <v>2</v>
      </c>
      <c r="BD24" s="123">
        <f>IFERROR(GETPIVOTDATA("Sum of Qty",[1]ACC!$A$5,"ID Store",$C24),0)</f>
        <v>0</v>
      </c>
      <c r="BE24" s="107">
        <f t="shared" si="34"/>
        <v>0</v>
      </c>
      <c r="BF24" s="124">
        <f>IFERROR(VLOOKUP(C24,'[1]TARGET THIS MONTH'!C:U,16,0),0)</f>
        <v>100000</v>
      </c>
      <c r="BG24" s="124">
        <f>IFERROR(GETPIVOTDATA("Sum of SRP",'[1]Insurance by Store'!$A$5,"ID Store",$C24,"Product Type","Qoala"),0)</f>
        <v>0</v>
      </c>
      <c r="BH24" s="107">
        <f t="shared" si="35"/>
        <v>0</v>
      </c>
      <c r="BI24" s="124">
        <f>IFERROR(VLOOKUP(C24,'[1]TARGET THIS MONTH'!C:U,17,0),0)</f>
        <v>100000</v>
      </c>
      <c r="BJ24" s="124">
        <f>IFERROR(GETPIVOTDATA("Sum of SRP",'[1]Insurance by Store'!$A$5,"ID Store",$C24,"Product Type","Vivo Care"),0)</f>
        <v>0</v>
      </c>
      <c r="BK24" s="107">
        <f t="shared" si="36"/>
        <v>0</v>
      </c>
      <c r="BL24" s="105">
        <f>IFERROR(VLOOKUP(C24,'[1]TARGET THIS MONTH'!C:U,18,0),0)</f>
        <v>0.6</v>
      </c>
      <c r="BM24" s="106">
        <f>IFERROR(GETPIVOTDATA("Sum of Qty",'[1]Operator by Store'!$A$5,"ID Store",$C24,"Product Type","Indosat"),0)</f>
        <v>0</v>
      </c>
      <c r="BN24" s="107">
        <f t="shared" si="37"/>
        <v>0</v>
      </c>
      <c r="BO24" s="105">
        <f>VLOOKUP(C24,'[1]TARGET THIS MONTH'!C:U,19,0)</f>
        <v>6</v>
      </c>
      <c r="BP24" s="106">
        <f>IFERROR(GETPIVOTDATA("Sum of Qty",'[1]Operator by Store'!$A$5,"ID Store",$C24,"Product Type","Telkomsel"),0)</f>
        <v>0</v>
      </c>
      <c r="BQ24" s="125">
        <f t="shared" si="38"/>
        <v>0</v>
      </c>
    </row>
    <row r="25" spans="1:69">
      <c r="A25" s="96">
        <v>21</v>
      </c>
      <c r="B25" s="97" t="s">
        <v>73</v>
      </c>
      <c r="C25" s="98">
        <v>6170707</v>
      </c>
      <c r="D25" s="99" t="s">
        <v>74</v>
      </c>
      <c r="E25" s="127" t="s">
        <v>75</v>
      </c>
      <c r="F25" s="101">
        <v>2</v>
      </c>
      <c r="G25" s="102">
        <f>IFERROR(VLOOKUP(C25,'[1]TARGET THIS MONTH'!C:E,3,0),0)</f>
        <v>80</v>
      </c>
      <c r="H25" s="103">
        <f>IFERROR(VLOOKUP(C25,'[1]TARGET THIS MONTH'!C:M,11,0),0)</f>
        <v>344000000</v>
      </c>
      <c r="I25" s="102">
        <f>IFERROR(GETPIVOTDATA("Sum of Qty",'[1]DEVICE &amp; VALUE'!$A$6,"ID Store",$C25),0)</f>
        <v>16</v>
      </c>
      <c r="J25" s="104">
        <f t="shared" si="0"/>
        <v>0.2</v>
      </c>
      <c r="K25" s="105">
        <f t="shared" si="1"/>
        <v>-64</v>
      </c>
      <c r="L25" s="106">
        <f>IFERROR(GETPIVOTDATA("Sum of Qty",[1]PF!$A$5,"ID Store",$C25),0)</f>
        <v>1</v>
      </c>
      <c r="M25" s="106">
        <f>IFERROR(GETPIVOTDATA("Sum of Qty",'[1]DEVICE &amp; VALUE'!$A$6,"ID Store",$C25,"Segment Price","3mio&gt;"),0)</f>
        <v>2</v>
      </c>
      <c r="N25" s="107">
        <f t="shared" si="2"/>
        <v>0.125</v>
      </c>
      <c r="O25" s="108">
        <f>IFERROR(GETPIVOTDATA("Sum of Qty",[1]IQOO!$A$6,"ID Store",$C25),0)</f>
        <v>0</v>
      </c>
      <c r="P25" s="107">
        <f t="shared" si="3"/>
        <v>0</v>
      </c>
      <c r="Q25" s="107">
        <f t="shared" si="4"/>
        <v>0.125</v>
      </c>
      <c r="R25" s="109">
        <f>IFERROR(GETPIVOTDATA("Sum of SRP",'[1]DEVICE &amp; VALUE'!$A$6,"ID Store",$C25),0)</f>
        <v>46684000</v>
      </c>
      <c r="S25" s="107">
        <f t="shared" si="5"/>
        <v>0.135709302325581</v>
      </c>
      <c r="T25" s="110">
        <f t="shared" si="6"/>
        <v>-297316000</v>
      </c>
      <c r="U25" s="111">
        <f t="shared" si="7"/>
        <v>80</v>
      </c>
      <c r="V25" s="112">
        <f t="shared" si="8"/>
        <v>1</v>
      </c>
      <c r="W25" s="113">
        <f t="shared" si="9"/>
        <v>0</v>
      </c>
      <c r="X25" s="113">
        <f t="shared" si="10"/>
        <v>10</v>
      </c>
      <c r="Y25" s="113">
        <f t="shared" si="11"/>
        <v>-70</v>
      </c>
      <c r="Z25" s="114">
        <f t="shared" si="12"/>
        <v>233420000</v>
      </c>
      <c r="AA25" s="114">
        <f t="shared" si="13"/>
        <v>-110580000</v>
      </c>
      <c r="AB25" s="115">
        <f t="shared" si="14"/>
        <v>0.678546511627907</v>
      </c>
      <c r="AC25" s="116">
        <f t="shared" si="15"/>
        <v>2.66666666666667</v>
      </c>
      <c r="AD25" s="117">
        <f t="shared" si="16"/>
        <v>12388166.6666667</v>
      </c>
      <c r="AE25" s="102">
        <f>IFERROR(GETPIVOTDATA("Sum of Qty",'[1]DATA LAST MONTH IQOO'!$A$6,"ID Store",$C25),0)</f>
        <v>4</v>
      </c>
      <c r="AF25" s="118">
        <f>IFERROR(GETPIVOTDATA("Sum of Qty",[1]IQOO!$A$6,"ID Store",$C25),0)</f>
        <v>0</v>
      </c>
      <c r="AG25" s="105">
        <f t="shared" si="17"/>
        <v>-4</v>
      </c>
      <c r="AH25" s="119">
        <f t="shared" si="18"/>
        <v>-1</v>
      </c>
      <c r="AI25" s="120">
        <f>IFERROR(GETPIVOTDATA("Sum of Qty",'[1]DATA LAST MONTH DEVICE'!$A$6,"ID Store",$C25),0)</f>
        <v>63</v>
      </c>
      <c r="AJ25" s="121">
        <f t="shared" si="19"/>
        <v>16</v>
      </c>
      <c r="AK25" s="105">
        <f t="shared" si="20"/>
        <v>-47</v>
      </c>
      <c r="AL25" s="107">
        <f t="shared" si="21"/>
        <v>-0.746031746031746</v>
      </c>
      <c r="AM25" s="106">
        <f>IFERROR(GETPIVOTDATA("Sum of Qty",'[1]Store 3mio+ last month'!$A$6,"ID Store",$C25),0)</f>
        <v>63</v>
      </c>
      <c r="AN25" s="105">
        <f t="shared" si="22"/>
        <v>80</v>
      </c>
      <c r="AO25" s="105">
        <f t="shared" si="23"/>
        <v>17</v>
      </c>
      <c r="AP25" s="107">
        <f t="shared" si="24"/>
        <v>0.26984126984127</v>
      </c>
      <c r="AQ25" s="106">
        <f>IFERROR(GETPIVOTDATA("Sum of Qty",'[1]DATA LAST MONTH DEVICE'!$A$6,"ID Store",$C25,"Segment Price","3mio&gt;"),0)</f>
        <v>23</v>
      </c>
      <c r="AR25" s="108">
        <f t="shared" si="25"/>
        <v>2</v>
      </c>
      <c r="AS25" s="108">
        <f t="shared" si="26"/>
        <v>-21</v>
      </c>
      <c r="AT25" s="107">
        <f t="shared" si="27"/>
        <v>-0.91304347826087</v>
      </c>
      <c r="AU25" s="122">
        <f>IFERROR(GETPIVOTDATA("Sum of SRP",'[1]DATA LAST MONTH DEVICE'!$A$6,"ID Store",$C25),0)</f>
        <v>250237000</v>
      </c>
      <c r="AV25" s="122">
        <f t="shared" si="28"/>
        <v>46684000</v>
      </c>
      <c r="AW25" s="122">
        <f t="shared" si="29"/>
        <v>-203553000</v>
      </c>
      <c r="AX25" s="107">
        <f t="shared" si="30"/>
        <v>-0.813440858066553</v>
      </c>
      <c r="AY25" s="122">
        <f>IFERROR(VLOOKUP(C25,'[1]DATA SALES LAST MONTH'!A:E,5,0),0)</f>
        <v>3972015.87301587</v>
      </c>
      <c r="AZ25" s="109">
        <f t="shared" si="31"/>
        <v>2917750</v>
      </c>
      <c r="BA25" s="109">
        <f t="shared" si="32"/>
        <v>-1054265.87301587</v>
      </c>
      <c r="BB25" s="119">
        <f t="shared" si="33"/>
        <v>-0.265423378637052</v>
      </c>
      <c r="BC25" s="102">
        <f>IFERROR(VLOOKUP(C25,'[1]TARGET THIS MONTH'!C:U,15,0),0)</f>
        <v>8</v>
      </c>
      <c r="BD25" s="123">
        <f>IFERROR(GETPIVOTDATA("Sum of Qty",[1]ACC!$A$5,"ID Store",$C25),0)</f>
        <v>5</v>
      </c>
      <c r="BE25" s="107">
        <f t="shared" si="34"/>
        <v>0.625</v>
      </c>
      <c r="BF25" s="124">
        <f>IFERROR(VLOOKUP(C25,'[1]TARGET THIS MONTH'!C:U,16,0),0)</f>
        <v>1720000</v>
      </c>
      <c r="BG25" s="124">
        <f>IFERROR(GETPIVOTDATA("Sum of SRP",'[1]Insurance by Store'!$A$5,"ID Store",$C25,"Product Type","Qoala"),0)</f>
        <v>0</v>
      </c>
      <c r="BH25" s="107">
        <f t="shared" si="35"/>
        <v>0</v>
      </c>
      <c r="BI25" s="124">
        <f>IFERROR(VLOOKUP(C25,'[1]TARGET THIS MONTH'!C:U,17,0),0)</f>
        <v>344000</v>
      </c>
      <c r="BJ25" s="124">
        <f>IFERROR(GETPIVOTDATA("Sum of SRP",'[1]Insurance by Store'!$A$5,"ID Store",$C25,"Product Type","Vivo Care"),0)</f>
        <v>0</v>
      </c>
      <c r="BK25" s="107">
        <f t="shared" si="36"/>
        <v>0</v>
      </c>
      <c r="BL25" s="105">
        <f>IFERROR(VLOOKUP(C25,'[1]TARGET THIS MONTH'!C:U,18,0),0)</f>
        <v>2.4</v>
      </c>
      <c r="BM25" s="106">
        <f>IFERROR(GETPIVOTDATA("Sum of Qty",'[1]Operator by Store'!$A$5,"ID Store",$C25,"Product Type","Indosat"),0)</f>
        <v>0</v>
      </c>
      <c r="BN25" s="107">
        <f t="shared" si="37"/>
        <v>0</v>
      </c>
      <c r="BO25" s="105">
        <f>VLOOKUP(C25,'[1]TARGET THIS MONTH'!C:U,19,0)</f>
        <v>24</v>
      </c>
      <c r="BP25" s="106">
        <f>IFERROR(GETPIVOTDATA("Sum of Qty",'[1]Operator by Store'!$A$5,"ID Store",$C25,"Product Type","Telkomsel"),0)</f>
        <v>0</v>
      </c>
      <c r="BQ25" s="125">
        <f t="shared" si="38"/>
        <v>0</v>
      </c>
    </row>
    <row r="26" spans="1:69">
      <c r="A26" s="96">
        <v>22</v>
      </c>
      <c r="B26" s="97" t="s">
        <v>73</v>
      </c>
      <c r="C26" s="98">
        <v>6240702</v>
      </c>
      <c r="D26" s="99" t="s">
        <v>76</v>
      </c>
      <c r="E26" s="127" t="s">
        <v>75</v>
      </c>
      <c r="F26" s="101">
        <v>3</v>
      </c>
      <c r="G26" s="102">
        <f>IFERROR(VLOOKUP(C26,'[1]TARGET THIS MONTH'!C:E,3,0),0)</f>
        <v>100</v>
      </c>
      <c r="H26" s="103">
        <f>IFERROR(VLOOKUP(C26,'[1]TARGET THIS MONTH'!C:M,11,0),0)</f>
        <v>430000000</v>
      </c>
      <c r="I26" s="102">
        <f>IFERROR(GETPIVOTDATA("Sum of Qty",'[1]DEVICE &amp; VALUE'!$A$6,"ID Store",$C26),0)</f>
        <v>19</v>
      </c>
      <c r="J26" s="104">
        <f t="shared" si="0"/>
        <v>0.19</v>
      </c>
      <c r="K26" s="105">
        <f t="shared" si="1"/>
        <v>-81</v>
      </c>
      <c r="L26" s="106">
        <f>IFERROR(GETPIVOTDATA("Sum of Qty",[1]PF!$A$5,"ID Store",$C26),0)</f>
        <v>3</v>
      </c>
      <c r="M26" s="106">
        <f>IFERROR(GETPIVOTDATA("Sum of Qty",'[1]DEVICE &amp; VALUE'!$A$6,"ID Store",$C26,"Segment Price","3mio&gt;"),0)</f>
        <v>8</v>
      </c>
      <c r="N26" s="107">
        <f t="shared" si="2"/>
        <v>0.421052631578947</v>
      </c>
      <c r="O26" s="108">
        <f>IFERROR(GETPIVOTDATA("Sum of Qty",[1]IQOO!$A$6,"ID Store",$C26),0)</f>
        <v>0</v>
      </c>
      <c r="P26" s="107">
        <f t="shared" si="3"/>
        <v>0</v>
      </c>
      <c r="Q26" s="107">
        <f t="shared" si="4"/>
        <v>0.421052631578947</v>
      </c>
      <c r="R26" s="109">
        <f>IFERROR(GETPIVOTDATA("Sum of SRP",'[1]DEVICE &amp; VALUE'!$A$6,"ID Store",$C26),0)</f>
        <v>76181000</v>
      </c>
      <c r="S26" s="107">
        <f t="shared" si="5"/>
        <v>0.17716511627907</v>
      </c>
      <c r="T26" s="110">
        <f t="shared" si="6"/>
        <v>-353819000</v>
      </c>
      <c r="U26" s="111">
        <f t="shared" si="7"/>
        <v>95</v>
      </c>
      <c r="V26" s="112">
        <f t="shared" si="8"/>
        <v>0.95</v>
      </c>
      <c r="W26" s="113">
        <f t="shared" si="9"/>
        <v>-5</v>
      </c>
      <c r="X26" s="113">
        <f t="shared" si="10"/>
        <v>40</v>
      </c>
      <c r="Y26" s="113">
        <f t="shared" si="11"/>
        <v>-60</v>
      </c>
      <c r="Z26" s="114">
        <f t="shared" si="12"/>
        <v>380905000</v>
      </c>
      <c r="AA26" s="114">
        <f t="shared" si="13"/>
        <v>-49095000</v>
      </c>
      <c r="AB26" s="115">
        <f t="shared" si="14"/>
        <v>0.885825581395349</v>
      </c>
      <c r="AC26" s="116">
        <f t="shared" si="15"/>
        <v>3.375</v>
      </c>
      <c r="AD26" s="117">
        <f t="shared" si="16"/>
        <v>14742458.3333333</v>
      </c>
      <c r="AE26" s="102">
        <f>IFERROR(GETPIVOTDATA("Sum of Qty",'[1]DATA LAST MONTH IQOO'!$A$6,"ID Store",$C26),0)</f>
        <v>13</v>
      </c>
      <c r="AF26" s="118">
        <f>IFERROR(GETPIVOTDATA("Sum of Qty",[1]IQOO!$A$6,"ID Store",$C26),0)</f>
        <v>0</v>
      </c>
      <c r="AG26" s="105">
        <f t="shared" si="17"/>
        <v>-13</v>
      </c>
      <c r="AH26" s="119">
        <f t="shared" si="18"/>
        <v>-1</v>
      </c>
      <c r="AI26" s="120">
        <f>IFERROR(GETPIVOTDATA("Sum of Qty",'[1]DATA LAST MONTH DEVICE'!$A$6,"ID Store",$C26),0)</f>
        <v>87</v>
      </c>
      <c r="AJ26" s="121">
        <f t="shared" si="19"/>
        <v>19</v>
      </c>
      <c r="AK26" s="105">
        <f t="shared" si="20"/>
        <v>-68</v>
      </c>
      <c r="AL26" s="107">
        <f t="shared" si="21"/>
        <v>-0.781609195402299</v>
      </c>
      <c r="AM26" s="106">
        <f>IFERROR(GETPIVOTDATA("Sum of Qty",'[1]Store 3mio+ last month'!$A$6,"ID Store",$C26),0)</f>
        <v>87</v>
      </c>
      <c r="AN26" s="105">
        <f t="shared" si="22"/>
        <v>95</v>
      </c>
      <c r="AO26" s="105">
        <f t="shared" si="23"/>
        <v>8</v>
      </c>
      <c r="AP26" s="107">
        <f t="shared" si="24"/>
        <v>0.0919540229885057</v>
      </c>
      <c r="AQ26" s="106">
        <f>IFERROR(GETPIVOTDATA("Sum of Qty",'[1]DATA LAST MONTH DEVICE'!$A$6,"ID Store",$C26,"Segment Price","3mio&gt;"),0)</f>
        <v>44</v>
      </c>
      <c r="AR26" s="108">
        <f t="shared" si="25"/>
        <v>8</v>
      </c>
      <c r="AS26" s="108">
        <f t="shared" si="26"/>
        <v>-36</v>
      </c>
      <c r="AT26" s="107">
        <f t="shared" si="27"/>
        <v>-0.818181818181818</v>
      </c>
      <c r="AU26" s="122">
        <f>IFERROR(GETPIVOTDATA("Sum of SRP",'[1]DATA LAST MONTH DEVICE'!$A$6,"ID Store",$C26),0)</f>
        <v>396913000</v>
      </c>
      <c r="AV26" s="122">
        <f t="shared" si="28"/>
        <v>76181000</v>
      </c>
      <c r="AW26" s="122">
        <f t="shared" si="29"/>
        <v>-320732000</v>
      </c>
      <c r="AX26" s="107">
        <f t="shared" si="30"/>
        <v>-0.808066251294364</v>
      </c>
      <c r="AY26" s="122">
        <f>IFERROR(VLOOKUP(C26,'[1]DATA SALES LAST MONTH'!A:E,5,0),0)</f>
        <v>4562218.3908046</v>
      </c>
      <c r="AZ26" s="109">
        <f t="shared" si="31"/>
        <v>4009526.31578947</v>
      </c>
      <c r="BA26" s="109">
        <f t="shared" si="32"/>
        <v>-552692.075015124</v>
      </c>
      <c r="BB26" s="119">
        <f t="shared" si="33"/>
        <v>-0.121145466453142</v>
      </c>
      <c r="BC26" s="102">
        <f>IFERROR(VLOOKUP(C26,'[1]TARGET THIS MONTH'!C:U,15,0),0)</f>
        <v>10</v>
      </c>
      <c r="BD26" s="123">
        <f>IFERROR(GETPIVOTDATA("Sum of Qty",[1]ACC!$A$5,"ID Store",$C26),0)</f>
        <v>1</v>
      </c>
      <c r="BE26" s="107">
        <f t="shared" si="34"/>
        <v>0.1</v>
      </c>
      <c r="BF26" s="124">
        <f>IFERROR(VLOOKUP(C26,'[1]TARGET THIS MONTH'!C:U,16,0),0)</f>
        <v>2150000</v>
      </c>
      <c r="BG26" s="124">
        <f>IFERROR(GETPIVOTDATA("Sum of SRP",'[1]Insurance by Store'!$A$5,"ID Store",$C26,"Product Type","Qoala"),0)</f>
        <v>0</v>
      </c>
      <c r="BH26" s="107">
        <f t="shared" si="35"/>
        <v>0</v>
      </c>
      <c r="BI26" s="124">
        <f>IFERROR(VLOOKUP(C26,'[1]TARGET THIS MONTH'!C:U,17,0),0)</f>
        <v>430000</v>
      </c>
      <c r="BJ26" s="124">
        <f>IFERROR(GETPIVOTDATA("Sum of SRP",'[1]Insurance by Store'!$A$5,"ID Store",$C26,"Product Type","Vivo Care"),0)</f>
        <v>0</v>
      </c>
      <c r="BK26" s="107">
        <f t="shared" si="36"/>
        <v>0</v>
      </c>
      <c r="BL26" s="105">
        <f>IFERROR(VLOOKUP(C26,'[1]TARGET THIS MONTH'!C:U,18,0),0)</f>
        <v>3</v>
      </c>
      <c r="BM26" s="106">
        <f>IFERROR(GETPIVOTDATA("Sum of Qty",'[1]Operator by Store'!$A$5,"ID Store",$C26,"Product Type","Indosat"),0)</f>
        <v>0</v>
      </c>
      <c r="BN26" s="107">
        <f t="shared" si="37"/>
        <v>0</v>
      </c>
      <c r="BO26" s="105">
        <f>VLOOKUP(C26,'[1]TARGET THIS MONTH'!C:U,19,0)</f>
        <v>30</v>
      </c>
      <c r="BP26" s="106">
        <f>IFERROR(GETPIVOTDATA("Sum of Qty",'[1]Operator by Store'!$A$5,"ID Store",$C26,"Product Type","Telkomsel"),0)</f>
        <v>0</v>
      </c>
      <c r="BQ26" s="125">
        <f t="shared" si="38"/>
        <v>0</v>
      </c>
    </row>
    <row r="27" spans="1:69">
      <c r="A27" s="96">
        <v>23</v>
      </c>
      <c r="B27" s="97" t="s">
        <v>73</v>
      </c>
      <c r="C27" s="98">
        <v>6240704</v>
      </c>
      <c r="D27" s="99" t="s">
        <v>77</v>
      </c>
      <c r="E27" s="127" t="s">
        <v>75</v>
      </c>
      <c r="F27" s="101">
        <v>2</v>
      </c>
      <c r="G27" s="102">
        <f>IFERROR(VLOOKUP(C27,'[1]TARGET THIS MONTH'!C:E,3,0),0)</f>
        <v>30</v>
      </c>
      <c r="H27" s="103">
        <f>IFERROR(VLOOKUP(C27,'[1]TARGET THIS MONTH'!C:M,11,0),0)</f>
        <v>129000000</v>
      </c>
      <c r="I27" s="102">
        <f>IFERROR(GETPIVOTDATA("Sum of Qty",'[1]DEVICE &amp; VALUE'!$A$6,"ID Store",$C27),0)</f>
        <v>2</v>
      </c>
      <c r="J27" s="104">
        <f t="shared" si="0"/>
        <v>0.0666666666666667</v>
      </c>
      <c r="K27" s="105">
        <f t="shared" si="1"/>
        <v>-28</v>
      </c>
      <c r="L27" s="106">
        <f>IFERROR(GETPIVOTDATA("Sum of Qty",[1]PF!$A$5,"ID Store",$C27),0)</f>
        <v>0</v>
      </c>
      <c r="M27" s="106">
        <f>IFERROR(GETPIVOTDATA("Sum of Qty",'[1]DEVICE &amp; VALUE'!$A$6,"ID Store",$C27,"Segment Price","3mio&gt;"),0)</f>
        <v>0</v>
      </c>
      <c r="N27" s="107">
        <f t="shared" si="2"/>
        <v>0</v>
      </c>
      <c r="O27" s="108">
        <f>IFERROR(GETPIVOTDATA("Sum of Qty",[1]IQOO!$A$6,"ID Store",$C27),0)</f>
        <v>0</v>
      </c>
      <c r="P27" s="107">
        <f t="shared" si="3"/>
        <v>0</v>
      </c>
      <c r="Q27" s="107">
        <f t="shared" si="4"/>
        <v>0</v>
      </c>
      <c r="R27" s="109">
        <f>IFERROR(GETPIVOTDATA("Sum of SRP",'[1]DEVICE &amp; VALUE'!$A$6,"ID Store",$C27),0)</f>
        <v>4198000</v>
      </c>
      <c r="S27" s="107">
        <f t="shared" si="5"/>
        <v>0.0325426356589147</v>
      </c>
      <c r="T27" s="110">
        <f t="shared" si="6"/>
        <v>-124802000</v>
      </c>
      <c r="U27" s="111">
        <f t="shared" si="7"/>
        <v>10</v>
      </c>
      <c r="V27" s="112">
        <f t="shared" si="8"/>
        <v>0.333333333333333</v>
      </c>
      <c r="W27" s="113">
        <f t="shared" si="9"/>
        <v>-20</v>
      </c>
      <c r="X27" s="113">
        <f t="shared" si="10"/>
        <v>0</v>
      </c>
      <c r="Y27" s="113">
        <f t="shared" si="11"/>
        <v>-30</v>
      </c>
      <c r="Z27" s="114">
        <f t="shared" si="12"/>
        <v>20990000</v>
      </c>
      <c r="AA27" s="114">
        <f t="shared" si="13"/>
        <v>-108010000</v>
      </c>
      <c r="AB27" s="115">
        <f t="shared" si="14"/>
        <v>0.162713178294574</v>
      </c>
      <c r="AC27" s="116">
        <f t="shared" si="15"/>
        <v>1.16666666666667</v>
      </c>
      <c r="AD27" s="117">
        <f t="shared" si="16"/>
        <v>5200083.33333333</v>
      </c>
      <c r="AE27" s="102">
        <f>IFERROR(GETPIVOTDATA("Sum of Qty",'[1]DATA LAST MONTH IQOO'!$A$6,"ID Store",$C27),0)</f>
        <v>2</v>
      </c>
      <c r="AF27" s="118">
        <f>IFERROR(GETPIVOTDATA("Sum of Qty",[1]IQOO!$A$6,"ID Store",$C27),0)</f>
        <v>0</v>
      </c>
      <c r="AG27" s="105">
        <f t="shared" si="17"/>
        <v>-2</v>
      </c>
      <c r="AH27" s="119">
        <f t="shared" si="18"/>
        <v>-1</v>
      </c>
      <c r="AI27" s="120">
        <f>IFERROR(GETPIVOTDATA("Sum of Qty",'[1]DATA LAST MONTH DEVICE'!$A$6,"ID Store",$C27),0)</f>
        <v>37</v>
      </c>
      <c r="AJ27" s="121">
        <f t="shared" si="19"/>
        <v>2</v>
      </c>
      <c r="AK27" s="105">
        <f t="shared" si="20"/>
        <v>-35</v>
      </c>
      <c r="AL27" s="107">
        <f t="shared" si="21"/>
        <v>-0.945945945945946</v>
      </c>
      <c r="AM27" s="106">
        <f>IFERROR(GETPIVOTDATA("Sum of Qty",'[1]Store 3mio+ last month'!$A$6,"ID Store",$C27),0)</f>
        <v>37</v>
      </c>
      <c r="AN27" s="105">
        <f t="shared" si="22"/>
        <v>10</v>
      </c>
      <c r="AO27" s="105">
        <f t="shared" si="23"/>
        <v>-27</v>
      </c>
      <c r="AP27" s="107">
        <f t="shared" si="24"/>
        <v>-0.72972972972973</v>
      </c>
      <c r="AQ27" s="106">
        <f>IFERROR(GETPIVOTDATA("Sum of Qty",'[1]DATA LAST MONTH DEVICE'!$A$6,"ID Store",$C27,"Segment Price","3mio&gt;"),0)</f>
        <v>15</v>
      </c>
      <c r="AR27" s="108">
        <f t="shared" si="25"/>
        <v>0</v>
      </c>
      <c r="AS27" s="108">
        <f t="shared" si="26"/>
        <v>-15</v>
      </c>
      <c r="AT27" s="107">
        <f t="shared" si="27"/>
        <v>-1</v>
      </c>
      <c r="AU27" s="122">
        <f>IFERROR(GETPIVOTDATA("Sum of SRP",'[1]DATA LAST MONTH DEVICE'!$A$6,"ID Store",$C27),0)</f>
        <v>137463000</v>
      </c>
      <c r="AV27" s="122">
        <f t="shared" si="28"/>
        <v>4198000</v>
      </c>
      <c r="AW27" s="122">
        <f t="shared" si="29"/>
        <v>-133265000</v>
      </c>
      <c r="AX27" s="107">
        <f t="shared" si="30"/>
        <v>-0.969460873107673</v>
      </c>
      <c r="AY27" s="122">
        <f>IFERROR(VLOOKUP(C27,'[1]DATA SALES LAST MONTH'!A:E,5,0),0)</f>
        <v>3715216.21621622</v>
      </c>
      <c r="AZ27" s="109">
        <f t="shared" si="31"/>
        <v>2099000</v>
      </c>
      <c r="BA27" s="109">
        <f t="shared" si="32"/>
        <v>-1616216.21621622</v>
      </c>
      <c r="BB27" s="119">
        <f t="shared" si="33"/>
        <v>-0.435026152491943</v>
      </c>
      <c r="BC27" s="102">
        <f>IFERROR(VLOOKUP(C27,'[1]TARGET THIS MONTH'!C:U,15,0),0)</f>
        <v>3</v>
      </c>
      <c r="BD27" s="123">
        <f>IFERROR(GETPIVOTDATA("Sum of Qty",[1]ACC!$A$5,"ID Store",$C27),0)</f>
        <v>1</v>
      </c>
      <c r="BE27" s="107">
        <f t="shared" si="34"/>
        <v>0.333333333333333</v>
      </c>
      <c r="BF27" s="124">
        <f>IFERROR(VLOOKUP(C27,'[1]TARGET THIS MONTH'!C:U,16,0),0)</f>
        <v>350000</v>
      </c>
      <c r="BG27" s="124">
        <f>IFERROR(GETPIVOTDATA("Sum of SRP",'[1]Insurance by Store'!$A$5,"ID Store",$C27,"Product Type","Qoala"),0)</f>
        <v>0</v>
      </c>
      <c r="BH27" s="107">
        <f t="shared" si="35"/>
        <v>0</v>
      </c>
      <c r="BI27" s="124">
        <f>IFERROR(VLOOKUP(C27,'[1]TARGET THIS MONTH'!C:U,17,0),0)</f>
        <v>150000</v>
      </c>
      <c r="BJ27" s="124">
        <f>IFERROR(GETPIVOTDATA("Sum of SRP",'[1]Insurance by Store'!$A$5,"ID Store",$C27,"Product Type","Vivo Care"),0)</f>
        <v>0</v>
      </c>
      <c r="BK27" s="107">
        <f t="shared" si="36"/>
        <v>0</v>
      </c>
      <c r="BL27" s="105">
        <f>IFERROR(VLOOKUP(C27,'[1]TARGET THIS MONTH'!C:U,18,0),0)</f>
        <v>0.9</v>
      </c>
      <c r="BM27" s="106">
        <f>IFERROR(GETPIVOTDATA("Sum of Qty",'[1]Operator by Store'!$A$5,"ID Store",$C27,"Product Type","Indosat"),0)</f>
        <v>0</v>
      </c>
      <c r="BN27" s="107">
        <f t="shared" si="37"/>
        <v>0</v>
      </c>
      <c r="BO27" s="105">
        <f>VLOOKUP(C27,'[1]TARGET THIS MONTH'!C:U,19,0)</f>
        <v>9</v>
      </c>
      <c r="BP27" s="106">
        <f>IFERROR(GETPIVOTDATA("Sum of Qty",'[1]Operator by Store'!$A$5,"ID Store",$C27,"Product Type","Telkomsel"),0)</f>
        <v>0</v>
      </c>
      <c r="BQ27" s="125">
        <f t="shared" si="38"/>
        <v>0</v>
      </c>
    </row>
    <row r="28" spans="1:69">
      <c r="A28" s="96">
        <v>24</v>
      </c>
      <c r="B28" s="97" t="s">
        <v>73</v>
      </c>
      <c r="C28" s="98">
        <v>6240701</v>
      </c>
      <c r="D28" s="99" t="s">
        <v>78</v>
      </c>
      <c r="E28" s="126" t="s">
        <v>79</v>
      </c>
      <c r="F28" s="101">
        <v>3</v>
      </c>
      <c r="G28" s="102">
        <f>IFERROR(VLOOKUP(C28,'[1]TARGET THIS MONTH'!C:E,3,0),0)</f>
        <v>90</v>
      </c>
      <c r="H28" s="103">
        <f>IFERROR(VLOOKUP(C28,'[1]TARGET THIS MONTH'!C:M,11,0),0)</f>
        <v>387000000</v>
      </c>
      <c r="I28" s="102">
        <f>IFERROR(GETPIVOTDATA("Sum of Qty",'[1]DEVICE &amp; VALUE'!$A$6,"ID Store",$C28),0)</f>
        <v>26</v>
      </c>
      <c r="J28" s="104">
        <f t="shared" si="0"/>
        <v>0.288888888888889</v>
      </c>
      <c r="K28" s="105">
        <f t="shared" si="1"/>
        <v>-64</v>
      </c>
      <c r="L28" s="106">
        <f>IFERROR(GETPIVOTDATA("Sum of Qty",[1]PF!$A$5,"ID Store",$C28),0)</f>
        <v>6</v>
      </c>
      <c r="M28" s="106">
        <f>IFERROR(GETPIVOTDATA("Sum of Qty",'[1]DEVICE &amp; VALUE'!$A$6,"ID Store",$C28,"Segment Price","3mio&gt;"),0)</f>
        <v>7</v>
      </c>
      <c r="N28" s="107">
        <f t="shared" si="2"/>
        <v>0.269230769230769</v>
      </c>
      <c r="O28" s="108">
        <f>IFERROR(GETPIVOTDATA("Sum of Qty",[1]IQOO!$A$6,"ID Store",$C28),0)</f>
        <v>0</v>
      </c>
      <c r="P28" s="107">
        <f t="shared" si="3"/>
        <v>0</v>
      </c>
      <c r="Q28" s="107">
        <f t="shared" si="4"/>
        <v>0.269230769230769</v>
      </c>
      <c r="R28" s="109">
        <f>IFERROR(GETPIVOTDATA("Sum of SRP",'[1]DEVICE &amp; VALUE'!$A$6,"ID Store",$C28),0)</f>
        <v>82774000</v>
      </c>
      <c r="S28" s="107">
        <f t="shared" si="5"/>
        <v>0.213886304909561</v>
      </c>
      <c r="T28" s="110">
        <f t="shared" si="6"/>
        <v>-304226000</v>
      </c>
      <c r="U28" s="111">
        <f t="shared" si="7"/>
        <v>130</v>
      </c>
      <c r="V28" s="112">
        <f t="shared" si="8"/>
        <v>1.44444444444444</v>
      </c>
      <c r="W28" s="113">
        <f t="shared" si="9"/>
        <v>40</v>
      </c>
      <c r="X28" s="113">
        <f t="shared" si="10"/>
        <v>35</v>
      </c>
      <c r="Y28" s="113">
        <f t="shared" si="11"/>
        <v>-55</v>
      </c>
      <c r="Z28" s="114">
        <f t="shared" si="12"/>
        <v>413870000</v>
      </c>
      <c r="AA28" s="114">
        <f t="shared" si="13"/>
        <v>26870000</v>
      </c>
      <c r="AB28" s="115">
        <f t="shared" si="14"/>
        <v>1.0694315245478</v>
      </c>
      <c r="AC28" s="116">
        <f t="shared" si="15"/>
        <v>2.66666666666667</v>
      </c>
      <c r="AD28" s="117">
        <f t="shared" si="16"/>
        <v>12676083.3333333</v>
      </c>
      <c r="AE28" s="102">
        <f>IFERROR(GETPIVOTDATA("Sum of Qty",'[1]DATA LAST MONTH IQOO'!$A$6,"ID Store",$C28),0)</f>
        <v>15</v>
      </c>
      <c r="AF28" s="118">
        <f>IFERROR(GETPIVOTDATA("Sum of Qty",[1]IQOO!$A$6,"ID Store",$C28),0)</f>
        <v>0</v>
      </c>
      <c r="AG28" s="105">
        <f t="shared" si="17"/>
        <v>-15</v>
      </c>
      <c r="AH28" s="119">
        <f t="shared" si="18"/>
        <v>-1</v>
      </c>
      <c r="AI28" s="120">
        <f>IFERROR(GETPIVOTDATA("Sum of Qty",'[1]DATA LAST MONTH DEVICE'!$A$6,"ID Store",$C28),0)</f>
        <v>94</v>
      </c>
      <c r="AJ28" s="121">
        <f t="shared" si="19"/>
        <v>26</v>
      </c>
      <c r="AK28" s="105">
        <f t="shared" si="20"/>
        <v>-68</v>
      </c>
      <c r="AL28" s="107">
        <f t="shared" si="21"/>
        <v>-0.723404255319149</v>
      </c>
      <c r="AM28" s="106">
        <f>IFERROR(GETPIVOTDATA("Sum of Qty",'[1]Store 3mio+ last month'!$A$6,"ID Store",$C28),0)</f>
        <v>94</v>
      </c>
      <c r="AN28" s="105">
        <f t="shared" si="22"/>
        <v>130</v>
      </c>
      <c r="AO28" s="105">
        <f t="shared" si="23"/>
        <v>36</v>
      </c>
      <c r="AP28" s="107">
        <f t="shared" si="24"/>
        <v>0.382978723404255</v>
      </c>
      <c r="AQ28" s="106">
        <f>IFERROR(GETPIVOTDATA("Sum of Qty",'[1]DATA LAST MONTH DEVICE'!$A$6,"ID Store",$C28,"Segment Price","3mio&gt;"),0)</f>
        <v>48</v>
      </c>
      <c r="AR28" s="108">
        <f t="shared" si="25"/>
        <v>7</v>
      </c>
      <c r="AS28" s="108">
        <f t="shared" si="26"/>
        <v>-41</v>
      </c>
      <c r="AT28" s="107">
        <f t="shared" si="27"/>
        <v>-0.854166666666667</v>
      </c>
      <c r="AU28" s="122">
        <f>IFERROR(GETPIVOTDATA("Sum of SRP",'[1]DATA LAST MONTH DEVICE'!$A$6,"ID Store",$C28),0)</f>
        <v>443806000</v>
      </c>
      <c r="AV28" s="122">
        <f t="shared" si="28"/>
        <v>82774000</v>
      </c>
      <c r="AW28" s="122">
        <f t="shared" si="29"/>
        <v>-361032000</v>
      </c>
      <c r="AX28" s="107">
        <f t="shared" si="30"/>
        <v>-0.813490579217045</v>
      </c>
      <c r="AY28" s="122">
        <f>IFERROR(VLOOKUP(C28,'[1]DATA SALES LAST MONTH'!A:E,5,0),0)</f>
        <v>4721340.42553191</v>
      </c>
      <c r="AZ28" s="109">
        <f t="shared" si="31"/>
        <v>3183615.38461538</v>
      </c>
      <c r="BA28" s="109">
        <f t="shared" si="32"/>
        <v>-1537725.04091653</v>
      </c>
      <c r="BB28" s="119">
        <f t="shared" si="33"/>
        <v>-0.32569670947701</v>
      </c>
      <c r="BC28" s="102">
        <f>IFERROR(VLOOKUP(C28,'[1]TARGET THIS MONTH'!C:U,15,0),0)</f>
        <v>9</v>
      </c>
      <c r="BD28" s="123">
        <f>IFERROR(GETPIVOTDATA("Sum of Qty",[1]ACC!$A$5,"ID Store",$C28),0)</f>
        <v>1</v>
      </c>
      <c r="BE28" s="107">
        <f t="shared" si="34"/>
        <v>0.111111111111111</v>
      </c>
      <c r="BF28" s="124">
        <f>IFERROR(VLOOKUP(C28,'[1]TARGET THIS MONTH'!C:U,16,0),0)</f>
        <v>1935000</v>
      </c>
      <c r="BG28" s="124">
        <f>IFERROR(GETPIVOTDATA("Sum of SRP",'[1]Insurance by Store'!$A$5,"ID Store",$C28,"Product Type","Qoala"),0)</f>
        <v>647000</v>
      </c>
      <c r="BH28" s="107">
        <f t="shared" si="35"/>
        <v>0.334366925064599</v>
      </c>
      <c r="BI28" s="124">
        <f>IFERROR(VLOOKUP(C28,'[1]TARGET THIS MONTH'!C:U,17,0),0)</f>
        <v>387000</v>
      </c>
      <c r="BJ28" s="124">
        <f>IFERROR(GETPIVOTDATA("Sum of SRP",'[1]Insurance by Store'!$A$5,"ID Store",$C28,"Product Type","Vivo Care"),0)</f>
        <v>0</v>
      </c>
      <c r="BK28" s="107">
        <f t="shared" si="36"/>
        <v>0</v>
      </c>
      <c r="BL28" s="105">
        <f>IFERROR(VLOOKUP(C28,'[1]TARGET THIS MONTH'!C:U,18,0),0)</f>
        <v>2.7</v>
      </c>
      <c r="BM28" s="106">
        <f>IFERROR(GETPIVOTDATA("Sum of Qty",'[1]Operator by Store'!$A$5,"ID Store",$C28,"Product Type","Indosat"),0)</f>
        <v>0</v>
      </c>
      <c r="BN28" s="107">
        <f t="shared" si="37"/>
        <v>0</v>
      </c>
      <c r="BO28" s="105">
        <f>VLOOKUP(C28,'[1]TARGET THIS MONTH'!C:U,19,0)</f>
        <v>27</v>
      </c>
      <c r="BP28" s="106">
        <f>IFERROR(GETPIVOTDATA("Sum of Qty",'[1]Operator by Store'!$A$5,"ID Store",$C28,"Product Type","Telkomsel"),0)</f>
        <v>0</v>
      </c>
      <c r="BQ28" s="125">
        <f t="shared" si="38"/>
        <v>0</v>
      </c>
    </row>
    <row r="29" spans="1:69">
      <c r="A29" s="96">
        <v>25</v>
      </c>
      <c r="B29" s="97" t="s">
        <v>73</v>
      </c>
      <c r="C29" s="98">
        <v>6170706</v>
      </c>
      <c r="D29" s="99" t="s">
        <v>80</v>
      </c>
      <c r="E29" s="126" t="s">
        <v>79</v>
      </c>
      <c r="F29" s="101">
        <v>3</v>
      </c>
      <c r="G29" s="102">
        <f>IFERROR(VLOOKUP(C29,'[1]TARGET THIS MONTH'!C:E,3,0),0)</f>
        <v>90</v>
      </c>
      <c r="H29" s="103">
        <f>IFERROR(VLOOKUP(C29,'[1]TARGET THIS MONTH'!C:M,11,0),0)</f>
        <v>387000000</v>
      </c>
      <c r="I29" s="102">
        <f>IFERROR(GETPIVOTDATA("Sum of Qty",'[1]DEVICE &amp; VALUE'!$A$6,"ID Store",$C29),0)</f>
        <v>22</v>
      </c>
      <c r="J29" s="104">
        <f t="shared" si="0"/>
        <v>0.244444444444444</v>
      </c>
      <c r="K29" s="105">
        <f t="shared" si="1"/>
        <v>-68</v>
      </c>
      <c r="L29" s="106">
        <f>IFERROR(GETPIVOTDATA("Sum of Qty",[1]PF!$A$5,"ID Store",$C29),0)</f>
        <v>3</v>
      </c>
      <c r="M29" s="106">
        <f>IFERROR(GETPIVOTDATA("Sum of Qty",'[1]DEVICE &amp; VALUE'!$A$6,"ID Store",$C29,"Segment Price","3mio&gt;"),0)</f>
        <v>4</v>
      </c>
      <c r="N29" s="107">
        <f t="shared" si="2"/>
        <v>0.181818181818182</v>
      </c>
      <c r="O29" s="108">
        <f>IFERROR(GETPIVOTDATA("Sum of Qty",[1]IQOO!$A$6,"ID Store",$C29),0)</f>
        <v>0</v>
      </c>
      <c r="P29" s="107">
        <f t="shared" si="3"/>
        <v>0</v>
      </c>
      <c r="Q29" s="107">
        <f t="shared" si="4"/>
        <v>0.181818181818182</v>
      </c>
      <c r="R29" s="109">
        <f>IFERROR(GETPIVOTDATA("Sum of SRP",'[1]DEVICE &amp; VALUE'!$A$6,"ID Store",$C29),0)</f>
        <v>67078000</v>
      </c>
      <c r="S29" s="107">
        <f t="shared" si="5"/>
        <v>0.173328165374677</v>
      </c>
      <c r="T29" s="110">
        <f t="shared" si="6"/>
        <v>-319922000</v>
      </c>
      <c r="U29" s="111">
        <f t="shared" si="7"/>
        <v>110</v>
      </c>
      <c r="V29" s="112">
        <f t="shared" si="8"/>
        <v>1.22222222222222</v>
      </c>
      <c r="W29" s="113">
        <f t="shared" si="9"/>
        <v>20</v>
      </c>
      <c r="X29" s="113">
        <f t="shared" si="10"/>
        <v>20</v>
      </c>
      <c r="Y29" s="113">
        <f t="shared" si="11"/>
        <v>-70</v>
      </c>
      <c r="Z29" s="114">
        <f t="shared" si="12"/>
        <v>335390000</v>
      </c>
      <c r="AA29" s="114">
        <f t="shared" si="13"/>
        <v>-51610000</v>
      </c>
      <c r="AB29" s="115">
        <f t="shared" si="14"/>
        <v>0.866640826873385</v>
      </c>
      <c r="AC29" s="116">
        <f t="shared" si="15"/>
        <v>2.83333333333333</v>
      </c>
      <c r="AD29" s="117">
        <f t="shared" si="16"/>
        <v>13330083.3333333</v>
      </c>
      <c r="AE29" s="102">
        <f>IFERROR(GETPIVOTDATA("Sum of Qty",'[1]DATA LAST MONTH IQOO'!$A$6,"ID Store",$C29),0)</f>
        <v>12</v>
      </c>
      <c r="AF29" s="118">
        <f>IFERROR(GETPIVOTDATA("Sum of Qty",[1]IQOO!$A$6,"ID Store",$C29),0)</f>
        <v>0</v>
      </c>
      <c r="AG29" s="105">
        <f t="shared" si="17"/>
        <v>-12</v>
      </c>
      <c r="AH29" s="119">
        <f t="shared" si="18"/>
        <v>-1</v>
      </c>
      <c r="AI29" s="120">
        <f>IFERROR(GETPIVOTDATA("Sum of Qty",'[1]DATA LAST MONTH DEVICE'!$A$6,"ID Store",$C29),0)</f>
        <v>90</v>
      </c>
      <c r="AJ29" s="121">
        <f t="shared" si="19"/>
        <v>22</v>
      </c>
      <c r="AK29" s="105">
        <f t="shared" si="20"/>
        <v>-68</v>
      </c>
      <c r="AL29" s="107">
        <f t="shared" si="21"/>
        <v>-0.755555555555556</v>
      </c>
      <c r="AM29" s="106">
        <f>IFERROR(GETPIVOTDATA("Sum of Qty",'[1]Store 3mio+ last month'!$A$6,"ID Store",$C29),0)</f>
        <v>90</v>
      </c>
      <c r="AN29" s="105">
        <f t="shared" si="22"/>
        <v>110</v>
      </c>
      <c r="AO29" s="105">
        <f t="shared" si="23"/>
        <v>20</v>
      </c>
      <c r="AP29" s="107">
        <f t="shared" si="24"/>
        <v>0.222222222222222</v>
      </c>
      <c r="AQ29" s="106">
        <f>IFERROR(GETPIVOTDATA("Sum of Qty",'[1]DATA LAST MONTH DEVICE'!$A$6,"ID Store",$C29,"Segment Price","3mio&gt;"),0)</f>
        <v>37</v>
      </c>
      <c r="AR29" s="108">
        <f t="shared" si="25"/>
        <v>4</v>
      </c>
      <c r="AS29" s="108">
        <f t="shared" si="26"/>
        <v>-33</v>
      </c>
      <c r="AT29" s="107">
        <f t="shared" si="27"/>
        <v>-0.891891891891892</v>
      </c>
      <c r="AU29" s="122">
        <f>IFERROR(GETPIVOTDATA("Sum of SRP",'[1]DATA LAST MONTH DEVICE'!$A$6,"ID Store",$C29),0)</f>
        <v>367310000</v>
      </c>
      <c r="AV29" s="122">
        <f t="shared" si="28"/>
        <v>67078000</v>
      </c>
      <c r="AW29" s="122">
        <f t="shared" si="29"/>
        <v>-300232000</v>
      </c>
      <c r="AX29" s="107">
        <f t="shared" si="30"/>
        <v>-0.817380414363889</v>
      </c>
      <c r="AY29" s="122">
        <f>IFERROR(VLOOKUP(C29,'[1]DATA SALES LAST MONTH'!A:E,5,0),0)</f>
        <v>4081222.22222222</v>
      </c>
      <c r="AZ29" s="109">
        <f t="shared" si="31"/>
        <v>3049000</v>
      </c>
      <c r="BA29" s="109">
        <f t="shared" si="32"/>
        <v>-1032222.22222222</v>
      </c>
      <c r="BB29" s="119">
        <f t="shared" si="33"/>
        <v>-0.252919876943181</v>
      </c>
      <c r="BC29" s="102">
        <f>IFERROR(VLOOKUP(C29,'[1]TARGET THIS MONTH'!C:U,15,0),0)</f>
        <v>9</v>
      </c>
      <c r="BD29" s="123">
        <f>IFERROR(GETPIVOTDATA("Sum of Qty",[1]ACC!$A$5,"ID Store",$C29),0)</f>
        <v>0</v>
      </c>
      <c r="BE29" s="107">
        <f t="shared" si="34"/>
        <v>0</v>
      </c>
      <c r="BF29" s="124">
        <f>IFERROR(VLOOKUP(C29,'[1]TARGET THIS MONTH'!C:U,16,0),0)</f>
        <v>1935000</v>
      </c>
      <c r="BG29" s="124">
        <f>IFERROR(GETPIVOTDATA("Sum of SRP",'[1]Insurance by Store'!$A$5,"ID Store",$C29,"Product Type","Qoala"),0)</f>
        <v>159000</v>
      </c>
      <c r="BH29" s="107">
        <f t="shared" si="35"/>
        <v>0.0821705426356589</v>
      </c>
      <c r="BI29" s="124">
        <f>IFERROR(VLOOKUP(C29,'[1]TARGET THIS MONTH'!C:U,17,0),0)</f>
        <v>387000</v>
      </c>
      <c r="BJ29" s="124">
        <f>IFERROR(GETPIVOTDATA("Sum of SRP",'[1]Insurance by Store'!$A$5,"ID Store",$C29,"Product Type","Vivo Care"),0)</f>
        <v>0</v>
      </c>
      <c r="BK29" s="107">
        <f t="shared" si="36"/>
        <v>0</v>
      </c>
      <c r="BL29" s="105">
        <f>IFERROR(VLOOKUP(C29,'[1]TARGET THIS MONTH'!C:U,18,0),0)</f>
        <v>2.7</v>
      </c>
      <c r="BM29" s="106">
        <f>IFERROR(GETPIVOTDATA("Sum of Qty",'[1]Operator by Store'!$A$5,"ID Store",$C29,"Product Type","Indosat"),0)</f>
        <v>0</v>
      </c>
      <c r="BN29" s="107">
        <f t="shared" si="37"/>
        <v>0</v>
      </c>
      <c r="BO29" s="105">
        <f>VLOOKUP(C29,'[1]TARGET THIS MONTH'!C:U,19,0)</f>
        <v>27</v>
      </c>
      <c r="BP29" s="106">
        <f>IFERROR(GETPIVOTDATA("Sum of Qty",'[1]Operator by Store'!$A$5,"ID Store",$C29,"Product Type","Telkomsel"),0)</f>
        <v>0</v>
      </c>
      <c r="BQ29" s="125">
        <f t="shared" si="38"/>
        <v>0</v>
      </c>
    </row>
    <row r="30" spans="1:69">
      <c r="A30" s="96">
        <v>26</v>
      </c>
      <c r="B30" s="97" t="s">
        <v>73</v>
      </c>
      <c r="C30" s="98">
        <v>6240703</v>
      </c>
      <c r="D30" s="99" t="s">
        <v>81</v>
      </c>
      <c r="E30" s="126" t="s">
        <v>79</v>
      </c>
      <c r="F30" s="101">
        <v>2</v>
      </c>
      <c r="G30" s="102">
        <f>IFERROR(VLOOKUP(C30,'[1]TARGET THIS MONTH'!C:E,3,0),0)</f>
        <v>90</v>
      </c>
      <c r="H30" s="103">
        <f>IFERROR(VLOOKUP(C30,'[1]TARGET THIS MONTH'!C:M,11,0),0)</f>
        <v>387000000</v>
      </c>
      <c r="I30" s="102">
        <f>IFERROR(GETPIVOTDATA("Sum of Qty",'[1]DEVICE &amp; VALUE'!$A$6,"ID Store",$C30),0)</f>
        <v>17</v>
      </c>
      <c r="J30" s="104">
        <f t="shared" si="0"/>
        <v>0.188888888888889</v>
      </c>
      <c r="K30" s="105">
        <f t="shared" si="1"/>
        <v>-73</v>
      </c>
      <c r="L30" s="106">
        <f>IFERROR(GETPIVOTDATA("Sum of Qty",[1]PF!$A$5,"ID Store",$C30),0)</f>
        <v>5</v>
      </c>
      <c r="M30" s="106">
        <f>IFERROR(GETPIVOTDATA("Sum of Qty",'[1]DEVICE &amp; VALUE'!$A$6,"ID Store",$C30,"Segment Price","3mio&gt;"),0)</f>
        <v>9</v>
      </c>
      <c r="N30" s="107">
        <f t="shared" si="2"/>
        <v>0.529411764705882</v>
      </c>
      <c r="O30" s="108">
        <f>IFERROR(GETPIVOTDATA("Sum of Qty",[1]IQOO!$A$6,"ID Store",$C30),0)</f>
        <v>0</v>
      </c>
      <c r="P30" s="107">
        <f t="shared" si="3"/>
        <v>0</v>
      </c>
      <c r="Q30" s="107">
        <f t="shared" si="4"/>
        <v>0.529411764705882</v>
      </c>
      <c r="R30" s="109">
        <f>IFERROR(GETPIVOTDATA("Sum of SRP",'[1]DEVICE &amp; VALUE'!$A$6,"ID Store",$C30),0)</f>
        <v>89383000</v>
      </c>
      <c r="S30" s="107">
        <f t="shared" si="5"/>
        <v>0.230963824289406</v>
      </c>
      <c r="T30" s="110">
        <f t="shared" si="6"/>
        <v>-297617000</v>
      </c>
      <c r="U30" s="111">
        <f t="shared" si="7"/>
        <v>85</v>
      </c>
      <c r="V30" s="112">
        <f t="shared" si="8"/>
        <v>0.944444444444444</v>
      </c>
      <c r="W30" s="113">
        <f t="shared" si="9"/>
        <v>-5</v>
      </c>
      <c r="X30" s="113">
        <f t="shared" si="10"/>
        <v>45</v>
      </c>
      <c r="Y30" s="113">
        <f t="shared" si="11"/>
        <v>-45</v>
      </c>
      <c r="Z30" s="114">
        <f t="shared" si="12"/>
        <v>446915000</v>
      </c>
      <c r="AA30" s="114">
        <f t="shared" si="13"/>
        <v>59915000</v>
      </c>
      <c r="AB30" s="115">
        <f t="shared" si="14"/>
        <v>1.15481912144703</v>
      </c>
      <c r="AC30" s="116">
        <f t="shared" si="15"/>
        <v>3.04166666666667</v>
      </c>
      <c r="AD30" s="117">
        <f t="shared" si="16"/>
        <v>12400708.3333333</v>
      </c>
      <c r="AE30" s="102">
        <f>IFERROR(GETPIVOTDATA("Sum of Qty",'[1]DATA LAST MONTH IQOO'!$A$6,"ID Store",$C30),0)</f>
        <v>6</v>
      </c>
      <c r="AF30" s="118">
        <f>IFERROR(GETPIVOTDATA("Sum of Qty",[1]IQOO!$A$6,"ID Store",$C30),0)</f>
        <v>0</v>
      </c>
      <c r="AG30" s="105">
        <f t="shared" si="17"/>
        <v>-6</v>
      </c>
      <c r="AH30" s="119">
        <f t="shared" si="18"/>
        <v>-1</v>
      </c>
      <c r="AI30" s="120">
        <f>IFERROR(GETPIVOTDATA("Sum of Qty",'[1]DATA LAST MONTH DEVICE'!$A$6,"ID Store",$C30),0)</f>
        <v>63</v>
      </c>
      <c r="AJ30" s="121">
        <f t="shared" si="19"/>
        <v>17</v>
      </c>
      <c r="AK30" s="105">
        <f t="shared" si="20"/>
        <v>-46</v>
      </c>
      <c r="AL30" s="107">
        <f t="shared" si="21"/>
        <v>-0.73015873015873</v>
      </c>
      <c r="AM30" s="106">
        <f>IFERROR(GETPIVOTDATA("Sum of Qty",'[1]Store 3mio+ last month'!$A$6,"ID Store",$C30),0)</f>
        <v>63</v>
      </c>
      <c r="AN30" s="105">
        <f t="shared" si="22"/>
        <v>85</v>
      </c>
      <c r="AO30" s="105">
        <f t="shared" si="23"/>
        <v>22</v>
      </c>
      <c r="AP30" s="107">
        <f t="shared" si="24"/>
        <v>0.349206349206349</v>
      </c>
      <c r="AQ30" s="106">
        <f>IFERROR(GETPIVOTDATA("Sum of Qty",'[1]DATA LAST MONTH DEVICE'!$A$6,"ID Store",$C30,"Segment Price","3mio&gt;"),0)</f>
        <v>30</v>
      </c>
      <c r="AR30" s="108">
        <f t="shared" si="25"/>
        <v>9</v>
      </c>
      <c r="AS30" s="108">
        <f t="shared" si="26"/>
        <v>-21</v>
      </c>
      <c r="AT30" s="107">
        <f t="shared" si="27"/>
        <v>-0.7</v>
      </c>
      <c r="AU30" s="122">
        <f>IFERROR(GETPIVOTDATA("Sum of SRP",'[1]DATA LAST MONTH DEVICE'!$A$6,"ID Store",$C30),0)</f>
        <v>298937000</v>
      </c>
      <c r="AV30" s="122">
        <f t="shared" si="28"/>
        <v>89383000</v>
      </c>
      <c r="AW30" s="122">
        <f t="shared" si="29"/>
        <v>-209554000</v>
      </c>
      <c r="AX30" s="107">
        <f t="shared" si="30"/>
        <v>-0.700997200078946</v>
      </c>
      <c r="AY30" s="122">
        <f>IFERROR(VLOOKUP(C30,'[1]DATA SALES LAST MONTH'!A:E,5,0),0)</f>
        <v>4745031.74603175</v>
      </c>
      <c r="AZ30" s="109">
        <f t="shared" si="31"/>
        <v>5257823.52941176</v>
      </c>
      <c r="BA30" s="109">
        <f t="shared" si="32"/>
        <v>512791.783380019</v>
      </c>
      <c r="BB30" s="119">
        <f t="shared" si="33"/>
        <v>0.108069199707434</v>
      </c>
      <c r="BC30" s="102">
        <f>IFERROR(VLOOKUP(C30,'[1]TARGET THIS MONTH'!C:U,15,0),0)</f>
        <v>9</v>
      </c>
      <c r="BD30" s="123">
        <f>IFERROR(GETPIVOTDATA("Sum of Qty",[1]ACC!$A$5,"ID Store",$C30),0)</f>
        <v>0</v>
      </c>
      <c r="BE30" s="107">
        <f t="shared" si="34"/>
        <v>0</v>
      </c>
      <c r="BF30" s="124">
        <f>IFERROR(VLOOKUP(C30,'[1]TARGET THIS MONTH'!C:U,16,0),0)</f>
        <v>1935000</v>
      </c>
      <c r="BG30" s="124">
        <f>IFERROR(GETPIVOTDATA("Sum of SRP",'[1]Insurance by Store'!$A$5,"ID Store",$C30,"Product Type","Qoala"),0)</f>
        <v>748000</v>
      </c>
      <c r="BH30" s="107">
        <f t="shared" si="35"/>
        <v>0.38656330749354</v>
      </c>
      <c r="BI30" s="124">
        <f>IFERROR(VLOOKUP(C30,'[1]TARGET THIS MONTH'!C:U,17,0),0)</f>
        <v>387000</v>
      </c>
      <c r="BJ30" s="124">
        <f>IFERROR(GETPIVOTDATA("Sum of SRP",'[1]Insurance by Store'!$A$5,"ID Store",$C30,"Product Type","Vivo Care"),0)</f>
        <v>0</v>
      </c>
      <c r="BK30" s="107">
        <f t="shared" si="36"/>
        <v>0</v>
      </c>
      <c r="BL30" s="105">
        <f>IFERROR(VLOOKUP(C30,'[1]TARGET THIS MONTH'!C:U,18,0),0)</f>
        <v>2.7</v>
      </c>
      <c r="BM30" s="106">
        <f>IFERROR(GETPIVOTDATA("Sum of Qty",'[1]Operator by Store'!$A$5,"ID Store",$C30,"Product Type","Indosat"),0)</f>
        <v>0</v>
      </c>
      <c r="BN30" s="107">
        <f t="shared" si="37"/>
        <v>0</v>
      </c>
      <c r="BO30" s="105">
        <f>VLOOKUP(C30,'[1]TARGET THIS MONTH'!C:U,19,0)</f>
        <v>27</v>
      </c>
      <c r="BP30" s="106">
        <f>IFERROR(GETPIVOTDATA("Sum of Qty",'[1]Operator by Store'!$A$5,"ID Store",$C30,"Product Type","Telkomsel"),0)</f>
        <v>0</v>
      </c>
      <c r="BQ30" s="125">
        <f t="shared" si="38"/>
        <v>0</v>
      </c>
    </row>
    <row r="31" spans="1:69">
      <c r="A31" s="96">
        <v>27</v>
      </c>
      <c r="B31" s="97" t="s">
        <v>73</v>
      </c>
      <c r="C31" s="98">
        <v>6170703</v>
      </c>
      <c r="D31" s="99" t="s">
        <v>82</v>
      </c>
      <c r="E31" s="127" t="s">
        <v>83</v>
      </c>
      <c r="F31" s="101">
        <v>2</v>
      </c>
      <c r="G31" s="102">
        <f>IFERROR(VLOOKUP(C31,'[1]TARGET THIS MONTH'!C:E,3,0),0)</f>
        <v>30</v>
      </c>
      <c r="H31" s="103">
        <f>IFERROR(VLOOKUP(C31,'[1]TARGET THIS MONTH'!C:M,11,0),0)</f>
        <v>150000000</v>
      </c>
      <c r="I31" s="102">
        <f>IFERROR(GETPIVOTDATA("Sum of Qty",'[1]DEVICE &amp; VALUE'!$A$6,"ID Store",$C31),0)</f>
        <v>4</v>
      </c>
      <c r="J31" s="104">
        <f t="shared" si="0"/>
        <v>0.133333333333333</v>
      </c>
      <c r="K31" s="105">
        <f t="shared" si="1"/>
        <v>-26</v>
      </c>
      <c r="L31" s="106">
        <f>IFERROR(GETPIVOTDATA("Sum of Qty",[1]PF!$A$5,"ID Store",$C31),0)</f>
        <v>0</v>
      </c>
      <c r="M31" s="106">
        <f>IFERROR(GETPIVOTDATA("Sum of Qty",'[1]DEVICE &amp; VALUE'!$A$6,"ID Store",$C31,"Segment Price","3mio&gt;"),0)</f>
        <v>3</v>
      </c>
      <c r="N31" s="107">
        <f t="shared" si="2"/>
        <v>0.75</v>
      </c>
      <c r="O31" s="108">
        <f>IFERROR(GETPIVOTDATA("Sum of Qty",[1]IQOO!$A$6,"ID Store",$C31),0)</f>
        <v>1</v>
      </c>
      <c r="P31" s="107">
        <f t="shared" si="3"/>
        <v>0.25</v>
      </c>
      <c r="Q31" s="107">
        <f t="shared" si="4"/>
        <v>0.75</v>
      </c>
      <c r="R31" s="109">
        <f>IFERROR(GETPIVOTDATA("Sum of SRP",'[1]DEVICE &amp; VALUE'!$A$6,"ID Store",$C31),0)</f>
        <v>26296000</v>
      </c>
      <c r="S31" s="107">
        <f t="shared" si="5"/>
        <v>0.175306666666667</v>
      </c>
      <c r="T31" s="110">
        <f t="shared" si="6"/>
        <v>-123704000</v>
      </c>
      <c r="U31" s="111">
        <f t="shared" si="7"/>
        <v>20</v>
      </c>
      <c r="V31" s="112">
        <f t="shared" si="8"/>
        <v>0.666666666666667</v>
      </c>
      <c r="W31" s="113">
        <f t="shared" si="9"/>
        <v>-10</v>
      </c>
      <c r="X31" s="113">
        <f t="shared" si="10"/>
        <v>15</v>
      </c>
      <c r="Y31" s="113">
        <f t="shared" si="11"/>
        <v>-15</v>
      </c>
      <c r="Z31" s="114">
        <f t="shared" si="12"/>
        <v>131480000</v>
      </c>
      <c r="AA31" s="114">
        <f t="shared" si="13"/>
        <v>-18520000</v>
      </c>
      <c r="AB31" s="115">
        <f t="shared" si="14"/>
        <v>0.876533333333333</v>
      </c>
      <c r="AC31" s="116">
        <f t="shared" si="15"/>
        <v>1.08333333333333</v>
      </c>
      <c r="AD31" s="117">
        <f t="shared" si="16"/>
        <v>5154333.33333333</v>
      </c>
      <c r="AE31" s="102">
        <f>IFERROR(GETPIVOTDATA("Sum of Qty",'[1]DATA LAST MONTH IQOO'!$A$6,"ID Store",$C31),0)</f>
        <v>7</v>
      </c>
      <c r="AF31" s="118">
        <f>IFERROR(GETPIVOTDATA("Sum of Qty",[1]IQOO!$A$6,"ID Store",$C31),0)</f>
        <v>1</v>
      </c>
      <c r="AG31" s="105">
        <f t="shared" si="17"/>
        <v>-6</v>
      </c>
      <c r="AH31" s="119">
        <f t="shared" si="18"/>
        <v>-0.857142857142857</v>
      </c>
      <c r="AI31" s="120">
        <f>IFERROR(GETPIVOTDATA("Sum of Qty",'[1]DATA LAST MONTH DEVICE'!$A$6,"ID Store",$C31),0)</f>
        <v>20</v>
      </c>
      <c r="AJ31" s="121">
        <f t="shared" si="19"/>
        <v>4</v>
      </c>
      <c r="AK31" s="105">
        <f t="shared" si="20"/>
        <v>-16</v>
      </c>
      <c r="AL31" s="107">
        <f t="shared" si="21"/>
        <v>-0.8</v>
      </c>
      <c r="AM31" s="106">
        <f>IFERROR(GETPIVOTDATA("Sum of Qty",'[1]Store 3mio+ last month'!$A$6,"ID Store",$C31),0)</f>
        <v>20</v>
      </c>
      <c r="AN31" s="105">
        <f t="shared" si="22"/>
        <v>20</v>
      </c>
      <c r="AO31" s="105">
        <f t="shared" si="23"/>
        <v>0</v>
      </c>
      <c r="AP31" s="107">
        <f t="shared" si="24"/>
        <v>0</v>
      </c>
      <c r="AQ31" s="106">
        <f>IFERROR(GETPIVOTDATA("Sum of Qty",'[1]DATA LAST MONTH DEVICE'!$A$6,"ID Store",$C31,"Segment Price","3mio&gt;"),0)</f>
        <v>12</v>
      </c>
      <c r="AR31" s="108">
        <f t="shared" si="25"/>
        <v>3</v>
      </c>
      <c r="AS31" s="108">
        <f t="shared" si="26"/>
        <v>-9</v>
      </c>
      <c r="AT31" s="107">
        <f t="shared" si="27"/>
        <v>-0.75</v>
      </c>
      <c r="AU31" s="122">
        <f>IFERROR(GETPIVOTDATA("Sum of SRP",'[1]DATA LAST MONTH DEVICE'!$A$6,"ID Store",$C31),0)</f>
        <v>86480000</v>
      </c>
      <c r="AV31" s="122">
        <f t="shared" si="28"/>
        <v>26296000</v>
      </c>
      <c r="AW31" s="122">
        <f t="shared" si="29"/>
        <v>-60184000</v>
      </c>
      <c r="AX31" s="107">
        <f t="shared" si="30"/>
        <v>-0.695929694727105</v>
      </c>
      <c r="AY31" s="122">
        <f>IFERROR(VLOOKUP(C31,'[1]DATA SALES LAST MONTH'!A:E,5,0),0)</f>
        <v>4324000</v>
      </c>
      <c r="AZ31" s="109">
        <f t="shared" si="31"/>
        <v>6574000</v>
      </c>
      <c r="BA31" s="109">
        <f t="shared" si="32"/>
        <v>2250000</v>
      </c>
      <c r="BB31" s="119">
        <f t="shared" si="33"/>
        <v>0.520351526364478</v>
      </c>
      <c r="BC31" s="102">
        <f>IFERROR(VLOOKUP(C31,'[1]TARGET THIS MONTH'!C:U,15,0),0)</f>
        <v>3</v>
      </c>
      <c r="BD31" s="123">
        <f>IFERROR(GETPIVOTDATA("Sum of Qty",[1]ACC!$A$5,"ID Store",$C31),0)</f>
        <v>0</v>
      </c>
      <c r="BE31" s="107">
        <f t="shared" si="34"/>
        <v>0</v>
      </c>
      <c r="BF31" s="124">
        <f>IFERROR(VLOOKUP(C31,'[1]TARGET THIS MONTH'!C:U,16,0),0)</f>
        <v>200000</v>
      </c>
      <c r="BG31" s="124">
        <f>IFERROR(GETPIVOTDATA("Sum of SRP",'[1]Insurance by Store'!$A$5,"ID Store",$C31,"Product Type","Qoala"),0)</f>
        <v>0</v>
      </c>
      <c r="BH31" s="107">
        <f t="shared" si="35"/>
        <v>0</v>
      </c>
      <c r="BI31" s="124">
        <f>IFERROR(VLOOKUP(C31,'[1]TARGET THIS MONTH'!C:U,17,0),0)</f>
        <v>100000</v>
      </c>
      <c r="BJ31" s="124">
        <f>IFERROR(GETPIVOTDATA("Sum of SRP",'[1]Insurance by Store'!$A$5,"ID Store",$C31,"Product Type","Vivo Care"),0)</f>
        <v>0</v>
      </c>
      <c r="BK31" s="107">
        <f t="shared" si="36"/>
        <v>0</v>
      </c>
      <c r="BL31" s="105">
        <f>IFERROR(VLOOKUP(C31,'[1]TARGET THIS MONTH'!C:U,18,0),0)</f>
        <v>0.9</v>
      </c>
      <c r="BM31" s="106">
        <f>IFERROR(GETPIVOTDATA("Sum of Qty",'[1]Operator by Store'!$A$5,"ID Store",$C31,"Product Type","Indosat"),0)</f>
        <v>0</v>
      </c>
      <c r="BN31" s="107">
        <f t="shared" si="37"/>
        <v>0</v>
      </c>
      <c r="BO31" s="105">
        <f>VLOOKUP(C31,'[1]TARGET THIS MONTH'!C:U,19,0)</f>
        <v>9</v>
      </c>
      <c r="BP31" s="106">
        <f>IFERROR(GETPIVOTDATA("Sum of Qty",'[1]Operator by Store'!$A$5,"ID Store",$C31,"Product Type","Telkomsel"),0)</f>
        <v>0</v>
      </c>
      <c r="BQ31" s="125">
        <f t="shared" si="38"/>
        <v>0</v>
      </c>
    </row>
    <row r="32" spans="1:69">
      <c r="A32" s="96">
        <v>28</v>
      </c>
      <c r="B32" s="97" t="s">
        <v>73</v>
      </c>
      <c r="C32" s="98">
        <v>6240705</v>
      </c>
      <c r="D32" s="99" t="s">
        <v>84</v>
      </c>
      <c r="E32" s="126" t="s">
        <v>79</v>
      </c>
      <c r="F32" s="101">
        <v>2</v>
      </c>
      <c r="G32" s="102">
        <f>IFERROR(VLOOKUP(C32,'[1]TARGET THIS MONTH'!C:E,3,0),0)</f>
        <v>40</v>
      </c>
      <c r="H32" s="103">
        <f>IFERROR(VLOOKUP(C32,'[1]TARGET THIS MONTH'!C:M,11,0),0)</f>
        <v>172000000</v>
      </c>
      <c r="I32" s="102">
        <f>IFERROR(GETPIVOTDATA("Sum of Qty",'[1]DEVICE &amp; VALUE'!$A$6,"ID Store",$C32),0)</f>
        <v>10</v>
      </c>
      <c r="J32" s="104">
        <f t="shared" si="0"/>
        <v>0.25</v>
      </c>
      <c r="K32" s="105">
        <f t="shared" si="1"/>
        <v>-30</v>
      </c>
      <c r="L32" s="106">
        <f>IFERROR(GETPIVOTDATA("Sum of Qty",[1]PF!$A$5,"ID Store",$C32),0)</f>
        <v>2</v>
      </c>
      <c r="M32" s="106">
        <f>IFERROR(GETPIVOTDATA("Sum of Qty",'[1]DEVICE &amp; VALUE'!$A$6,"ID Store",$C32,"Segment Price","3mio&gt;"),0)</f>
        <v>7</v>
      </c>
      <c r="N32" s="107">
        <f t="shared" si="2"/>
        <v>0.7</v>
      </c>
      <c r="O32" s="108">
        <f>IFERROR(GETPIVOTDATA("Sum of Qty",[1]IQOO!$A$6,"ID Store",$C32),0)</f>
        <v>2</v>
      </c>
      <c r="P32" s="107">
        <f t="shared" si="3"/>
        <v>0.2</v>
      </c>
      <c r="Q32" s="107">
        <f t="shared" si="4"/>
        <v>0.7</v>
      </c>
      <c r="R32" s="109">
        <f>IFERROR(GETPIVOTDATA("Sum of SRP",'[1]DEVICE &amp; VALUE'!$A$6,"ID Store",$C32),0)</f>
        <v>55990000</v>
      </c>
      <c r="S32" s="107">
        <f t="shared" si="5"/>
        <v>0.325523255813953</v>
      </c>
      <c r="T32" s="110">
        <f t="shared" si="6"/>
        <v>-116010000</v>
      </c>
      <c r="U32" s="111">
        <f t="shared" si="7"/>
        <v>50</v>
      </c>
      <c r="V32" s="112">
        <f t="shared" si="8"/>
        <v>1.25</v>
      </c>
      <c r="W32" s="113">
        <f t="shared" si="9"/>
        <v>10</v>
      </c>
      <c r="X32" s="113">
        <f t="shared" si="10"/>
        <v>35</v>
      </c>
      <c r="Y32" s="113">
        <f t="shared" si="11"/>
        <v>-5</v>
      </c>
      <c r="Z32" s="114">
        <f t="shared" si="12"/>
        <v>279950000</v>
      </c>
      <c r="AA32" s="114">
        <f t="shared" si="13"/>
        <v>107950000</v>
      </c>
      <c r="AB32" s="115">
        <f t="shared" si="14"/>
        <v>1.62761627906977</v>
      </c>
      <c r="AC32" s="116">
        <f t="shared" si="15"/>
        <v>1.25</v>
      </c>
      <c r="AD32" s="117">
        <f t="shared" si="16"/>
        <v>4833750</v>
      </c>
      <c r="AE32" s="102">
        <f>IFERROR(GETPIVOTDATA("Sum of Qty",'[1]DATA LAST MONTH IQOO'!$A$6,"ID Store",$C32),0)</f>
        <v>7</v>
      </c>
      <c r="AF32" s="118">
        <f>IFERROR(GETPIVOTDATA("Sum of Qty",[1]IQOO!$A$6,"ID Store",$C32),0)</f>
        <v>2</v>
      </c>
      <c r="AG32" s="105">
        <f t="shared" si="17"/>
        <v>-5</v>
      </c>
      <c r="AH32" s="119">
        <f t="shared" si="18"/>
        <v>-0.714285714285714</v>
      </c>
      <c r="AI32" s="120">
        <f>IFERROR(GETPIVOTDATA("Sum of Qty",'[1]DATA LAST MONTH DEVICE'!$A$6,"ID Store",$C32),0)</f>
        <v>31</v>
      </c>
      <c r="AJ32" s="121">
        <f t="shared" si="19"/>
        <v>10</v>
      </c>
      <c r="AK32" s="105">
        <f t="shared" si="20"/>
        <v>-21</v>
      </c>
      <c r="AL32" s="107">
        <f t="shared" si="21"/>
        <v>-0.67741935483871</v>
      </c>
      <c r="AM32" s="106">
        <f>IFERROR(GETPIVOTDATA("Sum of Qty",'[1]Store 3mio+ last month'!$A$6,"ID Store",$C32),0)</f>
        <v>31</v>
      </c>
      <c r="AN32" s="105">
        <f t="shared" si="22"/>
        <v>50</v>
      </c>
      <c r="AO32" s="105">
        <f t="shared" si="23"/>
        <v>19</v>
      </c>
      <c r="AP32" s="107">
        <f t="shared" si="24"/>
        <v>0.612903225806452</v>
      </c>
      <c r="AQ32" s="106">
        <f>IFERROR(GETPIVOTDATA("Sum of Qty",'[1]DATA LAST MONTH DEVICE'!$A$6,"ID Store",$C32,"Segment Price","3mio&gt;"),0)</f>
        <v>14</v>
      </c>
      <c r="AR32" s="108">
        <f t="shared" si="25"/>
        <v>7</v>
      </c>
      <c r="AS32" s="108">
        <f t="shared" si="26"/>
        <v>-7</v>
      </c>
      <c r="AT32" s="107">
        <f t="shared" si="27"/>
        <v>-0.5</v>
      </c>
      <c r="AU32" s="122">
        <f>IFERROR(GETPIVOTDATA("Sum of SRP",'[1]DATA LAST MONTH DEVICE'!$A$6,"ID Store",$C32),0)</f>
        <v>151169000</v>
      </c>
      <c r="AV32" s="122">
        <f t="shared" si="28"/>
        <v>55990000</v>
      </c>
      <c r="AW32" s="122">
        <f t="shared" si="29"/>
        <v>-95179000</v>
      </c>
      <c r="AX32" s="107">
        <f t="shared" si="30"/>
        <v>-0.62961982946239</v>
      </c>
      <c r="AY32" s="122">
        <f>IFERROR(VLOOKUP(C32,'[1]DATA SALES LAST MONTH'!A:E,5,0),0)</f>
        <v>4876419.35483871</v>
      </c>
      <c r="AZ32" s="109">
        <f t="shared" si="31"/>
        <v>5599000</v>
      </c>
      <c r="BA32" s="109">
        <f t="shared" si="32"/>
        <v>722580.645161291</v>
      </c>
      <c r="BB32" s="119">
        <f t="shared" si="33"/>
        <v>0.148178528666592</v>
      </c>
      <c r="BC32" s="102">
        <f>IFERROR(VLOOKUP(C32,'[1]TARGET THIS MONTH'!C:U,15,0),0)</f>
        <v>4</v>
      </c>
      <c r="BD32" s="123">
        <f>IFERROR(GETPIVOTDATA("Sum of Qty",[1]ACC!$A$5,"ID Store",$C32),0)</f>
        <v>0</v>
      </c>
      <c r="BE32" s="107">
        <f t="shared" si="34"/>
        <v>0</v>
      </c>
      <c r="BF32" s="124">
        <f>IFERROR(VLOOKUP(C32,'[1]TARGET THIS MONTH'!C:U,16,0),0)</f>
        <v>100000</v>
      </c>
      <c r="BG32" s="124">
        <f>IFERROR(GETPIVOTDATA("Sum of SRP",'[1]Insurance by Store'!$A$5,"ID Store",$C32,"Product Type","Qoala"),0)</f>
        <v>0</v>
      </c>
      <c r="BH32" s="107">
        <f t="shared" si="35"/>
        <v>0</v>
      </c>
      <c r="BI32" s="124">
        <f>IFERROR(VLOOKUP(C32,'[1]TARGET THIS MONTH'!C:U,17,0),0)</f>
        <v>50000</v>
      </c>
      <c r="BJ32" s="124">
        <f>IFERROR(GETPIVOTDATA("Sum of SRP",'[1]Insurance by Store'!$A$5,"ID Store",$C32,"Product Type","Vivo Care"),0)</f>
        <v>0</v>
      </c>
      <c r="BK32" s="107">
        <f t="shared" si="36"/>
        <v>0</v>
      </c>
      <c r="BL32" s="105">
        <f>IFERROR(VLOOKUP(C32,'[1]TARGET THIS MONTH'!C:U,18,0),0)</f>
        <v>1.2</v>
      </c>
      <c r="BM32" s="106">
        <f>IFERROR(GETPIVOTDATA("Sum of Qty",'[1]Operator by Store'!$A$5,"ID Store",$C32,"Product Type","Indosat"),0)</f>
        <v>0</v>
      </c>
      <c r="BN32" s="107">
        <f t="shared" si="37"/>
        <v>0</v>
      </c>
      <c r="BO32" s="105">
        <f>VLOOKUP(C32,'[1]TARGET THIS MONTH'!C:U,19,0)</f>
        <v>12</v>
      </c>
      <c r="BP32" s="106">
        <f>IFERROR(GETPIVOTDATA("Sum of Qty",'[1]Operator by Store'!$A$5,"ID Store",$C32,"Product Type","Telkomsel"),0)</f>
        <v>0</v>
      </c>
      <c r="BQ32" s="125">
        <f t="shared" si="38"/>
        <v>0</v>
      </c>
    </row>
    <row r="33" spans="1:69">
      <c r="A33" s="96">
        <v>29</v>
      </c>
      <c r="B33" s="97" t="s">
        <v>73</v>
      </c>
      <c r="C33" s="98">
        <v>6240709</v>
      </c>
      <c r="D33" s="99" t="s">
        <v>85</v>
      </c>
      <c r="E33" s="127" t="s">
        <v>75</v>
      </c>
      <c r="F33" s="101">
        <v>2</v>
      </c>
      <c r="G33" s="102">
        <f>IFERROR(VLOOKUP(C33,'[1]TARGET THIS MONTH'!C:E,3,0),0)</f>
        <v>30</v>
      </c>
      <c r="H33" s="103">
        <f>IFERROR(VLOOKUP(C33,'[1]TARGET THIS MONTH'!C:M,11,0),0)</f>
        <v>150000000</v>
      </c>
      <c r="I33" s="102">
        <f>IFERROR(GETPIVOTDATA("Sum of Qty",'[1]DEVICE &amp; VALUE'!$A$6,"ID Store",$C33),0)</f>
        <v>6</v>
      </c>
      <c r="J33" s="104">
        <f t="shared" si="0"/>
        <v>0.2</v>
      </c>
      <c r="K33" s="105">
        <f t="shared" si="1"/>
        <v>-24</v>
      </c>
      <c r="L33" s="106">
        <f>IFERROR(GETPIVOTDATA("Sum of Qty",[1]PF!$A$5,"ID Store",$C33),0)</f>
        <v>3</v>
      </c>
      <c r="M33" s="106">
        <f>IFERROR(GETPIVOTDATA("Sum of Qty",'[1]DEVICE &amp; VALUE'!$A$6,"ID Store",$C33,"Segment Price","3mio&gt;"),0)</f>
        <v>4</v>
      </c>
      <c r="N33" s="107">
        <f t="shared" si="2"/>
        <v>0.666666666666667</v>
      </c>
      <c r="O33" s="108">
        <f>IFERROR(GETPIVOTDATA("Sum of Qty",[1]IQOO!$A$6,"ID Store",$C33),0)</f>
        <v>0</v>
      </c>
      <c r="P33" s="107">
        <f t="shared" si="3"/>
        <v>0</v>
      </c>
      <c r="Q33" s="107">
        <f t="shared" si="4"/>
        <v>0.666666666666667</v>
      </c>
      <c r="R33" s="109">
        <f>IFERROR(GETPIVOTDATA("Sum of SRP",'[1]DEVICE &amp; VALUE'!$A$6,"ID Store",$C33),0)</f>
        <v>24894000</v>
      </c>
      <c r="S33" s="107">
        <f t="shared" si="5"/>
        <v>0.16596</v>
      </c>
      <c r="T33" s="110">
        <f t="shared" si="6"/>
        <v>-125106000</v>
      </c>
      <c r="U33" s="111">
        <f t="shared" si="7"/>
        <v>30</v>
      </c>
      <c r="V33" s="112">
        <f t="shared" si="8"/>
        <v>1</v>
      </c>
      <c r="W33" s="113">
        <f t="shared" si="9"/>
        <v>0</v>
      </c>
      <c r="X33" s="113">
        <f t="shared" si="10"/>
        <v>20</v>
      </c>
      <c r="Y33" s="113">
        <f t="shared" si="11"/>
        <v>-10</v>
      </c>
      <c r="Z33" s="114">
        <f t="shared" si="12"/>
        <v>124470000</v>
      </c>
      <c r="AA33" s="114">
        <f t="shared" si="13"/>
        <v>-25530000</v>
      </c>
      <c r="AB33" s="115">
        <f t="shared" si="14"/>
        <v>0.8298</v>
      </c>
      <c r="AC33" s="116">
        <f t="shared" si="15"/>
        <v>1</v>
      </c>
      <c r="AD33" s="117">
        <f t="shared" si="16"/>
        <v>5212750</v>
      </c>
      <c r="AE33" s="102">
        <f>IFERROR(GETPIVOTDATA("Sum of Qty",'[1]DATA LAST MONTH IQOO'!$A$6,"ID Store",$C33),0)</f>
        <v>3</v>
      </c>
      <c r="AF33" s="118">
        <f>IFERROR(GETPIVOTDATA("Sum of Qty",[1]IQOO!$A$6,"ID Store",$C33),0)</f>
        <v>0</v>
      </c>
      <c r="AG33" s="105">
        <f t="shared" si="17"/>
        <v>-3</v>
      </c>
      <c r="AH33" s="119">
        <f t="shared" si="18"/>
        <v>-1</v>
      </c>
      <c r="AI33" s="120">
        <f>IFERROR(GETPIVOTDATA("Sum of Qty",'[1]DATA LAST MONTH DEVICE'!$A$6,"ID Store",$C33),0)</f>
        <v>20</v>
      </c>
      <c r="AJ33" s="121">
        <f t="shared" si="19"/>
        <v>6</v>
      </c>
      <c r="AK33" s="105">
        <f t="shared" si="20"/>
        <v>-14</v>
      </c>
      <c r="AL33" s="107">
        <f t="shared" si="21"/>
        <v>-0.7</v>
      </c>
      <c r="AM33" s="106">
        <f>IFERROR(GETPIVOTDATA("Sum of Qty",'[1]Store 3mio+ last month'!$A$6,"ID Store",$C33),0)</f>
        <v>20</v>
      </c>
      <c r="AN33" s="105">
        <f t="shared" si="22"/>
        <v>30</v>
      </c>
      <c r="AO33" s="105">
        <f t="shared" si="23"/>
        <v>10</v>
      </c>
      <c r="AP33" s="107">
        <f t="shared" si="24"/>
        <v>0.5</v>
      </c>
      <c r="AQ33" s="106">
        <f>IFERROR(GETPIVOTDATA("Sum of Qty",'[1]DATA LAST MONTH DEVICE'!$A$6,"ID Store",$C33,"Segment Price","3mio&gt;"),0)</f>
        <v>11</v>
      </c>
      <c r="AR33" s="108">
        <f t="shared" si="25"/>
        <v>4</v>
      </c>
      <c r="AS33" s="108">
        <f t="shared" si="26"/>
        <v>-7</v>
      </c>
      <c r="AT33" s="107">
        <f t="shared" si="27"/>
        <v>-0.636363636363636</v>
      </c>
      <c r="AU33" s="122">
        <f>IFERROR(GETPIVOTDATA("Sum of SRP",'[1]DATA LAST MONTH DEVICE'!$A$6,"ID Store",$C33),0)</f>
        <v>96280000</v>
      </c>
      <c r="AV33" s="122">
        <f t="shared" si="28"/>
        <v>24894000</v>
      </c>
      <c r="AW33" s="122">
        <f t="shared" si="29"/>
        <v>-71386000</v>
      </c>
      <c r="AX33" s="107">
        <f t="shared" si="30"/>
        <v>-0.741441628583299</v>
      </c>
      <c r="AY33" s="122">
        <f>IFERROR(VLOOKUP(C33,'[1]DATA SALES LAST MONTH'!A:E,5,0),0)</f>
        <v>4814000</v>
      </c>
      <c r="AZ33" s="109">
        <f t="shared" si="31"/>
        <v>4149000</v>
      </c>
      <c r="BA33" s="109">
        <f t="shared" si="32"/>
        <v>-665000</v>
      </c>
      <c r="BB33" s="119">
        <f t="shared" si="33"/>
        <v>-0.138138761944329</v>
      </c>
      <c r="BC33" s="102">
        <f>IFERROR(VLOOKUP(C33,'[1]TARGET THIS MONTH'!C:U,15,0),0)</f>
        <v>3</v>
      </c>
      <c r="BD33" s="123">
        <f>IFERROR(GETPIVOTDATA("Sum of Qty",[1]ACC!$A$5,"ID Store",$C33),0)</f>
        <v>0</v>
      </c>
      <c r="BE33" s="107">
        <f t="shared" si="34"/>
        <v>0</v>
      </c>
      <c r="BF33" s="124">
        <f>IFERROR(VLOOKUP(C33,'[1]TARGET THIS MONTH'!C:U,16,0),0)</f>
        <v>750000</v>
      </c>
      <c r="BG33" s="124">
        <f>IFERROR(GETPIVOTDATA("Sum of SRP",'[1]Insurance by Store'!$A$5,"ID Store",$C33,"Product Type","Qoala"),0)</f>
        <v>0</v>
      </c>
      <c r="BH33" s="107">
        <f t="shared" si="35"/>
        <v>0</v>
      </c>
      <c r="BI33" s="124">
        <f>IFERROR(VLOOKUP(C33,'[1]TARGET THIS MONTH'!C:U,17,0),0)</f>
        <v>150000</v>
      </c>
      <c r="BJ33" s="124">
        <f>IFERROR(GETPIVOTDATA("Sum of SRP",'[1]Insurance by Store'!$A$5,"ID Store",$C33,"Product Type","Vivo Care"),0)</f>
        <v>0</v>
      </c>
      <c r="BK33" s="107">
        <f t="shared" si="36"/>
        <v>0</v>
      </c>
      <c r="BL33" s="105">
        <f>IFERROR(VLOOKUP(C33,'[1]TARGET THIS MONTH'!C:U,18,0),0)</f>
        <v>0.9</v>
      </c>
      <c r="BM33" s="106">
        <f>IFERROR(GETPIVOTDATA("Sum of Qty",'[1]Operator by Store'!$A$5,"ID Store",$C33,"Product Type","Indosat"),0)</f>
        <v>0</v>
      </c>
      <c r="BN33" s="107">
        <f t="shared" si="37"/>
        <v>0</v>
      </c>
      <c r="BO33" s="105">
        <f>VLOOKUP(C33,'[1]TARGET THIS MONTH'!C:U,19,0)</f>
        <v>9</v>
      </c>
      <c r="BP33" s="106">
        <f>IFERROR(GETPIVOTDATA("Sum of Qty",'[1]Operator by Store'!$A$5,"ID Store",$C33,"Product Type","Telkomsel"),0)</f>
        <v>0</v>
      </c>
      <c r="BQ33" s="125">
        <f t="shared" si="38"/>
        <v>0</v>
      </c>
    </row>
    <row r="34" spans="1:69">
      <c r="A34" s="96">
        <v>30</v>
      </c>
      <c r="B34" s="97" t="s">
        <v>73</v>
      </c>
      <c r="C34" s="98">
        <v>6240708</v>
      </c>
      <c r="D34" s="99" t="s">
        <v>86</v>
      </c>
      <c r="E34" s="127" t="s">
        <v>75</v>
      </c>
      <c r="F34" s="101">
        <v>2</v>
      </c>
      <c r="G34" s="102">
        <f>IFERROR(VLOOKUP(C34,'[1]TARGET THIS MONTH'!C:E,3,0),0)</f>
        <v>30</v>
      </c>
      <c r="H34" s="103">
        <f>IFERROR(VLOOKUP(C34,'[1]TARGET THIS MONTH'!C:M,11,0),0)</f>
        <v>150000000</v>
      </c>
      <c r="I34" s="102">
        <f>IFERROR(GETPIVOTDATA("Sum of Qty",'[1]DEVICE &amp; VALUE'!$A$6,"ID Store",$C34),0)</f>
        <v>6</v>
      </c>
      <c r="J34" s="104">
        <f t="shared" si="0"/>
        <v>0.2</v>
      </c>
      <c r="K34" s="105">
        <f t="shared" si="1"/>
        <v>-24</v>
      </c>
      <c r="L34" s="106">
        <f>IFERROR(GETPIVOTDATA("Sum of Qty",[1]PF!$A$5,"ID Store",$C34),0)</f>
        <v>1</v>
      </c>
      <c r="M34" s="106">
        <f>IFERROR(GETPIVOTDATA("Sum of Qty",'[1]DEVICE &amp; VALUE'!$A$6,"ID Store",$C34,"Segment Price","3mio&gt;"),0)</f>
        <v>3</v>
      </c>
      <c r="N34" s="107">
        <f t="shared" si="2"/>
        <v>0.5</v>
      </c>
      <c r="O34" s="108">
        <f>IFERROR(GETPIVOTDATA("Sum of Qty",[1]IQOO!$A$6,"ID Store",$C34),0)</f>
        <v>0</v>
      </c>
      <c r="P34" s="107">
        <f t="shared" si="3"/>
        <v>0</v>
      </c>
      <c r="Q34" s="107">
        <f t="shared" si="4"/>
        <v>0.5</v>
      </c>
      <c r="R34" s="109">
        <f>IFERROR(GETPIVOTDATA("Sum of SRP",'[1]DEVICE &amp; VALUE'!$A$6,"ID Store",$C34),0)</f>
        <v>23194000</v>
      </c>
      <c r="S34" s="107">
        <f t="shared" si="5"/>
        <v>0.154626666666667</v>
      </c>
      <c r="T34" s="110">
        <f t="shared" si="6"/>
        <v>-126806000</v>
      </c>
      <c r="U34" s="111">
        <f t="shared" si="7"/>
        <v>30</v>
      </c>
      <c r="V34" s="112">
        <f t="shared" si="8"/>
        <v>1</v>
      </c>
      <c r="W34" s="113">
        <f t="shared" si="9"/>
        <v>0</v>
      </c>
      <c r="X34" s="113">
        <f t="shared" si="10"/>
        <v>15</v>
      </c>
      <c r="Y34" s="113">
        <f t="shared" si="11"/>
        <v>-15</v>
      </c>
      <c r="Z34" s="114">
        <f t="shared" si="12"/>
        <v>115970000</v>
      </c>
      <c r="AA34" s="114">
        <f t="shared" si="13"/>
        <v>-34030000</v>
      </c>
      <c r="AB34" s="115">
        <f t="shared" si="14"/>
        <v>0.773133333333333</v>
      </c>
      <c r="AC34" s="116">
        <f t="shared" si="15"/>
        <v>1</v>
      </c>
      <c r="AD34" s="117">
        <f t="shared" si="16"/>
        <v>5283583.33333333</v>
      </c>
      <c r="AE34" s="102">
        <f>IFERROR(GETPIVOTDATA("Sum of Qty",'[1]DATA LAST MONTH IQOO'!$A$6,"ID Store",$C34),0)</f>
        <v>6</v>
      </c>
      <c r="AF34" s="118">
        <f>IFERROR(GETPIVOTDATA("Sum of Qty",[1]IQOO!$A$6,"ID Store",$C34),0)</f>
        <v>0</v>
      </c>
      <c r="AG34" s="105">
        <f t="shared" si="17"/>
        <v>-6</v>
      </c>
      <c r="AH34" s="119">
        <f t="shared" si="18"/>
        <v>-1</v>
      </c>
      <c r="AI34" s="120">
        <f>IFERROR(GETPIVOTDATA("Sum of Qty",'[1]DATA LAST MONTH DEVICE'!$A$6,"ID Store",$C34),0)</f>
        <v>26</v>
      </c>
      <c r="AJ34" s="121">
        <f t="shared" si="19"/>
        <v>6</v>
      </c>
      <c r="AK34" s="105">
        <f t="shared" si="20"/>
        <v>-20</v>
      </c>
      <c r="AL34" s="107">
        <f t="shared" si="21"/>
        <v>-0.769230769230769</v>
      </c>
      <c r="AM34" s="106">
        <f>IFERROR(GETPIVOTDATA("Sum of Qty",'[1]Store 3mio+ last month'!$A$6,"ID Store",$C34),0)</f>
        <v>26</v>
      </c>
      <c r="AN34" s="105">
        <f t="shared" si="22"/>
        <v>30</v>
      </c>
      <c r="AO34" s="105">
        <f t="shared" si="23"/>
        <v>4</v>
      </c>
      <c r="AP34" s="107">
        <f t="shared" si="24"/>
        <v>0.153846153846154</v>
      </c>
      <c r="AQ34" s="106">
        <f>IFERROR(GETPIVOTDATA("Sum of Qty",'[1]DATA LAST MONTH DEVICE'!$A$6,"ID Store",$C34,"Segment Price","3mio&gt;"),0)</f>
        <v>13</v>
      </c>
      <c r="AR34" s="108">
        <f t="shared" si="25"/>
        <v>3</v>
      </c>
      <c r="AS34" s="108">
        <f t="shared" si="26"/>
        <v>-10</v>
      </c>
      <c r="AT34" s="107">
        <f t="shared" si="27"/>
        <v>-0.769230769230769</v>
      </c>
      <c r="AU34" s="122">
        <f>IFERROR(GETPIVOTDATA("Sum of SRP",'[1]DATA LAST MONTH DEVICE'!$A$6,"ID Store",$C34),0)</f>
        <v>139374000</v>
      </c>
      <c r="AV34" s="122">
        <f t="shared" si="28"/>
        <v>23194000</v>
      </c>
      <c r="AW34" s="122">
        <f t="shared" si="29"/>
        <v>-116180000</v>
      </c>
      <c r="AX34" s="107">
        <f t="shared" si="30"/>
        <v>-0.833584456211345</v>
      </c>
      <c r="AY34" s="122">
        <f>IFERROR(VLOOKUP(C34,'[1]DATA SALES LAST MONTH'!A:E,5,0),0)</f>
        <v>5360538.46153846</v>
      </c>
      <c r="AZ34" s="109">
        <f t="shared" si="31"/>
        <v>3865666.66666667</v>
      </c>
      <c r="BA34" s="109">
        <f t="shared" si="32"/>
        <v>-1494871.7948718</v>
      </c>
      <c r="BB34" s="119">
        <f t="shared" si="33"/>
        <v>-0.278865976915828</v>
      </c>
      <c r="BC34" s="102">
        <f>IFERROR(VLOOKUP(C34,'[1]TARGET THIS MONTH'!C:U,15,0),0)</f>
        <v>3</v>
      </c>
      <c r="BD34" s="123">
        <f>IFERROR(GETPIVOTDATA("Sum of Qty",[1]ACC!$A$5,"ID Store",$C34),0)</f>
        <v>1</v>
      </c>
      <c r="BE34" s="107">
        <f t="shared" si="34"/>
        <v>0.333333333333333</v>
      </c>
      <c r="BF34" s="124">
        <f>IFERROR(VLOOKUP(C34,'[1]TARGET THIS MONTH'!C:U,16,0),0)</f>
        <v>750000</v>
      </c>
      <c r="BG34" s="124">
        <f>IFERROR(GETPIVOTDATA("Sum of SRP",'[1]Insurance by Store'!$A$5,"ID Store",$C34,"Product Type","Qoala"),0)</f>
        <v>249000</v>
      </c>
      <c r="BH34" s="107">
        <f t="shared" si="35"/>
        <v>0.332</v>
      </c>
      <c r="BI34" s="124">
        <f>IFERROR(VLOOKUP(C34,'[1]TARGET THIS MONTH'!C:U,17,0),0)</f>
        <v>150000</v>
      </c>
      <c r="BJ34" s="124">
        <f>IFERROR(GETPIVOTDATA("Sum of SRP",'[1]Insurance by Store'!$A$5,"ID Store",$C34,"Product Type","Vivo Care"),0)</f>
        <v>0</v>
      </c>
      <c r="BK34" s="107">
        <f t="shared" si="36"/>
        <v>0</v>
      </c>
      <c r="BL34" s="105">
        <f>IFERROR(VLOOKUP(C34,'[1]TARGET THIS MONTH'!C:U,18,0),0)</f>
        <v>0.9</v>
      </c>
      <c r="BM34" s="106">
        <f>IFERROR(GETPIVOTDATA("Sum of Qty",'[1]Operator by Store'!$A$5,"ID Store",$C34,"Product Type","Indosat"),0)</f>
        <v>0</v>
      </c>
      <c r="BN34" s="107">
        <f t="shared" si="37"/>
        <v>0</v>
      </c>
      <c r="BO34" s="105">
        <f>VLOOKUP(C34,'[1]TARGET THIS MONTH'!C:U,19,0)</f>
        <v>9</v>
      </c>
      <c r="BP34" s="106">
        <f>IFERROR(GETPIVOTDATA("Sum of Qty",'[1]Operator by Store'!$A$5,"ID Store",$C34,"Product Type","Telkomsel"),0)</f>
        <v>0</v>
      </c>
      <c r="BQ34" s="125">
        <f t="shared" si="38"/>
        <v>0</v>
      </c>
    </row>
    <row r="35" spans="1:69">
      <c r="A35" s="96">
        <v>31</v>
      </c>
      <c r="B35" s="97" t="s">
        <v>73</v>
      </c>
      <c r="C35" s="98">
        <v>6240707</v>
      </c>
      <c r="D35" s="99" t="s">
        <v>87</v>
      </c>
      <c r="E35" s="126" t="s">
        <v>88</v>
      </c>
      <c r="F35" s="101">
        <v>2</v>
      </c>
      <c r="G35" s="102">
        <f>IFERROR(VLOOKUP(C35,'[1]TARGET THIS MONTH'!C:E,3,0),0)</f>
        <v>30</v>
      </c>
      <c r="H35" s="103">
        <f>IFERROR(VLOOKUP(C35,'[1]TARGET THIS MONTH'!C:M,11,0),0)</f>
        <v>165000000</v>
      </c>
      <c r="I35" s="102">
        <f>IFERROR(GETPIVOTDATA("Sum of Qty",'[1]DEVICE &amp; VALUE'!$A$6,"ID Store",$C35),0)</f>
        <v>4</v>
      </c>
      <c r="J35" s="104">
        <f t="shared" si="0"/>
        <v>0.133333333333333</v>
      </c>
      <c r="K35" s="105">
        <f t="shared" si="1"/>
        <v>-26</v>
      </c>
      <c r="L35" s="106">
        <f>IFERROR(GETPIVOTDATA("Sum of Qty",[1]PF!$A$5,"ID Store",$C35),0)</f>
        <v>1</v>
      </c>
      <c r="M35" s="106">
        <f>IFERROR(GETPIVOTDATA("Sum of Qty",'[1]DEVICE &amp; VALUE'!$A$6,"ID Store",$C35,"Segment Price","3mio&gt;"),0)</f>
        <v>1</v>
      </c>
      <c r="N35" s="107">
        <f t="shared" si="2"/>
        <v>0.25</v>
      </c>
      <c r="O35" s="108">
        <f>IFERROR(GETPIVOTDATA("Sum of Qty",[1]IQOO!$A$6,"ID Store",$C35),0)</f>
        <v>0</v>
      </c>
      <c r="P35" s="107">
        <f t="shared" si="3"/>
        <v>0</v>
      </c>
      <c r="Q35" s="107">
        <f t="shared" si="4"/>
        <v>0.25</v>
      </c>
      <c r="R35" s="109">
        <f>IFERROR(GETPIVOTDATA("Sum of SRP",'[1]DEVICE &amp; VALUE'!$A$6,"ID Store",$C35),0)</f>
        <v>11996000</v>
      </c>
      <c r="S35" s="107">
        <f t="shared" si="5"/>
        <v>0.0727030303030303</v>
      </c>
      <c r="T35" s="110">
        <f t="shared" si="6"/>
        <v>-153004000</v>
      </c>
      <c r="U35" s="111">
        <f t="shared" si="7"/>
        <v>20</v>
      </c>
      <c r="V35" s="112">
        <f t="shared" si="8"/>
        <v>0.666666666666667</v>
      </c>
      <c r="W35" s="113">
        <f t="shared" si="9"/>
        <v>-10</v>
      </c>
      <c r="X35" s="113">
        <f t="shared" si="10"/>
        <v>5</v>
      </c>
      <c r="Y35" s="113">
        <f t="shared" si="11"/>
        <v>-25</v>
      </c>
      <c r="Z35" s="114">
        <f t="shared" si="12"/>
        <v>59980000</v>
      </c>
      <c r="AA35" s="114">
        <f t="shared" si="13"/>
        <v>-105020000</v>
      </c>
      <c r="AB35" s="115">
        <f t="shared" si="14"/>
        <v>0.363515151515152</v>
      </c>
      <c r="AC35" s="116">
        <f t="shared" si="15"/>
        <v>1.08333333333333</v>
      </c>
      <c r="AD35" s="117">
        <f t="shared" si="16"/>
        <v>6375166.66666667</v>
      </c>
      <c r="AE35" s="102">
        <f>IFERROR(GETPIVOTDATA("Sum of Qty",'[1]DATA LAST MONTH IQOO'!$A$6,"ID Store",$C35),0)</f>
        <v>7</v>
      </c>
      <c r="AF35" s="118">
        <f>IFERROR(GETPIVOTDATA("Sum of Qty",[1]IQOO!$A$6,"ID Store",$C35),0)</f>
        <v>0</v>
      </c>
      <c r="AG35" s="105">
        <f t="shared" si="17"/>
        <v>-7</v>
      </c>
      <c r="AH35" s="119">
        <f t="shared" si="18"/>
        <v>-1</v>
      </c>
      <c r="AI35" s="120">
        <f>IFERROR(GETPIVOTDATA("Sum of Qty",'[1]DATA LAST MONTH DEVICE'!$A$6,"ID Store",$C35),0)</f>
        <v>30</v>
      </c>
      <c r="AJ35" s="121">
        <f t="shared" si="19"/>
        <v>4</v>
      </c>
      <c r="AK35" s="105">
        <f t="shared" si="20"/>
        <v>-26</v>
      </c>
      <c r="AL35" s="107">
        <f t="shared" si="21"/>
        <v>-0.866666666666667</v>
      </c>
      <c r="AM35" s="106">
        <f>IFERROR(GETPIVOTDATA("Sum of Qty",'[1]Store 3mio+ last month'!$A$6,"ID Store",$C35),0)</f>
        <v>30</v>
      </c>
      <c r="AN35" s="105">
        <f t="shared" si="22"/>
        <v>20</v>
      </c>
      <c r="AO35" s="105">
        <f t="shared" si="23"/>
        <v>-10</v>
      </c>
      <c r="AP35" s="107">
        <f t="shared" si="24"/>
        <v>-0.333333333333333</v>
      </c>
      <c r="AQ35" s="106">
        <f>IFERROR(GETPIVOTDATA("Sum of Qty",'[1]DATA LAST MONTH DEVICE'!$A$6,"ID Store",$C35,"Segment Price","3mio&gt;"),0)</f>
        <v>21</v>
      </c>
      <c r="AR35" s="108">
        <f t="shared" si="25"/>
        <v>1</v>
      </c>
      <c r="AS35" s="108">
        <f t="shared" si="26"/>
        <v>-20</v>
      </c>
      <c r="AT35" s="107">
        <f t="shared" si="27"/>
        <v>-0.952380952380952</v>
      </c>
      <c r="AU35" s="122">
        <f>IFERROR(GETPIVOTDATA("Sum of SRP",'[1]DATA LAST MONTH DEVICE'!$A$6,"ID Store",$C35),0)</f>
        <v>212570000</v>
      </c>
      <c r="AV35" s="122">
        <f t="shared" si="28"/>
        <v>11996000</v>
      </c>
      <c r="AW35" s="122">
        <f t="shared" si="29"/>
        <v>-200574000</v>
      </c>
      <c r="AX35" s="107">
        <f t="shared" si="30"/>
        <v>-0.943566825045867</v>
      </c>
      <c r="AY35" s="122">
        <f>IFERROR(VLOOKUP(C35,'[1]DATA SALES LAST MONTH'!A:E,5,0),0)</f>
        <v>7085666.66666667</v>
      </c>
      <c r="AZ35" s="109">
        <f t="shared" si="31"/>
        <v>2999000</v>
      </c>
      <c r="BA35" s="109">
        <f t="shared" si="32"/>
        <v>-4086666.66666667</v>
      </c>
      <c r="BB35" s="119">
        <f t="shared" si="33"/>
        <v>-0.576751187844004</v>
      </c>
      <c r="BC35" s="102">
        <f>IFERROR(VLOOKUP(C35,'[1]TARGET THIS MONTH'!C:U,15,0),0)</f>
        <v>3</v>
      </c>
      <c r="BD35" s="123">
        <f>IFERROR(GETPIVOTDATA("Sum of Qty",[1]ACC!$A$5,"ID Store",$C35),0)</f>
        <v>1</v>
      </c>
      <c r="BE35" s="107">
        <f t="shared" si="34"/>
        <v>0.333333333333333</v>
      </c>
      <c r="BF35" s="124">
        <f>IFERROR(VLOOKUP(C35,'[1]TARGET THIS MONTH'!C:U,16,0),0)</f>
        <v>825000</v>
      </c>
      <c r="BG35" s="124">
        <f>IFERROR(GETPIVOTDATA("Sum of SRP",'[1]Insurance by Store'!$A$5,"ID Store",$C35,"Product Type","Qoala"),0)</f>
        <v>0</v>
      </c>
      <c r="BH35" s="107">
        <f t="shared" si="35"/>
        <v>0</v>
      </c>
      <c r="BI35" s="124">
        <f>IFERROR(VLOOKUP(C35,'[1]TARGET THIS MONTH'!C:U,17,0),0)</f>
        <v>165000</v>
      </c>
      <c r="BJ35" s="124">
        <f>IFERROR(GETPIVOTDATA("Sum of SRP",'[1]Insurance by Store'!$A$5,"ID Store",$C35,"Product Type","Vivo Care"),0)</f>
        <v>0</v>
      </c>
      <c r="BK35" s="107">
        <f t="shared" si="36"/>
        <v>0</v>
      </c>
      <c r="BL35" s="105">
        <f>IFERROR(VLOOKUP(C35,'[1]TARGET THIS MONTH'!C:U,18,0),0)</f>
        <v>0.9</v>
      </c>
      <c r="BM35" s="106">
        <f>IFERROR(GETPIVOTDATA("Sum of Qty",'[1]Operator by Store'!$A$5,"ID Store",$C35,"Product Type","Indosat"),0)</f>
        <v>0</v>
      </c>
      <c r="BN35" s="107">
        <f t="shared" si="37"/>
        <v>0</v>
      </c>
      <c r="BO35" s="105">
        <f>VLOOKUP(C35,'[1]TARGET THIS MONTH'!C:U,19,0)</f>
        <v>9</v>
      </c>
      <c r="BP35" s="106">
        <f>IFERROR(GETPIVOTDATA("Sum of Qty",'[1]Operator by Store'!$A$5,"ID Store",$C35,"Product Type","Telkomsel"),0)</f>
        <v>0</v>
      </c>
      <c r="BQ35" s="125">
        <f t="shared" si="38"/>
        <v>0</v>
      </c>
    </row>
    <row r="36" spans="1:69">
      <c r="A36" s="96">
        <v>32</v>
      </c>
      <c r="B36" s="97" t="s">
        <v>73</v>
      </c>
      <c r="C36" s="98">
        <v>6240706</v>
      </c>
      <c r="D36" s="99" t="s">
        <v>89</v>
      </c>
      <c r="E36" s="126" t="s">
        <v>88</v>
      </c>
      <c r="F36" s="101">
        <v>2</v>
      </c>
      <c r="G36" s="102">
        <f>IFERROR(VLOOKUP(C36,'[1]TARGET THIS MONTH'!C:E,3,0),0)</f>
        <v>30</v>
      </c>
      <c r="H36" s="103">
        <f>IFERROR(VLOOKUP(C36,'[1]TARGET THIS MONTH'!C:M,11,0),0)</f>
        <v>165000000</v>
      </c>
      <c r="I36" s="102">
        <f>IFERROR(GETPIVOTDATA("Sum of Qty",'[1]DEVICE &amp; VALUE'!$A$6,"ID Store",$C36),0)</f>
        <v>5</v>
      </c>
      <c r="J36" s="104">
        <f t="shared" si="0"/>
        <v>0.166666666666667</v>
      </c>
      <c r="K36" s="105">
        <f t="shared" si="1"/>
        <v>-25</v>
      </c>
      <c r="L36" s="106">
        <f>IFERROR(GETPIVOTDATA("Sum of Qty",[1]PF!$A$5,"ID Store",$C36),0)</f>
        <v>2</v>
      </c>
      <c r="M36" s="106">
        <f>IFERROR(GETPIVOTDATA("Sum of Qty",'[1]DEVICE &amp; VALUE'!$A$6,"ID Store",$C36,"Segment Price","3mio&gt;"),0)</f>
        <v>3</v>
      </c>
      <c r="N36" s="107">
        <f t="shared" si="2"/>
        <v>0.6</v>
      </c>
      <c r="O36" s="108">
        <f>IFERROR(GETPIVOTDATA("Sum of Qty",[1]IQOO!$A$6,"ID Store",$C36),0)</f>
        <v>0</v>
      </c>
      <c r="P36" s="107">
        <f t="shared" si="3"/>
        <v>0</v>
      </c>
      <c r="Q36" s="107">
        <f t="shared" si="4"/>
        <v>0.6</v>
      </c>
      <c r="R36" s="109">
        <f>IFERROR(GETPIVOTDATA("Sum of SRP",'[1]DEVICE &amp; VALUE'!$A$6,"ID Store",$C36),0)</f>
        <v>19895000</v>
      </c>
      <c r="S36" s="107">
        <f t="shared" si="5"/>
        <v>0.120575757575758</v>
      </c>
      <c r="T36" s="110">
        <f t="shared" si="6"/>
        <v>-145105000</v>
      </c>
      <c r="U36" s="111">
        <f t="shared" si="7"/>
        <v>25</v>
      </c>
      <c r="V36" s="112">
        <f t="shared" si="8"/>
        <v>0.833333333333333</v>
      </c>
      <c r="W36" s="113">
        <f t="shared" si="9"/>
        <v>-5</v>
      </c>
      <c r="X36" s="113">
        <f t="shared" si="10"/>
        <v>15</v>
      </c>
      <c r="Y36" s="113">
        <f t="shared" si="11"/>
        <v>-15</v>
      </c>
      <c r="Z36" s="114">
        <f t="shared" si="12"/>
        <v>99475000</v>
      </c>
      <c r="AA36" s="114">
        <f t="shared" si="13"/>
        <v>-65525000</v>
      </c>
      <c r="AB36" s="115">
        <f t="shared" si="14"/>
        <v>0.602878787878788</v>
      </c>
      <c r="AC36" s="116">
        <f t="shared" si="15"/>
        <v>1.04166666666667</v>
      </c>
      <c r="AD36" s="117">
        <f t="shared" si="16"/>
        <v>6046041.66666667</v>
      </c>
      <c r="AE36" s="102">
        <f>IFERROR(GETPIVOTDATA("Sum of Qty",'[1]DATA LAST MONTH IQOO'!$A$6,"ID Store",$C36),0)</f>
        <v>5</v>
      </c>
      <c r="AF36" s="118">
        <f>IFERROR(GETPIVOTDATA("Sum of Qty",[1]IQOO!$A$6,"ID Store",$C36),0)</f>
        <v>0</v>
      </c>
      <c r="AG36" s="105">
        <f t="shared" si="17"/>
        <v>-5</v>
      </c>
      <c r="AH36" s="119">
        <f t="shared" si="18"/>
        <v>-1</v>
      </c>
      <c r="AI36" s="120">
        <f>IFERROR(GETPIVOTDATA("Sum of Qty",'[1]DATA LAST MONTH DEVICE'!$A$6,"ID Store",$C36),0)</f>
        <v>31</v>
      </c>
      <c r="AJ36" s="121">
        <f t="shared" si="19"/>
        <v>5</v>
      </c>
      <c r="AK36" s="105">
        <f t="shared" si="20"/>
        <v>-26</v>
      </c>
      <c r="AL36" s="107">
        <f t="shared" si="21"/>
        <v>-0.838709677419355</v>
      </c>
      <c r="AM36" s="106">
        <f>IFERROR(GETPIVOTDATA("Sum of Qty",'[1]Store 3mio+ last month'!$A$6,"ID Store",$C36),0)</f>
        <v>31</v>
      </c>
      <c r="AN36" s="105">
        <f t="shared" si="22"/>
        <v>25</v>
      </c>
      <c r="AO36" s="105">
        <f t="shared" si="23"/>
        <v>-6</v>
      </c>
      <c r="AP36" s="107">
        <f t="shared" si="24"/>
        <v>-0.193548387096774</v>
      </c>
      <c r="AQ36" s="106">
        <f>IFERROR(GETPIVOTDATA("Sum of Qty",'[1]DATA LAST MONTH DEVICE'!$A$6,"ID Store",$C36,"Segment Price","3mio&gt;"),0)</f>
        <v>22</v>
      </c>
      <c r="AR36" s="108">
        <f t="shared" si="25"/>
        <v>3</v>
      </c>
      <c r="AS36" s="108">
        <f t="shared" si="26"/>
        <v>-19</v>
      </c>
      <c r="AT36" s="107">
        <f t="shared" si="27"/>
        <v>-0.863636363636364</v>
      </c>
      <c r="AU36" s="122">
        <f>IFERROR(GETPIVOTDATA("Sum of SRP",'[1]DATA LAST MONTH DEVICE'!$A$6,"ID Store",$C36),0)</f>
        <v>165669000</v>
      </c>
      <c r="AV36" s="122">
        <f t="shared" si="28"/>
        <v>19895000</v>
      </c>
      <c r="AW36" s="122">
        <f t="shared" si="29"/>
        <v>-145774000</v>
      </c>
      <c r="AX36" s="107">
        <f t="shared" si="30"/>
        <v>-0.879911148132723</v>
      </c>
      <c r="AY36" s="122">
        <f>IFERROR(VLOOKUP(C36,'[1]DATA SALES LAST MONTH'!A:E,5,0),0)</f>
        <v>5344161.29032258</v>
      </c>
      <c r="AZ36" s="109">
        <f t="shared" si="31"/>
        <v>3979000</v>
      </c>
      <c r="BA36" s="109">
        <f t="shared" si="32"/>
        <v>-1365161.29032258</v>
      </c>
      <c r="BB36" s="119">
        <f t="shared" si="33"/>
        <v>-0.255449118422879</v>
      </c>
      <c r="BC36" s="102">
        <f>IFERROR(VLOOKUP(C36,'[1]TARGET THIS MONTH'!C:U,15,0),0)</f>
        <v>3</v>
      </c>
      <c r="BD36" s="123">
        <f>IFERROR(GETPIVOTDATA("Sum of Qty",[1]ACC!$A$5,"ID Store",$C36),0)</f>
        <v>1</v>
      </c>
      <c r="BE36" s="107">
        <f t="shared" si="34"/>
        <v>0.333333333333333</v>
      </c>
      <c r="BF36" s="124">
        <f>IFERROR(VLOOKUP(C36,'[1]TARGET THIS MONTH'!C:U,16,0),0)</f>
        <v>825000</v>
      </c>
      <c r="BG36" s="124">
        <f>IFERROR(GETPIVOTDATA("Sum of SRP",'[1]Insurance by Store'!$A$5,"ID Store",$C36,"Product Type","Qoala"),0)</f>
        <v>0</v>
      </c>
      <c r="BH36" s="107">
        <f t="shared" si="35"/>
        <v>0</v>
      </c>
      <c r="BI36" s="124">
        <f>IFERROR(VLOOKUP(C36,'[1]TARGET THIS MONTH'!C:U,17,0),0)</f>
        <v>165000</v>
      </c>
      <c r="BJ36" s="124">
        <f>IFERROR(GETPIVOTDATA("Sum of SRP",'[1]Insurance by Store'!$A$5,"ID Store",$C36,"Product Type","Vivo Care"),0)</f>
        <v>0</v>
      </c>
      <c r="BK36" s="107">
        <f t="shared" si="36"/>
        <v>0</v>
      </c>
      <c r="BL36" s="105">
        <f>IFERROR(VLOOKUP(C36,'[1]TARGET THIS MONTH'!C:U,18,0),0)</f>
        <v>0.9</v>
      </c>
      <c r="BM36" s="106">
        <f>IFERROR(GETPIVOTDATA("Sum of Qty",'[1]Operator by Store'!$A$5,"ID Store",$C36,"Product Type","Indosat"),0)</f>
        <v>0</v>
      </c>
      <c r="BN36" s="107">
        <f t="shared" si="37"/>
        <v>0</v>
      </c>
      <c r="BO36" s="105">
        <f>VLOOKUP(C36,'[1]TARGET THIS MONTH'!C:U,19,0)</f>
        <v>9</v>
      </c>
      <c r="BP36" s="106">
        <f>IFERROR(GETPIVOTDATA("Sum of Qty",'[1]Operator by Store'!$A$5,"ID Store",$C36,"Product Type","Telkomsel"),0)</f>
        <v>0</v>
      </c>
      <c r="BQ36" s="125">
        <f t="shared" si="38"/>
        <v>0</v>
      </c>
    </row>
    <row r="37" spans="1:69">
      <c r="A37" s="96">
        <v>33</v>
      </c>
      <c r="B37" s="97" t="s">
        <v>90</v>
      </c>
      <c r="C37" s="98">
        <v>6190701</v>
      </c>
      <c r="D37" s="99" t="s">
        <v>91</v>
      </c>
      <c r="E37" s="126" t="s">
        <v>92</v>
      </c>
      <c r="F37" s="101">
        <v>1</v>
      </c>
      <c r="G37" s="102">
        <f>IFERROR(VLOOKUP(C37,'[1]TARGET THIS MONTH'!C:E,3,0),0)</f>
        <v>50</v>
      </c>
      <c r="H37" s="103">
        <f>IFERROR(VLOOKUP(C37,'[1]TARGET THIS MONTH'!C:M,11,0),0)</f>
        <v>215000000</v>
      </c>
      <c r="I37" s="102">
        <f>IFERROR(GETPIVOTDATA("Sum of Qty",'[1]DEVICE &amp; VALUE'!$A$6,"ID Store",$C37),0)</f>
        <v>10</v>
      </c>
      <c r="J37" s="104">
        <f t="shared" si="0"/>
        <v>0.2</v>
      </c>
      <c r="K37" s="105">
        <f t="shared" si="1"/>
        <v>-40</v>
      </c>
      <c r="L37" s="106">
        <f>IFERROR(GETPIVOTDATA("Sum of Qty",[1]PF!$A$5,"ID Store",$C37),0)</f>
        <v>3</v>
      </c>
      <c r="M37" s="106">
        <f>IFERROR(GETPIVOTDATA("Sum of Qty",'[1]DEVICE &amp; VALUE'!$A$6,"ID Store",$C37,"Segment Price","3mio&gt;"),0)</f>
        <v>3</v>
      </c>
      <c r="N37" s="107">
        <f t="shared" si="2"/>
        <v>0.3</v>
      </c>
      <c r="O37" s="108">
        <f>IFERROR(GETPIVOTDATA("Sum of Qty",[1]IQOO!$A$6,"ID Store",$C37),0)</f>
        <v>0</v>
      </c>
      <c r="P37" s="107">
        <f t="shared" si="3"/>
        <v>0</v>
      </c>
      <c r="Q37" s="107">
        <f t="shared" si="4"/>
        <v>0.3</v>
      </c>
      <c r="R37" s="109">
        <f>IFERROR(GETPIVOTDATA("Sum of SRP",'[1]DEVICE &amp; VALUE'!$A$6,"ID Store",$C37),0)</f>
        <v>29390000</v>
      </c>
      <c r="S37" s="107">
        <f t="shared" si="5"/>
        <v>0.136697674418605</v>
      </c>
      <c r="T37" s="110">
        <f t="shared" si="6"/>
        <v>-185610000</v>
      </c>
      <c r="U37" s="111">
        <f t="shared" si="7"/>
        <v>50</v>
      </c>
      <c r="V37" s="112">
        <f t="shared" si="8"/>
        <v>1</v>
      </c>
      <c r="W37" s="113">
        <f t="shared" si="9"/>
        <v>0</v>
      </c>
      <c r="X37" s="113">
        <f t="shared" si="10"/>
        <v>15</v>
      </c>
      <c r="Y37" s="113">
        <f t="shared" si="11"/>
        <v>-35</v>
      </c>
      <c r="Z37" s="114">
        <f t="shared" si="12"/>
        <v>146950000</v>
      </c>
      <c r="AA37" s="114">
        <f t="shared" si="13"/>
        <v>-68050000</v>
      </c>
      <c r="AB37" s="115">
        <f t="shared" si="14"/>
        <v>0.683488372093023</v>
      </c>
      <c r="AC37" s="116">
        <f t="shared" si="15"/>
        <v>1.66666666666667</v>
      </c>
      <c r="AD37" s="117">
        <f t="shared" si="16"/>
        <v>7733750</v>
      </c>
      <c r="AE37" s="102">
        <f>IFERROR(GETPIVOTDATA("Sum of Qty",'[1]DATA LAST MONTH IQOO'!$A$6,"ID Store",$C37),0)</f>
        <v>3</v>
      </c>
      <c r="AF37" s="118">
        <f>IFERROR(GETPIVOTDATA("Sum of Qty",[1]IQOO!$A$6,"ID Store",$C37),0)</f>
        <v>0</v>
      </c>
      <c r="AG37" s="105">
        <f t="shared" si="17"/>
        <v>-3</v>
      </c>
      <c r="AH37" s="119">
        <f t="shared" si="18"/>
        <v>-1</v>
      </c>
      <c r="AI37" s="120">
        <f>IFERROR(GETPIVOTDATA("Sum of Qty",'[1]DATA LAST MONTH DEVICE'!$A$6,"ID Store",$C37),0)</f>
        <v>31</v>
      </c>
      <c r="AJ37" s="121">
        <f t="shared" si="19"/>
        <v>10</v>
      </c>
      <c r="AK37" s="105">
        <f t="shared" si="20"/>
        <v>-21</v>
      </c>
      <c r="AL37" s="107">
        <f t="shared" si="21"/>
        <v>-0.67741935483871</v>
      </c>
      <c r="AM37" s="106">
        <f>IFERROR(GETPIVOTDATA("Sum of Qty",'[1]Store 3mio+ last month'!$A$6,"ID Store",$C37),0)</f>
        <v>31</v>
      </c>
      <c r="AN37" s="105">
        <f t="shared" si="22"/>
        <v>50</v>
      </c>
      <c r="AO37" s="105">
        <f t="shared" si="23"/>
        <v>19</v>
      </c>
      <c r="AP37" s="107">
        <f t="shared" si="24"/>
        <v>0.612903225806452</v>
      </c>
      <c r="AQ37" s="106">
        <f>IFERROR(GETPIVOTDATA("Sum of Qty",'[1]DATA LAST MONTH DEVICE'!$A$6,"ID Store",$C37,"Segment Price","3mio&gt;"),0)</f>
        <v>11</v>
      </c>
      <c r="AR37" s="108">
        <f t="shared" si="25"/>
        <v>3</v>
      </c>
      <c r="AS37" s="108">
        <f t="shared" si="26"/>
        <v>-8</v>
      </c>
      <c r="AT37" s="107">
        <f t="shared" si="27"/>
        <v>-0.727272727272727</v>
      </c>
      <c r="AU37" s="122">
        <f>IFERROR(GETPIVOTDATA("Sum of SRP",'[1]DATA LAST MONTH DEVICE'!$A$6,"ID Store",$C37),0)</f>
        <v>116569000</v>
      </c>
      <c r="AV37" s="122">
        <f t="shared" si="28"/>
        <v>29390000</v>
      </c>
      <c r="AW37" s="122">
        <f t="shared" si="29"/>
        <v>-87179000</v>
      </c>
      <c r="AX37" s="107">
        <f t="shared" si="30"/>
        <v>-0.747874649349312</v>
      </c>
      <c r="AY37" s="122">
        <f>IFERROR(VLOOKUP(C37,'[1]DATA SALES LAST MONTH'!A:E,5,0),0)</f>
        <v>3760290.32258065</v>
      </c>
      <c r="AZ37" s="109">
        <f t="shared" si="31"/>
        <v>2939000</v>
      </c>
      <c r="BA37" s="109">
        <f t="shared" si="32"/>
        <v>-821290.322580645</v>
      </c>
      <c r="BB37" s="119">
        <f t="shared" si="33"/>
        <v>-0.218411412982869</v>
      </c>
      <c r="BC37" s="102">
        <f>IFERROR(VLOOKUP(C37,'[1]TARGET THIS MONTH'!C:U,15,0),0)</f>
        <v>5</v>
      </c>
      <c r="BD37" s="123">
        <f>IFERROR(GETPIVOTDATA("Sum of Qty",[1]ACC!$A$5,"ID Store",$C37),0)</f>
        <v>3</v>
      </c>
      <c r="BE37" s="107">
        <f t="shared" si="34"/>
        <v>0.6</v>
      </c>
      <c r="BF37" s="124">
        <f>IFERROR(VLOOKUP(C37,'[1]TARGET THIS MONTH'!C:U,16,0),0)</f>
        <v>1075000</v>
      </c>
      <c r="BG37" s="124">
        <f>IFERROR(GETPIVOTDATA("Sum of SRP",'[1]Insurance by Store'!$A$5,"ID Store",$C37,"Product Type","Qoala"),0)</f>
        <v>0</v>
      </c>
      <c r="BH37" s="107">
        <f t="shared" si="35"/>
        <v>0</v>
      </c>
      <c r="BI37" s="124">
        <f>IFERROR(VLOOKUP(C37,'[1]TARGET THIS MONTH'!C:U,17,0),0)</f>
        <v>215000</v>
      </c>
      <c r="BJ37" s="124">
        <f>IFERROR(GETPIVOTDATA("Sum of SRP",'[1]Insurance by Store'!$A$5,"ID Store",$C37,"Product Type","Vivo Care"),0)</f>
        <v>0</v>
      </c>
      <c r="BK37" s="107">
        <f t="shared" si="36"/>
        <v>0</v>
      </c>
      <c r="BL37" s="105">
        <f>IFERROR(VLOOKUP(C37,'[1]TARGET THIS MONTH'!C:U,18,0),0)</f>
        <v>1.5</v>
      </c>
      <c r="BM37" s="106">
        <f>IFERROR(GETPIVOTDATA("Sum of Qty",'[1]Operator by Store'!$A$5,"ID Store",$C37,"Product Type","Indosat"),0)</f>
        <v>0</v>
      </c>
      <c r="BN37" s="107">
        <f t="shared" si="37"/>
        <v>0</v>
      </c>
      <c r="BO37" s="105">
        <f>VLOOKUP(C37,'[1]TARGET THIS MONTH'!C:U,19,0)</f>
        <v>15</v>
      </c>
      <c r="BP37" s="106">
        <f>IFERROR(GETPIVOTDATA("Sum of Qty",'[1]Operator by Store'!$A$5,"ID Store",$C37,"Product Type","Telkomsel"),0)</f>
        <v>0</v>
      </c>
      <c r="BQ37" s="125">
        <f t="shared" si="38"/>
        <v>0</v>
      </c>
    </row>
    <row r="38" spans="1:69">
      <c r="A38" s="96">
        <v>34</v>
      </c>
      <c r="B38" s="97" t="s">
        <v>90</v>
      </c>
      <c r="C38" s="98">
        <v>6190706</v>
      </c>
      <c r="D38" s="99" t="s">
        <v>93</v>
      </c>
      <c r="E38" s="126" t="s">
        <v>92</v>
      </c>
      <c r="F38" s="101">
        <v>4</v>
      </c>
      <c r="G38" s="102">
        <f>IFERROR(VLOOKUP(C38,'[1]TARGET THIS MONTH'!C:E,3,0),0)</f>
        <v>110</v>
      </c>
      <c r="H38" s="103">
        <f>IFERROR(VLOOKUP(C38,'[1]TARGET THIS MONTH'!C:M,11,0),0)</f>
        <v>473000000</v>
      </c>
      <c r="I38" s="102">
        <f>IFERROR(GETPIVOTDATA("Sum of Qty",'[1]DEVICE &amp; VALUE'!$A$6,"ID Store",$C38),0)</f>
        <v>27</v>
      </c>
      <c r="J38" s="104">
        <f t="shared" si="0"/>
        <v>0.245454545454545</v>
      </c>
      <c r="K38" s="105">
        <f t="shared" si="1"/>
        <v>-83</v>
      </c>
      <c r="L38" s="106">
        <f>IFERROR(GETPIVOTDATA("Sum of Qty",[1]PF!$A$5,"ID Store",$C38),0)</f>
        <v>7</v>
      </c>
      <c r="M38" s="106">
        <f>IFERROR(GETPIVOTDATA("Sum of Qty",'[1]DEVICE &amp; VALUE'!$A$6,"ID Store",$C38,"Segment Price","3mio&gt;"),0)</f>
        <v>14</v>
      </c>
      <c r="N38" s="107">
        <f t="shared" si="2"/>
        <v>0.518518518518518</v>
      </c>
      <c r="O38" s="108">
        <f>IFERROR(GETPIVOTDATA("Sum of Qty",[1]IQOO!$A$6,"ID Store",$C38),0)</f>
        <v>1</v>
      </c>
      <c r="P38" s="107">
        <f t="shared" si="3"/>
        <v>0.037037037037037</v>
      </c>
      <c r="Q38" s="107">
        <f t="shared" si="4"/>
        <v>0.518518518518518</v>
      </c>
      <c r="R38" s="109">
        <f>IFERROR(GETPIVOTDATA("Sum of SRP",'[1]DEVICE &amp; VALUE'!$A$6,"ID Store",$C38),0)</f>
        <v>133073000</v>
      </c>
      <c r="S38" s="107">
        <f t="shared" si="5"/>
        <v>0.281338266384778</v>
      </c>
      <c r="T38" s="110">
        <f t="shared" si="6"/>
        <v>-339927000</v>
      </c>
      <c r="U38" s="111">
        <f t="shared" si="7"/>
        <v>135</v>
      </c>
      <c r="V38" s="112">
        <f t="shared" si="8"/>
        <v>1.22727272727273</v>
      </c>
      <c r="W38" s="113">
        <f t="shared" si="9"/>
        <v>25</v>
      </c>
      <c r="X38" s="113">
        <f t="shared" si="10"/>
        <v>70</v>
      </c>
      <c r="Y38" s="113">
        <f t="shared" si="11"/>
        <v>-40</v>
      </c>
      <c r="Z38" s="114">
        <f t="shared" si="12"/>
        <v>665365000</v>
      </c>
      <c r="AA38" s="114">
        <f t="shared" si="13"/>
        <v>192365000</v>
      </c>
      <c r="AB38" s="115">
        <f t="shared" si="14"/>
        <v>1.40669133192389</v>
      </c>
      <c r="AC38" s="116">
        <f t="shared" si="15"/>
        <v>3.45833333333333</v>
      </c>
      <c r="AD38" s="117">
        <f t="shared" si="16"/>
        <v>14163625</v>
      </c>
      <c r="AE38" s="102">
        <f>IFERROR(GETPIVOTDATA("Sum of Qty",'[1]DATA LAST MONTH IQOO'!$A$6,"ID Store",$C38),0)</f>
        <v>13</v>
      </c>
      <c r="AF38" s="118">
        <f>IFERROR(GETPIVOTDATA("Sum of Qty",[1]IQOO!$A$6,"ID Store",$C38),0)</f>
        <v>1</v>
      </c>
      <c r="AG38" s="105">
        <f t="shared" si="17"/>
        <v>-12</v>
      </c>
      <c r="AH38" s="119">
        <f t="shared" si="18"/>
        <v>-0.923076923076923</v>
      </c>
      <c r="AI38" s="120">
        <f>IFERROR(GETPIVOTDATA("Sum of Qty",'[1]DATA LAST MONTH DEVICE'!$A$6,"ID Store",$C38),0)</f>
        <v>124</v>
      </c>
      <c r="AJ38" s="121">
        <f t="shared" si="19"/>
        <v>27</v>
      </c>
      <c r="AK38" s="105">
        <f t="shared" si="20"/>
        <v>-97</v>
      </c>
      <c r="AL38" s="107">
        <f t="shared" si="21"/>
        <v>-0.782258064516129</v>
      </c>
      <c r="AM38" s="106">
        <f>IFERROR(GETPIVOTDATA("Sum of Qty",'[1]Store 3mio+ last month'!$A$6,"ID Store",$C38),0)</f>
        <v>124</v>
      </c>
      <c r="AN38" s="105">
        <f t="shared" si="22"/>
        <v>135</v>
      </c>
      <c r="AO38" s="105">
        <f t="shared" si="23"/>
        <v>11</v>
      </c>
      <c r="AP38" s="107">
        <f t="shared" si="24"/>
        <v>0.0887096774193548</v>
      </c>
      <c r="AQ38" s="106">
        <f>IFERROR(GETPIVOTDATA("Sum of Qty",'[1]DATA LAST MONTH DEVICE'!$A$6,"ID Store",$C38,"Segment Price","3mio&gt;"),0)</f>
        <v>47</v>
      </c>
      <c r="AR38" s="108">
        <f t="shared" si="25"/>
        <v>14</v>
      </c>
      <c r="AS38" s="108">
        <f t="shared" si="26"/>
        <v>-33</v>
      </c>
      <c r="AT38" s="107">
        <f t="shared" si="27"/>
        <v>-0.702127659574468</v>
      </c>
      <c r="AU38" s="122">
        <f>IFERROR(GETPIVOTDATA("Sum of SRP",'[1]DATA LAST MONTH DEVICE'!$A$6,"ID Store",$C38),0)</f>
        <v>540976000</v>
      </c>
      <c r="AV38" s="122">
        <f t="shared" si="28"/>
        <v>133073000</v>
      </c>
      <c r="AW38" s="122">
        <f t="shared" si="29"/>
        <v>-407903000</v>
      </c>
      <c r="AX38" s="107">
        <f t="shared" si="30"/>
        <v>-0.754013117032918</v>
      </c>
      <c r="AY38" s="122">
        <f>IFERROR(VLOOKUP(C38,'[1]DATA SALES LAST MONTH'!A:E,5,0),0)</f>
        <v>4362709.67741936</v>
      </c>
      <c r="AZ38" s="109">
        <f t="shared" si="31"/>
        <v>4928629.62962963</v>
      </c>
      <c r="BA38" s="109">
        <f t="shared" si="32"/>
        <v>565919.952210275</v>
      </c>
      <c r="BB38" s="119">
        <f t="shared" si="33"/>
        <v>0.12971753658956</v>
      </c>
      <c r="BC38" s="102">
        <f>IFERROR(VLOOKUP(C38,'[1]TARGET THIS MONTH'!C:U,15,0),0)</f>
        <v>11</v>
      </c>
      <c r="BD38" s="123">
        <f>IFERROR(GETPIVOTDATA("Sum of Qty",[1]ACC!$A$5,"ID Store",$C38),0)</f>
        <v>3</v>
      </c>
      <c r="BE38" s="107">
        <f t="shared" si="34"/>
        <v>0.272727272727273</v>
      </c>
      <c r="BF38" s="124">
        <f>IFERROR(VLOOKUP(C38,'[1]TARGET THIS MONTH'!C:U,16,0),0)</f>
        <v>2365000</v>
      </c>
      <c r="BG38" s="124">
        <f>IFERROR(GETPIVOTDATA("Sum of SRP",'[1]Insurance by Store'!$A$5,"ID Store",$C38,"Product Type","Qoala"),0)</f>
        <v>1157000</v>
      </c>
      <c r="BH38" s="107">
        <f t="shared" si="35"/>
        <v>0.489217758985201</v>
      </c>
      <c r="BI38" s="124">
        <f>IFERROR(VLOOKUP(C38,'[1]TARGET THIS MONTH'!C:U,17,0),0)</f>
        <v>473000</v>
      </c>
      <c r="BJ38" s="124">
        <f>IFERROR(GETPIVOTDATA("Sum of SRP",'[1]Insurance by Store'!$A$5,"ID Store",$C38,"Product Type","Vivo Care"),0)</f>
        <v>0</v>
      </c>
      <c r="BK38" s="107">
        <f t="shared" si="36"/>
        <v>0</v>
      </c>
      <c r="BL38" s="105">
        <f>IFERROR(VLOOKUP(C38,'[1]TARGET THIS MONTH'!C:U,18,0),0)</f>
        <v>3.3</v>
      </c>
      <c r="BM38" s="106">
        <f>IFERROR(GETPIVOTDATA("Sum of Qty",'[1]Operator by Store'!$A$5,"ID Store",$C38,"Product Type","Indosat"),0)</f>
        <v>2</v>
      </c>
      <c r="BN38" s="107">
        <f t="shared" si="37"/>
        <v>0.606060606060606</v>
      </c>
      <c r="BO38" s="105">
        <f>VLOOKUP(C38,'[1]TARGET THIS MONTH'!C:U,19,0)</f>
        <v>33</v>
      </c>
      <c r="BP38" s="106">
        <f>IFERROR(GETPIVOTDATA("Sum of Qty",'[1]Operator by Store'!$A$5,"ID Store",$C38,"Product Type","Telkomsel"),0)</f>
        <v>0</v>
      </c>
      <c r="BQ38" s="125">
        <f t="shared" si="38"/>
        <v>0</v>
      </c>
    </row>
    <row r="39" spans="1:69">
      <c r="A39" s="96">
        <v>35</v>
      </c>
      <c r="B39" s="97" t="s">
        <v>90</v>
      </c>
      <c r="C39" s="98">
        <v>6190705</v>
      </c>
      <c r="D39" s="99" t="s">
        <v>94</v>
      </c>
      <c r="E39" s="126" t="s">
        <v>92</v>
      </c>
      <c r="F39" s="101">
        <v>2</v>
      </c>
      <c r="G39" s="102">
        <f>IFERROR(VLOOKUP(C39,'[1]TARGET THIS MONTH'!C:E,3,0),0)</f>
        <v>60</v>
      </c>
      <c r="H39" s="103">
        <f>IFERROR(VLOOKUP(C39,'[1]TARGET THIS MONTH'!C:M,11,0),0)</f>
        <v>258000000</v>
      </c>
      <c r="I39" s="102">
        <f>IFERROR(GETPIVOTDATA("Sum of Qty",'[1]DEVICE &amp; VALUE'!$A$6,"ID Store",$C39),0)</f>
        <v>9</v>
      </c>
      <c r="J39" s="104">
        <f t="shared" si="0"/>
        <v>0.15</v>
      </c>
      <c r="K39" s="105">
        <f t="shared" si="1"/>
        <v>-51</v>
      </c>
      <c r="L39" s="106">
        <f>IFERROR(GETPIVOTDATA("Sum of Qty",[1]PF!$A$5,"ID Store",$C39),0)</f>
        <v>2</v>
      </c>
      <c r="M39" s="106">
        <f>IFERROR(GETPIVOTDATA("Sum of Qty",'[1]DEVICE &amp; VALUE'!$A$6,"ID Store",$C39,"Segment Price","3mio&gt;"),0)</f>
        <v>4</v>
      </c>
      <c r="N39" s="107">
        <f t="shared" si="2"/>
        <v>0.444444444444444</v>
      </c>
      <c r="O39" s="108">
        <f>IFERROR(GETPIVOTDATA("Sum of Qty",[1]IQOO!$A$6,"ID Store",$C39),0)</f>
        <v>1</v>
      </c>
      <c r="P39" s="107">
        <f t="shared" si="3"/>
        <v>0.111111111111111</v>
      </c>
      <c r="Q39" s="107">
        <f t="shared" si="4"/>
        <v>0.444444444444444</v>
      </c>
      <c r="R39" s="109">
        <f>IFERROR(GETPIVOTDATA("Sum of SRP",'[1]DEVICE &amp; VALUE'!$A$6,"ID Store",$C39),0)</f>
        <v>35391000</v>
      </c>
      <c r="S39" s="107">
        <f t="shared" si="5"/>
        <v>0.137174418604651</v>
      </c>
      <c r="T39" s="110">
        <f t="shared" si="6"/>
        <v>-222609000</v>
      </c>
      <c r="U39" s="111">
        <f t="shared" si="7"/>
        <v>45</v>
      </c>
      <c r="V39" s="112">
        <f t="shared" si="8"/>
        <v>0.75</v>
      </c>
      <c r="W39" s="113">
        <f t="shared" si="9"/>
        <v>-15</v>
      </c>
      <c r="X39" s="113">
        <f t="shared" si="10"/>
        <v>20</v>
      </c>
      <c r="Y39" s="113">
        <f t="shared" si="11"/>
        <v>-40</v>
      </c>
      <c r="Z39" s="114">
        <f t="shared" si="12"/>
        <v>176955000</v>
      </c>
      <c r="AA39" s="114">
        <f t="shared" si="13"/>
        <v>-81045000</v>
      </c>
      <c r="AB39" s="115">
        <f t="shared" si="14"/>
        <v>0.685872093023256</v>
      </c>
      <c r="AC39" s="116">
        <f t="shared" si="15"/>
        <v>2.125</v>
      </c>
      <c r="AD39" s="117">
        <f t="shared" si="16"/>
        <v>9275375</v>
      </c>
      <c r="AE39" s="102">
        <f>IFERROR(GETPIVOTDATA("Sum of Qty",'[1]DATA LAST MONTH IQOO'!$A$6,"ID Store",$C39),0)</f>
        <v>4</v>
      </c>
      <c r="AF39" s="118">
        <f>IFERROR(GETPIVOTDATA("Sum of Qty",[1]IQOO!$A$6,"ID Store",$C39),0)</f>
        <v>1</v>
      </c>
      <c r="AG39" s="105">
        <f t="shared" si="17"/>
        <v>-3</v>
      </c>
      <c r="AH39" s="119">
        <f t="shared" si="18"/>
        <v>-0.75</v>
      </c>
      <c r="AI39" s="120">
        <f>IFERROR(GETPIVOTDATA("Sum of Qty",'[1]DATA LAST MONTH DEVICE'!$A$6,"ID Store",$C39),0)</f>
        <v>53</v>
      </c>
      <c r="AJ39" s="121">
        <f t="shared" si="19"/>
        <v>9</v>
      </c>
      <c r="AK39" s="105">
        <f t="shared" si="20"/>
        <v>-44</v>
      </c>
      <c r="AL39" s="107">
        <f t="shared" si="21"/>
        <v>-0.830188679245283</v>
      </c>
      <c r="AM39" s="106">
        <f>IFERROR(GETPIVOTDATA("Sum of Qty",'[1]Store 3mio+ last month'!$A$6,"ID Store",$C39),0)</f>
        <v>53</v>
      </c>
      <c r="AN39" s="105">
        <f t="shared" si="22"/>
        <v>45</v>
      </c>
      <c r="AO39" s="105">
        <f t="shared" si="23"/>
        <v>-8</v>
      </c>
      <c r="AP39" s="107">
        <f t="shared" si="24"/>
        <v>-0.150943396226415</v>
      </c>
      <c r="AQ39" s="106">
        <f>IFERROR(GETPIVOTDATA("Sum of Qty",'[1]DATA LAST MONTH DEVICE'!$A$6,"ID Store",$C39,"Segment Price","3mio&gt;"),0)</f>
        <v>17</v>
      </c>
      <c r="AR39" s="108">
        <f t="shared" si="25"/>
        <v>4</v>
      </c>
      <c r="AS39" s="108">
        <f t="shared" si="26"/>
        <v>-13</v>
      </c>
      <c r="AT39" s="107">
        <f t="shared" si="27"/>
        <v>-0.764705882352941</v>
      </c>
      <c r="AU39" s="122">
        <f>IFERROR(GETPIVOTDATA("Sum of SRP",'[1]DATA LAST MONTH DEVICE'!$A$6,"ID Store",$C39),0)</f>
        <v>183847000</v>
      </c>
      <c r="AV39" s="122">
        <f t="shared" si="28"/>
        <v>35391000</v>
      </c>
      <c r="AW39" s="122">
        <f t="shared" si="29"/>
        <v>-148456000</v>
      </c>
      <c r="AX39" s="107">
        <f t="shared" si="30"/>
        <v>-0.807497538714257</v>
      </c>
      <c r="AY39" s="122">
        <f>IFERROR(VLOOKUP(C39,'[1]DATA SALES LAST MONTH'!A:E,5,0),0)</f>
        <v>3468811.32075472</v>
      </c>
      <c r="AZ39" s="109">
        <f t="shared" si="31"/>
        <v>3932333.33333333</v>
      </c>
      <c r="BA39" s="109">
        <f t="shared" si="32"/>
        <v>463522.012578616</v>
      </c>
      <c r="BB39" s="119">
        <f t="shared" si="33"/>
        <v>0.133625605349376</v>
      </c>
      <c r="BC39" s="102">
        <f>IFERROR(VLOOKUP(C39,'[1]TARGET THIS MONTH'!C:U,15,0),0)</f>
        <v>6</v>
      </c>
      <c r="BD39" s="123">
        <f>IFERROR(GETPIVOTDATA("Sum of Qty",[1]ACC!$A$5,"ID Store",$C39),0)</f>
        <v>1</v>
      </c>
      <c r="BE39" s="107">
        <f t="shared" si="34"/>
        <v>0.166666666666667</v>
      </c>
      <c r="BF39" s="124">
        <f>IFERROR(VLOOKUP(C39,'[1]TARGET THIS MONTH'!C:U,16,0),0)</f>
        <v>1290000</v>
      </c>
      <c r="BG39" s="124">
        <f>IFERROR(GETPIVOTDATA("Sum of SRP",'[1]Insurance by Store'!$A$5,"ID Store",$C39,"Product Type","Qoala"),0)</f>
        <v>249000</v>
      </c>
      <c r="BH39" s="107">
        <f t="shared" si="35"/>
        <v>0.193023255813953</v>
      </c>
      <c r="BI39" s="124">
        <f>IFERROR(VLOOKUP(C39,'[1]TARGET THIS MONTH'!C:U,17,0),0)</f>
        <v>258000</v>
      </c>
      <c r="BJ39" s="124">
        <f>IFERROR(GETPIVOTDATA("Sum of SRP",'[1]Insurance by Store'!$A$5,"ID Store",$C39,"Product Type","Vivo Care"),0)</f>
        <v>0</v>
      </c>
      <c r="BK39" s="107">
        <f t="shared" si="36"/>
        <v>0</v>
      </c>
      <c r="BL39" s="105">
        <f>IFERROR(VLOOKUP(C39,'[1]TARGET THIS MONTH'!C:U,18,0),0)</f>
        <v>1.8</v>
      </c>
      <c r="BM39" s="106">
        <f>IFERROR(GETPIVOTDATA("Sum of Qty",'[1]Operator by Store'!$A$5,"ID Store",$C39,"Product Type","Indosat"),0)</f>
        <v>0</v>
      </c>
      <c r="BN39" s="107">
        <f t="shared" si="37"/>
        <v>0</v>
      </c>
      <c r="BO39" s="105">
        <f>VLOOKUP(C39,'[1]TARGET THIS MONTH'!C:U,19,0)</f>
        <v>18</v>
      </c>
      <c r="BP39" s="106">
        <f>IFERROR(GETPIVOTDATA("Sum of Qty",'[1]Operator by Store'!$A$5,"ID Store",$C39,"Product Type","Telkomsel"),0)</f>
        <v>0</v>
      </c>
      <c r="BQ39" s="125">
        <f t="shared" si="38"/>
        <v>0</v>
      </c>
    </row>
    <row r="40" spans="1:69">
      <c r="A40" s="96">
        <v>36</v>
      </c>
      <c r="B40" s="97" t="s">
        <v>90</v>
      </c>
      <c r="C40" s="98">
        <v>6190704</v>
      </c>
      <c r="D40" s="99" t="s">
        <v>95</v>
      </c>
      <c r="E40" s="126" t="s">
        <v>96</v>
      </c>
      <c r="F40" s="101">
        <v>4</v>
      </c>
      <c r="G40" s="102">
        <f>IFERROR(VLOOKUP(C40,'[1]TARGET THIS MONTH'!C:E,3,0),0)</f>
        <v>120</v>
      </c>
      <c r="H40" s="103">
        <f>IFERROR(VLOOKUP(C40,'[1]TARGET THIS MONTH'!C:M,11,0),0)</f>
        <v>516000000</v>
      </c>
      <c r="I40" s="102">
        <f>IFERROR(GETPIVOTDATA("Sum of Qty",'[1]DEVICE &amp; VALUE'!$A$6,"ID Store",$C40),0)</f>
        <v>30</v>
      </c>
      <c r="J40" s="104">
        <f t="shared" si="0"/>
        <v>0.25</v>
      </c>
      <c r="K40" s="105">
        <f t="shared" si="1"/>
        <v>-90</v>
      </c>
      <c r="L40" s="106">
        <f>IFERROR(GETPIVOTDATA("Sum of Qty",[1]PF!$A$5,"ID Store",$C40),0)</f>
        <v>6</v>
      </c>
      <c r="M40" s="106">
        <f>IFERROR(GETPIVOTDATA("Sum of Qty",'[1]DEVICE &amp; VALUE'!$A$6,"ID Store",$C40,"Segment Price","3mio&gt;"),0)</f>
        <v>11</v>
      </c>
      <c r="N40" s="107">
        <f t="shared" si="2"/>
        <v>0.366666666666667</v>
      </c>
      <c r="O40" s="108">
        <f>IFERROR(GETPIVOTDATA("Sum of Qty",[1]IQOO!$A$6,"ID Store",$C40),0)</f>
        <v>0</v>
      </c>
      <c r="P40" s="107">
        <f t="shared" si="3"/>
        <v>0</v>
      </c>
      <c r="Q40" s="107">
        <f t="shared" si="4"/>
        <v>0.366666666666667</v>
      </c>
      <c r="R40" s="109">
        <f>IFERROR(GETPIVOTDATA("Sum of SRP",'[1]DEVICE &amp; VALUE'!$A$6,"ID Store",$C40),0)</f>
        <v>112170000</v>
      </c>
      <c r="S40" s="107">
        <f t="shared" si="5"/>
        <v>0.217383720930233</v>
      </c>
      <c r="T40" s="110">
        <f t="shared" si="6"/>
        <v>-403830000</v>
      </c>
      <c r="U40" s="111">
        <f t="shared" si="7"/>
        <v>150</v>
      </c>
      <c r="V40" s="112">
        <f t="shared" si="8"/>
        <v>1.25</v>
      </c>
      <c r="W40" s="113">
        <f t="shared" si="9"/>
        <v>30</v>
      </c>
      <c r="X40" s="113">
        <f t="shared" si="10"/>
        <v>55</v>
      </c>
      <c r="Y40" s="113">
        <f t="shared" si="11"/>
        <v>-65</v>
      </c>
      <c r="Z40" s="114">
        <f t="shared" si="12"/>
        <v>560850000</v>
      </c>
      <c r="AA40" s="114">
        <f t="shared" si="13"/>
        <v>44850000</v>
      </c>
      <c r="AB40" s="115">
        <f t="shared" si="14"/>
        <v>1.08691860465116</v>
      </c>
      <c r="AC40" s="116">
        <f t="shared" si="15"/>
        <v>3.75</v>
      </c>
      <c r="AD40" s="117">
        <f t="shared" si="16"/>
        <v>16826250</v>
      </c>
      <c r="AE40" s="102">
        <f>IFERROR(GETPIVOTDATA("Sum of Qty",'[1]DATA LAST MONTH IQOO'!$A$6,"ID Store",$C40),0)</f>
        <v>20</v>
      </c>
      <c r="AF40" s="118">
        <f>IFERROR(GETPIVOTDATA("Sum of Qty",[1]IQOO!$A$6,"ID Store",$C40),0)</f>
        <v>0</v>
      </c>
      <c r="AG40" s="105">
        <f t="shared" si="17"/>
        <v>-20</v>
      </c>
      <c r="AH40" s="119">
        <f t="shared" si="18"/>
        <v>-1</v>
      </c>
      <c r="AI40" s="120">
        <f>IFERROR(GETPIVOTDATA("Sum of Qty",'[1]DATA LAST MONTH DEVICE'!$A$6,"ID Store",$C40),0)</f>
        <v>114</v>
      </c>
      <c r="AJ40" s="121">
        <f t="shared" si="19"/>
        <v>30</v>
      </c>
      <c r="AK40" s="105">
        <f t="shared" si="20"/>
        <v>-84</v>
      </c>
      <c r="AL40" s="107">
        <f t="shared" si="21"/>
        <v>-0.736842105263158</v>
      </c>
      <c r="AM40" s="106">
        <f>IFERROR(GETPIVOTDATA("Sum of Qty",'[1]Store 3mio+ last month'!$A$6,"ID Store",$C40),0)</f>
        <v>114</v>
      </c>
      <c r="AN40" s="105">
        <f t="shared" si="22"/>
        <v>150</v>
      </c>
      <c r="AO40" s="105">
        <f t="shared" si="23"/>
        <v>36</v>
      </c>
      <c r="AP40" s="107">
        <f t="shared" si="24"/>
        <v>0.315789473684211</v>
      </c>
      <c r="AQ40" s="106">
        <f>IFERROR(GETPIVOTDATA("Sum of Qty",'[1]DATA LAST MONTH DEVICE'!$A$6,"ID Store",$C40,"Segment Price","3mio&gt;"),0)</f>
        <v>54</v>
      </c>
      <c r="AR40" s="108">
        <f t="shared" si="25"/>
        <v>11</v>
      </c>
      <c r="AS40" s="108">
        <f t="shared" si="26"/>
        <v>-43</v>
      </c>
      <c r="AT40" s="107">
        <f t="shared" si="27"/>
        <v>-0.796296296296296</v>
      </c>
      <c r="AU40" s="122">
        <f>IFERROR(GETPIVOTDATA("Sum of SRP",'[1]DATA LAST MONTH DEVICE'!$A$6,"ID Store",$C40),0)</f>
        <v>535686000</v>
      </c>
      <c r="AV40" s="122">
        <f t="shared" si="28"/>
        <v>112170000</v>
      </c>
      <c r="AW40" s="122">
        <f t="shared" si="29"/>
        <v>-423516000</v>
      </c>
      <c r="AX40" s="107">
        <f t="shared" si="30"/>
        <v>-0.79060494394104</v>
      </c>
      <c r="AY40" s="122">
        <f>IFERROR(VLOOKUP(C40,'[1]DATA SALES LAST MONTH'!A:E,5,0),0)</f>
        <v>4699000</v>
      </c>
      <c r="AZ40" s="109">
        <f t="shared" si="31"/>
        <v>3739000</v>
      </c>
      <c r="BA40" s="109">
        <f t="shared" si="32"/>
        <v>-960000</v>
      </c>
      <c r="BB40" s="119">
        <f t="shared" si="33"/>
        <v>-0.204298786975952</v>
      </c>
      <c r="BC40" s="102">
        <f>IFERROR(VLOOKUP(C40,'[1]TARGET THIS MONTH'!C:U,15,0),0)</f>
        <v>12</v>
      </c>
      <c r="BD40" s="123">
        <f>IFERROR(GETPIVOTDATA("Sum of Qty",[1]ACC!$A$5,"ID Store",$C40),0)</f>
        <v>1</v>
      </c>
      <c r="BE40" s="107">
        <f t="shared" si="34"/>
        <v>0.0833333333333333</v>
      </c>
      <c r="BF40" s="124">
        <f>IFERROR(VLOOKUP(C40,'[1]TARGET THIS MONTH'!C:U,16,0),0)</f>
        <v>2580000</v>
      </c>
      <c r="BG40" s="124">
        <f>IFERROR(GETPIVOTDATA("Sum of SRP",'[1]Insurance by Store'!$A$5,"ID Store",$C40,"Product Type","Qoala"),0)</f>
        <v>159000</v>
      </c>
      <c r="BH40" s="107">
        <f t="shared" si="35"/>
        <v>0.0616279069767442</v>
      </c>
      <c r="BI40" s="124">
        <f>IFERROR(VLOOKUP(C40,'[1]TARGET THIS MONTH'!C:U,17,0),0)</f>
        <v>516000</v>
      </c>
      <c r="BJ40" s="124">
        <f>IFERROR(GETPIVOTDATA("Sum of SRP",'[1]Insurance by Store'!$A$5,"ID Store",$C40,"Product Type","Vivo Care"),0)</f>
        <v>0</v>
      </c>
      <c r="BK40" s="107">
        <f t="shared" si="36"/>
        <v>0</v>
      </c>
      <c r="BL40" s="105">
        <f>IFERROR(VLOOKUP(C40,'[1]TARGET THIS MONTH'!C:U,18,0),0)</f>
        <v>3.6</v>
      </c>
      <c r="BM40" s="106">
        <f>IFERROR(GETPIVOTDATA("Sum of Qty",'[1]Operator by Store'!$A$5,"ID Store",$C40,"Product Type","Indosat"),0)</f>
        <v>0</v>
      </c>
      <c r="BN40" s="107">
        <f t="shared" si="37"/>
        <v>0</v>
      </c>
      <c r="BO40" s="105">
        <f>VLOOKUP(C40,'[1]TARGET THIS MONTH'!C:U,19,0)</f>
        <v>36</v>
      </c>
      <c r="BP40" s="106">
        <f>IFERROR(GETPIVOTDATA("Sum of Qty",'[1]Operator by Store'!$A$5,"ID Store",$C40,"Product Type","Telkomsel"),0)</f>
        <v>0</v>
      </c>
      <c r="BQ40" s="125">
        <f t="shared" si="38"/>
        <v>0</v>
      </c>
    </row>
    <row r="41" spans="1:69">
      <c r="A41" s="96">
        <v>37</v>
      </c>
      <c r="B41" s="97" t="s">
        <v>90</v>
      </c>
      <c r="C41" s="98">
        <v>6190707</v>
      </c>
      <c r="D41" s="99" t="s">
        <v>97</v>
      </c>
      <c r="E41" s="126" t="s">
        <v>96</v>
      </c>
      <c r="F41" s="101">
        <v>4</v>
      </c>
      <c r="G41" s="102">
        <f>IFERROR(VLOOKUP(C41,'[1]TARGET THIS MONTH'!C:E,3,0),0)</f>
        <v>120</v>
      </c>
      <c r="H41" s="103">
        <f>IFERROR(VLOOKUP(C41,'[1]TARGET THIS MONTH'!C:M,11,0),0)</f>
        <v>516000000</v>
      </c>
      <c r="I41" s="102">
        <f>IFERROR(GETPIVOTDATA("Sum of Qty",'[1]DEVICE &amp; VALUE'!$A$6,"ID Store",$C41),0)</f>
        <v>29</v>
      </c>
      <c r="J41" s="104">
        <f t="shared" si="0"/>
        <v>0.241666666666667</v>
      </c>
      <c r="K41" s="105">
        <f t="shared" si="1"/>
        <v>-91</v>
      </c>
      <c r="L41" s="106">
        <f>IFERROR(GETPIVOTDATA("Sum of Qty",[1]PF!$A$5,"ID Store",$C41),0)</f>
        <v>4</v>
      </c>
      <c r="M41" s="106">
        <f>IFERROR(GETPIVOTDATA("Sum of Qty",'[1]DEVICE &amp; VALUE'!$A$6,"ID Store",$C41,"Segment Price","3mio&gt;"),0)</f>
        <v>7</v>
      </c>
      <c r="N41" s="107">
        <f t="shared" si="2"/>
        <v>0.241379310344828</v>
      </c>
      <c r="O41" s="108">
        <f>IFERROR(GETPIVOTDATA("Sum of Qty",[1]IQOO!$A$6,"ID Store",$C41),0)</f>
        <v>2</v>
      </c>
      <c r="P41" s="107">
        <f t="shared" si="3"/>
        <v>0.0689655172413793</v>
      </c>
      <c r="Q41" s="107">
        <f t="shared" si="4"/>
        <v>0.241379310344828</v>
      </c>
      <c r="R41" s="109">
        <f>IFERROR(GETPIVOTDATA("Sum of SRP",'[1]DEVICE &amp; VALUE'!$A$6,"ID Store",$C41),0)</f>
        <v>90671000</v>
      </c>
      <c r="S41" s="107">
        <f t="shared" si="5"/>
        <v>0.175718992248062</v>
      </c>
      <c r="T41" s="110">
        <f t="shared" si="6"/>
        <v>-425329000</v>
      </c>
      <c r="U41" s="111">
        <f t="shared" si="7"/>
        <v>145</v>
      </c>
      <c r="V41" s="112">
        <f t="shared" si="8"/>
        <v>1.20833333333333</v>
      </c>
      <c r="W41" s="113">
        <f t="shared" si="9"/>
        <v>25</v>
      </c>
      <c r="X41" s="113">
        <f t="shared" si="10"/>
        <v>35</v>
      </c>
      <c r="Y41" s="113">
        <f t="shared" si="11"/>
        <v>-85</v>
      </c>
      <c r="Z41" s="114">
        <f t="shared" si="12"/>
        <v>453355000</v>
      </c>
      <c r="AA41" s="114">
        <f t="shared" si="13"/>
        <v>-62645000</v>
      </c>
      <c r="AB41" s="115">
        <f t="shared" si="14"/>
        <v>0.87859496124031</v>
      </c>
      <c r="AC41" s="116">
        <f t="shared" si="15"/>
        <v>3.79166666666667</v>
      </c>
      <c r="AD41" s="117">
        <f t="shared" si="16"/>
        <v>17722041.6666667</v>
      </c>
      <c r="AE41" s="102">
        <f>IFERROR(GETPIVOTDATA("Sum of Qty",'[1]DATA LAST MONTH IQOO'!$A$6,"ID Store",$C41),0)</f>
        <v>12</v>
      </c>
      <c r="AF41" s="118">
        <f>IFERROR(GETPIVOTDATA("Sum of Qty",[1]IQOO!$A$6,"ID Store",$C41),0)</f>
        <v>2</v>
      </c>
      <c r="AG41" s="105">
        <f t="shared" si="17"/>
        <v>-10</v>
      </c>
      <c r="AH41" s="119">
        <f t="shared" si="18"/>
        <v>-0.833333333333333</v>
      </c>
      <c r="AI41" s="120">
        <f>IFERROR(GETPIVOTDATA("Sum of Qty",'[1]DATA LAST MONTH DEVICE'!$A$6,"ID Store",$C41),0)</f>
        <v>118</v>
      </c>
      <c r="AJ41" s="121">
        <f t="shared" si="19"/>
        <v>29</v>
      </c>
      <c r="AK41" s="105">
        <f t="shared" si="20"/>
        <v>-89</v>
      </c>
      <c r="AL41" s="107">
        <f t="shared" si="21"/>
        <v>-0.754237288135593</v>
      </c>
      <c r="AM41" s="106">
        <f>IFERROR(GETPIVOTDATA("Sum of Qty",'[1]Store 3mio+ last month'!$A$6,"ID Store",$C41),0)</f>
        <v>118</v>
      </c>
      <c r="AN41" s="105">
        <f t="shared" si="22"/>
        <v>145</v>
      </c>
      <c r="AO41" s="105">
        <f t="shared" si="23"/>
        <v>27</v>
      </c>
      <c r="AP41" s="107">
        <f t="shared" si="24"/>
        <v>0.228813559322034</v>
      </c>
      <c r="AQ41" s="106">
        <f>IFERROR(GETPIVOTDATA("Sum of Qty",'[1]DATA LAST MONTH DEVICE'!$A$6,"ID Store",$C41,"Segment Price","3mio&gt;"),0)</f>
        <v>41</v>
      </c>
      <c r="AR41" s="108">
        <f t="shared" si="25"/>
        <v>7</v>
      </c>
      <c r="AS41" s="108">
        <f t="shared" si="26"/>
        <v>-34</v>
      </c>
      <c r="AT41" s="107">
        <f t="shared" si="27"/>
        <v>-0.829268292682927</v>
      </c>
      <c r="AU41" s="122">
        <f>IFERROR(GETPIVOTDATA("Sum of SRP",'[1]DATA LAST MONTH DEVICE'!$A$6,"ID Store",$C41),0)</f>
        <v>482282000</v>
      </c>
      <c r="AV41" s="122">
        <f t="shared" si="28"/>
        <v>90671000</v>
      </c>
      <c r="AW41" s="122">
        <f t="shared" si="29"/>
        <v>-391611000</v>
      </c>
      <c r="AX41" s="107">
        <f t="shared" si="30"/>
        <v>-0.811995886224242</v>
      </c>
      <c r="AY41" s="122">
        <f>IFERROR(VLOOKUP(C41,'[1]DATA SALES LAST MONTH'!A:E,5,0),0)</f>
        <v>4087135.59322034</v>
      </c>
      <c r="AZ41" s="109">
        <f t="shared" si="31"/>
        <v>3126586.20689655</v>
      </c>
      <c r="BA41" s="109">
        <f t="shared" si="32"/>
        <v>-960549.386323787</v>
      </c>
      <c r="BB41" s="119">
        <f t="shared" si="33"/>
        <v>-0.235017743946917</v>
      </c>
      <c r="BC41" s="102">
        <f>IFERROR(VLOOKUP(C41,'[1]TARGET THIS MONTH'!C:U,15,0),0)</f>
        <v>12</v>
      </c>
      <c r="BD41" s="123">
        <f>IFERROR(GETPIVOTDATA("Sum of Qty",[1]ACC!$A$5,"ID Store",$C41),0)</f>
        <v>3</v>
      </c>
      <c r="BE41" s="107">
        <f t="shared" si="34"/>
        <v>0.25</v>
      </c>
      <c r="BF41" s="124">
        <f>IFERROR(VLOOKUP(C41,'[1]TARGET THIS MONTH'!C:U,16,0),0)</f>
        <v>2580000</v>
      </c>
      <c r="BG41" s="124">
        <f>IFERROR(GETPIVOTDATA("Sum of SRP",'[1]Insurance by Store'!$A$5,"ID Store",$C41,"Product Type","Qoala"),0)</f>
        <v>318000</v>
      </c>
      <c r="BH41" s="107">
        <f t="shared" si="35"/>
        <v>0.123255813953488</v>
      </c>
      <c r="BI41" s="124">
        <f>IFERROR(VLOOKUP(C41,'[1]TARGET THIS MONTH'!C:U,17,0),0)</f>
        <v>516000</v>
      </c>
      <c r="BJ41" s="124">
        <f>IFERROR(GETPIVOTDATA("Sum of SRP",'[1]Insurance by Store'!$A$5,"ID Store",$C41,"Product Type","Vivo Care"),0)</f>
        <v>0</v>
      </c>
      <c r="BK41" s="107">
        <f t="shared" si="36"/>
        <v>0</v>
      </c>
      <c r="BL41" s="105">
        <f>IFERROR(VLOOKUP(C41,'[1]TARGET THIS MONTH'!C:U,18,0),0)</f>
        <v>3.6</v>
      </c>
      <c r="BM41" s="106">
        <f>IFERROR(GETPIVOTDATA("Sum of Qty",'[1]Operator by Store'!$A$5,"ID Store",$C41,"Product Type","Indosat"),0)</f>
        <v>2</v>
      </c>
      <c r="BN41" s="107">
        <f t="shared" si="37"/>
        <v>0.555555555555556</v>
      </c>
      <c r="BO41" s="105">
        <f>VLOOKUP(C41,'[1]TARGET THIS MONTH'!C:U,19,0)</f>
        <v>36</v>
      </c>
      <c r="BP41" s="106">
        <f>IFERROR(GETPIVOTDATA("Sum of Qty",'[1]Operator by Store'!$A$5,"ID Store",$C41,"Product Type","Telkomsel"),0)</f>
        <v>0</v>
      </c>
      <c r="BQ41" s="125">
        <f t="shared" si="38"/>
        <v>0</v>
      </c>
    </row>
    <row r="42" spans="1:69">
      <c r="A42" s="96">
        <v>38</v>
      </c>
      <c r="B42" s="97" t="s">
        <v>90</v>
      </c>
      <c r="C42" s="98">
        <v>6190708</v>
      </c>
      <c r="D42" s="99" t="s">
        <v>98</v>
      </c>
      <c r="E42" s="126" t="s">
        <v>96</v>
      </c>
      <c r="F42" s="101">
        <v>1</v>
      </c>
      <c r="G42" s="102">
        <f>IFERROR(VLOOKUP(C42,'[1]TARGET THIS MONTH'!C:E,3,0),0)</f>
        <v>20</v>
      </c>
      <c r="H42" s="103">
        <f>IFERROR(VLOOKUP(C42,'[1]TARGET THIS MONTH'!C:M,11,0),0)</f>
        <v>86000000</v>
      </c>
      <c r="I42" s="102">
        <f>IFERROR(GETPIVOTDATA("Sum of Qty",'[1]DEVICE &amp; VALUE'!$A$6,"ID Store",$C42),0)</f>
        <v>1</v>
      </c>
      <c r="J42" s="104">
        <f t="shared" si="0"/>
        <v>0.05</v>
      </c>
      <c r="K42" s="105">
        <f t="shared" si="1"/>
        <v>-19</v>
      </c>
      <c r="L42" s="106">
        <f>IFERROR(GETPIVOTDATA("Sum of Qty",[1]PF!$A$5,"ID Store",$C42),0)</f>
        <v>0</v>
      </c>
      <c r="M42" s="106">
        <f>IFERROR(GETPIVOTDATA("Sum of Qty",'[1]DEVICE &amp; VALUE'!$A$6,"ID Store",$C42,"Segment Price","3mio&gt;"),0)</f>
        <v>1</v>
      </c>
      <c r="N42" s="107">
        <f t="shared" si="2"/>
        <v>1</v>
      </c>
      <c r="O42" s="108">
        <f>IFERROR(GETPIVOTDATA("Sum of Qty",[1]IQOO!$A$6,"ID Store",$C42),0)</f>
        <v>0</v>
      </c>
      <c r="P42" s="107">
        <f t="shared" si="3"/>
        <v>0</v>
      </c>
      <c r="Q42" s="107">
        <f t="shared" si="4"/>
        <v>1</v>
      </c>
      <c r="R42" s="109">
        <f>IFERROR(GETPIVOTDATA("Sum of SRP",'[1]DEVICE &amp; VALUE'!$A$6,"ID Store",$C42),0)</f>
        <v>9999000</v>
      </c>
      <c r="S42" s="107">
        <f t="shared" si="5"/>
        <v>0.116267441860465</v>
      </c>
      <c r="T42" s="110">
        <f t="shared" si="6"/>
        <v>-76001000</v>
      </c>
      <c r="U42" s="111">
        <f t="shared" si="7"/>
        <v>5</v>
      </c>
      <c r="V42" s="112">
        <f t="shared" si="8"/>
        <v>0.25</v>
      </c>
      <c r="W42" s="113">
        <f t="shared" si="9"/>
        <v>-15</v>
      </c>
      <c r="X42" s="113">
        <f t="shared" si="10"/>
        <v>5</v>
      </c>
      <c r="Y42" s="113">
        <f t="shared" si="11"/>
        <v>-15</v>
      </c>
      <c r="Z42" s="114">
        <f t="shared" si="12"/>
        <v>49995000</v>
      </c>
      <c r="AA42" s="114">
        <f t="shared" si="13"/>
        <v>-36005000</v>
      </c>
      <c r="AB42" s="115">
        <f t="shared" si="14"/>
        <v>0.581337209302326</v>
      </c>
      <c r="AC42" s="116">
        <f t="shared" si="15"/>
        <v>0.791666666666667</v>
      </c>
      <c r="AD42" s="117">
        <f t="shared" si="16"/>
        <v>3166708.33333333</v>
      </c>
      <c r="AE42" s="102">
        <f>IFERROR(GETPIVOTDATA("Sum of Qty",'[1]DATA LAST MONTH IQOO'!$A$6,"ID Store",$C42),0)</f>
        <v>0</v>
      </c>
      <c r="AF42" s="118">
        <f>IFERROR(GETPIVOTDATA("Sum of Qty",[1]IQOO!$A$6,"ID Store",$C42),0)</f>
        <v>0</v>
      </c>
      <c r="AG42" s="105">
        <f t="shared" si="17"/>
        <v>0</v>
      </c>
      <c r="AH42" s="119">
        <f t="shared" si="18"/>
        <v>0</v>
      </c>
      <c r="AI42" s="120">
        <f>IFERROR(GETPIVOTDATA("Sum of Qty",'[1]DATA LAST MONTH DEVICE'!$A$6,"ID Store",$C42),0)</f>
        <v>0</v>
      </c>
      <c r="AJ42" s="121">
        <f t="shared" si="19"/>
        <v>1</v>
      </c>
      <c r="AK42" s="105">
        <f t="shared" si="20"/>
        <v>1</v>
      </c>
      <c r="AL42" s="107">
        <f t="shared" si="21"/>
        <v>0</v>
      </c>
      <c r="AM42" s="106">
        <f>IFERROR(GETPIVOTDATA("Sum of Qty",'[1]Store 3mio+ last month'!$A$6,"ID Store",$C42),0)</f>
        <v>0</v>
      </c>
      <c r="AN42" s="105">
        <f t="shared" si="22"/>
        <v>5</v>
      </c>
      <c r="AO42" s="105">
        <f t="shared" si="23"/>
        <v>5</v>
      </c>
      <c r="AP42" s="107">
        <f t="shared" si="24"/>
        <v>0</v>
      </c>
      <c r="AQ42" s="106">
        <f>IFERROR(GETPIVOTDATA("Sum of Qty",'[1]DATA LAST MONTH DEVICE'!$A$6,"ID Store",$C42,"Segment Price","3mio&gt;"),0)</f>
        <v>0</v>
      </c>
      <c r="AR42" s="108">
        <f t="shared" si="25"/>
        <v>1</v>
      </c>
      <c r="AS42" s="108">
        <f t="shared" si="26"/>
        <v>1</v>
      </c>
      <c r="AT42" s="107">
        <f t="shared" si="27"/>
        <v>0</v>
      </c>
      <c r="AU42" s="122">
        <f>IFERROR(GETPIVOTDATA("Sum of SRP",'[1]DATA LAST MONTH DEVICE'!$A$6,"ID Store",$C42),0)</f>
        <v>0</v>
      </c>
      <c r="AV42" s="122">
        <f t="shared" si="28"/>
        <v>9999000</v>
      </c>
      <c r="AW42" s="122">
        <f t="shared" si="29"/>
        <v>9999000</v>
      </c>
      <c r="AX42" s="107">
        <f t="shared" si="30"/>
        <v>0</v>
      </c>
      <c r="AY42" s="122">
        <f>IFERROR(VLOOKUP(C42,'[1]DATA SALES LAST MONTH'!A:E,5,0),0)</f>
        <v>0</v>
      </c>
      <c r="AZ42" s="109">
        <f t="shared" si="31"/>
        <v>9999000</v>
      </c>
      <c r="BA42" s="109">
        <f t="shared" si="32"/>
        <v>9999000</v>
      </c>
      <c r="BB42" s="119">
        <f t="shared" si="33"/>
        <v>0</v>
      </c>
      <c r="BC42" s="102">
        <f>IFERROR(VLOOKUP(C42,'[1]TARGET THIS MONTH'!C:U,15,0),0)</f>
        <v>2</v>
      </c>
      <c r="BD42" s="123">
        <f>IFERROR(GETPIVOTDATA("Sum of Qty",[1]ACC!$A$5,"ID Store",$C42),0)</f>
        <v>0</v>
      </c>
      <c r="BE42" s="107">
        <f t="shared" si="34"/>
        <v>0</v>
      </c>
      <c r="BF42" s="124">
        <f>IFERROR(VLOOKUP(C42,'[1]TARGET THIS MONTH'!C:U,16,0),0)</f>
        <v>430000</v>
      </c>
      <c r="BG42" s="124">
        <f>IFERROR(GETPIVOTDATA("Sum of SRP",'[1]Insurance by Store'!$A$5,"ID Store",$C42,"Product Type","Qoala"),0)</f>
        <v>0</v>
      </c>
      <c r="BH42" s="107">
        <f t="shared" si="35"/>
        <v>0</v>
      </c>
      <c r="BI42" s="124">
        <f>IFERROR(VLOOKUP(C42,'[1]TARGET THIS MONTH'!C:U,17,0),0)</f>
        <v>86000</v>
      </c>
      <c r="BJ42" s="124">
        <f>IFERROR(GETPIVOTDATA("Sum of SRP",'[1]Insurance by Store'!$A$5,"ID Store",$C42,"Product Type","Vivo Care"),0)</f>
        <v>0</v>
      </c>
      <c r="BK42" s="107">
        <f t="shared" si="36"/>
        <v>0</v>
      </c>
      <c r="BL42" s="105">
        <f>IFERROR(VLOOKUP(C42,'[1]TARGET THIS MONTH'!C:U,18,0),0)</f>
        <v>0.6</v>
      </c>
      <c r="BM42" s="106">
        <f>IFERROR(GETPIVOTDATA("Sum of Qty",'[1]Operator by Store'!$A$5,"ID Store",$C42,"Product Type","Indosat"),0)</f>
        <v>0</v>
      </c>
      <c r="BN42" s="107">
        <f t="shared" si="37"/>
        <v>0</v>
      </c>
      <c r="BO42" s="105">
        <f>VLOOKUP(C42,'[1]TARGET THIS MONTH'!C:U,19,0)</f>
        <v>6</v>
      </c>
      <c r="BP42" s="106">
        <f>IFERROR(GETPIVOTDATA("Sum of Qty",'[1]Operator by Store'!$A$5,"ID Store",$C42,"Product Type","Telkomsel"),0)</f>
        <v>0</v>
      </c>
      <c r="BQ42" s="125">
        <f t="shared" si="38"/>
        <v>0</v>
      </c>
    </row>
    <row r="43" spans="1:69">
      <c r="A43" s="96">
        <v>39</v>
      </c>
      <c r="B43" s="97" t="s">
        <v>99</v>
      </c>
      <c r="C43" s="98">
        <v>6150702</v>
      </c>
      <c r="D43" s="99" t="s">
        <v>100</v>
      </c>
      <c r="E43" s="127" t="s">
        <v>101</v>
      </c>
      <c r="F43" s="101">
        <v>2</v>
      </c>
      <c r="G43" s="102">
        <f>IFERROR(VLOOKUP(C43,'[1]TARGET THIS MONTH'!C:E,3,0),0)</f>
        <v>20</v>
      </c>
      <c r="H43" s="103">
        <f>IFERROR(VLOOKUP(C43,'[1]TARGET THIS MONTH'!C:M,11,0),0)</f>
        <v>80000000</v>
      </c>
      <c r="I43" s="102">
        <f>IFERROR(GETPIVOTDATA("Sum of Qty",'[1]DEVICE &amp; VALUE'!$A$6,"ID Store",$C43),0)</f>
        <v>2</v>
      </c>
      <c r="J43" s="104">
        <f t="shared" si="0"/>
        <v>0.1</v>
      </c>
      <c r="K43" s="105">
        <f t="shared" si="1"/>
        <v>-18</v>
      </c>
      <c r="L43" s="106">
        <f>IFERROR(GETPIVOTDATA("Sum of Qty",[1]PF!$A$5,"ID Store",$C43),0)</f>
        <v>2</v>
      </c>
      <c r="M43" s="106">
        <f>IFERROR(GETPIVOTDATA("Sum of Qty",'[1]DEVICE &amp; VALUE'!$A$6,"ID Store",$C43,"Segment Price","3mio&gt;"),0)</f>
        <v>2</v>
      </c>
      <c r="N43" s="107">
        <f t="shared" si="2"/>
        <v>1</v>
      </c>
      <c r="O43" s="108">
        <f>IFERROR(GETPIVOTDATA("Sum of Qty",[1]IQOO!$A$6,"ID Store",$C43),0)</f>
        <v>0</v>
      </c>
      <c r="P43" s="107">
        <f t="shared" si="3"/>
        <v>0</v>
      </c>
      <c r="Q43" s="107">
        <f t="shared" si="4"/>
        <v>1</v>
      </c>
      <c r="R43" s="109">
        <f>IFERROR(GETPIVOTDATA("Sum of SRP",'[1]DEVICE &amp; VALUE'!$A$6,"ID Store",$C43),0)</f>
        <v>9798000</v>
      </c>
      <c r="S43" s="107">
        <f t="shared" si="5"/>
        <v>0.122475</v>
      </c>
      <c r="T43" s="110">
        <f t="shared" si="6"/>
        <v>-70202000</v>
      </c>
      <c r="U43" s="111">
        <f t="shared" si="7"/>
        <v>10</v>
      </c>
      <c r="V43" s="112">
        <f t="shared" si="8"/>
        <v>0.5</v>
      </c>
      <c r="W43" s="113">
        <f t="shared" si="9"/>
        <v>-10</v>
      </c>
      <c r="X43" s="113">
        <f t="shared" si="10"/>
        <v>10</v>
      </c>
      <c r="Y43" s="113">
        <f t="shared" si="11"/>
        <v>-10</v>
      </c>
      <c r="Z43" s="114">
        <f t="shared" si="12"/>
        <v>48990000</v>
      </c>
      <c r="AA43" s="114">
        <f t="shared" si="13"/>
        <v>-31010000</v>
      </c>
      <c r="AB43" s="115">
        <f t="shared" si="14"/>
        <v>0.612375</v>
      </c>
      <c r="AC43" s="116">
        <f t="shared" si="15"/>
        <v>0.75</v>
      </c>
      <c r="AD43" s="117">
        <f t="shared" si="16"/>
        <v>2925083.33333333</v>
      </c>
      <c r="AE43" s="102">
        <f>IFERROR(GETPIVOTDATA("Sum of Qty",'[1]DATA LAST MONTH IQOO'!$A$6,"ID Store",$C43),0)</f>
        <v>0</v>
      </c>
      <c r="AF43" s="118">
        <f>IFERROR(GETPIVOTDATA("Sum of Qty",[1]IQOO!$A$6,"ID Store",$C43),0)</f>
        <v>0</v>
      </c>
      <c r="AG43" s="105">
        <f t="shared" si="17"/>
        <v>0</v>
      </c>
      <c r="AH43" s="119">
        <f t="shared" si="18"/>
        <v>0</v>
      </c>
      <c r="AI43" s="120">
        <f>IFERROR(GETPIVOTDATA("Sum of Qty",'[1]DATA LAST MONTH DEVICE'!$A$6,"ID Store",$C43),0)</f>
        <v>0</v>
      </c>
      <c r="AJ43" s="121">
        <f t="shared" si="19"/>
        <v>2</v>
      </c>
      <c r="AK43" s="105">
        <f t="shared" si="20"/>
        <v>2</v>
      </c>
      <c r="AL43" s="107">
        <f t="shared" si="21"/>
        <v>0</v>
      </c>
      <c r="AM43" s="106">
        <f>IFERROR(GETPIVOTDATA("Sum of Qty",'[1]Store 3mio+ last month'!$A$6,"ID Store",$C43),0)</f>
        <v>0</v>
      </c>
      <c r="AN43" s="105">
        <f t="shared" si="22"/>
        <v>10</v>
      </c>
      <c r="AO43" s="105">
        <f t="shared" si="23"/>
        <v>10</v>
      </c>
      <c r="AP43" s="107">
        <f t="shared" si="24"/>
        <v>0</v>
      </c>
      <c r="AQ43" s="106">
        <f>IFERROR(GETPIVOTDATA("Sum of Qty",'[1]DATA LAST MONTH DEVICE'!$A$6,"ID Store",$C43,"Segment Price","3mio&gt;"),0)</f>
        <v>0</v>
      </c>
      <c r="AR43" s="108">
        <f t="shared" si="25"/>
        <v>2</v>
      </c>
      <c r="AS43" s="108">
        <f t="shared" si="26"/>
        <v>2</v>
      </c>
      <c r="AT43" s="107">
        <f t="shared" si="27"/>
        <v>0</v>
      </c>
      <c r="AU43" s="122">
        <f>IFERROR(GETPIVOTDATA("Sum of SRP",'[1]DATA LAST MONTH DEVICE'!$A$6,"ID Store",$C43),0)</f>
        <v>0</v>
      </c>
      <c r="AV43" s="122">
        <f t="shared" si="28"/>
        <v>9798000</v>
      </c>
      <c r="AW43" s="122">
        <f t="shared" si="29"/>
        <v>9798000</v>
      </c>
      <c r="AX43" s="107">
        <f t="shared" si="30"/>
        <v>0</v>
      </c>
      <c r="AY43" s="122">
        <f>IFERROR(VLOOKUP(C43,'[1]DATA SALES LAST MONTH'!A:E,5,0),0)</f>
        <v>0</v>
      </c>
      <c r="AZ43" s="109">
        <f t="shared" si="31"/>
        <v>4899000</v>
      </c>
      <c r="BA43" s="109">
        <f t="shared" si="32"/>
        <v>4899000</v>
      </c>
      <c r="BB43" s="119">
        <f t="shared" si="33"/>
        <v>0</v>
      </c>
      <c r="BC43" s="102">
        <f>IFERROR(VLOOKUP(C43,'[1]TARGET THIS MONTH'!C:U,15,0),0)</f>
        <v>2</v>
      </c>
      <c r="BD43" s="123">
        <f>IFERROR(GETPIVOTDATA("Sum of Qty",[1]ACC!$A$5,"ID Store",$C43),0)</f>
        <v>0</v>
      </c>
      <c r="BE43" s="107">
        <f t="shared" si="34"/>
        <v>0</v>
      </c>
      <c r="BF43" s="124">
        <f>IFERROR(VLOOKUP(C43,'[1]TARGET THIS MONTH'!C:U,16,0),0)</f>
        <v>400000</v>
      </c>
      <c r="BG43" s="124">
        <f>IFERROR(GETPIVOTDATA("Sum of SRP",'[1]Insurance by Store'!$A$5,"ID Store",$C43,"Product Type","Qoala"),0)</f>
        <v>0</v>
      </c>
      <c r="BH43" s="107">
        <f t="shared" si="35"/>
        <v>0</v>
      </c>
      <c r="BI43" s="124">
        <f>IFERROR(VLOOKUP(C43,'[1]TARGET THIS MONTH'!C:U,17,0),0)</f>
        <v>80000</v>
      </c>
      <c r="BJ43" s="124">
        <f>IFERROR(GETPIVOTDATA("Sum of SRP",'[1]Insurance by Store'!$A$5,"ID Store",$C43,"Product Type","Vivo Care"),0)</f>
        <v>0</v>
      </c>
      <c r="BK43" s="107">
        <f t="shared" si="36"/>
        <v>0</v>
      </c>
      <c r="BL43" s="105">
        <f>IFERROR(VLOOKUP(C43,'[1]TARGET THIS MONTH'!C:U,18,0),0)</f>
        <v>0.6</v>
      </c>
      <c r="BM43" s="106">
        <f>IFERROR(GETPIVOTDATA("Sum of Qty",'[1]Operator by Store'!$A$5,"ID Store",$C43,"Product Type","Indosat"),0)</f>
        <v>0</v>
      </c>
      <c r="BN43" s="107">
        <f t="shared" si="37"/>
        <v>0</v>
      </c>
      <c r="BO43" s="105">
        <f>VLOOKUP(C43,'[1]TARGET THIS MONTH'!C:U,19,0)</f>
        <v>6</v>
      </c>
      <c r="BP43" s="106">
        <f>IFERROR(GETPIVOTDATA("Sum of Qty",'[1]Operator by Store'!$A$5,"ID Store",$C43,"Product Type","Telkomsel"),0)</f>
        <v>0</v>
      </c>
      <c r="BQ43" s="125">
        <f t="shared" si="38"/>
        <v>0</v>
      </c>
    </row>
    <row r="44" spans="1:69">
      <c r="A44" s="96">
        <v>40</v>
      </c>
      <c r="B44" s="97" t="s">
        <v>102</v>
      </c>
      <c r="C44" s="98">
        <v>6130702</v>
      </c>
      <c r="D44" s="99" t="s">
        <v>103</v>
      </c>
      <c r="E44" s="126" t="s">
        <v>104</v>
      </c>
      <c r="F44" s="101">
        <v>3</v>
      </c>
      <c r="G44" s="102">
        <f>IFERROR(VLOOKUP(C44,'[1]TARGET THIS MONTH'!C:E,3,0),0)</f>
        <v>60</v>
      </c>
      <c r="H44" s="103">
        <f>IFERROR(VLOOKUP(C44,'[1]TARGET THIS MONTH'!C:M,11,0),0)</f>
        <v>300000000</v>
      </c>
      <c r="I44" s="102">
        <f>IFERROR(GETPIVOTDATA("Sum of Qty",'[1]DEVICE &amp; VALUE'!$A$6,"ID Store",$C44),0)</f>
        <v>8</v>
      </c>
      <c r="J44" s="104">
        <f t="shared" si="0"/>
        <v>0.133333333333333</v>
      </c>
      <c r="K44" s="105">
        <f t="shared" si="1"/>
        <v>-52</v>
      </c>
      <c r="L44" s="106">
        <f>IFERROR(GETPIVOTDATA("Sum of Qty",[1]PF!$A$5,"ID Store",$C44),0)</f>
        <v>2</v>
      </c>
      <c r="M44" s="106">
        <f>IFERROR(GETPIVOTDATA("Sum of Qty",'[1]DEVICE &amp; VALUE'!$A$6,"ID Store",$C44,"Segment Price","3mio&gt;"),0)</f>
        <v>6</v>
      </c>
      <c r="N44" s="107">
        <f t="shared" si="2"/>
        <v>0.75</v>
      </c>
      <c r="O44" s="108">
        <f>IFERROR(GETPIVOTDATA("Sum of Qty",[1]IQOO!$A$6,"ID Store",$C44),0)</f>
        <v>1</v>
      </c>
      <c r="P44" s="107">
        <f t="shared" si="3"/>
        <v>0.125</v>
      </c>
      <c r="Q44" s="107">
        <f t="shared" si="4"/>
        <v>0.75</v>
      </c>
      <c r="R44" s="109">
        <f>IFERROR(GETPIVOTDATA("Sum of SRP",'[1]DEVICE &amp; VALUE'!$A$6,"ID Store",$C44),0)</f>
        <v>44892000</v>
      </c>
      <c r="S44" s="107">
        <f t="shared" si="5"/>
        <v>0.14964</v>
      </c>
      <c r="T44" s="110">
        <f t="shared" si="6"/>
        <v>-255108000</v>
      </c>
      <c r="U44" s="111">
        <f t="shared" si="7"/>
        <v>40</v>
      </c>
      <c r="V44" s="112">
        <f t="shared" si="8"/>
        <v>0.666666666666667</v>
      </c>
      <c r="W44" s="113">
        <f t="shared" si="9"/>
        <v>-20</v>
      </c>
      <c r="X44" s="113">
        <f t="shared" si="10"/>
        <v>30</v>
      </c>
      <c r="Y44" s="113">
        <f t="shared" si="11"/>
        <v>-30</v>
      </c>
      <c r="Z44" s="114">
        <f t="shared" si="12"/>
        <v>224460000</v>
      </c>
      <c r="AA44" s="114">
        <f t="shared" si="13"/>
        <v>-75540000</v>
      </c>
      <c r="AB44" s="115">
        <f t="shared" si="14"/>
        <v>0.7482</v>
      </c>
      <c r="AC44" s="116">
        <f t="shared" si="15"/>
        <v>2.16666666666667</v>
      </c>
      <c r="AD44" s="117">
        <f t="shared" si="16"/>
        <v>10629500</v>
      </c>
      <c r="AE44" s="102">
        <f>IFERROR(GETPIVOTDATA("Sum of Qty",'[1]DATA LAST MONTH IQOO'!$A$6,"ID Store",$C44),0)</f>
        <v>18</v>
      </c>
      <c r="AF44" s="118">
        <f>IFERROR(GETPIVOTDATA("Sum of Qty",[1]IQOO!$A$6,"ID Store",$C44),0)</f>
        <v>1</v>
      </c>
      <c r="AG44" s="105">
        <f t="shared" si="17"/>
        <v>-17</v>
      </c>
      <c r="AH44" s="119">
        <f t="shared" si="18"/>
        <v>-0.944444444444444</v>
      </c>
      <c r="AI44" s="120">
        <f>IFERROR(GETPIVOTDATA("Sum of Qty",'[1]DATA LAST MONTH DEVICE'!$A$6,"ID Store",$C44),0)</f>
        <v>70</v>
      </c>
      <c r="AJ44" s="121">
        <f t="shared" si="19"/>
        <v>8</v>
      </c>
      <c r="AK44" s="105">
        <f t="shared" si="20"/>
        <v>-62</v>
      </c>
      <c r="AL44" s="107">
        <f t="shared" si="21"/>
        <v>-0.885714285714286</v>
      </c>
      <c r="AM44" s="106">
        <f>IFERROR(GETPIVOTDATA("Sum of Qty",'[1]Store 3mio+ last month'!$A$6,"ID Store",$C44),0)</f>
        <v>70</v>
      </c>
      <c r="AN44" s="105">
        <f t="shared" si="22"/>
        <v>40</v>
      </c>
      <c r="AO44" s="105">
        <f t="shared" si="23"/>
        <v>-30</v>
      </c>
      <c r="AP44" s="107">
        <f t="shared" si="24"/>
        <v>-0.428571428571429</v>
      </c>
      <c r="AQ44" s="106">
        <f>IFERROR(GETPIVOTDATA("Sum of Qty",'[1]DATA LAST MONTH DEVICE'!$A$6,"ID Store",$C44,"Segment Price","3mio&gt;"),0)</f>
        <v>41</v>
      </c>
      <c r="AR44" s="108">
        <f t="shared" si="25"/>
        <v>6</v>
      </c>
      <c r="AS44" s="108">
        <f t="shared" si="26"/>
        <v>-35</v>
      </c>
      <c r="AT44" s="107">
        <f t="shared" si="27"/>
        <v>-0.853658536585366</v>
      </c>
      <c r="AU44" s="122">
        <f>IFERROR(GETPIVOTDATA("Sum of SRP",'[1]DATA LAST MONTH DEVICE'!$A$6,"ID Store",$C44),0)</f>
        <v>369330000</v>
      </c>
      <c r="AV44" s="122">
        <f t="shared" si="28"/>
        <v>44892000</v>
      </c>
      <c r="AW44" s="122">
        <f t="shared" si="29"/>
        <v>-324438000</v>
      </c>
      <c r="AX44" s="107">
        <f t="shared" si="30"/>
        <v>-0.878450166517748</v>
      </c>
      <c r="AY44" s="122">
        <f>IFERROR(VLOOKUP(C44,'[1]DATA SALES LAST MONTH'!A:E,5,0),0)</f>
        <v>5276142.85714286</v>
      </c>
      <c r="AZ44" s="109">
        <f t="shared" si="31"/>
        <v>5611500</v>
      </c>
      <c r="BA44" s="109">
        <f t="shared" si="32"/>
        <v>335357.142857143</v>
      </c>
      <c r="BB44" s="119">
        <f t="shared" si="33"/>
        <v>0.0635610429697019</v>
      </c>
      <c r="BC44" s="102">
        <f>IFERROR(VLOOKUP(C44,'[1]TARGET THIS MONTH'!C:U,15,0),0)</f>
        <v>6</v>
      </c>
      <c r="BD44" s="123">
        <f>IFERROR(GETPIVOTDATA("Sum of Qty",[1]ACC!$A$5,"ID Store",$C44),0)</f>
        <v>0</v>
      </c>
      <c r="BE44" s="107">
        <f t="shared" si="34"/>
        <v>0</v>
      </c>
      <c r="BF44" s="124">
        <f>IFERROR(VLOOKUP(C44,'[1]TARGET THIS MONTH'!C:U,16,0),0)</f>
        <v>1500000</v>
      </c>
      <c r="BG44" s="124">
        <f>IFERROR(GETPIVOTDATA("Sum of SRP",'[1]Insurance by Store'!$A$5,"ID Store",$C44,"Product Type","Qoala"),0)</f>
        <v>329000</v>
      </c>
      <c r="BH44" s="107">
        <f t="shared" si="35"/>
        <v>0.219333333333333</v>
      </c>
      <c r="BI44" s="124">
        <f>IFERROR(VLOOKUP(C44,'[1]TARGET THIS MONTH'!C:U,17,0),0)</f>
        <v>300000</v>
      </c>
      <c r="BJ44" s="124">
        <f>IFERROR(GETPIVOTDATA("Sum of SRP",'[1]Insurance by Store'!$A$5,"ID Store",$C44,"Product Type","Vivo Care"),0)</f>
        <v>0</v>
      </c>
      <c r="BK44" s="107">
        <f t="shared" si="36"/>
        <v>0</v>
      </c>
      <c r="BL44" s="105">
        <f>IFERROR(VLOOKUP(C44,'[1]TARGET THIS MONTH'!C:U,18,0),0)</f>
        <v>1.8</v>
      </c>
      <c r="BM44" s="106">
        <f>IFERROR(GETPIVOTDATA("Sum of Qty",'[1]Operator by Store'!$A$5,"ID Store",$C44,"Product Type","Indosat"),0)</f>
        <v>0</v>
      </c>
      <c r="BN44" s="107">
        <f t="shared" si="37"/>
        <v>0</v>
      </c>
      <c r="BO44" s="105">
        <f>VLOOKUP(C44,'[1]TARGET THIS MONTH'!C:U,19,0)</f>
        <v>18</v>
      </c>
      <c r="BP44" s="106">
        <f>IFERROR(GETPIVOTDATA("Sum of Qty",'[1]Operator by Store'!$A$5,"ID Store",$C44,"Product Type","Telkomsel"),0)</f>
        <v>0</v>
      </c>
      <c r="BQ44" s="125">
        <f t="shared" si="38"/>
        <v>0</v>
      </c>
    </row>
    <row r="45" spans="1:69">
      <c r="A45" s="96">
        <v>41</v>
      </c>
      <c r="B45" s="97" t="s">
        <v>105</v>
      </c>
      <c r="C45" s="98">
        <v>6100702</v>
      </c>
      <c r="D45" s="99" t="s">
        <v>106</v>
      </c>
      <c r="E45" s="127" t="s">
        <v>101</v>
      </c>
      <c r="F45" s="101">
        <v>1</v>
      </c>
      <c r="G45" s="102">
        <f>IFERROR(VLOOKUP(C45,'[1]TARGET THIS MONTH'!C:E,3,0),0)</f>
        <v>50</v>
      </c>
      <c r="H45" s="103">
        <f>IFERROR(VLOOKUP(C45,'[1]TARGET THIS MONTH'!C:M,11,0),0)</f>
        <v>350000000</v>
      </c>
      <c r="I45" s="102">
        <f>IFERROR(GETPIVOTDATA("Sum of Qty",'[1]DEVICE &amp; VALUE'!$A$6,"ID Store",$C45),0)</f>
        <v>6</v>
      </c>
      <c r="J45" s="104">
        <f t="shared" si="0"/>
        <v>0.12</v>
      </c>
      <c r="K45" s="105">
        <f t="shared" si="1"/>
        <v>-44</v>
      </c>
      <c r="L45" s="106">
        <f>IFERROR(GETPIVOTDATA("Sum of Qty",[1]PF!$A$5,"ID Store",$C45),0)</f>
        <v>1</v>
      </c>
      <c r="M45" s="106">
        <f>IFERROR(GETPIVOTDATA("Sum of Qty",'[1]DEVICE &amp; VALUE'!$A$6,"ID Store",$C45,"Segment Price","3mio&gt;"),0)</f>
        <v>3</v>
      </c>
      <c r="N45" s="107">
        <f t="shared" si="2"/>
        <v>0.5</v>
      </c>
      <c r="O45" s="108">
        <f>IFERROR(GETPIVOTDATA("Sum of Qty",[1]IQOO!$A$6,"ID Store",$C45),0)</f>
        <v>1</v>
      </c>
      <c r="P45" s="107">
        <f t="shared" si="3"/>
        <v>0.166666666666667</v>
      </c>
      <c r="Q45" s="107">
        <f t="shared" si="4"/>
        <v>0.5</v>
      </c>
      <c r="R45" s="109">
        <f>IFERROR(GETPIVOTDATA("Sum of SRP",'[1]DEVICE &amp; VALUE'!$A$6,"ID Store",$C45),0)</f>
        <v>29494000</v>
      </c>
      <c r="S45" s="107">
        <f t="shared" si="5"/>
        <v>0.0842685714285714</v>
      </c>
      <c r="T45" s="110">
        <f t="shared" si="6"/>
        <v>-320506000</v>
      </c>
      <c r="U45" s="111">
        <f t="shared" si="7"/>
        <v>30</v>
      </c>
      <c r="V45" s="112">
        <f t="shared" si="8"/>
        <v>0.6</v>
      </c>
      <c r="W45" s="113">
        <f t="shared" si="9"/>
        <v>-20</v>
      </c>
      <c r="X45" s="113">
        <f t="shared" si="10"/>
        <v>15</v>
      </c>
      <c r="Y45" s="113">
        <f t="shared" si="11"/>
        <v>-35</v>
      </c>
      <c r="Z45" s="114">
        <f t="shared" si="12"/>
        <v>147470000</v>
      </c>
      <c r="AA45" s="114">
        <f t="shared" si="13"/>
        <v>-202530000</v>
      </c>
      <c r="AB45" s="115">
        <f t="shared" si="14"/>
        <v>0.421342857142857</v>
      </c>
      <c r="AC45" s="116">
        <f t="shared" si="15"/>
        <v>1.83333333333333</v>
      </c>
      <c r="AD45" s="117">
        <f t="shared" si="16"/>
        <v>13354416.6666667</v>
      </c>
      <c r="AE45" s="102">
        <f>IFERROR(GETPIVOTDATA("Sum of Qty",'[1]DATA LAST MONTH IQOO'!$A$6,"ID Store",$C45),0)</f>
        <v>18</v>
      </c>
      <c r="AF45" s="118">
        <f>IFERROR(GETPIVOTDATA("Sum of Qty",[1]IQOO!$A$6,"ID Store",$C45),0)</f>
        <v>1</v>
      </c>
      <c r="AG45" s="105">
        <f t="shared" si="17"/>
        <v>-17</v>
      </c>
      <c r="AH45" s="119">
        <f t="shared" si="18"/>
        <v>-0.944444444444444</v>
      </c>
      <c r="AI45" s="120">
        <f>IFERROR(GETPIVOTDATA("Sum of Qty",'[1]DATA LAST MONTH DEVICE'!$A$6,"ID Store",$C45),0)</f>
        <v>47</v>
      </c>
      <c r="AJ45" s="121">
        <f t="shared" si="19"/>
        <v>6</v>
      </c>
      <c r="AK45" s="105">
        <f t="shared" si="20"/>
        <v>-41</v>
      </c>
      <c r="AL45" s="107">
        <f t="shared" si="21"/>
        <v>-0.872340425531915</v>
      </c>
      <c r="AM45" s="106">
        <f>IFERROR(GETPIVOTDATA("Sum of Qty",'[1]Store 3mio+ last month'!$A$6,"ID Store",$C45),0)</f>
        <v>47</v>
      </c>
      <c r="AN45" s="105">
        <f t="shared" si="22"/>
        <v>30</v>
      </c>
      <c r="AO45" s="105">
        <f t="shared" si="23"/>
        <v>-17</v>
      </c>
      <c r="AP45" s="107">
        <f t="shared" si="24"/>
        <v>-0.361702127659574</v>
      </c>
      <c r="AQ45" s="106">
        <f>IFERROR(GETPIVOTDATA("Sum of Qty",'[1]DATA LAST MONTH DEVICE'!$A$6,"ID Store",$C45,"Segment Price","3mio&gt;"),0)</f>
        <v>39</v>
      </c>
      <c r="AR45" s="108">
        <f t="shared" si="25"/>
        <v>3</v>
      </c>
      <c r="AS45" s="108">
        <f t="shared" si="26"/>
        <v>-36</v>
      </c>
      <c r="AT45" s="107">
        <f t="shared" si="27"/>
        <v>-0.923076923076923</v>
      </c>
      <c r="AU45" s="122">
        <f>IFERROR(GETPIVOTDATA("Sum of SRP",'[1]DATA LAST MONTH DEVICE'!$A$6,"ID Store",$C45),0)</f>
        <v>387653000</v>
      </c>
      <c r="AV45" s="122">
        <f t="shared" si="28"/>
        <v>29494000</v>
      </c>
      <c r="AW45" s="122">
        <f t="shared" si="29"/>
        <v>-358159000</v>
      </c>
      <c r="AX45" s="107">
        <f t="shared" si="30"/>
        <v>-0.923916492326901</v>
      </c>
      <c r="AY45" s="122">
        <f>IFERROR(VLOOKUP(C45,'[1]DATA SALES LAST MONTH'!A:E,5,0),0)</f>
        <v>8247936.17021277</v>
      </c>
      <c r="AZ45" s="109">
        <f t="shared" si="31"/>
        <v>4915666.66666667</v>
      </c>
      <c r="BA45" s="109">
        <f t="shared" si="32"/>
        <v>-3332269.5035461</v>
      </c>
      <c r="BB45" s="119">
        <f t="shared" si="33"/>
        <v>-0.404012523227388</v>
      </c>
      <c r="BC45" s="102">
        <f>IFERROR(VLOOKUP(C45,'[1]TARGET THIS MONTH'!C:U,15,0),0)</f>
        <v>5</v>
      </c>
      <c r="BD45" s="123">
        <f>IFERROR(GETPIVOTDATA("Sum of Qty",[1]ACC!$A$5,"ID Store",$C45),0)</f>
        <v>0</v>
      </c>
      <c r="BE45" s="107">
        <f t="shared" si="34"/>
        <v>0</v>
      </c>
      <c r="BF45" s="124">
        <f>IFERROR(VLOOKUP(C45,'[1]TARGET THIS MONTH'!C:U,16,0),0)</f>
        <v>1750000</v>
      </c>
      <c r="BG45" s="124">
        <f>IFERROR(GETPIVOTDATA("Sum of SRP",'[1]Insurance by Store'!$A$5,"ID Store",$C45,"Product Type","Qoala"),0)</f>
        <v>0</v>
      </c>
      <c r="BH45" s="107">
        <f t="shared" si="35"/>
        <v>0</v>
      </c>
      <c r="BI45" s="124">
        <f>IFERROR(VLOOKUP(C45,'[1]TARGET THIS MONTH'!C:U,17,0),0)</f>
        <v>350000</v>
      </c>
      <c r="BJ45" s="124">
        <f>IFERROR(GETPIVOTDATA("Sum of SRP",'[1]Insurance by Store'!$A$5,"ID Store",$C45,"Product Type","Vivo Care"),0)</f>
        <v>0</v>
      </c>
      <c r="BK45" s="107">
        <f t="shared" si="36"/>
        <v>0</v>
      </c>
      <c r="BL45" s="105">
        <f>IFERROR(VLOOKUP(C45,'[1]TARGET THIS MONTH'!C:U,18,0),0)</f>
        <v>1.5</v>
      </c>
      <c r="BM45" s="106">
        <f>IFERROR(GETPIVOTDATA("Sum of Qty",'[1]Operator by Store'!$A$5,"ID Store",$C45,"Product Type","Indosat"),0)</f>
        <v>0</v>
      </c>
      <c r="BN45" s="107">
        <f t="shared" si="37"/>
        <v>0</v>
      </c>
      <c r="BO45" s="105">
        <f>VLOOKUP(C45,'[1]TARGET THIS MONTH'!C:U,19,0)</f>
        <v>15</v>
      </c>
      <c r="BP45" s="106">
        <f>IFERROR(GETPIVOTDATA("Sum of Qty",'[1]Operator by Store'!$A$5,"ID Store",$C45,"Product Type","Telkomsel"),0)</f>
        <v>0</v>
      </c>
      <c r="BQ45" s="125">
        <f t="shared" si="38"/>
        <v>0</v>
      </c>
    </row>
    <row r="46" spans="1:69">
      <c r="A46" s="96">
        <v>42</v>
      </c>
      <c r="B46" s="97" t="s">
        <v>105</v>
      </c>
      <c r="C46" s="98">
        <v>6140706</v>
      </c>
      <c r="D46" s="99" t="s">
        <v>107</v>
      </c>
      <c r="E46" s="126" t="s">
        <v>108</v>
      </c>
      <c r="F46" s="101">
        <v>2</v>
      </c>
      <c r="G46" s="102">
        <f>IFERROR(VLOOKUP(C46,'[1]TARGET THIS MONTH'!C:E,3,0),0)</f>
        <v>30</v>
      </c>
      <c r="H46" s="103">
        <f>IFERROR(VLOOKUP(C46,'[1]TARGET THIS MONTH'!C:M,11,0),0)</f>
        <v>210000000</v>
      </c>
      <c r="I46" s="102">
        <f>IFERROR(GETPIVOTDATA("Sum of Qty",'[1]DEVICE &amp; VALUE'!$A$6,"ID Store",$C46),0)</f>
        <v>4</v>
      </c>
      <c r="J46" s="104">
        <f t="shared" si="0"/>
        <v>0.133333333333333</v>
      </c>
      <c r="K46" s="105">
        <f t="shared" si="1"/>
        <v>-26</v>
      </c>
      <c r="L46" s="106">
        <f>IFERROR(GETPIVOTDATA("Sum of Qty",[1]PF!$A$5,"ID Store",$C46),0)</f>
        <v>1</v>
      </c>
      <c r="M46" s="106">
        <f>IFERROR(GETPIVOTDATA("Sum of Qty",'[1]DEVICE &amp; VALUE'!$A$6,"ID Store",$C46,"Segment Price","3mio&gt;"),0)</f>
        <v>3</v>
      </c>
      <c r="N46" s="107">
        <f t="shared" si="2"/>
        <v>0.75</v>
      </c>
      <c r="O46" s="108">
        <f>IFERROR(GETPIVOTDATA("Sum of Qty",[1]IQOO!$A$6,"ID Store",$C46),0)</f>
        <v>0</v>
      </c>
      <c r="P46" s="107">
        <f t="shared" si="3"/>
        <v>0</v>
      </c>
      <c r="Q46" s="107">
        <f t="shared" si="4"/>
        <v>0.75</v>
      </c>
      <c r="R46" s="109">
        <f>IFERROR(GETPIVOTDATA("Sum of SRP",'[1]DEVICE &amp; VALUE'!$A$6,"ID Store",$C46),0)</f>
        <v>42696000</v>
      </c>
      <c r="S46" s="107">
        <f t="shared" si="5"/>
        <v>0.203314285714286</v>
      </c>
      <c r="T46" s="110">
        <f t="shared" si="6"/>
        <v>-167304000</v>
      </c>
      <c r="U46" s="111">
        <f t="shared" si="7"/>
        <v>20</v>
      </c>
      <c r="V46" s="112">
        <f t="shared" si="8"/>
        <v>0.666666666666667</v>
      </c>
      <c r="W46" s="113">
        <f t="shared" si="9"/>
        <v>-10</v>
      </c>
      <c r="X46" s="113">
        <f t="shared" si="10"/>
        <v>15</v>
      </c>
      <c r="Y46" s="113">
        <f t="shared" si="11"/>
        <v>-15</v>
      </c>
      <c r="Z46" s="114">
        <f t="shared" si="12"/>
        <v>213480000</v>
      </c>
      <c r="AA46" s="114">
        <f t="shared" si="13"/>
        <v>3480000</v>
      </c>
      <c r="AB46" s="115">
        <f t="shared" si="14"/>
        <v>1.01657142857143</v>
      </c>
      <c r="AC46" s="116">
        <f t="shared" si="15"/>
        <v>1.08333333333333</v>
      </c>
      <c r="AD46" s="117">
        <f t="shared" si="16"/>
        <v>6971000</v>
      </c>
      <c r="AE46" s="102">
        <f>IFERROR(GETPIVOTDATA("Sum of Qty",'[1]DATA LAST MONTH IQOO'!$A$6,"ID Store",$C46),0)</f>
        <v>9</v>
      </c>
      <c r="AF46" s="118">
        <f>IFERROR(GETPIVOTDATA("Sum of Qty",[1]IQOO!$A$6,"ID Store",$C46),0)</f>
        <v>0</v>
      </c>
      <c r="AG46" s="105">
        <f t="shared" si="17"/>
        <v>-9</v>
      </c>
      <c r="AH46" s="119">
        <f t="shared" si="18"/>
        <v>-1</v>
      </c>
      <c r="AI46" s="120">
        <f>IFERROR(GETPIVOTDATA("Sum of Qty",'[1]DATA LAST MONTH DEVICE'!$A$6,"ID Store",$C46),0)</f>
        <v>21</v>
      </c>
      <c r="AJ46" s="121">
        <f t="shared" si="19"/>
        <v>4</v>
      </c>
      <c r="AK46" s="105">
        <f t="shared" si="20"/>
        <v>-17</v>
      </c>
      <c r="AL46" s="107">
        <f t="shared" si="21"/>
        <v>-0.80952380952381</v>
      </c>
      <c r="AM46" s="106">
        <f>IFERROR(GETPIVOTDATA("Sum of Qty",'[1]Store 3mio+ last month'!$A$6,"ID Store",$C46),0)</f>
        <v>21</v>
      </c>
      <c r="AN46" s="105">
        <f t="shared" si="22"/>
        <v>20</v>
      </c>
      <c r="AO46" s="105">
        <f t="shared" si="23"/>
        <v>-1</v>
      </c>
      <c r="AP46" s="107">
        <f t="shared" si="24"/>
        <v>-0.0476190476190476</v>
      </c>
      <c r="AQ46" s="106">
        <f>IFERROR(GETPIVOTDATA("Sum of Qty",'[1]DATA LAST MONTH DEVICE'!$A$6,"ID Store",$C46,"Segment Price","3mio&gt;"),0)</f>
        <v>19</v>
      </c>
      <c r="AR46" s="108">
        <f t="shared" si="25"/>
        <v>3</v>
      </c>
      <c r="AS46" s="108">
        <f t="shared" si="26"/>
        <v>-16</v>
      </c>
      <c r="AT46" s="107">
        <f t="shared" si="27"/>
        <v>-0.842105263157895</v>
      </c>
      <c r="AU46" s="122">
        <f>IFERROR(GETPIVOTDATA("Sum of SRP",'[1]DATA LAST MONTH DEVICE'!$A$6,"ID Store",$C46),0)</f>
        <v>222079000</v>
      </c>
      <c r="AV46" s="122">
        <f t="shared" si="28"/>
        <v>42696000</v>
      </c>
      <c r="AW46" s="122">
        <f t="shared" si="29"/>
        <v>-179383000</v>
      </c>
      <c r="AX46" s="107">
        <f t="shared" si="30"/>
        <v>-0.807744091066693</v>
      </c>
      <c r="AY46" s="122">
        <f>IFERROR(VLOOKUP(C46,'[1]DATA SALES LAST MONTH'!A:E,5,0),0)</f>
        <v>0</v>
      </c>
      <c r="AZ46" s="109">
        <f t="shared" si="31"/>
        <v>10674000</v>
      </c>
      <c r="BA46" s="109">
        <f t="shared" si="32"/>
        <v>10674000</v>
      </c>
      <c r="BB46" s="119">
        <f t="shared" si="33"/>
        <v>0</v>
      </c>
      <c r="BC46" s="102">
        <f>IFERROR(VLOOKUP(C46,'[1]TARGET THIS MONTH'!C:U,15,0),0)</f>
        <v>3</v>
      </c>
      <c r="BD46" s="123">
        <f>IFERROR(GETPIVOTDATA("Sum of Qty",[1]ACC!$A$5,"ID Store",$C46),0)</f>
        <v>0</v>
      </c>
      <c r="BE46" s="107">
        <f t="shared" si="34"/>
        <v>0</v>
      </c>
      <c r="BF46" s="124">
        <f>IFERROR(VLOOKUP(C46,'[1]TARGET THIS MONTH'!C:U,16,0),0)</f>
        <v>1050000</v>
      </c>
      <c r="BG46" s="124">
        <f>IFERROR(GETPIVOTDATA("Sum of SRP",'[1]Insurance by Store'!$A$5,"ID Store",$C46,"Product Type","Qoala"),0)</f>
        <v>0</v>
      </c>
      <c r="BH46" s="107">
        <f t="shared" si="35"/>
        <v>0</v>
      </c>
      <c r="BI46" s="124">
        <f>IFERROR(VLOOKUP(C46,'[1]TARGET THIS MONTH'!C:U,17,0),0)</f>
        <v>210000</v>
      </c>
      <c r="BJ46" s="124">
        <f>IFERROR(GETPIVOTDATA("Sum of SRP",'[1]Insurance by Store'!$A$5,"ID Store",$C46,"Product Type","Vivo Care"),0)</f>
        <v>0</v>
      </c>
      <c r="BK46" s="107">
        <f t="shared" si="36"/>
        <v>0</v>
      </c>
      <c r="BL46" s="105">
        <f>IFERROR(VLOOKUP(C46,'[1]TARGET THIS MONTH'!C:U,18,0),0)</f>
        <v>0.9</v>
      </c>
      <c r="BM46" s="106">
        <f>IFERROR(GETPIVOTDATA("Sum of Qty",'[1]Operator by Store'!$A$5,"ID Store",$C46,"Product Type","Indosat"),0)</f>
        <v>0</v>
      </c>
      <c r="BN46" s="107">
        <f t="shared" si="37"/>
        <v>0</v>
      </c>
      <c r="BO46" s="105">
        <f>VLOOKUP(C46,'[1]TARGET THIS MONTH'!C:U,19,0)</f>
        <v>9</v>
      </c>
      <c r="BP46" s="106">
        <f>IFERROR(GETPIVOTDATA("Sum of Qty",'[1]Operator by Store'!$A$5,"ID Store",$C46,"Product Type","Telkomsel"),0)</f>
        <v>0</v>
      </c>
      <c r="BQ46" s="125">
        <f t="shared" si="38"/>
        <v>0</v>
      </c>
    </row>
    <row r="47" ht="18.35" spans="1:69">
      <c r="A47" s="128">
        <v>43</v>
      </c>
      <c r="B47" s="129" t="s">
        <v>105</v>
      </c>
      <c r="C47" s="130">
        <v>6140705</v>
      </c>
      <c r="D47" s="131" t="s">
        <v>109</v>
      </c>
      <c r="E47" s="132" t="s">
        <v>110</v>
      </c>
      <c r="F47" s="133">
        <v>3</v>
      </c>
      <c r="G47" s="134">
        <f>IFERROR(VLOOKUP(C47,'[1]TARGET THIS MONTH'!C:E,3,0),0)</f>
        <v>60</v>
      </c>
      <c r="H47" s="135">
        <f>IFERROR(VLOOKUP(C47,'[1]TARGET THIS MONTH'!C:M,11,0),0)</f>
        <v>420000000</v>
      </c>
      <c r="I47" s="134">
        <f>IFERROR(GETPIVOTDATA("Sum of Qty",'[1]DEVICE &amp; VALUE'!$A$6,"ID Store",$C47),0)</f>
        <v>11</v>
      </c>
      <c r="J47" s="136">
        <f t="shared" si="0"/>
        <v>0.183333333333333</v>
      </c>
      <c r="K47" s="137">
        <f t="shared" si="1"/>
        <v>-49</v>
      </c>
      <c r="L47" s="138">
        <f>IFERROR(GETPIVOTDATA("Sum of Qty",[1]PF!$A$5,"ID Store",$C47),0)</f>
        <v>0</v>
      </c>
      <c r="M47" s="138">
        <f>IFERROR(GETPIVOTDATA("Sum of Qty",'[1]DEVICE &amp; VALUE'!$A$6,"ID Store",$C47,"Segment Price","3mio&gt;"),0)</f>
        <v>10</v>
      </c>
      <c r="N47" s="139">
        <f t="shared" si="2"/>
        <v>0.909090909090909</v>
      </c>
      <c r="O47" s="140">
        <f>IFERROR(GETPIVOTDATA("Sum of Qty",[1]IQOO!$A$6,"ID Store",$C47),0)</f>
        <v>4</v>
      </c>
      <c r="P47" s="139">
        <f t="shared" si="3"/>
        <v>0.363636363636364</v>
      </c>
      <c r="Q47" s="139">
        <f t="shared" si="4"/>
        <v>0.909090909090909</v>
      </c>
      <c r="R47" s="141">
        <f>IFERROR(GETPIVOTDATA("Sum of SRP",'[1]DEVICE &amp; VALUE'!$A$6,"ID Store",$C47),0)</f>
        <v>93089000</v>
      </c>
      <c r="S47" s="139">
        <f t="shared" si="5"/>
        <v>0.221640476190476</v>
      </c>
      <c r="T47" s="142">
        <f t="shared" si="6"/>
        <v>-326911000</v>
      </c>
      <c r="U47" s="143">
        <f t="shared" si="7"/>
        <v>55</v>
      </c>
      <c r="V47" s="144">
        <f t="shared" si="8"/>
        <v>0.916666666666667</v>
      </c>
      <c r="W47" s="145">
        <f t="shared" si="9"/>
        <v>-5</v>
      </c>
      <c r="X47" s="145">
        <f t="shared" si="10"/>
        <v>50</v>
      </c>
      <c r="Y47" s="145">
        <f t="shared" si="11"/>
        <v>-10</v>
      </c>
      <c r="Z47" s="146">
        <f t="shared" si="12"/>
        <v>465445000</v>
      </c>
      <c r="AA47" s="146">
        <f t="shared" si="13"/>
        <v>45445000</v>
      </c>
      <c r="AB47" s="147">
        <f t="shared" si="14"/>
        <v>1.10820238095238</v>
      </c>
      <c r="AC47" s="148">
        <f t="shared" si="15"/>
        <v>2.04166666666667</v>
      </c>
      <c r="AD47" s="149">
        <f t="shared" si="16"/>
        <v>13621291.6666667</v>
      </c>
      <c r="AE47" s="134">
        <f>IFERROR(GETPIVOTDATA("Sum of Qty",'[1]DATA LAST MONTH IQOO'!$A$6,"ID Store",$C47),0)</f>
        <v>27</v>
      </c>
      <c r="AF47" s="150">
        <f>IFERROR(GETPIVOTDATA("Sum of Qty",[1]IQOO!$A$6,"ID Store",$C47),0)</f>
        <v>4</v>
      </c>
      <c r="AG47" s="137">
        <f t="shared" si="17"/>
        <v>-23</v>
      </c>
      <c r="AH47" s="151">
        <f t="shared" si="18"/>
        <v>-0.851851851851852</v>
      </c>
      <c r="AI47" s="152">
        <f>IFERROR(GETPIVOTDATA("Sum of Qty",'[1]DATA LAST MONTH DEVICE'!$A$6,"ID Store",$C47),0)</f>
        <v>56</v>
      </c>
      <c r="AJ47" s="153">
        <f t="shared" si="19"/>
        <v>11</v>
      </c>
      <c r="AK47" s="137">
        <f t="shared" si="20"/>
        <v>-45</v>
      </c>
      <c r="AL47" s="139">
        <f t="shared" si="21"/>
        <v>-0.803571428571429</v>
      </c>
      <c r="AM47" s="138">
        <f>IFERROR(GETPIVOTDATA("Sum of Qty",'[1]Store 3mio+ last month'!$A$6,"ID Store",$C47),0)</f>
        <v>56</v>
      </c>
      <c r="AN47" s="137">
        <f t="shared" si="22"/>
        <v>55</v>
      </c>
      <c r="AO47" s="137">
        <f t="shared" si="23"/>
        <v>-1</v>
      </c>
      <c r="AP47" s="139">
        <f t="shared" si="24"/>
        <v>-0.0178571428571429</v>
      </c>
      <c r="AQ47" s="138">
        <f>IFERROR(GETPIVOTDATA("Sum of Qty",'[1]DATA LAST MONTH DEVICE'!$A$6,"ID Store",$C47,"Segment Price","3mio&gt;"),0)</f>
        <v>45</v>
      </c>
      <c r="AR47" s="140">
        <f t="shared" si="25"/>
        <v>10</v>
      </c>
      <c r="AS47" s="140">
        <f t="shared" si="26"/>
        <v>-35</v>
      </c>
      <c r="AT47" s="139">
        <f t="shared" si="27"/>
        <v>-0.777777777777778</v>
      </c>
      <c r="AU47" s="154">
        <f>IFERROR(GETPIVOTDATA("Sum of SRP",'[1]DATA LAST MONTH DEVICE'!$A$6,"ID Store",$C47),0)</f>
        <v>500244000</v>
      </c>
      <c r="AV47" s="154">
        <f t="shared" si="28"/>
        <v>93089000</v>
      </c>
      <c r="AW47" s="154">
        <f t="shared" si="29"/>
        <v>-407155000</v>
      </c>
      <c r="AX47" s="139">
        <f t="shared" si="30"/>
        <v>-0.813912810548452</v>
      </c>
      <c r="AY47" s="154">
        <f>IFERROR(VLOOKUP(C47,'[1]DATA SALES LAST MONTH'!A:E,5,0),0)</f>
        <v>8932928.57142857</v>
      </c>
      <c r="AZ47" s="141">
        <f t="shared" si="31"/>
        <v>8462636.36363636</v>
      </c>
      <c r="BA47" s="141">
        <f t="shared" si="32"/>
        <v>-470292.207792208</v>
      </c>
      <c r="BB47" s="151">
        <f t="shared" si="33"/>
        <v>-0.0526470355193938</v>
      </c>
      <c r="BC47" s="134">
        <f>IFERROR(VLOOKUP(C47,'[1]TARGET THIS MONTH'!C:U,15,0),0)</f>
        <v>6</v>
      </c>
      <c r="BD47" s="155">
        <f>IFERROR(GETPIVOTDATA("Sum of Qty",[1]ACC!$A$5,"ID Store",$C47),0)</f>
        <v>1</v>
      </c>
      <c r="BE47" s="139">
        <f t="shared" si="34"/>
        <v>0.166666666666667</v>
      </c>
      <c r="BF47" s="156">
        <f>IFERROR(VLOOKUP(C47,'[1]TARGET THIS MONTH'!C:U,16,0),0)</f>
        <v>2100000</v>
      </c>
      <c r="BG47" s="156">
        <f>IFERROR(GETPIVOTDATA("Sum of SRP",'[1]Insurance by Store'!$A$5,"ID Store",$C47,"Product Type","Qoala"),0)</f>
        <v>499000</v>
      </c>
      <c r="BH47" s="139">
        <f t="shared" si="35"/>
        <v>0.237619047619048</v>
      </c>
      <c r="BI47" s="156">
        <f>IFERROR(VLOOKUP(C47,'[1]TARGET THIS MONTH'!C:U,17,0),0)</f>
        <v>420000</v>
      </c>
      <c r="BJ47" s="156">
        <f>IFERROR(GETPIVOTDATA("Sum of SRP",'[1]Insurance by Store'!$A$5,"ID Store",$C47,"Product Type","Vivo Care"),0)</f>
        <v>0</v>
      </c>
      <c r="BK47" s="139">
        <f t="shared" si="36"/>
        <v>0</v>
      </c>
      <c r="BL47" s="137">
        <f>IFERROR(VLOOKUP(C47,'[1]TARGET THIS MONTH'!C:U,18,0),0)</f>
        <v>1.8</v>
      </c>
      <c r="BM47" s="138">
        <f>IFERROR(GETPIVOTDATA("Sum of Qty",'[1]Operator by Store'!$A$5,"ID Store",$C47,"Product Type","Indosat"),0)</f>
        <v>0</v>
      </c>
      <c r="BN47" s="139">
        <f t="shared" si="37"/>
        <v>0</v>
      </c>
      <c r="BO47" s="137">
        <f>VLOOKUP(C47,'[1]TARGET THIS MONTH'!C:U,19,0)</f>
        <v>18</v>
      </c>
      <c r="BP47" s="138">
        <f>IFERROR(GETPIVOTDATA("Sum of Qty",'[1]Operator by Store'!$A$5,"ID Store",$C47,"Product Type","Telkomsel"),0)</f>
        <v>0</v>
      </c>
      <c r="BQ47" s="157">
        <f t="shared" si="38"/>
        <v>0</v>
      </c>
    </row>
    <row r="48" ht="18.35" spans="1:69">
      <c r="A48" s="158" t="s">
        <v>111</v>
      </c>
      <c r="B48" s="159"/>
      <c r="C48" s="159"/>
      <c r="D48" s="159"/>
      <c r="E48" s="159"/>
      <c r="F48" s="160">
        <f>SUM(F5:F47)</f>
        <v>114</v>
      </c>
      <c r="G48" s="161">
        <f>SUM(G5:G47)</f>
        <v>3400</v>
      </c>
      <c r="H48" s="162">
        <f>SUM(H5:H47)</f>
        <v>15659000000</v>
      </c>
      <c r="I48" s="161">
        <f>SUM(I5:I47)</f>
        <v>749</v>
      </c>
      <c r="J48" s="163">
        <f t="shared" si="0"/>
        <v>0.220294117647059</v>
      </c>
      <c r="K48" s="164">
        <f t="shared" si="1"/>
        <v>-2651</v>
      </c>
      <c r="L48" s="159">
        <f>SUM(L5:L47)</f>
        <v>146</v>
      </c>
      <c r="M48" s="159">
        <f>SUM(M5:M47)</f>
        <v>273</v>
      </c>
      <c r="N48" s="165">
        <f>M48/I48</f>
        <v>0.364485981308411</v>
      </c>
      <c r="O48" s="164">
        <f>SUM(O5:O47)</f>
        <v>28</v>
      </c>
      <c r="P48" s="165">
        <f>O48/I48</f>
        <v>0.0373831775700935</v>
      </c>
      <c r="Q48" s="165">
        <f>M48/I48</f>
        <v>0.364485981308411</v>
      </c>
      <c r="R48" s="166">
        <f>SUM(R5:R47)</f>
        <v>2922151000</v>
      </c>
      <c r="S48" s="165">
        <f>R48/H48</f>
        <v>0.18661159716457</v>
      </c>
      <c r="T48" s="167">
        <f t="shared" si="6"/>
        <v>-12736849000</v>
      </c>
      <c r="U48" s="168">
        <f>SUM(U5:U47)</f>
        <v>3745</v>
      </c>
      <c r="V48" s="163">
        <f>U48/G48</f>
        <v>1.10147058823529</v>
      </c>
      <c r="W48" s="164">
        <f t="shared" si="9"/>
        <v>345</v>
      </c>
      <c r="X48" s="164">
        <f>SUM(X5:X47)</f>
        <v>1365</v>
      </c>
      <c r="Y48" s="164">
        <f t="shared" si="11"/>
        <v>-2035</v>
      </c>
      <c r="Z48" s="166">
        <f>SUM(Z5:Z47)</f>
        <v>14610755000</v>
      </c>
      <c r="AA48" s="166">
        <f t="shared" si="13"/>
        <v>-1048245000</v>
      </c>
      <c r="AB48" s="169">
        <f>Z48/H48</f>
        <v>0.933057985822849</v>
      </c>
      <c r="AC48" s="170">
        <f>SUM(AC5:AC47)</f>
        <v>110.458333333333</v>
      </c>
      <c r="AD48" s="162">
        <f>SUM(AD5:AD47)</f>
        <v>530702041.666667</v>
      </c>
      <c r="AE48" s="161">
        <f>SUM(AE5:AE47)</f>
        <v>481</v>
      </c>
      <c r="AF48" s="171">
        <f>SUM(AF5:AF47)</f>
        <v>28</v>
      </c>
      <c r="AG48" s="164">
        <f t="shared" si="17"/>
        <v>-453</v>
      </c>
      <c r="AH48" s="169">
        <f>AG48/AE48</f>
        <v>-0.941787941787942</v>
      </c>
      <c r="AI48" s="172">
        <f>SUM(AI5:AI47)</f>
        <v>3166</v>
      </c>
      <c r="AJ48" s="171">
        <f>SUM(AJ5:AJ47)</f>
        <v>749</v>
      </c>
      <c r="AK48" s="164">
        <f t="shared" si="20"/>
        <v>-2417</v>
      </c>
      <c r="AL48" s="165">
        <f>AK48/AI48</f>
        <v>-0.763423878711308</v>
      </c>
      <c r="AM48" s="159">
        <f>SUM(AM5:AM47)</f>
        <v>3166</v>
      </c>
      <c r="AN48" s="164">
        <f>SUM(AN5:AN47)</f>
        <v>3745</v>
      </c>
      <c r="AO48" s="164">
        <f t="shared" si="23"/>
        <v>579</v>
      </c>
      <c r="AP48" s="165">
        <f>AO48/AM48</f>
        <v>0.182880606443462</v>
      </c>
      <c r="AQ48" s="159">
        <f>SUM(AQ5:AQ47)</f>
        <v>1431</v>
      </c>
      <c r="AR48" s="164">
        <f>SUM(AR5:AR47)</f>
        <v>273</v>
      </c>
      <c r="AS48" s="164">
        <f t="shared" si="26"/>
        <v>-1158</v>
      </c>
      <c r="AT48" s="165">
        <f>AS48/AQ48</f>
        <v>-0.809224318658281</v>
      </c>
      <c r="AU48" s="166">
        <f>SUM(AU5:AU47)</f>
        <v>14942734000</v>
      </c>
      <c r="AV48" s="166">
        <f>SUM(AV5:AV47)</f>
        <v>2922151000</v>
      </c>
      <c r="AW48" s="166">
        <f t="shared" si="29"/>
        <v>-12020583000</v>
      </c>
      <c r="AX48" s="165">
        <f>AW48/AU48</f>
        <v>-0.804443350192809</v>
      </c>
      <c r="AY48" s="166">
        <f>AU48/AI48</f>
        <v>4719751.73720783</v>
      </c>
      <c r="AZ48" s="166">
        <f>Z48/U48</f>
        <v>3901403.20427236</v>
      </c>
      <c r="BA48" s="166">
        <f t="shared" si="32"/>
        <v>-818348.53293547</v>
      </c>
      <c r="BB48" s="169">
        <f>BA48/AY48</f>
        <v>-0.173388046342369</v>
      </c>
      <c r="BC48" s="161">
        <f>SUM(BC5:BC47)</f>
        <v>340</v>
      </c>
      <c r="BD48" s="173">
        <f>SUM(BD5:BD47)</f>
        <v>130</v>
      </c>
      <c r="BE48" s="165">
        <f>BD48/BC48</f>
        <v>0.382352941176471</v>
      </c>
      <c r="BF48" s="166">
        <f>SUM(BF5:BF47)</f>
        <v>76290000</v>
      </c>
      <c r="BG48" s="166">
        <f>SUM(BG5:BG47)</f>
        <v>15004000</v>
      </c>
      <c r="BH48" s="165">
        <f>BG48/BF48</f>
        <v>0.196670599030017</v>
      </c>
      <c r="BI48" s="166">
        <f>SUM(BI5:BI47)</f>
        <v>15508000</v>
      </c>
      <c r="BJ48" s="166">
        <f>SUM(BJ5:BJ47)</f>
        <v>0</v>
      </c>
      <c r="BK48" s="165">
        <f>BJ48/BI48</f>
        <v>0</v>
      </c>
      <c r="BL48" s="164">
        <f>SUM(BL5:BL47)</f>
        <v>102</v>
      </c>
      <c r="BM48" s="159">
        <f>SUM(BM5:BM47)</f>
        <v>9</v>
      </c>
      <c r="BN48" s="165">
        <f>BM48/BL48</f>
        <v>0.0882352941176471</v>
      </c>
      <c r="BO48" s="164">
        <f>SUM(BO5:BO47)</f>
        <v>1020</v>
      </c>
      <c r="BP48" s="159">
        <f>SUM(BP5:BP47)</f>
        <v>0</v>
      </c>
      <c r="BQ48" s="174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F3:F4"/>
    <mergeCell ref="BC3:BC4"/>
    <mergeCell ref="BD3:BD4"/>
    <mergeCell ref="BE3:BE4"/>
    <mergeCell ref="BF3:BF4"/>
    <mergeCell ref="BG3:BG4"/>
    <mergeCell ref="BH3:BH4"/>
    <mergeCell ref="BI3:BI4"/>
    <mergeCell ref="BJ3:BJ4"/>
    <mergeCell ref="BK3:BK4"/>
    <mergeCell ref="BL3:BL4"/>
    <mergeCell ref="BM3:BM4"/>
    <mergeCell ref="BN3:BN4"/>
    <mergeCell ref="BO3:BO4"/>
    <mergeCell ref="BP3:BP4"/>
    <mergeCell ref="BQ3:BQ4"/>
    <mergeCell ref="AI1:BB2"/>
    <mergeCell ref="A1:C2"/>
    <mergeCell ref="G1:H3"/>
    <mergeCell ref="AC1:AD3"/>
    <mergeCell ref="I1:T3"/>
    <mergeCell ref="U1:AB3"/>
    <mergeCell ref="AE1:AH3"/>
  </mergeCells>
  <conditionalFormatting sqref="B6:C6">
    <cfRule type="duplicateValues" dxfId="0" priority="51"/>
  </conditionalFormatting>
  <conditionalFormatting sqref="B7:C7">
    <cfRule type="duplicateValues" dxfId="0" priority="50"/>
  </conditionalFormatting>
  <conditionalFormatting sqref="B8:C8">
    <cfRule type="duplicateValues" dxfId="0" priority="49"/>
  </conditionalFormatting>
  <conditionalFormatting sqref="B9:C9">
    <cfRule type="duplicateValues" dxfId="0" priority="48"/>
  </conditionalFormatting>
  <conditionalFormatting sqref="B10:C10">
    <cfRule type="duplicateValues" dxfId="0" priority="47"/>
  </conditionalFormatting>
  <conditionalFormatting sqref="B11:C11">
    <cfRule type="duplicateValues" dxfId="0" priority="46"/>
  </conditionalFormatting>
  <conditionalFormatting sqref="B12:C12">
    <cfRule type="duplicateValues" dxfId="0" priority="45"/>
  </conditionalFormatting>
  <conditionalFormatting sqref="B13:C13">
    <cfRule type="duplicateValues" dxfId="0" priority="44"/>
  </conditionalFormatting>
  <conditionalFormatting sqref="B14:C14">
    <cfRule type="duplicateValues" dxfId="0" priority="43"/>
  </conditionalFormatting>
  <conditionalFormatting sqref="B15:C15">
    <cfRule type="duplicateValues" dxfId="0" priority="42"/>
  </conditionalFormatting>
  <conditionalFormatting sqref="B16:C16">
    <cfRule type="duplicateValues" dxfId="0" priority="41"/>
  </conditionalFormatting>
  <conditionalFormatting sqref="B17:C17">
    <cfRule type="duplicateValues" dxfId="0" priority="40"/>
  </conditionalFormatting>
  <conditionalFormatting sqref="B18:C18">
    <cfRule type="duplicateValues" dxfId="0" priority="39"/>
  </conditionalFormatting>
  <conditionalFormatting sqref="B19:C19">
    <cfRule type="duplicateValues" dxfId="0" priority="38"/>
  </conditionalFormatting>
  <conditionalFormatting sqref="B20:C20">
    <cfRule type="duplicateValues" dxfId="0" priority="37"/>
  </conditionalFormatting>
  <conditionalFormatting sqref="B21:C21">
    <cfRule type="duplicateValues" dxfId="0" priority="36"/>
  </conditionalFormatting>
  <conditionalFormatting sqref="B22:C22">
    <cfRule type="duplicateValues" dxfId="0" priority="35"/>
  </conditionalFormatting>
  <conditionalFormatting sqref="B23:C23">
    <cfRule type="duplicateValues" dxfId="0" priority="34"/>
  </conditionalFormatting>
  <conditionalFormatting sqref="B24:C24">
    <cfRule type="duplicateValues" dxfId="0" priority="33"/>
  </conditionalFormatting>
  <conditionalFormatting sqref="B25:C25">
    <cfRule type="duplicateValues" dxfId="0" priority="32"/>
  </conditionalFormatting>
  <conditionalFormatting sqref="B26:C26">
    <cfRule type="duplicateValues" dxfId="0" priority="31"/>
  </conditionalFormatting>
  <conditionalFormatting sqref="B27:C27">
    <cfRule type="duplicateValues" dxfId="0" priority="30"/>
  </conditionalFormatting>
  <conditionalFormatting sqref="B28:C28">
    <cfRule type="duplicateValues" dxfId="0" priority="29"/>
  </conditionalFormatting>
  <conditionalFormatting sqref="B29:C29">
    <cfRule type="duplicateValues" dxfId="0" priority="28"/>
  </conditionalFormatting>
  <conditionalFormatting sqref="B30:C30">
    <cfRule type="duplicateValues" dxfId="0" priority="27"/>
  </conditionalFormatting>
  <conditionalFormatting sqref="B31:C31">
    <cfRule type="duplicateValues" dxfId="0" priority="26"/>
  </conditionalFormatting>
  <conditionalFormatting sqref="B32:C32">
    <cfRule type="duplicateValues" dxfId="0" priority="25"/>
  </conditionalFormatting>
  <conditionalFormatting sqref="B33:C33">
    <cfRule type="duplicateValues" dxfId="0" priority="24"/>
  </conditionalFormatting>
  <conditionalFormatting sqref="B34:C34">
    <cfRule type="duplicateValues" dxfId="0" priority="23"/>
  </conditionalFormatting>
  <conditionalFormatting sqref="B35:C35">
    <cfRule type="duplicateValues" dxfId="0" priority="22"/>
  </conditionalFormatting>
  <conditionalFormatting sqref="B36:C36">
    <cfRule type="duplicateValues" dxfId="0" priority="21"/>
  </conditionalFormatting>
  <conditionalFormatting sqref="B37:C37">
    <cfRule type="duplicateValues" dxfId="0" priority="20"/>
  </conditionalFormatting>
  <conditionalFormatting sqref="B38:C38">
    <cfRule type="duplicateValues" dxfId="0" priority="19"/>
  </conditionalFormatting>
  <conditionalFormatting sqref="B39:C39">
    <cfRule type="duplicateValues" dxfId="0" priority="18"/>
  </conditionalFormatting>
  <conditionalFormatting sqref="B40:C40">
    <cfRule type="duplicateValues" dxfId="0" priority="17"/>
  </conditionalFormatting>
  <conditionalFormatting sqref="B41:C41">
    <cfRule type="duplicateValues" dxfId="0" priority="16"/>
  </conditionalFormatting>
  <conditionalFormatting sqref="B42:C42">
    <cfRule type="duplicateValues" dxfId="0" priority="15"/>
  </conditionalFormatting>
  <conditionalFormatting sqref="B43:C43">
    <cfRule type="duplicateValues" dxfId="0" priority="14"/>
  </conditionalFormatting>
  <conditionalFormatting sqref="B44:C44">
    <cfRule type="duplicateValues" dxfId="0" priority="13"/>
  </conditionalFormatting>
  <conditionalFormatting sqref="B45:C45">
    <cfRule type="duplicateValues" dxfId="0" priority="12"/>
  </conditionalFormatting>
  <conditionalFormatting sqref="B46:C46">
    <cfRule type="duplicateValues" dxfId="0" priority="11"/>
  </conditionalFormatting>
  <conditionalFormatting sqref="B47:C47">
    <cfRule type="duplicateValues" dxfId="0" priority="10"/>
  </conditionalFormatting>
  <conditionalFormatting sqref="B5:B47">
    <cfRule type="expression" dxfId="1" priority="54" stopIfTrue="1">
      <formula>AND(ROW()&gt;5,$B5=$B4)</formula>
    </cfRule>
  </conditionalFormatting>
  <conditionalFormatting sqref="J5:J47">
    <cfRule type="cellIs" dxfId="2" priority="8" operator="lessThan">
      <formula>$F$2</formula>
    </cfRule>
  </conditionalFormatting>
  <conditionalFormatting sqref="K5:K47">
    <cfRule type="cellIs" dxfId="2" priority="4" operator="lessThan">
      <formula>0</formula>
    </cfRule>
  </conditionalFormatting>
  <conditionalFormatting sqref="S5:S47">
    <cfRule type="cellIs" dxfId="2" priority="7" operator="lessThan">
      <formula>$F$2</formula>
    </cfRule>
  </conditionalFormatting>
  <conditionalFormatting sqref="AL5:AL47">
    <cfRule type="cellIs" dxfId="3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2" priority="2" operator="lessThan">
      <formula>$F$2</formula>
    </cfRule>
  </conditionalFormatting>
  <conditionalFormatting sqref="BN5:BN47">
    <cfRule type="cellIs" dxfId="2" priority="1" operator="lessThan">
      <formula>$F$2</formula>
    </cfRule>
  </conditionalFormatting>
  <conditionalFormatting sqref="A5 C5:D5 A7 A9 A11 A13 A15 A17 A19 A21:A23 A25 A27 A29 A31 A33 A35 A37 A39:A41 A43 A45 A47">
    <cfRule type="duplicateValues" dxfId="0" priority="52"/>
  </conditionalFormatting>
  <conditionalFormatting sqref="A5:BQ47">
    <cfRule type="expression" dxfId="4" priority="53">
      <formula>MOD(ROW(),2)=0</formula>
    </cfRule>
  </conditionalFormatting>
  <conditionalFormatting sqref="A6 A8 A10 A12 A14 A16 A18 A20 A24 A26 A28 A30 A32 A34 A36 A38 A42 A44 A46">
    <cfRule type="duplicateValues" dxfId="0" priority="9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2026-08-06T15:28:00Z</dcterms:created>
  <dcterms:modified xsi:type="dcterms:W3CDTF">2026-08-07T08:37:21Z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