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696EC7FF-1521-D44D-9C74-556F5555C8ED}" xr6:coauthVersionLast="47" xr6:coauthVersionMax="47" xr10:uidLastSave="{00000000-0000-0000-0000-000000000000}"/>
  <bookViews>
    <workbookView xWindow="0" yWindow="600" windowWidth="31600" windowHeight="14840" activeTab="3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BC47" i="1"/>
  <c r="AY47" i="1"/>
  <c r="G47" i="1"/>
  <c r="D47" i="1"/>
  <c r="AY46" i="1"/>
  <c r="D46" i="1"/>
  <c r="BL45" i="1"/>
  <c r="BF45" i="1"/>
  <c r="AY45" i="1"/>
  <c r="H45" i="1"/>
  <c r="D45" i="1"/>
  <c r="BO45" i="1" s="1"/>
  <c r="BO44" i="1"/>
  <c r="BI44" i="1"/>
  <c r="BC44" i="1"/>
  <c r="AY44" i="1"/>
  <c r="H44" i="1"/>
  <c r="G44" i="1"/>
  <c r="D44" i="1"/>
  <c r="BC43" i="1"/>
  <c r="AY43" i="1"/>
  <c r="D43" i="1"/>
  <c r="BF42" i="1"/>
  <c r="AY42" i="1"/>
  <c r="D42" i="1"/>
  <c r="BO41" i="1"/>
  <c r="BL41" i="1"/>
  <c r="BF41" i="1"/>
  <c r="BC41" i="1"/>
  <c r="AY41" i="1"/>
  <c r="H41" i="1"/>
  <c r="G41" i="1"/>
  <c r="D41" i="1"/>
  <c r="BI41" i="1" s="1"/>
  <c r="AY40" i="1"/>
  <c r="D40" i="1"/>
  <c r="BL39" i="1"/>
  <c r="AY39" i="1"/>
  <c r="D39" i="1"/>
  <c r="BF38" i="1"/>
  <c r="BC38" i="1"/>
  <c r="AY38" i="1"/>
  <c r="H38" i="1"/>
  <c r="D38" i="1"/>
  <c r="BI37" i="1"/>
  <c r="AY37" i="1"/>
  <c r="D37" i="1"/>
  <c r="BL36" i="1"/>
  <c r="AY36" i="1"/>
  <c r="H36" i="1"/>
  <c r="D36" i="1"/>
  <c r="BF35" i="1"/>
  <c r="AY35" i="1"/>
  <c r="D35" i="1"/>
  <c r="AY34" i="1"/>
  <c r="H34" i="1"/>
  <c r="D34" i="1"/>
  <c r="BF33" i="1"/>
  <c r="AY33" i="1"/>
  <c r="H33" i="1"/>
  <c r="D33" i="1"/>
  <c r="BO32" i="1"/>
  <c r="BL32" i="1"/>
  <c r="BI32" i="1"/>
  <c r="BF32" i="1"/>
  <c r="BC32" i="1"/>
  <c r="AY32" i="1"/>
  <c r="H32" i="1"/>
  <c r="G32" i="1"/>
  <c r="D32" i="1"/>
  <c r="BO31" i="1"/>
  <c r="BL31" i="1"/>
  <c r="AY31" i="1"/>
  <c r="D31" i="1"/>
  <c r="BO30" i="1"/>
  <c r="BI30" i="1"/>
  <c r="BC30" i="1"/>
  <c r="AY30" i="1"/>
  <c r="D30" i="1"/>
  <c r="BO29" i="1"/>
  <c r="BI29" i="1"/>
  <c r="BC29" i="1"/>
  <c r="AY29" i="1"/>
  <c r="H29" i="1"/>
  <c r="D29" i="1"/>
  <c r="BF28" i="1"/>
  <c r="AY28" i="1"/>
  <c r="H28" i="1"/>
  <c r="D28" i="1"/>
  <c r="BO27" i="1"/>
  <c r="BL27" i="1"/>
  <c r="BI27" i="1"/>
  <c r="BF27" i="1"/>
  <c r="BC27" i="1"/>
  <c r="AY27" i="1"/>
  <c r="H27" i="1"/>
  <c r="G27" i="1"/>
  <c r="D27" i="1"/>
  <c r="BO26" i="1"/>
  <c r="BI26" i="1"/>
  <c r="AY26" i="1"/>
  <c r="H26" i="1"/>
  <c r="D26" i="1"/>
  <c r="BO25" i="1"/>
  <c r="BL25" i="1"/>
  <c r="BF25" i="1"/>
  <c r="BC25" i="1"/>
  <c r="AY25" i="1"/>
  <c r="H25" i="1"/>
  <c r="G25" i="1"/>
  <c r="D25" i="1"/>
  <c r="BI25" i="1" s="1"/>
  <c r="BL24" i="1"/>
  <c r="BI24" i="1"/>
  <c r="BF24" i="1"/>
  <c r="AY24" i="1"/>
  <c r="H24" i="1"/>
  <c r="G24" i="1"/>
  <c r="D24" i="1"/>
  <c r="BO24" i="1" s="1"/>
  <c r="BL23" i="1"/>
  <c r="BF23" i="1"/>
  <c r="AY23" i="1"/>
  <c r="D23" i="1"/>
  <c r="AY22" i="1"/>
  <c r="H22" i="1"/>
  <c r="D22" i="1"/>
  <c r="BL22" i="1" s="1"/>
  <c r="BO21" i="1"/>
  <c r="BC21" i="1"/>
  <c r="AY21" i="1"/>
  <c r="H21" i="1"/>
  <c r="D21" i="1"/>
  <c r="BI21" i="1" s="1"/>
  <c r="BL20" i="1"/>
  <c r="BF20" i="1"/>
  <c r="AY20" i="1"/>
  <c r="H20" i="1"/>
  <c r="D20" i="1"/>
  <c r="BO19" i="1"/>
  <c r="BL19" i="1"/>
  <c r="BC19" i="1"/>
  <c r="AY19" i="1"/>
  <c r="D19" i="1"/>
  <c r="BL18" i="1"/>
  <c r="BI18" i="1"/>
  <c r="BC18" i="1"/>
  <c r="AY18" i="1"/>
  <c r="H18" i="1"/>
  <c r="G18" i="1"/>
  <c r="D18" i="1"/>
  <c r="BF18" i="1" s="1"/>
  <c r="BO17" i="1"/>
  <c r="BI17" i="1"/>
  <c r="BC17" i="1"/>
  <c r="AY17" i="1"/>
  <c r="G17" i="1"/>
  <c r="D17" i="1"/>
  <c r="BO16" i="1"/>
  <c r="BL16" i="1"/>
  <c r="BI16" i="1"/>
  <c r="BF16" i="1"/>
  <c r="BC16" i="1"/>
  <c r="AY16" i="1"/>
  <c r="H16" i="1"/>
  <c r="G16" i="1"/>
  <c r="D16" i="1"/>
  <c r="BO15" i="1"/>
  <c r="BI15" i="1"/>
  <c r="BC15" i="1"/>
  <c r="AY15" i="1"/>
  <c r="H15" i="1"/>
  <c r="G15" i="1"/>
  <c r="D15" i="1"/>
  <c r="BL15" i="1" s="1"/>
  <c r="AY14" i="1"/>
  <c r="D14" i="1"/>
  <c r="BO13" i="1"/>
  <c r="BL13" i="1"/>
  <c r="BI13" i="1"/>
  <c r="BF13" i="1"/>
  <c r="BC13" i="1"/>
  <c r="AY13" i="1"/>
  <c r="H13" i="1"/>
  <c r="G13" i="1"/>
  <c r="D13" i="1"/>
  <c r="BI12" i="1"/>
  <c r="AY12" i="1"/>
  <c r="H12" i="1"/>
  <c r="D12" i="1"/>
  <c r="BO12" i="1" s="1"/>
  <c r="AY11" i="1"/>
  <c r="H11" i="1"/>
  <c r="D11" i="1"/>
  <c r="BC11" i="1" s="1"/>
  <c r="BL10" i="1"/>
  <c r="BF10" i="1"/>
  <c r="AY10" i="1"/>
  <c r="H10" i="1"/>
  <c r="D10" i="1"/>
  <c r="BL9" i="1"/>
  <c r="BC9" i="1"/>
  <c r="AY9" i="1"/>
  <c r="D9" i="1"/>
  <c r="BI9" i="1" s="1"/>
  <c r="AY8" i="1"/>
  <c r="D8" i="1"/>
  <c r="BF8" i="1" s="1"/>
  <c r="AY7" i="1"/>
  <c r="H7" i="1"/>
  <c r="D7" i="1"/>
  <c r="BF7" i="1" s="1"/>
  <c r="BL6" i="1"/>
  <c r="BI6" i="1"/>
  <c r="BC6" i="1"/>
  <c r="AY6" i="1"/>
  <c r="H6" i="1"/>
  <c r="G6" i="1"/>
  <c r="D6" i="1"/>
  <c r="BO6" i="1" s="1"/>
  <c r="BL5" i="1"/>
  <c r="BF5" i="1"/>
  <c r="AY5" i="1"/>
  <c r="D5" i="1"/>
  <c r="F2" i="1"/>
  <c r="EI3" i="3"/>
  <c r="AS47" i="3" s="1" a="1"/>
  <c r="AS47" i="3" s="1"/>
  <c r="DZ47" i="3" a="1"/>
  <c r="DZ47" i="3" s="1"/>
  <c r="DM47" i="3" a="1"/>
  <c r="DM47" i="3" s="1"/>
  <c r="DG47" i="3" a="1"/>
  <c r="DG47" i="3" s="1"/>
  <c r="DD47" i="3"/>
  <c r="DB47" i="3" a="1"/>
  <c r="DB47" i="3" s="1"/>
  <c r="CX47" i="3"/>
  <c r="CU47" i="3" a="1"/>
  <c r="CU47" i="3" s="1"/>
  <c r="CS47" i="3"/>
  <c r="CL47" i="3"/>
  <c r="CG47" i="3"/>
  <c r="CA47" i="3"/>
  <c r="BX47" i="3"/>
  <c r="BX47" i="3" a="1"/>
  <c r="BR47" i="3" a="1"/>
  <c r="BR47" i="3" s="1"/>
  <c r="BF47" i="3" a="1"/>
  <c r="BF47" i="3" s="1"/>
  <c r="BE47" i="3" a="1"/>
  <c r="BE47" i="3" s="1"/>
  <c r="BG47" i="3" s="1"/>
  <c r="AX47" i="3"/>
  <c r="AW47" i="3"/>
  <c r="AV47" i="3"/>
  <c r="AN47" i="3" a="1"/>
  <c r="AN47" i="3" s="1"/>
  <c r="AK47" i="3"/>
  <c r="AE47" i="3"/>
  <c r="AA47" i="3" a="1"/>
  <c r="AA47" i="3" s="1"/>
  <c r="S47" i="3"/>
  <c r="R47" i="3"/>
  <c r="T47" i="3" s="1"/>
  <c r="J47" i="3" a="1"/>
  <c r="J47" i="3" s="1"/>
  <c r="E47" i="3"/>
  <c r="D47" i="3"/>
  <c r="C47" i="3"/>
  <c r="CF47" i="3" s="1"/>
  <c r="B47" i="3"/>
  <c r="A47" i="3"/>
  <c r="DW46" i="3"/>
  <c r="DV46" i="3"/>
  <c r="DQ46" i="3"/>
  <c r="DP46" i="3"/>
  <c r="DR46" i="3" s="1"/>
  <c r="DM46" i="3"/>
  <c r="DM46" i="3" a="1"/>
  <c r="DH46" i="3" a="1"/>
  <c r="DH46" i="3" s="1"/>
  <c r="DG46" i="3" a="1"/>
  <c r="DG46" i="3" s="1"/>
  <c r="DI46" i="3" s="1"/>
  <c r="DE46" i="3"/>
  <c r="DA46" i="3" a="1"/>
  <c r="DA46" i="3" s="1"/>
  <c r="CV46" i="3" a="1"/>
  <c r="CV46" i="3" s="1"/>
  <c r="CP46" i="3" a="1"/>
  <c r="CP46" i="3" s="1"/>
  <c r="CJ46" i="3" a="1"/>
  <c r="CJ46" i="3" s="1"/>
  <c r="CG46" i="3"/>
  <c r="CF46" i="3"/>
  <c r="CH46" i="3" s="1"/>
  <c r="CD46" i="3" a="1"/>
  <c r="CD46" i="3" s="1"/>
  <c r="CA46" i="3"/>
  <c r="BU46" i="3"/>
  <c r="BT46" i="3"/>
  <c r="BV46" i="3" s="1"/>
  <c r="BQ46" i="3" a="1"/>
  <c r="BQ46" i="3" s="1"/>
  <c r="BN46" i="3"/>
  <c r="BK46" i="3" a="1"/>
  <c r="BK46" i="3" s="1"/>
  <c r="BI46" i="3"/>
  <c r="BE46" i="3" a="1"/>
  <c r="BE46" i="3" s="1"/>
  <c r="BC46" i="3"/>
  <c r="AZ46" i="3" a="1"/>
  <c r="AZ46" i="3" s="1"/>
  <c r="AT46" i="3" a="1"/>
  <c r="AT46" i="3" s="1"/>
  <c r="AS46" i="3" a="1"/>
  <c r="AS46" i="3" s="1"/>
  <c r="AU46" i="3" s="1"/>
  <c r="AK46" i="3"/>
  <c r="AG46" i="3" a="1"/>
  <c r="AG46" i="3" s="1"/>
  <c r="AE46" i="3"/>
  <c r="AA46" i="3" a="1"/>
  <c r="AA46" i="3" s="1"/>
  <c r="Y46" i="3"/>
  <c r="X46" i="3"/>
  <c r="Z46" i="3" s="1"/>
  <c r="V46" i="3" a="1"/>
  <c r="V46" i="3" s="1"/>
  <c r="U46" i="3" a="1"/>
  <c r="U46" i="3" s="1"/>
  <c r="W46" i="3" s="1"/>
  <c r="S46" i="3"/>
  <c r="P46" i="3" a="1"/>
  <c r="P46" i="3" s="1"/>
  <c r="O46" i="3" a="1"/>
  <c r="O46" i="3" s="1"/>
  <c r="Q46" i="3" s="1"/>
  <c r="J46" i="3" a="1"/>
  <c r="J46" i="3" s="1"/>
  <c r="I46" i="3" a="1"/>
  <c r="I46" i="3" s="1"/>
  <c r="E46" i="3"/>
  <c r="D46" i="3"/>
  <c r="C46" i="3"/>
  <c r="B46" i="3"/>
  <c r="A46" i="3"/>
  <c r="DZ45" i="3" a="1"/>
  <c r="DZ45" i="3" s="1"/>
  <c r="DW45" i="3"/>
  <c r="DS45" i="3" a="1"/>
  <c r="DS45" i="3" s="1"/>
  <c r="DN45" i="3"/>
  <c r="DN45" i="3" a="1"/>
  <c r="DM45" i="3"/>
  <c r="DM45" i="3" a="1"/>
  <c r="DJ45" i="3"/>
  <c r="DH45" i="3"/>
  <c r="DH45" i="3" a="1"/>
  <c r="DF45" i="3"/>
  <c r="DE45" i="3"/>
  <c r="DD45" i="3"/>
  <c r="DA45" i="3"/>
  <c r="DA45" i="3" a="1"/>
  <c r="CY45" i="3"/>
  <c r="CV45" i="3" a="1"/>
  <c r="CV45" i="3" s="1"/>
  <c r="CU45" i="3"/>
  <c r="CU45" i="3" a="1"/>
  <c r="CR45" i="3"/>
  <c r="CP45" i="3" a="1"/>
  <c r="CP45" i="3" s="1"/>
  <c r="CM45" i="3"/>
  <c r="CL45" i="3"/>
  <c r="CN45" i="3" s="1"/>
  <c r="CI45" i="3" a="1"/>
  <c r="CI45" i="3" s="1"/>
  <c r="CG45" i="3"/>
  <c r="CD45" i="3"/>
  <c r="CD45" i="3" a="1"/>
  <c r="CC45" i="3" a="1"/>
  <c r="CC45" i="3" s="1"/>
  <c r="CE45" i="3" s="1"/>
  <c r="BZ45" i="3"/>
  <c r="BX45" i="3"/>
  <c r="BX45" i="3" a="1"/>
  <c r="BU45" i="3"/>
  <c r="BT45" i="3"/>
  <c r="BV45" i="3" s="1"/>
  <c r="BQ45" i="3"/>
  <c r="BQ45" i="3" a="1"/>
  <c r="BO45" i="3"/>
  <c r="BL45" i="3" a="1"/>
  <c r="BL45" i="3" s="1"/>
  <c r="BK45" i="3"/>
  <c r="BM45" i="3" s="1"/>
  <c r="BK45" i="3" a="1"/>
  <c r="BH45" i="3"/>
  <c r="BF45" i="3" a="1"/>
  <c r="BF45" i="3" s="1"/>
  <c r="BD45" i="3"/>
  <c r="BC45" i="3"/>
  <c r="BB45" i="3"/>
  <c r="AY45" i="3" a="1"/>
  <c r="AY45" i="3" s="1"/>
  <c r="AW45" i="3"/>
  <c r="AT45" i="3" a="1"/>
  <c r="AT45" i="3" s="1"/>
  <c r="AQ45" i="3" a="1"/>
  <c r="AQ45" i="3" s="1"/>
  <c r="AM45" i="3"/>
  <c r="AM45" i="3" a="1"/>
  <c r="AK45" i="3"/>
  <c r="AH45" i="3" a="1"/>
  <c r="AH45" i="3" s="1"/>
  <c r="AG45" i="3" a="1"/>
  <c r="AG45" i="3" s="1"/>
  <c r="AI45" i="3" s="1"/>
  <c r="AD45" i="3"/>
  <c r="AB45" i="3"/>
  <c r="AB45" i="3" a="1"/>
  <c r="Y45" i="3"/>
  <c r="X45" i="3"/>
  <c r="Z45" i="3" s="1"/>
  <c r="U45" i="3"/>
  <c r="U45" i="3" a="1"/>
  <c r="S45" i="3"/>
  <c r="T45" i="3" s="1"/>
  <c r="R45" i="3"/>
  <c r="P45" i="3" a="1"/>
  <c r="P45" i="3" s="1"/>
  <c r="O45" i="3" a="1"/>
  <c r="O45" i="3" s="1"/>
  <c r="Q45" i="3" s="1"/>
  <c r="L45" i="3"/>
  <c r="J45" i="3" a="1"/>
  <c r="J45" i="3" s="1"/>
  <c r="H45" i="3"/>
  <c r="G45" i="3"/>
  <c r="F45" i="3"/>
  <c r="E45" i="3"/>
  <c r="D45" i="3"/>
  <c r="C45" i="3"/>
  <c r="DV45" i="3" s="1"/>
  <c r="DX45" i="3" s="1"/>
  <c r="B45" i="3"/>
  <c r="A45" i="3"/>
  <c r="E44" i="3"/>
  <c r="D44" i="3"/>
  <c r="C44" i="3"/>
  <c r="DN44" i="3" s="1" a="1"/>
  <c r="DN44" i="3" s="1"/>
  <c r="B44" i="3"/>
  <c r="A44" i="3"/>
  <c r="DY43" i="3"/>
  <c r="DY43" i="3" a="1"/>
  <c r="DV43" i="3"/>
  <c r="DT43" i="3" a="1"/>
  <c r="DT43" i="3" s="1"/>
  <c r="DS43" i="3"/>
  <c r="DS43" i="3" a="1"/>
  <c r="DP43" i="3"/>
  <c r="DN43" i="3" a="1"/>
  <c r="DN43" i="3" s="1"/>
  <c r="DK43" i="3"/>
  <c r="DJ43" i="3"/>
  <c r="DE43" i="3"/>
  <c r="DD43" i="3"/>
  <c r="DF43" i="3" s="1"/>
  <c r="DA43" i="3" a="1"/>
  <c r="DA43" i="3" s="1"/>
  <c r="CX43" i="3"/>
  <c r="CS43" i="3"/>
  <c r="CR43" i="3"/>
  <c r="CM43" i="3"/>
  <c r="CL43" i="3"/>
  <c r="CJ43" i="3" a="1"/>
  <c r="CJ43" i="3" s="1"/>
  <c r="CF43" i="3"/>
  <c r="CD43" i="3" a="1"/>
  <c r="CD43" i="3" s="1"/>
  <c r="CA43" i="3"/>
  <c r="BW43" i="3" a="1"/>
  <c r="BW43" i="3" s="1"/>
  <c r="BT43" i="3"/>
  <c r="BR43" i="3"/>
  <c r="BR43" i="3" a="1"/>
  <c r="BQ43" i="3" a="1"/>
  <c r="BQ43" i="3" s="1"/>
  <c r="BL43" i="3" a="1"/>
  <c r="BL43" i="3" s="1"/>
  <c r="BH43" i="3"/>
  <c r="BE43" i="3" a="1"/>
  <c r="BE43" i="3" s="1"/>
  <c r="BC43" i="3"/>
  <c r="BB43" i="3"/>
  <c r="BD43" i="3" s="1"/>
  <c r="AZ43" i="3"/>
  <c r="AZ43" i="3" a="1"/>
  <c r="AV43" i="3"/>
  <c r="AT43" i="3" a="1"/>
  <c r="AT43" i="3" s="1"/>
  <c r="AQ43" i="3"/>
  <c r="AQ43" i="3" a="1"/>
  <c r="AP43" i="3" a="1"/>
  <c r="AP43" i="3" s="1"/>
  <c r="AN43" i="3" a="1"/>
  <c r="AN43" i="3" s="1"/>
  <c r="AM43" i="3" a="1"/>
  <c r="AM43" i="3" s="1"/>
  <c r="AO43" i="3" s="1"/>
  <c r="AJ43" i="3"/>
  <c r="AH43" i="3" a="1"/>
  <c r="AH43" i="3" s="1"/>
  <c r="AE43" i="3"/>
  <c r="AA43" i="3"/>
  <c r="AA43" i="3" a="1"/>
  <c r="X43" i="3"/>
  <c r="V43" i="3" a="1"/>
  <c r="V43" i="3" s="1"/>
  <c r="U43" i="3"/>
  <c r="W43" i="3" s="1"/>
  <c r="U43" i="3" a="1"/>
  <c r="R43" i="3"/>
  <c r="P43" i="3" a="1"/>
  <c r="P43" i="3" s="1"/>
  <c r="M43" i="3"/>
  <c r="L43" i="3"/>
  <c r="N43" i="3" s="1"/>
  <c r="H43" i="3"/>
  <c r="G43" i="3"/>
  <c r="F43" i="3"/>
  <c r="E43" i="3"/>
  <c r="D43" i="3"/>
  <c r="C43" i="3"/>
  <c r="B43" i="3"/>
  <c r="A43" i="3"/>
  <c r="DP42" i="3"/>
  <c r="CV42" i="3" a="1"/>
  <c r="CV42" i="3" s="1"/>
  <c r="CU42" i="3" a="1"/>
  <c r="CU42" i="3" s="1"/>
  <c r="CW42" i="3" s="1"/>
  <c r="CD42" i="3" a="1"/>
  <c r="CD42" i="3" s="1"/>
  <c r="CC42" i="3" a="1"/>
  <c r="CC42" i="3" s="1"/>
  <c r="CE42" i="3" s="1"/>
  <c r="BI42" i="3"/>
  <c r="BH42" i="3"/>
  <c r="BJ42" i="3" s="1"/>
  <c r="AQ42" i="3" a="1"/>
  <c r="AQ42" i="3" s="1"/>
  <c r="AA42" i="3" a="1"/>
  <c r="AA42" i="3" s="1"/>
  <c r="Y42" i="3"/>
  <c r="I42" i="3"/>
  <c r="I42" i="3" a="1"/>
  <c r="E42" i="3"/>
  <c r="D42" i="3"/>
  <c r="C42" i="3"/>
  <c r="DH42" i="3" s="1" a="1"/>
  <c r="DH42" i="3" s="1"/>
  <c r="B42" i="3"/>
  <c r="A42" i="3"/>
  <c r="DZ41" i="3" a="1"/>
  <c r="DZ41" i="3" s="1"/>
  <c r="DY41" i="3"/>
  <c r="DY41" i="3" a="1"/>
  <c r="DT41" i="3" a="1"/>
  <c r="DT41" i="3" s="1"/>
  <c r="DS41" i="3"/>
  <c r="DU41" i="3" s="1"/>
  <c r="DS41" i="3" a="1"/>
  <c r="DN41" i="3" a="1"/>
  <c r="DN41" i="3" s="1"/>
  <c r="DM41" i="3" a="1"/>
  <c r="DM41" i="3" s="1"/>
  <c r="DJ41" i="3"/>
  <c r="DH41" i="3" a="1"/>
  <c r="DH41" i="3" s="1"/>
  <c r="DE41" i="3"/>
  <c r="DB41" i="3" a="1"/>
  <c r="DB41" i="3" s="1"/>
  <c r="CY41" i="3"/>
  <c r="CX41" i="3"/>
  <c r="CT41" i="3"/>
  <c r="CS41" i="3"/>
  <c r="CR41" i="3"/>
  <c r="CO41" i="3" a="1"/>
  <c r="CO41" i="3" s="1"/>
  <c r="CM41" i="3"/>
  <c r="CI41" i="3"/>
  <c r="CI41" i="3" a="1"/>
  <c r="CG41" i="3"/>
  <c r="CF41" i="3"/>
  <c r="CH41" i="3" s="1"/>
  <c r="CD41" i="3" a="1"/>
  <c r="CD41" i="3" s="1"/>
  <c r="CC41" i="3" a="1"/>
  <c r="CC41" i="3" s="1"/>
  <c r="CA41" i="3"/>
  <c r="BX41" i="3" a="1"/>
  <c r="BX41" i="3" s="1"/>
  <c r="BW41" i="3" a="1"/>
  <c r="BW41" i="3" s="1"/>
  <c r="BY41" i="3" s="1"/>
  <c r="BR41" i="3"/>
  <c r="BR41" i="3" a="1"/>
  <c r="BQ41" i="3" a="1"/>
  <c r="BQ41" i="3" s="1"/>
  <c r="BS41" i="3" s="1"/>
  <c r="BL41" i="3"/>
  <c r="BM41" i="3" s="1"/>
  <c r="BL41" i="3" a="1"/>
  <c r="BK41" i="3" a="1"/>
  <c r="BK41" i="3" s="1"/>
  <c r="BH41" i="3"/>
  <c r="BF41" i="3" a="1"/>
  <c r="BF41" i="3" s="1"/>
  <c r="BC41" i="3"/>
  <c r="AZ41" i="3" a="1"/>
  <c r="AZ41" i="3" s="1"/>
  <c r="AW41" i="3"/>
  <c r="AV41" i="3"/>
  <c r="AX41" i="3" s="1"/>
  <c r="AQ41" i="3" a="1"/>
  <c r="AQ41" i="3" s="1"/>
  <c r="AN41" i="3" a="1"/>
  <c r="AN41" i="3" s="1"/>
  <c r="AM41" i="3" a="1"/>
  <c r="AM41" i="3" s="1"/>
  <c r="AO41" i="3" s="1"/>
  <c r="AK41" i="3"/>
  <c r="AH41" i="3" a="1"/>
  <c r="AH41" i="3" s="1"/>
  <c r="AG41" i="3" a="1"/>
  <c r="AG41" i="3" s="1"/>
  <c r="AB41" i="3" a="1"/>
  <c r="AB41" i="3" s="1"/>
  <c r="AA41" i="3" a="1"/>
  <c r="AA41" i="3" s="1"/>
  <c r="AC41" i="3" s="1"/>
  <c r="V41" i="3" a="1"/>
  <c r="V41" i="3" s="1"/>
  <c r="R41" i="3"/>
  <c r="P41" i="3"/>
  <c r="P41" i="3" a="1"/>
  <c r="M41" i="3"/>
  <c r="L41" i="3"/>
  <c r="N41" i="3" s="1"/>
  <c r="J41" i="3" a="1"/>
  <c r="J41" i="3" s="1"/>
  <c r="G41" i="3"/>
  <c r="E41" i="3"/>
  <c r="D41" i="3"/>
  <c r="C41" i="3"/>
  <c r="B41" i="3"/>
  <c r="A41" i="3"/>
  <c r="DZ40" i="3" a="1"/>
  <c r="DZ40" i="3" s="1"/>
  <c r="DY40" i="3"/>
  <c r="DY40" i="3" a="1"/>
  <c r="DT40" i="3"/>
  <c r="DT40" i="3" a="1"/>
  <c r="DP40" i="3"/>
  <c r="DM40" i="3"/>
  <c r="DM40" i="3" a="1"/>
  <c r="DK40" i="3"/>
  <c r="DJ40" i="3"/>
  <c r="DH40" i="3" a="1"/>
  <c r="DH40" i="3" s="1"/>
  <c r="DD40" i="3"/>
  <c r="DB40" i="3"/>
  <c r="DB40" i="3" a="1"/>
  <c r="CY40" i="3"/>
  <c r="CX40" i="3"/>
  <c r="CZ40" i="3" s="1"/>
  <c r="CU40" i="3" a="1"/>
  <c r="CU40" i="3" s="1"/>
  <c r="CS40" i="3"/>
  <c r="CR40" i="3"/>
  <c r="CT40" i="3" s="1"/>
  <c r="CO40" i="3" a="1"/>
  <c r="CO40" i="3" s="1"/>
  <c r="CL40" i="3"/>
  <c r="CJ40" i="3" a="1"/>
  <c r="CJ40" i="3" s="1"/>
  <c r="CG40" i="3"/>
  <c r="CH40" i="3" s="1"/>
  <c r="CF40" i="3"/>
  <c r="CC40" i="3"/>
  <c r="CC40" i="3" a="1"/>
  <c r="CA40" i="3"/>
  <c r="BX40" i="3"/>
  <c r="BX40" i="3" a="1"/>
  <c r="BW40" i="3"/>
  <c r="BY40" i="3" s="1"/>
  <c r="BW40" i="3" a="1"/>
  <c r="BR40" i="3"/>
  <c r="BR40" i="3" a="1"/>
  <c r="BN40" i="3"/>
  <c r="BK40" i="3"/>
  <c r="BK40" i="3" a="1"/>
  <c r="BI40" i="3"/>
  <c r="BH40" i="3"/>
  <c r="BJ40" i="3" s="1"/>
  <c r="BF40" i="3"/>
  <c r="BF40" i="3" a="1"/>
  <c r="BB40" i="3"/>
  <c r="AZ40" i="3"/>
  <c r="AZ40" i="3" a="1"/>
  <c r="AX40" i="3"/>
  <c r="AW40" i="3"/>
  <c r="AV40" i="3"/>
  <c r="AS40" i="3" a="1"/>
  <c r="AS40" i="3" s="1"/>
  <c r="AQ40" i="3" a="1"/>
  <c r="AQ40" i="3" s="1"/>
  <c r="AP40" i="3" a="1"/>
  <c r="AP40" i="3" s="1"/>
  <c r="AN40" i="3" a="1"/>
  <c r="AN40" i="3" s="1"/>
  <c r="AK40" i="3"/>
  <c r="AG40" i="3"/>
  <c r="AG40" i="3" a="1"/>
  <c r="AD40" i="3"/>
  <c r="AB40" i="3"/>
  <c r="AB40" i="3" a="1"/>
  <c r="AA40" i="3"/>
  <c r="AA40" i="3" a="1"/>
  <c r="X40" i="3"/>
  <c r="V40" i="3"/>
  <c r="V40" i="3" a="1"/>
  <c r="S40" i="3"/>
  <c r="R40" i="3"/>
  <c r="T40" i="3" s="1"/>
  <c r="N40" i="3"/>
  <c r="M40" i="3"/>
  <c r="L40" i="3"/>
  <c r="J40" i="3"/>
  <c r="J40" i="3" a="1"/>
  <c r="I40" i="3" a="1"/>
  <c r="I40" i="3" s="1"/>
  <c r="F40" i="3"/>
  <c r="E40" i="3"/>
  <c r="D40" i="3"/>
  <c r="C40" i="3"/>
  <c r="B40" i="3"/>
  <c r="A40" i="3"/>
  <c r="DZ39" i="3" a="1"/>
  <c r="DZ39" i="3" s="1"/>
  <c r="DQ39" i="3"/>
  <c r="DM39" i="3" a="1"/>
  <c r="DM39" i="3" s="1"/>
  <c r="DK39" i="3"/>
  <c r="DE39" i="3"/>
  <c r="DD39" i="3"/>
  <c r="DF39" i="3" s="1"/>
  <c r="DB39" i="3" a="1"/>
  <c r="DB39" i="3" s="1"/>
  <c r="DA39" i="3" a="1"/>
  <c r="DA39" i="3" s="1"/>
  <c r="CV39" i="3" a="1"/>
  <c r="CV39" i="3" s="1"/>
  <c r="CU39" i="3" a="1"/>
  <c r="CU39" i="3" s="1"/>
  <c r="CW39" i="3" s="1"/>
  <c r="CO39" i="3"/>
  <c r="CO39" i="3" a="1"/>
  <c r="CF39" i="3"/>
  <c r="CD39" i="3" a="1"/>
  <c r="CD39" i="3" s="1"/>
  <c r="BX39" i="3"/>
  <c r="BX39" i="3" a="1"/>
  <c r="BU39" i="3"/>
  <c r="BT39" i="3"/>
  <c r="BV39" i="3" s="1"/>
  <c r="BO39" i="3"/>
  <c r="BP39" i="3" s="1"/>
  <c r="BN39" i="3"/>
  <c r="BI39" i="3"/>
  <c r="BE39" i="3" a="1"/>
  <c r="BE39" i="3" s="1"/>
  <c r="AZ39" i="3"/>
  <c r="AZ39" i="3" a="1"/>
  <c r="AY39" i="3" a="1"/>
  <c r="AY39" i="3" s="1"/>
  <c r="BA39" i="3" s="1"/>
  <c r="AT39" i="3" a="1"/>
  <c r="AT39" i="3" s="1"/>
  <c r="AN39" i="3" a="1"/>
  <c r="AN39" i="3" s="1"/>
  <c r="AM39" i="3" a="1"/>
  <c r="AM39" i="3" s="1"/>
  <c r="AO39" i="3" s="1"/>
  <c r="AH39" i="3"/>
  <c r="AH39" i="3" a="1"/>
  <c r="AE39" i="3"/>
  <c r="AA39" i="3" a="1"/>
  <c r="AA39" i="3" s="1"/>
  <c r="Y39" i="3"/>
  <c r="U39" i="3" a="1"/>
  <c r="U39" i="3" s="1"/>
  <c r="R39" i="3"/>
  <c r="M39" i="3"/>
  <c r="L39" i="3"/>
  <c r="N39" i="3" s="1"/>
  <c r="G39" i="3"/>
  <c r="E39" i="3"/>
  <c r="D39" i="3"/>
  <c r="C39" i="3"/>
  <c r="B39" i="3"/>
  <c r="A39" i="3"/>
  <c r="DY38" i="3" a="1"/>
  <c r="DY38" i="3" s="1"/>
  <c r="DQ38" i="3"/>
  <c r="DP38" i="3"/>
  <c r="DR38" i="3" s="1"/>
  <c r="DK38" i="3"/>
  <c r="DL38" i="3" s="1"/>
  <c r="DJ38" i="3"/>
  <c r="DH38" i="3" a="1"/>
  <c r="DH38" i="3" s="1"/>
  <c r="DB38" i="3" a="1"/>
  <c r="DB38" i="3" s="1"/>
  <c r="CX38" i="3"/>
  <c r="CU38" i="3" a="1"/>
  <c r="CU38" i="3" s="1"/>
  <c r="CR38" i="3"/>
  <c r="CP38" i="3" a="1"/>
  <c r="CP38" i="3" s="1"/>
  <c r="CO38" i="3"/>
  <c r="CO38" i="3" a="1"/>
  <c r="CJ38" i="3" a="1"/>
  <c r="CJ38" i="3" s="1"/>
  <c r="CG38" i="3"/>
  <c r="CF38" i="3"/>
  <c r="CC38" i="3" a="1"/>
  <c r="CC38" i="3" s="1"/>
  <c r="CA38" i="3"/>
  <c r="CB38" i="3" s="1"/>
  <c r="BZ38" i="3"/>
  <c r="BW38" i="3"/>
  <c r="BW38" i="3" a="1"/>
  <c r="BO38" i="3"/>
  <c r="BN38" i="3"/>
  <c r="BI38" i="3"/>
  <c r="BH38" i="3"/>
  <c r="BF38" i="3" a="1"/>
  <c r="BF38" i="3" s="1"/>
  <c r="AZ38" i="3" a="1"/>
  <c r="AZ38" i="3" s="1"/>
  <c r="AV38" i="3"/>
  <c r="AS38" i="3" a="1"/>
  <c r="AS38" i="3" s="1"/>
  <c r="AQ38" i="3" a="1"/>
  <c r="AQ38" i="3" s="1"/>
  <c r="AN38" i="3" a="1"/>
  <c r="AN38" i="3" s="1"/>
  <c r="AJ38" i="3"/>
  <c r="AG38" i="3" a="1"/>
  <c r="AG38" i="3" s="1"/>
  <c r="AD38" i="3"/>
  <c r="AB38" i="3" a="1"/>
  <c r="AB38" i="3" s="1"/>
  <c r="AA38" i="3"/>
  <c r="AA38" i="3" a="1"/>
  <c r="V38" i="3" a="1"/>
  <c r="V38" i="3" s="1"/>
  <c r="S38" i="3"/>
  <c r="R38" i="3"/>
  <c r="O38" i="3" a="1"/>
  <c r="O38" i="3" s="1"/>
  <c r="N38" i="3"/>
  <c r="M38" i="3"/>
  <c r="L38" i="3"/>
  <c r="I38" i="3"/>
  <c r="I38" i="3" a="1"/>
  <c r="E38" i="3"/>
  <c r="D38" i="3"/>
  <c r="C38" i="3"/>
  <c r="B38" i="3"/>
  <c r="A38" i="3"/>
  <c r="DZ37" i="3" a="1"/>
  <c r="DZ37" i="3" s="1"/>
  <c r="DT37" i="3" a="1"/>
  <c r="DT37" i="3" s="1"/>
  <c r="DG37" i="3" a="1"/>
  <c r="DG37" i="3" s="1"/>
  <c r="CY37" i="3"/>
  <c r="CX37" i="3"/>
  <c r="CL37" i="3"/>
  <c r="BR37" i="3" a="1"/>
  <c r="BR37" i="3" s="1"/>
  <c r="BK37" i="3" a="1"/>
  <c r="BK37" i="3" s="1"/>
  <c r="AW37" i="3"/>
  <c r="AP37" i="3" a="1"/>
  <c r="AP37" i="3" s="1"/>
  <c r="AE37" i="3"/>
  <c r="J37" i="3" a="1"/>
  <c r="J37" i="3" s="1"/>
  <c r="E37" i="3"/>
  <c r="D37" i="3"/>
  <c r="C37" i="3"/>
  <c r="B37" i="3"/>
  <c r="A37" i="3"/>
  <c r="DZ36" i="3"/>
  <c r="DZ36" i="3" a="1"/>
  <c r="DW36" i="3"/>
  <c r="DV36" i="3"/>
  <c r="DS36" i="3" a="1"/>
  <c r="DS36" i="3" s="1"/>
  <c r="DQ36" i="3"/>
  <c r="DP36" i="3"/>
  <c r="DN36" i="3" a="1"/>
  <c r="DN36" i="3" s="1"/>
  <c r="DM36" i="3"/>
  <c r="DO36" i="3" s="1"/>
  <c r="DM36" i="3" a="1"/>
  <c r="DH36" i="3"/>
  <c r="DH36" i="3" a="1"/>
  <c r="DE36" i="3"/>
  <c r="DD36" i="3"/>
  <c r="DA36" i="3" a="1"/>
  <c r="DA36" i="3" s="1"/>
  <c r="CZ36" i="3"/>
  <c r="CY36" i="3"/>
  <c r="CX36" i="3"/>
  <c r="CV36" i="3" a="1"/>
  <c r="CV36" i="3" s="1"/>
  <c r="CU36" i="3"/>
  <c r="CW36" i="3" s="1"/>
  <c r="CU36" i="3" a="1"/>
  <c r="CP36" i="3" a="1"/>
  <c r="CP36" i="3" s="1"/>
  <c r="CM36" i="3"/>
  <c r="CL36" i="3"/>
  <c r="CN36" i="3" s="1"/>
  <c r="CI36" i="3" a="1"/>
  <c r="CI36" i="3" s="1"/>
  <c r="CG36" i="3"/>
  <c r="CF36" i="3"/>
  <c r="CH36" i="3" s="1"/>
  <c r="CD36" i="3" a="1"/>
  <c r="CD36" i="3" s="1"/>
  <c r="CC36" i="3" a="1"/>
  <c r="CC36" i="3" s="1"/>
  <c r="CE36" i="3" s="1"/>
  <c r="BX36" i="3"/>
  <c r="BX36" i="3" a="1"/>
  <c r="BU36" i="3"/>
  <c r="BT36" i="3"/>
  <c r="BV36" i="3" s="1"/>
  <c r="BQ36" i="3" a="1"/>
  <c r="BQ36" i="3" s="1"/>
  <c r="BO36" i="3"/>
  <c r="BN36" i="3"/>
  <c r="BP36" i="3" s="1"/>
  <c r="BL36" i="3" a="1"/>
  <c r="BL36" i="3" s="1"/>
  <c r="BK36" i="3"/>
  <c r="BK36" i="3" a="1"/>
  <c r="BF36" i="3"/>
  <c r="BF36" i="3" a="1"/>
  <c r="BC36" i="3"/>
  <c r="BB36" i="3"/>
  <c r="AY36" i="3" a="1"/>
  <c r="AY36" i="3" s="1"/>
  <c r="AX36" i="3"/>
  <c r="AW36" i="3"/>
  <c r="AV36" i="3"/>
  <c r="AT36" i="3" a="1"/>
  <c r="AT36" i="3" s="1"/>
  <c r="AS36" i="3"/>
  <c r="AU36" i="3" s="1"/>
  <c r="AS36" i="3" a="1"/>
  <c r="AP36" i="3" a="1"/>
  <c r="AP36" i="3" s="1"/>
  <c r="AM36" i="3" a="1"/>
  <c r="AM36" i="3" s="1"/>
  <c r="AL36" i="3"/>
  <c r="AK36" i="3"/>
  <c r="AJ36" i="3"/>
  <c r="AH36" i="3" a="1"/>
  <c r="AH36" i="3" s="1"/>
  <c r="AG36" i="3" a="1"/>
  <c r="AG36" i="3" s="1"/>
  <c r="AI36" i="3" s="1"/>
  <c r="AB36" i="3" a="1"/>
  <c r="AB36" i="3" s="1"/>
  <c r="Y36" i="3"/>
  <c r="X36" i="3"/>
  <c r="Z36" i="3" s="1"/>
  <c r="U36" i="3" a="1"/>
  <c r="U36" i="3" s="1"/>
  <c r="T36" i="3"/>
  <c r="S36" i="3"/>
  <c r="R36" i="3"/>
  <c r="P36" i="3" a="1"/>
  <c r="P36" i="3" s="1"/>
  <c r="O36" i="3" a="1"/>
  <c r="O36" i="3" s="1"/>
  <c r="Q36" i="3" s="1"/>
  <c r="J36" i="3"/>
  <c r="J36" i="3" a="1"/>
  <c r="G36" i="3"/>
  <c r="F36" i="3"/>
  <c r="E36" i="3"/>
  <c r="D36" i="3"/>
  <c r="C36" i="3"/>
  <c r="DJ36" i="3" s="1"/>
  <c r="B36" i="3"/>
  <c r="A36" i="3"/>
  <c r="DZ35" i="3"/>
  <c r="DZ35" i="3" a="1"/>
  <c r="DW35" i="3"/>
  <c r="DX35" i="3" s="1"/>
  <c r="DV35" i="3"/>
  <c r="DS35" i="3"/>
  <c r="DS35" i="3" a="1"/>
  <c r="DQ35" i="3"/>
  <c r="DR35" i="3" s="1"/>
  <c r="DP35" i="3"/>
  <c r="DN35" i="3" a="1"/>
  <c r="DN35" i="3" s="1"/>
  <c r="DM35" i="3"/>
  <c r="DO35" i="3" s="1"/>
  <c r="DM35" i="3" a="1"/>
  <c r="DJ35" i="3"/>
  <c r="DH35" i="3" a="1"/>
  <c r="DH35" i="3" s="1"/>
  <c r="DE35" i="3"/>
  <c r="DD35" i="3"/>
  <c r="DF35" i="3" s="1"/>
  <c r="DA35" i="3" a="1"/>
  <c r="DA35" i="3" s="1"/>
  <c r="CY35" i="3"/>
  <c r="CZ35" i="3" s="1"/>
  <c r="CX35" i="3"/>
  <c r="CV35" i="3"/>
  <c r="CV35" i="3" a="1"/>
  <c r="CU35" i="3"/>
  <c r="CW35" i="3" s="1"/>
  <c r="CU35" i="3" a="1"/>
  <c r="CR35" i="3"/>
  <c r="CP35" i="3"/>
  <c r="CP35" i="3" a="1"/>
  <c r="CM35" i="3"/>
  <c r="CL35" i="3"/>
  <c r="CN35" i="3" s="1"/>
  <c r="CI35" i="3"/>
  <c r="CI35" i="3" a="1"/>
  <c r="CH35" i="3"/>
  <c r="CG35" i="3"/>
  <c r="CF35" i="3"/>
  <c r="CD35" i="3"/>
  <c r="CD35" i="3" a="1"/>
  <c r="CC35" i="3" a="1"/>
  <c r="CC35" i="3" s="1"/>
  <c r="BZ35" i="3"/>
  <c r="BX35" i="3"/>
  <c r="BX35" i="3" a="1"/>
  <c r="BU35" i="3"/>
  <c r="BT35" i="3"/>
  <c r="BQ35" i="3"/>
  <c r="BQ35" i="3" a="1"/>
  <c r="BO35" i="3"/>
  <c r="BP35" i="3" s="1"/>
  <c r="BN35" i="3"/>
  <c r="BL35" i="3"/>
  <c r="BL35" i="3" a="1"/>
  <c r="BK35" i="3"/>
  <c r="BK35" i="3" a="1"/>
  <c r="BH35" i="3"/>
  <c r="BF35" i="3"/>
  <c r="BF35" i="3" a="1"/>
  <c r="BC35" i="3"/>
  <c r="BB35" i="3"/>
  <c r="BD35" i="3" s="1"/>
  <c r="AY35" i="3" a="1"/>
  <c r="AY35" i="3" s="1"/>
  <c r="AX35" i="3"/>
  <c r="AW35" i="3"/>
  <c r="AV35" i="3"/>
  <c r="AT35" i="3"/>
  <c r="AT35" i="3" a="1"/>
  <c r="AS35" i="3" a="1"/>
  <c r="AS35" i="3" s="1"/>
  <c r="AQ35" i="3" a="1"/>
  <c r="AQ35" i="3" s="1"/>
  <c r="AP35" i="3" a="1"/>
  <c r="AP35" i="3" s="1"/>
  <c r="AR35" i="3" s="1"/>
  <c r="AM35" i="3" a="1"/>
  <c r="AM35" i="3" s="1"/>
  <c r="AK35" i="3"/>
  <c r="AJ35" i="3"/>
  <c r="AL35" i="3" s="1"/>
  <c r="AH35" i="3"/>
  <c r="AH35" i="3" a="1"/>
  <c r="AG35" i="3"/>
  <c r="AI35" i="3" s="1"/>
  <c r="AG35" i="3" a="1"/>
  <c r="AD35" i="3"/>
  <c r="AB35" i="3" a="1"/>
  <c r="AB35" i="3" s="1"/>
  <c r="Z35" i="3"/>
  <c r="Y35" i="3"/>
  <c r="X35" i="3"/>
  <c r="U35" i="3"/>
  <c r="U35" i="3" a="1"/>
  <c r="T35" i="3"/>
  <c r="S35" i="3"/>
  <c r="R35" i="3"/>
  <c r="P35" i="3" a="1"/>
  <c r="P35" i="3" s="1"/>
  <c r="O35" i="3"/>
  <c r="Q35" i="3" s="1"/>
  <c r="O35" i="3" a="1"/>
  <c r="L35" i="3"/>
  <c r="J35" i="3" a="1"/>
  <c r="J35" i="3" s="1"/>
  <c r="G35" i="3"/>
  <c r="F35" i="3"/>
  <c r="E35" i="3"/>
  <c r="D35" i="3"/>
  <c r="C35" i="3"/>
  <c r="DY35" i="3" s="1" a="1"/>
  <c r="DY35" i="3" s="1"/>
  <c r="EA35" i="3" s="1"/>
  <c r="B35" i="3"/>
  <c r="A35" i="3"/>
  <c r="DZ34" i="3"/>
  <c r="DZ34" i="3" a="1"/>
  <c r="DY34" i="3" a="1"/>
  <c r="DY34" i="3" s="1"/>
  <c r="DW34" i="3"/>
  <c r="DT34" i="3" a="1"/>
  <c r="DT34" i="3" s="1"/>
  <c r="DU34" i="3" s="1"/>
  <c r="DS34" i="3"/>
  <c r="DS34" i="3" a="1"/>
  <c r="DN34" i="3" a="1"/>
  <c r="DN34" i="3" s="1"/>
  <c r="DM34" i="3"/>
  <c r="DO34" i="3" s="1"/>
  <c r="DM34" i="3" a="1"/>
  <c r="DJ34" i="3"/>
  <c r="DH34" i="3" a="1"/>
  <c r="DH34" i="3" s="1"/>
  <c r="DI34" i="3" s="1"/>
  <c r="DG34" i="3" a="1"/>
  <c r="DG34" i="3" s="1"/>
  <c r="DE34" i="3"/>
  <c r="DD34" i="3"/>
  <c r="DB34" i="3" a="1"/>
  <c r="DB34" i="3" s="1"/>
  <c r="CY34" i="3"/>
  <c r="CW34" i="3"/>
  <c r="CV34" i="3"/>
  <c r="CV34" i="3" a="1"/>
  <c r="CU34" i="3" a="1"/>
  <c r="CU34" i="3" s="1"/>
  <c r="CS34" i="3"/>
  <c r="CR34" i="3"/>
  <c r="CO34" i="3" a="1"/>
  <c r="CO34" i="3" s="1"/>
  <c r="CM34" i="3"/>
  <c r="CL34" i="3"/>
  <c r="CN34" i="3" s="1"/>
  <c r="CI34" i="3"/>
  <c r="CI34" i="3" a="1"/>
  <c r="CG34" i="3"/>
  <c r="CD34" i="3" a="1"/>
  <c r="CD34" i="3" s="1"/>
  <c r="CC34" i="3"/>
  <c r="CE34" i="3" s="1"/>
  <c r="CC34" i="3" a="1"/>
  <c r="CA34" i="3"/>
  <c r="BZ34" i="3"/>
  <c r="BX34" i="3" a="1"/>
  <c r="BX34" i="3" s="1"/>
  <c r="BW34" i="3" a="1"/>
  <c r="BW34" i="3" s="1"/>
  <c r="BY34" i="3" s="1"/>
  <c r="BU34" i="3"/>
  <c r="BR34" i="3" a="1"/>
  <c r="BR34" i="3" s="1"/>
  <c r="BQ34" i="3" a="1"/>
  <c r="BQ34" i="3" s="1"/>
  <c r="BS34" i="3" s="1"/>
  <c r="BL34" i="3"/>
  <c r="BM34" i="3" s="1"/>
  <c r="BL34" i="3" a="1"/>
  <c r="BK34" i="3"/>
  <c r="BK34" i="3" a="1"/>
  <c r="BH34" i="3"/>
  <c r="BF34" i="3"/>
  <c r="BG34" i="3" s="1"/>
  <c r="BF34" i="3" a="1"/>
  <c r="BE34" i="3" a="1"/>
  <c r="BE34" i="3" s="1"/>
  <c r="BC34" i="3"/>
  <c r="BB34" i="3"/>
  <c r="BD34" i="3" s="1"/>
  <c r="AZ34" i="3" a="1"/>
  <c r="AZ34" i="3" s="1"/>
  <c r="AW34" i="3"/>
  <c r="AT34" i="3"/>
  <c r="AT34" i="3" a="1"/>
  <c r="AS34" i="3" a="1"/>
  <c r="AS34" i="3" s="1"/>
  <c r="AQ34" i="3"/>
  <c r="AQ34" i="3" a="1"/>
  <c r="AP34" i="3" a="1"/>
  <c r="AP34" i="3" s="1"/>
  <c r="AR34" i="3" s="1"/>
  <c r="AN34" i="3" a="1"/>
  <c r="AN34" i="3" s="1"/>
  <c r="AM34" i="3"/>
  <c r="AM34" i="3" a="1"/>
  <c r="AK34" i="3"/>
  <c r="AH34" i="3" a="1"/>
  <c r="AH34" i="3" s="1"/>
  <c r="AG34" i="3"/>
  <c r="AG34" i="3" a="1"/>
  <c r="AE34" i="3"/>
  <c r="AB34" i="3" a="1"/>
  <c r="AB34" i="3" s="1"/>
  <c r="AC34" i="3" s="1"/>
  <c r="AA34" i="3" a="1"/>
  <c r="AA34" i="3" s="1"/>
  <c r="X34" i="3"/>
  <c r="V34" i="3" a="1"/>
  <c r="V34" i="3" s="1"/>
  <c r="U34" i="3"/>
  <c r="W34" i="3" s="1"/>
  <c r="U34" i="3" a="1"/>
  <c r="S34" i="3"/>
  <c r="P34" i="3" a="1"/>
  <c r="P34" i="3" s="1"/>
  <c r="M34" i="3"/>
  <c r="L34" i="3"/>
  <c r="N34" i="3" s="1"/>
  <c r="J34" i="3"/>
  <c r="J34" i="3" a="1"/>
  <c r="G34" i="3"/>
  <c r="F34" i="3"/>
  <c r="H34" i="3" s="1"/>
  <c r="E34" i="3"/>
  <c r="D34" i="3"/>
  <c r="C34" i="3"/>
  <c r="B34" i="3"/>
  <c r="A34" i="3"/>
  <c r="DP33" i="3"/>
  <c r="DA33" i="3" a="1"/>
  <c r="DA33" i="3" s="1"/>
  <c r="CS33" i="3"/>
  <c r="CI33" i="3" a="1"/>
  <c r="CI33" i="3" s="1"/>
  <c r="BT33" i="3"/>
  <c r="BR33" i="3" a="1"/>
  <c r="BR33" i="3" s="1"/>
  <c r="BI33" i="3"/>
  <c r="AV33" i="3"/>
  <c r="AH33" i="3" a="1"/>
  <c r="AH33" i="3" s="1"/>
  <c r="Y33" i="3"/>
  <c r="I33" i="3" a="1"/>
  <c r="I33" i="3" s="1"/>
  <c r="E33" i="3"/>
  <c r="D33" i="3"/>
  <c r="C33" i="3"/>
  <c r="DW33" i="3" s="1"/>
  <c r="B33" i="3"/>
  <c r="A33" i="3"/>
  <c r="DY32" i="3" a="1"/>
  <c r="DY32" i="3" s="1"/>
  <c r="DW32" i="3"/>
  <c r="DS32" i="3" a="1"/>
  <c r="DS32" i="3" s="1"/>
  <c r="DQ32" i="3"/>
  <c r="DP32" i="3"/>
  <c r="DR32" i="3" s="1"/>
  <c r="DN32" i="3" a="1"/>
  <c r="DN32" i="3" s="1"/>
  <c r="DM32" i="3" a="1"/>
  <c r="DM32" i="3" s="1"/>
  <c r="DK32" i="3"/>
  <c r="DH32" i="3" a="1"/>
  <c r="DH32" i="3" s="1"/>
  <c r="DG32" i="3" a="1"/>
  <c r="DG32" i="3" s="1"/>
  <c r="DI32" i="3" s="1"/>
  <c r="DB32" i="3" a="1"/>
  <c r="DB32" i="3" s="1"/>
  <c r="DA32" i="3" a="1"/>
  <c r="DA32" i="3" s="1"/>
  <c r="DC32" i="3" s="1"/>
  <c r="CV32" i="3"/>
  <c r="CV32" i="3" a="1"/>
  <c r="CU32" i="3" a="1"/>
  <c r="CU32" i="3" s="1"/>
  <c r="CW32" i="3" s="1"/>
  <c r="CR32" i="3"/>
  <c r="CP32" i="3" a="1"/>
  <c r="CP32" i="3" s="1"/>
  <c r="CM32" i="3"/>
  <c r="CJ32" i="3"/>
  <c r="CJ32" i="3" a="1"/>
  <c r="CG32" i="3"/>
  <c r="CF32" i="3"/>
  <c r="CA32" i="3"/>
  <c r="BZ32" i="3"/>
  <c r="CB32" i="3" s="1"/>
  <c r="BW32" i="3" a="1"/>
  <c r="BW32" i="3" s="1"/>
  <c r="BU32" i="3"/>
  <c r="BQ32" i="3"/>
  <c r="BQ32" i="3" a="1"/>
  <c r="BO32" i="3"/>
  <c r="BN32" i="3"/>
  <c r="BP32" i="3" s="1"/>
  <c r="BL32" i="3" a="1"/>
  <c r="BL32" i="3" s="1"/>
  <c r="BK32" i="3" a="1"/>
  <c r="BK32" i="3" s="1"/>
  <c r="BM32" i="3" s="1"/>
  <c r="BI32" i="3"/>
  <c r="BF32" i="3" a="1"/>
  <c r="BF32" i="3" s="1"/>
  <c r="BE32" i="3"/>
  <c r="BG32" i="3" s="1"/>
  <c r="BE32" i="3" a="1"/>
  <c r="AZ32" i="3"/>
  <c r="AZ32" i="3" a="1"/>
  <c r="AY32" i="3" a="1"/>
  <c r="AY32" i="3" s="1"/>
  <c r="AT32" i="3" a="1"/>
  <c r="AT32" i="3" s="1"/>
  <c r="AS32" i="3" a="1"/>
  <c r="AS32" i="3" s="1"/>
  <c r="AQ32" i="3" a="1"/>
  <c r="AQ32" i="3" s="1"/>
  <c r="AM32" i="3" a="1"/>
  <c r="AM32" i="3" s="1"/>
  <c r="AK32" i="3"/>
  <c r="AJ32" i="3"/>
  <c r="AG32" i="3" a="1"/>
  <c r="AG32" i="3" s="1"/>
  <c r="AE32" i="3"/>
  <c r="AF32" i="3" s="1"/>
  <c r="AD32" i="3"/>
  <c r="AA32" i="3" a="1"/>
  <c r="AA32" i="3" s="1"/>
  <c r="Y32" i="3"/>
  <c r="V32" i="3" a="1"/>
  <c r="V32" i="3" s="1"/>
  <c r="U32" i="3"/>
  <c r="U32" i="3" a="1"/>
  <c r="S32" i="3"/>
  <c r="P32" i="3"/>
  <c r="P32" i="3" a="1"/>
  <c r="O32" i="3" a="1"/>
  <c r="O32" i="3" s="1"/>
  <c r="J32" i="3" a="1"/>
  <c r="J32" i="3" s="1"/>
  <c r="G32" i="3"/>
  <c r="F32" i="3"/>
  <c r="E32" i="3"/>
  <c r="D32" i="3"/>
  <c r="C32" i="3"/>
  <c r="B32" i="3"/>
  <c r="A32" i="3"/>
  <c r="DZ31" i="3"/>
  <c r="EA31" i="3" s="1"/>
  <c r="DZ31" i="3" a="1"/>
  <c r="DW31" i="3"/>
  <c r="DV31" i="3"/>
  <c r="DS31" i="3"/>
  <c r="DS31" i="3" a="1"/>
  <c r="DQ31" i="3"/>
  <c r="DR31" i="3" s="1"/>
  <c r="DP31" i="3"/>
  <c r="DN31" i="3"/>
  <c r="DN31" i="3" a="1"/>
  <c r="DM31" i="3"/>
  <c r="DM31" i="3" a="1"/>
  <c r="DJ31" i="3"/>
  <c r="DH31" i="3"/>
  <c r="DH31" i="3" a="1"/>
  <c r="DE31" i="3"/>
  <c r="DD31" i="3"/>
  <c r="DF31" i="3" s="1"/>
  <c r="DA31" i="3"/>
  <c r="DA31" i="3" a="1"/>
  <c r="CZ31" i="3"/>
  <c r="CY31" i="3"/>
  <c r="CX31" i="3"/>
  <c r="CV31" i="3" a="1"/>
  <c r="CV31" i="3" s="1"/>
  <c r="CU31" i="3"/>
  <c r="CU31" i="3" a="1"/>
  <c r="CR31" i="3"/>
  <c r="CP31" i="3" a="1"/>
  <c r="CP31" i="3" s="1"/>
  <c r="CN31" i="3"/>
  <c r="CM31" i="3"/>
  <c r="CL31" i="3"/>
  <c r="CI31" i="3" a="1"/>
  <c r="CI31" i="3" s="1"/>
  <c r="CH31" i="3"/>
  <c r="CG31" i="3"/>
  <c r="CF31" i="3"/>
  <c r="CD31" i="3"/>
  <c r="CD31" i="3" a="1"/>
  <c r="CC31" i="3"/>
  <c r="CC31" i="3" a="1"/>
  <c r="BZ31" i="3"/>
  <c r="BX31" i="3" a="1"/>
  <c r="BX31" i="3" s="1"/>
  <c r="BU31" i="3"/>
  <c r="BV31" i="3" s="1"/>
  <c r="BT31" i="3"/>
  <c r="BQ31" i="3" a="1"/>
  <c r="BQ31" i="3" s="1"/>
  <c r="BP31" i="3"/>
  <c r="BO31" i="3"/>
  <c r="BN31" i="3"/>
  <c r="BL31" i="3" a="1"/>
  <c r="BL31" i="3" s="1"/>
  <c r="BK31" i="3" a="1"/>
  <c r="BK31" i="3" s="1"/>
  <c r="BM31" i="3" s="1"/>
  <c r="BH31" i="3"/>
  <c r="BF31" i="3" a="1"/>
  <c r="BF31" i="3" s="1"/>
  <c r="BD31" i="3"/>
  <c r="BC31" i="3"/>
  <c r="BB31" i="3"/>
  <c r="AY31" i="3" a="1"/>
  <c r="AY31" i="3" s="1"/>
  <c r="AX31" i="3"/>
  <c r="AW31" i="3"/>
  <c r="AV31" i="3"/>
  <c r="AT31" i="3"/>
  <c r="AT31" i="3" a="1"/>
  <c r="AS31" i="3" a="1"/>
  <c r="AS31" i="3" s="1"/>
  <c r="AU31" i="3" s="1"/>
  <c r="AQ31" i="3" a="1"/>
  <c r="AQ31" i="3" s="1"/>
  <c r="AP31" i="3" a="1"/>
  <c r="AP31" i="3" s="1"/>
  <c r="AR31" i="3" s="1"/>
  <c r="AM31" i="3" a="1"/>
  <c r="AM31" i="3" s="1"/>
  <c r="AL31" i="3"/>
  <c r="AK31" i="3"/>
  <c r="AJ31" i="3"/>
  <c r="AH31" i="3" a="1"/>
  <c r="AH31" i="3" s="1"/>
  <c r="AG31" i="3" a="1"/>
  <c r="AG31" i="3" s="1"/>
  <c r="AI31" i="3" s="1"/>
  <c r="AD31" i="3"/>
  <c r="AB31" i="3" a="1"/>
  <c r="AB31" i="3" s="1"/>
  <c r="Z31" i="3"/>
  <c r="Y31" i="3"/>
  <c r="X31" i="3"/>
  <c r="U31" i="3" a="1"/>
  <c r="U31" i="3" s="1"/>
  <c r="T31" i="3"/>
  <c r="S31" i="3"/>
  <c r="R31" i="3"/>
  <c r="P31" i="3"/>
  <c r="P31" i="3" a="1"/>
  <c r="O31" i="3" a="1"/>
  <c r="O31" i="3" s="1"/>
  <c r="Q31" i="3" s="1"/>
  <c r="L31" i="3"/>
  <c r="J31" i="3"/>
  <c r="J31" i="3" a="1"/>
  <c r="G31" i="3"/>
  <c r="F31" i="3"/>
  <c r="E31" i="3"/>
  <c r="D31" i="3"/>
  <c r="C31" i="3"/>
  <c r="DY31" i="3" s="1" a="1"/>
  <c r="DY31" i="3" s="1"/>
  <c r="B31" i="3"/>
  <c r="A31" i="3"/>
  <c r="DY30" i="3" a="1"/>
  <c r="DY30" i="3" s="1"/>
  <c r="DT30" i="3" a="1"/>
  <c r="DT30" i="3" s="1"/>
  <c r="DN30" i="3" a="1"/>
  <c r="DN30" i="3" s="1"/>
  <c r="DK30" i="3"/>
  <c r="DJ30" i="3"/>
  <c r="DL30" i="3" s="1"/>
  <c r="DE30" i="3"/>
  <c r="DD30" i="3"/>
  <c r="DF30" i="3" s="1"/>
  <c r="DA30" i="3" a="1"/>
  <c r="DA30" i="3" s="1"/>
  <c r="CS30" i="3"/>
  <c r="CR30" i="3"/>
  <c r="CT30" i="3" s="1"/>
  <c r="CJ30" i="3" a="1"/>
  <c r="CJ30" i="3" s="1"/>
  <c r="BW30" i="3" a="1"/>
  <c r="BW30" i="3" s="1"/>
  <c r="BQ30" i="3" a="1"/>
  <c r="BQ30" i="3" s="1"/>
  <c r="BL30" i="3" a="1"/>
  <c r="BL30" i="3" s="1"/>
  <c r="BE30" i="3" a="1"/>
  <c r="BE30" i="3" s="1"/>
  <c r="BD30" i="3"/>
  <c r="BC30" i="3"/>
  <c r="BB30" i="3"/>
  <c r="AQ30" i="3"/>
  <c r="AQ30" i="3" a="1"/>
  <c r="AM30" i="3" a="1"/>
  <c r="AM30" i="3" s="1"/>
  <c r="Y30" i="3"/>
  <c r="X30" i="3"/>
  <c r="P30" i="3"/>
  <c r="P30" i="3" a="1"/>
  <c r="I30" i="3" a="1"/>
  <c r="I30" i="3" s="1"/>
  <c r="E30" i="3"/>
  <c r="D30" i="3"/>
  <c r="C30" i="3"/>
  <c r="B30" i="3"/>
  <c r="A30" i="3"/>
  <c r="DW29" i="3"/>
  <c r="DT29" i="3"/>
  <c r="DT29" i="3" a="1"/>
  <c r="DP29" i="3"/>
  <c r="DN29" i="3" a="1"/>
  <c r="DN29" i="3" s="1"/>
  <c r="DJ29" i="3"/>
  <c r="DG29" i="3"/>
  <c r="DG29" i="3" a="1"/>
  <c r="DB29" i="3" a="1"/>
  <c r="DB29" i="3" s="1"/>
  <c r="DA29" i="3"/>
  <c r="DA29" i="3" a="1"/>
  <c r="CV29" i="3"/>
  <c r="CV29" i="3" a="1"/>
  <c r="CS29" i="3"/>
  <c r="CO29" i="3"/>
  <c r="CO29" i="3" a="1"/>
  <c r="CM29" i="3"/>
  <c r="CI29" i="3" a="1"/>
  <c r="CI29" i="3" s="1"/>
  <c r="CF29" i="3"/>
  <c r="CB29" i="3"/>
  <c r="CA29" i="3"/>
  <c r="BZ29" i="3"/>
  <c r="BU29" i="3"/>
  <c r="BR29" i="3"/>
  <c r="BR29" i="3" a="1"/>
  <c r="BN29" i="3"/>
  <c r="BL29" i="3"/>
  <c r="BL29" i="3" a="1"/>
  <c r="BH29" i="3"/>
  <c r="BE29" i="3" a="1"/>
  <c r="BE29" i="3" s="1"/>
  <c r="AZ29" i="3" a="1"/>
  <c r="AZ29" i="3" s="1"/>
  <c r="AY29" i="3"/>
  <c r="AY29" i="3" a="1"/>
  <c r="AT29" i="3" a="1"/>
  <c r="AT29" i="3" s="1"/>
  <c r="AN29" i="3"/>
  <c r="AN29" i="3" a="1"/>
  <c r="AM29" i="3" a="1"/>
  <c r="AM29" i="3" s="1"/>
  <c r="AO29" i="3" s="1"/>
  <c r="AH29" i="3" a="1"/>
  <c r="AH29" i="3" s="1"/>
  <c r="AE29" i="3"/>
  <c r="AA29" i="3" a="1"/>
  <c r="AA29" i="3" s="1"/>
  <c r="Y29" i="3"/>
  <c r="U29" i="3"/>
  <c r="U29" i="3" a="1"/>
  <c r="R29" i="3"/>
  <c r="M29" i="3"/>
  <c r="N29" i="3" s="1"/>
  <c r="L29" i="3"/>
  <c r="G29" i="3"/>
  <c r="E29" i="3"/>
  <c r="D29" i="3"/>
  <c r="C29" i="3"/>
  <c r="B29" i="3"/>
  <c r="A29" i="3"/>
  <c r="DY28" i="3"/>
  <c r="DY28" i="3" a="1"/>
  <c r="DQ28" i="3"/>
  <c r="DP28" i="3"/>
  <c r="DK28" i="3"/>
  <c r="DJ28" i="3"/>
  <c r="DL28" i="3" s="1"/>
  <c r="DH28" i="3" a="1"/>
  <c r="DH28" i="3" s="1"/>
  <c r="DB28" i="3" a="1"/>
  <c r="DB28" i="3" s="1"/>
  <c r="CX28" i="3"/>
  <c r="CU28" i="3" a="1"/>
  <c r="CU28" i="3" s="1"/>
  <c r="CR28" i="3"/>
  <c r="CP28" i="3" a="1"/>
  <c r="CP28" i="3" s="1"/>
  <c r="CO28" i="3" a="1"/>
  <c r="CO28" i="3" s="1"/>
  <c r="CQ28" i="3" s="1"/>
  <c r="CJ28" i="3"/>
  <c r="CJ28" i="3" a="1"/>
  <c r="CG28" i="3"/>
  <c r="CF28" i="3"/>
  <c r="CC28" i="3" a="1"/>
  <c r="CC28" i="3" s="1"/>
  <c r="CB28" i="3"/>
  <c r="CA28" i="3"/>
  <c r="BZ28" i="3"/>
  <c r="BW28" i="3" a="1"/>
  <c r="BW28" i="3" s="1"/>
  <c r="BO28" i="3"/>
  <c r="BN28" i="3"/>
  <c r="BP28" i="3" s="1"/>
  <c r="BJ28" i="3"/>
  <c r="BI28" i="3"/>
  <c r="BH28" i="3"/>
  <c r="BF28" i="3" a="1"/>
  <c r="BF28" i="3" s="1"/>
  <c r="AZ28" i="3"/>
  <c r="AZ28" i="3" a="1"/>
  <c r="AV28" i="3"/>
  <c r="AS28" i="3" a="1"/>
  <c r="AS28" i="3" s="1"/>
  <c r="AQ28" i="3" a="1"/>
  <c r="AQ28" i="3" s="1"/>
  <c r="AN28" i="3" a="1"/>
  <c r="AN28" i="3" s="1"/>
  <c r="AJ28" i="3"/>
  <c r="AG28" i="3" a="1"/>
  <c r="AG28" i="3" s="1"/>
  <c r="AD28" i="3"/>
  <c r="AB28" i="3" a="1"/>
  <c r="AB28" i="3" s="1"/>
  <c r="AA28" i="3" a="1"/>
  <c r="AA28" i="3" s="1"/>
  <c r="AC28" i="3" s="1"/>
  <c r="V28" i="3"/>
  <c r="V28" i="3" a="1"/>
  <c r="S28" i="3"/>
  <c r="R28" i="3"/>
  <c r="O28" i="3" a="1"/>
  <c r="O28" i="3" s="1"/>
  <c r="N28" i="3"/>
  <c r="M28" i="3"/>
  <c r="L28" i="3"/>
  <c r="I28" i="3" a="1"/>
  <c r="I28" i="3" s="1"/>
  <c r="E28" i="3"/>
  <c r="D28" i="3"/>
  <c r="C28" i="3"/>
  <c r="B28" i="3"/>
  <c r="A28" i="3"/>
  <c r="DZ27" i="3" a="1"/>
  <c r="DZ27" i="3" s="1"/>
  <c r="DY27" i="3" a="1"/>
  <c r="DY27" i="3" s="1"/>
  <c r="DT27" i="3"/>
  <c r="DT27" i="3" a="1"/>
  <c r="DQ27" i="3"/>
  <c r="DM27" i="3" a="1"/>
  <c r="DM27" i="3" s="1"/>
  <c r="DK27" i="3"/>
  <c r="DG27" i="3" a="1"/>
  <c r="DG27" i="3" s="1"/>
  <c r="DD27" i="3"/>
  <c r="CY27" i="3"/>
  <c r="CS27" i="3"/>
  <c r="CP27" i="3"/>
  <c r="CP27" i="3" a="1"/>
  <c r="CJ27" i="3" a="1"/>
  <c r="CJ27" i="3" s="1"/>
  <c r="CF27" i="3"/>
  <c r="CC27" i="3" a="1"/>
  <c r="CC27" i="3" s="1"/>
  <c r="BX27" i="3" a="1"/>
  <c r="BX27" i="3" s="1"/>
  <c r="BW27" i="3"/>
  <c r="BW27" i="3" a="1"/>
  <c r="BR27" i="3" a="1"/>
  <c r="BR27" i="3" s="1"/>
  <c r="BO27" i="3"/>
  <c r="BK27" i="3"/>
  <c r="BK27" i="3" a="1"/>
  <c r="BI27" i="3"/>
  <c r="BE27" i="3" a="1"/>
  <c r="BE27" i="3" s="1"/>
  <c r="BB27" i="3"/>
  <c r="AW27" i="3"/>
  <c r="AV27" i="3"/>
  <c r="AX27" i="3" s="1"/>
  <c r="AK27" i="3"/>
  <c r="AL27" i="3" s="1"/>
  <c r="AJ27" i="3"/>
  <c r="AE27" i="3"/>
  <c r="AB27" i="3" a="1"/>
  <c r="AB27" i="3" s="1"/>
  <c r="X27" i="3"/>
  <c r="V27" i="3" a="1"/>
  <c r="V27" i="3" s="1"/>
  <c r="R27" i="3"/>
  <c r="O27" i="3"/>
  <c r="O27" i="3" a="1"/>
  <c r="J27" i="3" a="1"/>
  <c r="J27" i="3" s="1"/>
  <c r="I27" i="3" a="1"/>
  <c r="I27" i="3" s="1"/>
  <c r="E27" i="3"/>
  <c r="D27" i="3"/>
  <c r="C27" i="3"/>
  <c r="B27" i="3"/>
  <c r="A27" i="3"/>
  <c r="DV26" i="3"/>
  <c r="DA26" i="3" a="1"/>
  <c r="DA26" i="3" s="1"/>
  <c r="CG26" i="3"/>
  <c r="BU26" i="3"/>
  <c r="BN26" i="3"/>
  <c r="AS26" i="3" a="1"/>
  <c r="AS26" i="3" s="1"/>
  <c r="AA26" i="3" a="1"/>
  <c r="AA26" i="3" s="1"/>
  <c r="Y26" i="3"/>
  <c r="J26" i="3" a="1"/>
  <c r="J26" i="3" s="1"/>
  <c r="E26" i="3"/>
  <c r="D26" i="3"/>
  <c r="C26" i="3"/>
  <c r="B26" i="3"/>
  <c r="A26" i="3"/>
  <c r="DZ25" i="3"/>
  <c r="DZ25" i="3" a="1"/>
  <c r="DY25" i="3"/>
  <c r="DX25" i="3"/>
  <c r="DW25" i="3"/>
  <c r="DV25" i="3"/>
  <c r="DS25" i="3"/>
  <c r="DS25" i="3" a="1"/>
  <c r="DQ25" i="3"/>
  <c r="DP25" i="3"/>
  <c r="DR25" i="3" s="1"/>
  <c r="DN25" i="3"/>
  <c r="DN25" i="3" a="1"/>
  <c r="DM25" i="3"/>
  <c r="DM25" i="3" a="1"/>
  <c r="DJ25" i="3"/>
  <c r="DH25" i="3"/>
  <c r="DH25" i="3" a="1"/>
  <c r="DE25" i="3"/>
  <c r="DD25" i="3"/>
  <c r="DA25" i="3"/>
  <c r="DA25" i="3" a="1"/>
  <c r="CY25" i="3"/>
  <c r="CX25" i="3"/>
  <c r="CZ25" i="3" s="1"/>
  <c r="CV25" i="3"/>
  <c r="CV25" i="3" a="1"/>
  <c r="CU25" i="3" a="1"/>
  <c r="CU25" i="3" s="1"/>
  <c r="CW25" i="3" s="1"/>
  <c r="CR25" i="3"/>
  <c r="CP25" i="3"/>
  <c r="CP25" i="3" a="1"/>
  <c r="CM25" i="3"/>
  <c r="CL25" i="3"/>
  <c r="CN25" i="3" s="1"/>
  <c r="CI25" i="3"/>
  <c r="CI25" i="3" a="1"/>
  <c r="CH25" i="3"/>
  <c r="CG25" i="3"/>
  <c r="CF25" i="3"/>
  <c r="CD25" i="3" a="1"/>
  <c r="CD25" i="3" s="1"/>
  <c r="CC25" i="3"/>
  <c r="CE25" i="3" s="1"/>
  <c r="CC25" i="3" a="1"/>
  <c r="BZ25" i="3"/>
  <c r="BX25" i="3" a="1"/>
  <c r="BX25" i="3" s="1"/>
  <c r="BV25" i="3"/>
  <c r="BU25" i="3"/>
  <c r="BT25" i="3"/>
  <c r="BQ25" i="3" a="1"/>
  <c r="BQ25" i="3" s="1"/>
  <c r="BO25" i="3"/>
  <c r="BN25" i="3"/>
  <c r="BP25" i="3" s="1"/>
  <c r="BL25" i="3" a="1"/>
  <c r="BL25" i="3" s="1"/>
  <c r="BK25" i="3"/>
  <c r="BK25" i="3" a="1"/>
  <c r="BH25" i="3"/>
  <c r="BF25" i="3" a="1"/>
  <c r="BF25" i="3" s="1"/>
  <c r="BC25" i="3"/>
  <c r="BB25" i="3"/>
  <c r="AY25" i="3"/>
  <c r="AY25" i="3" a="1"/>
  <c r="AW25" i="3"/>
  <c r="AX25" i="3" s="1"/>
  <c r="AV25" i="3"/>
  <c r="AT25" i="3"/>
  <c r="AT25" i="3" a="1"/>
  <c r="AS25" i="3" a="1"/>
  <c r="AS25" i="3" s="1"/>
  <c r="AU25" i="3" s="1"/>
  <c r="AQ25" i="3" a="1"/>
  <c r="AQ25" i="3" s="1"/>
  <c r="AP25" i="3" a="1"/>
  <c r="AP25" i="3" s="1"/>
  <c r="AM25" i="3" a="1"/>
  <c r="AM25" i="3" s="1"/>
  <c r="AL25" i="3"/>
  <c r="AK25" i="3"/>
  <c r="AJ25" i="3"/>
  <c r="AH25" i="3" a="1"/>
  <c r="AH25" i="3" s="1"/>
  <c r="AG25" i="3" a="1"/>
  <c r="AG25" i="3" s="1"/>
  <c r="AI25" i="3" s="1"/>
  <c r="AD25" i="3"/>
  <c r="AB25" i="3" a="1"/>
  <c r="AB25" i="3" s="1"/>
  <c r="Y25" i="3"/>
  <c r="X25" i="3"/>
  <c r="Z25" i="3" s="1"/>
  <c r="U25" i="3"/>
  <c r="U25" i="3" a="1"/>
  <c r="S25" i="3"/>
  <c r="R25" i="3"/>
  <c r="T25" i="3" s="1"/>
  <c r="P25" i="3"/>
  <c r="P25" i="3" a="1"/>
  <c r="O25" i="3"/>
  <c r="O25" i="3" a="1"/>
  <c r="L25" i="3"/>
  <c r="J25" i="3"/>
  <c r="J25" i="3" a="1"/>
  <c r="G25" i="3"/>
  <c r="F25" i="3"/>
  <c r="E25" i="3"/>
  <c r="D25" i="3"/>
  <c r="C25" i="3"/>
  <c r="DY25" i="3" s="1" a="1"/>
  <c r="B25" i="3"/>
  <c r="A25" i="3"/>
  <c r="E24" i="3"/>
  <c r="D24" i="3"/>
  <c r="C24" i="3"/>
  <c r="CD24" i="3" s="1" a="1"/>
  <c r="CD24" i="3" s="1"/>
  <c r="B24" i="3"/>
  <c r="A24" i="3"/>
  <c r="DY23" i="3" a="1"/>
  <c r="DY23" i="3" s="1"/>
  <c r="DP23" i="3"/>
  <c r="DK23" i="3"/>
  <c r="DB23" i="3" a="1"/>
  <c r="DB23" i="3" s="1"/>
  <c r="DA23" i="3" a="1"/>
  <c r="DA23" i="3" s="1"/>
  <c r="CM23" i="3"/>
  <c r="CL23" i="3"/>
  <c r="CN23" i="3" s="1"/>
  <c r="CA23" i="3"/>
  <c r="BT23" i="3"/>
  <c r="BN23" i="3"/>
  <c r="BE23" i="3" a="1"/>
  <c r="BE23" i="3" s="1"/>
  <c r="AQ23" i="3" a="1"/>
  <c r="AQ23" i="3" s="1"/>
  <c r="Y23" i="3"/>
  <c r="U23" i="3" a="1"/>
  <c r="U23" i="3" s="1"/>
  <c r="I23" i="3" a="1"/>
  <c r="I23" i="3" s="1"/>
  <c r="E23" i="3"/>
  <c r="D23" i="3"/>
  <c r="C23" i="3"/>
  <c r="CV23" i="3" s="1" a="1"/>
  <c r="CV23" i="3" s="1"/>
  <c r="B23" i="3"/>
  <c r="A23" i="3"/>
  <c r="DZ22" i="3" a="1"/>
  <c r="DZ22" i="3" s="1"/>
  <c r="DY22" i="3"/>
  <c r="EA22" i="3" s="1"/>
  <c r="DY22" i="3" a="1"/>
  <c r="DT22" i="3" a="1"/>
  <c r="DT22" i="3" s="1"/>
  <c r="DS22" i="3"/>
  <c r="DS22" i="3" a="1"/>
  <c r="DN22" i="3" a="1"/>
  <c r="DN22" i="3" s="1"/>
  <c r="DM22" i="3" a="1"/>
  <c r="DM22" i="3" s="1"/>
  <c r="DO22" i="3" s="1"/>
  <c r="DJ22" i="3"/>
  <c r="DH22" i="3" a="1"/>
  <c r="DH22" i="3" s="1"/>
  <c r="DE22" i="3"/>
  <c r="DB22" i="3" a="1"/>
  <c r="DB22" i="3" s="1"/>
  <c r="CY22" i="3"/>
  <c r="CX22" i="3"/>
  <c r="CS22" i="3"/>
  <c r="CT22" i="3" s="1"/>
  <c r="CR22" i="3"/>
  <c r="CO22" i="3" a="1"/>
  <c r="CO22" i="3" s="1"/>
  <c r="CM22" i="3"/>
  <c r="CI22" i="3"/>
  <c r="CI22" i="3" a="1"/>
  <c r="CG22" i="3"/>
  <c r="CF22" i="3"/>
  <c r="CD22" i="3" a="1"/>
  <c r="CD22" i="3" s="1"/>
  <c r="CC22" i="3" a="1"/>
  <c r="CC22" i="3" s="1"/>
  <c r="CE22" i="3" s="1"/>
  <c r="CA22" i="3"/>
  <c r="BX22" i="3" a="1"/>
  <c r="BX22" i="3" s="1"/>
  <c r="BW22" i="3"/>
  <c r="BW22" i="3" a="1"/>
  <c r="BR22" i="3"/>
  <c r="BR22" i="3" a="1"/>
  <c r="BQ22" i="3"/>
  <c r="BS22" i="3" s="1"/>
  <c r="BQ22" i="3" a="1"/>
  <c r="BL22" i="3"/>
  <c r="BM22" i="3" s="1"/>
  <c r="BL22" i="3" a="1"/>
  <c r="BK22" i="3" a="1"/>
  <c r="BK22" i="3" s="1"/>
  <c r="BH22" i="3"/>
  <c r="BF22" i="3" a="1"/>
  <c r="BF22" i="3" s="1"/>
  <c r="BC22" i="3"/>
  <c r="AZ22" i="3" a="1"/>
  <c r="AZ22" i="3" s="1"/>
  <c r="AW22" i="3"/>
  <c r="AV22" i="3"/>
  <c r="AQ22" i="3" a="1"/>
  <c r="AQ22" i="3" s="1"/>
  <c r="AN22" i="3" a="1"/>
  <c r="AN22" i="3" s="1"/>
  <c r="AM22" i="3" a="1"/>
  <c r="AM22" i="3" s="1"/>
  <c r="AO22" i="3" s="1"/>
  <c r="AK22" i="3"/>
  <c r="AH22" i="3" a="1"/>
  <c r="AH22" i="3" s="1"/>
  <c r="AG22" i="3" a="1"/>
  <c r="AG22" i="3" s="1"/>
  <c r="AB22" i="3" a="1"/>
  <c r="AB22" i="3" s="1"/>
  <c r="AA22" i="3" a="1"/>
  <c r="AA22" i="3" s="1"/>
  <c r="AC22" i="3" s="1"/>
  <c r="V22" i="3" a="1"/>
  <c r="V22" i="3" s="1"/>
  <c r="R22" i="3"/>
  <c r="P22" i="3"/>
  <c r="P22" i="3" a="1"/>
  <c r="M22" i="3"/>
  <c r="L22" i="3"/>
  <c r="N22" i="3" s="1"/>
  <c r="J22" i="3" a="1"/>
  <c r="J22" i="3" s="1"/>
  <c r="G22" i="3"/>
  <c r="E22" i="3"/>
  <c r="D22" i="3"/>
  <c r="C22" i="3"/>
  <c r="B22" i="3"/>
  <c r="A22" i="3"/>
  <c r="DZ21" i="3" a="1"/>
  <c r="DZ21" i="3" s="1"/>
  <c r="DY21" i="3"/>
  <c r="DY21" i="3" a="1"/>
  <c r="DT21" i="3" a="1"/>
  <c r="DT21" i="3" s="1"/>
  <c r="DP21" i="3"/>
  <c r="DM21" i="3"/>
  <c r="DM21" i="3" a="1"/>
  <c r="DK21" i="3"/>
  <c r="DJ21" i="3"/>
  <c r="DH21" i="3" a="1"/>
  <c r="DH21" i="3" s="1"/>
  <c r="DD21" i="3"/>
  <c r="DB21" i="3"/>
  <c r="DB21" i="3" a="1"/>
  <c r="CY21" i="3"/>
  <c r="CX21" i="3"/>
  <c r="CZ21" i="3" s="1"/>
  <c r="CU21" i="3" a="1"/>
  <c r="CU21" i="3" s="1"/>
  <c r="CS21" i="3"/>
  <c r="CR21" i="3"/>
  <c r="CO21" i="3" a="1"/>
  <c r="CO21" i="3" s="1"/>
  <c r="CL21" i="3"/>
  <c r="CJ21" i="3" a="1"/>
  <c r="CJ21" i="3" s="1"/>
  <c r="CH21" i="3"/>
  <c r="CG21" i="3"/>
  <c r="CF21" i="3"/>
  <c r="CC21" i="3" a="1"/>
  <c r="CC21" i="3" s="1"/>
  <c r="CA21" i="3"/>
  <c r="BX21" i="3"/>
  <c r="BX21" i="3" a="1"/>
  <c r="BW21" i="3" a="1"/>
  <c r="BW21" i="3" s="1"/>
  <c r="BY21" i="3" s="1"/>
  <c r="BR21" i="3"/>
  <c r="BR21" i="3" a="1"/>
  <c r="BN21" i="3"/>
  <c r="BK21" i="3"/>
  <c r="BK21" i="3" a="1"/>
  <c r="BI21" i="3"/>
  <c r="BH21" i="3"/>
  <c r="BJ21" i="3" s="1"/>
  <c r="BF21" i="3" a="1"/>
  <c r="BF21" i="3" s="1"/>
  <c r="BB21" i="3"/>
  <c r="AZ21" i="3"/>
  <c r="AZ21" i="3" a="1"/>
  <c r="AW21" i="3"/>
  <c r="AX21" i="3" s="1"/>
  <c r="AV21" i="3"/>
  <c r="AS21" i="3" a="1"/>
  <c r="AS21" i="3" s="1"/>
  <c r="AQ21" i="3" a="1"/>
  <c r="AQ21" i="3" s="1"/>
  <c r="AP21" i="3" a="1"/>
  <c r="AP21" i="3" s="1"/>
  <c r="AN21" i="3" a="1"/>
  <c r="AN21" i="3" s="1"/>
  <c r="AK21" i="3"/>
  <c r="AG21" i="3" a="1"/>
  <c r="AG21" i="3" s="1"/>
  <c r="AD21" i="3"/>
  <c r="AB21" i="3"/>
  <c r="AB21" i="3" a="1"/>
  <c r="AA21" i="3"/>
  <c r="AA21" i="3" a="1"/>
  <c r="X21" i="3"/>
  <c r="V21" i="3"/>
  <c r="V21" i="3" a="1"/>
  <c r="S21" i="3"/>
  <c r="R21" i="3"/>
  <c r="T21" i="3" s="1"/>
  <c r="N21" i="3"/>
  <c r="M21" i="3"/>
  <c r="L21" i="3"/>
  <c r="J21" i="3"/>
  <c r="J21" i="3" a="1"/>
  <c r="I21" i="3" a="1"/>
  <c r="I21" i="3" s="1"/>
  <c r="F21" i="3"/>
  <c r="E21" i="3"/>
  <c r="D21" i="3"/>
  <c r="C21" i="3"/>
  <c r="B21" i="3"/>
  <c r="A21" i="3"/>
  <c r="DZ20" i="3" a="1"/>
  <c r="DZ20" i="3" s="1"/>
  <c r="DQ20" i="3"/>
  <c r="DM20" i="3" a="1"/>
  <c r="DM20" i="3" s="1"/>
  <c r="DK20" i="3"/>
  <c r="DD20" i="3"/>
  <c r="DB20" i="3" a="1"/>
  <c r="DB20" i="3" s="1"/>
  <c r="DA20" i="3" a="1"/>
  <c r="DA20" i="3" s="1"/>
  <c r="CV20" i="3" a="1"/>
  <c r="CV20" i="3" s="1"/>
  <c r="CO20" i="3" a="1"/>
  <c r="CO20" i="3" s="1"/>
  <c r="CD20" i="3" a="1"/>
  <c r="CD20" i="3" s="1"/>
  <c r="BX20" i="3"/>
  <c r="BX20" i="3" a="1"/>
  <c r="BT20" i="3"/>
  <c r="BP20" i="3"/>
  <c r="BO20" i="3"/>
  <c r="BN20" i="3"/>
  <c r="BE20" i="3" a="1"/>
  <c r="BE20" i="3" s="1"/>
  <c r="AZ20" i="3" a="1"/>
  <c r="AZ20" i="3" s="1"/>
  <c r="AY20" i="3" a="1"/>
  <c r="AY20" i="3" s="1"/>
  <c r="AW20" i="3"/>
  <c r="AS20" i="3" a="1"/>
  <c r="AS20" i="3" s="1"/>
  <c r="AP20" i="3" a="1"/>
  <c r="AP20" i="3" s="1"/>
  <c r="AJ20" i="3"/>
  <c r="AH20" i="3" a="1"/>
  <c r="AH20" i="3" s="1"/>
  <c r="Y20" i="3"/>
  <c r="U20" i="3" a="1"/>
  <c r="U20" i="3" s="1"/>
  <c r="T20" i="3"/>
  <c r="S20" i="3"/>
  <c r="R20" i="3"/>
  <c r="M20" i="3"/>
  <c r="J20" i="3" a="1"/>
  <c r="J20" i="3" s="1"/>
  <c r="E20" i="3"/>
  <c r="D20" i="3"/>
  <c r="C20" i="3"/>
  <c r="B20" i="3"/>
  <c r="A20" i="3"/>
  <c r="DS19" i="3"/>
  <c r="DS19" i="3" a="1"/>
  <c r="CV19" i="3" a="1"/>
  <c r="CV19" i="3" s="1"/>
  <c r="CG19" i="3"/>
  <c r="CF19" i="3"/>
  <c r="BL19" i="3" a="1"/>
  <c r="BL19" i="3" s="1"/>
  <c r="AY19" i="3"/>
  <c r="AY19" i="3" a="1"/>
  <c r="AP19" i="3" a="1"/>
  <c r="AP19" i="3" s="1"/>
  <c r="AK19" i="3"/>
  <c r="AB19" i="3" a="1"/>
  <c r="AB19" i="3" s="1"/>
  <c r="O19" i="3" a="1"/>
  <c r="O19" i="3" s="1"/>
  <c r="E19" i="3"/>
  <c r="D19" i="3"/>
  <c r="C19" i="3"/>
  <c r="B19" i="3"/>
  <c r="A19" i="3"/>
  <c r="DZ18" i="3"/>
  <c r="DZ18" i="3" a="1"/>
  <c r="DW18" i="3"/>
  <c r="DV18" i="3"/>
  <c r="DX18" i="3" s="1"/>
  <c r="DS18" i="3" a="1"/>
  <c r="DS18" i="3" s="1"/>
  <c r="DQ18" i="3"/>
  <c r="DP18" i="3"/>
  <c r="DR18" i="3" s="1"/>
  <c r="DN18" i="3" a="1"/>
  <c r="DN18" i="3" s="1"/>
  <c r="DM18" i="3"/>
  <c r="DM18" i="3" a="1"/>
  <c r="DH18" i="3" a="1"/>
  <c r="DH18" i="3" s="1"/>
  <c r="DE18" i="3"/>
  <c r="DD18" i="3"/>
  <c r="DF18" i="3" s="1"/>
  <c r="DA18" i="3" a="1"/>
  <c r="DA18" i="3" s="1"/>
  <c r="CY18" i="3"/>
  <c r="CX18" i="3"/>
  <c r="CZ18" i="3" s="1"/>
  <c r="CV18" i="3" a="1"/>
  <c r="CV18" i="3" s="1"/>
  <c r="CU18" i="3"/>
  <c r="CU18" i="3" a="1"/>
  <c r="CP18" i="3" a="1"/>
  <c r="CP18" i="3" s="1"/>
  <c r="CM18" i="3"/>
  <c r="CL18" i="3"/>
  <c r="CI18" i="3" a="1"/>
  <c r="CI18" i="3" s="1"/>
  <c r="CG18" i="3"/>
  <c r="CH18" i="3" s="1"/>
  <c r="CF18" i="3"/>
  <c r="CD18" i="3" a="1"/>
  <c r="CD18" i="3" s="1"/>
  <c r="CC18" i="3" a="1"/>
  <c r="CC18" i="3" s="1"/>
  <c r="CE18" i="3" s="1"/>
  <c r="BX18" i="3"/>
  <c r="BX18" i="3" a="1"/>
  <c r="BU18" i="3"/>
  <c r="BT18" i="3"/>
  <c r="BV18" i="3" s="1"/>
  <c r="BQ18" i="3" a="1"/>
  <c r="BQ18" i="3" s="1"/>
  <c r="BO18" i="3"/>
  <c r="BN18" i="3"/>
  <c r="BP18" i="3" s="1"/>
  <c r="BL18" i="3" a="1"/>
  <c r="BL18" i="3" s="1"/>
  <c r="BK18" i="3"/>
  <c r="BK18" i="3" a="1"/>
  <c r="BF18" i="3" a="1"/>
  <c r="BF18" i="3" s="1"/>
  <c r="BC18" i="3"/>
  <c r="BB18" i="3"/>
  <c r="BD18" i="3" s="1"/>
  <c r="AY18" i="3" a="1"/>
  <c r="AY18" i="3" s="1"/>
  <c r="AW18" i="3"/>
  <c r="AV18" i="3"/>
  <c r="AX18" i="3" s="1"/>
  <c r="AT18" i="3" a="1"/>
  <c r="AT18" i="3" s="1"/>
  <c r="AS18" i="3" a="1"/>
  <c r="AS18" i="3" s="1"/>
  <c r="AP18" i="3" a="1"/>
  <c r="AP18" i="3" s="1"/>
  <c r="AM18" i="3" a="1"/>
  <c r="AM18" i="3" s="1"/>
  <c r="AK18" i="3"/>
  <c r="AJ18" i="3"/>
  <c r="AL18" i="3" s="1"/>
  <c r="AH18" i="3" a="1"/>
  <c r="AH18" i="3" s="1"/>
  <c r="AG18" i="3"/>
  <c r="AI18" i="3" s="1"/>
  <c r="AG18" i="3" a="1"/>
  <c r="AB18" i="3"/>
  <c r="AB18" i="3" a="1"/>
  <c r="Y18" i="3"/>
  <c r="X18" i="3"/>
  <c r="U18" i="3" a="1"/>
  <c r="U18" i="3" s="1"/>
  <c r="T18" i="3"/>
  <c r="S18" i="3"/>
  <c r="R18" i="3"/>
  <c r="P18" i="3" a="1"/>
  <c r="P18" i="3" s="1"/>
  <c r="O18" i="3"/>
  <c r="Q18" i="3" s="1"/>
  <c r="O18" i="3" a="1"/>
  <c r="J18" i="3"/>
  <c r="J18" i="3" a="1"/>
  <c r="G18" i="3"/>
  <c r="F18" i="3"/>
  <c r="E18" i="3"/>
  <c r="D18" i="3"/>
  <c r="C18" i="3"/>
  <c r="DJ18" i="3" s="1"/>
  <c r="B18" i="3"/>
  <c r="A18" i="3"/>
  <c r="DZ17" i="3"/>
  <c r="DZ17" i="3" a="1"/>
  <c r="DX17" i="3"/>
  <c r="DW17" i="3"/>
  <c r="DV17" i="3"/>
  <c r="DS17" i="3"/>
  <c r="DS17" i="3" a="1"/>
  <c r="DR17" i="3"/>
  <c r="DQ17" i="3"/>
  <c r="DP17" i="3"/>
  <c r="DN17" i="3" a="1"/>
  <c r="DN17" i="3" s="1"/>
  <c r="DM17" i="3" a="1"/>
  <c r="DM17" i="3" s="1"/>
  <c r="DO17" i="3" s="1"/>
  <c r="DJ17" i="3"/>
  <c r="DH17" i="3" a="1"/>
  <c r="DH17" i="3" s="1"/>
  <c r="DE17" i="3"/>
  <c r="DF17" i="3" s="1"/>
  <c r="DD17" i="3"/>
  <c r="DA17" i="3"/>
  <c r="DA17" i="3" a="1"/>
  <c r="CY17" i="3"/>
  <c r="CZ17" i="3" s="1"/>
  <c r="CX17" i="3"/>
  <c r="CV17" i="3" a="1"/>
  <c r="CV17" i="3" s="1"/>
  <c r="CU17" i="3"/>
  <c r="CU17" i="3" a="1"/>
  <c r="CR17" i="3"/>
  <c r="CP17" i="3" a="1"/>
  <c r="CP17" i="3" s="1"/>
  <c r="CM17" i="3"/>
  <c r="CN17" i="3" s="1"/>
  <c r="CL17" i="3"/>
  <c r="CI17" i="3" a="1"/>
  <c r="CI17" i="3" s="1"/>
  <c r="CG17" i="3"/>
  <c r="CH17" i="3" s="1"/>
  <c r="CF17" i="3"/>
  <c r="CD17" i="3"/>
  <c r="CD17" i="3" a="1"/>
  <c r="CC17" i="3" a="1"/>
  <c r="CC17" i="3" s="1"/>
  <c r="CE17" i="3" s="1"/>
  <c r="BZ17" i="3"/>
  <c r="BX17" i="3"/>
  <c r="BX17" i="3" a="1"/>
  <c r="BU17" i="3"/>
  <c r="BT17" i="3"/>
  <c r="BV17" i="3" s="1"/>
  <c r="BQ17" i="3"/>
  <c r="BQ17" i="3" a="1"/>
  <c r="BO17" i="3"/>
  <c r="BP17" i="3" s="1"/>
  <c r="BN17" i="3"/>
  <c r="BL17" i="3"/>
  <c r="BL17" i="3" a="1"/>
  <c r="BK17" i="3" a="1"/>
  <c r="BK17" i="3" s="1"/>
  <c r="BH17" i="3"/>
  <c r="BF17" i="3"/>
  <c r="BF17" i="3" a="1"/>
  <c r="BC17" i="3"/>
  <c r="BB17" i="3"/>
  <c r="AY17" i="3"/>
  <c r="AY17" i="3" a="1"/>
  <c r="AW17" i="3"/>
  <c r="AX17" i="3" s="1"/>
  <c r="AV17" i="3"/>
  <c r="AT17" i="3"/>
  <c r="AT17" i="3" a="1"/>
  <c r="AS17" i="3"/>
  <c r="AS17" i="3" a="1"/>
  <c r="AQ17" i="3" a="1"/>
  <c r="AQ17" i="3" s="1"/>
  <c r="AP17" i="3" a="1"/>
  <c r="AP17" i="3" s="1"/>
  <c r="AR17" i="3" s="1"/>
  <c r="AM17" i="3"/>
  <c r="AM17" i="3" a="1"/>
  <c r="AK17" i="3"/>
  <c r="AL17" i="3" s="1"/>
  <c r="AJ17" i="3"/>
  <c r="AH17" i="3"/>
  <c r="AH17" i="3" a="1"/>
  <c r="AG17" i="3" a="1"/>
  <c r="AG17" i="3" s="1"/>
  <c r="AI17" i="3" s="1"/>
  <c r="AD17" i="3"/>
  <c r="AB17" i="3"/>
  <c r="AB17" i="3" a="1"/>
  <c r="Y17" i="3"/>
  <c r="X17" i="3"/>
  <c r="Z17" i="3" s="1"/>
  <c r="U17" i="3"/>
  <c r="U17" i="3" a="1"/>
  <c r="S17" i="3"/>
  <c r="T17" i="3" s="1"/>
  <c r="R17" i="3"/>
  <c r="P17" i="3"/>
  <c r="P17" i="3" a="1"/>
  <c r="O17" i="3"/>
  <c r="O17" i="3" a="1"/>
  <c r="L17" i="3"/>
  <c r="J17" i="3"/>
  <c r="J17" i="3" a="1"/>
  <c r="G17" i="3"/>
  <c r="F17" i="3"/>
  <c r="E17" i="3"/>
  <c r="D17" i="3"/>
  <c r="C17" i="3"/>
  <c r="DY17" i="3" s="1" a="1"/>
  <c r="DY17" i="3" s="1"/>
  <c r="EA17" i="3" s="1"/>
  <c r="B17" i="3"/>
  <c r="A17" i="3"/>
  <c r="DY16" i="3" a="1"/>
  <c r="DY16" i="3" s="1"/>
  <c r="DE16" i="3"/>
  <c r="DD16" i="3"/>
  <c r="DF16" i="3" s="1"/>
  <c r="CV16" i="3"/>
  <c r="CV16" i="3" a="1"/>
  <c r="CJ16" i="3" a="1"/>
  <c r="CJ16" i="3" s="1"/>
  <c r="CA16" i="3"/>
  <c r="BT16" i="3"/>
  <c r="BQ16" i="3" a="1"/>
  <c r="BQ16" i="3" s="1"/>
  <c r="BH16" i="3"/>
  <c r="AP16" i="3" a="1"/>
  <c r="AP16" i="3" s="1"/>
  <c r="AN16" i="3" a="1"/>
  <c r="AN16" i="3" s="1"/>
  <c r="U16" i="3"/>
  <c r="U16" i="3" a="1"/>
  <c r="L16" i="3"/>
  <c r="I16" i="3" a="1"/>
  <c r="I16" i="3" s="1"/>
  <c r="E16" i="3"/>
  <c r="D16" i="3"/>
  <c r="C16" i="3"/>
  <c r="B16" i="3"/>
  <c r="A16" i="3"/>
  <c r="DS15" i="3" a="1"/>
  <c r="DS15" i="3" s="1"/>
  <c r="DK15" i="3"/>
  <c r="DB15" i="3" a="1"/>
  <c r="DB15" i="3" s="1"/>
  <c r="CV15" i="3" a="1"/>
  <c r="CV15" i="3" s="1"/>
  <c r="CL15" i="3"/>
  <c r="BU15" i="3"/>
  <c r="BN15" i="3"/>
  <c r="BE15" i="3" a="1"/>
  <c r="BE15" i="3" s="1"/>
  <c r="AY15" i="3" a="1"/>
  <c r="AY15" i="3" s="1"/>
  <c r="AP15" i="3" a="1"/>
  <c r="AP15" i="3" s="1"/>
  <c r="AJ15" i="3"/>
  <c r="AA15" i="3" a="1"/>
  <c r="AA15" i="3" s="1"/>
  <c r="U15" i="3" a="1"/>
  <c r="U15" i="3" s="1"/>
  <c r="E15" i="3"/>
  <c r="D15" i="3"/>
  <c r="C15" i="3"/>
  <c r="B15" i="3"/>
  <c r="A15" i="3"/>
  <c r="E14" i="3"/>
  <c r="D14" i="3"/>
  <c r="C14" i="3"/>
  <c r="DT14" i="3" s="1" a="1"/>
  <c r="DT14" i="3" s="1"/>
  <c r="B14" i="3"/>
  <c r="A14" i="3"/>
  <c r="DZ13" i="3" a="1"/>
  <c r="DZ13" i="3" s="1"/>
  <c r="DY13" i="3" a="1"/>
  <c r="DY13" i="3" s="1"/>
  <c r="DT13" i="3"/>
  <c r="DT13" i="3" a="1"/>
  <c r="DM13" i="3" a="1"/>
  <c r="DM13" i="3" s="1"/>
  <c r="DJ13" i="3"/>
  <c r="DH13" i="3" a="1"/>
  <c r="DH13" i="3" s="1"/>
  <c r="DD13" i="3"/>
  <c r="DB13" i="3"/>
  <c r="DB13" i="3" a="1"/>
  <c r="CY13" i="3"/>
  <c r="CX13" i="3"/>
  <c r="CZ13" i="3" s="1"/>
  <c r="CT13" i="3"/>
  <c r="CS13" i="3"/>
  <c r="CR13" i="3"/>
  <c r="CO13" i="3" a="1"/>
  <c r="CO13" i="3" s="1"/>
  <c r="CL13" i="3"/>
  <c r="CG13" i="3"/>
  <c r="CF13" i="3"/>
  <c r="CH13" i="3" s="1"/>
  <c r="CC13" i="3"/>
  <c r="CC13" i="3" a="1"/>
  <c r="CA13" i="3"/>
  <c r="BX13" i="3" a="1"/>
  <c r="BX13" i="3" s="1"/>
  <c r="BW13" i="3" a="1"/>
  <c r="BW13" i="3" s="1"/>
  <c r="BY13" i="3" s="1"/>
  <c r="BR13" i="3" a="1"/>
  <c r="BR13" i="3" s="1"/>
  <c r="BK13" i="3" a="1"/>
  <c r="BK13" i="3" s="1"/>
  <c r="BH13" i="3"/>
  <c r="BF13" i="3"/>
  <c r="BF13" i="3" a="1"/>
  <c r="BB13" i="3"/>
  <c r="AZ13" i="3" a="1"/>
  <c r="AZ13" i="3" s="1"/>
  <c r="AW13" i="3"/>
  <c r="AV13" i="3"/>
  <c r="AQ13" i="3" a="1"/>
  <c r="AQ13" i="3" s="1"/>
  <c r="AP13" i="3" a="1"/>
  <c r="AP13" i="3" s="1"/>
  <c r="AN13" i="3" a="1"/>
  <c r="AN13" i="3" s="1"/>
  <c r="AK13" i="3"/>
  <c r="AG13" i="3" a="1"/>
  <c r="AG13" i="3" s="1"/>
  <c r="AB13" i="3" a="1"/>
  <c r="AB13" i="3" s="1"/>
  <c r="AA13" i="3"/>
  <c r="AA13" i="3" a="1"/>
  <c r="V13" i="3" a="1"/>
  <c r="V13" i="3" s="1"/>
  <c r="R13" i="3"/>
  <c r="M13" i="3"/>
  <c r="L13" i="3"/>
  <c r="J13" i="3"/>
  <c r="J13" i="3" a="1"/>
  <c r="F13" i="3"/>
  <c r="E13" i="3"/>
  <c r="D13" i="3"/>
  <c r="C13" i="3"/>
  <c r="B13" i="3"/>
  <c r="A13" i="3"/>
  <c r="DV12" i="3"/>
  <c r="DP12" i="3"/>
  <c r="DN12" i="3" a="1"/>
  <c r="DN12" i="3" s="1"/>
  <c r="DG12" i="3" a="1"/>
  <c r="DG12" i="3" s="1"/>
  <c r="DE12" i="3"/>
  <c r="DD12" i="3"/>
  <c r="DF12" i="3" s="1"/>
  <c r="CY12" i="3"/>
  <c r="CX12" i="3"/>
  <c r="CZ12" i="3" s="1"/>
  <c r="CS12" i="3"/>
  <c r="CP12" i="3" a="1"/>
  <c r="CP12" i="3" s="1"/>
  <c r="CO12" i="3" a="1"/>
  <c r="CO12" i="3" s="1"/>
  <c r="CQ12" i="3" s="1"/>
  <c r="CJ12" i="3" a="1"/>
  <c r="CJ12" i="3" s="1"/>
  <c r="CI12" i="3" a="1"/>
  <c r="CI12" i="3" s="1"/>
  <c r="CC12" i="3" a="1"/>
  <c r="CC12" i="3" s="1"/>
  <c r="BX12" i="3"/>
  <c r="BX12" i="3" a="1"/>
  <c r="BR12" i="3"/>
  <c r="BR12" i="3" a="1"/>
  <c r="BO12" i="3"/>
  <c r="BL12" i="3" a="1"/>
  <c r="BL12" i="3" s="1"/>
  <c r="BI12" i="3"/>
  <c r="BC12" i="3"/>
  <c r="BB12" i="3"/>
  <c r="BD12" i="3" s="1"/>
  <c r="AY12" i="3" a="1"/>
  <c r="AY12" i="3" s="1"/>
  <c r="AV12" i="3"/>
  <c r="AS12" i="3"/>
  <c r="AS12" i="3" a="1"/>
  <c r="AN12" i="3" a="1"/>
  <c r="AN12" i="3" s="1"/>
  <c r="AM12" i="3" a="1"/>
  <c r="AM12" i="3" s="1"/>
  <c r="AO12" i="3" s="1"/>
  <c r="AJ12" i="3"/>
  <c r="AE12" i="3"/>
  <c r="X12" i="3"/>
  <c r="O12" i="3" a="1"/>
  <c r="O12" i="3" s="1"/>
  <c r="M12" i="3"/>
  <c r="I12" i="3" a="1"/>
  <c r="I12" i="3" s="1"/>
  <c r="G12" i="3"/>
  <c r="F12" i="3"/>
  <c r="E12" i="3"/>
  <c r="D12" i="3"/>
  <c r="C12" i="3"/>
  <c r="DT12" i="3" s="1" a="1"/>
  <c r="DT12" i="3" s="1"/>
  <c r="B12" i="3"/>
  <c r="A12" i="3"/>
  <c r="DZ11" i="3"/>
  <c r="DZ11" i="3" a="1"/>
  <c r="DX11" i="3"/>
  <c r="DW11" i="3"/>
  <c r="DV11" i="3"/>
  <c r="DS11" i="3" a="1"/>
  <c r="DS11" i="3" s="1"/>
  <c r="DQ11" i="3"/>
  <c r="DP11" i="3"/>
  <c r="DR11" i="3" s="1"/>
  <c r="DN11" i="3"/>
  <c r="DN11" i="3" a="1"/>
  <c r="DM11" i="3" a="1"/>
  <c r="DM11" i="3" s="1"/>
  <c r="DO11" i="3" s="1"/>
  <c r="DJ11" i="3"/>
  <c r="DH11" i="3" a="1"/>
  <c r="DH11" i="3" s="1"/>
  <c r="DE11" i="3"/>
  <c r="DF11" i="3" s="1"/>
  <c r="DD11" i="3"/>
  <c r="DA11" i="3" a="1"/>
  <c r="DA11" i="3" s="1"/>
  <c r="CZ11" i="3"/>
  <c r="CY11" i="3"/>
  <c r="CX11" i="3"/>
  <c r="CV11" i="3"/>
  <c r="CV11" i="3" a="1"/>
  <c r="CU11" i="3" a="1"/>
  <c r="CU11" i="3" s="1"/>
  <c r="CW11" i="3" s="1"/>
  <c r="CR11" i="3"/>
  <c r="CP11" i="3"/>
  <c r="CP11" i="3" a="1"/>
  <c r="CM11" i="3"/>
  <c r="CL11" i="3"/>
  <c r="CN11" i="3" s="1"/>
  <c r="CI11" i="3"/>
  <c r="CI11" i="3" a="1"/>
  <c r="CG11" i="3"/>
  <c r="CF11" i="3"/>
  <c r="CH11" i="3" s="1"/>
  <c r="CD11" i="3" a="1"/>
  <c r="CD11" i="3" s="1"/>
  <c r="CC11" i="3"/>
  <c r="CC11" i="3" a="1"/>
  <c r="BZ11" i="3"/>
  <c r="BX11" i="3"/>
  <c r="BX11" i="3" a="1"/>
  <c r="BU11" i="3"/>
  <c r="BT11" i="3"/>
  <c r="BV11" i="3" s="1"/>
  <c r="BQ11" i="3" a="1"/>
  <c r="BQ11" i="3" s="1"/>
  <c r="BO11" i="3"/>
  <c r="BN11" i="3"/>
  <c r="BP11" i="3" s="1"/>
  <c r="BL11" i="3"/>
  <c r="BL11" i="3" a="1"/>
  <c r="BK11" i="3"/>
  <c r="BM11" i="3" s="1"/>
  <c r="BK11" i="3" a="1"/>
  <c r="BH11" i="3"/>
  <c r="BF11" i="3" a="1"/>
  <c r="BF11" i="3" s="1"/>
  <c r="BD11" i="3"/>
  <c r="BC11" i="3"/>
  <c r="BB11" i="3"/>
  <c r="AY11" i="3" a="1"/>
  <c r="AY11" i="3" s="1"/>
  <c r="AX11" i="3"/>
  <c r="AW11" i="3"/>
  <c r="AV11" i="3"/>
  <c r="AT11" i="3" a="1"/>
  <c r="AT11" i="3" s="1"/>
  <c r="AS11" i="3" a="1"/>
  <c r="AS11" i="3" s="1"/>
  <c r="AU11" i="3" s="1"/>
  <c r="AQ11" i="3" a="1"/>
  <c r="AQ11" i="3" s="1"/>
  <c r="AP11" i="3" a="1"/>
  <c r="AP11" i="3" s="1"/>
  <c r="AR11" i="3" s="1"/>
  <c r="AM11" i="3"/>
  <c r="AM11" i="3" a="1"/>
  <c r="AK11" i="3"/>
  <c r="AJ11" i="3"/>
  <c r="AL11" i="3" s="1"/>
  <c r="AH11" i="3"/>
  <c r="AH11" i="3" a="1"/>
  <c r="AG11" i="3" a="1"/>
  <c r="AG11" i="3" s="1"/>
  <c r="AD11" i="3"/>
  <c r="AB11" i="3"/>
  <c r="AB11" i="3" a="1"/>
  <c r="Y11" i="3"/>
  <c r="X11" i="3"/>
  <c r="U11" i="3"/>
  <c r="U11" i="3" a="1"/>
  <c r="T11" i="3"/>
  <c r="S11" i="3"/>
  <c r="R11" i="3"/>
  <c r="P11" i="3" a="1"/>
  <c r="P11" i="3" s="1"/>
  <c r="O11" i="3"/>
  <c r="Q11" i="3" s="1"/>
  <c r="O11" i="3" a="1"/>
  <c r="L11" i="3"/>
  <c r="J11" i="3" a="1"/>
  <c r="J11" i="3" s="1"/>
  <c r="H11" i="3"/>
  <c r="G11" i="3"/>
  <c r="F11" i="3"/>
  <c r="E11" i="3"/>
  <c r="D11" i="3"/>
  <c r="C11" i="3"/>
  <c r="DY11" i="3" s="1" a="1"/>
  <c r="DY11" i="3" s="1"/>
  <c r="EA11" i="3" s="1"/>
  <c r="B11" i="3"/>
  <c r="A11" i="3"/>
  <c r="DZ10" i="3" a="1"/>
  <c r="DZ10" i="3" s="1"/>
  <c r="DY10" i="3" a="1"/>
  <c r="DY10" i="3" s="1"/>
  <c r="DW10" i="3"/>
  <c r="DT10" i="3" a="1"/>
  <c r="DT10" i="3" s="1"/>
  <c r="DS10" i="3"/>
  <c r="DS10" i="3" a="1"/>
  <c r="DN10" i="3" a="1"/>
  <c r="DN10" i="3" s="1"/>
  <c r="DM10" i="3" a="1"/>
  <c r="DM10" i="3" s="1"/>
  <c r="DO10" i="3" s="1"/>
  <c r="DI10" i="3"/>
  <c r="DH10" i="3"/>
  <c r="DH10" i="3" a="1"/>
  <c r="DG10" i="3" a="1"/>
  <c r="DG10" i="3" s="1"/>
  <c r="DD10" i="3"/>
  <c r="DB10" i="3" a="1"/>
  <c r="DB10" i="3" s="1"/>
  <c r="CY10" i="3"/>
  <c r="CV10" i="3"/>
  <c r="CV10" i="3" a="1"/>
  <c r="CS10" i="3"/>
  <c r="CR10" i="3"/>
  <c r="CM10" i="3"/>
  <c r="CN10" i="3" s="1"/>
  <c r="CL10" i="3"/>
  <c r="CI10" i="3" a="1"/>
  <c r="CI10" i="3" s="1"/>
  <c r="CG10" i="3"/>
  <c r="CC10" i="3"/>
  <c r="CC10" i="3" a="1"/>
  <c r="CA10" i="3"/>
  <c r="BZ10" i="3"/>
  <c r="CB10" i="3" s="1"/>
  <c r="BX10" i="3" a="1"/>
  <c r="BX10" i="3" s="1"/>
  <c r="BW10" i="3" a="1"/>
  <c r="BW10" i="3" s="1"/>
  <c r="BY10" i="3" s="1"/>
  <c r="BU10" i="3"/>
  <c r="BR10" i="3" a="1"/>
  <c r="BR10" i="3" s="1"/>
  <c r="BQ10" i="3" a="1"/>
  <c r="BQ10" i="3" s="1"/>
  <c r="BS10" i="3" s="1"/>
  <c r="BL10" i="3"/>
  <c r="BL10" i="3" a="1"/>
  <c r="BK10" i="3" a="1"/>
  <c r="BK10" i="3" s="1"/>
  <c r="BM10" i="3" s="1"/>
  <c r="BF10" i="3" a="1"/>
  <c r="BF10" i="3" s="1"/>
  <c r="BG10" i="3" s="1"/>
  <c r="BE10" i="3" a="1"/>
  <c r="BE10" i="3" s="1"/>
  <c r="BB10" i="3"/>
  <c r="AZ10" i="3" a="1"/>
  <c r="AZ10" i="3" s="1"/>
  <c r="AW10" i="3"/>
  <c r="AT10" i="3" a="1"/>
  <c r="AT10" i="3" s="1"/>
  <c r="AQ10" i="3" a="1"/>
  <c r="AQ10" i="3" s="1"/>
  <c r="AP10" i="3" a="1"/>
  <c r="AP10" i="3" s="1"/>
  <c r="AM10" i="3" a="1"/>
  <c r="AM10" i="3" s="1"/>
  <c r="AK10" i="3"/>
  <c r="AH10" i="3" a="1"/>
  <c r="AH10" i="3" s="1"/>
  <c r="AG10" i="3"/>
  <c r="AG10" i="3" a="1"/>
  <c r="AE10" i="3"/>
  <c r="AB10" i="3" a="1"/>
  <c r="AB10" i="3" s="1"/>
  <c r="AA10" i="3" a="1"/>
  <c r="AA10" i="3" s="1"/>
  <c r="V10" i="3" a="1"/>
  <c r="V10" i="3" s="1"/>
  <c r="U10" i="3"/>
  <c r="W10" i="3" s="1"/>
  <c r="U10" i="3" a="1"/>
  <c r="P10" i="3" a="1"/>
  <c r="P10" i="3" s="1"/>
  <c r="L10" i="3"/>
  <c r="J10" i="3"/>
  <c r="J10" i="3" a="1"/>
  <c r="G10" i="3"/>
  <c r="F10" i="3"/>
  <c r="H10" i="3" s="1"/>
  <c r="E10" i="3"/>
  <c r="D10" i="3"/>
  <c r="C10" i="3"/>
  <c r="B10" i="3"/>
  <c r="A10" i="3"/>
  <c r="DY9" i="3" a="1"/>
  <c r="DY9" i="3" s="1"/>
  <c r="DV9" i="3"/>
  <c r="DT9" i="3" a="1"/>
  <c r="DT9" i="3" s="1"/>
  <c r="DN9" i="3" a="1"/>
  <c r="DN9" i="3" s="1"/>
  <c r="DK9" i="3"/>
  <c r="DE9" i="3"/>
  <c r="DD9" i="3"/>
  <c r="DF9" i="3" s="1"/>
  <c r="CX9" i="3"/>
  <c r="CR9" i="3"/>
  <c r="CO9" i="3" a="1"/>
  <c r="CO9" i="3" s="1"/>
  <c r="CI9" i="3" a="1"/>
  <c r="CI9" i="3" s="1"/>
  <c r="BR9" i="3" a="1"/>
  <c r="BR9" i="3" s="1"/>
  <c r="BN9" i="3"/>
  <c r="BL9" i="3" a="1"/>
  <c r="BL9" i="3" s="1"/>
  <c r="BI9" i="3"/>
  <c r="BH9" i="3"/>
  <c r="BJ9" i="3" s="1"/>
  <c r="BC9" i="3"/>
  <c r="BB9" i="3"/>
  <c r="BD9" i="3" s="1"/>
  <c r="AY9" i="3" a="1"/>
  <c r="AY9" i="3" s="1"/>
  <c r="AN9" i="3" a="1"/>
  <c r="AN9" i="3" s="1"/>
  <c r="AM9" i="3" a="1"/>
  <c r="AM9" i="3" s="1"/>
  <c r="AO9" i="3" s="1"/>
  <c r="AD9" i="3"/>
  <c r="X9" i="3"/>
  <c r="V9" i="3" a="1"/>
  <c r="V9" i="3" s="1"/>
  <c r="M9" i="3"/>
  <c r="L9" i="3"/>
  <c r="N9" i="3" s="1"/>
  <c r="H9" i="3"/>
  <c r="G9" i="3"/>
  <c r="F9" i="3"/>
  <c r="E9" i="3"/>
  <c r="D9" i="3"/>
  <c r="C9" i="3"/>
  <c r="DJ9" i="3" s="1"/>
  <c r="DL9" i="3" s="1"/>
  <c r="B9" i="3"/>
  <c r="A9" i="3"/>
  <c r="DZ8" i="3" a="1"/>
  <c r="DZ8" i="3" s="1"/>
  <c r="DW8" i="3"/>
  <c r="DT8" i="3"/>
  <c r="DT8" i="3" a="1"/>
  <c r="DS8" i="3" a="1"/>
  <c r="DS8" i="3" s="1"/>
  <c r="DU8" i="3" s="1"/>
  <c r="DQ8" i="3"/>
  <c r="DP8" i="3"/>
  <c r="DR8" i="3" s="1"/>
  <c r="DM8" i="3" a="1"/>
  <c r="DM8" i="3" s="1"/>
  <c r="DK8" i="3"/>
  <c r="DJ8" i="3"/>
  <c r="DL8" i="3" s="1"/>
  <c r="DG8" i="3" a="1"/>
  <c r="DG8" i="3" s="1"/>
  <c r="DE8" i="3"/>
  <c r="DB8" i="3" a="1"/>
  <c r="DB8" i="3" s="1"/>
  <c r="DA8" i="3" a="1"/>
  <c r="DA8" i="3" s="1"/>
  <c r="DC8" i="3" s="1"/>
  <c r="CY8" i="3"/>
  <c r="CX8" i="3"/>
  <c r="CV8" i="3" a="1"/>
  <c r="CV8" i="3" s="1"/>
  <c r="CU8" i="3" a="1"/>
  <c r="CU8" i="3" s="1"/>
  <c r="CW8" i="3" s="1"/>
  <c r="CS8" i="3"/>
  <c r="CP8" i="3" a="1"/>
  <c r="CP8" i="3" s="1"/>
  <c r="CO8" i="3"/>
  <c r="CQ8" i="3" s="1"/>
  <c r="CO8" i="3" a="1"/>
  <c r="CJ8" i="3"/>
  <c r="CK8" i="3" s="1"/>
  <c r="CJ8" i="3" a="1"/>
  <c r="CI8" i="3"/>
  <c r="CI8" i="3" a="1"/>
  <c r="CF8" i="3"/>
  <c r="CD8" i="3"/>
  <c r="CE8" i="3" s="1"/>
  <c r="CD8" i="3" a="1"/>
  <c r="CC8" i="3" a="1"/>
  <c r="CC8" i="3" s="1"/>
  <c r="CA8" i="3"/>
  <c r="BZ8" i="3"/>
  <c r="BX8" i="3" a="1"/>
  <c r="BX8" i="3" s="1"/>
  <c r="BU8" i="3"/>
  <c r="BR8" i="3"/>
  <c r="BS8" i="3" s="1"/>
  <c r="BR8" i="3" a="1"/>
  <c r="BQ8" i="3" a="1"/>
  <c r="BQ8" i="3" s="1"/>
  <c r="BO8" i="3"/>
  <c r="BN8" i="3"/>
  <c r="BP8" i="3" s="1"/>
  <c r="BK8" i="3" a="1"/>
  <c r="BK8" i="3" s="1"/>
  <c r="BI8" i="3"/>
  <c r="BJ8" i="3" s="1"/>
  <c r="BH8" i="3"/>
  <c r="BE8" i="3" a="1"/>
  <c r="BE8" i="3" s="1"/>
  <c r="BC8" i="3"/>
  <c r="AZ8" i="3" a="1"/>
  <c r="AZ8" i="3" s="1"/>
  <c r="AY8" i="3" a="1"/>
  <c r="AY8" i="3" s="1"/>
  <c r="AW8" i="3"/>
  <c r="AV8" i="3"/>
  <c r="AT8" i="3" a="1"/>
  <c r="AT8" i="3" s="1"/>
  <c r="AS8" i="3" a="1"/>
  <c r="AS8" i="3" s="1"/>
  <c r="AQ8" i="3" a="1"/>
  <c r="AQ8" i="3" s="1"/>
  <c r="AP8" i="3" a="1"/>
  <c r="AP8" i="3" s="1"/>
  <c r="AR8" i="3" s="1"/>
  <c r="AM8" i="3" a="1"/>
  <c r="AM8" i="3" s="1"/>
  <c r="AK8" i="3"/>
  <c r="AL8" i="3" s="1"/>
  <c r="AJ8" i="3"/>
  <c r="AH8" i="3"/>
  <c r="AH8" i="3" a="1"/>
  <c r="AG8" i="3" a="1"/>
  <c r="AG8" i="3" s="1"/>
  <c r="AI8" i="3" s="1"/>
  <c r="AD8" i="3"/>
  <c r="AB8" i="3"/>
  <c r="AB8" i="3" a="1"/>
  <c r="Y8" i="3"/>
  <c r="X8" i="3"/>
  <c r="Z8" i="3" s="1"/>
  <c r="U8" i="3"/>
  <c r="U8" i="3" a="1"/>
  <c r="S8" i="3"/>
  <c r="T8" i="3" s="1"/>
  <c r="R8" i="3"/>
  <c r="P8" i="3"/>
  <c r="P8" i="3" a="1"/>
  <c r="O8" i="3" a="1"/>
  <c r="O8" i="3" s="1"/>
  <c r="L8" i="3"/>
  <c r="J8" i="3" a="1"/>
  <c r="J8" i="3" s="1"/>
  <c r="G8" i="3"/>
  <c r="F8" i="3"/>
  <c r="E8" i="3"/>
  <c r="D8" i="3"/>
  <c r="C8" i="3"/>
  <c r="B8" i="3"/>
  <c r="A8" i="3"/>
  <c r="E7" i="3"/>
  <c r="D7" i="3"/>
  <c r="C7" i="3"/>
  <c r="DD7" i="3" s="1"/>
  <c r="B7" i="3"/>
  <c r="A7" i="3"/>
  <c r="DS6" i="3" a="1"/>
  <c r="DS6" i="3" s="1"/>
  <c r="DG6" i="3" a="1"/>
  <c r="DG6" i="3" s="1"/>
  <c r="CM6" i="3"/>
  <c r="CD6" i="3" a="1"/>
  <c r="CD6" i="3" s="1"/>
  <c r="BZ6" i="3"/>
  <c r="BR6" i="3" a="1"/>
  <c r="BR6" i="3" s="1"/>
  <c r="BI6" i="3"/>
  <c r="AY6" i="3" a="1"/>
  <c r="AY6" i="3" s="1"/>
  <c r="AV6" i="3"/>
  <c r="AE6" i="3"/>
  <c r="AD6" i="3"/>
  <c r="AF6" i="3" s="1"/>
  <c r="V6" i="3" a="1"/>
  <c r="V6" i="3" s="1"/>
  <c r="R6" i="3"/>
  <c r="E6" i="3"/>
  <c r="D6" i="3"/>
  <c r="C6" i="3"/>
  <c r="DA6" i="3" s="1" a="1"/>
  <c r="DA6" i="3" s="1"/>
  <c r="B6" i="3"/>
  <c r="A6" i="3"/>
  <c r="DZ5" i="3" a="1"/>
  <c r="DZ5" i="3" s="1"/>
  <c r="DP5" i="3"/>
  <c r="DM5" i="3" a="1"/>
  <c r="DM5" i="3" s="1"/>
  <c r="DG5" i="3" a="1"/>
  <c r="DG5" i="3" s="1"/>
  <c r="DB5" i="3" a="1"/>
  <c r="DB5" i="3" s="1"/>
  <c r="CU5" i="3" a="1"/>
  <c r="CU5" i="3" s="1"/>
  <c r="CS5" i="3"/>
  <c r="CG5" i="3"/>
  <c r="CA5" i="3"/>
  <c r="BZ5" i="3"/>
  <c r="BX5" i="3" a="1"/>
  <c r="BX5" i="3" s="1"/>
  <c r="BR5" i="3" a="1"/>
  <c r="BR5" i="3" s="1"/>
  <c r="BN5" i="3"/>
  <c r="BH5" i="3"/>
  <c r="BF5" i="3" a="1"/>
  <c r="BF5" i="3" s="1"/>
  <c r="BE5" i="3" a="1"/>
  <c r="BE5" i="3" s="1"/>
  <c r="AW5" i="3"/>
  <c r="AS5" i="3" a="1"/>
  <c r="AS5" i="3" s="1"/>
  <c r="AN5" i="3" a="1"/>
  <c r="AN5" i="3" s="1"/>
  <c r="AK5" i="3"/>
  <c r="AE5" i="3"/>
  <c r="AA5" i="3" a="1"/>
  <c r="AA5" i="3" s="1"/>
  <c r="S5" i="3"/>
  <c r="R5" i="3"/>
  <c r="L5" i="3"/>
  <c r="J5" i="3" a="1"/>
  <c r="J5" i="3" s="1"/>
  <c r="E5" i="3"/>
  <c r="D5" i="3"/>
  <c r="C5" i="3"/>
  <c r="DJ5" i="3" s="1"/>
  <c r="B5" i="3"/>
  <c r="A5" i="3"/>
  <c r="S122" i="5"/>
  <c r="O122" i="5"/>
  <c r="M122" i="5"/>
  <c r="T122" i="5" s="1"/>
  <c r="U122" i="5" s="1"/>
  <c r="V122" i="5" s="1"/>
  <c r="L122" i="5"/>
  <c r="N122" i="5" s="1"/>
  <c r="H122" i="5"/>
  <c r="K122" i="5" s="1"/>
  <c r="G122" i="5"/>
  <c r="S121" i="5"/>
  <c r="Q121" i="5"/>
  <c r="R121" i="5" s="1"/>
  <c r="P121" i="5"/>
  <c r="O121" i="5"/>
  <c r="M121" i="5"/>
  <c r="T121" i="5" s="1"/>
  <c r="U121" i="5" s="1"/>
  <c r="V121" i="5" s="1"/>
  <c r="L121" i="5"/>
  <c r="N121" i="5" s="1"/>
  <c r="K121" i="5"/>
  <c r="J121" i="5"/>
  <c r="H121" i="5"/>
  <c r="I121" i="5" s="1"/>
  <c r="G121" i="5"/>
  <c r="U120" i="5"/>
  <c r="V120" i="5" s="1"/>
  <c r="T120" i="5"/>
  <c r="S120" i="5"/>
  <c r="O120" i="5"/>
  <c r="N120" i="5"/>
  <c r="M120" i="5"/>
  <c r="L120" i="5"/>
  <c r="P120" i="5" s="1"/>
  <c r="I120" i="5"/>
  <c r="H120" i="5"/>
  <c r="J120" i="5" s="1"/>
  <c r="G120" i="5"/>
  <c r="S119" i="5"/>
  <c r="O119" i="5"/>
  <c r="M119" i="5"/>
  <c r="L119" i="5"/>
  <c r="N119" i="5" s="1"/>
  <c r="J119" i="5"/>
  <c r="H119" i="5"/>
  <c r="G119" i="5"/>
  <c r="I119" i="5" s="1"/>
  <c r="S118" i="5"/>
  <c r="Q118" i="5"/>
  <c r="R118" i="5" s="1"/>
  <c r="P118" i="5"/>
  <c r="O118" i="5"/>
  <c r="M118" i="5"/>
  <c r="T118" i="5" s="1"/>
  <c r="U118" i="5" s="1"/>
  <c r="V118" i="5" s="1"/>
  <c r="L118" i="5"/>
  <c r="N118" i="5" s="1"/>
  <c r="K118" i="5"/>
  <c r="J118" i="5"/>
  <c r="H118" i="5"/>
  <c r="G118" i="5"/>
  <c r="I118" i="5" s="1"/>
  <c r="U117" i="5"/>
  <c r="V117" i="5" s="1"/>
  <c r="T117" i="5"/>
  <c r="S117" i="5"/>
  <c r="O117" i="5"/>
  <c r="N117" i="5"/>
  <c r="M117" i="5"/>
  <c r="L117" i="5"/>
  <c r="P117" i="5" s="1"/>
  <c r="Q117" i="5" s="1"/>
  <c r="R117" i="5" s="1"/>
  <c r="I117" i="5"/>
  <c r="H117" i="5"/>
  <c r="J117" i="5" s="1"/>
  <c r="G117" i="5"/>
  <c r="S116" i="5"/>
  <c r="O116" i="5"/>
  <c r="M116" i="5"/>
  <c r="L116" i="5"/>
  <c r="N116" i="5" s="1"/>
  <c r="J116" i="5"/>
  <c r="H116" i="5"/>
  <c r="G116" i="5"/>
  <c r="I116" i="5" s="1"/>
  <c r="S115" i="5"/>
  <c r="Q115" i="5"/>
  <c r="R115" i="5" s="1"/>
  <c r="P115" i="5"/>
  <c r="O115" i="5"/>
  <c r="M115" i="5"/>
  <c r="T115" i="5" s="1"/>
  <c r="U115" i="5" s="1"/>
  <c r="V115" i="5" s="1"/>
  <c r="L115" i="5"/>
  <c r="K115" i="5"/>
  <c r="J115" i="5"/>
  <c r="H115" i="5"/>
  <c r="G115" i="5"/>
  <c r="I115" i="5" s="1"/>
  <c r="U114" i="5"/>
  <c r="V114" i="5" s="1"/>
  <c r="T114" i="5"/>
  <c r="S114" i="5"/>
  <c r="O114" i="5"/>
  <c r="N114" i="5"/>
  <c r="M114" i="5"/>
  <c r="L114" i="5"/>
  <c r="P114" i="5" s="1"/>
  <c r="I114" i="5"/>
  <c r="H114" i="5"/>
  <c r="J114" i="5" s="1"/>
  <c r="G114" i="5"/>
  <c r="S113" i="5"/>
  <c r="O113" i="5"/>
  <c r="M113" i="5"/>
  <c r="L113" i="5"/>
  <c r="N113" i="5" s="1"/>
  <c r="J113" i="5"/>
  <c r="H113" i="5"/>
  <c r="G113" i="5"/>
  <c r="I113" i="5" s="1"/>
  <c r="S112" i="5"/>
  <c r="Q112" i="5"/>
  <c r="R112" i="5" s="1"/>
  <c r="P112" i="5"/>
  <c r="O112" i="5"/>
  <c r="M112" i="5"/>
  <c r="T112" i="5" s="1"/>
  <c r="U112" i="5" s="1"/>
  <c r="V112" i="5" s="1"/>
  <c r="L112" i="5"/>
  <c r="K112" i="5"/>
  <c r="J112" i="5"/>
  <c r="H112" i="5"/>
  <c r="G112" i="5"/>
  <c r="I112" i="5" s="1"/>
  <c r="U111" i="5"/>
  <c r="V111" i="5" s="1"/>
  <c r="T111" i="5"/>
  <c r="S111" i="5"/>
  <c r="O111" i="5"/>
  <c r="N111" i="5"/>
  <c r="M111" i="5"/>
  <c r="L111" i="5"/>
  <c r="P111" i="5" s="1"/>
  <c r="Q111" i="5" s="1"/>
  <c r="R111" i="5" s="1"/>
  <c r="I111" i="5"/>
  <c r="H111" i="5"/>
  <c r="J111" i="5" s="1"/>
  <c r="G111" i="5"/>
  <c r="S110" i="5"/>
  <c r="O110" i="5"/>
  <c r="M110" i="5"/>
  <c r="L110" i="5"/>
  <c r="N110" i="5" s="1"/>
  <c r="J110" i="5"/>
  <c r="H110" i="5"/>
  <c r="G110" i="5"/>
  <c r="I110" i="5" s="1"/>
  <c r="S109" i="5"/>
  <c r="Q109" i="5"/>
  <c r="R109" i="5" s="1"/>
  <c r="P109" i="5"/>
  <c r="O109" i="5"/>
  <c r="M109" i="5"/>
  <c r="T109" i="5" s="1"/>
  <c r="U109" i="5" s="1"/>
  <c r="V109" i="5" s="1"/>
  <c r="L109" i="5"/>
  <c r="K109" i="5"/>
  <c r="J109" i="5"/>
  <c r="H109" i="5"/>
  <c r="G109" i="5"/>
  <c r="I109" i="5" s="1"/>
  <c r="U108" i="5"/>
  <c r="V108" i="5" s="1"/>
  <c r="T108" i="5"/>
  <c r="S108" i="5"/>
  <c r="Q108" i="5"/>
  <c r="R108" i="5" s="1"/>
  <c r="O108" i="5"/>
  <c r="N108" i="5"/>
  <c r="M108" i="5"/>
  <c r="L108" i="5"/>
  <c r="P108" i="5" s="1"/>
  <c r="I108" i="5"/>
  <c r="H108" i="5"/>
  <c r="J108" i="5" s="1"/>
  <c r="G108" i="5"/>
  <c r="S107" i="5"/>
  <c r="O107" i="5"/>
  <c r="M107" i="5"/>
  <c r="L107" i="5"/>
  <c r="I107" i="5"/>
  <c r="H107" i="5"/>
  <c r="J107" i="5" s="1"/>
  <c r="G107" i="5"/>
  <c r="S106" i="5"/>
  <c r="P106" i="5"/>
  <c r="Q106" i="5" s="1"/>
  <c r="R106" i="5" s="1"/>
  <c r="O106" i="5"/>
  <c r="M106" i="5"/>
  <c r="T106" i="5" s="1"/>
  <c r="L106" i="5"/>
  <c r="N106" i="5" s="1"/>
  <c r="K106" i="5"/>
  <c r="J106" i="5"/>
  <c r="I106" i="5"/>
  <c r="H106" i="5"/>
  <c r="G106" i="5"/>
  <c r="S105" i="5"/>
  <c r="Q105" i="5"/>
  <c r="R105" i="5" s="1"/>
  <c r="P105" i="5"/>
  <c r="O105" i="5"/>
  <c r="M105" i="5"/>
  <c r="N105" i="5" s="1"/>
  <c r="L105" i="5"/>
  <c r="H105" i="5"/>
  <c r="J105" i="5" s="1"/>
  <c r="G105" i="5"/>
  <c r="U104" i="5"/>
  <c r="V104" i="5" s="1"/>
  <c r="S104" i="5"/>
  <c r="O104" i="5"/>
  <c r="M104" i="5"/>
  <c r="T104" i="5" s="1"/>
  <c r="L104" i="5"/>
  <c r="I104" i="5"/>
  <c r="H104" i="5"/>
  <c r="J104" i="5" s="1"/>
  <c r="G104" i="5"/>
  <c r="U103" i="5"/>
  <c r="V103" i="5" s="1"/>
  <c r="S103" i="5"/>
  <c r="Q103" i="5"/>
  <c r="R103" i="5" s="1"/>
  <c r="P103" i="5"/>
  <c r="O103" i="5"/>
  <c r="M103" i="5"/>
  <c r="T103" i="5" s="1"/>
  <c r="L103" i="5"/>
  <c r="N103" i="5" s="1"/>
  <c r="J103" i="5"/>
  <c r="H103" i="5"/>
  <c r="G103" i="5"/>
  <c r="I103" i="5" s="1"/>
  <c r="S102" i="5"/>
  <c r="P102" i="5"/>
  <c r="O102" i="5"/>
  <c r="Q102" i="5" s="1"/>
  <c r="R102" i="5" s="1"/>
  <c r="N102" i="5"/>
  <c r="M102" i="5"/>
  <c r="T102" i="5" s="1"/>
  <c r="U102" i="5" s="1"/>
  <c r="V102" i="5" s="1"/>
  <c r="L102" i="5"/>
  <c r="H102" i="5"/>
  <c r="J102" i="5" s="1"/>
  <c r="G102" i="5"/>
  <c r="S101" i="5"/>
  <c r="O101" i="5"/>
  <c r="M101" i="5"/>
  <c r="T101" i="5" s="1"/>
  <c r="U101" i="5" s="1"/>
  <c r="V101" i="5" s="1"/>
  <c r="L101" i="5"/>
  <c r="H101" i="5"/>
  <c r="J101" i="5" s="1"/>
  <c r="G101" i="5"/>
  <c r="I101" i="5" s="1"/>
  <c r="S100" i="5"/>
  <c r="P100" i="5"/>
  <c r="Q100" i="5" s="1"/>
  <c r="R100" i="5" s="1"/>
  <c r="O100" i="5"/>
  <c r="M100" i="5"/>
  <c r="T100" i="5" s="1"/>
  <c r="U100" i="5" s="1"/>
  <c r="V100" i="5" s="1"/>
  <c r="L100" i="5"/>
  <c r="J100" i="5"/>
  <c r="H100" i="5"/>
  <c r="G100" i="5"/>
  <c r="I100" i="5" s="1"/>
  <c r="S99" i="5"/>
  <c r="P99" i="5"/>
  <c r="O99" i="5"/>
  <c r="Q99" i="5" s="1"/>
  <c r="R99" i="5" s="1"/>
  <c r="M99" i="5"/>
  <c r="N99" i="5" s="1"/>
  <c r="L99" i="5"/>
  <c r="H99" i="5"/>
  <c r="J99" i="5" s="1"/>
  <c r="G99" i="5"/>
  <c r="U98" i="5"/>
  <c r="V98" i="5" s="1"/>
  <c r="S98" i="5"/>
  <c r="O98" i="5"/>
  <c r="M98" i="5"/>
  <c r="T98" i="5" s="1"/>
  <c r="L98" i="5"/>
  <c r="H98" i="5"/>
  <c r="J98" i="5" s="1"/>
  <c r="G98" i="5"/>
  <c r="I98" i="5" s="1"/>
  <c r="U97" i="5"/>
  <c r="V97" i="5" s="1"/>
  <c r="S97" i="5"/>
  <c r="P97" i="5"/>
  <c r="Q97" i="5" s="1"/>
  <c r="R97" i="5" s="1"/>
  <c r="O97" i="5"/>
  <c r="M97" i="5"/>
  <c r="T97" i="5" s="1"/>
  <c r="L97" i="5"/>
  <c r="N97" i="5" s="1"/>
  <c r="J97" i="5"/>
  <c r="I97" i="5"/>
  <c r="H97" i="5"/>
  <c r="G97" i="5"/>
  <c r="S96" i="5"/>
  <c r="Q96" i="5"/>
  <c r="R96" i="5" s="1"/>
  <c r="P96" i="5"/>
  <c r="O96" i="5"/>
  <c r="N96" i="5"/>
  <c r="M96" i="5"/>
  <c r="T96" i="5" s="1"/>
  <c r="U96" i="5" s="1"/>
  <c r="V96" i="5" s="1"/>
  <c r="L96" i="5"/>
  <c r="K96" i="5"/>
  <c r="I96" i="5"/>
  <c r="H96" i="5"/>
  <c r="J96" i="5" s="1"/>
  <c r="G96" i="5"/>
  <c r="S95" i="5"/>
  <c r="O95" i="5"/>
  <c r="M95" i="5"/>
  <c r="T95" i="5" s="1"/>
  <c r="U95" i="5" s="1"/>
  <c r="V95" i="5" s="1"/>
  <c r="L95" i="5"/>
  <c r="I95" i="5"/>
  <c r="H95" i="5"/>
  <c r="J95" i="5" s="1"/>
  <c r="G95" i="5"/>
  <c r="S94" i="5"/>
  <c r="P94" i="5"/>
  <c r="Q94" i="5" s="1"/>
  <c r="R94" i="5" s="1"/>
  <c r="O94" i="5"/>
  <c r="M94" i="5"/>
  <c r="T94" i="5" s="1"/>
  <c r="U94" i="5" s="1"/>
  <c r="V94" i="5" s="1"/>
  <c r="L94" i="5"/>
  <c r="J94" i="5"/>
  <c r="I94" i="5"/>
  <c r="H94" i="5"/>
  <c r="G94" i="5"/>
  <c r="S93" i="5"/>
  <c r="Q93" i="5"/>
  <c r="R93" i="5" s="1"/>
  <c r="P93" i="5"/>
  <c r="O93" i="5"/>
  <c r="M93" i="5"/>
  <c r="N93" i="5" s="1"/>
  <c r="L93" i="5"/>
  <c r="K93" i="5"/>
  <c r="H93" i="5"/>
  <c r="J93" i="5" s="1"/>
  <c r="G93" i="5"/>
  <c r="S92" i="5"/>
  <c r="U92" i="5" s="1"/>
  <c r="V92" i="5" s="1"/>
  <c r="O92" i="5"/>
  <c r="M92" i="5"/>
  <c r="T92" i="5" s="1"/>
  <c r="L92" i="5"/>
  <c r="K92" i="5"/>
  <c r="I92" i="5"/>
  <c r="H92" i="5"/>
  <c r="J92" i="5" s="1"/>
  <c r="G92" i="5"/>
  <c r="S91" i="5"/>
  <c r="U91" i="5" s="1"/>
  <c r="V91" i="5" s="1"/>
  <c r="Q91" i="5"/>
  <c r="R91" i="5" s="1"/>
  <c r="P91" i="5"/>
  <c r="O91" i="5"/>
  <c r="M91" i="5"/>
  <c r="T91" i="5" s="1"/>
  <c r="L91" i="5"/>
  <c r="N91" i="5" s="1"/>
  <c r="K91" i="5"/>
  <c r="J91" i="5"/>
  <c r="I91" i="5"/>
  <c r="H91" i="5"/>
  <c r="G91" i="5"/>
  <c r="S90" i="5"/>
  <c r="Q90" i="5"/>
  <c r="R90" i="5" s="1"/>
  <c r="P90" i="5"/>
  <c r="O90" i="5"/>
  <c r="M90" i="5"/>
  <c r="N90" i="5" s="1"/>
  <c r="L90" i="5"/>
  <c r="I90" i="5"/>
  <c r="H90" i="5"/>
  <c r="J90" i="5" s="1"/>
  <c r="G90" i="5"/>
  <c r="S89" i="5"/>
  <c r="U89" i="5" s="1"/>
  <c r="V89" i="5" s="1"/>
  <c r="O89" i="5"/>
  <c r="M89" i="5"/>
  <c r="T89" i="5" s="1"/>
  <c r="L89" i="5"/>
  <c r="K89" i="5"/>
  <c r="I89" i="5"/>
  <c r="H89" i="5"/>
  <c r="J89" i="5" s="1"/>
  <c r="G89" i="5"/>
  <c r="S88" i="5"/>
  <c r="U88" i="5" s="1"/>
  <c r="V88" i="5" s="1"/>
  <c r="P88" i="5"/>
  <c r="Q88" i="5" s="1"/>
  <c r="R88" i="5" s="1"/>
  <c r="O88" i="5"/>
  <c r="M88" i="5"/>
  <c r="T88" i="5" s="1"/>
  <c r="L88" i="5"/>
  <c r="N88" i="5" s="1"/>
  <c r="K88" i="5"/>
  <c r="J88" i="5"/>
  <c r="I88" i="5"/>
  <c r="H88" i="5"/>
  <c r="G88" i="5"/>
  <c r="S87" i="5"/>
  <c r="Q87" i="5"/>
  <c r="R87" i="5" s="1"/>
  <c r="P87" i="5"/>
  <c r="O87" i="5"/>
  <c r="M87" i="5"/>
  <c r="N87" i="5" s="1"/>
  <c r="L87" i="5"/>
  <c r="H87" i="5"/>
  <c r="J87" i="5" s="1"/>
  <c r="G87" i="5"/>
  <c r="U86" i="5"/>
  <c r="V86" i="5" s="1"/>
  <c r="S86" i="5"/>
  <c r="O86" i="5"/>
  <c r="M86" i="5"/>
  <c r="T86" i="5" s="1"/>
  <c r="L86" i="5"/>
  <c r="I86" i="5"/>
  <c r="H86" i="5"/>
  <c r="J86" i="5" s="1"/>
  <c r="G86" i="5"/>
  <c r="U85" i="5"/>
  <c r="V85" i="5" s="1"/>
  <c r="S85" i="5"/>
  <c r="Q85" i="5"/>
  <c r="R85" i="5" s="1"/>
  <c r="P85" i="5"/>
  <c r="O85" i="5"/>
  <c r="M85" i="5"/>
  <c r="T85" i="5" s="1"/>
  <c r="L85" i="5"/>
  <c r="N85" i="5" s="1"/>
  <c r="J85" i="5"/>
  <c r="H85" i="5"/>
  <c r="G85" i="5"/>
  <c r="I85" i="5" s="1"/>
  <c r="S84" i="5"/>
  <c r="P84" i="5"/>
  <c r="O84" i="5"/>
  <c r="Q84" i="5" s="1"/>
  <c r="R84" i="5" s="1"/>
  <c r="N84" i="5"/>
  <c r="M84" i="5"/>
  <c r="T84" i="5" s="1"/>
  <c r="U84" i="5" s="1"/>
  <c r="V84" i="5" s="1"/>
  <c r="L84" i="5"/>
  <c r="H84" i="5"/>
  <c r="J84" i="5" s="1"/>
  <c r="G84" i="5"/>
  <c r="S83" i="5"/>
  <c r="O83" i="5"/>
  <c r="M83" i="5"/>
  <c r="T83" i="5" s="1"/>
  <c r="U83" i="5" s="1"/>
  <c r="V83" i="5" s="1"/>
  <c r="L83" i="5"/>
  <c r="H83" i="5"/>
  <c r="J83" i="5" s="1"/>
  <c r="G83" i="5"/>
  <c r="I83" i="5" s="1"/>
  <c r="S82" i="5"/>
  <c r="P82" i="5"/>
  <c r="Q82" i="5" s="1"/>
  <c r="R82" i="5" s="1"/>
  <c r="O82" i="5"/>
  <c r="M82" i="5"/>
  <c r="T82" i="5" s="1"/>
  <c r="U82" i="5" s="1"/>
  <c r="V82" i="5" s="1"/>
  <c r="L82" i="5"/>
  <c r="N82" i="5" s="1"/>
  <c r="J82" i="5"/>
  <c r="I82" i="5"/>
  <c r="H82" i="5"/>
  <c r="G82" i="5"/>
  <c r="S81" i="5"/>
  <c r="Q81" i="5"/>
  <c r="R81" i="5" s="1"/>
  <c r="P81" i="5"/>
  <c r="O81" i="5"/>
  <c r="M81" i="5"/>
  <c r="N81" i="5" s="1"/>
  <c r="L81" i="5"/>
  <c r="K81" i="5"/>
  <c r="J81" i="5"/>
  <c r="I81" i="5"/>
  <c r="H81" i="5"/>
  <c r="G81" i="5"/>
  <c r="S80" i="5"/>
  <c r="O80" i="5"/>
  <c r="M80" i="5"/>
  <c r="N80" i="5" s="1"/>
  <c r="L80" i="5"/>
  <c r="P80" i="5" s="1"/>
  <c r="Q80" i="5" s="1"/>
  <c r="R80" i="5" s="1"/>
  <c r="H80" i="5"/>
  <c r="J80" i="5" s="1"/>
  <c r="G80" i="5"/>
  <c r="T79" i="5"/>
  <c r="U79" i="5" s="1"/>
  <c r="V79" i="5" s="1"/>
  <c r="S79" i="5"/>
  <c r="P79" i="5"/>
  <c r="Q79" i="5" s="1"/>
  <c r="R79" i="5" s="1"/>
  <c r="O79" i="5"/>
  <c r="M79" i="5"/>
  <c r="L79" i="5"/>
  <c r="N79" i="5" s="1"/>
  <c r="K79" i="5"/>
  <c r="J79" i="5"/>
  <c r="H79" i="5"/>
  <c r="I79" i="5" s="1"/>
  <c r="G79" i="5"/>
  <c r="T78" i="5"/>
  <c r="U78" i="5" s="1"/>
  <c r="V78" i="5" s="1"/>
  <c r="S78" i="5"/>
  <c r="O78" i="5"/>
  <c r="N78" i="5"/>
  <c r="M78" i="5"/>
  <c r="L78" i="5"/>
  <c r="P78" i="5" s="1"/>
  <c r="Q78" i="5" s="1"/>
  <c r="R78" i="5" s="1"/>
  <c r="H78" i="5"/>
  <c r="K78" i="5" s="1"/>
  <c r="G78" i="5"/>
  <c r="S77" i="5"/>
  <c r="O77" i="5"/>
  <c r="M77" i="5"/>
  <c r="T77" i="5" s="1"/>
  <c r="U77" i="5" s="1"/>
  <c r="V77" i="5" s="1"/>
  <c r="L77" i="5"/>
  <c r="N77" i="5" s="1"/>
  <c r="J77" i="5"/>
  <c r="H77" i="5"/>
  <c r="I77" i="5" s="1"/>
  <c r="G77" i="5"/>
  <c r="T76" i="5"/>
  <c r="U76" i="5" s="1"/>
  <c r="V76" i="5" s="1"/>
  <c r="S76" i="5"/>
  <c r="P76" i="5"/>
  <c r="Q76" i="5" s="1"/>
  <c r="R76" i="5" s="1"/>
  <c r="O76" i="5"/>
  <c r="M76" i="5"/>
  <c r="L76" i="5"/>
  <c r="N76" i="5" s="1"/>
  <c r="K76" i="5"/>
  <c r="J76" i="5"/>
  <c r="H76" i="5"/>
  <c r="I76" i="5" s="1"/>
  <c r="G76" i="5"/>
  <c r="T75" i="5"/>
  <c r="U75" i="5" s="1"/>
  <c r="V75" i="5" s="1"/>
  <c r="S75" i="5"/>
  <c r="O75" i="5"/>
  <c r="N75" i="5"/>
  <c r="M75" i="5"/>
  <c r="L75" i="5"/>
  <c r="P75" i="5" s="1"/>
  <c r="Q75" i="5" s="1"/>
  <c r="R75" i="5" s="1"/>
  <c r="H75" i="5"/>
  <c r="K75" i="5" s="1"/>
  <c r="G75" i="5"/>
  <c r="S74" i="5"/>
  <c r="O74" i="5"/>
  <c r="M74" i="5"/>
  <c r="T74" i="5" s="1"/>
  <c r="U74" i="5" s="1"/>
  <c r="V74" i="5" s="1"/>
  <c r="L74" i="5"/>
  <c r="N74" i="5" s="1"/>
  <c r="J74" i="5"/>
  <c r="H74" i="5"/>
  <c r="I74" i="5" s="1"/>
  <c r="G74" i="5"/>
  <c r="T73" i="5"/>
  <c r="U73" i="5" s="1"/>
  <c r="V73" i="5" s="1"/>
  <c r="S73" i="5"/>
  <c r="P73" i="5"/>
  <c r="Q73" i="5" s="1"/>
  <c r="R73" i="5" s="1"/>
  <c r="O73" i="5"/>
  <c r="M73" i="5"/>
  <c r="L73" i="5"/>
  <c r="N73" i="5" s="1"/>
  <c r="K73" i="5"/>
  <c r="J73" i="5"/>
  <c r="H73" i="5"/>
  <c r="I73" i="5" s="1"/>
  <c r="G73" i="5"/>
  <c r="T72" i="5"/>
  <c r="U72" i="5" s="1"/>
  <c r="V72" i="5" s="1"/>
  <c r="S72" i="5"/>
  <c r="O72" i="5"/>
  <c r="N72" i="5"/>
  <c r="M72" i="5"/>
  <c r="L72" i="5"/>
  <c r="P72" i="5" s="1"/>
  <c r="Q72" i="5" s="1"/>
  <c r="R72" i="5" s="1"/>
  <c r="H72" i="5"/>
  <c r="K72" i="5" s="1"/>
  <c r="G72" i="5"/>
  <c r="S71" i="5"/>
  <c r="O71" i="5"/>
  <c r="M71" i="5"/>
  <c r="T71" i="5" s="1"/>
  <c r="U71" i="5" s="1"/>
  <c r="V71" i="5" s="1"/>
  <c r="L71" i="5"/>
  <c r="N71" i="5" s="1"/>
  <c r="J71" i="5"/>
  <c r="H71" i="5"/>
  <c r="I71" i="5" s="1"/>
  <c r="G71" i="5"/>
  <c r="T70" i="5"/>
  <c r="U70" i="5" s="1"/>
  <c r="V70" i="5" s="1"/>
  <c r="S70" i="5"/>
  <c r="P70" i="5"/>
  <c r="Q70" i="5" s="1"/>
  <c r="R70" i="5" s="1"/>
  <c r="O70" i="5"/>
  <c r="M70" i="5"/>
  <c r="L70" i="5"/>
  <c r="N70" i="5" s="1"/>
  <c r="K70" i="5"/>
  <c r="J70" i="5"/>
  <c r="H70" i="5"/>
  <c r="I70" i="5" s="1"/>
  <c r="G70" i="5"/>
  <c r="T69" i="5"/>
  <c r="U69" i="5" s="1"/>
  <c r="V69" i="5" s="1"/>
  <c r="S69" i="5"/>
  <c r="O69" i="5"/>
  <c r="N69" i="5"/>
  <c r="M69" i="5"/>
  <c r="L69" i="5"/>
  <c r="P69" i="5" s="1"/>
  <c r="Q69" i="5" s="1"/>
  <c r="R69" i="5" s="1"/>
  <c r="H69" i="5"/>
  <c r="K69" i="5" s="1"/>
  <c r="G69" i="5"/>
  <c r="S68" i="5"/>
  <c r="O68" i="5"/>
  <c r="M68" i="5"/>
  <c r="T68" i="5" s="1"/>
  <c r="U68" i="5" s="1"/>
  <c r="V68" i="5" s="1"/>
  <c r="L68" i="5"/>
  <c r="N68" i="5" s="1"/>
  <c r="J68" i="5"/>
  <c r="H68" i="5"/>
  <c r="I68" i="5" s="1"/>
  <c r="G68" i="5"/>
  <c r="S67" i="5"/>
  <c r="P67" i="5"/>
  <c r="Q67" i="5" s="1"/>
  <c r="R67" i="5" s="1"/>
  <c r="O67" i="5"/>
  <c r="M67" i="5"/>
  <c r="L67" i="5"/>
  <c r="J67" i="5"/>
  <c r="I67" i="5"/>
  <c r="H67" i="5"/>
  <c r="G67" i="5"/>
  <c r="S66" i="5"/>
  <c r="O66" i="5"/>
  <c r="M66" i="5"/>
  <c r="L66" i="5"/>
  <c r="P66" i="5" s="1"/>
  <c r="Q66" i="5" s="1"/>
  <c r="R66" i="5" s="1"/>
  <c r="H66" i="5"/>
  <c r="J66" i="5" s="1"/>
  <c r="G66" i="5"/>
  <c r="S65" i="5"/>
  <c r="O65" i="5"/>
  <c r="M65" i="5"/>
  <c r="T65" i="5" s="1"/>
  <c r="U65" i="5" s="1"/>
  <c r="V65" i="5" s="1"/>
  <c r="L65" i="5"/>
  <c r="N65" i="5" s="1"/>
  <c r="K65" i="5"/>
  <c r="J65" i="5"/>
  <c r="I65" i="5"/>
  <c r="H65" i="5"/>
  <c r="G65" i="5"/>
  <c r="S64" i="5"/>
  <c r="P64" i="5"/>
  <c r="O64" i="5"/>
  <c r="M64" i="5"/>
  <c r="L64" i="5"/>
  <c r="J64" i="5"/>
  <c r="H64" i="5"/>
  <c r="G64" i="5"/>
  <c r="I64" i="5" s="1"/>
  <c r="S63" i="5"/>
  <c r="Q63" i="5"/>
  <c r="R63" i="5" s="1"/>
  <c r="O63" i="5"/>
  <c r="M63" i="5"/>
  <c r="K63" i="5" s="1"/>
  <c r="L63" i="5"/>
  <c r="P63" i="5" s="1"/>
  <c r="H63" i="5"/>
  <c r="J63" i="5" s="1"/>
  <c r="G63" i="5"/>
  <c r="U62" i="5"/>
  <c r="V62" i="5" s="1"/>
  <c r="S62" i="5"/>
  <c r="O62" i="5"/>
  <c r="M62" i="5"/>
  <c r="T62" i="5" s="1"/>
  <c r="L62" i="5"/>
  <c r="N62" i="5" s="1"/>
  <c r="K62" i="5"/>
  <c r="J62" i="5"/>
  <c r="I62" i="5"/>
  <c r="H62" i="5"/>
  <c r="G62" i="5"/>
  <c r="S61" i="5"/>
  <c r="P61" i="5"/>
  <c r="Q61" i="5" s="1"/>
  <c r="R61" i="5" s="1"/>
  <c r="O61" i="5"/>
  <c r="M61" i="5"/>
  <c r="L61" i="5"/>
  <c r="J61" i="5"/>
  <c r="I61" i="5"/>
  <c r="H61" i="5"/>
  <c r="G61" i="5"/>
  <c r="S60" i="5"/>
  <c r="O60" i="5"/>
  <c r="M60" i="5"/>
  <c r="K60" i="5" s="1"/>
  <c r="L60" i="5"/>
  <c r="P60" i="5" s="1"/>
  <c r="Q60" i="5" s="1"/>
  <c r="R60" i="5" s="1"/>
  <c r="H60" i="5"/>
  <c r="J60" i="5" s="1"/>
  <c r="G60" i="5"/>
  <c r="U59" i="5"/>
  <c r="V59" i="5" s="1"/>
  <c r="S59" i="5"/>
  <c r="O59" i="5"/>
  <c r="M59" i="5"/>
  <c r="T59" i="5" s="1"/>
  <c r="L59" i="5"/>
  <c r="K59" i="5"/>
  <c r="J59" i="5"/>
  <c r="I59" i="5"/>
  <c r="H59" i="5"/>
  <c r="G59" i="5"/>
  <c r="S58" i="5"/>
  <c r="P58" i="5"/>
  <c r="O58" i="5"/>
  <c r="M58" i="5"/>
  <c r="L58" i="5"/>
  <c r="J58" i="5"/>
  <c r="H58" i="5"/>
  <c r="G58" i="5"/>
  <c r="I58" i="5" s="1"/>
  <c r="S57" i="5"/>
  <c r="Q57" i="5"/>
  <c r="R57" i="5" s="1"/>
  <c r="O57" i="5"/>
  <c r="M57" i="5"/>
  <c r="T57" i="5" s="1"/>
  <c r="U57" i="5" s="1"/>
  <c r="V57" i="5" s="1"/>
  <c r="L57" i="5"/>
  <c r="P57" i="5" s="1"/>
  <c r="K57" i="5"/>
  <c r="H57" i="5"/>
  <c r="G57" i="5"/>
  <c r="S56" i="5"/>
  <c r="O56" i="5"/>
  <c r="M56" i="5"/>
  <c r="T56" i="5" s="1"/>
  <c r="U56" i="5" s="1"/>
  <c r="V56" i="5" s="1"/>
  <c r="L56" i="5"/>
  <c r="K56" i="5"/>
  <c r="J56" i="5"/>
  <c r="I56" i="5"/>
  <c r="H56" i="5"/>
  <c r="G56" i="5"/>
  <c r="S55" i="5"/>
  <c r="P55" i="5"/>
  <c r="Q55" i="5" s="1"/>
  <c r="R55" i="5" s="1"/>
  <c r="O55" i="5"/>
  <c r="M55" i="5"/>
  <c r="L55" i="5"/>
  <c r="J55" i="5"/>
  <c r="H55" i="5"/>
  <c r="G55" i="5"/>
  <c r="I55" i="5" s="1"/>
  <c r="T54" i="5"/>
  <c r="U54" i="5" s="1"/>
  <c r="V54" i="5" s="1"/>
  <c r="S54" i="5"/>
  <c r="O54" i="5"/>
  <c r="M54" i="5"/>
  <c r="N54" i="5" s="1"/>
  <c r="L54" i="5"/>
  <c r="P54" i="5" s="1"/>
  <c r="Q54" i="5" s="1"/>
  <c r="R54" i="5" s="1"/>
  <c r="H54" i="5"/>
  <c r="G54" i="5"/>
  <c r="U53" i="5"/>
  <c r="V53" i="5" s="1"/>
  <c r="S53" i="5"/>
  <c r="O53" i="5"/>
  <c r="M53" i="5"/>
  <c r="T53" i="5" s="1"/>
  <c r="L53" i="5"/>
  <c r="K53" i="5"/>
  <c r="J53" i="5"/>
  <c r="I53" i="5"/>
  <c r="H53" i="5"/>
  <c r="G53" i="5"/>
  <c r="S52" i="5"/>
  <c r="P52" i="5"/>
  <c r="Q52" i="5" s="1"/>
  <c r="R52" i="5" s="1"/>
  <c r="O52" i="5"/>
  <c r="M52" i="5"/>
  <c r="T52" i="5" s="1"/>
  <c r="U52" i="5" s="1"/>
  <c r="V52" i="5" s="1"/>
  <c r="L52" i="5"/>
  <c r="K52" i="5"/>
  <c r="J52" i="5"/>
  <c r="H52" i="5"/>
  <c r="G52" i="5"/>
  <c r="I52" i="5" s="1"/>
  <c r="T51" i="5"/>
  <c r="U51" i="5" s="1"/>
  <c r="V51" i="5" s="1"/>
  <c r="S51" i="5"/>
  <c r="O51" i="5"/>
  <c r="N51" i="5"/>
  <c r="M51" i="5"/>
  <c r="K51" i="5" s="1"/>
  <c r="L51" i="5"/>
  <c r="P51" i="5" s="1"/>
  <c r="Q51" i="5" s="1"/>
  <c r="R51" i="5" s="1"/>
  <c r="H51" i="5"/>
  <c r="J51" i="5" s="1"/>
  <c r="G51" i="5"/>
  <c r="I51" i="5" s="1"/>
  <c r="S50" i="5"/>
  <c r="P50" i="5"/>
  <c r="Q50" i="5" s="1"/>
  <c r="R50" i="5" s="1"/>
  <c r="O50" i="5"/>
  <c r="M50" i="5"/>
  <c r="T50" i="5" s="1"/>
  <c r="U50" i="5" s="1"/>
  <c r="V50" i="5" s="1"/>
  <c r="L50" i="5"/>
  <c r="J50" i="5"/>
  <c r="H50" i="5"/>
  <c r="G50" i="5"/>
  <c r="I50" i="5" s="1"/>
  <c r="S49" i="5"/>
  <c r="P49" i="5"/>
  <c r="Q49" i="5" s="1"/>
  <c r="R49" i="5" s="1"/>
  <c r="O49" i="5"/>
  <c r="M49" i="5"/>
  <c r="T49" i="5" s="1"/>
  <c r="U49" i="5" s="1"/>
  <c r="V49" i="5" s="1"/>
  <c r="L49" i="5"/>
  <c r="N49" i="5" s="1"/>
  <c r="K49" i="5"/>
  <c r="J49" i="5"/>
  <c r="H49" i="5"/>
  <c r="I49" i="5" s="1"/>
  <c r="G49" i="5"/>
  <c r="T48" i="5"/>
  <c r="U48" i="5" s="1"/>
  <c r="V48" i="5" s="1"/>
  <c r="S48" i="5"/>
  <c r="P48" i="5"/>
  <c r="Q48" i="5" s="1"/>
  <c r="R48" i="5" s="1"/>
  <c r="O48" i="5"/>
  <c r="N48" i="5"/>
  <c r="M48" i="5"/>
  <c r="L48" i="5"/>
  <c r="I48" i="5"/>
  <c r="H48" i="5"/>
  <c r="K48" i="5" s="1"/>
  <c r="G48" i="5"/>
  <c r="S47" i="5"/>
  <c r="O47" i="5"/>
  <c r="M47" i="5"/>
  <c r="T47" i="5" s="1"/>
  <c r="L47" i="5"/>
  <c r="N47" i="5" s="1"/>
  <c r="H47" i="5"/>
  <c r="G47" i="5"/>
  <c r="T46" i="5"/>
  <c r="U46" i="5" s="1"/>
  <c r="V46" i="5" s="1"/>
  <c r="S46" i="5"/>
  <c r="Q46" i="5"/>
  <c r="R46" i="5" s="1"/>
  <c r="P46" i="5"/>
  <c r="O46" i="5"/>
  <c r="M46" i="5"/>
  <c r="L46" i="5"/>
  <c r="N46" i="5" s="1"/>
  <c r="K46" i="5"/>
  <c r="J46" i="5"/>
  <c r="H46" i="5"/>
  <c r="I46" i="5" s="1"/>
  <c r="G46" i="5"/>
  <c r="U45" i="5"/>
  <c r="V45" i="5" s="1"/>
  <c r="T45" i="5"/>
  <c r="S45" i="5"/>
  <c r="P45" i="5"/>
  <c r="O45" i="5"/>
  <c r="N45" i="5"/>
  <c r="M45" i="5"/>
  <c r="L45" i="5"/>
  <c r="I45" i="5"/>
  <c r="H45" i="5"/>
  <c r="K45" i="5" s="1"/>
  <c r="G45" i="5"/>
  <c r="S44" i="5"/>
  <c r="O44" i="5"/>
  <c r="M44" i="5"/>
  <c r="T44" i="5" s="1"/>
  <c r="U44" i="5" s="1"/>
  <c r="V44" i="5" s="1"/>
  <c r="L44" i="5"/>
  <c r="N44" i="5" s="1"/>
  <c r="H44" i="5"/>
  <c r="G44" i="5"/>
  <c r="T43" i="5"/>
  <c r="U43" i="5" s="1"/>
  <c r="V43" i="5" s="1"/>
  <c r="S43" i="5"/>
  <c r="Q43" i="5"/>
  <c r="R43" i="5" s="1"/>
  <c r="P43" i="5"/>
  <c r="O43" i="5"/>
  <c r="M43" i="5"/>
  <c r="L43" i="5"/>
  <c r="N43" i="5" s="1"/>
  <c r="K43" i="5"/>
  <c r="J43" i="5"/>
  <c r="H43" i="5"/>
  <c r="I43" i="5" s="1"/>
  <c r="G43" i="5"/>
  <c r="U42" i="5"/>
  <c r="V42" i="5" s="1"/>
  <c r="T42" i="5"/>
  <c r="S42" i="5"/>
  <c r="P42" i="5"/>
  <c r="O42" i="5"/>
  <c r="N42" i="5"/>
  <c r="M42" i="5"/>
  <c r="L42" i="5"/>
  <c r="I42" i="5"/>
  <c r="H42" i="5"/>
  <c r="K42" i="5" s="1"/>
  <c r="G42" i="5"/>
  <c r="S41" i="5"/>
  <c r="O41" i="5"/>
  <c r="M41" i="5"/>
  <c r="T41" i="5" s="1"/>
  <c r="U41" i="5" s="1"/>
  <c r="V41" i="5" s="1"/>
  <c r="L41" i="5"/>
  <c r="N41" i="5" s="1"/>
  <c r="H41" i="5"/>
  <c r="G41" i="5"/>
  <c r="T40" i="5"/>
  <c r="U40" i="5" s="1"/>
  <c r="V40" i="5" s="1"/>
  <c r="S40" i="5"/>
  <c r="Q40" i="5"/>
  <c r="R40" i="5" s="1"/>
  <c r="P40" i="5"/>
  <c r="O40" i="5"/>
  <c r="M40" i="5"/>
  <c r="L40" i="5"/>
  <c r="N40" i="5" s="1"/>
  <c r="K40" i="5"/>
  <c r="J40" i="5"/>
  <c r="H40" i="5"/>
  <c r="I40" i="5" s="1"/>
  <c r="G40" i="5"/>
  <c r="U39" i="5"/>
  <c r="V39" i="5" s="1"/>
  <c r="T39" i="5"/>
  <c r="S39" i="5"/>
  <c r="P39" i="5"/>
  <c r="O39" i="5"/>
  <c r="N39" i="5"/>
  <c r="M39" i="5"/>
  <c r="L39" i="5"/>
  <c r="I39" i="5"/>
  <c r="H39" i="5"/>
  <c r="K39" i="5" s="1"/>
  <c r="G39" i="5"/>
  <c r="S38" i="5"/>
  <c r="O38" i="5"/>
  <c r="M38" i="5"/>
  <c r="T38" i="5" s="1"/>
  <c r="L38" i="5"/>
  <c r="N38" i="5" s="1"/>
  <c r="H38" i="5"/>
  <c r="G38" i="5"/>
  <c r="T37" i="5"/>
  <c r="U37" i="5" s="1"/>
  <c r="V37" i="5" s="1"/>
  <c r="S37" i="5"/>
  <c r="Q37" i="5"/>
  <c r="R37" i="5" s="1"/>
  <c r="P37" i="5"/>
  <c r="O37" i="5"/>
  <c r="M37" i="5"/>
  <c r="L37" i="5"/>
  <c r="N37" i="5" s="1"/>
  <c r="K37" i="5"/>
  <c r="J37" i="5"/>
  <c r="H37" i="5"/>
  <c r="I37" i="5" s="1"/>
  <c r="G37" i="5"/>
  <c r="U36" i="5"/>
  <c r="V36" i="5" s="1"/>
  <c r="T36" i="5"/>
  <c r="S36" i="5"/>
  <c r="P36" i="5"/>
  <c r="O36" i="5"/>
  <c r="N36" i="5"/>
  <c r="M36" i="5"/>
  <c r="L36" i="5"/>
  <c r="I36" i="5"/>
  <c r="H36" i="5"/>
  <c r="K36" i="5" s="1"/>
  <c r="G36" i="5"/>
  <c r="S35" i="5"/>
  <c r="O35" i="5"/>
  <c r="M35" i="5"/>
  <c r="T35" i="5" s="1"/>
  <c r="U35" i="5" s="1"/>
  <c r="V35" i="5" s="1"/>
  <c r="L35" i="5"/>
  <c r="N35" i="5" s="1"/>
  <c r="H35" i="5"/>
  <c r="G35" i="5"/>
  <c r="T34" i="5"/>
  <c r="U34" i="5" s="1"/>
  <c r="V34" i="5" s="1"/>
  <c r="S34" i="5"/>
  <c r="Q34" i="5"/>
  <c r="R34" i="5" s="1"/>
  <c r="P34" i="5"/>
  <c r="O34" i="5"/>
  <c r="M34" i="5"/>
  <c r="L34" i="5"/>
  <c r="N34" i="5" s="1"/>
  <c r="K34" i="5"/>
  <c r="J34" i="5"/>
  <c r="H34" i="5"/>
  <c r="I34" i="5" s="1"/>
  <c r="G34" i="5"/>
  <c r="U33" i="5"/>
  <c r="V33" i="5" s="1"/>
  <c r="T33" i="5"/>
  <c r="S33" i="5"/>
  <c r="P33" i="5"/>
  <c r="O33" i="5"/>
  <c r="N33" i="5"/>
  <c r="M33" i="5"/>
  <c r="L33" i="5"/>
  <c r="I33" i="5"/>
  <c r="H33" i="5"/>
  <c r="K33" i="5" s="1"/>
  <c r="G33" i="5"/>
  <c r="S32" i="5"/>
  <c r="O32" i="5"/>
  <c r="M32" i="5"/>
  <c r="T32" i="5" s="1"/>
  <c r="U32" i="5" s="1"/>
  <c r="V32" i="5" s="1"/>
  <c r="L32" i="5"/>
  <c r="N32" i="5" s="1"/>
  <c r="H32" i="5"/>
  <c r="G32" i="5"/>
  <c r="T31" i="5"/>
  <c r="U31" i="5" s="1"/>
  <c r="V31" i="5" s="1"/>
  <c r="S31" i="5"/>
  <c r="Q31" i="5"/>
  <c r="R31" i="5" s="1"/>
  <c r="P31" i="5"/>
  <c r="O31" i="5"/>
  <c r="M31" i="5"/>
  <c r="L31" i="5"/>
  <c r="N31" i="5" s="1"/>
  <c r="K31" i="5"/>
  <c r="J31" i="5"/>
  <c r="H31" i="5"/>
  <c r="I31" i="5" s="1"/>
  <c r="G31" i="5"/>
  <c r="U30" i="5"/>
  <c r="V30" i="5" s="1"/>
  <c r="T30" i="5"/>
  <c r="S30" i="5"/>
  <c r="P30" i="5"/>
  <c r="O30" i="5"/>
  <c r="N30" i="5"/>
  <c r="M30" i="5"/>
  <c r="L30" i="5"/>
  <c r="I30" i="5"/>
  <c r="H30" i="5"/>
  <c r="K30" i="5" s="1"/>
  <c r="G30" i="5"/>
  <c r="S29" i="5"/>
  <c r="O29" i="5"/>
  <c r="M29" i="5"/>
  <c r="T29" i="5" s="1"/>
  <c r="L29" i="5"/>
  <c r="N29" i="5" s="1"/>
  <c r="H29" i="5"/>
  <c r="G29" i="5"/>
  <c r="T28" i="5"/>
  <c r="U28" i="5" s="1"/>
  <c r="V28" i="5" s="1"/>
  <c r="S28" i="5"/>
  <c r="Q28" i="5"/>
  <c r="R28" i="5" s="1"/>
  <c r="P28" i="5"/>
  <c r="O28" i="5"/>
  <c r="M28" i="5"/>
  <c r="L28" i="5"/>
  <c r="N28" i="5" s="1"/>
  <c r="K28" i="5"/>
  <c r="J28" i="5"/>
  <c r="H28" i="5"/>
  <c r="I28" i="5" s="1"/>
  <c r="G28" i="5"/>
  <c r="U27" i="5"/>
  <c r="V27" i="5" s="1"/>
  <c r="T27" i="5"/>
  <c r="S27" i="5"/>
  <c r="P27" i="5"/>
  <c r="O27" i="5"/>
  <c r="N27" i="5"/>
  <c r="M27" i="5"/>
  <c r="L27" i="5"/>
  <c r="I27" i="5"/>
  <c r="H27" i="5"/>
  <c r="K27" i="5" s="1"/>
  <c r="G27" i="5"/>
  <c r="S26" i="5"/>
  <c r="O26" i="5"/>
  <c r="M26" i="5"/>
  <c r="T26" i="5" s="1"/>
  <c r="U26" i="5" s="1"/>
  <c r="V26" i="5" s="1"/>
  <c r="L26" i="5"/>
  <c r="N26" i="5" s="1"/>
  <c r="H26" i="5"/>
  <c r="G26" i="5"/>
  <c r="T25" i="5"/>
  <c r="U25" i="5" s="1"/>
  <c r="V25" i="5" s="1"/>
  <c r="S25" i="5"/>
  <c r="Q25" i="5"/>
  <c r="R25" i="5" s="1"/>
  <c r="P25" i="5"/>
  <c r="O25" i="5"/>
  <c r="M25" i="5"/>
  <c r="L25" i="5"/>
  <c r="N25" i="5" s="1"/>
  <c r="K25" i="5"/>
  <c r="J25" i="5"/>
  <c r="H25" i="5"/>
  <c r="I25" i="5" s="1"/>
  <c r="G25" i="5"/>
  <c r="U24" i="5"/>
  <c r="V24" i="5" s="1"/>
  <c r="T24" i="5"/>
  <c r="S24" i="5"/>
  <c r="P24" i="5"/>
  <c r="O24" i="5"/>
  <c r="N24" i="5"/>
  <c r="M24" i="5"/>
  <c r="L24" i="5"/>
  <c r="I24" i="5"/>
  <c r="H24" i="5"/>
  <c r="K24" i="5" s="1"/>
  <c r="G24" i="5"/>
  <c r="S23" i="5"/>
  <c r="O23" i="5"/>
  <c r="M23" i="5"/>
  <c r="T23" i="5" s="1"/>
  <c r="U23" i="5" s="1"/>
  <c r="V23" i="5" s="1"/>
  <c r="L23" i="5"/>
  <c r="N23" i="5" s="1"/>
  <c r="H23" i="5"/>
  <c r="G23" i="5"/>
  <c r="T22" i="5"/>
  <c r="U22" i="5" s="1"/>
  <c r="V22" i="5" s="1"/>
  <c r="S22" i="5"/>
  <c r="Q22" i="5"/>
  <c r="R22" i="5" s="1"/>
  <c r="P22" i="5"/>
  <c r="O22" i="5"/>
  <c r="M22" i="5"/>
  <c r="L22" i="5"/>
  <c r="N22" i="5" s="1"/>
  <c r="K22" i="5"/>
  <c r="J22" i="5"/>
  <c r="H22" i="5"/>
  <c r="I22" i="5" s="1"/>
  <c r="G22" i="5"/>
  <c r="U21" i="5"/>
  <c r="V21" i="5" s="1"/>
  <c r="T21" i="5"/>
  <c r="S21" i="5"/>
  <c r="O21" i="5"/>
  <c r="M21" i="5"/>
  <c r="L21" i="5"/>
  <c r="P21" i="5" s="1"/>
  <c r="Q21" i="5" s="1"/>
  <c r="R21" i="5" s="1"/>
  <c r="I21" i="5"/>
  <c r="H21" i="5"/>
  <c r="K21" i="5" s="1"/>
  <c r="G21" i="5"/>
  <c r="S20" i="5"/>
  <c r="O20" i="5"/>
  <c r="M20" i="5"/>
  <c r="T20" i="5" s="1"/>
  <c r="U20" i="5" s="1"/>
  <c r="V20" i="5" s="1"/>
  <c r="L20" i="5"/>
  <c r="H20" i="5"/>
  <c r="I20" i="5" s="1"/>
  <c r="G20" i="5"/>
  <c r="T19" i="5"/>
  <c r="U19" i="5" s="1"/>
  <c r="V19" i="5" s="1"/>
  <c r="S19" i="5"/>
  <c r="P19" i="5"/>
  <c r="Q19" i="5" s="1"/>
  <c r="R19" i="5" s="1"/>
  <c r="O19" i="5"/>
  <c r="M19" i="5"/>
  <c r="L19" i="5"/>
  <c r="N19" i="5" s="1"/>
  <c r="K19" i="5"/>
  <c r="J19" i="5"/>
  <c r="H19" i="5"/>
  <c r="I19" i="5" s="1"/>
  <c r="G19" i="5"/>
  <c r="T18" i="5"/>
  <c r="U18" i="5" s="1"/>
  <c r="V18" i="5" s="1"/>
  <c r="S18" i="5"/>
  <c r="P18" i="5"/>
  <c r="O18" i="5"/>
  <c r="N18" i="5"/>
  <c r="M18" i="5"/>
  <c r="L18" i="5"/>
  <c r="I18" i="5"/>
  <c r="H18" i="5"/>
  <c r="G18" i="5"/>
  <c r="S17" i="5"/>
  <c r="O17" i="5"/>
  <c r="M17" i="5"/>
  <c r="T17" i="5" s="1"/>
  <c r="U17" i="5" s="1"/>
  <c r="V17" i="5" s="1"/>
  <c r="L17" i="5"/>
  <c r="H17" i="5"/>
  <c r="I17" i="5" s="1"/>
  <c r="G17" i="5"/>
  <c r="T16" i="5"/>
  <c r="U16" i="5" s="1"/>
  <c r="V16" i="5" s="1"/>
  <c r="S16" i="5"/>
  <c r="P16" i="5"/>
  <c r="Q16" i="5" s="1"/>
  <c r="R16" i="5" s="1"/>
  <c r="O16" i="5"/>
  <c r="M16" i="5"/>
  <c r="L16" i="5"/>
  <c r="N16" i="5" s="1"/>
  <c r="K16" i="5"/>
  <c r="J16" i="5"/>
  <c r="H16" i="5"/>
  <c r="I16" i="5" s="1"/>
  <c r="G16" i="5"/>
  <c r="T15" i="5"/>
  <c r="U15" i="5" s="1"/>
  <c r="V15" i="5" s="1"/>
  <c r="S15" i="5"/>
  <c r="P15" i="5"/>
  <c r="O15" i="5"/>
  <c r="N15" i="5"/>
  <c r="M15" i="5"/>
  <c r="L15" i="5"/>
  <c r="I15" i="5"/>
  <c r="H15" i="5"/>
  <c r="G15" i="5"/>
  <c r="S14" i="5"/>
  <c r="O14" i="5"/>
  <c r="M14" i="5"/>
  <c r="T14" i="5" s="1"/>
  <c r="U14" i="5" s="1"/>
  <c r="V14" i="5" s="1"/>
  <c r="L14" i="5"/>
  <c r="H14" i="5"/>
  <c r="I14" i="5" s="1"/>
  <c r="G14" i="5"/>
  <c r="T13" i="5"/>
  <c r="U13" i="5" s="1"/>
  <c r="V13" i="5" s="1"/>
  <c r="S13" i="5"/>
  <c r="P13" i="5"/>
  <c r="Q13" i="5" s="1"/>
  <c r="R13" i="5" s="1"/>
  <c r="O13" i="5"/>
  <c r="M13" i="5"/>
  <c r="L13" i="5"/>
  <c r="N13" i="5" s="1"/>
  <c r="K13" i="5"/>
  <c r="J13" i="5"/>
  <c r="H13" i="5"/>
  <c r="I13" i="5" s="1"/>
  <c r="G13" i="5"/>
  <c r="T12" i="5"/>
  <c r="U12" i="5" s="1"/>
  <c r="V12" i="5" s="1"/>
  <c r="S12" i="5"/>
  <c r="P12" i="5"/>
  <c r="O12" i="5"/>
  <c r="N12" i="5"/>
  <c r="M12" i="5"/>
  <c r="L12" i="5"/>
  <c r="I12" i="5"/>
  <c r="H12" i="5"/>
  <c r="G12" i="5"/>
  <c r="S11" i="5"/>
  <c r="O11" i="5"/>
  <c r="M11" i="5"/>
  <c r="T11" i="5" s="1"/>
  <c r="U11" i="5" s="1"/>
  <c r="V11" i="5" s="1"/>
  <c r="L11" i="5"/>
  <c r="H11" i="5"/>
  <c r="G11" i="5"/>
  <c r="T10" i="5"/>
  <c r="U10" i="5" s="1"/>
  <c r="V10" i="5" s="1"/>
  <c r="S10" i="5"/>
  <c r="O10" i="5"/>
  <c r="M10" i="5"/>
  <c r="L10" i="5"/>
  <c r="N10" i="5" s="1"/>
  <c r="K10" i="5"/>
  <c r="J10" i="5"/>
  <c r="H10" i="5"/>
  <c r="I10" i="5" s="1"/>
  <c r="G10" i="5"/>
  <c r="U9" i="5"/>
  <c r="V9" i="5" s="1"/>
  <c r="T9" i="5"/>
  <c r="S9" i="5"/>
  <c r="P9" i="5"/>
  <c r="O9" i="5"/>
  <c r="N9" i="5"/>
  <c r="M9" i="5"/>
  <c r="L9" i="5"/>
  <c r="H9" i="5"/>
  <c r="K9" i="5" s="1"/>
  <c r="G9" i="5"/>
  <c r="S8" i="5"/>
  <c r="O8" i="5"/>
  <c r="N8" i="5"/>
  <c r="M8" i="5"/>
  <c r="T8" i="5" s="1"/>
  <c r="U8" i="5" s="1"/>
  <c r="V8" i="5" s="1"/>
  <c r="L8" i="5"/>
  <c r="P8" i="5" s="1"/>
  <c r="Q8" i="5" s="1"/>
  <c r="R8" i="5" s="1"/>
  <c r="H8" i="5"/>
  <c r="G8" i="5"/>
  <c r="V7" i="5"/>
  <c r="T7" i="5"/>
  <c r="U7" i="5" s="1"/>
  <c r="S7" i="5"/>
  <c r="P7" i="5"/>
  <c r="Q7" i="5" s="1"/>
  <c r="R7" i="5" s="1"/>
  <c r="O7" i="5"/>
  <c r="N7" i="5"/>
  <c r="M7" i="5"/>
  <c r="L7" i="5"/>
  <c r="H7" i="5"/>
  <c r="I7" i="5" s="1"/>
  <c r="G7" i="5"/>
  <c r="T6" i="5"/>
  <c r="U6" i="5" s="1"/>
  <c r="V6" i="5" s="1"/>
  <c r="S6" i="5"/>
  <c r="O6" i="5"/>
  <c r="M6" i="5"/>
  <c r="L6" i="5"/>
  <c r="P6" i="5" s="1"/>
  <c r="Q6" i="5" s="1"/>
  <c r="R6" i="5" s="1"/>
  <c r="J6" i="5"/>
  <c r="H6" i="5"/>
  <c r="K6" i="5" s="1"/>
  <c r="G6" i="5"/>
  <c r="S5" i="5"/>
  <c r="S123" i="5" s="1"/>
  <c r="O5" i="5"/>
  <c r="M5" i="5"/>
  <c r="L5" i="5"/>
  <c r="L123" i="5" s="1"/>
  <c r="H5" i="5"/>
  <c r="G5" i="5"/>
  <c r="F2" i="5"/>
  <c r="EI2" i="3"/>
  <c r="BM47" i="1"/>
  <c r="BG47" i="1"/>
  <c r="AU47" i="1"/>
  <c r="AI47" i="1"/>
  <c r="AM46" i="1"/>
  <c r="O46" i="1"/>
  <c r="I46" i="1"/>
  <c r="AQ45" i="1"/>
  <c r="AE45" i="1"/>
  <c r="M45" i="1"/>
  <c r="BM44" i="1"/>
  <c r="BG44" i="1"/>
  <c r="AU44" i="1"/>
  <c r="AI44" i="1"/>
  <c r="AM43" i="1"/>
  <c r="O43" i="1"/>
  <c r="I43" i="1"/>
  <c r="AQ42" i="1"/>
  <c r="AE42" i="1"/>
  <c r="M42" i="1"/>
  <c r="BM41" i="1"/>
  <c r="BG41" i="1"/>
  <c r="AU41" i="1"/>
  <c r="AI41" i="1"/>
  <c r="AM40" i="1"/>
  <c r="O40" i="1"/>
  <c r="I40" i="1"/>
  <c r="BP46" i="1"/>
  <c r="BJ46" i="1"/>
  <c r="BD46" i="1"/>
  <c r="AF46" i="1"/>
  <c r="R45" i="1"/>
  <c r="L45" i="1"/>
  <c r="BJ47" i="1"/>
  <c r="R47" i="1"/>
  <c r="AU46" i="1"/>
  <c r="BM45" i="1"/>
  <c r="AU45" i="1"/>
  <c r="AM45" i="1"/>
  <c r="BP44" i="1"/>
  <c r="L44" i="1"/>
  <c r="BP43" i="1"/>
  <c r="L43" i="1"/>
  <c r="BJ42" i="1"/>
  <c r="AU42" i="1"/>
  <c r="R42" i="1"/>
  <c r="BP41" i="1"/>
  <c r="AM41" i="1"/>
  <c r="AF41" i="1"/>
  <c r="R41" i="1"/>
  <c r="AU40" i="1"/>
  <c r="AF40" i="1"/>
  <c r="R40" i="1"/>
  <c r="BP39" i="1"/>
  <c r="AQ39" i="1"/>
  <c r="AE39" i="1"/>
  <c r="M39" i="1"/>
  <c r="BM38" i="1"/>
  <c r="BG38" i="1"/>
  <c r="AU38" i="1"/>
  <c r="AI38" i="1"/>
  <c r="AQ47" i="1"/>
  <c r="BD47" i="1"/>
  <c r="L47" i="1"/>
  <c r="AE46" i="1"/>
  <c r="M46" i="1"/>
  <c r="BG45" i="1"/>
  <c r="O45" i="1"/>
  <c r="AF47" i="1"/>
  <c r="AQ46" i="1"/>
  <c r="BP45" i="1"/>
  <c r="AF43" i="1"/>
  <c r="AE41" i="1"/>
  <c r="BM39" i="1"/>
  <c r="O39" i="1"/>
  <c r="AQ38" i="1"/>
  <c r="AM37" i="1"/>
  <c r="O37" i="1"/>
  <c r="I37" i="1"/>
  <c r="AQ36" i="1"/>
  <c r="AE36" i="1"/>
  <c r="M36" i="1"/>
  <c r="BM35" i="1"/>
  <c r="BG35" i="1"/>
  <c r="AU35" i="1"/>
  <c r="AI35" i="1"/>
  <c r="AM34" i="1"/>
  <c r="O34" i="1"/>
  <c r="I34" i="1"/>
  <c r="AQ33" i="1"/>
  <c r="AE33" i="1"/>
  <c r="M33" i="1"/>
  <c r="BM32" i="1"/>
  <c r="BG32" i="1"/>
  <c r="AU32" i="1"/>
  <c r="AI32" i="1"/>
  <c r="AM31" i="1"/>
  <c r="O31" i="1"/>
  <c r="I47" i="1"/>
  <c r="AI46" i="1"/>
  <c r="BJ44" i="1"/>
  <c r="AM44" i="1"/>
  <c r="AE44" i="1"/>
  <c r="R43" i="1"/>
  <c r="BM42" i="1"/>
  <c r="AM42" i="1"/>
  <c r="AQ41" i="1"/>
  <c r="M40" i="1"/>
  <c r="AM39" i="1"/>
  <c r="AF39" i="1"/>
  <c r="AE38" i="1"/>
  <c r="I38" i="1"/>
  <c r="BG37" i="1"/>
  <c r="AU37" i="1"/>
  <c r="AI37" i="1"/>
  <c r="AM36" i="1"/>
  <c r="O36" i="1"/>
  <c r="I36" i="1"/>
  <c r="AQ35" i="1"/>
  <c r="AE35" i="1"/>
  <c r="BD45" i="1"/>
  <c r="M44" i="1"/>
  <c r="BM43" i="1"/>
  <c r="O42" i="1"/>
  <c r="O41" i="1"/>
  <c r="BG39" i="1"/>
  <c r="R39" i="1"/>
  <c r="AM38" i="1"/>
  <c r="R38" i="1"/>
  <c r="AQ37" i="1"/>
  <c r="BJ36" i="1"/>
  <c r="R36" i="1"/>
  <c r="BD35" i="1"/>
  <c r="BD34" i="1"/>
  <c r="AQ34" i="1"/>
  <c r="AI33" i="1"/>
  <c r="BD32" i="1"/>
  <c r="M32" i="1"/>
  <c r="BJ31" i="1"/>
  <c r="AI31" i="1"/>
  <c r="M31" i="1"/>
  <c r="BM30" i="1"/>
  <c r="BG30" i="1"/>
  <c r="AU30" i="1"/>
  <c r="AI30" i="1"/>
  <c r="AM29" i="1"/>
  <c r="O29" i="1"/>
  <c r="I29" i="1"/>
  <c r="AQ28" i="1"/>
  <c r="AE28" i="1"/>
  <c r="M28" i="1"/>
  <c r="BM27" i="1"/>
  <c r="BG27" i="1"/>
  <c r="AU27" i="1"/>
  <c r="AI27" i="1"/>
  <c r="AE47" i="1"/>
  <c r="M47" i="1"/>
  <c r="BG46" i="1"/>
  <c r="R46" i="1"/>
  <c r="I45" i="1"/>
  <c r="AF44" i="1"/>
  <c r="R44" i="1"/>
  <c r="BG43" i="1"/>
  <c r="AU43" i="1"/>
  <c r="AI43" i="1"/>
  <c r="BG42" i="1"/>
  <c r="I41" i="1"/>
  <c r="BM40" i="1"/>
  <c r="L39" i="1"/>
  <c r="L38" i="1"/>
  <c r="BM37" i="1"/>
  <c r="L37" i="1"/>
  <c r="AF36" i="1"/>
  <c r="R35" i="1"/>
  <c r="AU34" i="1"/>
  <c r="AF34" i="1"/>
  <c r="R34" i="1"/>
  <c r="BP33" i="1"/>
  <c r="AM33" i="1"/>
  <c r="AF33" i="1"/>
  <c r="AE32" i="1"/>
  <c r="I32" i="1"/>
  <c r="BG31" i="1"/>
  <c r="BJ45" i="1"/>
  <c r="AI45" i="1"/>
  <c r="BD44" i="1"/>
  <c r="BD42" i="1"/>
  <c r="AI42" i="1"/>
  <c r="L41" i="1"/>
  <c r="BJ40" i="1"/>
  <c r="BJ38" i="1"/>
  <c r="AF38" i="1"/>
  <c r="O38" i="1"/>
  <c r="BM36" i="1"/>
  <c r="L36" i="1"/>
  <c r="AM35" i="1"/>
  <c r="O35" i="1"/>
  <c r="BP34" i="1"/>
  <c r="AU33" i="1"/>
  <c r="O33" i="1"/>
  <c r="AM32" i="1"/>
  <c r="R32" i="1"/>
  <c r="AF31" i="1"/>
  <c r="AQ30" i="1"/>
  <c r="BD29" i="1"/>
  <c r="AQ29" i="1"/>
  <c r="AI28" i="1"/>
  <c r="BD27" i="1"/>
  <c r="M27" i="1"/>
  <c r="BJ26" i="1"/>
  <c r="AQ26" i="1"/>
  <c r="AE26" i="1"/>
  <c r="M26" i="1"/>
  <c r="BM25" i="1"/>
  <c r="BG25" i="1"/>
  <c r="AU25" i="1"/>
  <c r="AI25" i="1"/>
  <c r="AM24" i="1"/>
  <c r="O24" i="1"/>
  <c r="I24" i="1"/>
  <c r="AQ23" i="1"/>
  <c r="AE23" i="1"/>
  <c r="M23" i="1"/>
  <c r="BM22" i="1"/>
  <c r="BG22" i="1"/>
  <c r="AU22" i="1"/>
  <c r="AI22" i="1"/>
  <c r="AM21" i="1"/>
  <c r="O21" i="1"/>
  <c r="I21" i="1"/>
  <c r="AQ20" i="1"/>
  <c r="AE20" i="1"/>
  <c r="M20" i="1"/>
  <c r="BM19" i="1"/>
  <c r="BG19" i="1"/>
  <c r="AU19" i="1"/>
  <c r="AI19" i="1"/>
  <c r="BP47" i="1"/>
  <c r="AM47" i="1"/>
  <c r="AF45" i="1"/>
  <c r="BM46" i="1"/>
  <c r="L46" i="1"/>
  <c r="BD43" i="1"/>
  <c r="BD41" i="1"/>
  <c r="AI39" i="1"/>
  <c r="BG36" i="1"/>
  <c r="AU36" i="1"/>
  <c r="L42" i="1"/>
  <c r="BP38" i="1"/>
  <c r="AF37" i="1"/>
  <c r="M37" i="1"/>
  <c r="BD36" i="1"/>
  <c r="I35" i="1"/>
  <c r="AI34" i="1"/>
  <c r="BJ33" i="1"/>
  <c r="AQ32" i="1"/>
  <c r="O32" i="1"/>
  <c r="BJ30" i="1"/>
  <c r="AF29" i="1"/>
  <c r="BJ28" i="1"/>
  <c r="R28" i="1"/>
  <c r="AF27" i="1"/>
  <c r="O27" i="1"/>
  <c r="AU26" i="1"/>
  <c r="R26" i="1"/>
  <c r="BP25" i="1"/>
  <c r="AM25" i="1"/>
  <c r="AF25" i="1"/>
  <c r="R25" i="1"/>
  <c r="AU24" i="1"/>
  <c r="AF24" i="1"/>
  <c r="R24" i="1"/>
  <c r="BP23" i="1"/>
  <c r="AM23" i="1"/>
  <c r="AF23" i="1"/>
  <c r="AE22" i="1"/>
  <c r="I22" i="1"/>
  <c r="BG21" i="1"/>
  <c r="AE21" i="1"/>
  <c r="BG20" i="1"/>
  <c r="I20" i="1"/>
  <c r="O19" i="1"/>
  <c r="BM18" i="1"/>
  <c r="BP17" i="1"/>
  <c r="BJ17" i="1"/>
  <c r="BD17" i="1"/>
  <c r="AF17" i="1"/>
  <c r="R16" i="1"/>
  <c r="L16" i="1"/>
  <c r="BP14" i="1"/>
  <c r="BJ14" i="1"/>
  <c r="BD14" i="1"/>
  <c r="AF14" i="1"/>
  <c r="R13" i="1"/>
  <c r="L13" i="1"/>
  <c r="BP11" i="1"/>
  <c r="BJ11" i="1"/>
  <c r="BD11" i="1"/>
  <c r="AF11" i="1"/>
  <c r="O44" i="1"/>
  <c r="BJ43" i="1"/>
  <c r="AE43" i="1"/>
  <c r="BP42" i="1"/>
  <c r="I42" i="1"/>
  <c r="AU39" i="1"/>
  <c r="BP37" i="1"/>
  <c r="AE37" i="1"/>
  <c r="AQ44" i="1"/>
  <c r="I44" i="1"/>
  <c r="O47" i="1"/>
  <c r="M41" i="1"/>
  <c r="BG40" i="1"/>
  <c r="AI40" i="1"/>
  <c r="I39" i="1"/>
  <c r="BD37" i="1"/>
  <c r="M35" i="1"/>
  <c r="BM34" i="1"/>
  <c r="M34" i="1"/>
  <c r="BM33" i="1"/>
  <c r="BP32" i="1"/>
  <c r="BD30" i="1"/>
  <c r="AM30" i="1"/>
  <c r="AE30" i="1"/>
  <c r="M30" i="1"/>
  <c r="BP29" i="1"/>
  <c r="AI29" i="1"/>
  <c r="R29" i="1"/>
  <c r="BM28" i="1"/>
  <c r="BD28" i="1"/>
  <c r="AU28" i="1"/>
  <c r="AM28" i="1"/>
  <c r="L28" i="1"/>
  <c r="R27" i="1"/>
  <c r="I27" i="1"/>
  <c r="AI26" i="1"/>
  <c r="BD25" i="1"/>
  <c r="M25" i="1"/>
  <c r="BJ24" i="1"/>
  <c r="AI24" i="1"/>
  <c r="M24" i="1"/>
  <c r="BD23" i="1"/>
  <c r="L23" i="1"/>
  <c r="BJ22" i="1"/>
  <c r="L22" i="1"/>
  <c r="BP21" i="1"/>
  <c r="L21" i="1"/>
  <c r="BJ20" i="1"/>
  <c r="AU20" i="1"/>
  <c r="R20" i="1"/>
  <c r="BP19" i="1"/>
  <c r="AM19" i="1"/>
  <c r="AF19" i="1"/>
  <c r="R19" i="1"/>
  <c r="R18" i="1"/>
  <c r="L18" i="1"/>
  <c r="BP16" i="1"/>
  <c r="BJ16" i="1"/>
  <c r="BD16" i="1"/>
  <c r="AF16" i="1"/>
  <c r="R15" i="1"/>
  <c r="L15" i="1"/>
  <c r="AF35" i="1"/>
  <c r="L35" i="1"/>
  <c r="I33" i="1"/>
  <c r="BM31" i="1"/>
  <c r="BG29" i="1"/>
  <c r="AU29" i="1"/>
  <c r="I28" i="1"/>
  <c r="AQ27" i="1"/>
  <c r="BG26" i="1"/>
  <c r="O26" i="1"/>
  <c r="O25" i="1"/>
  <c r="BG24" i="1"/>
  <c r="BJ23" i="1"/>
  <c r="R23" i="1"/>
  <c r="AM22" i="1"/>
  <c r="R22" i="1"/>
  <c r="R21" i="1"/>
  <c r="AM20" i="1"/>
  <c r="AQ18" i="1"/>
  <c r="O18" i="1"/>
  <c r="R17" i="1"/>
  <c r="I17" i="1"/>
  <c r="BP15" i="1"/>
  <c r="BG15" i="1"/>
  <c r="AF15" i="1"/>
  <c r="AQ14" i="1"/>
  <c r="AI14" i="1"/>
  <c r="L14" i="1"/>
  <c r="BJ13" i="1"/>
  <c r="AU13" i="1"/>
  <c r="BJ12" i="1"/>
  <c r="L12" i="1"/>
  <c r="AU11" i="1"/>
  <c r="M11" i="1"/>
  <c r="BM10" i="1"/>
  <c r="BG10" i="1"/>
  <c r="AU10" i="1"/>
  <c r="AI10" i="1"/>
  <c r="AM9" i="1"/>
  <c r="O9" i="1"/>
  <c r="I9" i="1"/>
  <c r="AQ8" i="1"/>
  <c r="AE8" i="1"/>
  <c r="M8" i="1"/>
  <c r="BM7" i="1"/>
  <c r="BG7" i="1"/>
  <c r="AU7" i="1"/>
  <c r="AI7" i="1"/>
  <c r="AM6" i="1"/>
  <c r="O6" i="1"/>
  <c r="I6" i="1"/>
  <c r="AQ5" i="1"/>
  <c r="AE5" i="1"/>
  <c r="M5" i="1"/>
  <c r="BP40" i="1"/>
  <c r="AE40" i="1"/>
  <c r="BJ39" i="1"/>
  <c r="M38" i="1"/>
  <c r="R37" i="1"/>
  <c r="BP35" i="1"/>
  <c r="BG33" i="1"/>
  <c r="R31" i="1"/>
  <c r="AF30" i="1"/>
  <c r="R30" i="1"/>
  <c r="AE29" i="1"/>
  <c r="BG28" i="1"/>
  <c r="BJ27" i="1"/>
  <c r="AM27" i="1"/>
  <c r="BP26" i="1"/>
  <c r="BD26" i="1"/>
  <c r="L26" i="1"/>
  <c r="BP24" i="1"/>
  <c r="BG23" i="1"/>
  <c r="O22" i="1"/>
  <c r="O20" i="1"/>
  <c r="BG18" i="1"/>
  <c r="M43" i="1"/>
  <c r="AF42" i="1"/>
  <c r="BJ41" i="1"/>
  <c r="BD39" i="1"/>
  <c r="BJ35" i="1"/>
  <c r="BJ37" i="1"/>
  <c r="BP36" i="1"/>
  <c r="BJ34" i="1"/>
  <c r="R33" i="1"/>
  <c r="BP31" i="1"/>
  <c r="AQ31" i="1"/>
  <c r="L30" i="1"/>
  <c r="BJ29" i="1"/>
  <c r="L29" i="1"/>
  <c r="O28" i="1"/>
  <c r="AM26" i="1"/>
  <c r="BJ25" i="1"/>
  <c r="AQ24" i="1"/>
  <c r="AE24" i="1"/>
  <c r="BM23" i="1"/>
  <c r="AQ22" i="1"/>
  <c r="AF22" i="1"/>
  <c r="AQ21" i="1"/>
  <c r="AF21" i="1"/>
  <c r="AF20" i="1"/>
  <c r="AQ19" i="1"/>
  <c r="L19" i="1"/>
  <c r="I18" i="1"/>
  <c r="AM17" i="1"/>
  <c r="L17" i="1"/>
  <c r="AE16" i="1"/>
  <c r="M16" i="1"/>
  <c r="BJ15" i="1"/>
  <c r="AI15" i="1"/>
  <c r="BM14" i="1"/>
  <c r="AU14" i="1"/>
  <c r="O14" i="1"/>
  <c r="AQ13" i="1"/>
  <c r="AI13" i="1"/>
  <c r="BM12" i="1"/>
  <c r="AQ12" i="1"/>
  <c r="AI11" i="1"/>
  <c r="O11" i="1"/>
  <c r="I11" i="1"/>
  <c r="AQ10" i="1"/>
  <c r="AE10" i="1"/>
  <c r="M10" i="1"/>
  <c r="BM9" i="1"/>
  <c r="BG9" i="1"/>
  <c r="AU9" i="1"/>
  <c r="AI9" i="1"/>
  <c r="AM8" i="1"/>
  <c r="O8" i="1"/>
  <c r="I8" i="1"/>
  <c r="AQ7" i="1"/>
  <c r="AE7" i="1"/>
  <c r="M7" i="1"/>
  <c r="BM6" i="1"/>
  <c r="BG6" i="1"/>
  <c r="AU6" i="1"/>
  <c r="AI6" i="1"/>
  <c r="AM5" i="1"/>
  <c r="O5" i="1"/>
  <c r="I5" i="1"/>
  <c r="BD38" i="1"/>
  <c r="AF32" i="1"/>
  <c r="BP28" i="1"/>
  <c r="AE27" i="1"/>
  <c r="L25" i="1"/>
  <c r="BM24" i="1"/>
  <c r="AU21" i="1"/>
  <c r="AI20" i="1"/>
  <c r="BJ19" i="1"/>
  <c r="O17" i="1"/>
  <c r="AU16" i="1"/>
  <c r="I15" i="1"/>
  <c r="BD40" i="1"/>
  <c r="AU31" i="1"/>
  <c r="O30" i="1"/>
  <c r="M29" i="1"/>
  <c r="AE25" i="1"/>
  <c r="I25" i="1"/>
  <c r="O23" i="1"/>
  <c r="BM21" i="1"/>
  <c r="BP20" i="1"/>
  <c r="BD20" i="1"/>
  <c r="L20" i="1"/>
  <c r="BD19" i="1"/>
  <c r="AM18" i="1"/>
  <c r="M18" i="1"/>
  <c r="M17" i="1"/>
  <c r="BM16" i="1"/>
  <c r="AU15" i="1"/>
  <c r="M14" i="1"/>
  <c r="AM12" i="1"/>
  <c r="R12" i="1"/>
  <c r="AM11" i="1"/>
  <c r="R11" i="1"/>
  <c r="BD10" i="1"/>
  <c r="BD9" i="1"/>
  <c r="AE9" i="1"/>
  <c r="M9" i="1"/>
  <c r="BP8" i="1"/>
  <c r="BG8" i="1"/>
  <c r="BJ6" i="1"/>
  <c r="BM5" i="1"/>
  <c r="BD5" i="1"/>
  <c r="L5" i="1"/>
  <c r="AE34" i="1"/>
  <c r="L31" i="1"/>
  <c r="I30" i="1"/>
  <c r="AF28" i="1"/>
  <c r="AF26" i="1"/>
  <c r="AI23" i="1"/>
  <c r="BJ21" i="1"/>
  <c r="BM20" i="1"/>
  <c r="M19" i="1"/>
  <c r="BJ18" i="1"/>
  <c r="BM17" i="1"/>
  <c r="AQ16" i="1"/>
  <c r="AE15" i="1"/>
  <c r="BM13" i="1"/>
  <c r="BD13" i="1"/>
  <c r="O13" i="1"/>
  <c r="BG11" i="1"/>
  <c r="R10" i="1"/>
  <c r="I10" i="1"/>
  <c r="L9" i="1"/>
  <c r="AF8" i="1"/>
  <c r="O7" i="1"/>
  <c r="R6" i="1"/>
  <c r="AU5" i="1"/>
  <c r="AQ40" i="1"/>
  <c r="AI36" i="1"/>
  <c r="L32" i="1"/>
  <c r="I31" i="1"/>
  <c r="I26" i="1"/>
  <c r="I23" i="1"/>
  <c r="BD22" i="1"/>
  <c r="M22" i="1"/>
  <c r="BD21" i="1"/>
  <c r="AE19" i="1"/>
  <c r="I19" i="1"/>
  <c r="AI18" i="1"/>
  <c r="AI17" i="1"/>
  <c r="O16" i="1"/>
  <c r="BD15" i="1"/>
  <c r="AQ15" i="1"/>
  <c r="O15" i="1"/>
  <c r="BG14" i="1"/>
  <c r="AE14" i="1"/>
  <c r="M13" i="1"/>
  <c r="BP12" i="1"/>
  <c r="BG12" i="1"/>
  <c r="AU12" i="1"/>
  <c r="O12" i="1"/>
  <c r="BJ10" i="1"/>
  <c r="BJ9" i="1"/>
  <c r="BM8" i="1"/>
  <c r="BD8" i="1"/>
  <c r="L8" i="1"/>
  <c r="BP7" i="1"/>
  <c r="AF7" i="1"/>
  <c r="BP6" i="1"/>
  <c r="AQ6" i="1"/>
  <c r="BJ5" i="1"/>
  <c r="R5" i="1"/>
  <c r="L40" i="1"/>
  <c r="BG34" i="1"/>
  <c r="BD33" i="1"/>
  <c r="BJ32" i="1"/>
  <c r="BD31" i="1"/>
  <c r="AE31" i="1"/>
  <c r="BP27" i="1"/>
  <c r="L27" i="1"/>
  <c r="BM26" i="1"/>
  <c r="AQ25" i="1"/>
  <c r="BD24" i="1"/>
  <c r="AU23" i="1"/>
  <c r="AI21" i="1"/>
  <c r="M21" i="1"/>
  <c r="AU18" i="1"/>
  <c r="AF18" i="1"/>
  <c r="AU17" i="1"/>
  <c r="AM16" i="1"/>
  <c r="AM15" i="1"/>
  <c r="M15" i="1"/>
  <c r="R14" i="1"/>
  <c r="I14" i="1"/>
  <c r="AF13" i="1"/>
  <c r="BD12" i="1"/>
  <c r="AI12" i="1"/>
  <c r="M12" i="1"/>
  <c r="O10" i="1"/>
  <c r="R9" i="1"/>
  <c r="AU8" i="1"/>
  <c r="AM7" i="1"/>
  <c r="L7" i="1"/>
  <c r="AF6" i="1"/>
  <c r="AI5" i="1"/>
  <c r="AQ43" i="1"/>
  <c r="L34" i="1"/>
  <c r="L33" i="1"/>
  <c r="BP30" i="1"/>
  <c r="BM29" i="1"/>
  <c r="L24" i="1"/>
  <c r="BP22" i="1"/>
  <c r="BP18" i="1"/>
  <c r="BD18" i="1"/>
  <c r="AE18" i="1"/>
  <c r="BG17" i="1"/>
  <c r="AQ17" i="1"/>
  <c r="AE17" i="1"/>
  <c r="BG16" i="1"/>
  <c r="AI16" i="1"/>
  <c r="I16" i="1"/>
  <c r="BM15" i="1"/>
  <c r="AE13" i="1"/>
  <c r="I13" i="1"/>
  <c r="AF12" i="1"/>
  <c r="BM11" i="1"/>
  <c r="AQ11" i="1"/>
  <c r="AE11" i="1"/>
  <c r="L11" i="1"/>
  <c r="BP10" i="1"/>
  <c r="AF10" i="1"/>
  <c r="BP9" i="1"/>
  <c r="AQ9" i="1"/>
  <c r="BJ8" i="1"/>
  <c r="R8" i="1"/>
  <c r="BD7" i="1"/>
  <c r="BD6" i="1"/>
  <c r="AE6" i="1"/>
  <c r="M6" i="1"/>
  <c r="BP5" i="1"/>
  <c r="BG5" i="1"/>
  <c r="AM14" i="1"/>
  <c r="BP13" i="1"/>
  <c r="BG13" i="1"/>
  <c r="AM13" i="1"/>
  <c r="AE12" i="1"/>
  <c r="I12" i="1"/>
  <c r="AM10" i="1"/>
  <c r="L10" i="1"/>
  <c r="AF9" i="1"/>
  <c r="AI8" i="1"/>
  <c r="R7" i="1"/>
  <c r="I7" i="1"/>
  <c r="L6" i="1"/>
  <c r="AF5" i="1"/>
  <c r="BJ7" i="1"/>
  <c r="AF48" i="1" l="1"/>
  <c r="AG5" i="1"/>
  <c r="AH5" i="1" s="1"/>
  <c r="K7" i="1"/>
  <c r="AV7" i="1"/>
  <c r="AW7" i="1" s="1"/>
  <c r="AX7" i="1" s="1"/>
  <c r="U7" i="1"/>
  <c r="J7" i="1"/>
  <c r="Z7" i="1"/>
  <c r="AJ7" i="1"/>
  <c r="AK7" i="1" s="1"/>
  <c r="AL7" i="1" s="1"/>
  <c r="AG9" i="1"/>
  <c r="AH9" i="1" s="1"/>
  <c r="J12" i="1"/>
  <c r="AV12" i="1"/>
  <c r="AW12" i="1" s="1"/>
  <c r="AX12" i="1" s="1"/>
  <c r="U12" i="1"/>
  <c r="K12" i="1"/>
  <c r="BH13" i="1"/>
  <c r="BQ13" i="1"/>
  <c r="BG48" i="1"/>
  <c r="BH5" i="1"/>
  <c r="BP48" i="1"/>
  <c r="Q6" i="1"/>
  <c r="AR6" i="1"/>
  <c r="AS6" i="1" s="1"/>
  <c r="AT6" i="1" s="1"/>
  <c r="X6" i="1"/>
  <c r="Y6" i="1" s="1"/>
  <c r="N6" i="1"/>
  <c r="BE6" i="1"/>
  <c r="T8" i="1"/>
  <c r="AJ8" i="1"/>
  <c r="AK8" i="1" s="1"/>
  <c r="AL8" i="1" s="1"/>
  <c r="Z8" i="1"/>
  <c r="AG10" i="1"/>
  <c r="AH10" i="1" s="1"/>
  <c r="AG12" i="1"/>
  <c r="AH12" i="1" s="1"/>
  <c r="AV13" i="1"/>
  <c r="AW13" i="1" s="1"/>
  <c r="AX13" i="1" s="1"/>
  <c r="K13" i="1"/>
  <c r="U13" i="1"/>
  <c r="J13" i="1"/>
  <c r="BN15" i="1"/>
  <c r="AV16" i="1"/>
  <c r="AW16" i="1" s="1"/>
  <c r="AX16" i="1" s="1"/>
  <c r="J16" i="1"/>
  <c r="U16" i="1"/>
  <c r="K16" i="1"/>
  <c r="BH16" i="1"/>
  <c r="BE18" i="1"/>
  <c r="BQ30" i="1"/>
  <c r="AI48" i="1"/>
  <c r="AG6" i="1"/>
  <c r="AH6" i="1" s="1"/>
  <c r="T9" i="1"/>
  <c r="AJ9" i="1"/>
  <c r="AK9" i="1" s="1"/>
  <c r="AL9" i="1" s="1"/>
  <c r="Z9" i="1"/>
  <c r="P10" i="1"/>
  <c r="N12" i="1"/>
  <c r="Q12" i="1"/>
  <c r="X12" i="1"/>
  <c r="AR12" i="1"/>
  <c r="AS12" i="1" s="1"/>
  <c r="AT12" i="1" s="1"/>
  <c r="BE12" i="1"/>
  <c r="AG13" i="1"/>
  <c r="AH13" i="1" s="1"/>
  <c r="AV14" i="1"/>
  <c r="AW14" i="1" s="1"/>
  <c r="AX14" i="1" s="1"/>
  <c r="U14" i="1"/>
  <c r="Z14" i="1"/>
  <c r="AJ14" i="1"/>
  <c r="AK14" i="1" s="1"/>
  <c r="AL14" i="1" s="1"/>
  <c r="X15" i="1"/>
  <c r="Y15" i="1" s="1"/>
  <c r="N15" i="1"/>
  <c r="AR15" i="1"/>
  <c r="AS15" i="1" s="1"/>
  <c r="AT15" i="1" s="1"/>
  <c r="Q15" i="1"/>
  <c r="AG18" i="1"/>
  <c r="AH18" i="1" s="1"/>
  <c r="X21" i="1"/>
  <c r="Q21" i="1"/>
  <c r="AR21" i="1"/>
  <c r="AS21" i="1" s="1"/>
  <c r="AT21" i="1" s="1"/>
  <c r="N21" i="1"/>
  <c r="BQ27" i="1"/>
  <c r="BK32" i="1"/>
  <c r="R48" i="1"/>
  <c r="AJ5" i="1"/>
  <c r="Z5" i="1"/>
  <c r="BJ48" i="1"/>
  <c r="BK5" i="1"/>
  <c r="BQ6" i="1"/>
  <c r="AG7" i="1"/>
  <c r="AH7" i="1" s="1"/>
  <c r="BQ7" i="1"/>
  <c r="BE8" i="1"/>
  <c r="BK9" i="1"/>
  <c r="BK10" i="1"/>
  <c r="P12" i="1"/>
  <c r="BQ12" i="1"/>
  <c r="X13" i="1"/>
  <c r="Y13" i="1" s="1"/>
  <c r="N13" i="1"/>
  <c r="AR13" i="1"/>
  <c r="AS13" i="1" s="1"/>
  <c r="AT13" i="1" s="1"/>
  <c r="Q13" i="1"/>
  <c r="P15" i="1"/>
  <c r="BE15" i="1"/>
  <c r="P16" i="1"/>
  <c r="U19" i="1"/>
  <c r="AV19" i="1"/>
  <c r="AW19" i="1" s="1"/>
  <c r="AX19" i="1" s="1"/>
  <c r="BE21" i="1"/>
  <c r="Q22" i="1"/>
  <c r="X22" i="1"/>
  <c r="AR22" i="1"/>
  <c r="AS22" i="1" s="1"/>
  <c r="AT22" i="1" s="1"/>
  <c r="N22" i="1"/>
  <c r="BE22" i="1"/>
  <c r="AV23" i="1"/>
  <c r="AW23" i="1" s="1"/>
  <c r="AX23" i="1" s="1"/>
  <c r="U23" i="1"/>
  <c r="K26" i="1"/>
  <c r="U26" i="1"/>
  <c r="J26" i="1"/>
  <c r="AD26" i="1"/>
  <c r="AV26" i="1"/>
  <c r="AW26" i="1" s="1"/>
  <c r="AX26" i="1" s="1"/>
  <c r="U31" i="1"/>
  <c r="AV31" i="1"/>
  <c r="AW31" i="1" s="1"/>
  <c r="AX31" i="1" s="1"/>
  <c r="AU48" i="1"/>
  <c r="AY48" i="1" s="1"/>
  <c r="S6" i="1"/>
  <c r="AJ6" i="1"/>
  <c r="AK6" i="1" s="1"/>
  <c r="AL6" i="1" s="1"/>
  <c r="Z6" i="1"/>
  <c r="T6" i="1"/>
  <c r="P7" i="1"/>
  <c r="AG8" i="1"/>
  <c r="AH8" i="1" s="1"/>
  <c r="K10" i="1"/>
  <c r="J10" i="1"/>
  <c r="AV10" i="1"/>
  <c r="AW10" i="1" s="1"/>
  <c r="AX10" i="1" s="1"/>
  <c r="U10" i="1"/>
  <c r="AJ10" i="1"/>
  <c r="AK10" i="1" s="1"/>
  <c r="AL10" i="1" s="1"/>
  <c r="Z10" i="1"/>
  <c r="P13" i="1"/>
  <c r="BE13" i="1"/>
  <c r="BN13" i="1"/>
  <c r="BN17" i="1"/>
  <c r="BK18" i="1"/>
  <c r="Q19" i="1"/>
  <c r="AR19" i="1"/>
  <c r="AS19" i="1" s="1"/>
  <c r="AT19" i="1" s="1"/>
  <c r="N19" i="1"/>
  <c r="X19" i="1"/>
  <c r="BN20" i="1"/>
  <c r="BK21" i="1"/>
  <c r="AG26" i="1"/>
  <c r="AH26" i="1" s="1"/>
  <c r="AG28" i="1"/>
  <c r="AH28" i="1" s="1"/>
  <c r="U30" i="1"/>
  <c r="AV30" i="1"/>
  <c r="AW30" i="1" s="1"/>
  <c r="AX30" i="1" s="1"/>
  <c r="L48" i="1"/>
  <c r="BD48" i="1"/>
  <c r="BM48" i="1"/>
  <c r="BN5" i="1"/>
  <c r="BK6" i="1"/>
  <c r="BH8" i="1"/>
  <c r="BQ8" i="1"/>
  <c r="Q9" i="1"/>
  <c r="AR9" i="1"/>
  <c r="AS9" i="1" s="1"/>
  <c r="AT9" i="1" s="1"/>
  <c r="X9" i="1"/>
  <c r="Y9" i="1" s="1"/>
  <c r="N9" i="1"/>
  <c r="BE9" i="1"/>
  <c r="BE10" i="1"/>
  <c r="Z11" i="1"/>
  <c r="AJ11" i="1"/>
  <c r="AK11" i="1" s="1"/>
  <c r="AL11" i="1" s="1"/>
  <c r="Z12" i="1"/>
  <c r="S12" i="1"/>
  <c r="AJ12" i="1"/>
  <c r="AK12" i="1" s="1"/>
  <c r="AL12" i="1" s="1"/>
  <c r="AR14" i="1"/>
  <c r="AS14" i="1" s="1"/>
  <c r="AT14" i="1" s="1"/>
  <c r="N14" i="1"/>
  <c r="X14" i="1"/>
  <c r="Q14" i="1"/>
  <c r="BN16" i="1"/>
  <c r="AR17" i="1"/>
  <c r="AS17" i="1" s="1"/>
  <c r="AT17" i="1" s="1"/>
  <c r="N17" i="1"/>
  <c r="X17" i="1"/>
  <c r="Y17" i="1" s="1"/>
  <c r="Q17" i="1"/>
  <c r="X18" i="1"/>
  <c r="Y18" i="1" s="1"/>
  <c r="N18" i="1"/>
  <c r="AR18" i="1"/>
  <c r="AS18" i="1" s="1"/>
  <c r="AT18" i="1" s="1"/>
  <c r="Q18" i="1"/>
  <c r="BE19" i="1"/>
  <c r="BQ20" i="1"/>
  <c r="P23" i="1"/>
  <c r="K25" i="1"/>
  <c r="J25" i="1"/>
  <c r="AV25" i="1"/>
  <c r="AW25" i="1" s="1"/>
  <c r="AX25" i="1" s="1"/>
  <c r="U25" i="1"/>
  <c r="N29" i="1"/>
  <c r="X29" i="1"/>
  <c r="AR29" i="1"/>
  <c r="AS29" i="1" s="1"/>
  <c r="AT29" i="1" s="1"/>
  <c r="Q29" i="1"/>
  <c r="P30" i="1"/>
  <c r="BE40" i="1"/>
  <c r="J15" i="1"/>
  <c r="AV15" i="1"/>
  <c r="AW15" i="1" s="1"/>
  <c r="AX15" i="1" s="1"/>
  <c r="U15" i="1"/>
  <c r="K15" i="1"/>
  <c r="P17" i="1"/>
  <c r="BN24" i="1"/>
  <c r="AG32" i="1"/>
  <c r="AH32" i="1" s="1"/>
  <c r="BE38" i="1"/>
  <c r="I48" i="1"/>
  <c r="U5" i="1"/>
  <c r="AV5" i="1"/>
  <c r="O48" i="1"/>
  <c r="P5" i="1"/>
  <c r="AM48" i="1"/>
  <c r="BN6" i="1"/>
  <c r="Q7" i="1"/>
  <c r="AR7" i="1"/>
  <c r="AS7" i="1" s="1"/>
  <c r="AT7" i="1" s="1"/>
  <c r="X7" i="1"/>
  <c r="Y7" i="1" s="1"/>
  <c r="N7" i="1"/>
  <c r="U8" i="1"/>
  <c r="AV8" i="1"/>
  <c r="AW8" i="1" s="1"/>
  <c r="AX8" i="1" s="1"/>
  <c r="P8" i="1"/>
  <c r="BH9" i="1"/>
  <c r="BN9" i="1"/>
  <c r="Q10" i="1"/>
  <c r="AR10" i="1"/>
  <c r="AS10" i="1" s="1"/>
  <c r="AT10" i="1" s="1"/>
  <c r="X10" i="1"/>
  <c r="N10" i="1"/>
  <c r="U11" i="1"/>
  <c r="J11" i="1"/>
  <c r="AV11" i="1"/>
  <c r="AW11" i="1" s="1"/>
  <c r="AX11" i="1" s="1"/>
  <c r="K11" i="1"/>
  <c r="P11" i="1"/>
  <c r="P14" i="1"/>
  <c r="BK15" i="1"/>
  <c r="X16" i="1"/>
  <c r="Y16" i="1" s="1"/>
  <c r="AR16" i="1"/>
  <c r="AS16" i="1" s="1"/>
  <c r="AT16" i="1" s="1"/>
  <c r="N16" i="1"/>
  <c r="Q16" i="1"/>
  <c r="J18" i="1"/>
  <c r="AV18" i="1"/>
  <c r="AW18" i="1" s="1"/>
  <c r="AX18" i="1" s="1"/>
  <c r="K18" i="1"/>
  <c r="U18" i="1"/>
  <c r="AG20" i="1"/>
  <c r="AH20" i="1" s="1"/>
  <c r="AG21" i="1"/>
  <c r="AH21" i="1" s="1"/>
  <c r="AG22" i="1"/>
  <c r="AH22" i="1" s="1"/>
  <c r="BN23" i="1"/>
  <c r="BK25" i="1"/>
  <c r="P28" i="1"/>
  <c r="BK29" i="1"/>
  <c r="BQ31" i="1"/>
  <c r="AJ33" i="1"/>
  <c r="AK33" i="1" s="1"/>
  <c r="AL33" i="1" s="1"/>
  <c r="Z33" i="1"/>
  <c r="BK34" i="1"/>
  <c r="BK37" i="1"/>
  <c r="BK41" i="1"/>
  <c r="AG42" i="1"/>
  <c r="AH42" i="1" s="1"/>
  <c r="X43" i="1"/>
  <c r="Y43" i="1" s="1"/>
  <c r="AR43" i="1"/>
  <c r="AS43" i="1" s="1"/>
  <c r="AT43" i="1" s="1"/>
  <c r="N43" i="1"/>
  <c r="Q43" i="1"/>
  <c r="BH18" i="1"/>
  <c r="P20" i="1"/>
  <c r="P22" i="1"/>
  <c r="BH23" i="1"/>
  <c r="BQ24" i="1"/>
  <c r="BE26" i="1"/>
  <c r="BQ26" i="1"/>
  <c r="BK27" i="1"/>
  <c r="BH28" i="1"/>
  <c r="AJ30" i="1"/>
  <c r="AK30" i="1" s="1"/>
  <c r="AL30" i="1" s="1"/>
  <c r="T30" i="1"/>
  <c r="Z30" i="1"/>
  <c r="AG30" i="1"/>
  <c r="AH30" i="1" s="1"/>
  <c r="T31" i="1"/>
  <c r="Z31" i="1"/>
  <c r="S31" i="1"/>
  <c r="AJ31" i="1"/>
  <c r="AK31" i="1" s="1"/>
  <c r="AL31" i="1" s="1"/>
  <c r="BH33" i="1"/>
  <c r="T37" i="1"/>
  <c r="AJ37" i="1"/>
  <c r="AK37" i="1" s="1"/>
  <c r="AL37" i="1" s="1"/>
  <c r="Z37" i="1"/>
  <c r="Q38" i="1"/>
  <c r="N38" i="1"/>
  <c r="X38" i="1"/>
  <c r="Y38" i="1" s="1"/>
  <c r="AR38" i="1"/>
  <c r="AS38" i="1" s="1"/>
  <c r="AT38" i="1" s="1"/>
  <c r="BQ40" i="1"/>
  <c r="M48" i="1"/>
  <c r="AR5" i="1"/>
  <c r="Q5" i="1"/>
  <c r="X5" i="1"/>
  <c r="N5" i="1"/>
  <c r="AE48" i="1"/>
  <c r="AQ48" i="1"/>
  <c r="U6" i="1"/>
  <c r="K6" i="1"/>
  <c r="J6" i="1"/>
  <c r="AV6" i="1"/>
  <c r="AW6" i="1" s="1"/>
  <c r="AX6" i="1" s="1"/>
  <c r="P6" i="1"/>
  <c r="BH7" i="1"/>
  <c r="BN7" i="1"/>
  <c r="X8" i="1"/>
  <c r="Y8" i="1" s="1"/>
  <c r="N8" i="1"/>
  <c r="AR8" i="1"/>
  <c r="AS8" i="1" s="1"/>
  <c r="AT8" i="1" s="1"/>
  <c r="Q8" i="1"/>
  <c r="U9" i="1"/>
  <c r="AV9" i="1"/>
  <c r="AW9" i="1" s="1"/>
  <c r="AX9" i="1" s="1"/>
  <c r="P9" i="1"/>
  <c r="BH10" i="1"/>
  <c r="BN10" i="1"/>
  <c r="AR11" i="1"/>
  <c r="AS11" i="1" s="1"/>
  <c r="AT11" i="1" s="1"/>
  <c r="Q11" i="1"/>
  <c r="X11" i="1"/>
  <c r="N11" i="1"/>
  <c r="BK12" i="1"/>
  <c r="BK13" i="1"/>
  <c r="AG15" i="1"/>
  <c r="AH15" i="1" s="1"/>
  <c r="BQ15" i="1"/>
  <c r="J17" i="1"/>
  <c r="AV17" i="1"/>
  <c r="AW17" i="1" s="1"/>
  <c r="AX17" i="1" s="1"/>
  <c r="U17" i="1"/>
  <c r="K17" i="1"/>
  <c r="Z17" i="1"/>
  <c r="T17" i="1"/>
  <c r="AJ17" i="1"/>
  <c r="AK17" i="1" s="1"/>
  <c r="AL17" i="1" s="1"/>
  <c r="S17" i="1"/>
  <c r="P18" i="1"/>
  <c r="Z21" i="1"/>
  <c r="S21" i="1"/>
  <c r="AJ21" i="1"/>
  <c r="AK21" i="1" s="1"/>
  <c r="AL21" i="1" s="1"/>
  <c r="Z22" i="1"/>
  <c r="AJ22" i="1"/>
  <c r="AK22" i="1" s="1"/>
  <c r="AL22" i="1" s="1"/>
  <c r="AJ23" i="1"/>
  <c r="AK23" i="1" s="1"/>
  <c r="AL23" i="1" s="1"/>
  <c r="Z23" i="1"/>
  <c r="BH24" i="1"/>
  <c r="P25" i="1"/>
  <c r="P26" i="1"/>
  <c r="U28" i="1"/>
  <c r="J28" i="1"/>
  <c r="AV28" i="1"/>
  <c r="AW28" i="1" s="1"/>
  <c r="AX28" i="1" s="1"/>
  <c r="K28" i="1"/>
  <c r="BN31" i="1"/>
  <c r="U33" i="1"/>
  <c r="J33" i="1"/>
  <c r="K33" i="1"/>
  <c r="AV33" i="1"/>
  <c r="AW33" i="1" s="1"/>
  <c r="AX33" i="1" s="1"/>
  <c r="AG35" i="1"/>
  <c r="AH35" i="1" s="1"/>
  <c r="AJ15" i="1"/>
  <c r="AK15" i="1" s="1"/>
  <c r="AL15" i="1" s="1"/>
  <c r="Z15" i="1"/>
  <c r="T15" i="1"/>
  <c r="S15" i="1"/>
  <c r="AG16" i="1"/>
  <c r="AH16" i="1" s="1"/>
  <c r="BE16" i="1"/>
  <c r="BK16" i="1"/>
  <c r="BQ16" i="1"/>
  <c r="AJ18" i="1"/>
  <c r="AK18" i="1" s="1"/>
  <c r="AL18" i="1" s="1"/>
  <c r="S18" i="1"/>
  <c r="AC18" i="1"/>
  <c r="Z18" i="1"/>
  <c r="T18" i="1"/>
  <c r="AJ19" i="1"/>
  <c r="AK19" i="1" s="1"/>
  <c r="AL19" i="1" s="1"/>
  <c r="Z19" i="1"/>
  <c r="AG19" i="1"/>
  <c r="AH19" i="1" s="1"/>
  <c r="BQ19" i="1"/>
  <c r="Z20" i="1"/>
  <c r="AJ20" i="1"/>
  <c r="AK20" i="1" s="1"/>
  <c r="AL20" i="1" s="1"/>
  <c r="BQ21" i="1"/>
  <c r="BE23" i="1"/>
  <c r="Q24" i="1"/>
  <c r="X24" i="1"/>
  <c r="Y24" i="1" s="1"/>
  <c r="AR24" i="1"/>
  <c r="AS24" i="1" s="1"/>
  <c r="AT24" i="1" s="1"/>
  <c r="N24" i="1"/>
  <c r="BK24" i="1"/>
  <c r="Q25" i="1"/>
  <c r="X25" i="1"/>
  <c r="Y25" i="1" s="1"/>
  <c r="N25" i="1"/>
  <c r="AR25" i="1"/>
  <c r="AS25" i="1" s="1"/>
  <c r="AT25" i="1" s="1"/>
  <c r="BE25" i="1"/>
  <c r="K27" i="1"/>
  <c r="U27" i="1"/>
  <c r="AV27" i="1"/>
  <c r="AW27" i="1" s="1"/>
  <c r="AX27" i="1" s="1"/>
  <c r="J27" i="1"/>
  <c r="T27" i="1"/>
  <c r="AJ27" i="1"/>
  <c r="AK27" i="1" s="1"/>
  <c r="AL27" i="1" s="1"/>
  <c r="Z27" i="1"/>
  <c r="S27" i="1"/>
  <c r="BE28" i="1"/>
  <c r="AJ29" i="1"/>
  <c r="AK29" i="1" s="1"/>
  <c r="AL29" i="1" s="1"/>
  <c r="Z29" i="1"/>
  <c r="BQ29" i="1"/>
  <c r="Q30" i="1"/>
  <c r="N30" i="1"/>
  <c r="AR30" i="1"/>
  <c r="AS30" i="1" s="1"/>
  <c r="AT30" i="1" s="1"/>
  <c r="X30" i="1"/>
  <c r="BE30" i="1"/>
  <c r="BQ32" i="1"/>
  <c r="N34" i="1"/>
  <c r="Q34" i="1"/>
  <c r="AR34" i="1"/>
  <c r="AS34" i="1" s="1"/>
  <c r="AT34" i="1" s="1"/>
  <c r="X34" i="1"/>
  <c r="Y34" i="1" s="1"/>
  <c r="Q35" i="1"/>
  <c r="N35" i="1"/>
  <c r="AR35" i="1"/>
  <c r="AS35" i="1" s="1"/>
  <c r="AT35" i="1" s="1"/>
  <c r="X35" i="1"/>
  <c r="BE37" i="1"/>
  <c r="AV39" i="1"/>
  <c r="AW39" i="1" s="1"/>
  <c r="AX39" i="1" s="1"/>
  <c r="U39" i="1"/>
  <c r="Q41" i="1"/>
  <c r="N41" i="1"/>
  <c r="AR41" i="1"/>
  <c r="AS41" i="1" s="1"/>
  <c r="AT41" i="1" s="1"/>
  <c r="X41" i="1"/>
  <c r="Y41" i="1" s="1"/>
  <c r="P47" i="1"/>
  <c r="K44" i="1"/>
  <c r="AV44" i="1"/>
  <c r="AW44" i="1" s="1"/>
  <c r="AX44" i="1" s="1"/>
  <c r="J44" i="1"/>
  <c r="U44" i="1"/>
  <c r="AD44" i="1"/>
  <c r="BQ37" i="1"/>
  <c r="AV42" i="1"/>
  <c r="AW42" i="1" s="1"/>
  <c r="AX42" i="1" s="1"/>
  <c r="U42" i="1"/>
  <c r="P44" i="1"/>
  <c r="AG11" i="1"/>
  <c r="AH11" i="1" s="1"/>
  <c r="BE11" i="1"/>
  <c r="AJ13" i="1"/>
  <c r="AK13" i="1" s="1"/>
  <c r="AL13" i="1" s="1"/>
  <c r="Z13" i="1"/>
  <c r="S13" i="1"/>
  <c r="T13" i="1"/>
  <c r="AC13" i="1"/>
  <c r="AG14" i="1"/>
  <c r="AH14" i="1" s="1"/>
  <c r="BE14" i="1"/>
  <c r="AJ16" i="1"/>
  <c r="AK16" i="1" s="1"/>
  <c r="AL16" i="1" s="1"/>
  <c r="Z16" i="1"/>
  <c r="T16" i="1"/>
  <c r="S16" i="1"/>
  <c r="AG17" i="1"/>
  <c r="AH17" i="1" s="1"/>
  <c r="BE17" i="1"/>
  <c r="BK17" i="1"/>
  <c r="BQ17" i="1"/>
  <c r="BN18" i="1"/>
  <c r="P19" i="1"/>
  <c r="K20" i="1"/>
  <c r="AV20" i="1"/>
  <c r="AW20" i="1" s="1"/>
  <c r="AX20" i="1" s="1"/>
  <c r="U20" i="1"/>
  <c r="J20" i="1"/>
  <c r="BH20" i="1"/>
  <c r="BH21" i="1"/>
  <c r="K22" i="1"/>
  <c r="AV22" i="1"/>
  <c r="AW22" i="1" s="1"/>
  <c r="AX22" i="1" s="1"/>
  <c r="U22" i="1"/>
  <c r="J22" i="1"/>
  <c r="AG23" i="1"/>
  <c r="AH23" i="1" s="1"/>
  <c r="BQ23" i="1"/>
  <c r="T24" i="1"/>
  <c r="Z24" i="1"/>
  <c r="S24" i="1"/>
  <c r="AJ24" i="1"/>
  <c r="AK24" i="1" s="1"/>
  <c r="AL24" i="1" s="1"/>
  <c r="AG24" i="1"/>
  <c r="AH24" i="1" s="1"/>
  <c r="T25" i="1"/>
  <c r="Z25" i="1"/>
  <c r="AJ25" i="1"/>
  <c r="AK25" i="1" s="1"/>
  <c r="AL25" i="1" s="1"/>
  <c r="S25" i="1"/>
  <c r="AG25" i="1"/>
  <c r="AH25" i="1" s="1"/>
  <c r="BQ25" i="1"/>
  <c r="S26" i="1"/>
  <c r="Z26" i="1"/>
  <c r="AJ26" i="1"/>
  <c r="AK26" i="1" s="1"/>
  <c r="AL26" i="1" s="1"/>
  <c r="T26" i="1"/>
  <c r="P27" i="1"/>
  <c r="AG27" i="1"/>
  <c r="AH27" i="1" s="1"/>
  <c r="AJ28" i="1"/>
  <c r="AK28" i="1" s="1"/>
  <c r="AL28" i="1" s="1"/>
  <c r="Z28" i="1"/>
  <c r="AG29" i="1"/>
  <c r="AH29" i="1" s="1"/>
  <c r="BK30" i="1"/>
  <c r="P32" i="1"/>
  <c r="K35" i="1"/>
  <c r="U35" i="1"/>
  <c r="AV35" i="1"/>
  <c r="AW35" i="1" s="1"/>
  <c r="AX35" i="1" s="1"/>
  <c r="Q37" i="1"/>
  <c r="N37" i="1"/>
  <c r="X37" i="1"/>
  <c r="AR37" i="1"/>
  <c r="AS37" i="1" s="1"/>
  <c r="AT37" i="1" s="1"/>
  <c r="AG37" i="1"/>
  <c r="AH37" i="1" s="1"/>
  <c r="BE41" i="1"/>
  <c r="BE43" i="1"/>
  <c r="AG45" i="1"/>
  <c r="AH45" i="1" s="1"/>
  <c r="BH19" i="1"/>
  <c r="BN19" i="1"/>
  <c r="Q20" i="1"/>
  <c r="N20" i="1"/>
  <c r="X20" i="1"/>
  <c r="Y20" i="1" s="1"/>
  <c r="AR20" i="1"/>
  <c r="AS20" i="1" s="1"/>
  <c r="AT20" i="1" s="1"/>
  <c r="U21" i="1"/>
  <c r="J21" i="1"/>
  <c r="AV21" i="1"/>
  <c r="AW21" i="1" s="1"/>
  <c r="AX21" i="1" s="1"/>
  <c r="K21" i="1"/>
  <c r="P21" i="1"/>
  <c r="BN22" i="1"/>
  <c r="X23" i="1"/>
  <c r="Y23" i="1" s="1"/>
  <c r="Q23" i="1"/>
  <c r="AR23" i="1"/>
  <c r="AS23" i="1" s="1"/>
  <c r="AT23" i="1" s="1"/>
  <c r="N23" i="1"/>
  <c r="U24" i="1"/>
  <c r="K24" i="1"/>
  <c r="AV24" i="1"/>
  <c r="AW24" i="1" s="1"/>
  <c r="AX24" i="1" s="1"/>
  <c r="J24" i="1"/>
  <c r="P24" i="1"/>
  <c r="BH25" i="1"/>
  <c r="BN25" i="1"/>
  <c r="N26" i="1"/>
  <c r="X26" i="1"/>
  <c r="Y26" i="1" s="1"/>
  <c r="Q26" i="1"/>
  <c r="AR26" i="1"/>
  <c r="AS26" i="1" s="1"/>
  <c r="AT26" i="1" s="1"/>
  <c r="BK26" i="1"/>
  <c r="Q27" i="1"/>
  <c r="X27" i="1"/>
  <c r="Y27" i="1" s="1"/>
  <c r="AR27" i="1"/>
  <c r="AS27" i="1" s="1"/>
  <c r="AT27" i="1" s="1"/>
  <c r="N27" i="1"/>
  <c r="BE27" i="1"/>
  <c r="BE29" i="1"/>
  <c r="AG31" i="1"/>
  <c r="AH31" i="1" s="1"/>
  <c r="T32" i="1"/>
  <c r="Z32" i="1"/>
  <c r="AJ32" i="1"/>
  <c r="AK32" i="1" s="1"/>
  <c r="AL32" i="1" s="1"/>
  <c r="S32" i="1"/>
  <c r="P33" i="1"/>
  <c r="P35" i="1"/>
  <c r="BN36" i="1"/>
  <c r="P38" i="1"/>
  <c r="AG38" i="1"/>
  <c r="AH38" i="1" s="1"/>
  <c r="BE42" i="1"/>
  <c r="BE44" i="1"/>
  <c r="BH31" i="1"/>
  <c r="K32" i="1"/>
  <c r="U32" i="1"/>
  <c r="AV32" i="1"/>
  <c r="AW32" i="1" s="1"/>
  <c r="AX32" i="1" s="1"/>
  <c r="J32" i="1"/>
  <c r="AG33" i="1"/>
  <c r="AH33" i="1" s="1"/>
  <c r="BQ33" i="1"/>
  <c r="AJ34" i="1"/>
  <c r="AK34" i="1" s="1"/>
  <c r="AL34" i="1" s="1"/>
  <c r="Z34" i="1"/>
  <c r="S34" i="1"/>
  <c r="T34" i="1"/>
  <c r="AG34" i="1"/>
  <c r="AH34" i="1" s="1"/>
  <c r="Z35" i="1"/>
  <c r="AJ35" i="1"/>
  <c r="AK35" i="1" s="1"/>
  <c r="AL35" i="1" s="1"/>
  <c r="AG36" i="1"/>
  <c r="AH36" i="1" s="1"/>
  <c r="K41" i="1"/>
  <c r="J41" i="1"/>
  <c r="AV41" i="1"/>
  <c r="AW41" i="1" s="1"/>
  <c r="AX41" i="1" s="1"/>
  <c r="U41" i="1"/>
  <c r="AD41" i="1"/>
  <c r="BH42" i="1"/>
  <c r="BH43" i="1"/>
  <c r="Z44" i="1"/>
  <c r="S44" i="1"/>
  <c r="T44" i="1"/>
  <c r="AJ44" i="1"/>
  <c r="AK44" i="1" s="1"/>
  <c r="AL44" i="1" s="1"/>
  <c r="AG44" i="1"/>
  <c r="AH44" i="1" s="1"/>
  <c r="AV45" i="1"/>
  <c r="AW45" i="1" s="1"/>
  <c r="AX45" i="1" s="1"/>
  <c r="U45" i="1"/>
  <c r="K45" i="1"/>
  <c r="J45" i="1"/>
  <c r="Z46" i="1"/>
  <c r="AJ46" i="1"/>
  <c r="AK46" i="1" s="1"/>
  <c r="AL46" i="1" s="1"/>
  <c r="BH46" i="1"/>
  <c r="Q47" i="1"/>
  <c r="AR47" i="1"/>
  <c r="AS47" i="1" s="1"/>
  <c r="AT47" i="1" s="1"/>
  <c r="X47" i="1"/>
  <c r="Y47" i="1" s="1"/>
  <c r="N47" i="1"/>
  <c r="BH27" i="1"/>
  <c r="BN27" i="1"/>
  <c r="N28" i="1"/>
  <c r="X28" i="1"/>
  <c r="AR28" i="1"/>
  <c r="AS28" i="1" s="1"/>
  <c r="AT28" i="1" s="1"/>
  <c r="Q28" i="1"/>
  <c r="U29" i="1"/>
  <c r="J29" i="1"/>
  <c r="K29" i="1"/>
  <c r="AD29" i="1"/>
  <c r="AV29" i="1"/>
  <c r="AW29" i="1" s="1"/>
  <c r="AX29" i="1" s="1"/>
  <c r="P29" i="1"/>
  <c r="BN30" i="1"/>
  <c r="X31" i="1"/>
  <c r="Y31" i="1" s="1"/>
  <c r="Q31" i="1"/>
  <c r="N31" i="1"/>
  <c r="AR31" i="1"/>
  <c r="AS31" i="1" s="1"/>
  <c r="AT31" i="1" s="1"/>
  <c r="Q32" i="1"/>
  <c r="X32" i="1"/>
  <c r="Y32" i="1" s="1"/>
  <c r="AR32" i="1"/>
  <c r="AS32" i="1" s="1"/>
  <c r="AT32" i="1" s="1"/>
  <c r="N32" i="1"/>
  <c r="BE32" i="1"/>
  <c r="BE35" i="1"/>
  <c r="AJ36" i="1"/>
  <c r="AK36" i="1" s="1"/>
  <c r="AL36" i="1" s="1"/>
  <c r="Z36" i="1"/>
  <c r="AJ38" i="1"/>
  <c r="AK38" i="1" s="1"/>
  <c r="AL38" i="1" s="1"/>
  <c r="Z38" i="1"/>
  <c r="S38" i="1"/>
  <c r="S39" i="1"/>
  <c r="AJ39" i="1"/>
  <c r="AK39" i="1" s="1"/>
  <c r="AL39" i="1" s="1"/>
  <c r="T39" i="1"/>
  <c r="Z39" i="1"/>
  <c r="P41" i="1"/>
  <c r="P42" i="1"/>
  <c r="Q44" i="1"/>
  <c r="N44" i="1"/>
  <c r="AR44" i="1"/>
  <c r="AS44" i="1" s="1"/>
  <c r="AT44" i="1" s="1"/>
  <c r="X44" i="1"/>
  <c r="Y44" i="1" s="1"/>
  <c r="BE45" i="1"/>
  <c r="U36" i="1"/>
  <c r="J36" i="1"/>
  <c r="K36" i="1"/>
  <c r="AV36" i="1"/>
  <c r="AW36" i="1" s="1"/>
  <c r="AX36" i="1" s="1"/>
  <c r="P36" i="1"/>
  <c r="K38" i="1"/>
  <c r="U38" i="1"/>
  <c r="AV38" i="1"/>
  <c r="AW38" i="1" s="1"/>
  <c r="AX38" i="1" s="1"/>
  <c r="J38" i="1"/>
  <c r="AD38" i="1"/>
  <c r="AG39" i="1"/>
  <c r="AH39" i="1" s="1"/>
  <c r="AR40" i="1"/>
  <c r="AS40" i="1" s="1"/>
  <c r="AT40" i="1" s="1"/>
  <c r="N40" i="1"/>
  <c r="Q40" i="1"/>
  <c r="X40" i="1"/>
  <c r="BN42" i="1"/>
  <c r="Z43" i="1"/>
  <c r="AJ43" i="1"/>
  <c r="AK43" i="1" s="1"/>
  <c r="AL43" i="1" s="1"/>
  <c r="T43" i="1"/>
  <c r="BK44" i="1"/>
  <c r="K47" i="1"/>
  <c r="J47" i="1"/>
  <c r="AV47" i="1"/>
  <c r="AW47" i="1" s="1"/>
  <c r="AX47" i="1" s="1"/>
  <c r="U47" i="1"/>
  <c r="P31" i="1"/>
  <c r="BH32" i="1"/>
  <c r="BN32" i="1"/>
  <c r="N33" i="1"/>
  <c r="X33" i="1"/>
  <c r="Q33" i="1"/>
  <c r="AR33" i="1"/>
  <c r="AS33" i="1" s="1"/>
  <c r="AT33" i="1" s="1"/>
  <c r="U34" i="1"/>
  <c r="K34" i="1"/>
  <c r="AV34" i="1"/>
  <c r="AW34" i="1" s="1"/>
  <c r="AX34" i="1" s="1"/>
  <c r="J34" i="1"/>
  <c r="AD34" i="1"/>
  <c r="P34" i="1"/>
  <c r="BH35" i="1"/>
  <c r="N36" i="1"/>
  <c r="Q36" i="1"/>
  <c r="AR36" i="1"/>
  <c r="AS36" i="1" s="1"/>
  <c r="AT36" i="1" s="1"/>
  <c r="X36" i="1"/>
  <c r="U37" i="1"/>
  <c r="K37" i="1"/>
  <c r="AV37" i="1"/>
  <c r="AW37" i="1" s="1"/>
  <c r="AX37" i="1" s="1"/>
  <c r="P37" i="1"/>
  <c r="P39" i="1"/>
  <c r="BN39" i="1"/>
  <c r="AG43" i="1"/>
  <c r="AH43" i="1" s="1"/>
  <c r="BQ45" i="1"/>
  <c r="AG47" i="1"/>
  <c r="AH47" i="1" s="1"/>
  <c r="P45" i="1"/>
  <c r="BH45" i="1"/>
  <c r="AR46" i="1"/>
  <c r="AS46" i="1" s="1"/>
  <c r="AT46" i="1" s="1"/>
  <c r="N46" i="1"/>
  <c r="Q46" i="1"/>
  <c r="X46" i="1"/>
  <c r="BE47" i="1"/>
  <c r="BH38" i="1"/>
  <c r="AR39" i="1"/>
  <c r="AS39" i="1" s="1"/>
  <c r="AT39" i="1" s="1"/>
  <c r="X39" i="1"/>
  <c r="Y39" i="1" s="1"/>
  <c r="Q39" i="1"/>
  <c r="N39" i="1"/>
  <c r="BQ39" i="1"/>
  <c r="AJ40" i="1"/>
  <c r="AK40" i="1" s="1"/>
  <c r="AL40" i="1" s="1"/>
  <c r="Z40" i="1"/>
  <c r="AG40" i="1"/>
  <c r="AH40" i="1" s="1"/>
  <c r="Z41" i="1"/>
  <c r="AJ41" i="1"/>
  <c r="AK41" i="1" s="1"/>
  <c r="AL41" i="1" s="1"/>
  <c r="T41" i="1"/>
  <c r="S41" i="1"/>
  <c r="AG41" i="1"/>
  <c r="AH41" i="1" s="1"/>
  <c r="BQ41" i="1"/>
  <c r="S42" i="1"/>
  <c r="Z42" i="1"/>
  <c r="AJ42" i="1"/>
  <c r="AK42" i="1" s="1"/>
  <c r="AL42" i="1" s="1"/>
  <c r="T42" i="1"/>
  <c r="BQ44" i="1"/>
  <c r="BN45" i="1"/>
  <c r="AJ47" i="1"/>
  <c r="AK47" i="1" s="1"/>
  <c r="AL47" i="1" s="1"/>
  <c r="Z47" i="1"/>
  <c r="T47" i="1"/>
  <c r="S47" i="1"/>
  <c r="AJ45" i="1"/>
  <c r="AK45" i="1" s="1"/>
  <c r="AL45" i="1" s="1"/>
  <c r="Z45" i="1"/>
  <c r="AG46" i="1"/>
  <c r="AH46" i="1" s="1"/>
  <c r="BE46" i="1"/>
  <c r="BQ46" i="1"/>
  <c r="U40" i="1"/>
  <c r="J40" i="1"/>
  <c r="AV40" i="1"/>
  <c r="AW40" i="1" s="1"/>
  <c r="AX40" i="1" s="1"/>
  <c r="P40" i="1"/>
  <c r="BH41" i="1"/>
  <c r="BN41" i="1"/>
  <c r="N42" i="1"/>
  <c r="AR42" i="1"/>
  <c r="AS42" i="1" s="1"/>
  <c r="AT42" i="1" s="1"/>
  <c r="X42" i="1"/>
  <c r="Y42" i="1" s="1"/>
  <c r="Q42" i="1"/>
  <c r="U43" i="1"/>
  <c r="AV43" i="1"/>
  <c r="AW43" i="1" s="1"/>
  <c r="AX43" i="1" s="1"/>
  <c r="P43" i="1"/>
  <c r="BN44" i="1"/>
  <c r="X45" i="1"/>
  <c r="AR45" i="1"/>
  <c r="AS45" i="1" s="1"/>
  <c r="AT45" i="1" s="1"/>
  <c r="Q45" i="1"/>
  <c r="N45" i="1"/>
  <c r="U46" i="1"/>
  <c r="AV46" i="1"/>
  <c r="AW46" i="1" s="1"/>
  <c r="AX46" i="1" s="1"/>
  <c r="P46" i="1"/>
  <c r="AD11" i="1"/>
  <c r="AC15" i="1"/>
  <c r="AD10" i="1"/>
  <c r="AC16" i="1"/>
  <c r="AD22" i="1"/>
  <c r="AD12" i="1"/>
  <c r="AD21" i="1"/>
  <c r="AD6" i="1"/>
  <c r="AD7" i="1"/>
  <c r="AC17" i="1"/>
  <c r="AD24" i="1"/>
  <c r="H8" i="1"/>
  <c r="AD8" i="1" s="1"/>
  <c r="BF9" i="1"/>
  <c r="BO9" i="1"/>
  <c r="BQ9" i="1" s="1"/>
  <c r="AD13" i="1"/>
  <c r="BO5" i="1"/>
  <c r="BI5" i="1"/>
  <c r="BC5" i="1"/>
  <c r="G5" i="1"/>
  <c r="T5" i="1" s="1"/>
  <c r="BL7" i="1"/>
  <c r="G9" i="1"/>
  <c r="AC9" i="1" s="1"/>
  <c r="H14" i="1"/>
  <c r="AD14" i="1" s="1"/>
  <c r="BL14" i="1"/>
  <c r="BN14" i="1" s="1"/>
  <c r="BF14" i="1"/>
  <c r="BH14" i="1" s="1"/>
  <c r="BI14" i="1"/>
  <c r="BK14" i="1" s="1"/>
  <c r="BC14" i="1"/>
  <c r="G14" i="1"/>
  <c r="AC14" i="1" s="1"/>
  <c r="BO14" i="1"/>
  <c r="BQ14" i="1" s="1"/>
  <c r="AD36" i="1"/>
  <c r="BL37" i="1"/>
  <c r="BN37" i="1" s="1"/>
  <c r="G37" i="1"/>
  <c r="AC37" i="1" s="1"/>
  <c r="BC37" i="1"/>
  <c r="BO37" i="1"/>
  <c r="BF37" i="1"/>
  <c r="BH37" i="1" s="1"/>
  <c r="H37" i="1"/>
  <c r="AD37" i="1" s="1"/>
  <c r="H5" i="1"/>
  <c r="J5" i="1" s="1"/>
  <c r="BF6" i="1"/>
  <c r="BH6" i="1" s="1"/>
  <c r="BL8" i="1"/>
  <c r="BN8" i="1" s="1"/>
  <c r="H9" i="1"/>
  <c r="AD9" i="1" s="1"/>
  <c r="BO10" i="1"/>
  <c r="BQ10" i="1" s="1"/>
  <c r="BI10" i="1"/>
  <c r="BC10" i="1"/>
  <c r="G10" i="1"/>
  <c r="AC10" i="1" s="1"/>
  <c r="H17" i="1"/>
  <c r="AD17" i="1" s="1"/>
  <c r="BL17" i="1"/>
  <c r="BF17" i="1"/>
  <c r="BH17" i="1" s="1"/>
  <c r="AC6" i="1"/>
  <c r="BI11" i="1"/>
  <c r="BK11" i="1" s="1"/>
  <c r="G11" i="1"/>
  <c r="AC11" i="1" s="1"/>
  <c r="BL11" i="1"/>
  <c r="BN11" i="1" s="1"/>
  <c r="BF11" i="1"/>
  <c r="BH11" i="1" s="1"/>
  <c r="BO11" i="1"/>
  <c r="BQ11" i="1" s="1"/>
  <c r="AD18" i="1"/>
  <c r="AC25" i="1"/>
  <c r="BO7" i="1"/>
  <c r="BI7" i="1"/>
  <c r="BK7" i="1" s="1"/>
  <c r="BC7" i="1"/>
  <c r="BE7" i="1" s="1"/>
  <c r="G7" i="1"/>
  <c r="AC7" i="1" s="1"/>
  <c r="BL12" i="1"/>
  <c r="BN12" i="1" s="1"/>
  <c r="BF12" i="1"/>
  <c r="BH12" i="1" s="1"/>
  <c r="BC12" i="1"/>
  <c r="G12" i="1"/>
  <c r="AC12" i="1" s="1"/>
  <c r="AD20" i="1"/>
  <c r="AD25" i="1"/>
  <c r="BO8" i="1"/>
  <c r="BI8" i="1"/>
  <c r="BK8" i="1" s="1"/>
  <c r="BC8" i="1"/>
  <c r="G8" i="1"/>
  <c r="AC8" i="1" s="1"/>
  <c r="AC24" i="1"/>
  <c r="AD16" i="1"/>
  <c r="AD27" i="1"/>
  <c r="AD33" i="1"/>
  <c r="AD15" i="1"/>
  <c r="BL21" i="1"/>
  <c r="BN21" i="1" s="1"/>
  <c r="BL34" i="1"/>
  <c r="BN34" i="1" s="1"/>
  <c r="G34" i="1"/>
  <c r="AC34" i="1" s="1"/>
  <c r="BO34" i="1"/>
  <c r="BQ34" i="1" s="1"/>
  <c r="BF34" i="1"/>
  <c r="BH34" i="1" s="1"/>
  <c r="BI34" i="1"/>
  <c r="BO35" i="1"/>
  <c r="BQ35" i="1" s="1"/>
  <c r="BI35" i="1"/>
  <c r="BK35" i="1" s="1"/>
  <c r="BC35" i="1"/>
  <c r="BL35" i="1"/>
  <c r="BN35" i="1" s="1"/>
  <c r="G35" i="1"/>
  <c r="AC35" i="1" s="1"/>
  <c r="BF19" i="1"/>
  <c r="H19" i="1"/>
  <c r="AD19" i="1" s="1"/>
  <c r="BI19" i="1"/>
  <c r="BK19" i="1" s="1"/>
  <c r="BF21" i="1"/>
  <c r="BO22" i="1"/>
  <c r="BQ22" i="1" s="1"/>
  <c r="BC22" i="1"/>
  <c r="BF22" i="1"/>
  <c r="BH22" i="1" s="1"/>
  <c r="BO23" i="1"/>
  <c r="BI23" i="1"/>
  <c r="BK23" i="1" s="1"/>
  <c r="BC23" i="1"/>
  <c r="G23" i="1"/>
  <c r="AC23" i="1" s="1"/>
  <c r="AD28" i="1"/>
  <c r="BL30" i="1"/>
  <c r="G30" i="1"/>
  <c r="AC30" i="1" s="1"/>
  <c r="BF30" i="1"/>
  <c r="BH30" i="1" s="1"/>
  <c r="AD32" i="1"/>
  <c r="H35" i="1"/>
  <c r="AD35" i="1" s="1"/>
  <c r="G19" i="1"/>
  <c r="AC19" i="1" s="1"/>
  <c r="BO20" i="1"/>
  <c r="BI20" i="1"/>
  <c r="BK20" i="1" s="1"/>
  <c r="BC20" i="1"/>
  <c r="BE20" i="1" s="1"/>
  <c r="G20" i="1"/>
  <c r="AC20" i="1" s="1"/>
  <c r="G21" i="1"/>
  <c r="AC21" i="1" s="1"/>
  <c r="G22" i="1"/>
  <c r="AC22" i="1" s="1"/>
  <c r="BI22" i="1"/>
  <c r="BK22" i="1" s="1"/>
  <c r="H23" i="1"/>
  <c r="AD23" i="1" s="1"/>
  <c r="H30" i="1"/>
  <c r="AD30" i="1" s="1"/>
  <c r="BC34" i="1"/>
  <c r="BE34" i="1" s="1"/>
  <c r="BO18" i="1"/>
  <c r="BQ18" i="1" s="1"/>
  <c r="BC24" i="1"/>
  <c r="BE24" i="1" s="1"/>
  <c r="BC26" i="1"/>
  <c r="G26" i="1"/>
  <c r="AC26" i="1" s="1"/>
  <c r="BF26" i="1"/>
  <c r="BH26" i="1" s="1"/>
  <c r="BO40" i="1"/>
  <c r="BI40" i="1"/>
  <c r="BK40" i="1" s="1"/>
  <c r="BL40" i="1"/>
  <c r="BN40" i="1" s="1"/>
  <c r="BC40" i="1"/>
  <c r="BF40" i="1"/>
  <c r="BH40" i="1" s="1"/>
  <c r="G40" i="1"/>
  <c r="AC40" i="1" s="1"/>
  <c r="H40" i="1"/>
  <c r="AD40" i="1" s="1"/>
  <c r="H46" i="1"/>
  <c r="AD46" i="1" s="1"/>
  <c r="BL46" i="1"/>
  <c r="BN46" i="1" s="1"/>
  <c r="BF46" i="1"/>
  <c r="BC46" i="1"/>
  <c r="G46" i="1"/>
  <c r="AC46" i="1" s="1"/>
  <c r="BO46" i="1"/>
  <c r="BI46" i="1"/>
  <c r="BK46" i="1" s="1"/>
  <c r="BF15" i="1"/>
  <c r="BH15" i="1" s="1"/>
  <c r="BL26" i="1"/>
  <c r="BN26" i="1" s="1"/>
  <c r="AC27" i="1"/>
  <c r="BL29" i="1"/>
  <c r="BL48" i="1" s="1"/>
  <c r="G29" i="1"/>
  <c r="AC29" i="1" s="1"/>
  <c r="BF29" i="1"/>
  <c r="BH29" i="1" s="1"/>
  <c r="BC31" i="1"/>
  <c r="BE31" i="1" s="1"/>
  <c r="G31" i="1"/>
  <c r="AC31" i="1" s="1"/>
  <c r="BI31" i="1"/>
  <c r="BK31" i="1" s="1"/>
  <c r="H31" i="1"/>
  <c r="AD31" i="1" s="1"/>
  <c r="BF31" i="1"/>
  <c r="AC41" i="1"/>
  <c r="BI43" i="1"/>
  <c r="BK43" i="1" s="1"/>
  <c r="BF43" i="1"/>
  <c r="G43" i="1"/>
  <c r="AC43" i="1" s="1"/>
  <c r="H43" i="1"/>
  <c r="AD43" i="1" s="1"/>
  <c r="BO43" i="1"/>
  <c r="BQ43" i="1" s="1"/>
  <c r="BL43" i="1"/>
  <c r="BN43" i="1" s="1"/>
  <c r="BO36" i="1"/>
  <c r="BQ36" i="1" s="1"/>
  <c r="BI36" i="1"/>
  <c r="BK36" i="1" s="1"/>
  <c r="BC36" i="1"/>
  <c r="BE36" i="1" s="1"/>
  <c r="G36" i="1"/>
  <c r="AC36" i="1" s="1"/>
  <c r="BF36" i="1"/>
  <c r="BH36" i="1" s="1"/>
  <c r="BO42" i="1"/>
  <c r="BQ42" i="1" s="1"/>
  <c r="BI42" i="1"/>
  <c r="BK42" i="1" s="1"/>
  <c r="BC42" i="1"/>
  <c r="G42" i="1"/>
  <c r="AC42" i="1" s="1"/>
  <c r="H42" i="1"/>
  <c r="AD42" i="1" s="1"/>
  <c r="BL42" i="1"/>
  <c r="AC47" i="1"/>
  <c r="BO28" i="1"/>
  <c r="BQ28" i="1" s="1"/>
  <c r="BI28" i="1"/>
  <c r="BK28" i="1" s="1"/>
  <c r="BC28" i="1"/>
  <c r="G28" i="1"/>
  <c r="AC28" i="1" s="1"/>
  <c r="BL28" i="1"/>
  <c r="BN28" i="1" s="1"/>
  <c r="AC32" i="1"/>
  <c r="AC44" i="1"/>
  <c r="BO33" i="1"/>
  <c r="BI33" i="1"/>
  <c r="BK33" i="1" s="1"/>
  <c r="BC33" i="1"/>
  <c r="BE33" i="1" s="1"/>
  <c r="G33" i="1"/>
  <c r="AC33" i="1" s="1"/>
  <c r="BL33" i="1"/>
  <c r="BN33" i="1" s="1"/>
  <c r="BL38" i="1"/>
  <c r="BN38" i="1" s="1"/>
  <c r="G38" i="1"/>
  <c r="AC38" i="1" s="1"/>
  <c r="BO38" i="1"/>
  <c r="BQ38" i="1" s="1"/>
  <c r="BI38" i="1"/>
  <c r="BK38" i="1" s="1"/>
  <c r="BO39" i="1"/>
  <c r="BI39" i="1"/>
  <c r="BK39" i="1" s="1"/>
  <c r="BC39" i="1"/>
  <c r="BE39" i="1" s="1"/>
  <c r="G39" i="1"/>
  <c r="AC39" i="1" s="1"/>
  <c r="BF39" i="1"/>
  <c r="BH39" i="1" s="1"/>
  <c r="H39" i="1"/>
  <c r="AD39" i="1" s="1"/>
  <c r="BL44" i="1"/>
  <c r="BF44" i="1"/>
  <c r="BH44" i="1" s="1"/>
  <c r="AD45" i="1"/>
  <c r="BO47" i="1"/>
  <c r="BQ47" i="1" s="1"/>
  <c r="BL47" i="1"/>
  <c r="BN47" i="1" s="1"/>
  <c r="BF47" i="1"/>
  <c r="BH47" i="1" s="1"/>
  <c r="H47" i="1"/>
  <c r="AD47" i="1" s="1"/>
  <c r="BI47" i="1"/>
  <c r="BK47" i="1" s="1"/>
  <c r="G45" i="1"/>
  <c r="AC45" i="1" s="1"/>
  <c r="BC45" i="1"/>
  <c r="BI45" i="1"/>
  <c r="BK45" i="1" s="1"/>
  <c r="AP45" i="3" a="1"/>
  <c r="AP45" i="3" s="1"/>
  <c r="AR45" i="3" s="1"/>
  <c r="AP47" i="3" a="1"/>
  <c r="AP47" i="3" s="1"/>
  <c r="AR47" i="3" s="1"/>
  <c r="AS45" i="3" a="1"/>
  <c r="AS45" i="3" s="1"/>
  <c r="AU45" i="3" s="1"/>
  <c r="AP46" i="3" a="1"/>
  <c r="AP46" i="3" s="1"/>
  <c r="AR25" i="3"/>
  <c r="AU32" i="3"/>
  <c r="AR21" i="3"/>
  <c r="EB31" i="3"/>
  <c r="AR40" i="3"/>
  <c r="AR13" i="3"/>
  <c r="AU34" i="3"/>
  <c r="BA15" i="3"/>
  <c r="BG5" i="3"/>
  <c r="DI6" i="3"/>
  <c r="U7" i="3" a="1"/>
  <c r="U7" i="3" s="1"/>
  <c r="AN7" i="3" a="1"/>
  <c r="AN7" i="3" s="1"/>
  <c r="CJ7" i="3" a="1"/>
  <c r="CJ7" i="3" s="1"/>
  <c r="CV7" i="3" a="1"/>
  <c r="CV7" i="3" s="1"/>
  <c r="BT7" i="3"/>
  <c r="L6" i="3"/>
  <c r="AQ6" i="3" a="1"/>
  <c r="AQ6" i="3" s="1"/>
  <c r="CX6" i="3"/>
  <c r="M7" i="3"/>
  <c r="AH7" i="3" a="1"/>
  <c r="AH7" i="3" s="1"/>
  <c r="BI7" i="3"/>
  <c r="CO7" i="3" a="1"/>
  <c r="CO7" i="3" s="1"/>
  <c r="Z11" i="3"/>
  <c r="EB11" i="3"/>
  <c r="AZ14" i="3" a="1"/>
  <c r="AZ14" i="3" s="1"/>
  <c r="CF14" i="3"/>
  <c r="DR5" i="3"/>
  <c r="P6" i="3" a="1"/>
  <c r="P6" i="3" s="1"/>
  <c r="BC6" i="3"/>
  <c r="BW6" i="3" a="1"/>
  <c r="BW6" i="3" s="1"/>
  <c r="DT6" i="3" a="1"/>
  <c r="DT6" i="3" s="1"/>
  <c r="DU6" i="3" s="1"/>
  <c r="F7" i="3"/>
  <c r="DV7" i="3"/>
  <c r="AA14" i="3" a="1"/>
  <c r="AA14" i="3" s="1"/>
  <c r="CF5" i="3"/>
  <c r="I6" i="3" a="1"/>
  <c r="I6" i="3" s="1"/>
  <c r="AM6" i="3" a="1"/>
  <c r="AM6" i="3" s="1"/>
  <c r="BE6" i="3" a="1"/>
  <c r="BE6" i="3" s="1"/>
  <c r="BQ6" i="3" a="1"/>
  <c r="BQ6" i="3" s="1"/>
  <c r="BS6" i="3" s="1"/>
  <c r="CJ6" i="3" a="1"/>
  <c r="CJ6" i="3" s="1"/>
  <c r="CS6" i="3"/>
  <c r="DE6" i="3"/>
  <c r="DN6" i="3" a="1"/>
  <c r="DN6" i="3" s="1"/>
  <c r="DY6" i="3" a="1"/>
  <c r="DY6" i="3" s="1"/>
  <c r="BZ7" i="3"/>
  <c r="AU8" i="3"/>
  <c r="CB8" i="3"/>
  <c r="H12" i="3"/>
  <c r="L14" i="3"/>
  <c r="AB14" i="3" a="1"/>
  <c r="AB14" i="3" s="1"/>
  <c r="DZ15" i="3" a="1"/>
  <c r="DZ15" i="3" s="1"/>
  <c r="DQ15" i="3"/>
  <c r="DM15" i="3" a="1"/>
  <c r="DM15" i="3" s="1"/>
  <c r="DH15" i="3" a="1"/>
  <c r="DH15" i="3" s="1"/>
  <c r="CY15" i="3"/>
  <c r="CU15" i="3" a="1"/>
  <c r="CU15" i="3" s="1"/>
  <c r="CW15" i="3" s="1"/>
  <c r="CP15" i="3" a="1"/>
  <c r="CP15" i="3" s="1"/>
  <c r="CG15" i="3"/>
  <c r="CC15" i="3" a="1"/>
  <c r="CC15" i="3" s="1"/>
  <c r="BX15" i="3" a="1"/>
  <c r="BX15" i="3" s="1"/>
  <c r="BO15" i="3"/>
  <c r="BP15" i="3" s="1"/>
  <c r="BK15" i="3" a="1"/>
  <c r="BK15" i="3" s="1"/>
  <c r="BM15" i="3" s="1"/>
  <c r="BF15" i="3" a="1"/>
  <c r="BF15" i="3" s="1"/>
  <c r="BG15" i="3" s="1"/>
  <c r="AW15" i="3"/>
  <c r="AS15" i="3" a="1"/>
  <c r="AS15" i="3" s="1"/>
  <c r="AK15" i="3"/>
  <c r="AG15" i="3" a="1"/>
  <c r="AG15" i="3" s="1"/>
  <c r="AB15" i="3" a="1"/>
  <c r="AB15" i="3" s="1"/>
  <c r="AC15" i="3" s="1"/>
  <c r="S15" i="3"/>
  <c r="O15" i="3" a="1"/>
  <c r="O15" i="3" s="1"/>
  <c r="J15" i="3" a="1"/>
  <c r="J15" i="3" s="1"/>
  <c r="DY15" i="3" a="1"/>
  <c r="DY15" i="3" s="1"/>
  <c r="DN15" i="3" a="1"/>
  <c r="DN15" i="3" s="1"/>
  <c r="CR15" i="3"/>
  <c r="CT15" i="3" s="1"/>
  <c r="CM15" i="3"/>
  <c r="CN15" i="3" s="1"/>
  <c r="BW15" i="3" a="1"/>
  <c r="BW15" i="3" s="1"/>
  <c r="BL15" i="3" a="1"/>
  <c r="BL15" i="3" s="1"/>
  <c r="AQ15" i="3" a="1"/>
  <c r="AQ15" i="3" s="1"/>
  <c r="AR15" i="3" s="1"/>
  <c r="AM15" i="3" a="1"/>
  <c r="AM15" i="3" s="1"/>
  <c r="V15" i="3" a="1"/>
  <c r="V15" i="3" s="1"/>
  <c r="W15" i="3" s="1"/>
  <c r="F15" i="3"/>
  <c r="DT15" i="3" a="1"/>
  <c r="DT15" i="3" s="1"/>
  <c r="DD15" i="3"/>
  <c r="CX15" i="3"/>
  <c r="CZ15" i="3" s="1"/>
  <c r="CS15" i="3"/>
  <c r="CI15" i="3" a="1"/>
  <c r="CI15" i="3" s="1"/>
  <c r="CK15" i="3" s="1"/>
  <c r="BR15" i="3" a="1"/>
  <c r="BR15" i="3" s="1"/>
  <c r="BB15" i="3"/>
  <c r="AV15" i="3"/>
  <c r="AX15" i="3" s="1"/>
  <c r="AH15" i="3" a="1"/>
  <c r="AH15" i="3" s="1"/>
  <c r="L15" i="3"/>
  <c r="G15" i="3"/>
  <c r="DW15" i="3"/>
  <c r="DG15" i="3" a="1"/>
  <c r="DG15" i="3" s="1"/>
  <c r="BZ15" i="3"/>
  <c r="BC15" i="3"/>
  <c r="AT15" i="3" a="1"/>
  <c r="AT15" i="3" s="1"/>
  <c r="AN15" i="3" a="1"/>
  <c r="AN15" i="3" s="1"/>
  <c r="AE15" i="3"/>
  <c r="X15" i="3"/>
  <c r="DV15" i="3"/>
  <c r="AZ15" i="3" a="1"/>
  <c r="AZ15" i="3" s="1"/>
  <c r="BI15" i="3"/>
  <c r="DP15" i="3"/>
  <c r="DR15" i="3" s="1"/>
  <c r="DA15" i="3" a="1"/>
  <c r="DA15" i="3" s="1"/>
  <c r="DC15" i="3" s="1"/>
  <c r="CJ15" i="3" a="1"/>
  <c r="CJ15" i="3" s="1"/>
  <c r="CA15" i="3"/>
  <c r="BT15" i="3"/>
  <c r="BV15" i="3" s="1"/>
  <c r="Y15" i="3"/>
  <c r="P15" i="3" a="1"/>
  <c r="P15" i="3" s="1"/>
  <c r="I15" i="3" a="1"/>
  <c r="I15" i="3" s="1"/>
  <c r="CF15" i="3"/>
  <c r="CH15" i="3" s="1"/>
  <c r="BQ15" i="3" a="1"/>
  <c r="BQ15" i="3" s="1"/>
  <c r="AD15" i="3"/>
  <c r="R15" i="3"/>
  <c r="CD15" i="3" a="1"/>
  <c r="CD15" i="3" s="1"/>
  <c r="DJ15" i="3"/>
  <c r="DL15" i="3" s="1"/>
  <c r="DP7" i="3"/>
  <c r="CX7" i="3"/>
  <c r="CF7" i="3"/>
  <c r="BN7" i="3"/>
  <c r="AV7" i="3"/>
  <c r="AX7" i="3" s="1"/>
  <c r="AJ7" i="3"/>
  <c r="R7" i="3"/>
  <c r="DZ7" i="3" a="1"/>
  <c r="DZ7" i="3" s="1"/>
  <c r="DQ7" i="3"/>
  <c r="DM7" i="3" a="1"/>
  <c r="DM7" i="3" s="1"/>
  <c r="DH7" i="3" a="1"/>
  <c r="DH7" i="3" s="1"/>
  <c r="CY7" i="3"/>
  <c r="CU7" i="3" a="1"/>
  <c r="CU7" i="3" s="1"/>
  <c r="CW7" i="3" s="1"/>
  <c r="CP7" i="3" a="1"/>
  <c r="CP7" i="3" s="1"/>
  <c r="CG7" i="3"/>
  <c r="CC7" i="3" a="1"/>
  <c r="CC7" i="3" s="1"/>
  <c r="CE7" i="3" s="1"/>
  <c r="BX7" i="3" a="1"/>
  <c r="BX7" i="3" s="1"/>
  <c r="BO7" i="3"/>
  <c r="BK7" i="3" a="1"/>
  <c r="BK7" i="3" s="1"/>
  <c r="BF7" i="3" a="1"/>
  <c r="BF7" i="3" s="1"/>
  <c r="AW7" i="3"/>
  <c r="AS7" i="3" a="1"/>
  <c r="AS7" i="3" s="1"/>
  <c r="AK7" i="3"/>
  <c r="AG7" i="3" a="1"/>
  <c r="AG7" i="3" s="1"/>
  <c r="AI7" i="3" s="1"/>
  <c r="AB7" i="3" a="1"/>
  <c r="AB7" i="3" s="1"/>
  <c r="S7" i="3"/>
  <c r="O7" i="3" a="1"/>
  <c r="O7" i="3" s="1"/>
  <c r="J7" i="3" a="1"/>
  <c r="J7" i="3" s="1"/>
  <c r="CR7" i="3"/>
  <c r="CT7" i="3" s="1"/>
  <c r="CL7" i="3"/>
  <c r="CN7" i="3" s="1"/>
  <c r="AQ7" i="3" a="1"/>
  <c r="AQ7" i="3" s="1"/>
  <c r="AD7" i="3"/>
  <c r="X7" i="3"/>
  <c r="DT7" i="3" a="1"/>
  <c r="DT7" i="3" s="1"/>
  <c r="DN7" i="3" a="1"/>
  <c r="DN7" i="3" s="1"/>
  <c r="DG7" i="3" a="1"/>
  <c r="DG7" i="3" s="1"/>
  <c r="DI7" i="3" s="1"/>
  <c r="DA7" i="3" a="1"/>
  <c r="DA7" i="3" s="1"/>
  <c r="CS7" i="3"/>
  <c r="CM7" i="3"/>
  <c r="BR7" i="3" a="1"/>
  <c r="BR7" i="3" s="1"/>
  <c r="BL7" i="3" a="1"/>
  <c r="BL7" i="3" s="1"/>
  <c r="BE7" i="3" a="1"/>
  <c r="BE7" i="3" s="1"/>
  <c r="BG7" i="3" s="1"/>
  <c r="AY7" i="3" a="1"/>
  <c r="AY7" i="3" s="1"/>
  <c r="AM7" i="3" a="1"/>
  <c r="AM7" i="3" s="1"/>
  <c r="AO7" i="3" s="1"/>
  <c r="AE7" i="3"/>
  <c r="Y7" i="3"/>
  <c r="BQ7" i="3" a="1"/>
  <c r="BQ7" i="3" s="1"/>
  <c r="BS7" i="3" s="1"/>
  <c r="DE7" i="3"/>
  <c r="DF7" i="3" s="1"/>
  <c r="DY7" i="3" a="1"/>
  <c r="DY7" i="3" s="1"/>
  <c r="EA7" i="3" s="1"/>
  <c r="AR10" i="3"/>
  <c r="DU10" i="3"/>
  <c r="CK12" i="3"/>
  <c r="N13" i="3"/>
  <c r="AC13" i="3"/>
  <c r="EA13" i="3"/>
  <c r="DV14" i="3"/>
  <c r="DX14" i="3" s="1"/>
  <c r="DD14" i="3"/>
  <c r="DF14" i="3" s="1"/>
  <c r="CL14" i="3"/>
  <c r="BT14" i="3"/>
  <c r="BB14" i="3"/>
  <c r="AP14" i="3" a="1"/>
  <c r="AP14" i="3" s="1"/>
  <c r="X14" i="3"/>
  <c r="F14" i="3"/>
  <c r="DZ14" i="3" a="1"/>
  <c r="DZ14" i="3" s="1"/>
  <c r="DJ14" i="3"/>
  <c r="DL14" i="3" s="1"/>
  <c r="DE14" i="3"/>
  <c r="CY14" i="3"/>
  <c r="CO14" i="3" a="1"/>
  <c r="CO14" i="3" s="1"/>
  <c r="CD14" i="3" a="1"/>
  <c r="CD14" i="3" s="1"/>
  <c r="BX14" i="3" a="1"/>
  <c r="BX14" i="3" s="1"/>
  <c r="BH14" i="3"/>
  <c r="BC14" i="3"/>
  <c r="AW14" i="3"/>
  <c r="AN14" i="3" a="1"/>
  <c r="AN14" i="3" s="1"/>
  <c r="R14" i="3"/>
  <c r="M14" i="3"/>
  <c r="DP14" i="3"/>
  <c r="DR14" i="3" s="1"/>
  <c r="DK14" i="3"/>
  <c r="DA14" i="3" a="1"/>
  <c r="DA14" i="3" s="1"/>
  <c r="CU14" i="3" a="1"/>
  <c r="CU14" i="3" s="1"/>
  <c r="CW14" i="3" s="1"/>
  <c r="CJ14" i="3" a="1"/>
  <c r="CJ14" i="3" s="1"/>
  <c r="BN14" i="3"/>
  <c r="BP14" i="3" s="1"/>
  <c r="BI14" i="3"/>
  <c r="AY14" i="3" a="1"/>
  <c r="AY14" i="3" s="1"/>
  <c r="AS14" i="3" a="1"/>
  <c r="AS14" i="3" s="1"/>
  <c r="AD14" i="3"/>
  <c r="AF14" i="3" s="1"/>
  <c r="Y14" i="3"/>
  <c r="S14" i="3"/>
  <c r="I14" i="3" a="1"/>
  <c r="I14" i="3" s="1"/>
  <c r="CX14" i="3"/>
  <c r="CZ14" i="3" s="1"/>
  <c r="CI14" i="3" a="1"/>
  <c r="CI14" i="3" s="1"/>
  <c r="CA14" i="3"/>
  <c r="BR14" i="3" a="1"/>
  <c r="BR14" i="3" s="1"/>
  <c r="BK14" i="3" a="1"/>
  <c r="BK14" i="3" s="1"/>
  <c r="BM14" i="3" s="1"/>
  <c r="P14" i="3" a="1"/>
  <c r="P14" i="3" s="1"/>
  <c r="G14" i="3"/>
  <c r="DW14" i="3"/>
  <c r="DG14" i="3" a="1"/>
  <c r="DG14" i="3" s="1"/>
  <c r="DI14" i="3" s="1"/>
  <c r="CG14" i="3"/>
  <c r="AM14" i="3" a="1"/>
  <c r="AM14" i="3" s="1"/>
  <c r="AO14" i="3" s="1"/>
  <c r="O14" i="3" a="1"/>
  <c r="O14" i="3" s="1"/>
  <c r="Q14" i="3" s="1"/>
  <c r="AE14" i="3"/>
  <c r="DY14" i="3" a="1"/>
  <c r="DY14" i="3" s="1"/>
  <c r="DQ14" i="3"/>
  <c r="DH14" i="3" a="1"/>
  <c r="DH14" i="3" s="1"/>
  <c r="CR14" i="3"/>
  <c r="CT14" i="3" s="1"/>
  <c r="BU14" i="3"/>
  <c r="BL14" i="3" a="1"/>
  <c r="BL14" i="3" s="1"/>
  <c r="BE14" i="3" a="1"/>
  <c r="BE14" i="3" s="1"/>
  <c r="AG14" i="3" a="1"/>
  <c r="AG14" i="3" s="1"/>
  <c r="DN14" i="3" a="1"/>
  <c r="DN14" i="3" s="1"/>
  <c r="CP14" i="3" a="1"/>
  <c r="CP14" i="3" s="1"/>
  <c r="BZ14" i="3"/>
  <c r="CB14" i="3" s="1"/>
  <c r="AT14" i="3" a="1"/>
  <c r="AT14" i="3" s="1"/>
  <c r="V14" i="3" a="1"/>
  <c r="V14" i="3" s="1"/>
  <c r="AH14" i="3" a="1"/>
  <c r="AH14" i="3" s="1"/>
  <c r="AV14" i="3"/>
  <c r="AX14" i="3" s="1"/>
  <c r="CC14" i="3" a="1"/>
  <c r="CC14" i="3" s="1"/>
  <c r="CE14" i="3" s="1"/>
  <c r="CS14" i="3"/>
  <c r="BJ16" i="3"/>
  <c r="BA19" i="3"/>
  <c r="U14" i="3" a="1"/>
  <c r="U14" i="3" s="1"/>
  <c r="W14" i="3" s="1"/>
  <c r="AJ14" i="3"/>
  <c r="AL14" i="3" s="1"/>
  <c r="BO14" i="3"/>
  <c r="CV14" i="3" a="1"/>
  <c r="CV14" i="3" s="1"/>
  <c r="AL15" i="3"/>
  <c r="CH19" i="3"/>
  <c r="K21" i="3"/>
  <c r="DC23" i="3"/>
  <c r="BP5" i="3"/>
  <c r="AK14" i="3"/>
  <c r="W20" i="3"/>
  <c r="K27" i="3"/>
  <c r="J14" i="3" a="1"/>
  <c r="J14" i="3" s="1"/>
  <c r="DB14" i="3" a="1"/>
  <c r="DB14" i="3" s="1"/>
  <c r="DU15" i="3"/>
  <c r="CB6" i="3"/>
  <c r="I7" i="3" a="1"/>
  <c r="I7" i="3" s="1"/>
  <c r="CA7" i="3"/>
  <c r="T5" i="3"/>
  <c r="L7" i="3"/>
  <c r="N7" i="3" s="1"/>
  <c r="AP7" i="3" a="1"/>
  <c r="AP7" i="3" s="1"/>
  <c r="AR7" i="3" s="1"/>
  <c r="BH7" i="3"/>
  <c r="BJ7" i="3" s="1"/>
  <c r="AC10" i="3"/>
  <c r="DZ6" i="3" a="1"/>
  <c r="DZ6" i="3" s="1"/>
  <c r="DQ6" i="3"/>
  <c r="DM6" i="3" a="1"/>
  <c r="DM6" i="3" s="1"/>
  <c r="DO6" i="3" s="1"/>
  <c r="DH6" i="3" a="1"/>
  <c r="DH6" i="3" s="1"/>
  <c r="CY6" i="3"/>
  <c r="CU6" i="3" a="1"/>
  <c r="CU6" i="3" s="1"/>
  <c r="CP6" i="3" a="1"/>
  <c r="CP6" i="3" s="1"/>
  <c r="CG6" i="3"/>
  <c r="CC6" i="3" a="1"/>
  <c r="CC6" i="3" s="1"/>
  <c r="CE6" i="3" s="1"/>
  <c r="BX6" i="3" a="1"/>
  <c r="BX6" i="3" s="1"/>
  <c r="BO6" i="3"/>
  <c r="BK6" i="3" a="1"/>
  <c r="BK6" i="3" s="1"/>
  <c r="BF6" i="3" a="1"/>
  <c r="BF6" i="3" s="1"/>
  <c r="AW6" i="3"/>
  <c r="AS6" i="3" a="1"/>
  <c r="AS6" i="3" s="1"/>
  <c r="AK6" i="3"/>
  <c r="AG6" i="3" a="1"/>
  <c r="AG6" i="3" s="1"/>
  <c r="AB6" i="3" a="1"/>
  <c r="AB6" i="3" s="1"/>
  <c r="S6" i="3"/>
  <c r="O6" i="3" a="1"/>
  <c r="O6" i="3" s="1"/>
  <c r="Q6" i="3" s="1"/>
  <c r="J6" i="3" a="1"/>
  <c r="J6" i="3" s="1"/>
  <c r="DV6" i="3"/>
  <c r="DD6" i="3"/>
  <c r="CL6" i="3"/>
  <c r="CN6" i="3" s="1"/>
  <c r="BT6" i="3"/>
  <c r="BB6" i="3"/>
  <c r="BD6" i="3" s="1"/>
  <c r="AP6" i="3" a="1"/>
  <c r="AP6" i="3" s="1"/>
  <c r="AR6" i="3" s="1"/>
  <c r="X6" i="3"/>
  <c r="F6" i="3"/>
  <c r="DW6" i="3"/>
  <c r="DB6" i="3" a="1"/>
  <c r="DB6" i="3" s="1"/>
  <c r="DC6" i="3" s="1"/>
  <c r="CV6" i="3" a="1"/>
  <c r="CV6" i="3" s="1"/>
  <c r="CO6" i="3" a="1"/>
  <c r="CO6" i="3" s="1"/>
  <c r="CQ6" i="3" s="1"/>
  <c r="CI6" i="3" a="1"/>
  <c r="CI6" i="3" s="1"/>
  <c r="CK6" i="3" s="1"/>
  <c r="CA6" i="3"/>
  <c r="BU6" i="3"/>
  <c r="AZ6" i="3" a="1"/>
  <c r="AZ6" i="3" s="1"/>
  <c r="BA6" i="3" s="1"/>
  <c r="AT6" i="3" a="1"/>
  <c r="AT6" i="3" s="1"/>
  <c r="AN6" i="3" a="1"/>
  <c r="AN6" i="3" s="1"/>
  <c r="AH6" i="3" a="1"/>
  <c r="AH6" i="3" s="1"/>
  <c r="AA6" i="3" a="1"/>
  <c r="AA6" i="3" s="1"/>
  <c r="U6" i="3" a="1"/>
  <c r="U6" i="3" s="1"/>
  <c r="W6" i="3" s="1"/>
  <c r="M6" i="3"/>
  <c r="G6" i="3"/>
  <c r="DP6" i="3"/>
  <c r="DJ6" i="3"/>
  <c r="BN6" i="3"/>
  <c r="BP6" i="3" s="1"/>
  <c r="BH6" i="3"/>
  <c r="BJ6" i="3" s="1"/>
  <c r="V7" i="3" a="1"/>
  <c r="V7" i="3" s="1"/>
  <c r="AZ7" i="3" a="1"/>
  <c r="AZ7" i="3" s="1"/>
  <c r="BU7" i="3"/>
  <c r="CD7" i="3" a="1"/>
  <c r="CD7" i="3" s="1"/>
  <c r="DS7" i="3" a="1"/>
  <c r="DS7" i="3" s="1"/>
  <c r="T13" i="3"/>
  <c r="BQ14" i="3" a="1"/>
  <c r="BQ14" i="3" s="1"/>
  <c r="BS14" i="3" s="1"/>
  <c r="DM14" i="3" a="1"/>
  <c r="DM14" i="3" s="1"/>
  <c r="BJ5" i="3"/>
  <c r="CB5" i="3"/>
  <c r="Y6" i="3"/>
  <c r="BL6" i="3" a="1"/>
  <c r="BL6" i="3" s="1"/>
  <c r="DK6" i="3"/>
  <c r="BB7" i="3"/>
  <c r="DJ7" i="3"/>
  <c r="DL7" i="3" s="1"/>
  <c r="DS14" i="3" a="1"/>
  <c r="DS14" i="3" s="1"/>
  <c r="DU14" i="3" s="1"/>
  <c r="DV5" i="3"/>
  <c r="DD5" i="3"/>
  <c r="CL5" i="3"/>
  <c r="BT5" i="3"/>
  <c r="BB5" i="3"/>
  <c r="AP5" i="3" a="1"/>
  <c r="AP5" i="3" s="1"/>
  <c r="X5" i="3"/>
  <c r="F5" i="3"/>
  <c r="DW5" i="3"/>
  <c r="DS5" i="3" a="1"/>
  <c r="DS5" i="3" s="1"/>
  <c r="DN5" i="3" a="1"/>
  <c r="DN5" i="3" s="1"/>
  <c r="DE5" i="3"/>
  <c r="DA5" i="3" a="1"/>
  <c r="DA5" i="3" s="1"/>
  <c r="CV5" i="3" a="1"/>
  <c r="CV5" i="3" s="1"/>
  <c r="CM5" i="3"/>
  <c r="CI5" i="3" a="1"/>
  <c r="CI5" i="3" s="1"/>
  <c r="CD5" i="3" a="1"/>
  <c r="CD5" i="3" s="1"/>
  <c r="BU5" i="3"/>
  <c r="BQ5" i="3" a="1"/>
  <c r="BQ5" i="3" s="1"/>
  <c r="BL5" i="3" a="1"/>
  <c r="BL5" i="3" s="1"/>
  <c r="BC5" i="3"/>
  <c r="AY5" i="3" a="1"/>
  <c r="AY5" i="3" s="1"/>
  <c r="AT5" i="3" a="1"/>
  <c r="AT5" i="3" s="1"/>
  <c r="AM5" i="3" a="1"/>
  <c r="AM5" i="3" s="1"/>
  <c r="AH5" i="3" a="1"/>
  <c r="AH5" i="3" s="1"/>
  <c r="Y5" i="3"/>
  <c r="U5" i="3" a="1"/>
  <c r="U5" i="3" s="1"/>
  <c r="P5" i="3" a="1"/>
  <c r="P5" i="3" s="1"/>
  <c r="G5" i="3"/>
  <c r="DY5" i="3" a="1"/>
  <c r="DY5" i="3" s="1"/>
  <c r="DQ5" i="3"/>
  <c r="DK5" i="3"/>
  <c r="DL5" i="3" s="1"/>
  <c r="CP5" i="3" a="1"/>
  <c r="CP5" i="3" s="1"/>
  <c r="CJ5" i="3" a="1"/>
  <c r="CJ5" i="3" s="1"/>
  <c r="CC5" i="3" a="1"/>
  <c r="CC5" i="3" s="1"/>
  <c r="BW5" i="3" a="1"/>
  <c r="BW5" i="3" s="1"/>
  <c r="BO5" i="3"/>
  <c r="BI5" i="3"/>
  <c r="AB5" i="3" a="1"/>
  <c r="AB5" i="3" s="1"/>
  <c r="V5" i="3" a="1"/>
  <c r="V5" i="3" s="1"/>
  <c r="O5" i="3" a="1"/>
  <c r="O5" i="3" s="1"/>
  <c r="I5" i="3" a="1"/>
  <c r="I5" i="3" s="1"/>
  <c r="CX5" i="3"/>
  <c r="CR5" i="3"/>
  <c r="AV5" i="3"/>
  <c r="AQ5" i="3" a="1"/>
  <c r="AQ5" i="3" s="1"/>
  <c r="AJ5" i="3"/>
  <c r="AD5" i="3"/>
  <c r="M5" i="3"/>
  <c r="AG5" i="3" a="1"/>
  <c r="AG5" i="3" s="1"/>
  <c r="AZ5" i="3" a="1"/>
  <c r="AZ5" i="3" s="1"/>
  <c r="BK5" i="3" a="1"/>
  <c r="BK5" i="3" s="1"/>
  <c r="CO5" i="3" a="1"/>
  <c r="CO5" i="3" s="1"/>
  <c r="CY5" i="3"/>
  <c r="DH5" i="3" a="1"/>
  <c r="DH5" i="3" s="1"/>
  <c r="DT5" i="3" a="1"/>
  <c r="DT5" i="3" s="1"/>
  <c r="AJ6" i="3"/>
  <c r="AL6" i="3" s="1"/>
  <c r="CF6" i="3"/>
  <c r="CR6" i="3"/>
  <c r="CT6" i="3" s="1"/>
  <c r="G7" i="3"/>
  <c r="EC7" i="3" s="1"/>
  <c r="P7" i="3" a="1"/>
  <c r="P7" i="3" s="1"/>
  <c r="AA7" i="3" a="1"/>
  <c r="AA7" i="3" s="1"/>
  <c r="AC7" i="3" s="1"/>
  <c r="AT7" i="3" a="1"/>
  <c r="AT7" i="3" s="1"/>
  <c r="BC7" i="3"/>
  <c r="BW7" i="3" a="1"/>
  <c r="BW7" i="3" s="1"/>
  <c r="BY7" i="3" s="1"/>
  <c r="CI7" i="3" a="1"/>
  <c r="CI7" i="3" s="1"/>
  <c r="CK7" i="3" s="1"/>
  <c r="DB7" i="3" a="1"/>
  <c r="DB7" i="3" s="1"/>
  <c r="DK7" i="3"/>
  <c r="DW7" i="3"/>
  <c r="H8" i="3"/>
  <c r="Q8" i="3"/>
  <c r="BA8" i="3"/>
  <c r="CT9" i="3"/>
  <c r="Q12" i="3"/>
  <c r="AQ14" i="3" a="1"/>
  <c r="AQ14" i="3" s="1"/>
  <c r="BF14" i="3" a="1"/>
  <c r="BF14" i="3" s="1"/>
  <c r="BW14" i="3" a="1"/>
  <c r="BW14" i="3" s="1"/>
  <c r="CM14" i="3"/>
  <c r="M15" i="3"/>
  <c r="BH15" i="3"/>
  <c r="BJ15" i="3" s="1"/>
  <c r="CO15" i="3" a="1"/>
  <c r="CO15" i="3" s="1"/>
  <c r="CQ15" i="3" s="1"/>
  <c r="DE15" i="3"/>
  <c r="DP16" i="3"/>
  <c r="CX16" i="3"/>
  <c r="CZ16" i="3" s="1"/>
  <c r="CF16" i="3"/>
  <c r="BN16" i="3"/>
  <c r="BP16" i="3" s="1"/>
  <c r="AV16" i="3"/>
  <c r="AX16" i="3" s="1"/>
  <c r="AJ16" i="3"/>
  <c r="R16" i="3"/>
  <c r="DZ16" i="3" a="1"/>
  <c r="DZ16" i="3" s="1"/>
  <c r="EA16" i="3" s="1"/>
  <c r="DQ16" i="3"/>
  <c r="DM16" i="3" a="1"/>
  <c r="DM16" i="3" s="1"/>
  <c r="DO16" i="3" s="1"/>
  <c r="DH16" i="3" a="1"/>
  <c r="DH16" i="3" s="1"/>
  <c r="CY16" i="3"/>
  <c r="CU16" i="3" a="1"/>
  <c r="CU16" i="3" s="1"/>
  <c r="CW16" i="3" s="1"/>
  <c r="CP16" i="3" a="1"/>
  <c r="CP16" i="3" s="1"/>
  <c r="CG16" i="3"/>
  <c r="CC16" i="3" a="1"/>
  <c r="CC16" i="3" s="1"/>
  <c r="CE16" i="3" s="1"/>
  <c r="BX16" i="3" a="1"/>
  <c r="BX16" i="3" s="1"/>
  <c r="BO16" i="3"/>
  <c r="BK16" i="3" a="1"/>
  <c r="BK16" i="3" s="1"/>
  <c r="BF16" i="3" a="1"/>
  <c r="BF16" i="3" s="1"/>
  <c r="AW16" i="3"/>
  <c r="AS16" i="3" a="1"/>
  <c r="AS16" i="3" s="1"/>
  <c r="AU16" i="3" s="1"/>
  <c r="AK16" i="3"/>
  <c r="AG16" i="3" a="1"/>
  <c r="AG16" i="3" s="1"/>
  <c r="AB16" i="3" a="1"/>
  <c r="AB16" i="3" s="1"/>
  <c r="S16" i="3"/>
  <c r="O16" i="3" a="1"/>
  <c r="O16" i="3" s="1"/>
  <c r="J16" i="3" a="1"/>
  <c r="J16" i="3" s="1"/>
  <c r="CR16" i="3"/>
  <c r="CT16" i="3" s="1"/>
  <c r="CL16" i="3"/>
  <c r="AQ16" i="3" a="1"/>
  <c r="AQ16" i="3" s="1"/>
  <c r="AR16" i="3" s="1"/>
  <c r="AD16" i="3"/>
  <c r="AF16" i="3" s="1"/>
  <c r="X16" i="3"/>
  <c r="DT16" i="3" a="1"/>
  <c r="DT16" i="3" s="1"/>
  <c r="DN16" i="3" a="1"/>
  <c r="DN16" i="3" s="1"/>
  <c r="DG16" i="3" a="1"/>
  <c r="DG16" i="3" s="1"/>
  <c r="DA16" i="3" a="1"/>
  <c r="DA16" i="3" s="1"/>
  <c r="CS16" i="3"/>
  <c r="CM16" i="3"/>
  <c r="BR16" i="3" a="1"/>
  <c r="BR16" i="3" s="1"/>
  <c r="BS16" i="3" s="1"/>
  <c r="BL16" i="3" a="1"/>
  <c r="BL16" i="3" s="1"/>
  <c r="BE16" i="3" a="1"/>
  <c r="BE16" i="3" s="1"/>
  <c r="AY16" i="3" a="1"/>
  <c r="AY16" i="3" s="1"/>
  <c r="AM16" i="3" a="1"/>
  <c r="AM16" i="3" s="1"/>
  <c r="AO16" i="3" s="1"/>
  <c r="AE16" i="3"/>
  <c r="Y16" i="3"/>
  <c r="DV16" i="3"/>
  <c r="DX16" i="3" s="1"/>
  <c r="DJ16" i="3"/>
  <c r="BB16" i="3"/>
  <c r="F16" i="3"/>
  <c r="CO16" i="3" a="1"/>
  <c r="CO16" i="3" s="1"/>
  <c r="BU16" i="3"/>
  <c r="BV16" i="3" s="1"/>
  <c r="M16" i="3"/>
  <c r="N16" i="3" s="1"/>
  <c r="DS16" i="3" a="1"/>
  <c r="DS16" i="3" s="1"/>
  <c r="V16" i="3" a="1"/>
  <c r="V16" i="3" s="1"/>
  <c r="W16" i="3" s="1"/>
  <c r="DW16" i="3"/>
  <c r="DK16" i="3"/>
  <c r="DB16" i="3" a="1"/>
  <c r="DB16" i="3" s="1"/>
  <c r="CI16" i="3" a="1"/>
  <c r="CI16" i="3" s="1"/>
  <c r="CK16" i="3" s="1"/>
  <c r="BW16" i="3" a="1"/>
  <c r="BW16" i="3" s="1"/>
  <c r="BC16" i="3"/>
  <c r="AT16" i="3" a="1"/>
  <c r="AT16" i="3" s="1"/>
  <c r="AA16" i="3" a="1"/>
  <c r="AA16" i="3" s="1"/>
  <c r="AC16" i="3" s="1"/>
  <c r="P16" i="3" a="1"/>
  <c r="P16" i="3" s="1"/>
  <c r="G16" i="3"/>
  <c r="CD16" i="3" a="1"/>
  <c r="CD16" i="3" s="1"/>
  <c r="BI16" i="3"/>
  <c r="AZ16" i="3" a="1"/>
  <c r="AZ16" i="3" s="1"/>
  <c r="AH16" i="3" a="1"/>
  <c r="AH16" i="3" s="1"/>
  <c r="BZ16" i="3"/>
  <c r="CB16" i="3" s="1"/>
  <c r="DY19" i="3" a="1"/>
  <c r="DY19" i="3" s="1"/>
  <c r="DT19" i="3" a="1"/>
  <c r="DT19" i="3" s="1"/>
  <c r="DU19" i="3" s="1"/>
  <c r="DK19" i="3"/>
  <c r="DG19" i="3" a="1"/>
  <c r="DG19" i="3" s="1"/>
  <c r="DB19" i="3" a="1"/>
  <c r="DB19" i="3" s="1"/>
  <c r="CS19" i="3"/>
  <c r="CO19" i="3" a="1"/>
  <c r="CO19" i="3" s="1"/>
  <c r="CJ19" i="3" a="1"/>
  <c r="CJ19" i="3" s="1"/>
  <c r="CA19" i="3"/>
  <c r="BW19" i="3" a="1"/>
  <c r="BW19" i="3" s="1"/>
  <c r="BY19" i="3" s="1"/>
  <c r="BR19" i="3" a="1"/>
  <c r="BR19" i="3" s="1"/>
  <c r="BI19" i="3"/>
  <c r="BE19" i="3" a="1"/>
  <c r="BE19" i="3" s="1"/>
  <c r="AZ19" i="3" a="1"/>
  <c r="AZ19" i="3" s="1"/>
  <c r="AN19" i="3" a="1"/>
  <c r="AN19" i="3" s="1"/>
  <c r="AE19" i="3"/>
  <c r="AA19" i="3" a="1"/>
  <c r="AA19" i="3" s="1"/>
  <c r="AC19" i="3" s="1"/>
  <c r="V19" i="3" a="1"/>
  <c r="V19" i="3" s="1"/>
  <c r="M19" i="3"/>
  <c r="I19" i="3" a="1"/>
  <c r="I19" i="3" s="1"/>
  <c r="DZ19" i="3" a="1"/>
  <c r="DZ19" i="3" s="1"/>
  <c r="DD19" i="3"/>
  <c r="CY19" i="3"/>
  <c r="CI19" i="3" a="1"/>
  <c r="CI19" i="3" s="1"/>
  <c r="CK19" i="3" s="1"/>
  <c r="BX19" i="3" a="1"/>
  <c r="BX19" i="3" s="1"/>
  <c r="BB19" i="3"/>
  <c r="AW19" i="3"/>
  <c r="AH19" i="3" a="1"/>
  <c r="AH19" i="3" s="1"/>
  <c r="R19" i="3"/>
  <c r="T19" i="3" s="1"/>
  <c r="L19" i="3"/>
  <c r="N19" i="3" s="1"/>
  <c r="G19" i="3"/>
  <c r="DP19" i="3"/>
  <c r="DJ19" i="3"/>
  <c r="DL19" i="3" s="1"/>
  <c r="DE19" i="3"/>
  <c r="CU19" i="3" a="1"/>
  <c r="CU19" i="3" s="1"/>
  <c r="CW19" i="3" s="1"/>
  <c r="CD19" i="3" a="1"/>
  <c r="CD19" i="3" s="1"/>
  <c r="BN19" i="3"/>
  <c r="BH19" i="3"/>
  <c r="BC19" i="3"/>
  <c r="AS19" i="3" a="1"/>
  <c r="AS19" i="3" s="1"/>
  <c r="X19" i="3"/>
  <c r="Z19" i="3" s="1"/>
  <c r="S19" i="3"/>
  <c r="DW19" i="3"/>
  <c r="DN19" i="3" a="1"/>
  <c r="DN19" i="3" s="1"/>
  <c r="CX19" i="3"/>
  <c r="BZ19" i="3"/>
  <c r="BK19" i="3" a="1"/>
  <c r="BK19" i="3" s="1"/>
  <c r="BM19" i="3" s="1"/>
  <c r="AT19" i="3" a="1"/>
  <c r="AT19" i="3" s="1"/>
  <c r="AM19" i="3" a="1"/>
  <c r="AM19" i="3" s="1"/>
  <c r="F19" i="3"/>
  <c r="DQ19" i="3"/>
  <c r="DH19" i="3" a="1"/>
  <c r="DH19" i="3" s="1"/>
  <c r="DA19" i="3" a="1"/>
  <c r="DA19" i="3" s="1"/>
  <c r="DC19" i="3" s="1"/>
  <c r="BT19" i="3"/>
  <c r="BV19" i="3" s="1"/>
  <c r="AG19" i="3" a="1"/>
  <c r="AG19" i="3" s="1"/>
  <c r="Y19" i="3"/>
  <c r="P19" i="3" a="1"/>
  <c r="P19" i="3" s="1"/>
  <c r="Q19" i="3" s="1"/>
  <c r="DM19" i="3" a="1"/>
  <c r="DM19" i="3" s="1"/>
  <c r="DO19" i="3" s="1"/>
  <c r="CM19" i="3"/>
  <c r="CC19" i="3" a="1"/>
  <c r="CC19" i="3" s="1"/>
  <c r="CE19" i="3" s="1"/>
  <c r="AQ19" i="3" a="1"/>
  <c r="AQ19" i="3" s="1"/>
  <c r="AR19" i="3" s="1"/>
  <c r="U19" i="3" a="1"/>
  <c r="U19" i="3" s="1"/>
  <c r="J19" i="3" a="1"/>
  <c r="J19" i="3" s="1"/>
  <c r="DV19" i="3"/>
  <c r="DX19" i="3" s="1"/>
  <c r="CL19" i="3"/>
  <c r="CN19" i="3" s="1"/>
  <c r="BO19" i="3"/>
  <c r="AD19" i="3"/>
  <c r="CP19" i="3" a="1"/>
  <c r="CP19" i="3" s="1"/>
  <c r="BQ19" i="3" a="1"/>
  <c r="BQ19" i="3" s="1"/>
  <c r="BF19" i="3" a="1"/>
  <c r="BF19" i="3" s="1"/>
  <c r="AJ19" i="3"/>
  <c r="AL19" i="3" s="1"/>
  <c r="AV19" i="3"/>
  <c r="AX19" i="3" s="1"/>
  <c r="BU19" i="3"/>
  <c r="CR19" i="3"/>
  <c r="AU20" i="3"/>
  <c r="DC20" i="3"/>
  <c r="R9" i="3"/>
  <c r="T9" i="3" s="1"/>
  <c r="AQ9" i="3" a="1"/>
  <c r="AQ9" i="3" s="1"/>
  <c r="BW9" i="3" a="1"/>
  <c r="BW9" i="3" s="1"/>
  <c r="CD9" i="3" a="1"/>
  <c r="CD9" i="3" s="1"/>
  <c r="CM9" i="3"/>
  <c r="AI10" i="3"/>
  <c r="CT10" i="3"/>
  <c r="EA10" i="3"/>
  <c r="AI11" i="3"/>
  <c r="S12" i="3"/>
  <c r="AB12" i="3" a="1"/>
  <c r="AB12" i="3" s="1"/>
  <c r="BN12" i="3"/>
  <c r="BP12" i="3" s="1"/>
  <c r="CD12" i="3" a="1"/>
  <c r="CD12" i="3" s="1"/>
  <c r="CE12" i="3" s="1"/>
  <c r="CM12" i="3"/>
  <c r="CU12" i="3" a="1"/>
  <c r="CU12" i="3" s="1"/>
  <c r="DK12" i="3"/>
  <c r="AX13" i="3"/>
  <c r="EB17" i="3"/>
  <c r="H17" i="3"/>
  <c r="BD17" i="3"/>
  <c r="BM17" i="3"/>
  <c r="CW17" i="3"/>
  <c r="H18" i="3"/>
  <c r="AU18" i="3"/>
  <c r="CW18" i="3"/>
  <c r="BA20" i="3"/>
  <c r="CT21" i="3"/>
  <c r="BY22" i="3"/>
  <c r="DU22" i="3"/>
  <c r="AP23" i="3" a="1"/>
  <c r="AP23" i="3" s="1"/>
  <c r="AR23" i="3" s="1"/>
  <c r="BL23" i="3" a="1"/>
  <c r="BL23" i="3" s="1"/>
  <c r="BW23" i="3" a="1"/>
  <c r="BW23" i="3" s="1"/>
  <c r="J24" i="3" a="1"/>
  <c r="J24" i="3" s="1"/>
  <c r="X24" i="3"/>
  <c r="AT24" i="3" a="1"/>
  <c r="AT24" i="3" s="1"/>
  <c r="BE24" i="3" a="1"/>
  <c r="BE24" i="3" s="1"/>
  <c r="BD25" i="3"/>
  <c r="DP24" i="3"/>
  <c r="CX24" i="3"/>
  <c r="CF24" i="3"/>
  <c r="BN24" i="3"/>
  <c r="AV24" i="3"/>
  <c r="AJ24" i="3"/>
  <c r="AL24" i="3" s="1"/>
  <c r="R24" i="3"/>
  <c r="DS24" i="3" a="1"/>
  <c r="DS24" i="3" s="1"/>
  <c r="DH24" i="3" a="1"/>
  <c r="DH24" i="3" s="1"/>
  <c r="DB24" i="3" a="1"/>
  <c r="DB24" i="3" s="1"/>
  <c r="CL24" i="3"/>
  <c r="CG24" i="3"/>
  <c r="CA24" i="3"/>
  <c r="BQ24" i="3" a="1"/>
  <c r="BQ24" i="3" s="1"/>
  <c r="BF24" i="3" a="1"/>
  <c r="BF24" i="3" s="1"/>
  <c r="AZ24" i="3" a="1"/>
  <c r="AZ24" i="3" s="1"/>
  <c r="AG24" i="3" a="1"/>
  <c r="AG24" i="3" s="1"/>
  <c r="AA24" i="3" a="1"/>
  <c r="AA24" i="3" s="1"/>
  <c r="P24" i="3" a="1"/>
  <c r="P24" i="3" s="1"/>
  <c r="DY24" i="3" a="1"/>
  <c r="DY24" i="3" s="1"/>
  <c r="DN24" i="3" a="1"/>
  <c r="DN24" i="3" s="1"/>
  <c r="CR24" i="3"/>
  <c r="CT24" i="3" s="1"/>
  <c r="CM24" i="3"/>
  <c r="CC24" i="3" a="1"/>
  <c r="CC24" i="3" s="1"/>
  <c r="CE24" i="3" s="1"/>
  <c r="BW24" i="3" a="1"/>
  <c r="BW24" i="3" s="1"/>
  <c r="BL24" i="3" a="1"/>
  <c r="BL24" i="3" s="1"/>
  <c r="AQ24" i="3" a="1"/>
  <c r="AQ24" i="3" s="1"/>
  <c r="AM24" i="3" a="1"/>
  <c r="AM24" i="3" s="1"/>
  <c r="AB24" i="3" a="1"/>
  <c r="AB24" i="3" s="1"/>
  <c r="V24" i="3" a="1"/>
  <c r="V24" i="3" s="1"/>
  <c r="F24" i="3"/>
  <c r="DM24" i="3" a="1"/>
  <c r="DM24" i="3" s="1"/>
  <c r="DE24" i="3"/>
  <c r="CV24" i="3" a="1"/>
  <c r="CV24" i="3" s="1"/>
  <c r="CO24" i="3" a="1"/>
  <c r="CO24" i="3" s="1"/>
  <c r="CQ24" i="3" s="1"/>
  <c r="BH24" i="3"/>
  <c r="BJ24" i="3" s="1"/>
  <c r="AS24" i="3" a="1"/>
  <c r="AS24" i="3" s="1"/>
  <c r="AU24" i="3" s="1"/>
  <c r="AK24" i="3"/>
  <c r="U24" i="3" a="1"/>
  <c r="U24" i="3" s="1"/>
  <c r="W24" i="3" s="1"/>
  <c r="M24" i="3"/>
  <c r="DV24" i="3"/>
  <c r="DX24" i="3" s="1"/>
  <c r="CY24" i="3"/>
  <c r="CP24" i="3" a="1"/>
  <c r="CP24" i="3" s="1"/>
  <c r="CI24" i="3" a="1"/>
  <c r="CI24" i="3" s="1"/>
  <c r="BR24" i="3" a="1"/>
  <c r="BR24" i="3" s="1"/>
  <c r="BI24" i="3"/>
  <c r="BB24" i="3"/>
  <c r="AD24" i="3"/>
  <c r="O24" i="3" a="1"/>
  <c r="O24" i="3" s="1"/>
  <c r="Q24" i="3" s="1"/>
  <c r="G24" i="3"/>
  <c r="L24" i="3"/>
  <c r="N24" i="3" s="1"/>
  <c r="Y24" i="3"/>
  <c r="AW24" i="3"/>
  <c r="BT24" i="3"/>
  <c r="CS24" i="3"/>
  <c r="DD24" i="3"/>
  <c r="DQ24" i="3"/>
  <c r="DC26" i="3"/>
  <c r="T27" i="3"/>
  <c r="EA27" i="3"/>
  <c r="AN24" i="3" a="1"/>
  <c r="AN24" i="3" s="1"/>
  <c r="BK24" i="3" a="1"/>
  <c r="BK24" i="3" s="1"/>
  <c r="BM24" i="3" s="1"/>
  <c r="BU24" i="3"/>
  <c r="CU24" i="3" a="1"/>
  <c r="CU24" i="3" s="1"/>
  <c r="DG24" i="3" a="1"/>
  <c r="DG24" i="3" s="1"/>
  <c r="EB25" i="3"/>
  <c r="AU28" i="3"/>
  <c r="AY24" i="3" a="1"/>
  <c r="AY24" i="3" s="1"/>
  <c r="BX24" i="3" a="1"/>
  <c r="BX24" i="3" s="1"/>
  <c r="CJ24" i="3" a="1"/>
  <c r="CJ24" i="3" s="1"/>
  <c r="DT24" i="3" a="1"/>
  <c r="DT24" i="3" s="1"/>
  <c r="CK29" i="3"/>
  <c r="BS30" i="3"/>
  <c r="BV20" i="3"/>
  <c r="BP21" i="3"/>
  <c r="DZ23" i="3" a="1"/>
  <c r="DZ23" i="3" s="1"/>
  <c r="EA23" i="3" s="1"/>
  <c r="DQ23" i="3"/>
  <c r="DR23" i="3" s="1"/>
  <c r="DM23" i="3" a="1"/>
  <c r="DM23" i="3" s="1"/>
  <c r="DH23" i="3" a="1"/>
  <c r="DH23" i="3" s="1"/>
  <c r="CY23" i="3"/>
  <c r="CU23" i="3" a="1"/>
  <c r="CU23" i="3" s="1"/>
  <c r="CW23" i="3" s="1"/>
  <c r="CP23" i="3" a="1"/>
  <c r="CP23" i="3" s="1"/>
  <c r="CG23" i="3"/>
  <c r="CC23" i="3" a="1"/>
  <c r="CC23" i="3" s="1"/>
  <c r="CE23" i="3" s="1"/>
  <c r="BX23" i="3" a="1"/>
  <c r="BX23" i="3" s="1"/>
  <c r="BO23" i="3"/>
  <c r="BP23" i="3" s="1"/>
  <c r="BK23" i="3" a="1"/>
  <c r="BK23" i="3" s="1"/>
  <c r="BF23" i="3" a="1"/>
  <c r="BF23" i="3" s="1"/>
  <c r="BG23" i="3" s="1"/>
  <c r="AW23" i="3"/>
  <c r="AS23" i="3" a="1"/>
  <c r="AS23" i="3" s="1"/>
  <c r="AK23" i="3"/>
  <c r="AG23" i="3" a="1"/>
  <c r="AG23" i="3" s="1"/>
  <c r="AI23" i="3" s="1"/>
  <c r="AB23" i="3" a="1"/>
  <c r="AB23" i="3" s="1"/>
  <c r="S23" i="3"/>
  <c r="O23" i="3" a="1"/>
  <c r="O23" i="3" s="1"/>
  <c r="J23" i="3" a="1"/>
  <c r="J23" i="3" s="1"/>
  <c r="K23" i="3" s="1"/>
  <c r="DT23" i="3" a="1"/>
  <c r="DT23" i="3" s="1"/>
  <c r="DD23" i="3"/>
  <c r="CX23" i="3"/>
  <c r="CS23" i="3"/>
  <c r="CI23" i="3" a="1"/>
  <c r="CI23" i="3" s="1"/>
  <c r="BR23" i="3" a="1"/>
  <c r="BR23" i="3" s="1"/>
  <c r="BB23" i="3"/>
  <c r="BD23" i="3" s="1"/>
  <c r="AV23" i="3"/>
  <c r="AH23" i="3" a="1"/>
  <c r="AH23" i="3" s="1"/>
  <c r="L23" i="3"/>
  <c r="N23" i="3" s="1"/>
  <c r="G23" i="3"/>
  <c r="DJ23" i="3"/>
  <c r="DL23" i="3" s="1"/>
  <c r="DE23" i="3"/>
  <c r="CO23" i="3" a="1"/>
  <c r="CO23" i="3" s="1"/>
  <c r="CQ23" i="3" s="1"/>
  <c r="CD23" i="3" a="1"/>
  <c r="CD23" i="3" s="1"/>
  <c r="BH23" i="3"/>
  <c r="BC23" i="3"/>
  <c r="AN23" i="3" a="1"/>
  <c r="AN23" i="3" s="1"/>
  <c r="X23" i="3"/>
  <c r="Z23" i="3" s="1"/>
  <c r="R23" i="3"/>
  <c r="T23" i="3" s="1"/>
  <c r="M23" i="3"/>
  <c r="DV23" i="3"/>
  <c r="CF23" i="3"/>
  <c r="CH23" i="3" s="1"/>
  <c r="BQ23" i="3" a="1"/>
  <c r="BQ23" i="3" s="1"/>
  <c r="BS23" i="3" s="1"/>
  <c r="BI23" i="3"/>
  <c r="AZ23" i="3" a="1"/>
  <c r="AZ23" i="3" s="1"/>
  <c r="AD23" i="3"/>
  <c r="DW23" i="3"/>
  <c r="DN23" i="3" a="1"/>
  <c r="DN23" i="3" s="1"/>
  <c r="DG23" i="3" a="1"/>
  <c r="DG23" i="3" s="1"/>
  <c r="BZ23" i="3"/>
  <c r="CB23" i="3" s="1"/>
  <c r="AT23" i="3" a="1"/>
  <c r="AT23" i="3" s="1"/>
  <c r="AM23" i="3" a="1"/>
  <c r="AM23" i="3" s="1"/>
  <c r="AE23" i="3"/>
  <c r="V23" i="3" a="1"/>
  <c r="V23" i="3" s="1"/>
  <c r="W23" i="3" s="1"/>
  <c r="F23" i="3"/>
  <c r="AJ23" i="3"/>
  <c r="AL23" i="3" s="1"/>
  <c r="BU23" i="3"/>
  <c r="BV23" i="3" s="1"/>
  <c r="CR23" i="3"/>
  <c r="S24" i="3"/>
  <c r="AE24" i="3"/>
  <c r="AP24" i="3" a="1"/>
  <c r="AP24" i="3" s="1"/>
  <c r="BC24" i="3"/>
  <c r="BZ24" i="3"/>
  <c r="CB24" i="3" s="1"/>
  <c r="DJ24" i="3"/>
  <c r="DW24" i="3"/>
  <c r="H25" i="3"/>
  <c r="DZ9" i="3" a="1"/>
  <c r="DZ9" i="3" s="1"/>
  <c r="EA9" i="3" s="1"/>
  <c r="DQ9" i="3"/>
  <c r="DM9" i="3" a="1"/>
  <c r="DM9" i="3" s="1"/>
  <c r="DO9" i="3" s="1"/>
  <c r="DH9" i="3" a="1"/>
  <c r="DH9" i="3" s="1"/>
  <c r="CY9" i="3"/>
  <c r="CZ9" i="3" s="1"/>
  <c r="CU9" i="3" a="1"/>
  <c r="CU9" i="3" s="1"/>
  <c r="CP9" i="3" a="1"/>
  <c r="CP9" i="3" s="1"/>
  <c r="CQ9" i="3" s="1"/>
  <c r="CG9" i="3"/>
  <c r="CC9" i="3" a="1"/>
  <c r="CC9" i="3" s="1"/>
  <c r="CE9" i="3" s="1"/>
  <c r="BX9" i="3" a="1"/>
  <c r="BX9" i="3" s="1"/>
  <c r="BO9" i="3"/>
  <c r="BP9" i="3" s="1"/>
  <c r="BK9" i="3" a="1"/>
  <c r="BK9" i="3" s="1"/>
  <c r="BM9" i="3" s="1"/>
  <c r="BF9" i="3" a="1"/>
  <c r="BF9" i="3" s="1"/>
  <c r="AW9" i="3"/>
  <c r="AS9" i="3" a="1"/>
  <c r="AS9" i="3" s="1"/>
  <c r="AK9" i="3"/>
  <c r="AG9" i="3" a="1"/>
  <c r="AG9" i="3" s="1"/>
  <c r="AB9" i="3" a="1"/>
  <c r="AB9" i="3" s="1"/>
  <c r="S9" i="3"/>
  <c r="EC9" i="3" s="1"/>
  <c r="O9" i="3" a="1"/>
  <c r="O9" i="3" s="1"/>
  <c r="Q9" i="3" s="1"/>
  <c r="J9" i="3" a="1"/>
  <c r="J9" i="3" s="1"/>
  <c r="DW9" i="3"/>
  <c r="DX9" i="3" s="1"/>
  <c r="DG9" i="3" a="1"/>
  <c r="DG9" i="3" s="1"/>
  <c r="CV9" i="3" a="1"/>
  <c r="CV9" i="3" s="1"/>
  <c r="BZ9" i="3"/>
  <c r="BU9" i="3"/>
  <c r="BE9" i="3" a="1"/>
  <c r="BE9" i="3" s="1"/>
  <c r="BG9" i="3" s="1"/>
  <c r="AT9" i="3" a="1"/>
  <c r="AT9" i="3" s="1"/>
  <c r="AP9" i="3" a="1"/>
  <c r="AP9" i="3" s="1"/>
  <c r="AR9" i="3" s="1"/>
  <c r="AJ9" i="3"/>
  <c r="AE9" i="3"/>
  <c r="AF9" i="3" s="1"/>
  <c r="U9" i="3" a="1"/>
  <c r="U9" i="3" s="1"/>
  <c r="W9" i="3" s="1"/>
  <c r="DS9" i="3" a="1"/>
  <c r="DS9" i="3" s="1"/>
  <c r="DU9" i="3" s="1"/>
  <c r="DB9" i="3" a="1"/>
  <c r="DB9" i="3" s="1"/>
  <c r="CL9" i="3"/>
  <c r="CN9" i="3" s="1"/>
  <c r="CF9" i="3"/>
  <c r="CA9" i="3"/>
  <c r="BQ9" i="3" a="1"/>
  <c r="BQ9" i="3" s="1"/>
  <c r="BS9" i="3" s="1"/>
  <c r="AZ9" i="3" a="1"/>
  <c r="AZ9" i="3" s="1"/>
  <c r="BA9" i="3" s="1"/>
  <c r="AA9" i="3" a="1"/>
  <c r="AA9" i="3" s="1"/>
  <c r="AC9" i="3" s="1"/>
  <c r="P9" i="3" a="1"/>
  <c r="P9" i="3" s="1"/>
  <c r="I9" i="3" a="1"/>
  <c r="I9" i="3" s="1"/>
  <c r="Y9" i="3"/>
  <c r="Z9" i="3" s="1"/>
  <c r="AH9" i="3" a="1"/>
  <c r="AH9" i="3" s="1"/>
  <c r="AV9" i="3"/>
  <c r="BT9" i="3"/>
  <c r="BV9" i="3" s="1"/>
  <c r="CJ9" i="3" a="1"/>
  <c r="CJ9" i="3" s="1"/>
  <c r="CK9" i="3" s="1"/>
  <c r="CS9" i="3"/>
  <c r="DA9" i="3" a="1"/>
  <c r="DA9" i="3" s="1"/>
  <c r="DP9" i="3"/>
  <c r="DR9" i="3" s="1"/>
  <c r="DJ12" i="3"/>
  <c r="DL12" i="3" s="1"/>
  <c r="CR12" i="3"/>
  <c r="CT12" i="3" s="1"/>
  <c r="BZ12" i="3"/>
  <c r="BH12" i="3"/>
  <c r="BJ12" i="3" s="1"/>
  <c r="AQ12" i="3" a="1"/>
  <c r="AQ12" i="3" s="1"/>
  <c r="AD12" i="3"/>
  <c r="AF12" i="3" s="1"/>
  <c r="L12" i="3"/>
  <c r="N12" i="3" s="1"/>
  <c r="DW12" i="3"/>
  <c r="DX12" i="3" s="1"/>
  <c r="DM12" i="3" a="1"/>
  <c r="DM12" i="3" s="1"/>
  <c r="DO12" i="3" s="1"/>
  <c r="DB12" i="3" a="1"/>
  <c r="DB12" i="3" s="1"/>
  <c r="CV12" i="3" a="1"/>
  <c r="CV12" i="3" s="1"/>
  <c r="CF12" i="3"/>
  <c r="CH12" i="3" s="1"/>
  <c r="CA12" i="3"/>
  <c r="BU12" i="3"/>
  <c r="BK12" i="3" a="1"/>
  <c r="BK12" i="3" s="1"/>
  <c r="BM12" i="3" s="1"/>
  <c r="AZ12" i="3" a="1"/>
  <c r="AZ12" i="3" s="1"/>
  <c r="BA12" i="3" s="1"/>
  <c r="AT12" i="3" a="1"/>
  <c r="AT12" i="3" s="1"/>
  <c r="AU12" i="3" s="1"/>
  <c r="AP12" i="3" a="1"/>
  <c r="AP12" i="3" s="1"/>
  <c r="AK12" i="3"/>
  <c r="AL12" i="3" s="1"/>
  <c r="AA12" i="3" a="1"/>
  <c r="AA12" i="3" s="1"/>
  <c r="AC12" i="3" s="1"/>
  <c r="U12" i="3" a="1"/>
  <c r="U12" i="3" s="1"/>
  <c r="J12" i="3" a="1"/>
  <c r="J12" i="3" s="1"/>
  <c r="K12" i="3" s="1"/>
  <c r="DY12" i="3" a="1"/>
  <c r="DY12" i="3" s="1"/>
  <c r="EA12" i="3" s="1"/>
  <c r="DS12" i="3" a="1"/>
  <c r="DS12" i="3" s="1"/>
  <c r="DU12" i="3" s="1"/>
  <c r="DH12" i="3" a="1"/>
  <c r="DH12" i="3" s="1"/>
  <c r="DI12" i="3" s="1"/>
  <c r="CL12" i="3"/>
  <c r="CN12" i="3" s="1"/>
  <c r="CG12" i="3"/>
  <c r="BW12" i="3" a="1"/>
  <c r="BW12" i="3" s="1"/>
  <c r="BY12" i="3" s="1"/>
  <c r="BQ12" i="3" a="1"/>
  <c r="BQ12" i="3" s="1"/>
  <c r="BS12" i="3" s="1"/>
  <c r="BF12" i="3" a="1"/>
  <c r="BF12" i="3" s="1"/>
  <c r="AG12" i="3" a="1"/>
  <c r="AG12" i="3" s="1"/>
  <c r="AI12" i="3" s="1"/>
  <c r="V12" i="3" a="1"/>
  <c r="V12" i="3" s="1"/>
  <c r="P12" i="3" a="1"/>
  <c r="P12" i="3" s="1"/>
  <c r="R12" i="3"/>
  <c r="T12" i="3" s="1"/>
  <c r="Y12" i="3"/>
  <c r="Z12" i="3" s="1"/>
  <c r="AH12" i="3" a="1"/>
  <c r="AH12" i="3" s="1"/>
  <c r="AW12" i="3"/>
  <c r="AX12" i="3" s="1"/>
  <c r="BE12" i="3" a="1"/>
  <c r="BE12" i="3" s="1"/>
  <c r="BG12" i="3" s="1"/>
  <c r="BT12" i="3"/>
  <c r="DA12" i="3" a="1"/>
  <c r="DA12" i="3" s="1"/>
  <c r="DC12" i="3" s="1"/>
  <c r="DQ12" i="3"/>
  <c r="DR12" i="3" s="1"/>
  <c r="DZ12" i="3" a="1"/>
  <c r="DZ12" i="3" s="1"/>
  <c r="H13" i="3"/>
  <c r="DJ20" i="3"/>
  <c r="DL20" i="3" s="1"/>
  <c r="CR20" i="3"/>
  <c r="CT20" i="3" s="1"/>
  <c r="BZ20" i="3"/>
  <c r="BH20" i="3"/>
  <c r="AQ20" i="3" a="1"/>
  <c r="AQ20" i="3" s="1"/>
  <c r="AR20" i="3" s="1"/>
  <c r="AD20" i="3"/>
  <c r="L20" i="3"/>
  <c r="N20" i="3" s="1"/>
  <c r="DY20" i="3" a="1"/>
  <c r="DY20" i="3" s="1"/>
  <c r="EA20" i="3" s="1"/>
  <c r="DS20" i="3" a="1"/>
  <c r="DS20" i="3" s="1"/>
  <c r="DU20" i="3" s="1"/>
  <c r="DH20" i="3" a="1"/>
  <c r="DH20" i="3" s="1"/>
  <c r="CL20" i="3"/>
  <c r="CG20" i="3"/>
  <c r="BW20" i="3" a="1"/>
  <c r="BW20" i="3" s="1"/>
  <c r="BY20" i="3" s="1"/>
  <c r="BQ20" i="3" a="1"/>
  <c r="BQ20" i="3" s="1"/>
  <c r="BS20" i="3" s="1"/>
  <c r="BF20" i="3" a="1"/>
  <c r="BF20" i="3" s="1"/>
  <c r="BG20" i="3" s="1"/>
  <c r="AG20" i="3" a="1"/>
  <c r="AG20" i="3" s="1"/>
  <c r="AI20" i="3" s="1"/>
  <c r="V20" i="3" a="1"/>
  <c r="V20" i="3" s="1"/>
  <c r="P20" i="3" a="1"/>
  <c r="P20" i="3" s="1"/>
  <c r="EF20" i="3" s="1"/>
  <c r="DT20" i="3" a="1"/>
  <c r="DT20" i="3" s="1"/>
  <c r="DN20" i="3" a="1"/>
  <c r="DN20" i="3" s="1"/>
  <c r="DO20" i="3" s="1"/>
  <c r="CX20" i="3"/>
  <c r="CS20" i="3"/>
  <c r="CM20" i="3"/>
  <c r="CC20" i="3" a="1"/>
  <c r="CC20" i="3" s="1"/>
  <c r="CE20" i="3" s="1"/>
  <c r="BR20" i="3" a="1"/>
  <c r="BR20" i="3" s="1"/>
  <c r="BL20" i="3" a="1"/>
  <c r="BL20" i="3" s="1"/>
  <c r="AV20" i="3"/>
  <c r="AX20" i="3" s="1"/>
  <c r="AM20" i="3" a="1"/>
  <c r="AM20" i="3" s="1"/>
  <c r="AB20" i="3" a="1"/>
  <c r="AB20" i="3" s="1"/>
  <c r="F20" i="3"/>
  <c r="DV20" i="3"/>
  <c r="DX20" i="3" s="1"/>
  <c r="DG20" i="3" a="1"/>
  <c r="DG20" i="3" s="1"/>
  <c r="DI20" i="3" s="1"/>
  <c r="CY20" i="3"/>
  <c r="CP20" i="3" a="1"/>
  <c r="CP20" i="3" s="1"/>
  <c r="CQ20" i="3" s="1"/>
  <c r="CI20" i="3" a="1"/>
  <c r="CI20" i="3" s="1"/>
  <c r="BB20" i="3"/>
  <c r="BD20" i="3" s="1"/>
  <c r="AN20" i="3" a="1"/>
  <c r="AN20" i="3" s="1"/>
  <c r="AE20" i="3"/>
  <c r="O20" i="3" a="1"/>
  <c r="O20" i="3" s="1"/>
  <c r="G20" i="3"/>
  <c r="DW20" i="3"/>
  <c r="DP20" i="3"/>
  <c r="DR20" i="3" s="1"/>
  <c r="CJ20" i="3" a="1"/>
  <c r="CJ20" i="3" s="1"/>
  <c r="CA20" i="3"/>
  <c r="BK20" i="3" a="1"/>
  <c r="BK20" i="3" s="1"/>
  <c r="BC20" i="3"/>
  <c r="AT20" i="3" a="1"/>
  <c r="AT20" i="3" s="1"/>
  <c r="X20" i="3"/>
  <c r="Z20" i="3" s="1"/>
  <c r="I20" i="3" a="1"/>
  <c r="I20" i="3" s="1"/>
  <c r="AA20" i="3" a="1"/>
  <c r="AA20" i="3" s="1"/>
  <c r="AC20" i="3" s="1"/>
  <c r="AK20" i="3"/>
  <c r="AL20" i="3" s="1"/>
  <c r="BI20" i="3"/>
  <c r="BU20" i="3"/>
  <c r="CF20" i="3"/>
  <c r="CH20" i="3" s="1"/>
  <c r="CU20" i="3" a="1"/>
  <c r="CU20" i="3" s="1"/>
  <c r="CW20" i="3" s="1"/>
  <c r="DE20" i="3"/>
  <c r="DF20" i="3" s="1"/>
  <c r="AX22" i="3"/>
  <c r="CH22" i="3"/>
  <c r="P23" i="3" a="1"/>
  <c r="P23" i="3" s="1"/>
  <c r="AA23" i="3" a="1"/>
  <c r="AA23" i="3" s="1"/>
  <c r="AC23" i="3" s="1"/>
  <c r="AY23" i="3" a="1"/>
  <c r="AY23" i="3" s="1"/>
  <c r="BA23" i="3" s="1"/>
  <c r="CJ23" i="3" a="1"/>
  <c r="CJ23" i="3" s="1"/>
  <c r="DS23" i="3" a="1"/>
  <c r="DS23" i="3" s="1"/>
  <c r="I24" i="3" a="1"/>
  <c r="I24" i="3" s="1"/>
  <c r="AH24" i="3" a="1"/>
  <c r="AH24" i="3" s="1"/>
  <c r="BO24" i="3"/>
  <c r="DA24" i="3" a="1"/>
  <c r="DA24" i="3" s="1"/>
  <c r="DC24" i="3" s="1"/>
  <c r="DK24" i="3"/>
  <c r="DZ24" i="3" a="1"/>
  <c r="DZ24" i="3" s="1"/>
  <c r="BM25" i="3"/>
  <c r="DJ26" i="3"/>
  <c r="DL26" i="3" s="1"/>
  <c r="CR26" i="3"/>
  <c r="BZ26" i="3"/>
  <c r="CB26" i="3" s="1"/>
  <c r="BH26" i="3"/>
  <c r="AQ26" i="3" a="1"/>
  <c r="AQ26" i="3" s="1"/>
  <c r="AD26" i="3"/>
  <c r="AF26" i="3" s="1"/>
  <c r="L26" i="3"/>
  <c r="DY26" i="3" a="1"/>
  <c r="DY26" i="3" s="1"/>
  <c r="DT26" i="3" a="1"/>
  <c r="DT26" i="3" s="1"/>
  <c r="DK26" i="3"/>
  <c r="DG26" i="3" a="1"/>
  <c r="DG26" i="3" s="1"/>
  <c r="DB26" i="3" a="1"/>
  <c r="DB26" i="3" s="1"/>
  <c r="CS26" i="3"/>
  <c r="CO26" i="3" a="1"/>
  <c r="CO26" i="3" s="1"/>
  <c r="CJ26" i="3" a="1"/>
  <c r="CJ26" i="3" s="1"/>
  <c r="CA26" i="3"/>
  <c r="BW26" i="3" a="1"/>
  <c r="BW26" i="3" s="1"/>
  <c r="BR26" i="3" a="1"/>
  <c r="BR26" i="3" s="1"/>
  <c r="BI26" i="3"/>
  <c r="BE26" i="3" a="1"/>
  <c r="BE26" i="3" s="1"/>
  <c r="BG26" i="3" s="1"/>
  <c r="AZ26" i="3" a="1"/>
  <c r="AZ26" i="3" s="1"/>
  <c r="AN26" i="3" a="1"/>
  <c r="AN26" i="3" s="1"/>
  <c r="AE26" i="3"/>
  <c r="DD26" i="3"/>
  <c r="CX26" i="3"/>
  <c r="BB26" i="3"/>
  <c r="BD26" i="3" s="1"/>
  <c r="AV26" i="3"/>
  <c r="AP26" i="3" a="1"/>
  <c r="AP26" i="3" s="1"/>
  <c r="AR26" i="3" s="1"/>
  <c r="AJ26" i="3"/>
  <c r="R26" i="3"/>
  <c r="M26" i="3"/>
  <c r="G26" i="3"/>
  <c r="DZ26" i="3" a="1"/>
  <c r="DZ26" i="3" s="1"/>
  <c r="DS26" i="3" a="1"/>
  <c r="DS26" i="3" s="1"/>
  <c r="DM26" i="3" a="1"/>
  <c r="DM26" i="3" s="1"/>
  <c r="DE26" i="3"/>
  <c r="CY26" i="3"/>
  <c r="CD26" i="3" a="1"/>
  <c r="CD26" i="3" s="1"/>
  <c r="BX26" i="3" a="1"/>
  <c r="BX26" i="3" s="1"/>
  <c r="BQ26" i="3" a="1"/>
  <c r="BQ26" i="3" s="1"/>
  <c r="BS26" i="3" s="1"/>
  <c r="BK26" i="3" a="1"/>
  <c r="BK26" i="3" s="1"/>
  <c r="BC26" i="3"/>
  <c r="AW26" i="3"/>
  <c r="AK26" i="3"/>
  <c r="X26" i="3"/>
  <c r="Z26" i="3" s="1"/>
  <c r="S26" i="3"/>
  <c r="I26" i="3" a="1"/>
  <c r="I26" i="3" s="1"/>
  <c r="DP26" i="3"/>
  <c r="CL26" i="3"/>
  <c r="V26" i="3" a="1"/>
  <c r="V26" i="3" s="1"/>
  <c r="O26" i="3" a="1"/>
  <c r="O26" i="3" s="1"/>
  <c r="Q26" i="3" s="1"/>
  <c r="CI26" i="3" a="1"/>
  <c r="CI26" i="3" s="1"/>
  <c r="BF26" i="3" a="1"/>
  <c r="BF26" i="3" s="1"/>
  <c r="AM26" i="3" a="1"/>
  <c r="AM26" i="3" s="1"/>
  <c r="U26" i="3" a="1"/>
  <c r="U26" i="3" s="1"/>
  <c r="W26" i="3" s="1"/>
  <c r="CF26" i="3"/>
  <c r="CH26" i="3" s="1"/>
  <c r="BT26" i="3"/>
  <c r="BV26" i="3" s="1"/>
  <c r="DQ26" i="3"/>
  <c r="DH26" i="3" a="1"/>
  <c r="DH26" i="3" s="1"/>
  <c r="CV26" i="3" a="1"/>
  <c r="CV26" i="3" s="1"/>
  <c r="CM26" i="3"/>
  <c r="CC26" i="3" a="1"/>
  <c r="CC26" i="3" s="1"/>
  <c r="CE26" i="3" s="1"/>
  <c r="AY26" i="3" a="1"/>
  <c r="AY26" i="3" s="1"/>
  <c r="BA26" i="3" s="1"/>
  <c r="AG26" i="3" a="1"/>
  <c r="AG26" i="3" s="1"/>
  <c r="F26" i="3"/>
  <c r="DW26" i="3"/>
  <c r="DX26" i="3" s="1"/>
  <c r="DN26" i="3" a="1"/>
  <c r="DN26" i="3" s="1"/>
  <c r="CU26" i="3" a="1"/>
  <c r="CU26" i="3" s="1"/>
  <c r="CW26" i="3" s="1"/>
  <c r="BO26" i="3"/>
  <c r="BP26" i="3" s="1"/>
  <c r="AT26" i="3" a="1"/>
  <c r="AT26" i="3" s="1"/>
  <c r="AU26" i="3" s="1"/>
  <c r="AB26" i="3" a="1"/>
  <c r="AB26" i="3" s="1"/>
  <c r="AC26" i="3" s="1"/>
  <c r="P26" i="3" a="1"/>
  <c r="P26" i="3" s="1"/>
  <c r="AH26" i="3" a="1"/>
  <c r="AH26" i="3" s="1"/>
  <c r="BL26" i="3" a="1"/>
  <c r="BL26" i="3" s="1"/>
  <c r="CP26" i="3" a="1"/>
  <c r="CP26" i="3" s="1"/>
  <c r="DI37" i="3"/>
  <c r="AX8" i="3"/>
  <c r="CZ8" i="3"/>
  <c r="DP10" i="3"/>
  <c r="CX10" i="3"/>
  <c r="CZ10" i="3" s="1"/>
  <c r="CF10" i="3"/>
  <c r="CH10" i="3" s="1"/>
  <c r="BN10" i="3"/>
  <c r="BP10" i="3" s="1"/>
  <c r="AV10" i="3"/>
  <c r="AX10" i="3" s="1"/>
  <c r="AJ10" i="3"/>
  <c r="AL10" i="3" s="1"/>
  <c r="R10" i="3"/>
  <c r="I10" i="3" a="1"/>
  <c r="I10" i="3" s="1"/>
  <c r="O10" i="3" a="1"/>
  <c r="O10" i="3" s="1"/>
  <c r="Q10" i="3" s="1"/>
  <c r="Y10" i="3"/>
  <c r="AD10" i="3"/>
  <c r="AF10" i="3" s="1"/>
  <c r="AY10" i="3" a="1"/>
  <c r="AY10" i="3" s="1"/>
  <c r="BA10" i="3" s="1"/>
  <c r="BI10" i="3"/>
  <c r="BO10" i="3"/>
  <c r="BT10" i="3"/>
  <c r="BV10" i="3" s="1"/>
  <c r="CJ10" i="3" a="1"/>
  <c r="CJ10" i="3" s="1"/>
  <c r="CK10" i="3" s="1"/>
  <c r="CP10" i="3" a="1"/>
  <c r="CP10" i="3" s="1"/>
  <c r="DA10" i="3" a="1"/>
  <c r="DA10" i="3" s="1"/>
  <c r="DC10" i="3" s="1"/>
  <c r="DK10" i="3"/>
  <c r="DQ10" i="3"/>
  <c r="DV10" i="3"/>
  <c r="DX10" i="3" s="1"/>
  <c r="CE11" i="3"/>
  <c r="DW13" i="3"/>
  <c r="DS13" i="3" a="1"/>
  <c r="DS13" i="3" s="1"/>
  <c r="DU13" i="3" s="1"/>
  <c r="DN13" i="3" a="1"/>
  <c r="DN13" i="3" s="1"/>
  <c r="DO13" i="3" s="1"/>
  <c r="DE13" i="3"/>
  <c r="DF13" i="3" s="1"/>
  <c r="DA13" i="3" a="1"/>
  <c r="DA13" i="3" s="1"/>
  <c r="DC13" i="3" s="1"/>
  <c r="CV13" i="3" a="1"/>
  <c r="CV13" i="3" s="1"/>
  <c r="CM13" i="3"/>
  <c r="CN13" i="3" s="1"/>
  <c r="CI13" i="3" a="1"/>
  <c r="CI13" i="3" s="1"/>
  <c r="CD13" i="3" a="1"/>
  <c r="CD13" i="3" s="1"/>
  <c r="CE13" i="3" s="1"/>
  <c r="BU13" i="3"/>
  <c r="BQ13" i="3" a="1"/>
  <c r="BQ13" i="3" s="1"/>
  <c r="BS13" i="3" s="1"/>
  <c r="BL13" i="3" a="1"/>
  <c r="BL13" i="3" s="1"/>
  <c r="BM13" i="3" s="1"/>
  <c r="BC13" i="3"/>
  <c r="BD13" i="3" s="1"/>
  <c r="AY13" i="3" a="1"/>
  <c r="AY13" i="3" s="1"/>
  <c r="BA13" i="3" s="1"/>
  <c r="AT13" i="3" a="1"/>
  <c r="AT13" i="3" s="1"/>
  <c r="AM13" i="3" a="1"/>
  <c r="AM13" i="3" s="1"/>
  <c r="AO13" i="3" s="1"/>
  <c r="AH13" i="3" a="1"/>
  <c r="AH13" i="3" s="1"/>
  <c r="AI13" i="3" s="1"/>
  <c r="Y13" i="3"/>
  <c r="U13" i="3" a="1"/>
  <c r="U13" i="3" s="1"/>
  <c r="W13" i="3" s="1"/>
  <c r="P13" i="3" a="1"/>
  <c r="P13" i="3" s="1"/>
  <c r="EF13" i="3" s="1"/>
  <c r="G13" i="3"/>
  <c r="O13" i="3" a="1"/>
  <c r="O13" i="3" s="1"/>
  <c r="Q13" i="3" s="1"/>
  <c r="AE13" i="3"/>
  <c r="AJ13" i="3"/>
  <c r="AL13" i="3" s="1"/>
  <c r="BE13" i="3" a="1"/>
  <c r="BE13" i="3" s="1"/>
  <c r="BG13" i="3" s="1"/>
  <c r="BO13" i="3"/>
  <c r="BT13" i="3"/>
  <c r="BZ13" i="3"/>
  <c r="CB13" i="3" s="1"/>
  <c r="CP13" i="3" a="1"/>
  <c r="CP13" i="3" s="1"/>
  <c r="CQ13" i="3" s="1"/>
  <c r="DG13" i="3" a="1"/>
  <c r="DG13" i="3" s="1"/>
  <c r="DI13" i="3" s="1"/>
  <c r="DQ13" i="3"/>
  <c r="DV13" i="3"/>
  <c r="Q17" i="3"/>
  <c r="AU17" i="3"/>
  <c r="Z18" i="3"/>
  <c r="BM18" i="3"/>
  <c r="CN18" i="3"/>
  <c r="DO18" i="3"/>
  <c r="DL21" i="3"/>
  <c r="DR21" i="3"/>
  <c r="EA21" i="3"/>
  <c r="AI22" i="3"/>
  <c r="DO25" i="3"/>
  <c r="EA25" i="3"/>
  <c r="DP30" i="3"/>
  <c r="CX30" i="3"/>
  <c r="CF30" i="3"/>
  <c r="BN30" i="3"/>
  <c r="AV30" i="3"/>
  <c r="AJ30" i="3"/>
  <c r="AL30" i="3" s="1"/>
  <c r="R30" i="3"/>
  <c r="DZ30" i="3" a="1"/>
  <c r="DZ30" i="3" s="1"/>
  <c r="EA30" i="3" s="1"/>
  <c r="DQ30" i="3"/>
  <c r="DM30" i="3" a="1"/>
  <c r="DM30" i="3" s="1"/>
  <c r="DO30" i="3" s="1"/>
  <c r="DH30" i="3" a="1"/>
  <c r="DH30" i="3" s="1"/>
  <c r="CY30" i="3"/>
  <c r="CU30" i="3" a="1"/>
  <c r="CU30" i="3" s="1"/>
  <c r="CP30" i="3" a="1"/>
  <c r="CP30" i="3" s="1"/>
  <c r="CG30" i="3"/>
  <c r="CC30" i="3" a="1"/>
  <c r="CC30" i="3" s="1"/>
  <c r="BX30" i="3" a="1"/>
  <c r="BX30" i="3" s="1"/>
  <c r="BY30" i="3" s="1"/>
  <c r="BO30" i="3"/>
  <c r="BK30" i="3" a="1"/>
  <c r="BK30" i="3" s="1"/>
  <c r="BM30" i="3" s="1"/>
  <c r="BF30" i="3" a="1"/>
  <c r="BF30" i="3" s="1"/>
  <c r="BG30" i="3" s="1"/>
  <c r="AW30" i="3"/>
  <c r="AS30" i="3" a="1"/>
  <c r="AS30" i="3" s="1"/>
  <c r="AK30" i="3"/>
  <c r="AG30" i="3" a="1"/>
  <c r="AG30" i="3" s="1"/>
  <c r="AI30" i="3" s="1"/>
  <c r="AB30" i="3" a="1"/>
  <c r="AB30" i="3" s="1"/>
  <c r="S30" i="3"/>
  <c r="O30" i="3" a="1"/>
  <c r="O30" i="3" s="1"/>
  <c r="Q30" i="3" s="1"/>
  <c r="J30" i="3" a="1"/>
  <c r="J30" i="3" s="1"/>
  <c r="DV30" i="3"/>
  <c r="DX30" i="3" s="1"/>
  <c r="BZ30" i="3"/>
  <c r="CB30" i="3" s="1"/>
  <c r="BT30" i="3"/>
  <c r="BV30" i="3" s="1"/>
  <c r="L30" i="3"/>
  <c r="N30" i="3" s="1"/>
  <c r="F30" i="3"/>
  <c r="DW30" i="3"/>
  <c r="DB30" i="3" a="1"/>
  <c r="DB30" i="3" s="1"/>
  <c r="CV30" i="3" a="1"/>
  <c r="CV30" i="3" s="1"/>
  <c r="CO30" i="3" a="1"/>
  <c r="CO30" i="3" s="1"/>
  <c r="CQ30" i="3" s="1"/>
  <c r="CI30" i="3" a="1"/>
  <c r="CI30" i="3" s="1"/>
  <c r="CK30" i="3" s="1"/>
  <c r="CA30" i="3"/>
  <c r="BU30" i="3"/>
  <c r="AZ30" i="3" a="1"/>
  <c r="AZ30" i="3" s="1"/>
  <c r="AT30" i="3" a="1"/>
  <c r="AT30" i="3" s="1"/>
  <c r="AN30" i="3" a="1"/>
  <c r="AN30" i="3" s="1"/>
  <c r="AO30" i="3" s="1"/>
  <c r="AH30" i="3" a="1"/>
  <c r="AH30" i="3" s="1"/>
  <c r="AA30" i="3" a="1"/>
  <c r="AA30" i="3" s="1"/>
  <c r="U30" i="3" a="1"/>
  <c r="U30" i="3" s="1"/>
  <c r="M30" i="3"/>
  <c r="G30" i="3"/>
  <c r="V30" i="3" a="1"/>
  <c r="V30" i="3" s="1"/>
  <c r="AE30" i="3"/>
  <c r="AY30" i="3" a="1"/>
  <c r="AY30" i="3" s="1"/>
  <c r="BA30" i="3" s="1"/>
  <c r="BI30" i="3"/>
  <c r="BR30" i="3" a="1"/>
  <c r="BR30" i="3" s="1"/>
  <c r="CD30" i="3" a="1"/>
  <c r="CD30" i="3" s="1"/>
  <c r="CM30" i="3"/>
  <c r="DG30" i="3" a="1"/>
  <c r="DG30" i="3" s="1"/>
  <c r="DI30" i="3" s="1"/>
  <c r="DS30" i="3" a="1"/>
  <c r="DS30" i="3" s="1"/>
  <c r="DU30" i="3" s="1"/>
  <c r="CW31" i="3"/>
  <c r="DX31" i="3"/>
  <c r="R33" i="3"/>
  <c r="T33" i="3" s="1"/>
  <c r="AE33" i="3"/>
  <c r="AP33" i="3" a="1"/>
  <c r="AP33" i="3" s="1"/>
  <c r="BC33" i="3"/>
  <c r="BZ33" i="3"/>
  <c r="CB33" i="3" s="1"/>
  <c r="DJ33" i="3"/>
  <c r="DL33" i="3" s="1"/>
  <c r="AI34" i="3"/>
  <c r="CT34" i="3"/>
  <c r="BV35" i="3"/>
  <c r="BA36" i="3"/>
  <c r="DW37" i="3"/>
  <c r="DS37" i="3" a="1"/>
  <c r="DS37" i="3" s="1"/>
  <c r="DU37" i="3" s="1"/>
  <c r="DN37" i="3" a="1"/>
  <c r="DN37" i="3" s="1"/>
  <c r="DE37" i="3"/>
  <c r="DA37" i="3" a="1"/>
  <c r="DA37" i="3" s="1"/>
  <c r="CV37" i="3" a="1"/>
  <c r="CV37" i="3" s="1"/>
  <c r="CM37" i="3"/>
  <c r="CN37" i="3" s="1"/>
  <c r="CI37" i="3" a="1"/>
  <c r="CI37" i="3" s="1"/>
  <c r="CK37" i="3" s="1"/>
  <c r="CD37" i="3" a="1"/>
  <c r="CD37" i="3" s="1"/>
  <c r="BU37" i="3"/>
  <c r="BQ37" i="3" a="1"/>
  <c r="BQ37" i="3" s="1"/>
  <c r="BS37" i="3" s="1"/>
  <c r="BL37" i="3" a="1"/>
  <c r="BL37" i="3" s="1"/>
  <c r="BM37" i="3" s="1"/>
  <c r="BC37" i="3"/>
  <c r="AY37" i="3" a="1"/>
  <c r="AY37" i="3" s="1"/>
  <c r="BA37" i="3" s="1"/>
  <c r="AT37" i="3" a="1"/>
  <c r="AT37" i="3" s="1"/>
  <c r="AM37" i="3" a="1"/>
  <c r="AM37" i="3" s="1"/>
  <c r="AH37" i="3" a="1"/>
  <c r="AH37" i="3" s="1"/>
  <c r="Y37" i="3"/>
  <c r="U37" i="3" a="1"/>
  <c r="U37" i="3" s="1"/>
  <c r="W37" i="3" s="1"/>
  <c r="P37" i="3" a="1"/>
  <c r="P37" i="3" s="1"/>
  <c r="G37" i="3"/>
  <c r="DJ37" i="3"/>
  <c r="CR37" i="3"/>
  <c r="BZ37" i="3"/>
  <c r="CB37" i="3" s="1"/>
  <c r="BH37" i="3"/>
  <c r="AQ37" i="3" a="1"/>
  <c r="AQ37" i="3" s="1"/>
  <c r="AD37" i="3"/>
  <c r="AF37" i="3" s="1"/>
  <c r="L37" i="3"/>
  <c r="DH37" i="3" a="1"/>
  <c r="DH37" i="3" s="1"/>
  <c r="DB37" i="3" a="1"/>
  <c r="DB37" i="3" s="1"/>
  <c r="CU37" i="3" a="1"/>
  <c r="CU37" i="3" s="1"/>
  <c r="CO37" i="3" a="1"/>
  <c r="CO37" i="3" s="1"/>
  <c r="CQ37" i="3" s="1"/>
  <c r="CG37" i="3"/>
  <c r="CA37" i="3"/>
  <c r="BF37" i="3" a="1"/>
  <c r="BF37" i="3" s="1"/>
  <c r="AZ37" i="3" a="1"/>
  <c r="AZ37" i="3" s="1"/>
  <c r="AS37" i="3" a="1"/>
  <c r="AS37" i="3" s="1"/>
  <c r="AU37" i="3" s="1"/>
  <c r="AN37" i="3" a="1"/>
  <c r="AN37" i="3" s="1"/>
  <c r="AG37" i="3" a="1"/>
  <c r="AG37" i="3" s="1"/>
  <c r="AI37" i="3" s="1"/>
  <c r="AA37" i="3" a="1"/>
  <c r="AA37" i="3" s="1"/>
  <c r="S37" i="3"/>
  <c r="M37" i="3"/>
  <c r="DV37" i="3"/>
  <c r="DX37" i="3" s="1"/>
  <c r="DP37" i="3"/>
  <c r="BT37" i="3"/>
  <c r="BV37" i="3" s="1"/>
  <c r="BN37" i="3"/>
  <c r="F37" i="3"/>
  <c r="DY37" i="3" a="1"/>
  <c r="DY37" i="3" s="1"/>
  <c r="EA37" i="3" s="1"/>
  <c r="DM37" i="3" a="1"/>
  <c r="DM37" i="3" s="1"/>
  <c r="DO37" i="3" s="1"/>
  <c r="CS37" i="3"/>
  <c r="CJ37" i="3" a="1"/>
  <c r="CJ37" i="3" s="1"/>
  <c r="BX37" i="3" a="1"/>
  <c r="BX37" i="3" s="1"/>
  <c r="BO37" i="3"/>
  <c r="BE37" i="3" a="1"/>
  <c r="BE37" i="3" s="1"/>
  <c r="BG37" i="3" s="1"/>
  <c r="AK37" i="3"/>
  <c r="AB37" i="3" a="1"/>
  <c r="AB37" i="3" s="1"/>
  <c r="I37" i="3" a="1"/>
  <c r="I37" i="3" s="1"/>
  <c r="CF37" i="3"/>
  <c r="BB37" i="3"/>
  <c r="AJ37" i="3"/>
  <c r="AL37" i="3" s="1"/>
  <c r="X37" i="3"/>
  <c r="DD37" i="3"/>
  <c r="DF37" i="3" s="1"/>
  <c r="AV37" i="3"/>
  <c r="AX37" i="3" s="1"/>
  <c r="R37" i="3"/>
  <c r="V37" i="3" a="1"/>
  <c r="V37" i="3" s="1"/>
  <c r="BI37" i="3"/>
  <c r="CC37" i="3" a="1"/>
  <c r="CC37" i="3" s="1"/>
  <c r="CE37" i="3" s="1"/>
  <c r="DQ37" i="3"/>
  <c r="BJ38" i="3"/>
  <c r="Z27" i="3"/>
  <c r="BD27" i="3"/>
  <c r="BY27" i="3"/>
  <c r="Q28" i="3"/>
  <c r="CE28" i="3"/>
  <c r="DR28" i="3"/>
  <c r="BA29" i="3"/>
  <c r="Z30" i="3"/>
  <c r="CE31" i="3"/>
  <c r="BA32" i="3"/>
  <c r="W35" i="3"/>
  <c r="AU35" i="3"/>
  <c r="AR37" i="3"/>
  <c r="CZ37" i="3"/>
  <c r="AI38" i="3"/>
  <c r="CT38" i="3"/>
  <c r="DC30" i="3"/>
  <c r="N31" i="3"/>
  <c r="DL31" i="3"/>
  <c r="DZ33" i="3" a="1"/>
  <c r="DZ33" i="3" s="1"/>
  <c r="DQ33" i="3"/>
  <c r="DR33" i="3" s="1"/>
  <c r="DM33" i="3" a="1"/>
  <c r="DM33" i="3" s="1"/>
  <c r="DH33" i="3" a="1"/>
  <c r="DH33" i="3" s="1"/>
  <c r="CY33" i="3"/>
  <c r="CU33" i="3" a="1"/>
  <c r="CU33" i="3" s="1"/>
  <c r="CP33" i="3" a="1"/>
  <c r="CP33" i="3" s="1"/>
  <c r="CG33" i="3"/>
  <c r="CC33" i="3" a="1"/>
  <c r="CC33" i="3" s="1"/>
  <c r="BX33" i="3" a="1"/>
  <c r="BX33" i="3" s="1"/>
  <c r="BO33" i="3"/>
  <c r="BK33" i="3" a="1"/>
  <c r="BK33" i="3" s="1"/>
  <c r="BF33" i="3" a="1"/>
  <c r="BF33" i="3" s="1"/>
  <c r="AW33" i="3"/>
  <c r="AX33" i="3" s="1"/>
  <c r="AS33" i="3" a="1"/>
  <c r="AS33" i="3" s="1"/>
  <c r="AU33" i="3" s="1"/>
  <c r="AK33" i="3"/>
  <c r="AG33" i="3" a="1"/>
  <c r="AG33" i="3" s="1"/>
  <c r="AI33" i="3" s="1"/>
  <c r="AB33" i="3" a="1"/>
  <c r="AB33" i="3" s="1"/>
  <c r="S33" i="3"/>
  <c r="O33" i="3" a="1"/>
  <c r="O33" i="3" s="1"/>
  <c r="J33" i="3" a="1"/>
  <c r="J33" i="3" s="1"/>
  <c r="DS33" i="3" a="1"/>
  <c r="DS33" i="3" s="1"/>
  <c r="DB33" i="3" a="1"/>
  <c r="DB33" i="3" s="1"/>
  <c r="DC33" i="3" s="1"/>
  <c r="CL33" i="3"/>
  <c r="CF33" i="3"/>
  <c r="CA33" i="3"/>
  <c r="BQ33" i="3" a="1"/>
  <c r="BQ33" i="3" s="1"/>
  <c r="BS33" i="3" s="1"/>
  <c r="AZ33" i="3" a="1"/>
  <c r="AZ33" i="3" s="1"/>
  <c r="AA33" i="3" a="1"/>
  <c r="AA33" i="3" s="1"/>
  <c r="AC33" i="3" s="1"/>
  <c r="P33" i="3" a="1"/>
  <c r="P33" i="3" s="1"/>
  <c r="DY33" i="3" a="1"/>
  <c r="DY33" i="3" s="1"/>
  <c r="EA33" i="3" s="1"/>
  <c r="DN33" i="3" a="1"/>
  <c r="DN33" i="3" s="1"/>
  <c r="CR33" i="3"/>
  <c r="CT33" i="3" s="1"/>
  <c r="CM33" i="3"/>
  <c r="BW33" i="3" a="1"/>
  <c r="BW33" i="3" s="1"/>
  <c r="BY33" i="3" s="1"/>
  <c r="BL33" i="3" a="1"/>
  <c r="BL33" i="3" s="1"/>
  <c r="AQ33" i="3" a="1"/>
  <c r="AQ33" i="3" s="1"/>
  <c r="AM33" i="3" a="1"/>
  <c r="AM33" i="3" s="1"/>
  <c r="V33" i="3" a="1"/>
  <c r="V33" i="3" s="1"/>
  <c r="F33" i="3"/>
  <c r="DT33" i="3" a="1"/>
  <c r="DT33" i="3" s="1"/>
  <c r="DK33" i="3"/>
  <c r="DD33" i="3"/>
  <c r="BN33" i="3"/>
  <c r="AY33" i="3" a="1"/>
  <c r="AY33" i="3" s="1"/>
  <c r="L33" i="3"/>
  <c r="DE33" i="3"/>
  <c r="CV33" i="3" a="1"/>
  <c r="CV33" i="3" s="1"/>
  <c r="CO33" i="3" a="1"/>
  <c r="CO33" i="3" s="1"/>
  <c r="CQ33" i="3" s="1"/>
  <c r="BH33" i="3"/>
  <c r="BJ33" i="3" s="1"/>
  <c r="AJ33" i="3"/>
  <c r="U33" i="3" a="1"/>
  <c r="U33" i="3" s="1"/>
  <c r="W33" i="3" s="1"/>
  <c r="M33" i="3"/>
  <c r="X33" i="3"/>
  <c r="Z33" i="3" s="1"/>
  <c r="AT33" i="3" a="1"/>
  <c r="AT33" i="3" s="1"/>
  <c r="BE33" i="3" a="1"/>
  <c r="BE33" i="3" s="1"/>
  <c r="BG33" i="3" s="1"/>
  <c r="CD33" i="3" a="1"/>
  <c r="CD33" i="3" s="1"/>
  <c r="CW38" i="3"/>
  <c r="CQ29" i="3"/>
  <c r="DC29" i="3"/>
  <c r="BJ35" i="3"/>
  <c r="H36" i="3"/>
  <c r="DF40" i="3"/>
  <c r="EE30" i="3"/>
  <c r="H31" i="3"/>
  <c r="BA31" i="3"/>
  <c r="AN33" i="3" a="1"/>
  <c r="AN33" i="3" s="1"/>
  <c r="BU33" i="3"/>
  <c r="BV33" i="3" s="1"/>
  <c r="DG33" i="3" a="1"/>
  <c r="DG33" i="3" s="1"/>
  <c r="DV8" i="3"/>
  <c r="DX8" i="3" s="1"/>
  <c r="DD8" i="3"/>
  <c r="DF8" i="3" s="1"/>
  <c r="CL8" i="3"/>
  <c r="CN8" i="3" s="1"/>
  <c r="BT8" i="3"/>
  <c r="BV8" i="3" s="1"/>
  <c r="BB8" i="3"/>
  <c r="BD8" i="3" s="1"/>
  <c r="I8" i="3" a="1"/>
  <c r="I8" i="3" s="1"/>
  <c r="M8" i="3"/>
  <c r="V8" i="3" a="1"/>
  <c r="V8" i="3" s="1"/>
  <c r="AA8" i="3" a="1"/>
  <c r="AA8" i="3" s="1"/>
  <c r="AC8" i="3" s="1"/>
  <c r="AE8" i="3"/>
  <c r="AF8" i="3" s="1"/>
  <c r="AN8" i="3" a="1"/>
  <c r="AN8" i="3" s="1"/>
  <c r="AO8" i="3" s="1"/>
  <c r="BF8" i="3" a="1"/>
  <c r="BF8" i="3" s="1"/>
  <c r="BL8" i="3" a="1"/>
  <c r="BL8" i="3" s="1"/>
  <c r="BM8" i="3" s="1"/>
  <c r="BW8" i="3" a="1"/>
  <c r="BW8" i="3" s="1"/>
  <c r="BY8" i="3" s="1"/>
  <c r="CG8" i="3"/>
  <c r="CH8" i="3" s="1"/>
  <c r="CM8" i="3"/>
  <c r="CR8" i="3"/>
  <c r="CT8" i="3" s="1"/>
  <c r="DH8" i="3" a="1"/>
  <c r="DH8" i="3" s="1"/>
  <c r="DI8" i="3" s="1"/>
  <c r="DN8" i="3" a="1"/>
  <c r="DN8" i="3" s="1"/>
  <c r="DO8" i="3" s="1"/>
  <c r="DY8" i="3" a="1"/>
  <c r="DY8" i="3" s="1"/>
  <c r="EA8" i="3" s="1"/>
  <c r="M10" i="3"/>
  <c r="S10" i="3"/>
  <c r="X10" i="3"/>
  <c r="AN10" i="3" a="1"/>
  <c r="AN10" i="3" s="1"/>
  <c r="AS10" i="3" a="1"/>
  <c r="AS10" i="3" s="1"/>
  <c r="AU10" i="3" s="1"/>
  <c r="BC10" i="3"/>
  <c r="BD10" i="3" s="1"/>
  <c r="BH10" i="3"/>
  <c r="BJ10" i="3" s="1"/>
  <c r="CD10" i="3" a="1"/>
  <c r="CD10" i="3" s="1"/>
  <c r="CE10" i="3" s="1"/>
  <c r="CO10" i="3" a="1"/>
  <c r="CO10" i="3" s="1"/>
  <c r="CU10" i="3" a="1"/>
  <c r="CU10" i="3" s="1"/>
  <c r="CW10" i="3" s="1"/>
  <c r="DE10" i="3"/>
  <c r="DF10" i="3" s="1"/>
  <c r="DJ10" i="3"/>
  <c r="DL10" i="3" s="1"/>
  <c r="I13" i="3" a="1"/>
  <c r="I13" i="3" s="1"/>
  <c r="S13" i="3"/>
  <c r="X13" i="3"/>
  <c r="AD13" i="3"/>
  <c r="AF13" i="3" s="1"/>
  <c r="AS13" i="3" a="1"/>
  <c r="AS13" i="3" s="1"/>
  <c r="AU13" i="3" s="1"/>
  <c r="BI13" i="3"/>
  <c r="BJ13" i="3" s="1"/>
  <c r="BN13" i="3"/>
  <c r="BP13" i="3" s="1"/>
  <c r="CJ13" i="3" a="1"/>
  <c r="CJ13" i="3" s="1"/>
  <c r="CU13" i="3" a="1"/>
  <c r="CU13" i="3" s="1"/>
  <c r="DK13" i="3"/>
  <c r="DL13" i="3" s="1"/>
  <c r="DP13" i="3"/>
  <c r="DR13" i="3" s="1"/>
  <c r="AC21" i="3"/>
  <c r="CZ22" i="3"/>
  <c r="DF25" i="3"/>
  <c r="DW27" i="3"/>
  <c r="DS27" i="3" a="1"/>
  <c r="DS27" i="3" s="1"/>
  <c r="DU27" i="3" s="1"/>
  <c r="DN27" i="3" a="1"/>
  <c r="DN27" i="3" s="1"/>
  <c r="DO27" i="3" s="1"/>
  <c r="DE27" i="3"/>
  <c r="DF27" i="3" s="1"/>
  <c r="DA27" i="3" a="1"/>
  <c r="DA27" i="3" s="1"/>
  <c r="CV27" i="3" a="1"/>
  <c r="CV27" i="3" s="1"/>
  <c r="CM27" i="3"/>
  <c r="CI27" i="3" a="1"/>
  <c r="CI27" i="3" s="1"/>
  <c r="CK27" i="3" s="1"/>
  <c r="CD27" i="3" a="1"/>
  <c r="CD27" i="3" s="1"/>
  <c r="CE27" i="3" s="1"/>
  <c r="BU27" i="3"/>
  <c r="BQ27" i="3" a="1"/>
  <c r="BQ27" i="3" s="1"/>
  <c r="BS27" i="3" s="1"/>
  <c r="BL27" i="3" a="1"/>
  <c r="BL27" i="3" s="1"/>
  <c r="BM27" i="3" s="1"/>
  <c r="BC27" i="3"/>
  <c r="AY27" i="3" a="1"/>
  <c r="AY27" i="3" s="1"/>
  <c r="BA27" i="3" s="1"/>
  <c r="AT27" i="3" a="1"/>
  <c r="AT27" i="3" s="1"/>
  <c r="AM27" i="3" a="1"/>
  <c r="AM27" i="3" s="1"/>
  <c r="AO27" i="3" s="1"/>
  <c r="AH27" i="3" a="1"/>
  <c r="AH27" i="3" s="1"/>
  <c r="Y27" i="3"/>
  <c r="U27" i="3" a="1"/>
  <c r="U27" i="3" s="1"/>
  <c r="P27" i="3" a="1"/>
  <c r="P27" i="3" s="1"/>
  <c r="G27" i="3"/>
  <c r="DJ27" i="3"/>
  <c r="DL27" i="3" s="1"/>
  <c r="CR27" i="3"/>
  <c r="CT27" i="3" s="1"/>
  <c r="BZ27" i="3"/>
  <c r="BH27" i="3"/>
  <c r="BJ27" i="3" s="1"/>
  <c r="AQ27" i="3" a="1"/>
  <c r="AQ27" i="3" s="1"/>
  <c r="AD27" i="3"/>
  <c r="AF27" i="3" s="1"/>
  <c r="L27" i="3"/>
  <c r="N27" i="3" s="1"/>
  <c r="DH27" i="3" a="1"/>
  <c r="DH27" i="3" s="1"/>
  <c r="DI27" i="3" s="1"/>
  <c r="DB27" i="3" a="1"/>
  <c r="DB27" i="3" s="1"/>
  <c r="CU27" i="3" a="1"/>
  <c r="CU27" i="3" s="1"/>
  <c r="CW27" i="3" s="1"/>
  <c r="CO27" i="3" a="1"/>
  <c r="CO27" i="3" s="1"/>
  <c r="CQ27" i="3" s="1"/>
  <c r="CG27" i="3"/>
  <c r="CH27" i="3" s="1"/>
  <c r="CA27" i="3"/>
  <c r="BF27" i="3" a="1"/>
  <c r="BF27" i="3" s="1"/>
  <c r="BG27" i="3" s="1"/>
  <c r="AZ27" i="3" a="1"/>
  <c r="AZ27" i="3" s="1"/>
  <c r="AS27" i="3" a="1"/>
  <c r="AS27" i="3" s="1"/>
  <c r="AN27" i="3" a="1"/>
  <c r="AN27" i="3" s="1"/>
  <c r="AG27" i="3" a="1"/>
  <c r="AG27" i="3" s="1"/>
  <c r="AI27" i="3" s="1"/>
  <c r="AA27" i="3" a="1"/>
  <c r="AA27" i="3" s="1"/>
  <c r="AC27" i="3" s="1"/>
  <c r="S27" i="3"/>
  <c r="M27" i="3"/>
  <c r="DV27" i="3"/>
  <c r="DX27" i="3" s="1"/>
  <c r="DP27" i="3"/>
  <c r="DR27" i="3" s="1"/>
  <c r="BT27" i="3"/>
  <c r="BV27" i="3" s="1"/>
  <c r="BN27" i="3"/>
  <c r="BP27" i="3" s="1"/>
  <c r="F27" i="3"/>
  <c r="AP27" i="3" a="1"/>
  <c r="AP27" i="3" s="1"/>
  <c r="CL27" i="3"/>
  <c r="CN27" i="3" s="1"/>
  <c r="CX27" i="3"/>
  <c r="CZ27" i="3" s="1"/>
  <c r="AX28" i="3"/>
  <c r="AD30" i="3"/>
  <c r="AF30" i="3" s="1"/>
  <c r="AP30" i="3" a="1"/>
  <c r="AP30" i="3" s="1"/>
  <c r="AR30" i="3" s="1"/>
  <c r="BH30" i="3"/>
  <c r="BJ30" i="3" s="1"/>
  <c r="CL30" i="3"/>
  <c r="Q32" i="3"/>
  <c r="G33" i="3"/>
  <c r="EC33" i="3" s="1"/>
  <c r="AD33" i="3"/>
  <c r="AF33" i="3" s="1"/>
  <c r="BB33" i="3"/>
  <c r="BD33" i="3" s="1"/>
  <c r="CJ33" i="3" a="1"/>
  <c r="CJ33" i="3" s="1"/>
  <c r="CK33" i="3" s="1"/>
  <c r="CX33" i="3"/>
  <c r="DV33" i="3"/>
  <c r="DX33" i="3" s="1"/>
  <c r="AO34" i="3"/>
  <c r="CE35" i="3"/>
  <c r="O37" i="3" a="1"/>
  <c r="O37" i="3" s="1"/>
  <c r="BW37" i="3" a="1"/>
  <c r="BW37" i="3" s="1"/>
  <c r="BY37" i="3" s="1"/>
  <c r="CP37" i="3" a="1"/>
  <c r="CP37" i="3" s="1"/>
  <c r="DK37" i="3"/>
  <c r="DC39" i="3"/>
  <c r="I18" i="3" a="1"/>
  <c r="I18" i="3" s="1"/>
  <c r="M18" i="3"/>
  <c r="V18" i="3" a="1"/>
  <c r="V18" i="3" s="1"/>
  <c r="AA18" i="3" a="1"/>
  <c r="AA18" i="3" s="1"/>
  <c r="AC18" i="3" s="1"/>
  <c r="AE18" i="3"/>
  <c r="AN18" i="3" a="1"/>
  <c r="AN18" i="3" s="1"/>
  <c r="AO18" i="3" s="1"/>
  <c r="AZ18" i="3" a="1"/>
  <c r="AZ18" i="3" s="1"/>
  <c r="BA18" i="3" s="1"/>
  <c r="BE18" i="3" a="1"/>
  <c r="BE18" i="3" s="1"/>
  <c r="BG18" i="3" s="1"/>
  <c r="BI18" i="3"/>
  <c r="BR18" i="3" a="1"/>
  <c r="BR18" i="3" s="1"/>
  <c r="BS18" i="3" s="1"/>
  <c r="BW18" i="3" a="1"/>
  <c r="BW18" i="3" s="1"/>
  <c r="BY18" i="3" s="1"/>
  <c r="CA18" i="3"/>
  <c r="CJ18" i="3" a="1"/>
  <c r="CJ18" i="3" s="1"/>
  <c r="CK18" i="3" s="1"/>
  <c r="CO18" i="3" a="1"/>
  <c r="CO18" i="3" s="1"/>
  <c r="CQ18" i="3" s="1"/>
  <c r="CS18" i="3"/>
  <c r="DB18" i="3" a="1"/>
  <c r="DB18" i="3" s="1"/>
  <c r="DC18" i="3" s="1"/>
  <c r="DG18" i="3" a="1"/>
  <c r="DG18" i="3" s="1"/>
  <c r="DI18" i="3" s="1"/>
  <c r="DK18" i="3"/>
  <c r="DL18" i="3" s="1"/>
  <c r="DT18" i="3" a="1"/>
  <c r="DT18" i="3" s="1"/>
  <c r="DU18" i="3" s="1"/>
  <c r="DY18" i="3" a="1"/>
  <c r="DY18" i="3" s="1"/>
  <c r="EA18" i="3" s="1"/>
  <c r="DV22" i="3"/>
  <c r="DX22" i="3" s="1"/>
  <c r="DD22" i="3"/>
  <c r="DF22" i="3" s="1"/>
  <c r="CL22" i="3"/>
  <c r="CN22" i="3" s="1"/>
  <c r="BT22" i="3"/>
  <c r="BB22" i="3"/>
  <c r="BD22" i="3" s="1"/>
  <c r="AP22" i="3" a="1"/>
  <c r="AP22" i="3" s="1"/>
  <c r="AR22" i="3" s="1"/>
  <c r="X22" i="3"/>
  <c r="F22" i="3"/>
  <c r="O22" i="3" a="1"/>
  <c r="O22" i="3" s="1"/>
  <c r="Q22" i="3" s="1"/>
  <c r="U22" i="3" a="1"/>
  <c r="U22" i="3" s="1"/>
  <c r="W22" i="3" s="1"/>
  <c r="AE22" i="3"/>
  <c r="AJ22" i="3"/>
  <c r="AL22" i="3" s="1"/>
  <c r="AT22" i="3" a="1"/>
  <c r="AT22" i="3" s="1"/>
  <c r="BE22" i="3" a="1"/>
  <c r="BE22" i="3" s="1"/>
  <c r="BG22" i="3" s="1"/>
  <c r="BO22" i="3"/>
  <c r="BU22" i="3"/>
  <c r="BZ22" i="3"/>
  <c r="CB22" i="3" s="1"/>
  <c r="CP22" i="3" a="1"/>
  <c r="CP22" i="3" s="1"/>
  <c r="CQ22" i="3" s="1"/>
  <c r="CV22" i="3" a="1"/>
  <c r="CV22" i="3" s="1"/>
  <c r="DG22" i="3" a="1"/>
  <c r="DG22" i="3" s="1"/>
  <c r="DI22" i="3" s="1"/>
  <c r="DQ22" i="3"/>
  <c r="DW22" i="3"/>
  <c r="Q25" i="3"/>
  <c r="T28" i="3"/>
  <c r="CH28" i="3"/>
  <c r="DZ29" i="3" a="1"/>
  <c r="DZ29" i="3" s="1"/>
  <c r="DQ29" i="3"/>
  <c r="DR29" i="3" s="1"/>
  <c r="DM29" i="3" a="1"/>
  <c r="DM29" i="3" s="1"/>
  <c r="DO29" i="3" s="1"/>
  <c r="DH29" i="3" a="1"/>
  <c r="DH29" i="3" s="1"/>
  <c r="DI29" i="3" s="1"/>
  <c r="CY29" i="3"/>
  <c r="CU29" i="3" a="1"/>
  <c r="CU29" i="3" s="1"/>
  <c r="CW29" i="3" s="1"/>
  <c r="CP29" i="3" a="1"/>
  <c r="CP29" i="3" s="1"/>
  <c r="CG29" i="3"/>
  <c r="CH29" i="3" s="1"/>
  <c r="CC29" i="3" a="1"/>
  <c r="CC29" i="3" s="1"/>
  <c r="BX29" i="3" a="1"/>
  <c r="BX29" i="3" s="1"/>
  <c r="BO29" i="3"/>
  <c r="BP29" i="3" s="1"/>
  <c r="BK29" i="3" a="1"/>
  <c r="BK29" i="3" s="1"/>
  <c r="BM29" i="3" s="1"/>
  <c r="BF29" i="3" a="1"/>
  <c r="BF29" i="3" s="1"/>
  <c r="BG29" i="3" s="1"/>
  <c r="AW29" i="3"/>
  <c r="AS29" i="3" a="1"/>
  <c r="AS29" i="3" s="1"/>
  <c r="AU29" i="3" s="1"/>
  <c r="AK29" i="3"/>
  <c r="AG29" i="3" a="1"/>
  <c r="AG29" i="3" s="1"/>
  <c r="AI29" i="3" s="1"/>
  <c r="AB29" i="3" a="1"/>
  <c r="AB29" i="3" s="1"/>
  <c r="AC29" i="3" s="1"/>
  <c r="S29" i="3"/>
  <c r="O29" i="3" a="1"/>
  <c r="O29" i="3" s="1"/>
  <c r="J29" i="3" a="1"/>
  <c r="J29" i="3" s="1"/>
  <c r="DV29" i="3"/>
  <c r="DX29" i="3" s="1"/>
  <c r="DD29" i="3"/>
  <c r="DF29" i="3" s="1"/>
  <c r="CL29" i="3"/>
  <c r="CN29" i="3" s="1"/>
  <c r="BT29" i="3"/>
  <c r="BV29" i="3" s="1"/>
  <c r="BB29" i="3"/>
  <c r="BD29" i="3" s="1"/>
  <c r="AP29" i="3" a="1"/>
  <c r="AP29" i="3" s="1"/>
  <c r="X29" i="3"/>
  <c r="Z29" i="3" s="1"/>
  <c r="F29" i="3"/>
  <c r="AD29" i="3"/>
  <c r="AF29" i="3" s="1"/>
  <c r="AJ29" i="3"/>
  <c r="AL29" i="3" s="1"/>
  <c r="AQ29" i="3" a="1"/>
  <c r="AQ29" i="3" s="1"/>
  <c r="AV29" i="3"/>
  <c r="CR29" i="3"/>
  <c r="CT29" i="3" s="1"/>
  <c r="CX29" i="3"/>
  <c r="CZ29" i="3" s="1"/>
  <c r="CB31" i="3"/>
  <c r="DO31" i="3"/>
  <c r="H32" i="3"/>
  <c r="W32" i="3"/>
  <c r="CH32" i="3"/>
  <c r="DO32" i="3"/>
  <c r="DF34" i="3"/>
  <c r="EA34" i="3"/>
  <c r="EB35" i="3"/>
  <c r="H35" i="3"/>
  <c r="CB35" i="3"/>
  <c r="DL36" i="3"/>
  <c r="BM36" i="3"/>
  <c r="CK36" i="3"/>
  <c r="DR36" i="3"/>
  <c r="AC38" i="3"/>
  <c r="BP38" i="3"/>
  <c r="BY38" i="3"/>
  <c r="CQ38" i="3"/>
  <c r="CZ38" i="3"/>
  <c r="K40" i="3"/>
  <c r="CE41" i="3"/>
  <c r="BU42" i="3"/>
  <c r="CO42" i="3" a="1"/>
  <c r="CO42" i="3" s="1"/>
  <c r="CQ42" i="3" s="1"/>
  <c r="P44" i="3" a="1"/>
  <c r="P44" i="3" s="1"/>
  <c r="AQ44" i="3" a="1"/>
  <c r="AQ44" i="3" s="1"/>
  <c r="BU44" i="3"/>
  <c r="DH44" i="3" a="1"/>
  <c r="DH44" i="3" s="1"/>
  <c r="CA44" i="3"/>
  <c r="AO45" i="3"/>
  <c r="CB45" i="3"/>
  <c r="CW45" i="3"/>
  <c r="K46" i="3"/>
  <c r="AC43" i="3"/>
  <c r="DP44" i="3"/>
  <c r="CX44" i="3"/>
  <c r="CF44" i="3"/>
  <c r="CH44" i="3" s="1"/>
  <c r="BN44" i="3"/>
  <c r="AV44" i="3"/>
  <c r="AJ44" i="3"/>
  <c r="AL44" i="3" s="1"/>
  <c r="R44" i="3"/>
  <c r="DJ44" i="3"/>
  <c r="DE44" i="3"/>
  <c r="CU44" i="3" a="1"/>
  <c r="CU44" i="3" s="1"/>
  <c r="CW44" i="3" s="1"/>
  <c r="CO44" i="3" a="1"/>
  <c r="CO44" i="3" s="1"/>
  <c r="CQ44" i="3" s="1"/>
  <c r="CD44" i="3" a="1"/>
  <c r="CD44" i="3" s="1"/>
  <c r="BH44" i="3"/>
  <c r="BC44" i="3"/>
  <c r="AS44" i="3" a="1"/>
  <c r="AS44" i="3" s="1"/>
  <c r="AN44" i="3" a="1"/>
  <c r="AN44" i="3" s="1"/>
  <c r="X44" i="3"/>
  <c r="S44" i="3"/>
  <c r="M44" i="3"/>
  <c r="DY44" i="3" a="1"/>
  <c r="DY44" i="3" s="1"/>
  <c r="DS44" i="3" a="1"/>
  <c r="DS44" i="3" s="1"/>
  <c r="DM44" i="3" a="1"/>
  <c r="DM44" i="3" s="1"/>
  <c r="DO44" i="3" s="1"/>
  <c r="CY44" i="3"/>
  <c r="CR44" i="3"/>
  <c r="CL44" i="3"/>
  <c r="BR44" i="3" a="1"/>
  <c r="BR44" i="3" s="1"/>
  <c r="BL44" i="3" a="1"/>
  <c r="BL44" i="3" s="1"/>
  <c r="BF44" i="3" a="1"/>
  <c r="BF44" i="3" s="1"/>
  <c r="AA44" i="3" a="1"/>
  <c r="AA44" i="3" s="1"/>
  <c r="AC44" i="3" s="1"/>
  <c r="U44" i="3" a="1"/>
  <c r="U44" i="3" s="1"/>
  <c r="W44" i="3" s="1"/>
  <c r="O44" i="3" a="1"/>
  <c r="O44" i="3" s="1"/>
  <c r="G44" i="3"/>
  <c r="DZ44" i="3" a="1"/>
  <c r="DZ44" i="3" s="1"/>
  <c r="DG44" i="3" a="1"/>
  <c r="DG44" i="3" s="1"/>
  <c r="DI44" i="3" s="1"/>
  <c r="DA44" i="3" a="1"/>
  <c r="DA44" i="3" s="1"/>
  <c r="CS44" i="3"/>
  <c r="CM44" i="3"/>
  <c r="CG44" i="3"/>
  <c r="BZ44" i="3"/>
  <c r="BT44" i="3"/>
  <c r="BV44" i="3" s="1"/>
  <c r="AZ44" i="3" a="1"/>
  <c r="AZ44" i="3" s="1"/>
  <c r="AT44" i="3" a="1"/>
  <c r="AT44" i="3" s="1"/>
  <c r="AH44" i="3" a="1"/>
  <c r="AH44" i="3" s="1"/>
  <c r="AB44" i="3" a="1"/>
  <c r="AB44" i="3" s="1"/>
  <c r="I44" i="3" a="1"/>
  <c r="I44" i="3" s="1"/>
  <c r="DT44" i="3" a="1"/>
  <c r="DT44" i="3" s="1"/>
  <c r="BW44" i="3" a="1"/>
  <c r="BW44" i="3" s="1"/>
  <c r="BY44" i="3" s="1"/>
  <c r="BO44" i="3"/>
  <c r="J44" i="3" a="1"/>
  <c r="J44" i="3" s="1"/>
  <c r="CP44" i="3" a="1"/>
  <c r="CP44" i="3" s="1"/>
  <c r="DV44" i="3"/>
  <c r="DX44" i="3" s="1"/>
  <c r="DK44" i="3"/>
  <c r="DB44" i="3" a="1"/>
  <c r="DB44" i="3" s="1"/>
  <c r="CI44" i="3" a="1"/>
  <c r="CI44" i="3" s="1"/>
  <c r="CK44" i="3" s="1"/>
  <c r="BX44" i="3" a="1"/>
  <c r="BX44" i="3" s="1"/>
  <c r="BE44" i="3" a="1"/>
  <c r="BE44" i="3" s="1"/>
  <c r="AM44" i="3" a="1"/>
  <c r="AM44" i="3" s="1"/>
  <c r="AD44" i="3"/>
  <c r="AF44" i="3" s="1"/>
  <c r="DQ44" i="3"/>
  <c r="AY44" i="3" a="1"/>
  <c r="AY44" i="3" s="1"/>
  <c r="BA44" i="3" s="1"/>
  <c r="AK44" i="3"/>
  <c r="F44" i="3"/>
  <c r="CV44" i="3" a="1"/>
  <c r="CV44" i="3" s="1"/>
  <c r="CC44" i="3" a="1"/>
  <c r="CC44" i="3" s="1"/>
  <c r="BK44" i="3" a="1"/>
  <c r="BK44" i="3" s="1"/>
  <c r="BM44" i="3" s="1"/>
  <c r="AW44" i="3"/>
  <c r="V44" i="3" a="1"/>
  <c r="V44" i="3" s="1"/>
  <c r="DW44" i="3"/>
  <c r="CJ44" i="3" a="1"/>
  <c r="CJ44" i="3" s="1"/>
  <c r="BQ44" i="3" a="1"/>
  <c r="BQ44" i="3" s="1"/>
  <c r="BS44" i="3" s="1"/>
  <c r="AP44" i="3" a="1"/>
  <c r="AP44" i="3" s="1"/>
  <c r="AR44" i="3" s="1"/>
  <c r="Y44" i="3"/>
  <c r="BB44" i="3"/>
  <c r="BP40" i="3"/>
  <c r="AC42" i="3"/>
  <c r="AE44" i="3"/>
  <c r="CT35" i="3"/>
  <c r="DV42" i="3"/>
  <c r="DX42" i="3" s="1"/>
  <c r="DD42" i="3"/>
  <c r="DF42" i="3" s="1"/>
  <c r="CL42" i="3"/>
  <c r="CN42" i="3" s="1"/>
  <c r="BT42" i="3"/>
  <c r="BB42" i="3"/>
  <c r="AP42" i="3" a="1"/>
  <c r="AP42" i="3" s="1"/>
  <c r="AR42" i="3" s="1"/>
  <c r="DS42" i="3" a="1"/>
  <c r="DS42" i="3" s="1"/>
  <c r="DU42" i="3" s="1"/>
  <c r="DM42" i="3" a="1"/>
  <c r="DM42" i="3" s="1"/>
  <c r="DB42" i="3" a="1"/>
  <c r="DB42" i="3" s="1"/>
  <c r="CF42" i="3"/>
  <c r="CH42" i="3" s="1"/>
  <c r="CA42" i="3"/>
  <c r="BQ42" i="3" a="1"/>
  <c r="BQ42" i="3" s="1"/>
  <c r="BK42" i="3" a="1"/>
  <c r="BK42" i="3" s="1"/>
  <c r="AZ42" i="3" a="1"/>
  <c r="AZ42" i="3" s="1"/>
  <c r="AK42" i="3"/>
  <c r="AG42" i="3" a="1"/>
  <c r="AG42" i="3" s="1"/>
  <c r="AB42" i="3" a="1"/>
  <c r="AB42" i="3" s="1"/>
  <c r="S42" i="3"/>
  <c r="O42" i="3" a="1"/>
  <c r="O42" i="3" s="1"/>
  <c r="J42" i="3" a="1"/>
  <c r="J42" i="3" s="1"/>
  <c r="CY42" i="3"/>
  <c r="CS42" i="3"/>
  <c r="CM42" i="3"/>
  <c r="BF42" i="3" a="1"/>
  <c r="BF42" i="3" s="1"/>
  <c r="AS42" i="3" a="1"/>
  <c r="AS42" i="3" s="1"/>
  <c r="AN42" i="3" a="1"/>
  <c r="AN42" i="3" s="1"/>
  <c r="AH42" i="3" a="1"/>
  <c r="AH42" i="3" s="1"/>
  <c r="L42" i="3"/>
  <c r="G42" i="3"/>
  <c r="DZ42" i="3" a="1"/>
  <c r="DZ42" i="3" s="1"/>
  <c r="DT42" i="3" a="1"/>
  <c r="DT42" i="3" s="1"/>
  <c r="DN42" i="3" a="1"/>
  <c r="DN42" i="3" s="1"/>
  <c r="DG42" i="3" a="1"/>
  <c r="DG42" i="3" s="1"/>
  <c r="DI42" i="3" s="1"/>
  <c r="DA42" i="3" a="1"/>
  <c r="DA42" i="3" s="1"/>
  <c r="CG42" i="3"/>
  <c r="BZ42" i="3"/>
  <c r="CB42" i="3" s="1"/>
  <c r="AT42" i="3" a="1"/>
  <c r="AT42" i="3" s="1"/>
  <c r="X42" i="3"/>
  <c r="Z42" i="3" s="1"/>
  <c r="R42" i="3"/>
  <c r="T42" i="3" s="1"/>
  <c r="M42" i="3"/>
  <c r="DJ42" i="3"/>
  <c r="CP42" i="3" a="1"/>
  <c r="CP42" i="3" s="1"/>
  <c r="CI42" i="3" a="1"/>
  <c r="CI42" i="3" s="1"/>
  <c r="CK42" i="3" s="1"/>
  <c r="BN42" i="3"/>
  <c r="BP42" i="3" s="1"/>
  <c r="AM42" i="3" a="1"/>
  <c r="AM42" i="3" s="1"/>
  <c r="AD42" i="3"/>
  <c r="AF42" i="3" s="1"/>
  <c r="DQ42" i="3"/>
  <c r="DR42" i="3" s="1"/>
  <c r="CX42" i="3"/>
  <c r="BW42" i="3" a="1"/>
  <c r="BW42" i="3" s="1"/>
  <c r="BL42" i="3" a="1"/>
  <c r="BL42" i="3" s="1"/>
  <c r="BC42" i="3"/>
  <c r="AJ42" i="3"/>
  <c r="U42" i="3" a="1"/>
  <c r="U42" i="3" s="1"/>
  <c r="DK42" i="3"/>
  <c r="CR42" i="3"/>
  <c r="CT42" i="3" s="1"/>
  <c r="BX42" i="3" a="1"/>
  <c r="BX42" i="3" s="1"/>
  <c r="BO42" i="3"/>
  <c r="BE42" i="3" a="1"/>
  <c r="BE42" i="3" s="1"/>
  <c r="BG42" i="3" s="1"/>
  <c r="AV42" i="3"/>
  <c r="AE42" i="3"/>
  <c r="V42" i="3" a="1"/>
  <c r="V42" i="3" s="1"/>
  <c r="F42" i="3"/>
  <c r="P42" i="3" a="1"/>
  <c r="P42" i="3" s="1"/>
  <c r="AW42" i="3"/>
  <c r="CJ42" i="3" a="1"/>
  <c r="CJ42" i="3" s="1"/>
  <c r="DW42" i="3"/>
  <c r="AG44" i="3" a="1"/>
  <c r="AG44" i="3" s="1"/>
  <c r="AI44" i="3" s="1"/>
  <c r="BI44" i="3"/>
  <c r="I11" i="3" a="1"/>
  <c r="I11" i="3" s="1"/>
  <c r="M11" i="3"/>
  <c r="V11" i="3" a="1"/>
  <c r="V11" i="3" s="1"/>
  <c r="W11" i="3" s="1"/>
  <c r="AA11" i="3" a="1"/>
  <c r="AA11" i="3" s="1"/>
  <c r="AC11" i="3" s="1"/>
  <c r="AE11" i="3"/>
  <c r="AN11" i="3" a="1"/>
  <c r="AN11" i="3" s="1"/>
  <c r="AO11" i="3" s="1"/>
  <c r="AZ11" i="3" a="1"/>
  <c r="AZ11" i="3" s="1"/>
  <c r="BA11" i="3" s="1"/>
  <c r="BE11" i="3" a="1"/>
  <c r="BE11" i="3" s="1"/>
  <c r="BG11" i="3" s="1"/>
  <c r="BI11" i="3"/>
  <c r="BJ11" i="3" s="1"/>
  <c r="BR11" i="3" a="1"/>
  <c r="BR11" i="3" s="1"/>
  <c r="BS11" i="3" s="1"/>
  <c r="BW11" i="3" a="1"/>
  <c r="BW11" i="3" s="1"/>
  <c r="BY11" i="3" s="1"/>
  <c r="CA11" i="3"/>
  <c r="CB11" i="3" s="1"/>
  <c r="CJ11" i="3" a="1"/>
  <c r="CJ11" i="3" s="1"/>
  <c r="CK11" i="3" s="1"/>
  <c r="CO11" i="3" a="1"/>
  <c r="CO11" i="3" s="1"/>
  <c r="CQ11" i="3" s="1"/>
  <c r="CS11" i="3"/>
  <c r="CT11" i="3" s="1"/>
  <c r="DB11" i="3" a="1"/>
  <c r="DB11" i="3" s="1"/>
  <c r="DC11" i="3" s="1"/>
  <c r="DG11" i="3" a="1"/>
  <c r="DG11" i="3" s="1"/>
  <c r="DI11" i="3" s="1"/>
  <c r="DK11" i="3"/>
  <c r="DL11" i="3" s="1"/>
  <c r="DT11" i="3" a="1"/>
  <c r="DT11" i="3" s="1"/>
  <c r="DU11" i="3" s="1"/>
  <c r="I17" i="3" a="1"/>
  <c r="I17" i="3" s="1"/>
  <c r="M17" i="3"/>
  <c r="N17" i="3" s="1"/>
  <c r="V17" i="3" a="1"/>
  <c r="V17" i="3" s="1"/>
  <c r="W17" i="3" s="1"/>
  <c r="AA17" i="3" a="1"/>
  <c r="AA17" i="3" s="1"/>
  <c r="AC17" i="3" s="1"/>
  <c r="AE17" i="3"/>
  <c r="AF17" i="3" s="1"/>
  <c r="AN17" i="3" a="1"/>
  <c r="AN17" i="3" s="1"/>
  <c r="AO17" i="3" s="1"/>
  <c r="AZ17" i="3" a="1"/>
  <c r="AZ17" i="3" s="1"/>
  <c r="BA17" i="3" s="1"/>
  <c r="BE17" i="3" a="1"/>
  <c r="BE17" i="3" s="1"/>
  <c r="BG17" i="3" s="1"/>
  <c r="BI17" i="3"/>
  <c r="BJ17" i="3" s="1"/>
  <c r="BR17" i="3" a="1"/>
  <c r="BR17" i="3" s="1"/>
  <c r="BS17" i="3" s="1"/>
  <c r="BW17" i="3" a="1"/>
  <c r="BW17" i="3" s="1"/>
  <c r="BY17" i="3" s="1"/>
  <c r="CA17" i="3"/>
  <c r="CB17" i="3" s="1"/>
  <c r="CJ17" i="3" a="1"/>
  <c r="CJ17" i="3" s="1"/>
  <c r="CK17" i="3" s="1"/>
  <c r="CO17" i="3" a="1"/>
  <c r="CO17" i="3" s="1"/>
  <c r="CQ17" i="3" s="1"/>
  <c r="CS17" i="3"/>
  <c r="CT17" i="3" s="1"/>
  <c r="DB17" i="3" a="1"/>
  <c r="DB17" i="3" s="1"/>
  <c r="DC17" i="3" s="1"/>
  <c r="DG17" i="3" a="1"/>
  <c r="DG17" i="3" s="1"/>
  <c r="DI17" i="3" s="1"/>
  <c r="DK17" i="3"/>
  <c r="DL17" i="3" s="1"/>
  <c r="DT17" i="3" a="1"/>
  <c r="DT17" i="3" s="1"/>
  <c r="DU17" i="3" s="1"/>
  <c r="L18" i="3"/>
  <c r="AD18" i="3"/>
  <c r="AQ18" i="3" a="1"/>
  <c r="AQ18" i="3" s="1"/>
  <c r="AR18" i="3" s="1"/>
  <c r="BH18" i="3"/>
  <c r="BJ18" i="3" s="1"/>
  <c r="BZ18" i="3"/>
  <c r="CB18" i="3" s="1"/>
  <c r="CR18" i="3"/>
  <c r="DW21" i="3"/>
  <c r="DS21" i="3" a="1"/>
  <c r="DS21" i="3" s="1"/>
  <c r="DU21" i="3" s="1"/>
  <c r="DN21" i="3" a="1"/>
  <c r="DN21" i="3" s="1"/>
  <c r="DO21" i="3" s="1"/>
  <c r="DE21" i="3"/>
  <c r="DF21" i="3" s="1"/>
  <c r="DA21" i="3" a="1"/>
  <c r="DA21" i="3" s="1"/>
  <c r="DC21" i="3" s="1"/>
  <c r="CV21" i="3" a="1"/>
  <c r="CV21" i="3" s="1"/>
  <c r="CW21" i="3" s="1"/>
  <c r="CM21" i="3"/>
  <c r="CN21" i="3" s="1"/>
  <c r="CI21" i="3" a="1"/>
  <c r="CI21" i="3" s="1"/>
  <c r="CK21" i="3" s="1"/>
  <c r="CD21" i="3" a="1"/>
  <c r="CD21" i="3" s="1"/>
  <c r="CE21" i="3" s="1"/>
  <c r="BU21" i="3"/>
  <c r="BQ21" i="3" a="1"/>
  <c r="BQ21" i="3" s="1"/>
  <c r="BS21" i="3" s="1"/>
  <c r="BL21" i="3" a="1"/>
  <c r="BL21" i="3" s="1"/>
  <c r="BM21" i="3" s="1"/>
  <c r="BC21" i="3"/>
  <c r="BD21" i="3" s="1"/>
  <c r="AY21" i="3" a="1"/>
  <c r="AY21" i="3" s="1"/>
  <c r="BA21" i="3" s="1"/>
  <c r="AT21" i="3" a="1"/>
  <c r="AT21" i="3" s="1"/>
  <c r="AU21" i="3" s="1"/>
  <c r="AM21" i="3" a="1"/>
  <c r="AM21" i="3" s="1"/>
  <c r="AO21" i="3" s="1"/>
  <c r="AH21" i="3" a="1"/>
  <c r="AH21" i="3" s="1"/>
  <c r="AI21" i="3" s="1"/>
  <c r="Y21" i="3"/>
  <c r="Z21" i="3" s="1"/>
  <c r="U21" i="3" a="1"/>
  <c r="U21" i="3" s="1"/>
  <c r="W21" i="3" s="1"/>
  <c r="P21" i="3" a="1"/>
  <c r="P21" i="3" s="1"/>
  <c r="G21" i="3"/>
  <c r="O21" i="3" a="1"/>
  <c r="O21" i="3" s="1"/>
  <c r="AE21" i="3"/>
  <c r="AF21" i="3" s="1"/>
  <c r="AJ21" i="3"/>
  <c r="AL21" i="3" s="1"/>
  <c r="BE21" i="3" a="1"/>
  <c r="BE21" i="3" s="1"/>
  <c r="BG21" i="3" s="1"/>
  <c r="BO21" i="3"/>
  <c r="BT21" i="3"/>
  <c r="BZ21" i="3"/>
  <c r="CB21" i="3" s="1"/>
  <c r="CP21" i="3" a="1"/>
  <c r="CP21" i="3" s="1"/>
  <c r="CQ21" i="3" s="1"/>
  <c r="DG21" i="3" a="1"/>
  <c r="DG21" i="3" s="1"/>
  <c r="DI21" i="3" s="1"/>
  <c r="DQ21" i="3"/>
  <c r="DV21" i="3"/>
  <c r="DX21" i="3" s="1"/>
  <c r="I22" i="3" a="1"/>
  <c r="I22" i="3" s="1"/>
  <c r="S22" i="3"/>
  <c r="Y22" i="3"/>
  <c r="AD22" i="3"/>
  <c r="AF22" i="3" s="1"/>
  <c r="AS22" i="3" a="1"/>
  <c r="AS22" i="3" s="1"/>
  <c r="AY22" i="3" a="1"/>
  <c r="AY22" i="3" s="1"/>
  <c r="BA22" i="3" s="1"/>
  <c r="BI22" i="3"/>
  <c r="BJ22" i="3" s="1"/>
  <c r="BN22" i="3"/>
  <c r="BP22" i="3" s="1"/>
  <c r="CJ22" i="3" a="1"/>
  <c r="CJ22" i="3" s="1"/>
  <c r="CK22" i="3" s="1"/>
  <c r="CU22" i="3" a="1"/>
  <c r="CU22" i="3" s="1"/>
  <c r="DA22" i="3" a="1"/>
  <c r="DA22" i="3" s="1"/>
  <c r="DC22" i="3" s="1"/>
  <c r="DK22" i="3"/>
  <c r="DL22" i="3" s="1"/>
  <c r="DP22" i="3"/>
  <c r="DR22" i="3" s="1"/>
  <c r="DV28" i="3"/>
  <c r="DX28" i="3" s="1"/>
  <c r="DD28" i="3"/>
  <c r="DF28" i="3" s="1"/>
  <c r="CL28" i="3"/>
  <c r="BT28" i="3"/>
  <c r="BB28" i="3"/>
  <c r="AP28" i="3" a="1"/>
  <c r="AP28" i="3" s="1"/>
  <c r="AR28" i="3" s="1"/>
  <c r="X28" i="3"/>
  <c r="F28" i="3"/>
  <c r="DW28" i="3"/>
  <c r="DS28" i="3" a="1"/>
  <c r="DS28" i="3" s="1"/>
  <c r="DN28" i="3" a="1"/>
  <c r="DN28" i="3" s="1"/>
  <c r="DE28" i="3"/>
  <c r="DA28" i="3" a="1"/>
  <c r="DA28" i="3" s="1"/>
  <c r="DC28" i="3" s="1"/>
  <c r="CV28" i="3" a="1"/>
  <c r="CV28" i="3" s="1"/>
  <c r="CW28" i="3" s="1"/>
  <c r="CM28" i="3"/>
  <c r="CI28" i="3" a="1"/>
  <c r="CI28" i="3" s="1"/>
  <c r="CK28" i="3" s="1"/>
  <c r="CD28" i="3" a="1"/>
  <c r="CD28" i="3" s="1"/>
  <c r="BU28" i="3"/>
  <c r="BQ28" i="3" a="1"/>
  <c r="BQ28" i="3" s="1"/>
  <c r="BS28" i="3" s="1"/>
  <c r="BL28" i="3" a="1"/>
  <c r="BL28" i="3" s="1"/>
  <c r="BC28" i="3"/>
  <c r="AY28" i="3" a="1"/>
  <c r="AY28" i="3" s="1"/>
  <c r="BA28" i="3" s="1"/>
  <c r="AT28" i="3" a="1"/>
  <c r="AT28" i="3" s="1"/>
  <c r="AM28" i="3" a="1"/>
  <c r="AM28" i="3" s="1"/>
  <c r="AO28" i="3" s="1"/>
  <c r="AH28" i="3" a="1"/>
  <c r="AH28" i="3" s="1"/>
  <c r="AI28" i="3" s="1"/>
  <c r="Y28" i="3"/>
  <c r="U28" i="3" a="1"/>
  <c r="U28" i="3" s="1"/>
  <c r="P28" i="3" a="1"/>
  <c r="P28" i="3" s="1"/>
  <c r="G28" i="3"/>
  <c r="J28" i="3" a="1"/>
  <c r="J28" i="3" s="1"/>
  <c r="AE28" i="3"/>
  <c r="AF28" i="3" s="1"/>
  <c r="AK28" i="3"/>
  <c r="AL28" i="3" s="1"/>
  <c r="AW28" i="3"/>
  <c r="BE28" i="3" a="1"/>
  <c r="BE28" i="3" s="1"/>
  <c r="BG28" i="3" s="1"/>
  <c r="BK28" i="3" a="1"/>
  <c r="BK28" i="3" s="1"/>
  <c r="BR28" i="3" a="1"/>
  <c r="BR28" i="3" s="1"/>
  <c r="BX28" i="3" a="1"/>
  <c r="BX28" i="3" s="1"/>
  <c r="BY28" i="3" s="1"/>
  <c r="CS28" i="3"/>
  <c r="CT28" i="3" s="1"/>
  <c r="CY28" i="3"/>
  <c r="CZ28" i="3" s="1"/>
  <c r="DG28" i="3" a="1"/>
  <c r="DG28" i="3" s="1"/>
  <c r="DI28" i="3" s="1"/>
  <c r="DM28" i="3" a="1"/>
  <c r="DM28" i="3" s="1"/>
  <c r="DO28" i="3" s="1"/>
  <c r="DT28" i="3" a="1"/>
  <c r="DT28" i="3" s="1"/>
  <c r="DZ28" i="3" a="1"/>
  <c r="DZ28" i="3" s="1"/>
  <c r="EA28" i="3" s="1"/>
  <c r="I29" i="3" a="1"/>
  <c r="I29" i="3" s="1"/>
  <c r="P29" i="3" a="1"/>
  <c r="P29" i="3" s="1"/>
  <c r="V29" i="3" a="1"/>
  <c r="V29" i="3" s="1"/>
  <c r="W29" i="3" s="1"/>
  <c r="BC29" i="3"/>
  <c r="BI29" i="3"/>
  <c r="BJ29" i="3" s="1"/>
  <c r="BQ29" i="3" a="1"/>
  <c r="BQ29" i="3" s="1"/>
  <c r="BS29" i="3" s="1"/>
  <c r="BW29" i="3" a="1"/>
  <c r="BW29" i="3" s="1"/>
  <c r="BY29" i="3" s="1"/>
  <c r="CD29" i="3" a="1"/>
  <c r="CD29" i="3" s="1"/>
  <c r="CJ29" i="3" a="1"/>
  <c r="CJ29" i="3" s="1"/>
  <c r="DE29" i="3"/>
  <c r="DK29" i="3"/>
  <c r="DL29" i="3" s="1"/>
  <c r="DS29" i="3" a="1"/>
  <c r="DS29" i="3" s="1"/>
  <c r="DU29" i="3" s="1"/>
  <c r="DY29" i="3" a="1"/>
  <c r="DY29" i="3" s="1"/>
  <c r="EA29" i="3" s="1"/>
  <c r="AL32" i="3"/>
  <c r="DX36" i="3"/>
  <c r="AU40" i="3"/>
  <c r="DO41" i="3"/>
  <c r="EA41" i="3"/>
  <c r="AY42" i="3" a="1"/>
  <c r="AY42" i="3" s="1"/>
  <c r="BR42" i="3" a="1"/>
  <c r="BR42" i="3" s="1"/>
  <c r="DE42" i="3"/>
  <c r="DY42" i="3" a="1"/>
  <c r="DY42" i="3" s="1"/>
  <c r="EA42" i="3" s="1"/>
  <c r="DU43" i="3"/>
  <c r="L44" i="3"/>
  <c r="N44" i="3" s="1"/>
  <c r="DD44" i="3"/>
  <c r="DF44" i="3" s="1"/>
  <c r="DV32" i="3"/>
  <c r="DX32" i="3" s="1"/>
  <c r="DD32" i="3"/>
  <c r="DF32" i="3" s="1"/>
  <c r="CL32" i="3"/>
  <c r="CN32" i="3" s="1"/>
  <c r="BT32" i="3"/>
  <c r="BV32" i="3" s="1"/>
  <c r="BB32" i="3"/>
  <c r="AP32" i="3" a="1"/>
  <c r="AP32" i="3" s="1"/>
  <c r="AR32" i="3" s="1"/>
  <c r="X32" i="3"/>
  <c r="Z32" i="3" s="1"/>
  <c r="I32" i="3" a="1"/>
  <c r="I32" i="3" s="1"/>
  <c r="M32" i="3"/>
  <c r="R32" i="3"/>
  <c r="T32" i="3" s="1"/>
  <c r="AN32" i="3" a="1"/>
  <c r="AN32" i="3" s="1"/>
  <c r="AO32" i="3" s="1"/>
  <c r="AW32" i="3"/>
  <c r="BC32" i="3"/>
  <c r="BH32" i="3"/>
  <c r="BJ32" i="3" s="1"/>
  <c r="BX32" i="3" a="1"/>
  <c r="BX32" i="3" s="1"/>
  <c r="BY32" i="3" s="1"/>
  <c r="CD32" i="3" a="1"/>
  <c r="CD32" i="3" s="1"/>
  <c r="CO32" i="3" a="1"/>
  <c r="CO32" i="3" s="1"/>
  <c r="CQ32" i="3" s="1"/>
  <c r="CY32" i="3"/>
  <c r="DE32" i="3"/>
  <c r="DJ32" i="3"/>
  <c r="DL32" i="3" s="1"/>
  <c r="DZ32" i="3" a="1"/>
  <c r="DZ32" i="3" s="1"/>
  <c r="EA32" i="3" s="1"/>
  <c r="CB34" i="3"/>
  <c r="BM35" i="3"/>
  <c r="T38" i="3"/>
  <c r="CH38" i="3"/>
  <c r="DJ39" i="3"/>
  <c r="DL39" i="3" s="1"/>
  <c r="CR39" i="3"/>
  <c r="BZ39" i="3"/>
  <c r="CB39" i="3" s="1"/>
  <c r="BH39" i="3"/>
  <c r="BJ39" i="3" s="1"/>
  <c r="DY39" i="3" a="1"/>
  <c r="DY39" i="3" s="1"/>
  <c r="EA39" i="3" s="1"/>
  <c r="DS39" i="3" a="1"/>
  <c r="DS39" i="3" s="1"/>
  <c r="DU39" i="3" s="1"/>
  <c r="DH39" i="3" a="1"/>
  <c r="DH39" i="3" s="1"/>
  <c r="CL39" i="3"/>
  <c r="CG39" i="3"/>
  <c r="CH39" i="3" s="1"/>
  <c r="BW39" i="3" a="1"/>
  <c r="BW39" i="3" s="1"/>
  <c r="BY39" i="3" s="1"/>
  <c r="BQ39" i="3" a="1"/>
  <c r="BQ39" i="3" s="1"/>
  <c r="BS39" i="3" s="1"/>
  <c r="BF39" i="3" a="1"/>
  <c r="BF39" i="3" s="1"/>
  <c r="BG39" i="3" s="1"/>
  <c r="AW39" i="3"/>
  <c r="AS39" i="3" a="1"/>
  <c r="AS39" i="3" s="1"/>
  <c r="AU39" i="3" s="1"/>
  <c r="AK39" i="3"/>
  <c r="AG39" i="3" a="1"/>
  <c r="AG39" i="3" s="1"/>
  <c r="AI39" i="3" s="1"/>
  <c r="AB39" i="3" a="1"/>
  <c r="AB39" i="3" s="1"/>
  <c r="AC39" i="3" s="1"/>
  <c r="S39" i="3"/>
  <c r="EC39" i="3" s="1"/>
  <c r="O39" i="3" a="1"/>
  <c r="O39" i="3" s="1"/>
  <c r="Q39" i="3" s="1"/>
  <c r="J39" i="3" a="1"/>
  <c r="J39" i="3" s="1"/>
  <c r="DT39" i="3" a="1"/>
  <c r="DT39" i="3" s="1"/>
  <c r="DN39" i="3" a="1"/>
  <c r="DN39" i="3" s="1"/>
  <c r="DO39" i="3" s="1"/>
  <c r="CX39" i="3"/>
  <c r="CZ39" i="3" s="1"/>
  <c r="CS39" i="3"/>
  <c r="CM39" i="3"/>
  <c r="CC39" i="3" a="1"/>
  <c r="CC39" i="3" s="1"/>
  <c r="CE39" i="3" s="1"/>
  <c r="BR39" i="3" a="1"/>
  <c r="BR39" i="3" s="1"/>
  <c r="BL39" i="3" a="1"/>
  <c r="BL39" i="3" s="1"/>
  <c r="BB39" i="3"/>
  <c r="AP39" i="3" a="1"/>
  <c r="AP39" i="3" s="1"/>
  <c r="AR39" i="3" s="1"/>
  <c r="X39" i="3"/>
  <c r="Z39" i="3" s="1"/>
  <c r="F39" i="3"/>
  <c r="AD39" i="3"/>
  <c r="AF39" i="3" s="1"/>
  <c r="AJ39" i="3"/>
  <c r="AL39" i="3" s="1"/>
  <c r="AQ39" i="3" a="1"/>
  <c r="AQ39" i="3" s="1"/>
  <c r="AV39" i="3"/>
  <c r="BK39" i="3" a="1"/>
  <c r="BK39" i="3" s="1"/>
  <c r="BM39" i="3" s="1"/>
  <c r="CA39" i="3"/>
  <c r="CJ39" i="3" a="1"/>
  <c r="CJ39" i="3" s="1"/>
  <c r="DP39" i="3"/>
  <c r="DR39" i="3" s="1"/>
  <c r="DW39" i="3"/>
  <c r="EB40" i="3"/>
  <c r="DL40" i="3"/>
  <c r="EA40" i="3"/>
  <c r="AI41" i="3"/>
  <c r="AR43" i="3"/>
  <c r="BS43" i="3"/>
  <c r="CN43" i="3"/>
  <c r="DC46" i="3"/>
  <c r="AI46" i="3"/>
  <c r="DU45" i="3"/>
  <c r="CN47" i="3"/>
  <c r="DI47" i="3"/>
  <c r="I25" i="3" a="1"/>
  <c r="I25" i="3" s="1"/>
  <c r="M25" i="3"/>
  <c r="N25" i="3" s="1"/>
  <c r="V25" i="3" a="1"/>
  <c r="V25" i="3" s="1"/>
  <c r="AA25" i="3" a="1"/>
  <c r="AA25" i="3" s="1"/>
  <c r="AC25" i="3" s="1"/>
  <c r="AE25" i="3"/>
  <c r="AN25" i="3" a="1"/>
  <c r="AN25" i="3" s="1"/>
  <c r="AO25" i="3" s="1"/>
  <c r="AZ25" i="3" a="1"/>
  <c r="AZ25" i="3" s="1"/>
  <c r="BA25" i="3" s="1"/>
  <c r="BE25" i="3" a="1"/>
  <c r="BE25" i="3" s="1"/>
  <c r="BG25" i="3" s="1"/>
  <c r="BI25" i="3"/>
  <c r="BJ25" i="3" s="1"/>
  <c r="BR25" i="3" a="1"/>
  <c r="BR25" i="3" s="1"/>
  <c r="BS25" i="3" s="1"/>
  <c r="BW25" i="3" a="1"/>
  <c r="BW25" i="3" s="1"/>
  <c r="BY25" i="3" s="1"/>
  <c r="CA25" i="3"/>
  <c r="CB25" i="3" s="1"/>
  <c r="CJ25" i="3" a="1"/>
  <c r="CJ25" i="3" s="1"/>
  <c r="CK25" i="3" s="1"/>
  <c r="CO25" i="3" a="1"/>
  <c r="CO25" i="3" s="1"/>
  <c r="CQ25" i="3" s="1"/>
  <c r="CS25" i="3"/>
  <c r="CT25" i="3" s="1"/>
  <c r="DB25" i="3" a="1"/>
  <c r="DB25" i="3" s="1"/>
  <c r="DC25" i="3" s="1"/>
  <c r="DG25" i="3" a="1"/>
  <c r="DG25" i="3" s="1"/>
  <c r="DI25" i="3" s="1"/>
  <c r="DK25" i="3"/>
  <c r="DL25" i="3" s="1"/>
  <c r="DT25" i="3" a="1"/>
  <c r="DT25" i="3" s="1"/>
  <c r="DU25" i="3" s="1"/>
  <c r="I31" i="3" a="1"/>
  <c r="I31" i="3" s="1"/>
  <c r="M31" i="3"/>
  <c r="V31" i="3" a="1"/>
  <c r="V31" i="3" s="1"/>
  <c r="AA31" i="3" a="1"/>
  <c r="AA31" i="3" s="1"/>
  <c r="AC31" i="3" s="1"/>
  <c r="AE31" i="3"/>
  <c r="AF31" i="3" s="1"/>
  <c r="AN31" i="3" a="1"/>
  <c r="AN31" i="3" s="1"/>
  <c r="AO31" i="3" s="1"/>
  <c r="AZ31" i="3" a="1"/>
  <c r="AZ31" i="3" s="1"/>
  <c r="BE31" i="3" a="1"/>
  <c r="BE31" i="3" s="1"/>
  <c r="BG31" i="3" s="1"/>
  <c r="BI31" i="3"/>
  <c r="BJ31" i="3" s="1"/>
  <c r="BR31" i="3" a="1"/>
  <c r="BR31" i="3" s="1"/>
  <c r="BS31" i="3" s="1"/>
  <c r="BW31" i="3" a="1"/>
  <c r="BW31" i="3" s="1"/>
  <c r="BY31" i="3" s="1"/>
  <c r="CA31" i="3"/>
  <c r="CJ31" i="3" a="1"/>
  <c r="CJ31" i="3" s="1"/>
  <c r="CK31" i="3" s="1"/>
  <c r="CO31" i="3" a="1"/>
  <c r="CO31" i="3" s="1"/>
  <c r="CQ31" i="3" s="1"/>
  <c r="CS31" i="3"/>
  <c r="CT31" i="3" s="1"/>
  <c r="DB31" i="3" a="1"/>
  <c r="DB31" i="3" s="1"/>
  <c r="DC31" i="3" s="1"/>
  <c r="DG31" i="3" a="1"/>
  <c r="DG31" i="3" s="1"/>
  <c r="DI31" i="3" s="1"/>
  <c r="DK31" i="3"/>
  <c r="DT31" i="3" a="1"/>
  <c r="DT31" i="3" s="1"/>
  <c r="DU31" i="3" s="1"/>
  <c r="L32" i="3"/>
  <c r="N32" i="3" s="1"/>
  <c r="AB32" i="3" a="1"/>
  <c r="AB32" i="3" s="1"/>
  <c r="AC32" i="3" s="1"/>
  <c r="AH32" i="3" a="1"/>
  <c r="AH32" i="3" s="1"/>
  <c r="AI32" i="3" s="1"/>
  <c r="AV32" i="3"/>
  <c r="AX32" i="3" s="1"/>
  <c r="BR32" i="3" a="1"/>
  <c r="BR32" i="3" s="1"/>
  <c r="BS32" i="3" s="1"/>
  <c r="CC32" i="3" a="1"/>
  <c r="CC32" i="3" s="1"/>
  <c r="CI32" i="3" a="1"/>
  <c r="CI32" i="3" s="1"/>
  <c r="CK32" i="3" s="1"/>
  <c r="CS32" i="3"/>
  <c r="CT32" i="3" s="1"/>
  <c r="CX32" i="3"/>
  <c r="CZ32" i="3" s="1"/>
  <c r="DT32" i="3" a="1"/>
  <c r="DT32" i="3" s="1"/>
  <c r="DU32" i="3" s="1"/>
  <c r="DP34" i="3"/>
  <c r="DR34" i="3" s="1"/>
  <c r="CX34" i="3"/>
  <c r="CZ34" i="3" s="1"/>
  <c r="CF34" i="3"/>
  <c r="CH34" i="3" s="1"/>
  <c r="BN34" i="3"/>
  <c r="BP34" i="3" s="1"/>
  <c r="AV34" i="3"/>
  <c r="AX34" i="3" s="1"/>
  <c r="AJ34" i="3"/>
  <c r="AL34" i="3" s="1"/>
  <c r="R34" i="3"/>
  <c r="I34" i="3" a="1"/>
  <c r="I34" i="3" s="1"/>
  <c r="O34" i="3" a="1"/>
  <c r="O34" i="3" s="1"/>
  <c r="Q34" i="3" s="1"/>
  <c r="Y34" i="3"/>
  <c r="EC34" i="3" s="1"/>
  <c r="AD34" i="3"/>
  <c r="AF34" i="3" s="1"/>
  <c r="AY34" i="3" a="1"/>
  <c r="AY34" i="3" s="1"/>
  <c r="BA34" i="3" s="1"/>
  <c r="BI34" i="3"/>
  <c r="BJ34" i="3" s="1"/>
  <c r="BO34" i="3"/>
  <c r="BT34" i="3"/>
  <c r="BV34" i="3" s="1"/>
  <c r="CJ34" i="3" a="1"/>
  <c r="CJ34" i="3" s="1"/>
  <c r="EF34" i="3" s="1"/>
  <c r="CP34" i="3" a="1"/>
  <c r="CP34" i="3" s="1"/>
  <c r="CQ34" i="3" s="1"/>
  <c r="DA34" i="3" a="1"/>
  <c r="DA34" i="3" s="1"/>
  <c r="DC34" i="3" s="1"/>
  <c r="DK34" i="3"/>
  <c r="DL34" i="3" s="1"/>
  <c r="DQ34" i="3"/>
  <c r="DV34" i="3"/>
  <c r="DX34" i="3" s="1"/>
  <c r="EC35" i="3"/>
  <c r="BD36" i="3"/>
  <c r="DF36" i="3"/>
  <c r="DV38" i="3"/>
  <c r="DX38" i="3" s="1"/>
  <c r="DD38" i="3"/>
  <c r="CL38" i="3"/>
  <c r="BT38" i="3"/>
  <c r="BB38" i="3"/>
  <c r="BD38" i="3" s="1"/>
  <c r="AP38" i="3" a="1"/>
  <c r="AP38" i="3" s="1"/>
  <c r="AR38" i="3" s="1"/>
  <c r="X38" i="3"/>
  <c r="Z38" i="3" s="1"/>
  <c r="F38" i="3"/>
  <c r="DW38" i="3"/>
  <c r="DS38" i="3" a="1"/>
  <c r="DS38" i="3" s="1"/>
  <c r="DN38" i="3" a="1"/>
  <c r="DN38" i="3" s="1"/>
  <c r="DE38" i="3"/>
  <c r="DA38" i="3" a="1"/>
  <c r="DA38" i="3" s="1"/>
  <c r="DC38" i="3" s="1"/>
  <c r="CV38" i="3" a="1"/>
  <c r="CV38" i="3" s="1"/>
  <c r="CM38" i="3"/>
  <c r="CI38" i="3" a="1"/>
  <c r="CI38" i="3" s="1"/>
  <c r="CK38" i="3" s="1"/>
  <c r="CD38" i="3" a="1"/>
  <c r="CD38" i="3" s="1"/>
  <c r="CE38" i="3" s="1"/>
  <c r="BU38" i="3"/>
  <c r="BQ38" i="3" a="1"/>
  <c r="BQ38" i="3" s="1"/>
  <c r="BL38" i="3" a="1"/>
  <c r="BL38" i="3" s="1"/>
  <c r="BC38" i="3"/>
  <c r="AY38" i="3" a="1"/>
  <c r="AY38" i="3" s="1"/>
  <c r="BA38" i="3" s="1"/>
  <c r="AT38" i="3" a="1"/>
  <c r="AT38" i="3" s="1"/>
  <c r="AU38" i="3" s="1"/>
  <c r="AM38" i="3" a="1"/>
  <c r="AM38" i="3" s="1"/>
  <c r="AO38" i="3" s="1"/>
  <c r="AH38" i="3" a="1"/>
  <c r="AH38" i="3" s="1"/>
  <c r="Y38" i="3"/>
  <c r="U38" i="3" a="1"/>
  <c r="U38" i="3" s="1"/>
  <c r="P38" i="3" a="1"/>
  <c r="P38" i="3" s="1"/>
  <c r="Q38" i="3" s="1"/>
  <c r="G38" i="3"/>
  <c r="J38" i="3" a="1"/>
  <c r="J38" i="3" s="1"/>
  <c r="AE38" i="3"/>
  <c r="AF38" i="3" s="1"/>
  <c r="AK38" i="3"/>
  <c r="AL38" i="3" s="1"/>
  <c r="AW38" i="3"/>
  <c r="AX38" i="3" s="1"/>
  <c r="BE38" i="3" a="1"/>
  <c r="BE38" i="3" s="1"/>
  <c r="BG38" i="3" s="1"/>
  <c r="BK38" i="3" a="1"/>
  <c r="BK38" i="3" s="1"/>
  <c r="BM38" i="3" s="1"/>
  <c r="BR38" i="3" a="1"/>
  <c r="BR38" i="3" s="1"/>
  <c r="BX38" i="3" a="1"/>
  <c r="BX38" i="3" s="1"/>
  <c r="CS38" i="3"/>
  <c r="CY38" i="3"/>
  <c r="DG38" i="3" a="1"/>
  <c r="DG38" i="3" s="1"/>
  <c r="DI38" i="3" s="1"/>
  <c r="DM38" i="3" a="1"/>
  <c r="DM38" i="3" s="1"/>
  <c r="DO38" i="3" s="1"/>
  <c r="DT38" i="3" a="1"/>
  <c r="DT38" i="3" s="1"/>
  <c r="DZ38" i="3" a="1"/>
  <c r="DZ38" i="3" s="1"/>
  <c r="EA38" i="3" s="1"/>
  <c r="I39" i="3" a="1"/>
  <c r="I39" i="3" s="1"/>
  <c r="P39" i="3" a="1"/>
  <c r="P39" i="3" s="1"/>
  <c r="V39" i="3" a="1"/>
  <c r="V39" i="3" s="1"/>
  <c r="W39" i="3" s="1"/>
  <c r="BC39" i="3"/>
  <c r="CI39" i="3" a="1"/>
  <c r="CI39" i="3" s="1"/>
  <c r="CK39" i="3" s="1"/>
  <c r="CP39" i="3" a="1"/>
  <c r="CP39" i="3" s="1"/>
  <c r="CQ39" i="3" s="1"/>
  <c r="CY39" i="3"/>
  <c r="DG39" i="3" a="1"/>
  <c r="DG39" i="3" s="1"/>
  <c r="DV39" i="3"/>
  <c r="DX39" i="3" s="1"/>
  <c r="AC40" i="3"/>
  <c r="CZ41" i="3"/>
  <c r="DC45" i="3"/>
  <c r="I36" i="3" a="1"/>
  <c r="I36" i="3" s="1"/>
  <c r="M36" i="3"/>
  <c r="EC36" i="3" s="1"/>
  <c r="V36" i="3" a="1"/>
  <c r="V36" i="3" s="1"/>
  <c r="AA36" i="3" a="1"/>
  <c r="AA36" i="3" s="1"/>
  <c r="AC36" i="3" s="1"/>
  <c r="AE36" i="3"/>
  <c r="AN36" i="3" a="1"/>
  <c r="AN36" i="3" s="1"/>
  <c r="AO36" i="3" s="1"/>
  <c r="AZ36" i="3" a="1"/>
  <c r="AZ36" i="3" s="1"/>
  <c r="BE36" i="3" a="1"/>
  <c r="BE36" i="3" s="1"/>
  <c r="BG36" i="3" s="1"/>
  <c r="BI36" i="3"/>
  <c r="BR36" i="3" a="1"/>
  <c r="BR36" i="3" s="1"/>
  <c r="BS36" i="3" s="1"/>
  <c r="BW36" i="3" a="1"/>
  <c r="BW36" i="3" s="1"/>
  <c r="BY36" i="3" s="1"/>
  <c r="CA36" i="3"/>
  <c r="CJ36" i="3" a="1"/>
  <c r="CJ36" i="3" s="1"/>
  <c r="CO36" i="3" a="1"/>
  <c r="CO36" i="3" s="1"/>
  <c r="CQ36" i="3" s="1"/>
  <c r="CS36" i="3"/>
  <c r="DB36" i="3" a="1"/>
  <c r="DB36" i="3" s="1"/>
  <c r="DC36" i="3" s="1"/>
  <c r="DG36" i="3" a="1"/>
  <c r="DG36" i="3" s="1"/>
  <c r="DI36" i="3" s="1"/>
  <c r="DK36" i="3"/>
  <c r="DT36" i="3" a="1"/>
  <c r="DT36" i="3" s="1"/>
  <c r="DU36" i="3" s="1"/>
  <c r="DY36" i="3" a="1"/>
  <c r="DY36" i="3" s="1"/>
  <c r="EA36" i="3" s="1"/>
  <c r="DV41" i="3"/>
  <c r="DX41" i="3" s="1"/>
  <c r="DD41" i="3"/>
  <c r="DF41" i="3" s="1"/>
  <c r="CL41" i="3"/>
  <c r="CN41" i="3" s="1"/>
  <c r="BT41" i="3"/>
  <c r="BB41" i="3"/>
  <c r="BD41" i="3" s="1"/>
  <c r="AP41" i="3" a="1"/>
  <c r="AP41" i="3" s="1"/>
  <c r="AR41" i="3" s="1"/>
  <c r="X41" i="3"/>
  <c r="Z41" i="3" s="1"/>
  <c r="F41" i="3"/>
  <c r="O41" i="3" a="1"/>
  <c r="O41" i="3" s="1"/>
  <c r="Q41" i="3" s="1"/>
  <c r="U41" i="3" a="1"/>
  <c r="U41" i="3" s="1"/>
  <c r="W41" i="3" s="1"/>
  <c r="AE41" i="3"/>
  <c r="AJ41" i="3"/>
  <c r="AL41" i="3" s="1"/>
  <c r="AT41" i="3" a="1"/>
  <c r="AT41" i="3" s="1"/>
  <c r="EF41" i="3" s="1"/>
  <c r="BE41" i="3" a="1"/>
  <c r="BE41" i="3" s="1"/>
  <c r="BG41" i="3" s="1"/>
  <c r="BO41" i="3"/>
  <c r="BU41" i="3"/>
  <c r="BZ41" i="3"/>
  <c r="CB41" i="3" s="1"/>
  <c r="CP41" i="3" a="1"/>
  <c r="CP41" i="3" s="1"/>
  <c r="CQ41" i="3" s="1"/>
  <c r="CV41" i="3" a="1"/>
  <c r="CV41" i="3" s="1"/>
  <c r="DG41" i="3" a="1"/>
  <c r="DG41" i="3" s="1"/>
  <c r="DI41" i="3" s="1"/>
  <c r="DQ41" i="3"/>
  <c r="DW41" i="3"/>
  <c r="CT43" i="3"/>
  <c r="DL43" i="3"/>
  <c r="N45" i="3"/>
  <c r="AF45" i="3"/>
  <c r="AC47" i="3"/>
  <c r="I35" i="3" a="1"/>
  <c r="I35" i="3" s="1"/>
  <c r="M35" i="3"/>
  <c r="N35" i="3" s="1"/>
  <c r="V35" i="3" a="1"/>
  <c r="V35" i="3" s="1"/>
  <c r="EF35" i="3" s="1"/>
  <c r="AA35" i="3" a="1"/>
  <c r="AA35" i="3" s="1"/>
  <c r="AC35" i="3" s="1"/>
  <c r="AE35" i="3"/>
  <c r="AF35" i="3" s="1"/>
  <c r="AN35" i="3" a="1"/>
  <c r="AN35" i="3" s="1"/>
  <c r="AO35" i="3" s="1"/>
  <c r="AZ35" i="3" a="1"/>
  <c r="AZ35" i="3" s="1"/>
  <c r="BA35" i="3" s="1"/>
  <c r="BE35" i="3" a="1"/>
  <c r="BE35" i="3" s="1"/>
  <c r="BG35" i="3" s="1"/>
  <c r="BI35" i="3"/>
  <c r="BR35" i="3" a="1"/>
  <c r="BR35" i="3" s="1"/>
  <c r="BS35" i="3" s="1"/>
  <c r="BW35" i="3" a="1"/>
  <c r="BW35" i="3" s="1"/>
  <c r="BY35" i="3" s="1"/>
  <c r="CA35" i="3"/>
  <c r="CJ35" i="3" a="1"/>
  <c r="CJ35" i="3" s="1"/>
  <c r="CK35" i="3" s="1"/>
  <c r="CO35" i="3" a="1"/>
  <c r="CO35" i="3" s="1"/>
  <c r="CQ35" i="3" s="1"/>
  <c r="CS35" i="3"/>
  <c r="DB35" i="3" a="1"/>
  <c r="DB35" i="3" s="1"/>
  <c r="DC35" i="3" s="1"/>
  <c r="DG35" i="3" a="1"/>
  <c r="DG35" i="3" s="1"/>
  <c r="DI35" i="3" s="1"/>
  <c r="DK35" i="3"/>
  <c r="DL35" i="3" s="1"/>
  <c r="DT35" i="3" a="1"/>
  <c r="DT35" i="3" s="1"/>
  <c r="DU35" i="3" s="1"/>
  <c r="L36" i="3"/>
  <c r="AD36" i="3"/>
  <c r="AQ36" i="3" a="1"/>
  <c r="AQ36" i="3" s="1"/>
  <c r="AR36" i="3" s="1"/>
  <c r="BH36" i="3"/>
  <c r="BZ36" i="3"/>
  <c r="CB36" i="3" s="1"/>
  <c r="CR36" i="3"/>
  <c r="CT36" i="3" s="1"/>
  <c r="DW40" i="3"/>
  <c r="DS40" i="3" a="1"/>
  <c r="DS40" i="3" s="1"/>
  <c r="DU40" i="3" s="1"/>
  <c r="DN40" i="3" a="1"/>
  <c r="DN40" i="3" s="1"/>
  <c r="DO40" i="3" s="1"/>
  <c r="DE40" i="3"/>
  <c r="DA40" i="3" a="1"/>
  <c r="DA40" i="3" s="1"/>
  <c r="DC40" i="3" s="1"/>
  <c r="CV40" i="3" a="1"/>
  <c r="CV40" i="3" s="1"/>
  <c r="CW40" i="3" s="1"/>
  <c r="CM40" i="3"/>
  <c r="CN40" i="3" s="1"/>
  <c r="CI40" i="3" a="1"/>
  <c r="CI40" i="3" s="1"/>
  <c r="CK40" i="3" s="1"/>
  <c r="CD40" i="3" a="1"/>
  <c r="CD40" i="3" s="1"/>
  <c r="CE40" i="3" s="1"/>
  <c r="BU40" i="3"/>
  <c r="BQ40" i="3" a="1"/>
  <c r="BQ40" i="3" s="1"/>
  <c r="BS40" i="3" s="1"/>
  <c r="BL40" i="3" a="1"/>
  <c r="BL40" i="3" s="1"/>
  <c r="BM40" i="3" s="1"/>
  <c r="BC40" i="3"/>
  <c r="BD40" i="3" s="1"/>
  <c r="AY40" i="3" a="1"/>
  <c r="AY40" i="3" s="1"/>
  <c r="BA40" i="3" s="1"/>
  <c r="AT40" i="3" a="1"/>
  <c r="AT40" i="3" s="1"/>
  <c r="AM40" i="3" a="1"/>
  <c r="AM40" i="3" s="1"/>
  <c r="AO40" i="3" s="1"/>
  <c r="AH40" i="3" a="1"/>
  <c r="AH40" i="3" s="1"/>
  <c r="AI40" i="3" s="1"/>
  <c r="Y40" i="3"/>
  <c r="Z40" i="3" s="1"/>
  <c r="U40" i="3" a="1"/>
  <c r="U40" i="3" s="1"/>
  <c r="W40" i="3" s="1"/>
  <c r="P40" i="3" a="1"/>
  <c r="P40" i="3" s="1"/>
  <c r="EF40" i="3" s="1"/>
  <c r="G40" i="3"/>
  <c r="O40" i="3" a="1"/>
  <c r="O40" i="3" s="1"/>
  <c r="AE40" i="3"/>
  <c r="AF40" i="3" s="1"/>
  <c r="AJ40" i="3"/>
  <c r="AL40" i="3" s="1"/>
  <c r="BE40" i="3" a="1"/>
  <c r="BE40" i="3" s="1"/>
  <c r="BG40" i="3" s="1"/>
  <c r="BO40" i="3"/>
  <c r="BT40" i="3"/>
  <c r="BV40" i="3" s="1"/>
  <c r="BZ40" i="3"/>
  <c r="CB40" i="3" s="1"/>
  <c r="CP40" i="3" a="1"/>
  <c r="CP40" i="3" s="1"/>
  <c r="CQ40" i="3" s="1"/>
  <c r="DG40" i="3" a="1"/>
  <c r="DG40" i="3" s="1"/>
  <c r="DI40" i="3" s="1"/>
  <c r="DQ40" i="3"/>
  <c r="DR40" i="3" s="1"/>
  <c r="DV40" i="3"/>
  <c r="DX40" i="3" s="1"/>
  <c r="I41" i="3" a="1"/>
  <c r="I41" i="3" s="1"/>
  <c r="S41" i="3"/>
  <c r="Y41" i="3"/>
  <c r="AD41" i="3"/>
  <c r="AF41" i="3" s="1"/>
  <c r="AS41" i="3" a="1"/>
  <c r="AS41" i="3" s="1"/>
  <c r="AY41" i="3" a="1"/>
  <c r="AY41" i="3" s="1"/>
  <c r="BA41" i="3" s="1"/>
  <c r="BI41" i="3"/>
  <c r="BJ41" i="3" s="1"/>
  <c r="BN41" i="3"/>
  <c r="CJ41" i="3" a="1"/>
  <c r="CJ41" i="3" s="1"/>
  <c r="CK41" i="3" s="1"/>
  <c r="CU41" i="3" a="1"/>
  <c r="CU41" i="3" s="1"/>
  <c r="CW41" i="3" s="1"/>
  <c r="DA41" i="3" a="1"/>
  <c r="DA41" i="3" s="1"/>
  <c r="DC41" i="3" s="1"/>
  <c r="DK41" i="3"/>
  <c r="DL41" i="3" s="1"/>
  <c r="DP41" i="3"/>
  <c r="DZ43" i="3" a="1"/>
  <c r="DZ43" i="3" s="1"/>
  <c r="EA43" i="3" s="1"/>
  <c r="DQ43" i="3"/>
  <c r="DR43" i="3" s="1"/>
  <c r="DM43" i="3" a="1"/>
  <c r="DM43" i="3" s="1"/>
  <c r="DO43" i="3" s="1"/>
  <c r="DH43" i="3" a="1"/>
  <c r="DH43" i="3" s="1"/>
  <c r="CY43" i="3"/>
  <c r="CZ43" i="3" s="1"/>
  <c r="CU43" i="3" a="1"/>
  <c r="CU43" i="3" s="1"/>
  <c r="CP43" i="3" a="1"/>
  <c r="CP43" i="3" s="1"/>
  <c r="CG43" i="3"/>
  <c r="CH43" i="3" s="1"/>
  <c r="CC43" i="3" a="1"/>
  <c r="CC43" i="3" s="1"/>
  <c r="CE43" i="3" s="1"/>
  <c r="BX43" i="3" a="1"/>
  <c r="BX43" i="3" s="1"/>
  <c r="BY43" i="3" s="1"/>
  <c r="BO43" i="3"/>
  <c r="BK43" i="3" a="1"/>
  <c r="BK43" i="3" s="1"/>
  <c r="BM43" i="3" s="1"/>
  <c r="BF43" i="3" a="1"/>
  <c r="BF43" i="3" s="1"/>
  <c r="BG43" i="3" s="1"/>
  <c r="AW43" i="3"/>
  <c r="AX43" i="3" s="1"/>
  <c r="AS43" i="3" a="1"/>
  <c r="AS43" i="3" s="1"/>
  <c r="AU43" i="3" s="1"/>
  <c r="AK43" i="3"/>
  <c r="AL43" i="3" s="1"/>
  <c r="AG43" i="3" a="1"/>
  <c r="AG43" i="3" s="1"/>
  <c r="AI43" i="3" s="1"/>
  <c r="AB43" i="3" a="1"/>
  <c r="AB43" i="3" s="1"/>
  <c r="S43" i="3"/>
  <c r="T43" i="3" s="1"/>
  <c r="O43" i="3" a="1"/>
  <c r="O43" i="3" s="1"/>
  <c r="Q43" i="3" s="1"/>
  <c r="J43" i="3" a="1"/>
  <c r="J43" i="3" s="1"/>
  <c r="DW43" i="3"/>
  <c r="DX43" i="3" s="1"/>
  <c r="DG43" i="3" a="1"/>
  <c r="DG43" i="3" s="1"/>
  <c r="CV43" i="3" a="1"/>
  <c r="CV43" i="3" s="1"/>
  <c r="BZ43" i="3"/>
  <c r="CB43" i="3" s="1"/>
  <c r="BU43" i="3"/>
  <c r="BV43" i="3" s="1"/>
  <c r="I43" i="3" a="1"/>
  <c r="I43" i="3" s="1"/>
  <c r="Y43" i="3"/>
  <c r="Z43" i="3" s="1"/>
  <c r="AD43" i="3"/>
  <c r="AF43" i="3" s="1"/>
  <c r="AY43" i="3" a="1"/>
  <c r="AY43" i="3" s="1"/>
  <c r="BA43" i="3" s="1"/>
  <c r="BI43" i="3"/>
  <c r="BJ43" i="3" s="1"/>
  <c r="BN43" i="3"/>
  <c r="BP43" i="3" s="1"/>
  <c r="CI43" i="3" a="1"/>
  <c r="CI43" i="3" s="1"/>
  <c r="CK43" i="3" s="1"/>
  <c r="CO43" i="3" a="1"/>
  <c r="CO43" i="3" s="1"/>
  <c r="DB43" i="3" a="1"/>
  <c r="DB43" i="3" s="1"/>
  <c r="CH47" i="3"/>
  <c r="DC43" i="3"/>
  <c r="DO45" i="3"/>
  <c r="DX46" i="3"/>
  <c r="DJ46" i="3"/>
  <c r="DL46" i="3" s="1"/>
  <c r="CR46" i="3"/>
  <c r="CT46" i="3" s="1"/>
  <c r="BZ46" i="3"/>
  <c r="CB46" i="3" s="1"/>
  <c r="BH46" i="3"/>
  <c r="BJ46" i="3" s="1"/>
  <c r="AQ46" i="3" a="1"/>
  <c r="AQ46" i="3" s="1"/>
  <c r="AD46" i="3"/>
  <c r="AF46" i="3" s="1"/>
  <c r="L46" i="3"/>
  <c r="DY46" i="3" a="1"/>
  <c r="DY46" i="3" s="1"/>
  <c r="DZ46" i="3" a="1"/>
  <c r="DZ46" i="3" s="1"/>
  <c r="DT46" i="3" a="1"/>
  <c r="DT46" i="3" s="1"/>
  <c r="DN46" i="3" a="1"/>
  <c r="DN46" i="3" s="1"/>
  <c r="DO46" i="3" s="1"/>
  <c r="CX46" i="3"/>
  <c r="CS46" i="3"/>
  <c r="CM46" i="3"/>
  <c r="CC46" i="3" a="1"/>
  <c r="CC46" i="3" s="1"/>
  <c r="CE46" i="3" s="1"/>
  <c r="BR46" i="3" a="1"/>
  <c r="BR46" i="3" s="1"/>
  <c r="BS46" i="3" s="1"/>
  <c r="BL46" i="3" a="1"/>
  <c r="BL46" i="3" s="1"/>
  <c r="BM46" i="3" s="1"/>
  <c r="AV46" i="3"/>
  <c r="AM46" i="3" a="1"/>
  <c r="AM46" i="3" s="1"/>
  <c r="AB46" i="3" a="1"/>
  <c r="AB46" i="3" s="1"/>
  <c r="AC46" i="3" s="1"/>
  <c r="F46" i="3"/>
  <c r="DD46" i="3"/>
  <c r="DF46" i="3" s="1"/>
  <c r="CY46" i="3"/>
  <c r="CO46" i="3" a="1"/>
  <c r="CO46" i="3" s="1"/>
  <c r="CQ46" i="3" s="1"/>
  <c r="CI46" i="3" a="1"/>
  <c r="CI46" i="3" s="1"/>
  <c r="CK46" i="3" s="1"/>
  <c r="BX46" i="3" a="1"/>
  <c r="BX46" i="3" s="1"/>
  <c r="BB46" i="3"/>
  <c r="BD46" i="3" s="1"/>
  <c r="AW46" i="3"/>
  <c r="AN46" i="3" a="1"/>
  <c r="AN46" i="3" s="1"/>
  <c r="EF46" i="3" s="1"/>
  <c r="AH46" i="3" a="1"/>
  <c r="AH46" i="3" s="1"/>
  <c r="R46" i="3"/>
  <c r="T46" i="3" s="1"/>
  <c r="M46" i="3"/>
  <c r="G46" i="3"/>
  <c r="AJ46" i="3"/>
  <c r="AL46" i="3" s="1"/>
  <c r="AY46" i="3" a="1"/>
  <c r="AY46" i="3" s="1"/>
  <c r="BA46" i="3" s="1"/>
  <c r="BF46" i="3" a="1"/>
  <c r="BF46" i="3" s="1"/>
  <c r="BG46" i="3" s="1"/>
  <c r="BO46" i="3"/>
  <c r="BP46" i="3" s="1"/>
  <c r="BW46" i="3" a="1"/>
  <c r="BW46" i="3" s="1"/>
  <c r="BY46" i="3" s="1"/>
  <c r="CL46" i="3"/>
  <c r="CN46" i="3" s="1"/>
  <c r="DS46" i="3" a="1"/>
  <c r="DS46" i="3" s="1"/>
  <c r="DU46" i="3" s="1"/>
  <c r="X47" i="3"/>
  <c r="Z47" i="3" s="1"/>
  <c r="AJ47" i="3"/>
  <c r="AL47" i="3" s="1"/>
  <c r="BB47" i="3"/>
  <c r="BD47" i="3" s="1"/>
  <c r="DL45" i="3"/>
  <c r="CU46" i="3" a="1"/>
  <c r="CU46" i="3" s="1"/>
  <c r="CW46" i="3" s="1"/>
  <c r="DB46" i="3" a="1"/>
  <c r="DB46" i="3" s="1"/>
  <c r="DK46" i="3"/>
  <c r="DW47" i="3"/>
  <c r="DS47" i="3" a="1"/>
  <c r="DS47" i="3" s="1"/>
  <c r="DU47" i="3" s="1"/>
  <c r="DN47" i="3" a="1"/>
  <c r="DN47" i="3" s="1"/>
  <c r="DO47" i="3" s="1"/>
  <c r="DE47" i="3"/>
  <c r="DF47" i="3" s="1"/>
  <c r="DA47" i="3" a="1"/>
  <c r="DA47" i="3" s="1"/>
  <c r="DC47" i="3" s="1"/>
  <c r="CV47" i="3" a="1"/>
  <c r="CV47" i="3" s="1"/>
  <c r="CW47" i="3" s="1"/>
  <c r="CM47" i="3"/>
  <c r="CI47" i="3" a="1"/>
  <c r="CI47" i="3" s="1"/>
  <c r="CD47" i="3" a="1"/>
  <c r="CD47" i="3" s="1"/>
  <c r="BU47" i="3"/>
  <c r="BQ47" i="3" a="1"/>
  <c r="BQ47" i="3" s="1"/>
  <c r="BS47" i="3" s="1"/>
  <c r="BL47" i="3" a="1"/>
  <c r="BL47" i="3" s="1"/>
  <c r="BC47" i="3"/>
  <c r="AY47" i="3" a="1"/>
  <c r="AY47" i="3" s="1"/>
  <c r="BA47" i="3" s="1"/>
  <c r="AT47" i="3" a="1"/>
  <c r="AT47" i="3" s="1"/>
  <c r="AU47" i="3" s="1"/>
  <c r="AM47" i="3" a="1"/>
  <c r="AM47" i="3" s="1"/>
  <c r="AO47" i="3" s="1"/>
  <c r="AH47" i="3" a="1"/>
  <c r="AH47" i="3" s="1"/>
  <c r="Y47" i="3"/>
  <c r="U47" i="3" a="1"/>
  <c r="U47" i="3" s="1"/>
  <c r="P47" i="3" a="1"/>
  <c r="P47" i="3" s="1"/>
  <c r="EF47" i="3" s="1"/>
  <c r="G47" i="3"/>
  <c r="DJ47" i="3"/>
  <c r="DL47" i="3" s="1"/>
  <c r="CR47" i="3"/>
  <c r="CT47" i="3" s="1"/>
  <c r="BZ47" i="3"/>
  <c r="CB47" i="3" s="1"/>
  <c r="BH47" i="3"/>
  <c r="BJ47" i="3" s="1"/>
  <c r="AQ47" i="3" a="1"/>
  <c r="AQ47" i="3" s="1"/>
  <c r="AD47" i="3"/>
  <c r="AF47" i="3" s="1"/>
  <c r="L47" i="3"/>
  <c r="DV47" i="3"/>
  <c r="DX47" i="3" s="1"/>
  <c r="DP47" i="3"/>
  <c r="BT47" i="3"/>
  <c r="BN47" i="3"/>
  <c r="F47" i="3"/>
  <c r="DY47" i="3" a="1"/>
  <c r="DY47" i="3" s="1"/>
  <c r="EA47" i="3" s="1"/>
  <c r="DQ47" i="3"/>
  <c r="DK47" i="3"/>
  <c r="CP47" i="3" a="1"/>
  <c r="CP47" i="3" s="1"/>
  <c r="CJ47" i="3" a="1"/>
  <c r="CJ47" i="3" s="1"/>
  <c r="CC47" i="3" a="1"/>
  <c r="CC47" i="3" s="1"/>
  <c r="CE47" i="3" s="1"/>
  <c r="BW47" i="3" a="1"/>
  <c r="BW47" i="3" s="1"/>
  <c r="BY47" i="3" s="1"/>
  <c r="BO47" i="3"/>
  <c r="BI47" i="3"/>
  <c r="AB47" i="3" a="1"/>
  <c r="AB47" i="3" s="1"/>
  <c r="V47" i="3" a="1"/>
  <c r="V47" i="3" s="1"/>
  <c r="O47" i="3" a="1"/>
  <c r="O47" i="3" s="1"/>
  <c r="Q47" i="3" s="1"/>
  <c r="I47" i="3" a="1"/>
  <c r="I47" i="3" s="1"/>
  <c r="M47" i="3"/>
  <c r="AG47" i="3" a="1"/>
  <c r="AG47" i="3" s="1"/>
  <c r="AZ47" i="3" a="1"/>
  <c r="AZ47" i="3" s="1"/>
  <c r="BK47" i="3" a="1"/>
  <c r="BK47" i="3" s="1"/>
  <c r="BM47" i="3" s="1"/>
  <c r="CO47" i="3" a="1"/>
  <c r="CO47" i="3" s="1"/>
  <c r="CQ47" i="3" s="1"/>
  <c r="CY47" i="3"/>
  <c r="CZ47" i="3" s="1"/>
  <c r="DH47" i="3" a="1"/>
  <c r="DH47" i="3" s="1"/>
  <c r="DT47" i="3" a="1"/>
  <c r="DT47" i="3" s="1"/>
  <c r="AJ45" i="3"/>
  <c r="AL45" i="3" s="1"/>
  <c r="AV45" i="3"/>
  <c r="AX45" i="3" s="1"/>
  <c r="BN45" i="3"/>
  <c r="BP45" i="3" s="1"/>
  <c r="CF45" i="3"/>
  <c r="CH45" i="3" s="1"/>
  <c r="CX45" i="3"/>
  <c r="CZ45" i="3" s="1"/>
  <c r="DQ45" i="3"/>
  <c r="DY45" i="3" a="1"/>
  <c r="DY45" i="3" s="1"/>
  <c r="EA45" i="3" s="1"/>
  <c r="DT45" i="3" a="1"/>
  <c r="DT45" i="3" s="1"/>
  <c r="I45" i="3" a="1"/>
  <c r="I45" i="3" s="1"/>
  <c r="M45" i="3"/>
  <c r="V45" i="3" a="1"/>
  <c r="V45" i="3" s="1"/>
  <c r="AA45" i="3" a="1"/>
  <c r="AA45" i="3" s="1"/>
  <c r="AC45" i="3" s="1"/>
  <c r="AE45" i="3"/>
  <c r="AN45" i="3" a="1"/>
  <c r="AN45" i="3" s="1"/>
  <c r="AZ45" i="3" a="1"/>
  <c r="AZ45" i="3" s="1"/>
  <c r="BA45" i="3" s="1"/>
  <c r="BE45" i="3" a="1"/>
  <c r="BE45" i="3" s="1"/>
  <c r="BG45" i="3" s="1"/>
  <c r="BI45" i="3"/>
  <c r="BJ45" i="3" s="1"/>
  <c r="BR45" i="3" a="1"/>
  <c r="BR45" i="3" s="1"/>
  <c r="BS45" i="3" s="1"/>
  <c r="BW45" i="3" a="1"/>
  <c r="BW45" i="3" s="1"/>
  <c r="BY45" i="3" s="1"/>
  <c r="CA45" i="3"/>
  <c r="CJ45" i="3" a="1"/>
  <c r="CJ45" i="3" s="1"/>
  <c r="CK45" i="3" s="1"/>
  <c r="CO45" i="3" a="1"/>
  <c r="CO45" i="3" s="1"/>
  <c r="CQ45" i="3" s="1"/>
  <c r="CS45" i="3"/>
  <c r="CT45" i="3" s="1"/>
  <c r="DB45" i="3" a="1"/>
  <c r="DB45" i="3" s="1"/>
  <c r="DG45" i="3" a="1"/>
  <c r="DG45" i="3" s="1"/>
  <c r="DI45" i="3" s="1"/>
  <c r="DK45" i="3"/>
  <c r="DP45" i="3"/>
  <c r="DR45" i="3" s="1"/>
  <c r="I23" i="5"/>
  <c r="Q24" i="5"/>
  <c r="R24" i="5" s="1"/>
  <c r="I32" i="5"/>
  <c r="Q33" i="5"/>
  <c r="R33" i="5" s="1"/>
  <c r="Q42" i="5"/>
  <c r="R42" i="5" s="1"/>
  <c r="N123" i="5"/>
  <c r="M123" i="5"/>
  <c r="T5" i="5"/>
  <c r="J7" i="5"/>
  <c r="I41" i="5"/>
  <c r="N5" i="5"/>
  <c r="K7" i="5"/>
  <c r="I8" i="5"/>
  <c r="K8" i="5"/>
  <c r="G123" i="5"/>
  <c r="N6" i="5"/>
  <c r="J8" i="5"/>
  <c r="I9" i="5"/>
  <c r="Q9" i="5"/>
  <c r="R9" i="5" s="1"/>
  <c r="P10" i="5"/>
  <c r="Q10" i="5" s="1"/>
  <c r="R10" i="5" s="1"/>
  <c r="I29" i="5"/>
  <c r="Q30" i="5"/>
  <c r="R30" i="5" s="1"/>
  <c r="I38" i="5"/>
  <c r="Q39" i="5"/>
  <c r="R39" i="5" s="1"/>
  <c r="I47" i="5"/>
  <c r="H123" i="5"/>
  <c r="I5" i="5"/>
  <c r="K5" i="5"/>
  <c r="P5" i="5"/>
  <c r="J9" i="5"/>
  <c r="I11" i="5"/>
  <c r="K11" i="5"/>
  <c r="J11" i="5"/>
  <c r="J5" i="5"/>
  <c r="I6" i="5"/>
  <c r="N11" i="5"/>
  <c r="P11" i="5"/>
  <c r="Q11" i="5" s="1"/>
  <c r="R11" i="5" s="1"/>
  <c r="K12" i="5"/>
  <c r="J12" i="5"/>
  <c r="Q12" i="5"/>
  <c r="R12" i="5" s="1"/>
  <c r="N14" i="5"/>
  <c r="P14" i="5"/>
  <c r="Q14" i="5" s="1"/>
  <c r="R14" i="5" s="1"/>
  <c r="K15" i="5"/>
  <c r="J15" i="5"/>
  <c r="Q15" i="5"/>
  <c r="R15" i="5" s="1"/>
  <c r="N17" i="5"/>
  <c r="P17" i="5"/>
  <c r="Q17" i="5" s="1"/>
  <c r="R17" i="5" s="1"/>
  <c r="K18" i="5"/>
  <c r="J18" i="5"/>
  <c r="Q18" i="5"/>
  <c r="R18" i="5" s="1"/>
  <c r="N20" i="5"/>
  <c r="P20" i="5"/>
  <c r="Q20" i="5" s="1"/>
  <c r="R20" i="5" s="1"/>
  <c r="I26" i="5"/>
  <c r="Q27" i="5"/>
  <c r="R27" i="5" s="1"/>
  <c r="U29" i="5"/>
  <c r="V29" i="5" s="1"/>
  <c r="I35" i="5"/>
  <c r="Q36" i="5"/>
  <c r="R36" i="5" s="1"/>
  <c r="U38" i="5"/>
  <c r="V38" i="5" s="1"/>
  <c r="I44" i="5"/>
  <c r="Q45" i="5"/>
  <c r="R45" i="5" s="1"/>
  <c r="U47" i="5"/>
  <c r="V47" i="5" s="1"/>
  <c r="J23" i="5"/>
  <c r="P23" i="5"/>
  <c r="Q23" i="5" s="1"/>
  <c r="R23" i="5" s="1"/>
  <c r="J26" i="5"/>
  <c r="P26" i="5"/>
  <c r="Q26" i="5" s="1"/>
  <c r="R26" i="5" s="1"/>
  <c r="J29" i="5"/>
  <c r="P29" i="5"/>
  <c r="Q29" i="5" s="1"/>
  <c r="R29" i="5" s="1"/>
  <c r="J32" i="5"/>
  <c r="P32" i="5"/>
  <c r="Q32" i="5" s="1"/>
  <c r="R32" i="5" s="1"/>
  <c r="J35" i="5"/>
  <c r="P35" i="5"/>
  <c r="Q35" i="5" s="1"/>
  <c r="R35" i="5" s="1"/>
  <c r="J38" i="5"/>
  <c r="P38" i="5"/>
  <c r="Q38" i="5" s="1"/>
  <c r="R38" i="5" s="1"/>
  <c r="J41" i="5"/>
  <c r="P41" i="5"/>
  <c r="Q41" i="5" s="1"/>
  <c r="R41" i="5" s="1"/>
  <c r="J44" i="5"/>
  <c r="P44" i="5"/>
  <c r="Q44" i="5" s="1"/>
  <c r="R44" i="5" s="1"/>
  <c r="J47" i="5"/>
  <c r="P47" i="5"/>
  <c r="Q47" i="5" s="1"/>
  <c r="R47" i="5" s="1"/>
  <c r="K50" i="5"/>
  <c r="J54" i="5"/>
  <c r="I54" i="5"/>
  <c r="K61" i="5"/>
  <c r="T61" i="5"/>
  <c r="U61" i="5" s="1"/>
  <c r="V61" i="5" s="1"/>
  <c r="N61" i="5"/>
  <c r="J14" i="5"/>
  <c r="J17" i="5"/>
  <c r="J20" i="5"/>
  <c r="K14" i="5"/>
  <c r="K17" i="5"/>
  <c r="K20" i="5"/>
  <c r="K23" i="5"/>
  <c r="K26" i="5"/>
  <c r="K29" i="5"/>
  <c r="K32" i="5"/>
  <c r="K35" i="5"/>
  <c r="K38" i="5"/>
  <c r="K41" i="5"/>
  <c r="K44" i="5"/>
  <c r="K47" i="5"/>
  <c r="N50" i="5"/>
  <c r="K54" i="5"/>
  <c r="N55" i="5"/>
  <c r="N56" i="5"/>
  <c r="P56" i="5"/>
  <c r="Q56" i="5" s="1"/>
  <c r="R56" i="5" s="1"/>
  <c r="N57" i="5"/>
  <c r="Q58" i="5"/>
  <c r="R58" i="5" s="1"/>
  <c r="Q64" i="5"/>
  <c r="R64" i="5" s="1"/>
  <c r="T66" i="5"/>
  <c r="U66" i="5" s="1"/>
  <c r="V66" i="5" s="1"/>
  <c r="N66" i="5"/>
  <c r="N21" i="5"/>
  <c r="K55" i="5"/>
  <c r="T55" i="5"/>
  <c r="U55" i="5" s="1"/>
  <c r="V55" i="5" s="1"/>
  <c r="T63" i="5"/>
  <c r="U63" i="5" s="1"/>
  <c r="V63" i="5" s="1"/>
  <c r="N63" i="5"/>
  <c r="N52" i="5"/>
  <c r="J57" i="5"/>
  <c r="I57" i="5"/>
  <c r="T60" i="5"/>
  <c r="U60" i="5" s="1"/>
  <c r="V60" i="5" s="1"/>
  <c r="N60" i="5"/>
  <c r="J21" i="5"/>
  <c r="J24" i="5"/>
  <c r="J27" i="5"/>
  <c r="J30" i="5"/>
  <c r="J33" i="5"/>
  <c r="J36" i="5"/>
  <c r="J39" i="5"/>
  <c r="J42" i="5"/>
  <c r="J45" i="5"/>
  <c r="J48" i="5"/>
  <c r="N53" i="5"/>
  <c r="P53" i="5"/>
  <c r="Q53" i="5" s="1"/>
  <c r="R53" i="5" s="1"/>
  <c r="N59" i="5"/>
  <c r="P59" i="5"/>
  <c r="Q59" i="5" s="1"/>
  <c r="R59" i="5" s="1"/>
  <c r="K67" i="5"/>
  <c r="T67" i="5"/>
  <c r="U67" i="5" s="1"/>
  <c r="V67" i="5" s="1"/>
  <c r="N67" i="5"/>
  <c r="O123" i="5"/>
  <c r="K58" i="5"/>
  <c r="T58" i="5"/>
  <c r="U58" i="5" s="1"/>
  <c r="V58" i="5" s="1"/>
  <c r="N58" i="5"/>
  <c r="K64" i="5"/>
  <c r="T64" i="5"/>
  <c r="U64" i="5" s="1"/>
  <c r="V64" i="5" s="1"/>
  <c r="N64" i="5"/>
  <c r="K66" i="5"/>
  <c r="P62" i="5"/>
  <c r="Q62" i="5" s="1"/>
  <c r="R62" i="5" s="1"/>
  <c r="P65" i="5"/>
  <c r="Q65" i="5" s="1"/>
  <c r="R65" i="5" s="1"/>
  <c r="P68" i="5"/>
  <c r="Q68" i="5" s="1"/>
  <c r="R68" i="5" s="1"/>
  <c r="P71" i="5"/>
  <c r="Q71" i="5" s="1"/>
  <c r="R71" i="5" s="1"/>
  <c r="P74" i="5"/>
  <c r="Q74" i="5" s="1"/>
  <c r="R74" i="5" s="1"/>
  <c r="P77" i="5"/>
  <c r="Q77" i="5" s="1"/>
  <c r="R77" i="5" s="1"/>
  <c r="K80" i="5"/>
  <c r="K83" i="5"/>
  <c r="K87" i="5"/>
  <c r="N98" i="5"/>
  <c r="P98" i="5"/>
  <c r="Q98" i="5" s="1"/>
  <c r="R98" i="5" s="1"/>
  <c r="T99" i="5"/>
  <c r="U99" i="5" s="1"/>
  <c r="V99" i="5" s="1"/>
  <c r="K100" i="5"/>
  <c r="K101" i="5"/>
  <c r="K105" i="5"/>
  <c r="K68" i="5"/>
  <c r="K71" i="5"/>
  <c r="K74" i="5"/>
  <c r="K77" i="5"/>
  <c r="N83" i="5"/>
  <c r="P83" i="5"/>
  <c r="Q83" i="5" s="1"/>
  <c r="R83" i="5" s="1"/>
  <c r="K85" i="5"/>
  <c r="K86" i="5"/>
  <c r="K90" i="5"/>
  <c r="I93" i="5"/>
  <c r="N100" i="5"/>
  <c r="N101" i="5"/>
  <c r="P101" i="5"/>
  <c r="Q101" i="5" s="1"/>
  <c r="R101" i="5" s="1"/>
  <c r="K103" i="5"/>
  <c r="K104" i="5"/>
  <c r="N107" i="5"/>
  <c r="P107" i="5"/>
  <c r="Q107" i="5" s="1"/>
  <c r="R107" i="5" s="1"/>
  <c r="T113" i="5"/>
  <c r="U113" i="5" s="1"/>
  <c r="V113" i="5" s="1"/>
  <c r="K113" i="5"/>
  <c r="Q114" i="5"/>
  <c r="R114" i="5" s="1"/>
  <c r="T119" i="5"/>
  <c r="U119" i="5" s="1"/>
  <c r="V119" i="5" s="1"/>
  <c r="K119" i="5"/>
  <c r="Q120" i="5"/>
  <c r="R120" i="5" s="1"/>
  <c r="T80" i="5"/>
  <c r="U80" i="5" s="1"/>
  <c r="V80" i="5" s="1"/>
  <c r="N86" i="5"/>
  <c r="P86" i="5"/>
  <c r="Q86" i="5" s="1"/>
  <c r="R86" i="5" s="1"/>
  <c r="T87" i="5"/>
  <c r="U87" i="5" s="1"/>
  <c r="V87" i="5" s="1"/>
  <c r="N104" i="5"/>
  <c r="P104" i="5"/>
  <c r="Q104" i="5" s="1"/>
  <c r="R104" i="5" s="1"/>
  <c r="T105" i="5"/>
  <c r="U105" i="5" s="1"/>
  <c r="V105" i="5" s="1"/>
  <c r="T107" i="5"/>
  <c r="U107" i="5" s="1"/>
  <c r="V107" i="5" s="1"/>
  <c r="K107" i="5"/>
  <c r="I60" i="5"/>
  <c r="I63" i="5"/>
  <c r="I66" i="5"/>
  <c r="I69" i="5"/>
  <c r="I72" i="5"/>
  <c r="I75" i="5"/>
  <c r="I78" i="5"/>
  <c r="N89" i="5"/>
  <c r="P89" i="5"/>
  <c r="Q89" i="5" s="1"/>
  <c r="R89" i="5" s="1"/>
  <c r="T90" i="5"/>
  <c r="U90" i="5" s="1"/>
  <c r="V90" i="5" s="1"/>
  <c r="I99" i="5"/>
  <c r="J69" i="5"/>
  <c r="J72" i="5"/>
  <c r="J75" i="5"/>
  <c r="J78" i="5"/>
  <c r="T81" i="5"/>
  <c r="U81" i="5" s="1"/>
  <c r="V81" i="5" s="1"/>
  <c r="I84" i="5"/>
  <c r="N92" i="5"/>
  <c r="P92" i="5"/>
  <c r="Q92" i="5" s="1"/>
  <c r="R92" i="5" s="1"/>
  <c r="T93" i="5"/>
  <c r="U93" i="5" s="1"/>
  <c r="V93" i="5" s="1"/>
  <c r="K94" i="5"/>
  <c r="K95" i="5"/>
  <c r="K99" i="5"/>
  <c r="I102" i="5"/>
  <c r="U106" i="5"/>
  <c r="V106" i="5" s="1"/>
  <c r="K108" i="5"/>
  <c r="T110" i="5"/>
  <c r="U110" i="5" s="1"/>
  <c r="V110" i="5" s="1"/>
  <c r="K110" i="5"/>
  <c r="T116" i="5"/>
  <c r="U116" i="5" s="1"/>
  <c r="V116" i="5" s="1"/>
  <c r="K116" i="5"/>
  <c r="I80" i="5"/>
  <c r="K82" i="5"/>
  <c r="K84" i="5"/>
  <c r="I87" i="5"/>
  <c r="N94" i="5"/>
  <c r="N95" i="5"/>
  <c r="P95" i="5"/>
  <c r="Q95" i="5" s="1"/>
  <c r="R95" i="5" s="1"/>
  <c r="K97" i="5"/>
  <c r="K98" i="5"/>
  <c r="K102" i="5"/>
  <c r="I105" i="5"/>
  <c r="K111" i="5"/>
  <c r="K114" i="5"/>
  <c r="K117" i="5"/>
  <c r="K120" i="5"/>
  <c r="I122" i="5"/>
  <c r="N109" i="5"/>
  <c r="P110" i="5"/>
  <c r="Q110" i="5" s="1"/>
  <c r="R110" i="5" s="1"/>
  <c r="N112" i="5"/>
  <c r="P113" i="5"/>
  <c r="Q113" i="5" s="1"/>
  <c r="R113" i="5" s="1"/>
  <c r="N115" i="5"/>
  <c r="P116" i="5"/>
  <c r="Q116" i="5" s="1"/>
  <c r="R116" i="5" s="1"/>
  <c r="P119" i="5"/>
  <c r="Q119" i="5" s="1"/>
  <c r="R119" i="5" s="1"/>
  <c r="J122" i="5"/>
  <c r="P122" i="5"/>
  <c r="Q122" i="5" s="1"/>
  <c r="R122" i="5" s="1"/>
  <c r="AB38" i="1" l="1"/>
  <c r="AA38" i="1"/>
  <c r="AN38" i="1"/>
  <c r="AO38" i="1" s="1"/>
  <c r="AP38" i="1" s="1"/>
  <c r="W41" i="1"/>
  <c r="V41" i="1"/>
  <c r="AZ41" i="1"/>
  <c r="BA41" i="1" s="1"/>
  <c r="BB41" i="1" s="1"/>
  <c r="W7" i="1"/>
  <c r="AZ7" i="1"/>
  <c r="BA7" i="1" s="1"/>
  <c r="BB7" i="1" s="1"/>
  <c r="V7" i="1"/>
  <c r="K43" i="1"/>
  <c r="W47" i="1"/>
  <c r="AZ47" i="1"/>
  <c r="BA47" i="1" s="1"/>
  <c r="BB47" i="1" s="1"/>
  <c r="V47" i="1"/>
  <c r="W38" i="1"/>
  <c r="AZ38" i="1"/>
  <c r="BA38" i="1" s="1"/>
  <c r="BB38" i="1" s="1"/>
  <c r="V38" i="1"/>
  <c r="T35" i="1"/>
  <c r="AZ21" i="1"/>
  <c r="BA21" i="1" s="1"/>
  <c r="BB21" i="1" s="1"/>
  <c r="V21" i="1"/>
  <c r="W21" i="1"/>
  <c r="T28" i="1"/>
  <c r="AA24" i="1"/>
  <c r="AN24" i="1"/>
  <c r="AO24" i="1" s="1"/>
  <c r="AP24" i="1" s="1"/>
  <c r="AB24" i="1"/>
  <c r="J42" i="1"/>
  <c r="S29" i="1"/>
  <c r="W27" i="1"/>
  <c r="AZ27" i="1"/>
  <c r="BA27" i="1" s="1"/>
  <c r="BB27" i="1" s="1"/>
  <c r="V27" i="1"/>
  <c r="AN20" i="1"/>
  <c r="AO20" i="1" s="1"/>
  <c r="AP20" i="1" s="1"/>
  <c r="AB20" i="1"/>
  <c r="AA20" i="1"/>
  <c r="T19" i="1"/>
  <c r="T22" i="1"/>
  <c r="AA21" i="1"/>
  <c r="AN21" i="1"/>
  <c r="AO21" i="1" s="1"/>
  <c r="AP21" i="1" s="1"/>
  <c r="AB21" i="1"/>
  <c r="K9" i="1"/>
  <c r="W6" i="1"/>
  <c r="AZ6" i="1"/>
  <c r="BA6" i="1" s="1"/>
  <c r="BB6" i="1" s="1"/>
  <c r="V6" i="1"/>
  <c r="AR48" i="1"/>
  <c r="AS48" i="1" s="1"/>
  <c r="AT48" i="1" s="1"/>
  <c r="AS5" i="1"/>
  <c r="AT5" i="1" s="1"/>
  <c r="J48" i="1"/>
  <c r="Y14" i="1"/>
  <c r="AN12" i="1"/>
  <c r="AO12" i="1" s="1"/>
  <c r="AP12" i="1" s="1"/>
  <c r="AB12" i="1"/>
  <c r="AA12" i="1"/>
  <c r="AA6" i="1"/>
  <c r="AB6" i="1"/>
  <c r="AN6" i="1"/>
  <c r="AO6" i="1" s="1"/>
  <c r="AP6" i="1" s="1"/>
  <c r="W19" i="1"/>
  <c r="V19" i="1"/>
  <c r="AZ19" i="1"/>
  <c r="BA19" i="1" s="1"/>
  <c r="BB19" i="1" s="1"/>
  <c r="AJ48" i="1"/>
  <c r="AK48" i="1" s="1"/>
  <c r="AL48" i="1" s="1"/>
  <c r="AK5" i="1"/>
  <c r="AL5" i="1" s="1"/>
  <c r="J14" i="1"/>
  <c r="BN29" i="1"/>
  <c r="W13" i="1"/>
  <c r="V13" i="1"/>
  <c r="AZ13" i="1"/>
  <c r="BA13" i="1" s="1"/>
  <c r="BB13" i="1" s="1"/>
  <c r="S8" i="1"/>
  <c r="BO48" i="1"/>
  <c r="BQ48" i="1" s="1"/>
  <c r="AN41" i="1"/>
  <c r="AO41" i="1" s="1"/>
  <c r="AP41" i="1" s="1"/>
  <c r="AB41" i="1"/>
  <c r="AA41" i="1"/>
  <c r="Y36" i="1"/>
  <c r="AN39" i="1"/>
  <c r="AO39" i="1" s="1"/>
  <c r="AP39" i="1" s="1"/>
  <c r="AB39" i="1"/>
  <c r="AA39" i="1"/>
  <c r="S36" i="1"/>
  <c r="AA32" i="1"/>
  <c r="AB32" i="1"/>
  <c r="AN32" i="1"/>
  <c r="AO32" i="1" s="1"/>
  <c r="AP32" i="1" s="1"/>
  <c r="AB28" i="1"/>
  <c r="AA28" i="1"/>
  <c r="AN28" i="1"/>
  <c r="AO28" i="1" s="1"/>
  <c r="AP28" i="1" s="1"/>
  <c r="W22" i="1"/>
  <c r="AZ22" i="1"/>
  <c r="BA22" i="1" s="1"/>
  <c r="BB22" i="1" s="1"/>
  <c r="V22" i="1"/>
  <c r="AZ20" i="1"/>
  <c r="BA20" i="1" s="1"/>
  <c r="BB20" i="1" s="1"/>
  <c r="W20" i="1"/>
  <c r="V20" i="1"/>
  <c r="J39" i="1"/>
  <c r="AN17" i="1"/>
  <c r="AO17" i="1" s="1"/>
  <c r="AP17" i="1" s="1"/>
  <c r="AB17" i="1"/>
  <c r="AA17" i="1"/>
  <c r="W11" i="1"/>
  <c r="V11" i="1"/>
  <c r="AZ11" i="1"/>
  <c r="BA11" i="1" s="1"/>
  <c r="BB11" i="1" s="1"/>
  <c r="U48" i="1"/>
  <c r="V5" i="1"/>
  <c r="AZ5" i="1"/>
  <c r="BA5" i="1" s="1"/>
  <c r="BB5" i="1" s="1"/>
  <c r="W5" i="1"/>
  <c r="W25" i="1"/>
  <c r="AZ25" i="1"/>
  <c r="BA25" i="1" s="1"/>
  <c r="BB25" i="1" s="1"/>
  <c r="V25" i="1"/>
  <c r="W10" i="1"/>
  <c r="AZ10" i="1"/>
  <c r="BA10" i="1" s="1"/>
  <c r="BB10" i="1" s="1"/>
  <c r="V10" i="1"/>
  <c r="J31" i="1"/>
  <c r="W26" i="1"/>
  <c r="AZ26" i="1"/>
  <c r="BA26" i="1" s="1"/>
  <c r="BB26" i="1" s="1"/>
  <c r="V26" i="1"/>
  <c r="Z48" i="1"/>
  <c r="AA5" i="1"/>
  <c r="AN5" i="1"/>
  <c r="AB5" i="1"/>
  <c r="AN14" i="1"/>
  <c r="AO14" i="1" s="1"/>
  <c r="AP14" i="1" s="1"/>
  <c r="AA14" i="1"/>
  <c r="AB14" i="1"/>
  <c r="AA9" i="1"/>
  <c r="AN9" i="1"/>
  <c r="AO9" i="1" s="1"/>
  <c r="AP9" i="1" s="1"/>
  <c r="AB9" i="1"/>
  <c r="J46" i="1"/>
  <c r="J43" i="1"/>
  <c r="K40" i="1"/>
  <c r="AB45" i="1"/>
  <c r="AA45" i="1"/>
  <c r="AN45" i="1"/>
  <c r="AO45" i="1" s="1"/>
  <c r="AP45" i="1" s="1"/>
  <c r="AA40" i="1"/>
  <c r="AN40" i="1"/>
  <c r="AO40" i="1" s="1"/>
  <c r="AP40" i="1" s="1"/>
  <c r="AB40" i="1"/>
  <c r="Y46" i="1"/>
  <c r="J37" i="1"/>
  <c r="Y33" i="1"/>
  <c r="S43" i="1"/>
  <c r="W36" i="1"/>
  <c r="AZ36" i="1"/>
  <c r="BA36" i="1" s="1"/>
  <c r="BB36" i="1" s="1"/>
  <c r="V36" i="1"/>
  <c r="V29" i="1"/>
  <c r="AZ29" i="1"/>
  <c r="BA29" i="1" s="1"/>
  <c r="BB29" i="1" s="1"/>
  <c r="W29" i="1"/>
  <c r="W45" i="1"/>
  <c r="V45" i="1"/>
  <c r="AZ45" i="1"/>
  <c r="BA45" i="1" s="1"/>
  <c r="BB45" i="1" s="1"/>
  <c r="AN44" i="1"/>
  <c r="AO44" i="1" s="1"/>
  <c r="AP44" i="1" s="1"/>
  <c r="AB44" i="1"/>
  <c r="AA44" i="1"/>
  <c r="S35" i="1"/>
  <c r="AA34" i="1"/>
  <c r="AN34" i="1"/>
  <c r="AO34" i="1" s="1"/>
  <c r="AP34" i="1" s="1"/>
  <c r="AB34" i="1"/>
  <c r="W32" i="1"/>
  <c r="AZ32" i="1"/>
  <c r="BA32" i="1" s="1"/>
  <c r="BB32" i="1" s="1"/>
  <c r="V32" i="1"/>
  <c r="AZ24" i="1"/>
  <c r="BA24" i="1" s="1"/>
  <c r="BB24" i="1" s="1"/>
  <c r="V24" i="1"/>
  <c r="W24" i="1"/>
  <c r="AN26" i="1"/>
  <c r="AO26" i="1" s="1"/>
  <c r="AP26" i="1" s="1"/>
  <c r="AB26" i="1"/>
  <c r="AA26" i="1"/>
  <c r="AA25" i="1"/>
  <c r="AN25" i="1"/>
  <c r="AO25" i="1" s="1"/>
  <c r="AP25" i="1" s="1"/>
  <c r="AB25" i="1"/>
  <c r="AN13" i="1"/>
  <c r="AO13" i="1" s="1"/>
  <c r="AP13" i="1" s="1"/>
  <c r="AB13" i="1"/>
  <c r="AA13" i="1"/>
  <c r="K42" i="1"/>
  <c r="Y35" i="1"/>
  <c r="Y30" i="1"/>
  <c r="T29" i="1"/>
  <c r="AA27" i="1"/>
  <c r="AN27" i="1"/>
  <c r="AO27" i="1" s="1"/>
  <c r="AP27" i="1" s="1"/>
  <c r="AB27" i="1"/>
  <c r="S20" i="1"/>
  <c r="S19" i="1"/>
  <c r="AN15" i="1"/>
  <c r="AO15" i="1" s="1"/>
  <c r="AP15" i="1" s="1"/>
  <c r="AB15" i="1"/>
  <c r="AA15" i="1"/>
  <c r="W33" i="1"/>
  <c r="AZ33" i="1"/>
  <c r="BA33" i="1" s="1"/>
  <c r="BB33" i="1" s="1"/>
  <c r="V33" i="1"/>
  <c r="V28" i="1"/>
  <c r="W28" i="1"/>
  <c r="AZ28" i="1"/>
  <c r="BA28" i="1" s="1"/>
  <c r="BB28" i="1" s="1"/>
  <c r="AA23" i="1"/>
  <c r="AN23" i="1"/>
  <c r="AO23" i="1" s="1"/>
  <c r="AP23" i="1" s="1"/>
  <c r="AB23" i="1"/>
  <c r="S22" i="1"/>
  <c r="AZ17" i="1"/>
  <c r="BA17" i="1" s="1"/>
  <c r="BB17" i="1" s="1"/>
  <c r="V17" i="1"/>
  <c r="W17" i="1"/>
  <c r="W9" i="1"/>
  <c r="V9" i="1"/>
  <c r="AZ9" i="1"/>
  <c r="BA9" i="1" s="1"/>
  <c r="BB9" i="1" s="1"/>
  <c r="Q48" i="1"/>
  <c r="N48" i="1"/>
  <c r="AB30" i="1"/>
  <c r="AA30" i="1"/>
  <c r="AN30" i="1"/>
  <c r="AO30" i="1" s="1"/>
  <c r="AP30" i="1" s="1"/>
  <c r="T33" i="1"/>
  <c r="AZ18" i="1"/>
  <c r="BA18" i="1" s="1"/>
  <c r="BB18" i="1" s="1"/>
  <c r="V18" i="1"/>
  <c r="W18" i="1"/>
  <c r="Y10" i="1"/>
  <c r="J8" i="1"/>
  <c r="P48" i="1"/>
  <c r="T11" i="1"/>
  <c r="AB10" i="1"/>
  <c r="AA10" i="1"/>
  <c r="AN10" i="1"/>
  <c r="AO10" i="1" s="1"/>
  <c r="AP10" i="1" s="1"/>
  <c r="AZ31" i="1"/>
  <c r="BA31" i="1" s="1"/>
  <c r="BB31" i="1" s="1"/>
  <c r="V31" i="1"/>
  <c r="W31" i="1"/>
  <c r="V23" i="1"/>
  <c r="AZ23" i="1"/>
  <c r="BA23" i="1" s="1"/>
  <c r="BB23" i="1" s="1"/>
  <c r="W23" i="1"/>
  <c r="J19" i="1"/>
  <c r="AZ14" i="1"/>
  <c r="BA14" i="1" s="1"/>
  <c r="BB14" i="1" s="1"/>
  <c r="V14" i="1"/>
  <c r="W14" i="1"/>
  <c r="Y12" i="1"/>
  <c r="S9" i="1"/>
  <c r="V16" i="1"/>
  <c r="AZ16" i="1"/>
  <c r="BA16" i="1" s="1"/>
  <c r="BB16" i="1" s="1"/>
  <c r="W16" i="1"/>
  <c r="BQ5" i="1"/>
  <c r="T7" i="1"/>
  <c r="G48" i="1"/>
  <c r="T48" i="1" s="1"/>
  <c r="AC5" i="1"/>
  <c r="AC48" i="1" s="1"/>
  <c r="Y45" i="1"/>
  <c r="AZ40" i="1"/>
  <c r="BA40" i="1" s="1"/>
  <c r="BB40" i="1" s="1"/>
  <c r="V40" i="1"/>
  <c r="W40" i="1"/>
  <c r="T45" i="1"/>
  <c r="AN47" i="1"/>
  <c r="AO47" i="1" s="1"/>
  <c r="AP47" i="1" s="1"/>
  <c r="AB47" i="1"/>
  <c r="AA47" i="1"/>
  <c r="T40" i="1"/>
  <c r="AA43" i="1"/>
  <c r="AB43" i="1"/>
  <c r="AN43" i="1"/>
  <c r="AO43" i="1" s="1"/>
  <c r="AP43" i="1" s="1"/>
  <c r="T36" i="1"/>
  <c r="S46" i="1"/>
  <c r="S28" i="1"/>
  <c r="V39" i="1"/>
  <c r="W39" i="1"/>
  <c r="AZ39" i="1"/>
  <c r="BA39" i="1" s="1"/>
  <c r="BB39" i="1" s="1"/>
  <c r="AA29" i="1"/>
  <c r="AN29" i="1"/>
  <c r="AO29" i="1" s="1"/>
  <c r="AP29" i="1" s="1"/>
  <c r="AB29" i="1"/>
  <c r="AN22" i="1"/>
  <c r="AO22" i="1" s="1"/>
  <c r="AP22" i="1" s="1"/>
  <c r="AB22" i="1"/>
  <c r="AA22" i="1"/>
  <c r="AA37" i="1"/>
  <c r="AB37" i="1"/>
  <c r="AN37" i="1"/>
  <c r="AO37" i="1" s="1"/>
  <c r="AP37" i="1" s="1"/>
  <c r="AB33" i="1"/>
  <c r="AA33" i="1"/>
  <c r="AN33" i="1"/>
  <c r="AO33" i="1" s="1"/>
  <c r="AP33" i="1" s="1"/>
  <c r="K8" i="1"/>
  <c r="AZ15" i="1"/>
  <c r="BA15" i="1" s="1"/>
  <c r="BB15" i="1" s="1"/>
  <c r="V15" i="1"/>
  <c r="W15" i="1"/>
  <c r="J30" i="1"/>
  <c r="K23" i="1"/>
  <c r="Y22" i="1"/>
  <c r="K19" i="1"/>
  <c r="S5" i="1"/>
  <c r="Y21" i="1"/>
  <c r="K14" i="1"/>
  <c r="AZ12" i="1"/>
  <c r="BA12" i="1" s="1"/>
  <c r="BB12" i="1" s="1"/>
  <c r="V12" i="1"/>
  <c r="W12" i="1"/>
  <c r="AN7" i="1"/>
  <c r="AO7" i="1" s="1"/>
  <c r="AP7" i="1" s="1"/>
  <c r="AB7" i="1"/>
  <c r="AA7" i="1"/>
  <c r="H48" i="1"/>
  <c r="K48" i="1" s="1"/>
  <c r="AD5" i="1"/>
  <c r="AD48" i="1" s="1"/>
  <c r="BC48" i="1"/>
  <c r="BE48" i="1" s="1"/>
  <c r="K46" i="1"/>
  <c r="AZ43" i="1"/>
  <c r="BA43" i="1" s="1"/>
  <c r="BB43" i="1" s="1"/>
  <c r="V43" i="1"/>
  <c r="W43" i="1"/>
  <c r="S40" i="1"/>
  <c r="AA36" i="1"/>
  <c r="AB36" i="1"/>
  <c r="AN36" i="1"/>
  <c r="AO36" i="1" s="1"/>
  <c r="AP36" i="1" s="1"/>
  <c r="T46" i="1"/>
  <c r="AB35" i="1"/>
  <c r="AA35" i="1"/>
  <c r="AN35" i="1"/>
  <c r="AO35" i="1" s="1"/>
  <c r="AP35" i="1" s="1"/>
  <c r="J35" i="1"/>
  <c r="AN18" i="1"/>
  <c r="AO18" i="1" s="1"/>
  <c r="AP18" i="1" s="1"/>
  <c r="AB18" i="1"/>
  <c r="AA18" i="1"/>
  <c r="T23" i="1"/>
  <c r="S37" i="1"/>
  <c r="S30" i="1"/>
  <c r="K5" i="1"/>
  <c r="Y29" i="1"/>
  <c r="T12" i="1"/>
  <c r="S11" i="1"/>
  <c r="BN48" i="1"/>
  <c r="W30" i="1"/>
  <c r="V30" i="1"/>
  <c r="AZ30" i="1"/>
  <c r="BA30" i="1" s="1"/>
  <c r="BB30" i="1" s="1"/>
  <c r="Y19" i="1"/>
  <c r="T10" i="1"/>
  <c r="S48" i="1"/>
  <c r="S14" i="1"/>
  <c r="AA8" i="1"/>
  <c r="AN8" i="1"/>
  <c r="AO8" i="1" s="1"/>
  <c r="AP8" i="1" s="1"/>
  <c r="AB8" i="1"/>
  <c r="S7" i="1"/>
  <c r="AG48" i="1"/>
  <c r="AH48" i="1" s="1"/>
  <c r="BI48" i="1"/>
  <c r="BK48" i="1" s="1"/>
  <c r="BF48" i="1"/>
  <c r="W46" i="1"/>
  <c r="V46" i="1"/>
  <c r="AZ46" i="1"/>
  <c r="BA46" i="1" s="1"/>
  <c r="BB46" i="1" s="1"/>
  <c r="S45" i="1"/>
  <c r="AN42" i="1"/>
  <c r="AO42" i="1" s="1"/>
  <c r="AP42" i="1" s="1"/>
  <c r="AB42" i="1"/>
  <c r="AA42" i="1"/>
  <c r="W37" i="1"/>
  <c r="AZ37" i="1"/>
  <c r="BA37" i="1" s="1"/>
  <c r="BB37" i="1" s="1"/>
  <c r="V37" i="1"/>
  <c r="V34" i="1"/>
  <c r="W34" i="1"/>
  <c r="AZ34" i="1"/>
  <c r="BA34" i="1" s="1"/>
  <c r="BB34" i="1" s="1"/>
  <c r="Y40" i="1"/>
  <c r="T38" i="1"/>
  <c r="Y28" i="1"/>
  <c r="AA46" i="1"/>
  <c r="AB46" i="1"/>
  <c r="AN46" i="1"/>
  <c r="AO46" i="1" s="1"/>
  <c r="AP46" i="1" s="1"/>
  <c r="Y37" i="1"/>
  <c r="W35" i="1"/>
  <c r="V35" i="1"/>
  <c r="AZ35" i="1"/>
  <c r="BA35" i="1" s="1"/>
  <c r="BB35" i="1" s="1"/>
  <c r="AB16" i="1"/>
  <c r="AN16" i="1"/>
  <c r="AO16" i="1" s="1"/>
  <c r="AP16" i="1" s="1"/>
  <c r="AA16" i="1"/>
  <c r="V42" i="1"/>
  <c r="AZ42" i="1"/>
  <c r="BA42" i="1" s="1"/>
  <c r="BB42" i="1" s="1"/>
  <c r="W42" i="1"/>
  <c r="W44" i="1"/>
  <c r="AZ44" i="1"/>
  <c r="BA44" i="1" s="1"/>
  <c r="BB44" i="1" s="1"/>
  <c r="V44" i="1"/>
  <c r="K39" i="1"/>
  <c r="T20" i="1"/>
  <c r="AN19" i="1"/>
  <c r="AO19" i="1" s="1"/>
  <c r="AP19" i="1" s="1"/>
  <c r="AB19" i="1"/>
  <c r="AA19" i="1"/>
  <c r="S23" i="1"/>
  <c r="T21" i="1"/>
  <c r="Y11" i="1"/>
  <c r="J9" i="1"/>
  <c r="X48" i="1"/>
  <c r="Y5" i="1"/>
  <c r="AA31" i="1"/>
  <c r="AB31" i="1"/>
  <c r="AN31" i="1"/>
  <c r="AO31" i="1" s="1"/>
  <c r="AP31" i="1" s="1"/>
  <c r="S33" i="1"/>
  <c r="W8" i="1"/>
  <c r="V8" i="1"/>
  <c r="AZ8" i="1"/>
  <c r="BA8" i="1" s="1"/>
  <c r="BB8" i="1" s="1"/>
  <c r="AV48" i="1"/>
  <c r="AW48" i="1" s="1"/>
  <c r="AX48" i="1" s="1"/>
  <c r="AW5" i="1"/>
  <c r="AX5" i="1" s="1"/>
  <c r="AN11" i="1"/>
  <c r="AO11" i="1" s="1"/>
  <c r="AP11" i="1" s="1"/>
  <c r="AB11" i="1"/>
  <c r="AA11" i="1"/>
  <c r="BE5" i="1"/>
  <c r="K30" i="1"/>
  <c r="S10" i="1"/>
  <c r="K31" i="1"/>
  <c r="J23" i="1"/>
  <c r="T14" i="1"/>
  <c r="BH48" i="1"/>
  <c r="AR46" i="3"/>
  <c r="EE42" i="3"/>
  <c r="EF38" i="3"/>
  <c r="EB41" i="3"/>
  <c r="ED41" i="3" s="1"/>
  <c r="H41" i="3"/>
  <c r="ED40" i="3"/>
  <c r="Z28" i="3"/>
  <c r="K47" i="3"/>
  <c r="EE47" i="3"/>
  <c r="EG47" i="3" s="1"/>
  <c r="W36" i="3"/>
  <c r="EF36" i="3"/>
  <c r="DU38" i="3"/>
  <c r="BD39" i="3"/>
  <c r="EE22" i="3"/>
  <c r="K22" i="3"/>
  <c r="AU42" i="3"/>
  <c r="BM42" i="3"/>
  <c r="DC44" i="3"/>
  <c r="EB45" i="3"/>
  <c r="EF25" i="3"/>
  <c r="BD32" i="3"/>
  <c r="EE43" i="3"/>
  <c r="K43" i="3"/>
  <c r="EF43" i="3"/>
  <c r="DR41" i="3"/>
  <c r="EE41" i="3"/>
  <c r="EG41" i="3" s="1"/>
  <c r="K41" i="3"/>
  <c r="EC40" i="3"/>
  <c r="H40" i="3"/>
  <c r="BS38" i="3"/>
  <c r="T34" i="3"/>
  <c r="EB34" i="3"/>
  <c r="ED34" i="3" s="1"/>
  <c r="K25" i="3"/>
  <c r="EE25" i="3"/>
  <c r="EG25" i="3" s="1"/>
  <c r="EC32" i="3"/>
  <c r="W28" i="3"/>
  <c r="EE28" i="3"/>
  <c r="CN28" i="3"/>
  <c r="CW22" i="3"/>
  <c r="CT18" i="3"/>
  <c r="EE17" i="3"/>
  <c r="EG17" i="3" s="1"/>
  <c r="K17" i="3"/>
  <c r="N11" i="3"/>
  <c r="EC11" i="3"/>
  <c r="AL42" i="3"/>
  <c r="DC42" i="3"/>
  <c r="N42" i="3"/>
  <c r="AI42" i="3"/>
  <c r="BV42" i="3"/>
  <c r="T29" i="3"/>
  <c r="EC29" i="3"/>
  <c r="EB22" i="3"/>
  <c r="ED22" i="3" s="1"/>
  <c r="H22" i="3"/>
  <c r="T39" i="3"/>
  <c r="EB13" i="3"/>
  <c r="DI33" i="3"/>
  <c r="BP33" i="3"/>
  <c r="AO33" i="3"/>
  <c r="Q33" i="3"/>
  <c r="EE33" i="3"/>
  <c r="EG33" i="3" s="1"/>
  <c r="K37" i="3"/>
  <c r="EE37" i="3"/>
  <c r="EC37" i="3"/>
  <c r="CZ30" i="3"/>
  <c r="AI26" i="3"/>
  <c r="CK26" i="3"/>
  <c r="DU26" i="3"/>
  <c r="BJ26" i="3"/>
  <c r="EE23" i="3"/>
  <c r="BX48" i="3"/>
  <c r="EE32" i="3"/>
  <c r="EG32" i="3" s="1"/>
  <c r="K32" i="3"/>
  <c r="EE29" i="3"/>
  <c r="K29" i="3"/>
  <c r="EB28" i="3"/>
  <c r="H28" i="3"/>
  <c r="EE11" i="3"/>
  <c r="EG11" i="3" s="1"/>
  <c r="K11" i="3"/>
  <c r="AO42" i="3"/>
  <c r="K38" i="3"/>
  <c r="Z34" i="3"/>
  <c r="EF22" i="3"/>
  <c r="Z22" i="3"/>
  <c r="EF18" i="3"/>
  <c r="W18" i="3"/>
  <c r="EC31" i="3"/>
  <c r="ED31" i="3" s="1"/>
  <c r="CK34" i="3"/>
  <c r="DR37" i="3"/>
  <c r="EF37" i="3"/>
  <c r="AX26" i="3"/>
  <c r="AN48" i="3"/>
  <c r="AS48" i="3"/>
  <c r="AU48" i="3" s="1"/>
  <c r="W45" i="3"/>
  <c r="EF45" i="3"/>
  <c r="EC43" i="3"/>
  <c r="EC22" i="3"/>
  <c r="T22" i="3"/>
  <c r="H42" i="3"/>
  <c r="EB42" i="3"/>
  <c r="ED42" i="3" s="1"/>
  <c r="EF42" i="3"/>
  <c r="EG42" i="3" s="1"/>
  <c r="DO42" i="3"/>
  <c r="CT44" i="3"/>
  <c r="H29" i="3"/>
  <c r="EB29" i="3"/>
  <c r="ED29" i="3" s="1"/>
  <c r="EC18" i="3"/>
  <c r="K13" i="3"/>
  <c r="EE13" i="3"/>
  <c r="EG13" i="3" s="1"/>
  <c r="EC10" i="3"/>
  <c r="N10" i="3"/>
  <c r="Z37" i="3"/>
  <c r="CW37" i="3"/>
  <c r="BJ37" i="3"/>
  <c r="EC30" i="3"/>
  <c r="EB21" i="3"/>
  <c r="ED21" i="3" s="1"/>
  <c r="AW48" i="3"/>
  <c r="CG48" i="3"/>
  <c r="CS48" i="3"/>
  <c r="EC38" i="3"/>
  <c r="Q21" i="3"/>
  <c r="EE21" i="3"/>
  <c r="K35" i="3"/>
  <c r="EE35" i="3"/>
  <c r="EG35" i="3" s="1"/>
  <c r="EF28" i="3"/>
  <c r="K28" i="3"/>
  <c r="BV21" i="3"/>
  <c r="AX44" i="3"/>
  <c r="EC27" i="3"/>
  <c r="W8" i="3"/>
  <c r="EF8" i="3"/>
  <c r="CN26" i="3"/>
  <c r="CZ26" i="3"/>
  <c r="N26" i="3"/>
  <c r="S48" i="3"/>
  <c r="DZ48" i="3"/>
  <c r="CA48" i="3"/>
  <c r="W31" i="3"/>
  <c r="EF31" i="3"/>
  <c r="CE44" i="3"/>
  <c r="Q27" i="3"/>
  <c r="EF27" i="3"/>
  <c r="EC8" i="3"/>
  <c r="N8" i="3"/>
  <c r="EB36" i="3"/>
  <c r="ED36" i="3" s="1"/>
  <c r="N33" i="3"/>
  <c r="EB33" i="3"/>
  <c r="ED33" i="3" s="1"/>
  <c r="H33" i="3"/>
  <c r="DU33" i="3"/>
  <c r="EF26" i="3"/>
  <c r="CU48" i="3"/>
  <c r="CW48" i="3" s="1"/>
  <c r="AF25" i="3"/>
  <c r="EC25" i="3"/>
  <c r="AX39" i="3"/>
  <c r="EC45" i="3"/>
  <c r="N47" i="3"/>
  <c r="BV38" i="3"/>
  <c r="EF32" i="3"/>
  <c r="EC21" i="3"/>
  <c r="H21" i="3"/>
  <c r="AF11" i="3"/>
  <c r="AE48" i="3"/>
  <c r="BY42" i="3"/>
  <c r="Q42" i="3"/>
  <c r="Z44" i="3"/>
  <c r="EC17" i="3"/>
  <c r="K45" i="3"/>
  <c r="EE45" i="3"/>
  <c r="EG45" i="3" s="1"/>
  <c r="EB47" i="3"/>
  <c r="ED47" i="3" s="1"/>
  <c r="H47" i="3"/>
  <c r="EC47" i="3"/>
  <c r="EC46" i="3"/>
  <c r="EB46" i="3"/>
  <c r="ED46" i="3" s="1"/>
  <c r="H46" i="3"/>
  <c r="EF21" i="3"/>
  <c r="BP44" i="3"/>
  <c r="K42" i="3"/>
  <c r="BP47" i="3"/>
  <c r="CK47" i="3"/>
  <c r="EA46" i="3"/>
  <c r="CQ43" i="3"/>
  <c r="EB43" i="3"/>
  <c r="BP41" i="3"/>
  <c r="EC41" i="3"/>
  <c r="T41" i="3"/>
  <c r="Q40" i="3"/>
  <c r="EE40" i="3"/>
  <c r="EG40" i="3" s="1"/>
  <c r="BJ36" i="3"/>
  <c r="AO44" i="3"/>
  <c r="EE44" i="3"/>
  <c r="K44" i="3"/>
  <c r="CB44" i="3"/>
  <c r="DU44" i="3"/>
  <c r="AU44" i="3"/>
  <c r="Q29" i="3"/>
  <c r="Q37" i="3"/>
  <c r="AU27" i="3"/>
  <c r="W27" i="3"/>
  <c r="EE27" i="3"/>
  <c r="EG27" i="3" s="1"/>
  <c r="EF10" i="3"/>
  <c r="AO10" i="3"/>
  <c r="BG8" i="3"/>
  <c r="BF48" i="3"/>
  <c r="EE8" i="3"/>
  <c r="EG8" i="3" s="1"/>
  <c r="K8" i="3"/>
  <c r="AL33" i="3"/>
  <c r="BA33" i="3"/>
  <c r="EF33" i="3"/>
  <c r="K33" i="3"/>
  <c r="CE33" i="3"/>
  <c r="DO33" i="3"/>
  <c r="AC30" i="3"/>
  <c r="EB30" i="3"/>
  <c r="H30" i="3"/>
  <c r="CH30" i="3"/>
  <c r="BZ48" i="3"/>
  <c r="CB48" i="3" s="1"/>
  <c r="AA48" i="3"/>
  <c r="AC48" i="3" s="1"/>
  <c r="AK48" i="3"/>
  <c r="AI47" i="3"/>
  <c r="DR47" i="3"/>
  <c r="AX46" i="3"/>
  <c r="CZ46" i="3"/>
  <c r="DI43" i="3"/>
  <c r="AU41" i="3"/>
  <c r="N36" i="3"/>
  <c r="BV41" i="3"/>
  <c r="EE39" i="3"/>
  <c r="K39" i="3"/>
  <c r="EB38" i="3"/>
  <c r="ED38" i="3" s="1"/>
  <c r="H38" i="3"/>
  <c r="DF38" i="3"/>
  <c r="EE34" i="3"/>
  <c r="EG34" i="3" s="1"/>
  <c r="K34" i="3"/>
  <c r="CE32" i="3"/>
  <c r="K31" i="3"/>
  <c r="EE31" i="3"/>
  <c r="EB39" i="3"/>
  <c r="ED39" i="3" s="1"/>
  <c r="H39" i="3"/>
  <c r="EF39" i="3"/>
  <c r="CN39" i="3"/>
  <c r="CT39" i="3"/>
  <c r="DU28" i="3"/>
  <c r="BV28" i="3"/>
  <c r="AU22" i="3"/>
  <c r="N18" i="3"/>
  <c r="AX42" i="3"/>
  <c r="W42" i="3"/>
  <c r="DL42" i="3"/>
  <c r="EC42" i="3"/>
  <c r="BD42" i="3"/>
  <c r="BD44" i="3"/>
  <c r="EF44" i="3"/>
  <c r="Q44" i="3"/>
  <c r="CN44" i="3"/>
  <c r="BJ44" i="3"/>
  <c r="T44" i="3"/>
  <c r="DR44" i="3"/>
  <c r="AX29" i="3"/>
  <c r="AR29" i="3"/>
  <c r="EF29" i="3"/>
  <c r="CE29" i="3"/>
  <c r="BV22" i="3"/>
  <c r="CZ33" i="3"/>
  <c r="CN30" i="3"/>
  <c r="EB27" i="3"/>
  <c r="ED27" i="3" s="1"/>
  <c r="H27" i="3"/>
  <c r="DC27" i="3"/>
  <c r="CN33" i="3"/>
  <c r="BM33" i="3"/>
  <c r="CW33" i="3"/>
  <c r="T37" i="3"/>
  <c r="CH37" i="3"/>
  <c r="BP37" i="3"/>
  <c r="AC37" i="3"/>
  <c r="N37" i="3"/>
  <c r="DL37" i="3"/>
  <c r="AO37" i="3"/>
  <c r="AR33" i="3"/>
  <c r="W30" i="3"/>
  <c r="EF30" i="3"/>
  <c r="EG30" i="3" s="1"/>
  <c r="AU30" i="3"/>
  <c r="CE30" i="3"/>
  <c r="BP30" i="3"/>
  <c r="DX13" i="3"/>
  <c r="CK13" i="3"/>
  <c r="T10" i="3"/>
  <c r="DR10" i="3"/>
  <c r="EB26" i="3"/>
  <c r="ED26" i="3" s="1"/>
  <c r="H26" i="3"/>
  <c r="K26" i="3"/>
  <c r="EE26" i="3"/>
  <c r="BM26" i="3"/>
  <c r="DO26" i="3"/>
  <c r="AL26" i="3"/>
  <c r="BY26" i="3"/>
  <c r="DI26" i="3"/>
  <c r="DU23" i="3"/>
  <c r="EC20" i="3"/>
  <c r="AO20" i="3"/>
  <c r="BJ20" i="3"/>
  <c r="BV12" i="3"/>
  <c r="W12" i="3"/>
  <c r="CB12" i="3"/>
  <c r="EE9" i="3"/>
  <c r="K9" i="3"/>
  <c r="CH9" i="3"/>
  <c r="AL9" i="3"/>
  <c r="CW9" i="3"/>
  <c r="DL24" i="3"/>
  <c r="CT23" i="3"/>
  <c r="AO23" i="3"/>
  <c r="AF23" i="3"/>
  <c r="CZ23" i="3"/>
  <c r="BM23" i="3"/>
  <c r="K30" i="3"/>
  <c r="CW24" i="3"/>
  <c r="EB24" i="3"/>
  <c r="ED24" i="3" s="1"/>
  <c r="H24" i="3"/>
  <c r="BY24" i="3"/>
  <c r="T24" i="3"/>
  <c r="DR24" i="3"/>
  <c r="Z24" i="3"/>
  <c r="CW12" i="3"/>
  <c r="BY9" i="3"/>
  <c r="AF19" i="3"/>
  <c r="AI19" i="3"/>
  <c r="AO19" i="3"/>
  <c r="BP19" i="3"/>
  <c r="EC19" i="3"/>
  <c r="BG19" i="3"/>
  <c r="CQ19" i="3"/>
  <c r="EA19" i="3"/>
  <c r="BY16" i="3"/>
  <c r="DU16" i="3"/>
  <c r="DL16" i="3"/>
  <c r="BG16" i="3"/>
  <c r="DI16" i="3"/>
  <c r="CN16" i="3"/>
  <c r="AI16" i="3"/>
  <c r="AL16" i="3"/>
  <c r="EF11" i="3"/>
  <c r="DH48" i="3"/>
  <c r="M48" i="3"/>
  <c r="CX48" i="3"/>
  <c r="CZ5" i="3"/>
  <c r="BO48" i="3"/>
  <c r="DQ48" i="3"/>
  <c r="AH48" i="3"/>
  <c r="BQ48" i="3"/>
  <c r="BS48" i="3" s="1"/>
  <c r="BS5" i="3"/>
  <c r="DA48" i="3"/>
  <c r="DC5" i="3"/>
  <c r="X48" i="3"/>
  <c r="Z48" i="3" s="1"/>
  <c r="Z5" i="3"/>
  <c r="DV48" i="3"/>
  <c r="DX48" i="3" s="1"/>
  <c r="DX5" i="3"/>
  <c r="DO14" i="3"/>
  <c r="DL6" i="3"/>
  <c r="Z6" i="3"/>
  <c r="DX6" i="3"/>
  <c r="R48" i="3"/>
  <c r="T48" i="3" s="1"/>
  <c r="EF14" i="3"/>
  <c r="EC14" i="3"/>
  <c r="BA14" i="3"/>
  <c r="BD14" i="3"/>
  <c r="BA7" i="3"/>
  <c r="DC7" i="3"/>
  <c r="BM7" i="3"/>
  <c r="T7" i="3"/>
  <c r="DR7" i="3"/>
  <c r="Z15" i="3"/>
  <c r="DI15" i="3"/>
  <c r="BD15" i="3"/>
  <c r="BY15" i="3"/>
  <c r="Q15" i="3"/>
  <c r="EA6" i="3"/>
  <c r="BG6" i="3"/>
  <c r="CQ7" i="3"/>
  <c r="N6" i="3"/>
  <c r="W7" i="3"/>
  <c r="EE12" i="3"/>
  <c r="BM20" i="3"/>
  <c r="Q20" i="3"/>
  <c r="CZ20" i="3"/>
  <c r="CB20" i="3"/>
  <c r="DI9" i="3"/>
  <c r="AI9" i="3"/>
  <c r="AX23" i="3"/>
  <c r="DF23" i="3"/>
  <c r="BV24" i="3"/>
  <c r="AF24" i="3"/>
  <c r="AC24" i="3"/>
  <c r="EF24" i="3"/>
  <c r="EC16" i="3"/>
  <c r="CY48" i="3"/>
  <c r="AD48" i="3"/>
  <c r="AF48" i="3" s="1"/>
  <c r="AF5" i="3"/>
  <c r="I48" i="3"/>
  <c r="K5" i="3"/>
  <c r="EE5" i="3"/>
  <c r="BW48" i="3"/>
  <c r="BY48" i="3" s="1"/>
  <c r="BY5" i="3"/>
  <c r="DY48" i="3"/>
  <c r="EA48" i="3" s="1"/>
  <c r="EA5" i="3"/>
  <c r="AM48" i="3"/>
  <c r="AO48" i="3" s="1"/>
  <c r="AO5" i="3"/>
  <c r="BU48" i="3"/>
  <c r="DE48" i="3"/>
  <c r="AP48" i="3"/>
  <c r="AR5" i="3"/>
  <c r="DR6" i="3"/>
  <c r="EF6" i="3"/>
  <c r="AU6" i="3"/>
  <c r="EE14" i="3"/>
  <c r="EG14" i="3" s="1"/>
  <c r="K14" i="3"/>
  <c r="BJ14" i="3"/>
  <c r="BV14" i="3"/>
  <c r="AL7" i="3"/>
  <c r="DM48" i="3"/>
  <c r="DO48" i="3" s="1"/>
  <c r="EE15" i="3"/>
  <c r="EG15" i="3" s="1"/>
  <c r="K15" i="3"/>
  <c r="H15" i="3"/>
  <c r="EB15" i="3"/>
  <c r="AO6" i="3"/>
  <c r="CH14" i="3"/>
  <c r="BV7" i="3"/>
  <c r="AX6" i="3"/>
  <c r="DJ48" i="3"/>
  <c r="BR48" i="3"/>
  <c r="BD24" i="3"/>
  <c r="AI24" i="3"/>
  <c r="CN24" i="3"/>
  <c r="AX24" i="3"/>
  <c r="BY23" i="3"/>
  <c r="EF16" i="3"/>
  <c r="CO48" i="3"/>
  <c r="CQ5" i="3"/>
  <c r="AJ48" i="3"/>
  <c r="AL48" i="3" s="1"/>
  <c r="AL5" i="3"/>
  <c r="O48" i="3"/>
  <c r="Q5" i="3"/>
  <c r="CC48" i="3"/>
  <c r="CE48" i="3" s="1"/>
  <c r="CE5" i="3"/>
  <c r="G48" i="3"/>
  <c r="EC5" i="3"/>
  <c r="AT48" i="3"/>
  <c r="CD48" i="3"/>
  <c r="DN48" i="3"/>
  <c r="BB48" i="3"/>
  <c r="BD48" i="3" s="1"/>
  <c r="BD5" i="3"/>
  <c r="EC6" i="3"/>
  <c r="EE7" i="3"/>
  <c r="K7" i="3"/>
  <c r="CN14" i="3"/>
  <c r="EC12" i="3"/>
  <c r="EC15" i="3"/>
  <c r="EE6" i="3"/>
  <c r="EG6" i="3" s="1"/>
  <c r="K6" i="3"/>
  <c r="DX7" i="3"/>
  <c r="T6" i="3"/>
  <c r="EB10" i="3"/>
  <c r="ED10" i="3" s="1"/>
  <c r="CW30" i="3"/>
  <c r="T30" i="3"/>
  <c r="DR30" i="3"/>
  <c r="EC26" i="3"/>
  <c r="CQ26" i="3"/>
  <c r="EA26" i="3"/>
  <c r="CT26" i="3"/>
  <c r="EE20" i="3"/>
  <c r="EG20" i="3" s="1"/>
  <c r="K20" i="3"/>
  <c r="AR12" i="3"/>
  <c r="AX9" i="3"/>
  <c r="EF9" i="3"/>
  <c r="AU9" i="3"/>
  <c r="W25" i="3"/>
  <c r="AR24" i="3"/>
  <c r="H23" i="3"/>
  <c r="EB23" i="3"/>
  <c r="ED23" i="3" s="1"/>
  <c r="DI23" i="3"/>
  <c r="EF23" i="3"/>
  <c r="AU23" i="3"/>
  <c r="DO23" i="3"/>
  <c r="AO24" i="3"/>
  <c r="BP24" i="3"/>
  <c r="EB18" i="3"/>
  <c r="ED18" i="3" s="1"/>
  <c r="ED17" i="3"/>
  <c r="CB19" i="3"/>
  <c r="AU19" i="3"/>
  <c r="DF19" i="3"/>
  <c r="DI19" i="3"/>
  <c r="CQ16" i="3"/>
  <c r="Z16" i="3"/>
  <c r="Q16" i="3"/>
  <c r="CH16" i="3"/>
  <c r="EB8" i="3"/>
  <c r="CH6" i="3"/>
  <c r="BK48" i="3"/>
  <c r="BM48" i="3" s="1"/>
  <c r="BM5" i="3"/>
  <c r="AQ48" i="3"/>
  <c r="V48" i="3"/>
  <c r="CJ48" i="3"/>
  <c r="P48" i="3"/>
  <c r="AY48" i="3"/>
  <c r="BA48" i="3" s="1"/>
  <c r="BA5" i="3"/>
  <c r="CI48" i="3"/>
  <c r="CK48" i="3" s="1"/>
  <c r="CK5" i="3"/>
  <c r="DS48" i="3"/>
  <c r="DU5" i="3"/>
  <c r="BT48" i="3"/>
  <c r="BV48" i="3" s="1"/>
  <c r="BV5" i="3"/>
  <c r="BV6" i="3"/>
  <c r="EF5" i="3"/>
  <c r="BN48" i="3"/>
  <c r="EF17" i="3"/>
  <c r="T14" i="3"/>
  <c r="H14" i="3"/>
  <c r="EB14" i="3"/>
  <c r="ED14" i="3" s="1"/>
  <c r="EF7" i="3"/>
  <c r="AU7" i="3"/>
  <c r="DO7" i="3"/>
  <c r="BP7" i="3"/>
  <c r="T15" i="3"/>
  <c r="N15" i="3"/>
  <c r="AO15" i="3"/>
  <c r="AI15" i="3"/>
  <c r="N14" i="3"/>
  <c r="EB12" i="3"/>
  <c r="ED12" i="3" s="1"/>
  <c r="CF48" i="3"/>
  <c r="CH48" i="3" s="1"/>
  <c r="CH5" i="3"/>
  <c r="EB7" i="3"/>
  <c r="ED7" i="3" s="1"/>
  <c r="H7" i="3"/>
  <c r="DP48" i="3"/>
  <c r="DI5" i="3"/>
  <c r="EB20" i="3"/>
  <c r="ED20" i="3" s="1"/>
  <c r="H20" i="3"/>
  <c r="AF20" i="3"/>
  <c r="EC23" i="3"/>
  <c r="CK23" i="3"/>
  <c r="Q23" i="3"/>
  <c r="ED25" i="3"/>
  <c r="CH24" i="3"/>
  <c r="BG24" i="3"/>
  <c r="BS19" i="3"/>
  <c r="EF19" i="3"/>
  <c r="CZ19" i="3"/>
  <c r="EB16" i="3"/>
  <c r="ED16" i="3" s="1"/>
  <c r="H16" i="3"/>
  <c r="AZ48" i="3"/>
  <c r="AV48" i="3"/>
  <c r="AX48" i="3" s="1"/>
  <c r="AX5" i="3"/>
  <c r="AB48" i="3"/>
  <c r="CP48" i="3"/>
  <c r="U48" i="3"/>
  <c r="W48" i="3" s="1"/>
  <c r="W5" i="3"/>
  <c r="BC48" i="3"/>
  <c r="CM48" i="3"/>
  <c r="DW48" i="3"/>
  <c r="CL48" i="3"/>
  <c r="CN48" i="3" s="1"/>
  <c r="CN5" i="3"/>
  <c r="BM6" i="3"/>
  <c r="CW6" i="3"/>
  <c r="DO5" i="3"/>
  <c r="J48" i="3"/>
  <c r="K16" i="3"/>
  <c r="AI14" i="3"/>
  <c r="CQ14" i="3"/>
  <c r="Z14" i="3"/>
  <c r="Z7" i="3"/>
  <c r="Q7" i="3"/>
  <c r="CH7" i="3"/>
  <c r="AF15" i="3"/>
  <c r="EA15" i="3"/>
  <c r="N5" i="3"/>
  <c r="L48" i="3"/>
  <c r="ED11" i="3"/>
  <c r="CZ6" i="3"/>
  <c r="BE48" i="3"/>
  <c r="BG48" i="3" s="1"/>
  <c r="DG48" i="3"/>
  <c r="BV47" i="3"/>
  <c r="W47" i="3"/>
  <c r="AO46" i="3"/>
  <c r="N46" i="3"/>
  <c r="CW43" i="3"/>
  <c r="AF36" i="3"/>
  <c r="EE36" i="3"/>
  <c r="K36" i="3"/>
  <c r="DI39" i="3"/>
  <c r="W38" i="3"/>
  <c r="EE38" i="3"/>
  <c r="EG38" i="3" s="1"/>
  <c r="CN38" i="3"/>
  <c r="BA42" i="3"/>
  <c r="EB32" i="3"/>
  <c r="BM28" i="3"/>
  <c r="EC28" i="3"/>
  <c r="BD28" i="3"/>
  <c r="AF18" i="3"/>
  <c r="CZ42" i="3"/>
  <c r="BS42" i="3"/>
  <c r="H44" i="3"/>
  <c r="EB44" i="3"/>
  <c r="ED44" i="3" s="1"/>
  <c r="BG44" i="3"/>
  <c r="EC44" i="3"/>
  <c r="EA44" i="3"/>
  <c r="DL44" i="3"/>
  <c r="CZ44" i="3"/>
  <c r="EE46" i="3"/>
  <c r="EG46" i="3" s="1"/>
  <c r="ED35" i="3"/>
  <c r="K18" i="3"/>
  <c r="EE18" i="3"/>
  <c r="AR27" i="3"/>
  <c r="CB27" i="3"/>
  <c r="CW13" i="3"/>
  <c r="Z13" i="3"/>
  <c r="CQ10" i="3"/>
  <c r="Z10" i="3"/>
  <c r="DF33" i="3"/>
  <c r="CH33" i="3"/>
  <c r="BD37" i="3"/>
  <c r="EB37" i="3"/>
  <c r="ED37" i="3" s="1"/>
  <c r="H37" i="3"/>
  <c r="CT37" i="3"/>
  <c r="DC37" i="3"/>
  <c r="AX30" i="3"/>
  <c r="BV13" i="3"/>
  <c r="EC13" i="3"/>
  <c r="EE10" i="3"/>
  <c r="EG10" i="3" s="1"/>
  <c r="K10" i="3"/>
  <c r="AO26" i="3"/>
  <c r="DR26" i="3"/>
  <c r="T26" i="3"/>
  <c r="DF26" i="3"/>
  <c r="EE24" i="3"/>
  <c r="EG24" i="3" s="1"/>
  <c r="K24" i="3"/>
  <c r="CK20" i="3"/>
  <c r="CN20" i="3"/>
  <c r="EF12" i="3"/>
  <c r="DC9" i="3"/>
  <c r="CB9" i="3"/>
  <c r="DX23" i="3"/>
  <c r="BJ23" i="3"/>
  <c r="BA24" i="3"/>
  <c r="DI24" i="3"/>
  <c r="DF24" i="3"/>
  <c r="EC24" i="3"/>
  <c r="CK24" i="3"/>
  <c r="DO24" i="3"/>
  <c r="EA24" i="3"/>
  <c r="BS24" i="3"/>
  <c r="DU24" i="3"/>
  <c r="CZ24" i="3"/>
  <c r="CT19" i="3"/>
  <c r="W19" i="3"/>
  <c r="H19" i="3"/>
  <c r="EB19" i="3"/>
  <c r="ED19" i="3" s="1"/>
  <c r="BJ19" i="3"/>
  <c r="DR19" i="3"/>
  <c r="BD19" i="3"/>
  <c r="EE19" i="3"/>
  <c r="EG19" i="3" s="1"/>
  <c r="K19" i="3"/>
  <c r="BD16" i="3"/>
  <c r="BA16" i="3"/>
  <c r="DC16" i="3"/>
  <c r="BM16" i="3"/>
  <c r="T16" i="3"/>
  <c r="DR16" i="3"/>
  <c r="BY14" i="3"/>
  <c r="EB9" i="3"/>
  <c r="ED9" i="3" s="1"/>
  <c r="DT48" i="3"/>
  <c r="AG48" i="3"/>
  <c r="AI5" i="3"/>
  <c r="CR48" i="3"/>
  <c r="CT48" i="3" s="1"/>
  <c r="CT5" i="3"/>
  <c r="BI48" i="3"/>
  <c r="DK48" i="3"/>
  <c r="Y48" i="3"/>
  <c r="BL48" i="3"/>
  <c r="CV48" i="3"/>
  <c r="F48" i="3"/>
  <c r="H48" i="3" s="1"/>
  <c r="H5" i="3"/>
  <c r="EB5" i="3"/>
  <c r="DD48" i="3"/>
  <c r="DF5" i="3"/>
  <c r="BD7" i="3"/>
  <c r="BH48" i="3"/>
  <c r="DU7" i="3"/>
  <c r="AC6" i="3"/>
  <c r="H6" i="3"/>
  <c r="EB6" i="3"/>
  <c r="DF6" i="3"/>
  <c r="AI6" i="3"/>
  <c r="CW5" i="3"/>
  <c r="EE16" i="3"/>
  <c r="EG16" i="3" s="1"/>
  <c r="BG14" i="3"/>
  <c r="EA14" i="3"/>
  <c r="CK14" i="3"/>
  <c r="AU14" i="3"/>
  <c r="DC14" i="3"/>
  <c r="AR14" i="3"/>
  <c r="AF7" i="3"/>
  <c r="CZ7" i="3"/>
  <c r="BS15" i="3"/>
  <c r="DX15" i="3"/>
  <c r="CB15" i="3"/>
  <c r="DF15" i="3"/>
  <c r="EF15" i="3"/>
  <c r="AU15" i="3"/>
  <c r="CE15" i="3"/>
  <c r="DO15" i="3"/>
  <c r="CB7" i="3"/>
  <c r="AC14" i="3"/>
  <c r="BY6" i="3"/>
  <c r="AU5" i="3"/>
  <c r="AC5" i="3"/>
  <c r="DB48" i="3"/>
  <c r="P123" i="5"/>
  <c r="Q123" i="5" s="1"/>
  <c r="R123" i="5" s="1"/>
  <c r="Q5" i="5"/>
  <c r="R5" i="5" s="1"/>
  <c r="J123" i="5"/>
  <c r="I123" i="5"/>
  <c r="K123" i="5"/>
  <c r="T123" i="5"/>
  <c r="U123" i="5" s="1"/>
  <c r="V123" i="5" s="1"/>
  <c r="U5" i="5"/>
  <c r="V5" i="5" s="1"/>
  <c r="AA48" i="1" l="1"/>
  <c r="AB48" i="1"/>
  <c r="W48" i="1"/>
  <c r="AZ48" i="1"/>
  <c r="BA48" i="1" s="1"/>
  <c r="BB48" i="1" s="1"/>
  <c r="V48" i="1"/>
  <c r="Y48" i="1"/>
  <c r="AN48" i="1"/>
  <c r="AO48" i="1" s="1"/>
  <c r="AP48" i="1" s="1"/>
  <c r="AO5" i="1"/>
  <c r="AP5" i="1" s="1"/>
  <c r="EG39" i="3"/>
  <c r="ED32" i="3"/>
  <c r="DR48" i="3"/>
  <c r="EE48" i="3"/>
  <c r="EG48" i="3" s="1"/>
  <c r="EG5" i="3"/>
  <c r="EB48" i="3"/>
  <c r="ED48" i="3" s="1"/>
  <c r="ED5" i="3"/>
  <c r="DI48" i="3"/>
  <c r="EF48" i="3"/>
  <c r="EG7" i="3"/>
  <c r="Q48" i="3"/>
  <c r="DL48" i="3"/>
  <c r="K48" i="3"/>
  <c r="CZ48" i="3"/>
  <c r="EG31" i="3"/>
  <c r="ED43" i="3"/>
  <c r="EG21" i="3"/>
  <c r="EG29" i="3"/>
  <c r="ED13" i="3"/>
  <c r="EG28" i="3"/>
  <c r="ED45" i="3"/>
  <c r="EG9" i="3"/>
  <c r="ED28" i="3"/>
  <c r="EG23" i="3"/>
  <c r="EC48" i="3"/>
  <c r="AR48" i="3"/>
  <c r="BJ48" i="3"/>
  <c r="EG43" i="3"/>
  <c r="ED6" i="3"/>
  <c r="N48" i="3"/>
  <c r="CQ48" i="3"/>
  <c r="EG44" i="3"/>
  <c r="DF48" i="3"/>
  <c r="AI48" i="3"/>
  <c r="EG18" i="3"/>
  <c r="EG36" i="3"/>
  <c r="BP48" i="3"/>
  <c r="DU48" i="3"/>
  <c r="ED8" i="3"/>
  <c r="ED15" i="3"/>
  <c r="EG12" i="3"/>
  <c r="DC48" i="3"/>
  <c r="EG26" i="3"/>
  <c r="ED30" i="3"/>
  <c r="EG37" i="3"/>
  <c r="EG2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<sst xmlns="http://schemas.openxmlformats.org/spreadsheetml/2006/main" count="989" uniqueCount="352">
  <si>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</si>
  <si>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</si>
  <si>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</si>
  <si>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</si>
  <si>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</si>
  <si>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</si>
  <si>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</si>
  <si>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</si>
  <si>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</si>
  <si>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</si>
  <si>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</si>
  <si>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</si>
  <si>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</si>
  <si>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</si>
  <si>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</si>
  <si>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</si>
  <si>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</si>
  <si>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</si>
  <si>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</si>
  <si>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</si>
  <si>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</si>
  <si>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</si>
  <si>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</si>
  <si>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</si>
  <si>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</si>
  <si>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</si>
  <si>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</si>
  <si>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</si>
  <si>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</si>
  <si>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</si>
  <si>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</si>
  <si>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</si>
  <si>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</si>
  <si>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</si>
  <si>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</si>
  <si>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</si>
  <si>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</si>
  <si>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</si>
  <si>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</si>
  <si>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</si>
  <si>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</si>
  <si>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</si>
  <si>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</si>
  <si>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</si>
  <si>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</si>
  <si>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</si>
  <si>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</si>
  <si>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</si>
  <si>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</si>
  <si>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</si>
  <si>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</si>
  <si>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</si>
  <si>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</si>
  <si>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</si>
  <si>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</si>
  <si>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</si>
  <si>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</si>
  <si>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</si>
  <si>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</si>
  <si>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</si>
  <si>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</si>
  <si>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</si>
  <si>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</si>
  <si>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</si>
  <si>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</si>
  <si>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</si>
  <si>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</si>
  <si>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</si>
  <si>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</si>
  <si>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</si>
  <si>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</si>
  <si>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</si>
  <si>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</si>
  <si>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</si>
  <si>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</si>
  <si>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</si>
  <si>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</si>
  <si>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</si>
  <si>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</si>
  <si>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</si>
  <si>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</si>
  <si>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</si>
  <si>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</si>
  <si>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</si>
  <si>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</si>
  <si>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</si>
  <si>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</si>
  <si>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</si>
  <si>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</si>
  <si>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</si>
  <si>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</si>
  <si>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</si>
  <si>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</si>
  <si>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</si>
  <si>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</si>
  <si>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</si>
  <si>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</si>
  <si>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</si>
  <si>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</si>
  <si>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</si>
  <si>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</si>
  <si>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</si>
  <si>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</si>
  <si>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</si>
  <si>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</si>
  <si>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</si>
  <si>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</si>
  <si>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</si>
  <si>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</si>
  <si>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</si>
  <si>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</si>
  <si>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</si>
  <si>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</si>
  <si>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</si>
  <si>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</si>
  <si>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</si>
  <si>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</si>
  <si>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</si>
  <si>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</si>
  <si>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</si>
  <si>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</si>
  <si>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</si>
  <si>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</si>
  <si>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</si>
  <si>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</si>
  <si>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</si>
  <si>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</si>
  <si>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</si>
  <si>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</si>
  <si>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</si>
  <si>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</si>
  <si>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</si>
  <si>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</si>
  <si>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</si>
  <si>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</si>
  <si>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</si>
  <si>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</si>
  <si>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</si>
  <si>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</si>
  <si>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</si>
  <si>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</si>
  <si>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</si>
  <si>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</si>
  <si>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</si>
  <si>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</si>
  <si>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</si>
  <si>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</si>
  <si>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</si>
  <si>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</si>
  <si>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</si>
  <si>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</si>
  <si>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</si>
  <si>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</si>
  <si>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</si>
  <si>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</si>
  <si>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</si>
  <si>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</si>
  <si>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</si>
  <si>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</si>
  <si>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</si>
  <si>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</si>
  <si>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</si>
  <si>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</si>
  <si>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</si>
  <si>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</si>
  <si>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</si>
  <si>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</si>
  <si>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</si>
  <si>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</si>
  <si>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</si>
  <si>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</si>
  <si>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</si>
  <si>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</si>
  <si>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</si>
  <si>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</si>
  <si>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</si>
  <si>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</si>
  <si>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</si>
  <si>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</si>
  <si>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</si>
  <si>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</si>
  <si>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</si>
  <si>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</si>
  <si>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</si>
  <si>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</si>
  <si>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</si>
  <si>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</si>
  <si>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</si>
  <si>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</si>
  <si>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</si>
  <si>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</si>
  <si>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</si>
  <si>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</si>
  <si>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</si>
  <si>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</si>
  <si>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</si>
  <si>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</si>
  <si>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</si>
  <si>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</si>
  <si>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</si>
  <si>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</si>
  <si>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</si>
  <si>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</si>
  <si>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</si>
  <si>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</si>
  <si>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</si>
  <si>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</si>
  <si>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</si>
  <si>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</si>
  <si>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</si>
  <si>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</si>
  <si>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</si>
  <si>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</si>
  <si>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</si>
  <si>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</si>
  <si>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</si>
  <si>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</si>
  <si>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</si>
  <si>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</si>
  <si>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</si>
  <si>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</si>
  <si>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</si>
  <si>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</si>
  <si>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</si>
  <si>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</si>
  <si>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</si>
  <si>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</si>
  <si>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</si>
  <si>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</si>
  <si>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</si>
  <si>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</si>
  <si>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</si>
  <si>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</si>
  <si>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</si>
  <si>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</si>
  <si>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</si>
  <si>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</si>
  <si>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</si>
  <si>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</si>
  <si>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</si>
  <si>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</si>
  <si>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</si>
  <si>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</si>
  <si>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</si>
  <si>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</si>
  <si>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</si>
  <si>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</si>
  <si>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</si>
  <si>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</si>
  <si>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</si>
  <si>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</si>
  <si>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</si>
  <si>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</si>
  <si>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</si>
  <si>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</si>
  <si>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</si>
  <si>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</si>
  <si>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</si>
  <si>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</si>
  <si>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</si>
  <si>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</si>
  <si>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</si>
  <si>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</si>
  <si>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</si>
  <si>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</si>
  <si>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</si>
  <si>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</si>
  <si>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</si>
  <si>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</si>
  <si>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</si>
  <si>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</si>
  <si>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</si>
  <si>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</si>
  <si>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</si>
  <si>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</si>
  <si>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</si>
  <si>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</si>
  <si>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</si>
  <si>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</si>
  <si>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</si>
  <si>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</si>
  <si>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</si>
  <si>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</si>
  <si>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</si>
  <si>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</si>
  <si>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</si>
  <si>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</si>
  <si>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</si>
  <si>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</si>
  <si>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</si>
  <si>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</si>
  <si>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</si>
  <si>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</si>
  <si>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</si>
  <si>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</si>
  <si>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</si>
  <si>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</si>
  <si>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</si>
  <si>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</si>
  <si>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</si>
  <si>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</si>
  <si>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</si>
  <si>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</si>
  <si>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</si>
  <si>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</si>
  <si>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</si>
  <si>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</si>
  <si>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</si>
  <si>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</si>
  <si>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</si>
  <si>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</si>
  <si>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</si>
  <si>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</si>
  <si>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</si>
  <si>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</si>
  <si>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</si>
  <si>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</si>
  <si>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</si>
  <si>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</si>
  <si>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</si>
  <si>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</si>
  <si>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</si>
  <si>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</si>
  <si>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</si>
  <si>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</si>
  <si>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</si>
  <si>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</si>
  <si>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</si>
  <si>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</si>
  <si>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</si>
  <si>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</si>
  <si>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</si>
  <si>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</si>
  <si>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</si>
  <si>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</si>
  <si>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</si>
  <si>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</si>
  <si>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</si>
  <si>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</si>
  <si>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</si>
  <si>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</si>
  <si>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</si>
  <si>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</si>
  <si>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04/09/26 Sum of Qty</t>
  </si>
  <si>
    <t>04/09/26 Sum of SRP</t>
  </si>
  <si>
    <t>6170703-BNT-CCM VIVO STORE</t>
  </si>
  <si>
    <t>06/09/26 Sum of Qty</t>
  </si>
  <si>
    <t>06/09/26 Sum of SRP</t>
  </si>
  <si>
    <t>05/09/26 Sum of Qty</t>
  </si>
  <si>
    <t>05/09/26 Sum of SRP</t>
  </si>
  <si>
    <t>07/09/26 Sum of Qty</t>
  </si>
  <si>
    <t>07/09/26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</si>
</sst>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1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7" xfId="0" applyNumberFormat="1" applyFont="1" applyFill="1" applyBorder="1" applyAlignment="1">
      <alignment horizontal="center"/>
    </xf>
    <xf numFmtId="0" fontId="16" fillId="4" borderId="98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8" xfId="0" applyNumberFormat="1" applyFont="1" applyFill="1" applyBorder="1" applyAlignment="1">
      <alignment horizontal="center"/>
    </xf>
    <xf numFmtId="9" fontId="14" fillId="4" borderId="99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0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2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3" xfId="0" applyFont="1" applyFill="1" applyBorder="1" applyAlignment="1">
      <alignment horizontal="center" vertical="center"/>
    </xf>
    <xf numFmtId="0" fontId="4" fillId="15" borderId="103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1" xfId="0" applyNumberFormat="1" applyFont="1" applyFill="1" applyBorder="1" applyAlignment="1">
      <alignment horizontal="center" vertical="center"/>
    </xf>
    <xf numFmtId="165" fontId="8" fillId="10" borderId="101" xfId="0" applyNumberFormat="1" applyFont="1" applyFill="1" applyBorder="1" applyAlignment="1">
      <alignment horizontal="center" vertical="center"/>
    </xf>
    <xf numFmtId="9" fontId="7" fillId="10" borderId="101" xfId="0" applyNumberFormat="1" applyFont="1" applyFill="1" applyBorder="1" applyAlignment="1">
      <alignment horizontal="center" vertical="center"/>
    </xf>
    <xf numFmtId="166" fontId="7" fillId="10" borderId="101" xfId="0" applyNumberFormat="1" applyFont="1" applyFill="1" applyBorder="1" applyAlignment="1">
      <alignment horizontal="center" vertical="center"/>
    </xf>
    <xf numFmtId="1" fontId="8" fillId="10" borderId="101" xfId="0" applyNumberFormat="1" applyFont="1" applyFill="1" applyBorder="1" applyAlignment="1">
      <alignment horizontal="center" vertical="center"/>
    </xf>
    <xf numFmtId="1" fontId="7" fillId="10" borderId="101" xfId="0" applyNumberFormat="1" applyFont="1" applyFill="1" applyBorder="1" applyAlignment="1">
      <alignment horizontal="center" vertical="center"/>
    </xf>
    <xf numFmtId="1" fontId="26" fillId="10" borderId="101" xfId="0" applyNumberFormat="1" applyFont="1" applyFill="1" applyBorder="1" applyAlignment="1">
      <alignment horizontal="center" vertical="center"/>
    </xf>
    <xf numFmtId="9" fontId="26" fillId="10" borderId="101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6" xfId="0" applyFont="1" applyFill="1" applyBorder="1"/>
    <xf numFmtId="0" fontId="1" fillId="28" borderId="106" xfId="0" applyFont="1" applyFill="1" applyBorder="1"/>
    <xf numFmtId="0" fontId="1" fillId="27" borderId="107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5" xfId="0" applyFont="1" applyBorder="1"/>
    <xf numFmtId="0" fontId="1" fillId="27" borderId="108" xfId="0" applyFont="1" applyFill="1" applyBorder="1"/>
    <xf numFmtId="0" fontId="1" fillId="27" borderId="109" xfId="0" applyFont="1" applyFill="1" applyBorder="1"/>
    <xf numFmtId="0" fontId="1" fillId="27" borderId="109" xfId="0" applyFont="1" applyFill="1" applyBorder="1" applyAlignment="1">
      <alignment horizontal="center" vertical="center"/>
    </xf>
    <xf numFmtId="164" fontId="1" fillId="27" borderId="109" xfId="0" applyNumberFormat="1" applyFont="1" applyFill="1" applyBorder="1"/>
    <xf numFmtId="164" fontId="1" fillId="27" borderId="110" xfId="0" applyNumberFormat="1" applyFont="1" applyFill="1" applyBorder="1"/>
    <xf numFmtId="38" fontId="33" fillId="0" borderId="77" xfId="1" applyNumberFormat="1" applyFont="1" applyFill="1" applyBorder="1" applyAlignment="1">
      <alignment horizontal="center" vertical="center"/>
    </xf>
    <xf numFmtId="38" fontId="16" fillId="4" borderId="96" xfId="0" applyNumberFormat="1" applyFont="1" applyFill="1" applyBorder="1" applyAlignment="1">
      <alignment horizontal="center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8" fillId="17" borderId="57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28" fillId="17" borderId="59" xfId="0" applyFont="1" applyFill="1" applyBorder="1" applyAlignment="1">
      <alignment horizontal="center" vertical="center" wrapText="1"/>
    </xf>
    <xf numFmtId="0" fontId="32" fillId="13" borderId="66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11" fillId="3" borderId="0" xfId="3" applyFont="1" applyFill="1" applyAlignment="1">
      <alignment horizontal="center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4" fillId="11" borderId="101" xfId="0" applyFont="1" applyFill="1" applyBorder="1" applyAlignment="1">
      <alignment horizontal="center" vertical="center"/>
    </xf>
    <xf numFmtId="0" fontId="4" fillId="11" borderId="103" xfId="0" applyFont="1" applyFill="1" applyBorder="1" applyAlignment="1">
      <alignment horizontal="center" vertical="center"/>
    </xf>
    <xf numFmtId="0" fontId="4" fillId="12" borderId="101" xfId="0" applyFont="1" applyFill="1" applyBorder="1" applyAlignment="1">
      <alignment horizontal="center" vertical="center"/>
    </xf>
    <xf numFmtId="0" fontId="4" fillId="12" borderId="103" xfId="0" applyFont="1" applyFill="1" applyBorder="1" applyAlignment="1">
      <alignment horizontal="center" vertical="center"/>
    </xf>
    <xf numFmtId="0" fontId="4" fillId="13" borderId="101" xfId="0" applyFont="1" applyFill="1" applyBorder="1" applyAlignment="1">
      <alignment horizontal="center" vertical="center"/>
    </xf>
    <xf numFmtId="0" fontId="4" fillId="13" borderId="103" xfId="0" applyFont="1" applyFill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15" borderId="101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2" fillId="0" borderId="28" xfId="0" applyFont="1" applyBorder="1" applyAlignment="1">
      <alignment horizontal="center" vertical="center"/>
    </xf>
    <xf numFmtId="0" fontId="3" fillId="4" borderId="101" xfId="0" applyFont="1" applyFill="1" applyBorder="1" applyAlignment="1">
      <alignment horizontal="center" vertical="center"/>
    </xf>
    <xf numFmtId="0" fontId="3" fillId="5" borderId="101" xfId="0" applyFont="1" applyFill="1" applyBorder="1" applyAlignment="1">
      <alignment horizontal="center" vertical="center"/>
    </xf>
    <xf numFmtId="0" fontId="3" fillId="6" borderId="101" xfId="0" applyFont="1" applyFill="1" applyBorder="1" applyAlignment="1">
      <alignment horizontal="center" vertical="center"/>
    </xf>
    <xf numFmtId="0" fontId="3" fillId="8" borderId="101" xfId="0" applyFont="1" applyFill="1" applyBorder="1" applyAlignment="1">
      <alignment horizontal="center" vertical="center"/>
    </xf>
    <xf numFmtId="0" fontId="3" fillId="9" borderId="101" xfId="0" applyFont="1" applyFill="1" applyBorder="1" applyAlignment="1">
      <alignment horizontal="center" vertical="center"/>
    </xf>
    <xf numFmtId="0" fontId="22" fillId="0" borderId="37" xfId="0" applyFont="1" applyBorder="1" applyAlignment="1">
      <alignment horizontal="center" vertical="center"/>
    </xf>
    <xf numFmtId="0" fontId="22" fillId="0" borderId="104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1" xfId="0" applyFont="1" applyFill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1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6%20Store%20perfomance.xlsx" TargetMode="External"/><Relationship Id="rId1" Type="http://schemas.openxmlformats.org/officeDocument/2006/relationships/externalLinkPath" Target="2026-09-6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7%20Store%20perfomance.xlsx" TargetMode="External"/><Relationship Id="rId1" Type="http://schemas.openxmlformats.org/officeDocument/2006/relationships/externalLinkPath" Target="2026-09-7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</row>
      </sheetData>
      <sheetData sheetId="1">
        <row r="1">
          <cell r="G1" t="str">
            <v>ID Store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L7" t="str">
            <v>Total Sum of Qty</v>
          </cell>
          <cell r="AM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</row>
      </sheetData>
      <sheetData sheetId="17">
        <row r="5">
          <cell r="E5" t="str">
            <v>Segment Price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>
        <row r="7">
          <cell r="D7" t="str">
            <v>3mio&lt;</v>
          </cell>
          <cell r="J7" t="str">
            <v>3mio&gt;</v>
          </cell>
          <cell r="AJ7" t="str">
            <v>Total Sum of Qty</v>
          </cell>
          <cell r="AK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Y31d Pro</v>
          </cell>
          <cell r="L8" t="str">
            <v>Y11d</v>
          </cell>
          <cell r="N8" t="str">
            <v xml:space="preserve">Y31d </v>
          </cell>
          <cell r="P8" t="str">
            <v>V70 FE</v>
          </cell>
          <cell r="R8" t="str">
            <v>Y31d</v>
          </cell>
          <cell r="T8" t="str">
            <v>Y500</v>
          </cell>
          <cell r="V8" t="str">
            <v>IQOO 15R</v>
          </cell>
          <cell r="X8" t="str">
            <v>V60 Lite</v>
          </cell>
          <cell r="Z8" t="str">
            <v>X300 Ultra</v>
          </cell>
          <cell r="AB8" t="str">
            <v>IQOO Z11</v>
          </cell>
          <cell r="AD8" t="str">
            <v>IQOO Z11x</v>
          </cell>
          <cell r="AF8" t="str">
            <v>V70</v>
          </cell>
          <cell r="AH8" t="str">
            <v xml:space="preserve">X300 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</row>
        <row r="10">
          <cell r="B10">
            <v>6170706</v>
          </cell>
          <cell r="D10">
            <v>4</v>
          </cell>
          <cell r="E10">
            <v>9796000</v>
          </cell>
          <cell r="F10">
            <v>11</v>
          </cell>
          <cell r="G10">
            <v>29989000</v>
          </cell>
          <cell r="J10">
            <v>4</v>
          </cell>
          <cell r="K10">
            <v>8396000</v>
          </cell>
          <cell r="N10">
            <v>2</v>
          </cell>
          <cell r="O10">
            <v>7798000</v>
          </cell>
          <cell r="T10">
            <v>1</v>
          </cell>
          <cell r="U10">
            <v>7199000</v>
          </cell>
          <cell r="X10">
            <v>1</v>
          </cell>
          <cell r="Y10">
            <v>6299000</v>
          </cell>
          <cell r="AB10">
            <v>1</v>
          </cell>
          <cell r="AC10">
            <v>5899000</v>
          </cell>
          <cell r="AL10">
            <v>24</v>
          </cell>
          <cell r="AM10">
            <v>75376000</v>
          </cell>
        </row>
        <row r="11">
          <cell r="B11">
            <v>6170707</v>
          </cell>
          <cell r="D11">
            <v>6</v>
          </cell>
          <cell r="E11">
            <v>14694000</v>
          </cell>
          <cell r="F11">
            <v>8</v>
          </cell>
          <cell r="G11">
            <v>21192000</v>
          </cell>
          <cell r="X11">
            <v>1</v>
          </cell>
          <cell r="Y11">
            <v>5499000</v>
          </cell>
          <cell r="AB11">
            <v>1</v>
          </cell>
          <cell r="AC11">
            <v>5299000</v>
          </cell>
          <cell r="AL11">
            <v>16</v>
          </cell>
          <cell r="AM11">
            <v>46684000</v>
          </cell>
        </row>
        <row r="12">
          <cell r="B12">
            <v>6240702</v>
          </cell>
          <cell r="D12">
            <v>3</v>
          </cell>
          <cell r="E12">
            <v>7497000</v>
          </cell>
          <cell r="F12">
            <v>6</v>
          </cell>
          <cell r="G12">
            <v>15194000</v>
          </cell>
          <cell r="J12">
            <v>3</v>
          </cell>
          <cell r="K12">
            <v>6297000</v>
          </cell>
          <cell r="L12">
            <v>2</v>
          </cell>
          <cell r="M12">
            <v>18998000</v>
          </cell>
          <cell r="N12">
            <v>2</v>
          </cell>
          <cell r="O12">
            <v>8798000</v>
          </cell>
          <cell r="X12">
            <v>1</v>
          </cell>
          <cell r="Y12">
            <v>5499000</v>
          </cell>
          <cell r="AB12">
            <v>3</v>
          </cell>
          <cell r="AC12">
            <v>16497000</v>
          </cell>
          <cell r="AL12">
            <v>20</v>
          </cell>
          <cell r="AM12">
            <v>78780000</v>
          </cell>
        </row>
        <row r="13">
          <cell r="B13">
            <v>6240701</v>
          </cell>
          <cell r="D13">
            <v>5</v>
          </cell>
          <cell r="E13">
            <v>12695000</v>
          </cell>
          <cell r="F13">
            <v>12</v>
          </cell>
          <cell r="G13">
            <v>31588000</v>
          </cell>
          <cell r="J13">
            <v>3</v>
          </cell>
          <cell r="K13">
            <v>6297000</v>
          </cell>
          <cell r="N13">
            <v>4</v>
          </cell>
          <cell r="O13">
            <v>18596000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1</v>
          </cell>
          <cell r="Y13">
            <v>6299000</v>
          </cell>
          <cell r="AL13">
            <v>27</v>
          </cell>
          <cell r="AM13">
            <v>85573000</v>
          </cell>
        </row>
        <row r="14">
          <cell r="B14">
            <v>6170703</v>
          </cell>
          <cell r="F14">
            <v>1</v>
          </cell>
          <cell r="G14">
            <v>2399000</v>
          </cell>
          <cell r="L14">
            <v>1</v>
          </cell>
          <cell r="M14">
            <v>9999000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AJ14">
            <v>1</v>
          </cell>
          <cell r="AK14">
            <v>6899000</v>
          </cell>
          <cell r="AL14">
            <v>5</v>
          </cell>
          <cell r="AM14">
            <v>31795000</v>
          </cell>
        </row>
        <row r="15">
          <cell r="B15">
            <v>6240704</v>
          </cell>
          <cell r="J15">
            <v>3</v>
          </cell>
          <cell r="K15">
            <v>6297000</v>
          </cell>
          <cell r="AL15">
            <v>3</v>
          </cell>
          <cell r="AM15">
            <v>6297000</v>
          </cell>
        </row>
        <row r="16">
          <cell r="B16">
            <v>6240703</v>
          </cell>
          <cell r="D16">
            <v>6</v>
          </cell>
          <cell r="E16">
            <v>14394000</v>
          </cell>
          <cell r="F16">
            <v>3</v>
          </cell>
          <cell r="G16">
            <v>7997000</v>
          </cell>
          <cell r="J16">
            <v>1</v>
          </cell>
          <cell r="K16">
            <v>2099000</v>
          </cell>
          <cell r="L16">
            <v>1</v>
          </cell>
          <cell r="M16">
            <v>9999000</v>
          </cell>
          <cell r="N16">
            <v>5</v>
          </cell>
          <cell r="O16">
            <v>20295000</v>
          </cell>
          <cell r="P16">
            <v>1</v>
          </cell>
          <cell r="Q16">
            <v>3599000</v>
          </cell>
          <cell r="V16">
            <v>1</v>
          </cell>
          <cell r="W16">
            <v>3599000</v>
          </cell>
          <cell r="AB16">
            <v>2</v>
          </cell>
          <cell r="AC16">
            <v>11798000</v>
          </cell>
          <cell r="AD16">
            <v>1</v>
          </cell>
          <cell r="AE16">
            <v>25999000</v>
          </cell>
          <cell r="AJ16">
            <v>1</v>
          </cell>
          <cell r="AK16">
            <v>7999000</v>
          </cell>
          <cell r="AL16">
            <v>22</v>
          </cell>
          <cell r="AM16">
            <v>107778000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2</v>
          </cell>
          <cell r="G17">
            <v>5598000</v>
          </cell>
          <cell r="T17">
            <v>1</v>
          </cell>
          <cell r="U17">
            <v>6499000</v>
          </cell>
          <cell r="X17">
            <v>1</v>
          </cell>
          <cell r="Y17">
            <v>5499000</v>
          </cell>
          <cell r="AJ17">
            <v>2</v>
          </cell>
          <cell r="AK17">
            <v>15298000</v>
          </cell>
          <cell r="AL17">
            <v>7</v>
          </cell>
          <cell r="AM17">
            <v>35493000</v>
          </cell>
        </row>
        <row r="18">
          <cell r="B18">
            <v>6240707</v>
          </cell>
          <cell r="F18">
            <v>3</v>
          </cell>
          <cell r="G18">
            <v>8397000</v>
          </cell>
          <cell r="J18">
            <v>1</v>
          </cell>
          <cell r="K18">
            <v>2099000</v>
          </cell>
          <cell r="N18">
            <v>1</v>
          </cell>
          <cell r="O18">
            <v>4299000</v>
          </cell>
          <cell r="AL18">
            <v>5</v>
          </cell>
          <cell r="AM18">
            <v>14795000</v>
          </cell>
        </row>
        <row r="19">
          <cell r="B19">
            <v>6240706</v>
          </cell>
          <cell r="F19">
            <v>2</v>
          </cell>
          <cell r="G19">
            <v>5198000</v>
          </cell>
          <cell r="J19">
            <v>1</v>
          </cell>
          <cell r="K19">
            <v>2099000</v>
          </cell>
          <cell r="N19">
            <v>2</v>
          </cell>
          <cell r="O19">
            <v>9398000</v>
          </cell>
          <cell r="AB19">
            <v>1</v>
          </cell>
          <cell r="AC19">
            <v>5299000</v>
          </cell>
          <cell r="AL19">
            <v>6</v>
          </cell>
          <cell r="AM19">
            <v>21994000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2</v>
          </cell>
          <cell r="O20">
            <v>8198000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L20">
            <v>6</v>
          </cell>
          <cell r="AM20">
            <v>24894000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1</v>
          </cell>
          <cell r="K21">
            <v>2099000</v>
          </cell>
          <cell r="N21">
            <v>1</v>
          </cell>
          <cell r="O21">
            <v>3899000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  <cell r="AL21">
            <v>6</v>
          </cell>
          <cell r="AM21">
            <v>23194000</v>
          </cell>
        </row>
        <row r="22">
          <cell r="B22">
            <v>6220701</v>
          </cell>
          <cell r="D22">
            <v>4</v>
          </cell>
          <cell r="E22">
            <v>9496000</v>
          </cell>
          <cell r="F22">
            <v>4</v>
          </cell>
          <cell r="G22">
            <v>11196000</v>
          </cell>
          <cell r="N22">
            <v>1</v>
          </cell>
          <cell r="O22">
            <v>4299000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  <cell r="AL22">
            <v>12</v>
          </cell>
          <cell r="AM22">
            <v>42988000</v>
          </cell>
        </row>
        <row r="23">
          <cell r="B23">
            <v>6050701</v>
          </cell>
          <cell r="F23">
            <v>4</v>
          </cell>
          <cell r="G23">
            <v>11196000</v>
          </cell>
          <cell r="J23">
            <v>1</v>
          </cell>
          <cell r="K23">
            <v>2099000</v>
          </cell>
          <cell r="L23">
            <v>1</v>
          </cell>
          <cell r="M23">
            <v>9999000</v>
          </cell>
          <cell r="N23">
            <v>1</v>
          </cell>
          <cell r="O23">
            <v>4299000</v>
          </cell>
          <cell r="T23">
            <v>1</v>
          </cell>
          <cell r="U23">
            <v>6499000</v>
          </cell>
          <cell r="AB23">
            <v>1</v>
          </cell>
          <cell r="AC23">
            <v>5299000</v>
          </cell>
          <cell r="AJ23">
            <v>2</v>
          </cell>
          <cell r="AK23">
            <v>13798000</v>
          </cell>
          <cell r="AL23">
            <v>11</v>
          </cell>
          <cell r="AM23">
            <v>53189000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3</v>
          </cell>
          <cell r="O24">
            <v>13697000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  <cell r="AL24">
            <v>9</v>
          </cell>
          <cell r="AM24">
            <v>43391000</v>
          </cell>
        </row>
        <row r="25">
          <cell r="B25">
            <v>6050706</v>
          </cell>
          <cell r="D25">
            <v>5</v>
          </cell>
          <cell r="E25">
            <v>12695000</v>
          </cell>
          <cell r="F25">
            <v>7</v>
          </cell>
          <cell r="G25">
            <v>18793000</v>
          </cell>
          <cell r="T25">
            <v>1</v>
          </cell>
          <cell r="U25">
            <v>6999000</v>
          </cell>
          <cell r="X25">
            <v>2</v>
          </cell>
          <cell r="Y25">
            <v>11798000</v>
          </cell>
          <cell r="AL25">
            <v>15</v>
          </cell>
          <cell r="AM25">
            <v>50285000</v>
          </cell>
        </row>
        <row r="26">
          <cell r="B26">
            <v>6190704</v>
          </cell>
          <cell r="D26">
            <v>1</v>
          </cell>
          <cell r="E26">
            <v>2299000</v>
          </cell>
          <cell r="F26">
            <v>10</v>
          </cell>
          <cell r="G26">
            <v>25590000</v>
          </cell>
          <cell r="J26">
            <v>10</v>
          </cell>
          <cell r="K26">
            <v>20990000</v>
          </cell>
          <cell r="L26">
            <v>1</v>
          </cell>
          <cell r="M26">
            <v>8999000</v>
          </cell>
          <cell r="N26">
            <v>5</v>
          </cell>
          <cell r="O26">
            <v>24695000</v>
          </cell>
          <cell r="T26">
            <v>4</v>
          </cell>
          <cell r="U26">
            <v>28896000</v>
          </cell>
          <cell r="X26">
            <v>1</v>
          </cell>
          <cell r="Y26">
            <v>5499000</v>
          </cell>
          <cell r="AL26">
            <v>32</v>
          </cell>
          <cell r="AM26">
            <v>116968000</v>
          </cell>
        </row>
        <row r="27">
          <cell r="B27">
            <v>6190701</v>
          </cell>
          <cell r="D27">
            <v>1</v>
          </cell>
          <cell r="E27">
            <v>2299000</v>
          </cell>
          <cell r="F27">
            <v>4</v>
          </cell>
          <cell r="G27">
            <v>11196000</v>
          </cell>
          <cell r="J27">
            <v>2</v>
          </cell>
          <cell r="K27">
            <v>4198000</v>
          </cell>
          <cell r="N27">
            <v>3</v>
          </cell>
          <cell r="O27">
            <v>11697000</v>
          </cell>
          <cell r="AB27">
            <v>1</v>
          </cell>
          <cell r="AC27">
            <v>5299000</v>
          </cell>
          <cell r="AL27">
            <v>11</v>
          </cell>
          <cell r="AM27">
            <v>34689000</v>
          </cell>
        </row>
        <row r="28">
          <cell r="B28">
            <v>6190707</v>
          </cell>
          <cell r="D28">
            <v>9</v>
          </cell>
          <cell r="E28">
            <v>21591000</v>
          </cell>
          <cell r="F28">
            <v>11</v>
          </cell>
          <cell r="G28">
            <v>29589000</v>
          </cell>
          <cell r="J28">
            <v>4</v>
          </cell>
          <cell r="K28">
            <v>8396000</v>
          </cell>
          <cell r="N28">
            <v>4</v>
          </cell>
          <cell r="O28">
            <v>18796000</v>
          </cell>
          <cell r="X28">
            <v>1</v>
          </cell>
          <cell r="Y28">
            <v>5499000</v>
          </cell>
          <cell r="Z28">
            <v>1</v>
          </cell>
          <cell r="AA28">
            <v>11999000</v>
          </cell>
          <cell r="AB28">
            <v>1</v>
          </cell>
          <cell r="AC28">
            <v>5299000</v>
          </cell>
          <cell r="AH28">
            <v>1</v>
          </cell>
          <cell r="AI28">
            <v>5699000</v>
          </cell>
          <cell r="AJ28">
            <v>1</v>
          </cell>
          <cell r="AK28">
            <v>6899000</v>
          </cell>
          <cell r="AL28">
            <v>33</v>
          </cell>
          <cell r="AM28">
            <v>113767000</v>
          </cell>
        </row>
        <row r="29">
          <cell r="B29">
            <v>6190706</v>
          </cell>
          <cell r="D29">
            <v>4</v>
          </cell>
          <cell r="E29">
            <v>10096000</v>
          </cell>
          <cell r="F29">
            <v>9</v>
          </cell>
          <cell r="G29">
            <v>23191000</v>
          </cell>
          <cell r="J29">
            <v>2</v>
          </cell>
          <cell r="K29">
            <v>4198000</v>
          </cell>
          <cell r="L29">
            <v>1</v>
          </cell>
          <cell r="M29">
            <v>9999000</v>
          </cell>
          <cell r="N29">
            <v>7</v>
          </cell>
          <cell r="O29">
            <v>30493000</v>
          </cell>
          <cell r="T29">
            <v>3</v>
          </cell>
          <cell r="U29">
            <v>22397000</v>
          </cell>
          <cell r="X29">
            <v>1</v>
          </cell>
          <cell r="Y29">
            <v>5499000</v>
          </cell>
          <cell r="AB29">
            <v>1</v>
          </cell>
          <cell r="AC29">
            <v>5299000</v>
          </cell>
          <cell r="AD29">
            <v>1</v>
          </cell>
          <cell r="AE29">
            <v>25999000</v>
          </cell>
          <cell r="AJ29">
            <v>1</v>
          </cell>
          <cell r="AK29">
            <v>6899000</v>
          </cell>
          <cell r="AL29">
            <v>30</v>
          </cell>
          <cell r="AM29">
            <v>144070000</v>
          </cell>
        </row>
        <row r="30">
          <cell r="B30">
            <v>6190705</v>
          </cell>
          <cell r="D30">
            <v>1</v>
          </cell>
          <cell r="E30">
            <v>2299000</v>
          </cell>
          <cell r="F30">
            <v>3</v>
          </cell>
          <cell r="G30">
            <v>7597000</v>
          </cell>
          <cell r="J30">
            <v>1</v>
          </cell>
          <cell r="K30">
            <v>2099000</v>
          </cell>
          <cell r="N30">
            <v>2</v>
          </cell>
          <cell r="O30">
            <v>7798000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L30">
            <v>9</v>
          </cell>
          <cell r="AM30">
            <v>35391000</v>
          </cell>
        </row>
        <row r="31">
          <cell r="B31">
            <v>6190708</v>
          </cell>
          <cell r="F31">
            <v>1</v>
          </cell>
          <cell r="G31">
            <v>2799000</v>
          </cell>
          <cell r="L31">
            <v>1</v>
          </cell>
          <cell r="M31">
            <v>9999000</v>
          </cell>
          <cell r="AL31">
            <v>2</v>
          </cell>
          <cell r="AM31">
            <v>12798000</v>
          </cell>
        </row>
        <row r="32">
          <cell r="B32">
            <v>6180706</v>
          </cell>
          <cell r="D32">
            <v>4</v>
          </cell>
          <cell r="E32">
            <v>9496000</v>
          </cell>
          <cell r="F32">
            <v>5</v>
          </cell>
          <cell r="G32">
            <v>13195000</v>
          </cell>
          <cell r="J32">
            <v>9</v>
          </cell>
          <cell r="K32">
            <v>18891000</v>
          </cell>
          <cell r="L32">
            <v>2</v>
          </cell>
          <cell r="M32">
            <v>19998000</v>
          </cell>
          <cell r="N32">
            <v>1</v>
          </cell>
          <cell r="O32">
            <v>3899000</v>
          </cell>
          <cell r="T32">
            <v>2</v>
          </cell>
          <cell r="U32">
            <v>15998000</v>
          </cell>
          <cell r="X32">
            <v>1</v>
          </cell>
          <cell r="Y32">
            <v>6299000</v>
          </cell>
          <cell r="AB32">
            <v>2</v>
          </cell>
          <cell r="AC32">
            <v>10598000</v>
          </cell>
          <cell r="AJ32">
            <v>1</v>
          </cell>
          <cell r="AK32">
            <v>6899000</v>
          </cell>
          <cell r="AL32">
            <v>27</v>
          </cell>
          <cell r="AM32">
            <v>105273000</v>
          </cell>
        </row>
        <row r="33">
          <cell r="B33">
            <v>6180707</v>
          </cell>
          <cell r="F33">
            <v>2</v>
          </cell>
          <cell r="G33">
            <v>5598000</v>
          </cell>
          <cell r="N33">
            <v>1</v>
          </cell>
          <cell r="O33">
            <v>4899000</v>
          </cell>
          <cell r="AL33">
            <v>3</v>
          </cell>
          <cell r="AM33">
            <v>10497000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1</v>
          </cell>
          <cell r="G34">
            <v>2799000</v>
          </cell>
          <cell r="L34">
            <v>1</v>
          </cell>
          <cell r="M34">
            <v>8999000</v>
          </cell>
          <cell r="N34">
            <v>2</v>
          </cell>
          <cell r="O34">
            <v>9198000</v>
          </cell>
          <cell r="T34">
            <v>2</v>
          </cell>
          <cell r="U34">
            <v>13998000</v>
          </cell>
          <cell r="AJ34">
            <v>2</v>
          </cell>
          <cell r="AK34">
            <v>15098000</v>
          </cell>
          <cell r="AL34">
            <v>10</v>
          </cell>
          <cell r="AM34">
            <v>54690000</v>
          </cell>
        </row>
        <row r="35">
          <cell r="B35">
            <v>6140705</v>
          </cell>
          <cell r="F35">
            <v>1</v>
          </cell>
          <cell r="G35">
            <v>2399000</v>
          </cell>
          <cell r="L35">
            <v>2</v>
          </cell>
          <cell r="M35">
            <v>19998000</v>
          </cell>
          <cell r="T35">
            <v>2</v>
          </cell>
          <cell r="U35">
            <v>12998000</v>
          </cell>
          <cell r="AB35">
            <v>1</v>
          </cell>
          <cell r="AC35">
            <v>5299000</v>
          </cell>
          <cell r="AD35">
            <v>1</v>
          </cell>
          <cell r="AE35">
            <v>25999000</v>
          </cell>
          <cell r="AH35">
            <v>1</v>
          </cell>
          <cell r="AI35">
            <v>5699000</v>
          </cell>
          <cell r="AJ35">
            <v>3</v>
          </cell>
          <cell r="AK35">
            <v>20697000</v>
          </cell>
          <cell r="AL35">
            <v>11</v>
          </cell>
          <cell r="AM35">
            <v>93089000</v>
          </cell>
        </row>
        <row r="36">
          <cell r="B36">
            <v>6140706</v>
          </cell>
          <cell r="F36">
            <v>2</v>
          </cell>
          <cell r="G36">
            <v>5198000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AD36">
            <v>1</v>
          </cell>
          <cell r="AE36">
            <v>25999000</v>
          </cell>
          <cell r="AL36">
            <v>5</v>
          </cell>
          <cell r="AM36">
            <v>45095000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4</v>
          </cell>
          <cell r="G37">
            <v>10796000</v>
          </cell>
          <cell r="J37">
            <v>1</v>
          </cell>
          <cell r="K37">
            <v>2099000</v>
          </cell>
          <cell r="L37">
            <v>2</v>
          </cell>
          <cell r="M37">
            <v>20998000</v>
          </cell>
          <cell r="N37">
            <v>1</v>
          </cell>
          <cell r="O37">
            <v>5499000</v>
          </cell>
          <cell r="X37">
            <v>2</v>
          </cell>
          <cell r="Y37">
            <v>11798000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  <cell r="AL37">
            <v>15</v>
          </cell>
          <cell r="AM37">
            <v>79885000</v>
          </cell>
        </row>
        <row r="38">
          <cell r="B38">
            <v>6040701</v>
          </cell>
          <cell r="D38">
            <v>4</v>
          </cell>
          <cell r="E38">
            <v>10396000</v>
          </cell>
          <cell r="F38">
            <v>4</v>
          </cell>
          <cell r="G38">
            <v>10396000</v>
          </cell>
          <cell r="J38">
            <v>1</v>
          </cell>
          <cell r="K38">
            <v>2099000</v>
          </cell>
          <cell r="N38">
            <v>6</v>
          </cell>
          <cell r="O38">
            <v>27394000</v>
          </cell>
          <cell r="T38">
            <v>3</v>
          </cell>
          <cell r="U38">
            <v>21197000</v>
          </cell>
          <cell r="X38">
            <v>1</v>
          </cell>
          <cell r="Y38">
            <v>5499000</v>
          </cell>
          <cell r="AL38">
            <v>19</v>
          </cell>
          <cell r="AM38">
            <v>76981000</v>
          </cell>
        </row>
        <row r="39">
          <cell r="B39">
            <v>6040702</v>
          </cell>
          <cell r="D39">
            <v>2</v>
          </cell>
          <cell r="E39">
            <v>5198000</v>
          </cell>
          <cell r="J39">
            <v>1</v>
          </cell>
          <cell r="K39">
            <v>2099000</v>
          </cell>
          <cell r="L39">
            <v>1</v>
          </cell>
          <cell r="M39">
            <v>10999000</v>
          </cell>
          <cell r="T39">
            <v>1</v>
          </cell>
          <cell r="U39">
            <v>6499000</v>
          </cell>
          <cell r="X39">
            <v>2</v>
          </cell>
          <cell r="Y39">
            <v>11798000</v>
          </cell>
          <cell r="AJ39">
            <v>1</v>
          </cell>
          <cell r="AK39">
            <v>6899000</v>
          </cell>
          <cell r="AL39">
            <v>8</v>
          </cell>
          <cell r="AM39">
            <v>43492000</v>
          </cell>
        </row>
        <row r="40">
          <cell r="B40">
            <v>6040703</v>
          </cell>
          <cell r="D40">
            <v>1</v>
          </cell>
          <cell r="E40">
            <v>2599000</v>
          </cell>
          <cell r="F40">
            <v>2</v>
          </cell>
          <cell r="G40">
            <v>5198000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N40">
            <v>1</v>
          </cell>
          <cell r="O40">
            <v>3899000</v>
          </cell>
          <cell r="T40">
            <v>1</v>
          </cell>
          <cell r="U40">
            <v>6999000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L40">
            <v>11</v>
          </cell>
          <cell r="AM40">
            <v>66189000</v>
          </cell>
        </row>
        <row r="41">
          <cell r="B41">
            <v>6020711</v>
          </cell>
          <cell r="D41">
            <v>4</v>
          </cell>
          <cell r="E41">
            <v>9196000</v>
          </cell>
          <cell r="F41">
            <v>5</v>
          </cell>
          <cell r="G41">
            <v>11995000</v>
          </cell>
          <cell r="J41">
            <v>2</v>
          </cell>
          <cell r="K41">
            <v>4198000</v>
          </cell>
          <cell r="L41">
            <v>2</v>
          </cell>
          <cell r="M41">
            <v>19998000</v>
          </cell>
          <cell r="N41">
            <v>4</v>
          </cell>
          <cell r="O41">
            <v>19196000</v>
          </cell>
          <cell r="T41">
            <v>2</v>
          </cell>
          <cell r="U41">
            <v>13498000</v>
          </cell>
          <cell r="AD41">
            <v>1</v>
          </cell>
          <cell r="AE41">
            <v>29999000</v>
          </cell>
          <cell r="AJ41">
            <v>1</v>
          </cell>
          <cell r="AK41">
            <v>6899000</v>
          </cell>
          <cell r="AL41">
            <v>21</v>
          </cell>
          <cell r="AM41">
            <v>114979000</v>
          </cell>
        </row>
        <row r="42">
          <cell r="B42">
            <v>6020706</v>
          </cell>
          <cell r="D42">
            <v>9</v>
          </cell>
          <cell r="E42">
            <v>21891000</v>
          </cell>
          <cell r="F42">
            <v>4</v>
          </cell>
          <cell r="G42">
            <v>11196000</v>
          </cell>
          <cell r="J42">
            <v>1</v>
          </cell>
          <cell r="K42">
            <v>2099000</v>
          </cell>
          <cell r="N42">
            <v>4</v>
          </cell>
          <cell r="O42">
            <v>18596000</v>
          </cell>
          <cell r="R42">
            <v>1</v>
          </cell>
          <cell r="S42">
            <v>3599000</v>
          </cell>
          <cell r="X42">
            <v>1</v>
          </cell>
          <cell r="Y42">
            <v>6299000</v>
          </cell>
          <cell r="AB42">
            <v>2</v>
          </cell>
          <cell r="AC42">
            <v>11298000</v>
          </cell>
          <cell r="AH42">
            <v>1</v>
          </cell>
          <cell r="AI42">
            <v>5699000</v>
          </cell>
          <cell r="AL42">
            <v>23</v>
          </cell>
          <cell r="AM42">
            <v>80677000</v>
          </cell>
        </row>
        <row r="43">
          <cell r="B43">
            <v>6020704</v>
          </cell>
          <cell r="D43">
            <v>1</v>
          </cell>
          <cell r="E43">
            <v>2299000</v>
          </cell>
          <cell r="F43">
            <v>3</v>
          </cell>
          <cell r="G43">
            <v>8397000</v>
          </cell>
          <cell r="J43">
            <v>2</v>
          </cell>
          <cell r="K43">
            <v>4198000</v>
          </cell>
          <cell r="N43">
            <v>2</v>
          </cell>
          <cell r="O43">
            <v>8198000</v>
          </cell>
          <cell r="R43">
            <v>1</v>
          </cell>
          <cell r="S43">
            <v>3599000</v>
          </cell>
          <cell r="AB43">
            <v>1</v>
          </cell>
          <cell r="AC43">
            <v>5299000</v>
          </cell>
          <cell r="AJ43">
            <v>1</v>
          </cell>
          <cell r="AK43">
            <v>6899000</v>
          </cell>
          <cell r="AL43">
            <v>11</v>
          </cell>
          <cell r="AM43">
            <v>38889000</v>
          </cell>
        </row>
        <row r="44">
          <cell r="B44">
            <v>6010708</v>
          </cell>
          <cell r="D44">
            <v>5</v>
          </cell>
          <cell r="E44">
            <v>12995000</v>
          </cell>
          <cell r="F44">
            <v>2</v>
          </cell>
          <cell r="G44">
            <v>4798000</v>
          </cell>
          <cell r="J44">
            <v>3</v>
          </cell>
          <cell r="K44">
            <v>6297000</v>
          </cell>
          <cell r="N44">
            <v>3</v>
          </cell>
          <cell r="O44">
            <v>12897000</v>
          </cell>
          <cell r="T44">
            <v>1</v>
          </cell>
          <cell r="U44">
            <v>7999000</v>
          </cell>
          <cell r="AB44">
            <v>2</v>
          </cell>
          <cell r="AC44">
            <v>11198000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L44">
            <v>18</v>
          </cell>
          <cell r="AM44">
            <v>70282000</v>
          </cell>
        </row>
        <row r="45">
          <cell r="B45">
            <v>6010703</v>
          </cell>
          <cell r="D45">
            <v>2</v>
          </cell>
          <cell r="E45">
            <v>4898000</v>
          </cell>
          <cell r="F45">
            <v>5</v>
          </cell>
          <cell r="G45">
            <v>13195000</v>
          </cell>
          <cell r="J45">
            <v>26</v>
          </cell>
          <cell r="K45">
            <v>54574000</v>
          </cell>
          <cell r="N45">
            <v>4</v>
          </cell>
          <cell r="O45">
            <v>15996000</v>
          </cell>
          <cell r="X45">
            <v>1</v>
          </cell>
          <cell r="Y45">
            <v>6299000</v>
          </cell>
          <cell r="AL45">
            <v>38</v>
          </cell>
          <cell r="AM45">
            <v>94962000</v>
          </cell>
        </row>
        <row r="46">
          <cell r="B46">
            <v>6010702</v>
          </cell>
          <cell r="D46">
            <v>12</v>
          </cell>
          <cell r="E46">
            <v>28788000</v>
          </cell>
          <cell r="F46">
            <v>17</v>
          </cell>
          <cell r="G46">
            <v>45183000</v>
          </cell>
          <cell r="J46">
            <v>31</v>
          </cell>
          <cell r="K46">
            <v>65069000</v>
          </cell>
          <cell r="L46">
            <v>1</v>
          </cell>
          <cell r="M46">
            <v>9999000</v>
          </cell>
          <cell r="N46">
            <v>10</v>
          </cell>
          <cell r="O46">
            <v>44390000</v>
          </cell>
          <cell r="X46">
            <v>1</v>
          </cell>
          <cell r="Y46">
            <v>5499000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1</v>
          </cell>
          <cell r="AK46">
            <v>6699000</v>
          </cell>
          <cell r="AL46">
            <v>75</v>
          </cell>
          <cell r="AM46">
            <v>216525000</v>
          </cell>
        </row>
        <row r="47">
          <cell r="B47">
            <v>6010701</v>
          </cell>
          <cell r="D47">
            <v>17</v>
          </cell>
          <cell r="E47">
            <v>39983000</v>
          </cell>
          <cell r="F47">
            <v>9</v>
          </cell>
          <cell r="G47">
            <v>23991000</v>
          </cell>
          <cell r="J47">
            <v>18</v>
          </cell>
          <cell r="K47">
            <v>37782000</v>
          </cell>
          <cell r="L47">
            <v>2</v>
          </cell>
          <cell r="M47">
            <v>19998000</v>
          </cell>
          <cell r="N47">
            <v>16</v>
          </cell>
          <cell r="O47">
            <v>71584000</v>
          </cell>
          <cell r="P47">
            <v>1</v>
          </cell>
          <cell r="Q47">
            <v>3599000</v>
          </cell>
          <cell r="R47">
            <v>3</v>
          </cell>
          <cell r="S47">
            <v>10797000</v>
          </cell>
          <cell r="T47">
            <v>2</v>
          </cell>
          <cell r="U47">
            <v>15998000</v>
          </cell>
          <cell r="X47">
            <v>3</v>
          </cell>
          <cell r="Y47">
            <v>18097000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2</v>
          </cell>
          <cell r="AK47">
            <v>15298000</v>
          </cell>
          <cell r="AL47">
            <v>75</v>
          </cell>
          <cell r="AM47">
            <v>288825000</v>
          </cell>
        </row>
        <row r="48">
          <cell r="B48">
            <v>6010710</v>
          </cell>
          <cell r="D48">
            <v>7</v>
          </cell>
          <cell r="E48">
            <v>17293000</v>
          </cell>
          <cell r="F48">
            <v>5</v>
          </cell>
          <cell r="G48">
            <v>13195000</v>
          </cell>
          <cell r="J48">
            <v>20</v>
          </cell>
          <cell r="K48">
            <v>41980000</v>
          </cell>
          <cell r="N48">
            <v>4</v>
          </cell>
          <cell r="O48">
            <v>16396000</v>
          </cell>
          <cell r="R48">
            <v>1</v>
          </cell>
          <cell r="S48">
            <v>3599000</v>
          </cell>
          <cell r="X48">
            <v>1</v>
          </cell>
          <cell r="Y48">
            <v>6299000</v>
          </cell>
          <cell r="AL48">
            <v>38</v>
          </cell>
          <cell r="AM48">
            <v>98762000</v>
          </cell>
        </row>
        <row r="49">
          <cell r="B49">
            <v>6010709</v>
          </cell>
          <cell r="D49">
            <v>12</v>
          </cell>
          <cell r="E49">
            <v>28788000</v>
          </cell>
          <cell r="F49">
            <v>17</v>
          </cell>
          <cell r="G49">
            <v>44383000</v>
          </cell>
          <cell r="J49">
            <v>34</v>
          </cell>
          <cell r="K49">
            <v>71366000</v>
          </cell>
          <cell r="L49">
            <v>2</v>
          </cell>
          <cell r="M49">
            <v>18998000</v>
          </cell>
          <cell r="N49">
            <v>4</v>
          </cell>
          <cell r="O49">
            <v>16796000</v>
          </cell>
          <cell r="R49">
            <v>3</v>
          </cell>
          <cell r="S49">
            <v>10797000</v>
          </cell>
          <cell r="T49">
            <v>1</v>
          </cell>
          <cell r="U49">
            <v>6499000</v>
          </cell>
          <cell r="V49">
            <v>4</v>
          </cell>
          <cell r="W49">
            <v>14396000</v>
          </cell>
          <cell r="X49">
            <v>3</v>
          </cell>
          <cell r="Y49">
            <v>16497000</v>
          </cell>
          <cell r="AB49">
            <v>3</v>
          </cell>
          <cell r="AC49">
            <v>17097000</v>
          </cell>
          <cell r="AJ49">
            <v>1</v>
          </cell>
          <cell r="AK49">
            <v>6899000</v>
          </cell>
          <cell r="AL49">
            <v>84</v>
          </cell>
          <cell r="AM49">
            <v>252516000</v>
          </cell>
        </row>
        <row r="50">
          <cell r="B50">
            <v>6010711</v>
          </cell>
          <cell r="D50">
            <v>3</v>
          </cell>
          <cell r="E50">
            <v>7197000</v>
          </cell>
          <cell r="F50">
            <v>3</v>
          </cell>
          <cell r="G50">
            <v>7997000</v>
          </cell>
          <cell r="J50">
            <v>1</v>
          </cell>
          <cell r="K50">
            <v>2099000</v>
          </cell>
          <cell r="N50">
            <v>2</v>
          </cell>
          <cell r="O50">
            <v>8198000</v>
          </cell>
          <cell r="X50">
            <v>1</v>
          </cell>
          <cell r="Y50">
            <v>5499000</v>
          </cell>
          <cell r="AB50">
            <v>1</v>
          </cell>
          <cell r="AC50">
            <v>6499000</v>
          </cell>
          <cell r="AD50">
            <v>2</v>
          </cell>
          <cell r="AE50">
            <v>55998000</v>
          </cell>
          <cell r="AF50">
            <v>1</v>
          </cell>
          <cell r="AG50">
            <v>15999000</v>
          </cell>
          <cell r="AJ50">
            <v>1</v>
          </cell>
          <cell r="AK50">
            <v>7999000</v>
          </cell>
          <cell r="AL50">
            <v>15</v>
          </cell>
          <cell r="AM50">
            <v>117485000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N51">
            <v>2</v>
          </cell>
          <cell r="O51">
            <v>8198000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1</v>
          </cell>
          <cell r="AC51">
            <v>5899000</v>
          </cell>
          <cell r="AL51">
            <v>10</v>
          </cell>
          <cell r="AM51">
            <v>44190000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2</v>
          </cell>
          <cell r="I8">
            <v>3</v>
          </cell>
          <cell r="J8">
            <v>13097000</v>
          </cell>
        </row>
        <row r="9">
          <cell r="D9" t="str">
            <v>NABILA SALSABILA</v>
          </cell>
          <cell r="G9">
            <v>3</v>
          </cell>
          <cell r="I9">
            <v>4</v>
          </cell>
          <cell r="J9">
            <v>20496000</v>
          </cell>
        </row>
        <row r="10">
          <cell r="D10" t="str">
            <v>ELFINTA VIANTI</v>
          </cell>
          <cell r="G10">
            <v>2</v>
          </cell>
          <cell r="I10">
            <v>4</v>
          </cell>
          <cell r="J10">
            <v>17196000</v>
          </cell>
        </row>
        <row r="11">
          <cell r="D11" t="str">
            <v>MUHAMAD YUSUF</v>
          </cell>
          <cell r="G11">
            <v>3</v>
          </cell>
          <cell r="I11">
            <v>7</v>
          </cell>
          <cell r="J11">
            <v>19993000</v>
          </cell>
        </row>
        <row r="12">
          <cell r="D12" t="str">
            <v>YOGA ADITIA</v>
          </cell>
          <cell r="G12">
            <v>2</v>
          </cell>
          <cell r="I12">
            <v>7</v>
          </cell>
          <cell r="J12">
            <v>30693000</v>
          </cell>
        </row>
        <row r="13">
          <cell r="D13" t="str">
            <v>MUHAMAD HILMAN</v>
          </cell>
          <cell r="G13">
            <v>3</v>
          </cell>
          <cell r="I13">
            <v>7</v>
          </cell>
          <cell r="J13">
            <v>31293000</v>
          </cell>
        </row>
        <row r="14">
          <cell r="D14" t="str">
            <v>SRI AFRIYANTI</v>
          </cell>
          <cell r="G14">
            <v>6</v>
          </cell>
          <cell r="I14">
            <v>10</v>
          </cell>
          <cell r="J14">
            <v>44790000</v>
          </cell>
        </row>
        <row r="15">
          <cell r="D15" t="str">
            <v>RIFKI PRAYOGAA</v>
          </cell>
          <cell r="G15">
            <v>2</v>
          </cell>
          <cell r="I15">
            <v>5</v>
          </cell>
          <cell r="J15">
            <v>17495000</v>
          </cell>
        </row>
        <row r="16">
          <cell r="D16" t="str">
            <v>MUHAMMAD MUDZAKIR</v>
          </cell>
          <cell r="G16">
            <v>3</v>
          </cell>
          <cell r="I16">
            <v>6</v>
          </cell>
          <cell r="J16">
            <v>18094000</v>
          </cell>
        </row>
        <row r="17">
          <cell r="D17" t="str">
            <v>MILA TUJUHRO</v>
          </cell>
          <cell r="G17">
            <v>2</v>
          </cell>
          <cell r="I17">
            <v>10</v>
          </cell>
          <cell r="J17">
            <v>35490000</v>
          </cell>
        </row>
        <row r="18">
          <cell r="D18" t="str">
            <v>ANISA AGUSTIN</v>
          </cell>
          <cell r="G18">
            <v>1</v>
          </cell>
          <cell r="I18">
            <v>10</v>
          </cell>
          <cell r="J18">
            <v>26290000</v>
          </cell>
        </row>
        <row r="19">
          <cell r="D19" t="str">
            <v>VIOLA AGUSTIN</v>
          </cell>
          <cell r="G19">
            <v>2</v>
          </cell>
          <cell r="I19">
            <v>7</v>
          </cell>
          <cell r="J19">
            <v>27193000</v>
          </cell>
        </row>
        <row r="20">
          <cell r="D20" t="str">
            <v>DION FATULLAH</v>
          </cell>
          <cell r="G20">
            <v>2</v>
          </cell>
          <cell r="I20">
            <v>6</v>
          </cell>
          <cell r="J20">
            <v>22094000</v>
          </cell>
        </row>
        <row r="21">
          <cell r="D21" t="str">
            <v>SASFA LUNA ANDUNG</v>
          </cell>
          <cell r="I21">
            <v>4</v>
          </cell>
          <cell r="J21">
            <v>10796000</v>
          </cell>
        </row>
        <row r="22">
          <cell r="D22" t="str">
            <v>Mahmudin</v>
          </cell>
          <cell r="G22">
            <v>1</v>
          </cell>
          <cell r="I22">
            <v>2</v>
          </cell>
          <cell r="J22">
            <v>7798000</v>
          </cell>
        </row>
        <row r="23">
          <cell r="D23" t="str">
            <v>TIO SAPUTRA</v>
          </cell>
          <cell r="G23">
            <v>1</v>
          </cell>
          <cell r="I23">
            <v>2</v>
          </cell>
          <cell r="J23">
            <v>8798000</v>
          </cell>
        </row>
        <row r="24">
          <cell r="D24" t="str">
            <v>ZAKIYATUL MUNAWAROH</v>
          </cell>
          <cell r="G24">
            <v>3</v>
          </cell>
          <cell r="I24">
            <v>6</v>
          </cell>
          <cell r="J24">
            <v>29094000</v>
          </cell>
        </row>
        <row r="25">
          <cell r="D25" t="str">
            <v>Gilang Ramadhan</v>
          </cell>
          <cell r="G25">
            <v>2</v>
          </cell>
          <cell r="I25">
            <v>2</v>
          </cell>
          <cell r="J25">
            <v>13598000</v>
          </cell>
        </row>
        <row r="26">
          <cell r="D26" t="str">
            <v>SITI NURDIANTY SHOLIHAH</v>
          </cell>
          <cell r="I26">
            <v>1</v>
          </cell>
          <cell r="J26">
            <v>2099000</v>
          </cell>
        </row>
        <row r="27">
          <cell r="D27" t="str">
            <v>NATASYA BUNGA LESTARI</v>
          </cell>
          <cell r="I27">
            <v>2</v>
          </cell>
          <cell r="J27">
            <v>5098000</v>
          </cell>
        </row>
        <row r="28">
          <cell r="D28" t="str">
            <v>DEWI ASTRIAWANTI</v>
          </cell>
          <cell r="I28">
            <v>2</v>
          </cell>
          <cell r="J28">
            <v>4598000</v>
          </cell>
        </row>
        <row r="29">
          <cell r="D29" t="str">
            <v>APRIANSYAH</v>
          </cell>
          <cell r="G29">
            <v>1</v>
          </cell>
          <cell r="I29">
            <v>4</v>
          </cell>
          <cell r="J29">
            <v>11396000</v>
          </cell>
        </row>
        <row r="30">
          <cell r="D30" t="str">
            <v>RIZKY ALFIANSYAH</v>
          </cell>
          <cell r="G30">
            <v>2</v>
          </cell>
          <cell r="I30">
            <v>2</v>
          </cell>
          <cell r="J30">
            <v>13898000</v>
          </cell>
        </row>
        <row r="31">
          <cell r="D31" t="str">
            <v>HERIANTO NDRURU</v>
          </cell>
          <cell r="G31">
            <v>2</v>
          </cell>
          <cell r="I31">
            <v>12</v>
          </cell>
          <cell r="J31">
            <v>34088000</v>
          </cell>
        </row>
        <row r="32">
          <cell r="D32" t="str">
            <v>SITI MELIANI</v>
          </cell>
          <cell r="G32">
            <v>3</v>
          </cell>
          <cell r="I32">
            <v>5</v>
          </cell>
          <cell r="J32">
            <v>21695000</v>
          </cell>
        </row>
        <row r="33">
          <cell r="D33" t="str">
            <v>DWI IRAWAN ALDILA JULIANSYAH</v>
          </cell>
          <cell r="G33">
            <v>1</v>
          </cell>
          <cell r="I33">
            <v>1</v>
          </cell>
          <cell r="J33">
            <v>25999000</v>
          </cell>
        </row>
        <row r="34">
          <cell r="D34" t="str">
            <v>SILVIA AYU LESTARI</v>
          </cell>
          <cell r="I34">
            <v>1</v>
          </cell>
          <cell r="J34">
            <v>2099000</v>
          </cell>
        </row>
        <row r="35">
          <cell r="D35" t="str">
            <v>SANTI ANGGRAENI</v>
          </cell>
          <cell r="G35">
            <v>6</v>
          </cell>
          <cell r="I35">
            <v>7</v>
          </cell>
          <cell r="J35">
            <v>29293000</v>
          </cell>
        </row>
        <row r="36">
          <cell r="D36" t="str">
            <v>NARIAH AMBARWATI</v>
          </cell>
          <cell r="G36">
            <v>5</v>
          </cell>
          <cell r="I36">
            <v>8</v>
          </cell>
          <cell r="J36">
            <v>31892000</v>
          </cell>
        </row>
        <row r="37">
          <cell r="D37" t="str">
            <v>MIFTAHUL HUDA</v>
          </cell>
          <cell r="G37">
            <v>4</v>
          </cell>
          <cell r="I37">
            <v>7</v>
          </cell>
          <cell r="J37">
            <v>38193000</v>
          </cell>
        </row>
        <row r="38">
          <cell r="D38" t="str">
            <v>SYAIRUL ACHMAT HIDAYAT</v>
          </cell>
          <cell r="I38">
            <v>2</v>
          </cell>
          <cell r="J38">
            <v>5198000</v>
          </cell>
        </row>
        <row r="39">
          <cell r="D39" t="str">
            <v>PUTRI ANGGRIANI</v>
          </cell>
          <cell r="G39">
            <v>5</v>
          </cell>
          <cell r="I39">
            <v>9</v>
          </cell>
          <cell r="J39">
            <v>36791000</v>
          </cell>
        </row>
        <row r="40">
          <cell r="D40" t="str">
            <v>AGUS WARDONO PUTRO</v>
          </cell>
          <cell r="G40">
            <v>5</v>
          </cell>
          <cell r="I40">
            <v>7</v>
          </cell>
          <cell r="J40">
            <v>44893000</v>
          </cell>
        </row>
        <row r="41">
          <cell r="D41" t="str">
            <v>INTAN SEPIATUL HASANAH</v>
          </cell>
          <cell r="G41">
            <v>1</v>
          </cell>
          <cell r="I41">
            <v>2</v>
          </cell>
          <cell r="J41">
            <v>9098000</v>
          </cell>
        </row>
        <row r="42">
          <cell r="D42" t="str">
            <v>JULIANA JAYANA</v>
          </cell>
          <cell r="G42">
            <v>2</v>
          </cell>
          <cell r="I42">
            <v>4</v>
          </cell>
          <cell r="J42">
            <v>16496000</v>
          </cell>
        </row>
        <row r="43">
          <cell r="D43" t="str">
            <v>NOVI YULIANTI</v>
          </cell>
          <cell r="G43">
            <v>1</v>
          </cell>
          <cell r="I43">
            <v>1</v>
          </cell>
          <cell r="J43">
            <v>9999000</v>
          </cell>
        </row>
        <row r="44">
          <cell r="D44" t="str">
            <v>RICKY KURNIAWAN</v>
          </cell>
          <cell r="G44">
            <v>8</v>
          </cell>
          <cell r="I44">
            <v>10</v>
          </cell>
          <cell r="J44">
            <v>45390000</v>
          </cell>
        </row>
        <row r="45">
          <cell r="D45" t="str">
            <v>TEGUH FIRMANSYAH</v>
          </cell>
          <cell r="G45">
            <v>6</v>
          </cell>
          <cell r="I45">
            <v>10</v>
          </cell>
          <cell r="J45">
            <v>38990000</v>
          </cell>
        </row>
        <row r="46">
          <cell r="D46" t="str">
            <v>AGUSTIAN</v>
          </cell>
          <cell r="G46">
            <v>6</v>
          </cell>
          <cell r="I46">
            <v>13</v>
          </cell>
          <cell r="J46">
            <v>53587000</v>
          </cell>
        </row>
        <row r="47">
          <cell r="D47" t="str">
            <v>MELLY SHABILLA</v>
          </cell>
          <cell r="G47">
            <v>3</v>
          </cell>
          <cell r="I47">
            <v>8</v>
          </cell>
          <cell r="J47">
            <v>32392000</v>
          </cell>
        </row>
        <row r="48">
          <cell r="D48" t="str">
            <v>ASIPA RAHMAWATI</v>
          </cell>
          <cell r="G48">
            <v>4</v>
          </cell>
          <cell r="I48">
            <v>6</v>
          </cell>
          <cell r="J48">
            <v>27494000</v>
          </cell>
        </row>
        <row r="49">
          <cell r="D49" t="str">
            <v>ERI NURAJAB</v>
          </cell>
          <cell r="G49">
            <v>4</v>
          </cell>
          <cell r="I49">
            <v>10</v>
          </cell>
          <cell r="J49">
            <v>35790000</v>
          </cell>
        </row>
        <row r="50">
          <cell r="D50" t="str">
            <v>DWI ANGGRAENI</v>
          </cell>
          <cell r="G50">
            <v>1</v>
          </cell>
          <cell r="I50">
            <v>4</v>
          </cell>
          <cell r="J50">
            <v>12096000</v>
          </cell>
        </row>
        <row r="51">
          <cell r="D51" t="str">
            <v>WIRA WIRAHMAN</v>
          </cell>
          <cell r="G51">
            <v>2</v>
          </cell>
          <cell r="I51">
            <v>9</v>
          </cell>
          <cell r="J51">
            <v>30291000</v>
          </cell>
        </row>
        <row r="52">
          <cell r="D52" t="str">
            <v>DIAN HARYANTO</v>
          </cell>
          <cell r="G52">
            <v>3</v>
          </cell>
          <cell r="I52">
            <v>7</v>
          </cell>
          <cell r="J52">
            <v>23593000</v>
          </cell>
        </row>
        <row r="53">
          <cell r="D53" t="str">
            <v>SHONA LUGISTIN</v>
          </cell>
          <cell r="G53">
            <v>3</v>
          </cell>
          <cell r="I53">
            <v>7</v>
          </cell>
          <cell r="J53">
            <v>23393000</v>
          </cell>
        </row>
        <row r="54">
          <cell r="D54" t="str">
            <v>SUHERMAN ARISMAWAN</v>
          </cell>
          <cell r="G54">
            <v>7</v>
          </cell>
          <cell r="I54">
            <v>10</v>
          </cell>
          <cell r="J54">
            <v>49590000</v>
          </cell>
        </row>
        <row r="55">
          <cell r="D55" t="str">
            <v>DEA SINDRA</v>
          </cell>
          <cell r="G55">
            <v>2</v>
          </cell>
          <cell r="I55">
            <v>6</v>
          </cell>
          <cell r="J55">
            <v>22594000</v>
          </cell>
        </row>
        <row r="56">
          <cell r="D56" t="str">
            <v>ANTON RENDI SUKMANA</v>
          </cell>
          <cell r="G56">
            <v>1</v>
          </cell>
          <cell r="I56">
            <v>3</v>
          </cell>
          <cell r="J56">
            <v>15397000</v>
          </cell>
        </row>
        <row r="57">
          <cell r="D57" t="str">
            <v>SUSAN SUSANTI</v>
          </cell>
          <cell r="I57">
            <v>5</v>
          </cell>
          <cell r="J57">
            <v>12495000</v>
          </cell>
        </row>
        <row r="58">
          <cell r="D58" t="str">
            <v>PUTERY FATIMAH AZZAHRA</v>
          </cell>
          <cell r="G58">
            <v>3</v>
          </cell>
          <cell r="I58">
            <v>6</v>
          </cell>
          <cell r="J58">
            <v>24194000</v>
          </cell>
        </row>
        <row r="59">
          <cell r="D59" t="str">
            <v>PUTRI NOVALINDA SUGANDA</v>
          </cell>
          <cell r="G59">
            <v>1</v>
          </cell>
          <cell r="I59">
            <v>4</v>
          </cell>
          <cell r="J59">
            <v>13596000</v>
          </cell>
        </row>
        <row r="60">
          <cell r="D60" t="str">
            <v>Ardhila Riyana suci purwandari</v>
          </cell>
          <cell r="G60">
            <v>1</v>
          </cell>
          <cell r="I60">
            <v>3</v>
          </cell>
          <cell r="J60">
            <v>9397000</v>
          </cell>
        </row>
        <row r="61">
          <cell r="D61" t="str">
            <v>KAYLA NURAULIA YAZMAN</v>
          </cell>
          <cell r="G61">
            <v>1</v>
          </cell>
          <cell r="I61">
            <v>7</v>
          </cell>
          <cell r="J61">
            <v>19793000</v>
          </cell>
        </row>
        <row r="62">
          <cell r="D62" t="str">
            <v>mohamad sofiyan</v>
          </cell>
          <cell r="G62">
            <v>5</v>
          </cell>
          <cell r="I62">
            <v>12</v>
          </cell>
          <cell r="J62">
            <v>39388000</v>
          </cell>
        </row>
        <row r="63">
          <cell r="D63" t="str">
            <v>LAILA SAMIA</v>
          </cell>
          <cell r="G63">
            <v>2</v>
          </cell>
          <cell r="I63">
            <v>4</v>
          </cell>
          <cell r="J63">
            <v>19096000</v>
          </cell>
        </row>
        <row r="64">
          <cell r="D64" t="str">
            <v>AKHMAD ARIFUDIN</v>
          </cell>
          <cell r="G64">
            <v>2</v>
          </cell>
          <cell r="I64">
            <v>4</v>
          </cell>
          <cell r="J64">
            <v>14696000</v>
          </cell>
        </row>
        <row r="65">
          <cell r="D65" t="str">
            <v>LISSA AYU HANDHINI</v>
          </cell>
          <cell r="G65">
            <v>1</v>
          </cell>
          <cell r="I65">
            <v>3</v>
          </cell>
          <cell r="J65">
            <v>11097000</v>
          </cell>
        </row>
        <row r="66">
          <cell r="D66" t="str">
            <v>EDI SUSANTO</v>
          </cell>
          <cell r="G66">
            <v>4</v>
          </cell>
          <cell r="I66">
            <v>6</v>
          </cell>
          <cell r="J66">
            <v>68494000</v>
          </cell>
        </row>
        <row r="67">
          <cell r="D67" t="str">
            <v>DHEA AMALIA</v>
          </cell>
          <cell r="G67">
            <v>6</v>
          </cell>
          <cell r="I67">
            <v>6</v>
          </cell>
          <cell r="J67">
            <v>44694000</v>
          </cell>
        </row>
        <row r="68">
          <cell r="D68" t="str">
            <v>CINTIA DAMAYANTI</v>
          </cell>
          <cell r="G68">
            <v>1</v>
          </cell>
          <cell r="I68">
            <v>1</v>
          </cell>
          <cell r="J68">
            <v>8399000</v>
          </cell>
        </row>
        <row r="69">
          <cell r="D69" t="str">
            <v>INTAN DIAH PRIMATARI</v>
          </cell>
          <cell r="G69">
            <v>1</v>
          </cell>
          <cell r="I69">
            <v>1</v>
          </cell>
          <cell r="J69">
            <v>11999000</v>
          </cell>
        </row>
        <row r="70">
          <cell r="D70" t="str">
            <v>WAHYU TRI UTOMO</v>
          </cell>
          <cell r="G70">
            <v>2</v>
          </cell>
          <cell r="I70">
            <v>2</v>
          </cell>
          <cell r="J70">
            <v>19998000</v>
          </cell>
        </row>
        <row r="71">
          <cell r="D71" t="str">
            <v>DIMAS RASYID ASHARI</v>
          </cell>
          <cell r="G71">
            <v>1</v>
          </cell>
          <cell r="I71">
            <v>1</v>
          </cell>
          <cell r="J71">
            <v>3599000</v>
          </cell>
        </row>
        <row r="72">
          <cell r="D72" t="str">
            <v>DEZNA DANI PRADIPTA</v>
          </cell>
          <cell r="G72">
            <v>1</v>
          </cell>
          <cell r="I72">
            <v>1</v>
          </cell>
          <cell r="J72">
            <v>3599000</v>
          </cell>
        </row>
        <row r="73">
          <cell r="D73" t="str">
            <v>KHOLIPAH</v>
          </cell>
          <cell r="G73">
            <v>3</v>
          </cell>
          <cell r="I73">
            <v>5</v>
          </cell>
          <cell r="J73">
            <v>21295000</v>
          </cell>
        </row>
        <row r="74">
          <cell r="D74" t="str">
            <v>KARLES KADAPI</v>
          </cell>
          <cell r="G74">
            <v>1</v>
          </cell>
          <cell r="I74">
            <v>2</v>
          </cell>
          <cell r="J74">
            <v>6698000</v>
          </cell>
        </row>
        <row r="75">
          <cell r="D75" t="str">
            <v>MUHAMAD RIZKI SAPUTRA</v>
          </cell>
          <cell r="G75">
            <v>2</v>
          </cell>
          <cell r="I75">
            <v>4</v>
          </cell>
          <cell r="J75">
            <v>16996000</v>
          </cell>
        </row>
        <row r="76">
          <cell r="D76" t="str">
            <v>ASTRI ALFIANI</v>
          </cell>
          <cell r="G76">
            <v>3</v>
          </cell>
          <cell r="I76">
            <v>6</v>
          </cell>
          <cell r="J76">
            <v>35694000</v>
          </cell>
        </row>
        <row r="77">
          <cell r="D77" t="str">
            <v>WAHYU FIRMANSYAH</v>
          </cell>
          <cell r="G77">
            <v>2</v>
          </cell>
          <cell r="I77">
            <v>4</v>
          </cell>
          <cell r="J77">
            <v>12896000</v>
          </cell>
        </row>
        <row r="78">
          <cell r="D78" t="str">
            <v>winda amalia</v>
          </cell>
          <cell r="G78">
            <v>1</v>
          </cell>
          <cell r="I78">
            <v>2</v>
          </cell>
          <cell r="J78">
            <v>7598000</v>
          </cell>
        </row>
        <row r="79">
          <cell r="D79" t="str">
            <v>DEVI APRIANTI</v>
          </cell>
          <cell r="G79">
            <v>4</v>
          </cell>
          <cell r="I79">
            <v>5</v>
          </cell>
          <cell r="J79">
            <v>27895000</v>
          </cell>
        </row>
        <row r="80">
          <cell r="D80" t="str">
            <v>WIRA ADITYA SETIADI</v>
          </cell>
          <cell r="G80">
            <v>1</v>
          </cell>
          <cell r="I80">
            <v>2</v>
          </cell>
          <cell r="J80">
            <v>5698000</v>
          </cell>
        </row>
        <row r="81">
          <cell r="D81" t="str">
            <v>KARINA MAYA ROSILAWATI</v>
          </cell>
          <cell r="G81">
            <v>2</v>
          </cell>
          <cell r="I81">
            <v>5</v>
          </cell>
          <cell r="J81">
            <v>17395000</v>
          </cell>
        </row>
        <row r="82">
          <cell r="D82" t="str">
            <v>ARIF IRAWAN</v>
          </cell>
          <cell r="G82">
            <v>2</v>
          </cell>
          <cell r="I82">
            <v>7</v>
          </cell>
          <cell r="J82">
            <v>23093000</v>
          </cell>
        </row>
        <row r="83">
          <cell r="D83" t="str">
            <v>SERNIKA LAIA</v>
          </cell>
          <cell r="G83">
            <v>3</v>
          </cell>
          <cell r="I83">
            <v>5</v>
          </cell>
          <cell r="J83">
            <v>40995000</v>
          </cell>
        </row>
        <row r="84">
          <cell r="D84" t="str">
            <v>INA HIDAYAH</v>
          </cell>
          <cell r="G84">
            <v>4</v>
          </cell>
          <cell r="I84">
            <v>8</v>
          </cell>
          <cell r="J84">
            <v>37092000</v>
          </cell>
        </row>
        <row r="85">
          <cell r="D85" t="str">
            <v>RINI APRIANI</v>
          </cell>
          <cell r="G85">
            <v>2</v>
          </cell>
          <cell r="I85">
            <v>10</v>
          </cell>
          <cell r="J85">
            <v>36090000</v>
          </cell>
        </row>
        <row r="86">
          <cell r="D86" t="str">
            <v>MOHAMAD YUSUF</v>
          </cell>
          <cell r="G86">
            <v>4</v>
          </cell>
          <cell r="I86">
            <v>9</v>
          </cell>
          <cell r="J86">
            <v>37591000</v>
          </cell>
        </row>
        <row r="87">
          <cell r="D87" t="str">
            <v>MUHYIDDIN</v>
          </cell>
          <cell r="G87">
            <v>4</v>
          </cell>
          <cell r="I87">
            <v>12</v>
          </cell>
          <cell r="J87">
            <v>38288000</v>
          </cell>
        </row>
        <row r="88">
          <cell r="D88" t="str">
            <v>ALIA NASYABILA</v>
          </cell>
          <cell r="G88">
            <v>3</v>
          </cell>
          <cell r="I88">
            <v>6</v>
          </cell>
          <cell r="J88">
            <v>23694000</v>
          </cell>
        </row>
        <row r="89">
          <cell r="D89" t="str">
            <v>NURFITRIYANA</v>
          </cell>
          <cell r="I89">
            <v>5</v>
          </cell>
          <cell r="J89">
            <v>12695000</v>
          </cell>
        </row>
        <row r="90">
          <cell r="D90" t="str">
            <v>APUD MAHPUDIN</v>
          </cell>
          <cell r="G90">
            <v>3</v>
          </cell>
          <cell r="I90">
            <v>12</v>
          </cell>
          <cell r="J90">
            <v>36988000</v>
          </cell>
        </row>
        <row r="91">
          <cell r="D91" t="str">
            <v>Dean dika putra mona</v>
          </cell>
          <cell r="G91">
            <v>1</v>
          </cell>
          <cell r="I91">
            <v>13</v>
          </cell>
          <cell r="J91">
            <v>30887000</v>
          </cell>
        </row>
        <row r="92">
          <cell r="D92" t="str">
            <v>MAT AMIN</v>
          </cell>
          <cell r="G92">
            <v>4</v>
          </cell>
          <cell r="I92">
            <v>11</v>
          </cell>
          <cell r="J92">
            <v>40189000</v>
          </cell>
        </row>
        <row r="93">
          <cell r="D93" t="str">
            <v>ANDES SAPUTRA</v>
          </cell>
          <cell r="G93">
            <v>6</v>
          </cell>
          <cell r="I93">
            <v>17</v>
          </cell>
          <cell r="J93">
            <v>53783000</v>
          </cell>
        </row>
        <row r="94">
          <cell r="D94" t="str">
            <v>FRISKI FERNANDO</v>
          </cell>
          <cell r="G94">
            <v>4</v>
          </cell>
          <cell r="I94">
            <v>22</v>
          </cell>
          <cell r="J94">
            <v>63678000</v>
          </cell>
        </row>
        <row r="95">
          <cell r="D95" t="str">
            <v>SELLY DARWIS</v>
          </cell>
          <cell r="G95">
            <v>1</v>
          </cell>
          <cell r="I95">
            <v>5</v>
          </cell>
          <cell r="J95">
            <v>16195000</v>
          </cell>
        </row>
        <row r="96">
          <cell r="D96" t="str">
            <v>M HUSNI HASIM</v>
          </cell>
          <cell r="G96">
            <v>2</v>
          </cell>
          <cell r="I96">
            <v>8</v>
          </cell>
          <cell r="J96">
            <v>27092000</v>
          </cell>
        </row>
        <row r="97">
          <cell r="D97" t="str">
            <v>ROSITA</v>
          </cell>
          <cell r="G97">
            <v>3</v>
          </cell>
          <cell r="I97">
            <v>14</v>
          </cell>
          <cell r="J97">
            <v>39386000</v>
          </cell>
        </row>
        <row r="98">
          <cell r="D98" t="str">
            <v>MUHAMMAD RIZKI HIDAYAT</v>
          </cell>
          <cell r="G98">
            <v>5</v>
          </cell>
          <cell r="I98">
            <v>10</v>
          </cell>
          <cell r="J98">
            <v>35590000</v>
          </cell>
        </row>
        <row r="99">
          <cell r="D99" t="str">
            <v>IVAN PAHLEVI SARAGIH</v>
          </cell>
          <cell r="G99">
            <v>7</v>
          </cell>
          <cell r="I99">
            <v>16</v>
          </cell>
          <cell r="J99">
            <v>55884000</v>
          </cell>
        </row>
        <row r="100">
          <cell r="D100" t="str">
            <v>ZIONIS ILHAMI DAKHI</v>
          </cell>
          <cell r="I100">
            <v>7</v>
          </cell>
          <cell r="J100">
            <v>16693000</v>
          </cell>
        </row>
        <row r="101">
          <cell r="D101" t="str">
            <v>NUR IMAM ATTARMIDZI</v>
          </cell>
          <cell r="G101">
            <v>3</v>
          </cell>
          <cell r="I101">
            <v>11</v>
          </cell>
          <cell r="J101">
            <v>31589000</v>
          </cell>
        </row>
        <row r="102">
          <cell r="D102" t="str">
            <v>CEPTIANA JUNIAR</v>
          </cell>
          <cell r="I102">
            <v>8</v>
          </cell>
          <cell r="J102">
            <v>18492000</v>
          </cell>
        </row>
        <row r="103">
          <cell r="D103" t="str">
            <v>BELLA MAYA SAFIRA</v>
          </cell>
          <cell r="G103">
            <v>5</v>
          </cell>
          <cell r="I103">
            <v>15</v>
          </cell>
          <cell r="J103">
            <v>62185000</v>
          </cell>
        </row>
        <row r="104">
          <cell r="D104" t="str">
            <v>VICKY ARIANSYAH</v>
          </cell>
          <cell r="G104">
            <v>1</v>
          </cell>
          <cell r="I104">
            <v>7</v>
          </cell>
          <cell r="J104">
            <v>19793000</v>
          </cell>
        </row>
        <row r="105">
          <cell r="D105" t="str">
            <v>HERMAN SUPRIYATIN</v>
          </cell>
          <cell r="G105">
            <v>3</v>
          </cell>
          <cell r="I105">
            <v>14</v>
          </cell>
          <cell r="J105">
            <v>59886000</v>
          </cell>
        </row>
        <row r="106">
          <cell r="D106" t="str">
            <v>HESTI AMELIA</v>
          </cell>
          <cell r="G106">
            <v>2</v>
          </cell>
          <cell r="I106">
            <v>12</v>
          </cell>
          <cell r="J106">
            <v>32988000</v>
          </cell>
        </row>
        <row r="107">
          <cell r="D107" t="str">
            <v>DIAWAN SAPUTRA</v>
          </cell>
          <cell r="G107">
            <v>1</v>
          </cell>
          <cell r="I107">
            <v>4</v>
          </cell>
          <cell r="J107">
            <v>16996000</v>
          </cell>
        </row>
        <row r="108">
          <cell r="D108" t="str">
            <v>RIKY</v>
          </cell>
          <cell r="G108">
            <v>2</v>
          </cell>
          <cell r="I108">
            <v>11</v>
          </cell>
          <cell r="J108">
            <v>28589000</v>
          </cell>
        </row>
        <row r="109">
          <cell r="D109" t="str">
            <v>ABDUL FALAH</v>
          </cell>
          <cell r="G109">
            <v>7</v>
          </cell>
          <cell r="I109">
            <v>8</v>
          </cell>
          <cell r="J109">
            <v>45792000</v>
          </cell>
        </row>
        <row r="110">
          <cell r="D110" t="str">
            <v xml:space="preserve"> RONI</v>
          </cell>
          <cell r="G110">
            <v>2</v>
          </cell>
          <cell r="I110">
            <v>14</v>
          </cell>
          <cell r="J110">
            <v>44586000</v>
          </cell>
        </row>
        <row r="111">
          <cell r="D111" t="str">
            <v>HAVIS SINUS FAUZAN</v>
          </cell>
          <cell r="G111">
            <v>3</v>
          </cell>
          <cell r="I111">
            <v>11</v>
          </cell>
          <cell r="J111">
            <v>31989000</v>
          </cell>
        </row>
        <row r="112">
          <cell r="D112" t="str">
            <v>TIYAS WINARNI</v>
          </cell>
          <cell r="G112">
            <v>1</v>
          </cell>
          <cell r="I112">
            <v>9</v>
          </cell>
          <cell r="J112">
            <v>24991000</v>
          </cell>
        </row>
        <row r="113">
          <cell r="D113" t="str">
            <v>BINY PRAYOGO</v>
          </cell>
          <cell r="G113">
            <v>1</v>
          </cell>
          <cell r="I113">
            <v>6</v>
          </cell>
          <cell r="J113">
            <v>18094000</v>
          </cell>
        </row>
        <row r="114">
          <cell r="D114" t="str">
            <v>PUTRI SUPRIHATIN</v>
          </cell>
          <cell r="G114">
            <v>3</v>
          </cell>
          <cell r="I114">
            <v>7</v>
          </cell>
          <cell r="J114">
            <v>23693000</v>
          </cell>
        </row>
        <row r="115">
          <cell r="D115" t="str">
            <v xml:space="preserve"> Hervanny trisiana</v>
          </cell>
          <cell r="G115">
            <v>3</v>
          </cell>
          <cell r="I115">
            <v>9</v>
          </cell>
          <cell r="J115">
            <v>40491000</v>
          </cell>
        </row>
        <row r="116">
          <cell r="D116" t="str">
            <v xml:space="preserve"> SITI ROHMAH</v>
          </cell>
          <cell r="G116">
            <v>5</v>
          </cell>
          <cell r="I116">
            <v>10</v>
          </cell>
          <cell r="J116">
            <v>70390000</v>
          </cell>
        </row>
        <row r="117">
          <cell r="D117" t="str">
            <v xml:space="preserve"> fitri adelia</v>
          </cell>
          <cell r="G117">
            <v>5</v>
          </cell>
          <cell r="I117">
            <v>5</v>
          </cell>
          <cell r="J117">
            <v>52495000</v>
          </cell>
        </row>
        <row r="118">
          <cell r="D118" t="str">
            <v xml:space="preserve">SENDI ALFAZRI </v>
          </cell>
          <cell r="G118">
            <v>2</v>
          </cell>
          <cell r="I118">
            <v>3</v>
          </cell>
          <cell r="J118">
            <v>17997000</v>
          </cell>
        </row>
        <row r="119">
          <cell r="D119" t="str">
            <v>FIRDA NAZMA NURFADILAH</v>
          </cell>
          <cell r="G119">
            <v>1</v>
          </cell>
          <cell r="I119">
            <v>1</v>
          </cell>
          <cell r="J119">
            <v>3899000</v>
          </cell>
        </row>
        <row r="120">
          <cell r="D120" t="str">
            <v>ZAINUL MUSTOFA</v>
          </cell>
          <cell r="G120">
            <v>1</v>
          </cell>
          <cell r="I120">
            <v>2</v>
          </cell>
          <cell r="J120">
            <v>10298000</v>
          </cell>
        </row>
        <row r="121">
          <cell r="D121" t="str">
            <v>AMANDA AULIA SHOLIKHAH</v>
          </cell>
          <cell r="G121">
            <v>1</v>
          </cell>
          <cell r="I121">
            <v>1</v>
          </cell>
          <cell r="J121">
            <v>6899000</v>
          </cell>
        </row>
        <row r="122">
          <cell r="D122" t="str">
            <v>JIHAN PAHERA ALPIA</v>
          </cell>
          <cell r="G122">
            <v>2</v>
          </cell>
          <cell r="I122">
            <v>2</v>
          </cell>
          <cell r="J122">
            <v>11798000</v>
          </cell>
        </row>
        <row r="123">
          <cell r="D123" t="str">
            <v>ANNAS WICAKSONO</v>
          </cell>
          <cell r="G123">
            <v>5</v>
          </cell>
          <cell r="I123">
            <v>6</v>
          </cell>
          <cell r="J123">
            <v>39194000</v>
          </cell>
        </row>
        <row r="124">
          <cell r="G124">
            <v>296</v>
          </cell>
          <cell r="I124">
            <v>756</v>
          </cell>
          <cell r="J124">
            <v>3003444000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Y31d Pro</v>
          </cell>
          <cell r="L8" t="str">
            <v>Y11d</v>
          </cell>
          <cell r="N8" t="str">
            <v xml:space="preserve">Y31d </v>
          </cell>
          <cell r="P8" t="str">
            <v>V70 FE</v>
          </cell>
          <cell r="R8" t="str">
            <v>Y31d</v>
          </cell>
          <cell r="T8" t="str">
            <v>Y500</v>
          </cell>
          <cell r="V8" t="str">
            <v>IQOO 15R</v>
          </cell>
          <cell r="X8" t="str">
            <v>V60 Lite</v>
          </cell>
          <cell r="Z8" t="str">
            <v>X300 Ultra</v>
          </cell>
          <cell r="AB8" t="str">
            <v>IQOO Z11</v>
          </cell>
          <cell r="AD8" t="str">
            <v>IQOO Z11x</v>
          </cell>
          <cell r="AF8" t="str">
            <v>V70</v>
          </cell>
          <cell r="AH8" t="str">
            <v xml:space="preserve">X300 </v>
          </cell>
        </row>
        <row r="10">
          <cell r="B10">
            <v>6170707</v>
          </cell>
          <cell r="D10">
            <v>10</v>
          </cell>
          <cell r="E10">
            <v>24490000</v>
          </cell>
          <cell r="F10">
            <v>5</v>
          </cell>
          <cell r="G10">
            <v>13195000</v>
          </cell>
          <cell r="H10">
            <v>3</v>
          </cell>
          <cell r="I10">
            <v>6297000</v>
          </cell>
          <cell r="J10">
            <v>1</v>
          </cell>
          <cell r="K10">
            <v>3899000</v>
          </cell>
          <cell r="X10">
            <v>3</v>
          </cell>
          <cell r="Y10">
            <v>17697000</v>
          </cell>
          <cell r="AF10">
            <v>1</v>
          </cell>
          <cell r="AG10">
            <v>9999000</v>
          </cell>
          <cell r="AJ10">
            <v>23</v>
          </cell>
          <cell r="AK10">
            <v>75577000</v>
          </cell>
        </row>
        <row r="11">
          <cell r="B11">
            <v>6240702</v>
          </cell>
          <cell r="D11">
            <v>6</v>
          </cell>
          <cell r="E11">
            <v>14694000</v>
          </cell>
          <cell r="F11">
            <v>7</v>
          </cell>
          <cell r="G11">
            <v>18393000</v>
          </cell>
          <cell r="J11">
            <v>4</v>
          </cell>
          <cell r="K11">
            <v>17996000</v>
          </cell>
          <cell r="P11">
            <v>1</v>
          </cell>
          <cell r="Q11">
            <v>7999000</v>
          </cell>
          <cell r="X11">
            <v>3</v>
          </cell>
          <cell r="Y11">
            <v>17697000</v>
          </cell>
          <cell r="AF11">
            <v>3</v>
          </cell>
          <cell r="AG11">
            <v>29997000</v>
          </cell>
          <cell r="AJ11">
            <v>24</v>
          </cell>
          <cell r="AK11">
            <v>106776000</v>
          </cell>
        </row>
        <row r="12">
          <cell r="B12">
            <v>6240701</v>
          </cell>
          <cell r="D12">
            <v>4</v>
          </cell>
          <cell r="E12">
            <v>9796000</v>
          </cell>
          <cell r="F12">
            <v>5</v>
          </cell>
          <cell r="G12">
            <v>13595000</v>
          </cell>
          <cell r="H12">
            <v>5</v>
          </cell>
          <cell r="I12">
            <v>10495000</v>
          </cell>
          <cell r="J12">
            <v>2</v>
          </cell>
          <cell r="K12">
            <v>8198000</v>
          </cell>
          <cell r="N12">
            <v>2</v>
          </cell>
          <cell r="O12">
            <v>7198000</v>
          </cell>
          <cell r="X12">
            <v>2</v>
          </cell>
          <cell r="Y12">
            <v>11798000</v>
          </cell>
          <cell r="AF12">
            <v>1</v>
          </cell>
          <cell r="AG12">
            <v>9999000</v>
          </cell>
          <cell r="AJ12">
            <v>21</v>
          </cell>
          <cell r="AK12">
            <v>71079000</v>
          </cell>
        </row>
        <row r="13">
          <cell r="B13">
            <v>6240704</v>
          </cell>
          <cell r="D13">
            <v>1</v>
          </cell>
          <cell r="E13">
            <v>2599000</v>
          </cell>
          <cell r="L13">
            <v>1</v>
          </cell>
          <cell r="M13">
            <v>3599000</v>
          </cell>
          <cell r="AB13">
            <v>1</v>
          </cell>
          <cell r="AC13">
            <v>6899000</v>
          </cell>
          <cell r="AJ13">
            <v>3</v>
          </cell>
          <cell r="AK13">
            <v>13097000</v>
          </cell>
        </row>
        <row r="14">
          <cell r="B14">
            <v>6240703</v>
          </cell>
          <cell r="D14">
            <v>2</v>
          </cell>
          <cell r="E14">
            <v>5198000</v>
          </cell>
          <cell r="F14">
            <v>3</v>
          </cell>
          <cell r="G14">
            <v>7997000</v>
          </cell>
          <cell r="H14">
            <v>2</v>
          </cell>
          <cell r="I14">
            <v>4198000</v>
          </cell>
          <cell r="J14">
            <v>1</v>
          </cell>
          <cell r="K14">
            <v>4299000</v>
          </cell>
          <cell r="N14">
            <v>2</v>
          </cell>
          <cell r="O14">
            <v>7198000</v>
          </cell>
          <cell r="R14">
            <v>2</v>
          </cell>
          <cell r="S14">
            <v>7198000</v>
          </cell>
          <cell r="X14">
            <v>1</v>
          </cell>
          <cell r="Y14">
            <v>5899000</v>
          </cell>
          <cell r="AD14">
            <v>1</v>
          </cell>
          <cell r="AE14">
            <v>5699000</v>
          </cell>
          <cell r="AF14">
            <v>1</v>
          </cell>
          <cell r="AG14">
            <v>9999000</v>
          </cell>
          <cell r="AJ14">
            <v>15</v>
          </cell>
          <cell r="AK14">
            <v>57685000</v>
          </cell>
        </row>
        <row r="15">
          <cell r="B15">
            <v>6240707</v>
          </cell>
          <cell r="D15">
            <v>3</v>
          </cell>
          <cell r="E15">
            <v>7497000</v>
          </cell>
          <cell r="F15">
            <v>2</v>
          </cell>
          <cell r="G15">
            <v>5598000</v>
          </cell>
          <cell r="T15">
            <v>1</v>
          </cell>
          <cell r="U15">
            <v>5499000</v>
          </cell>
          <cell r="AJ15">
            <v>6</v>
          </cell>
          <cell r="AK15">
            <v>18594000</v>
          </cell>
        </row>
        <row r="16">
          <cell r="B16">
            <v>6240706</v>
          </cell>
          <cell r="D16">
            <v>2</v>
          </cell>
          <cell r="E16">
            <v>4898000</v>
          </cell>
          <cell r="H16">
            <v>2</v>
          </cell>
          <cell r="I16">
            <v>4198000</v>
          </cell>
          <cell r="J16">
            <v>1</v>
          </cell>
          <cell r="K16">
            <v>4299000</v>
          </cell>
          <cell r="P16">
            <v>1</v>
          </cell>
          <cell r="Q16">
            <v>7999000</v>
          </cell>
          <cell r="X16">
            <v>1</v>
          </cell>
          <cell r="Y16">
            <v>6499000</v>
          </cell>
          <cell r="AF16">
            <v>1</v>
          </cell>
          <cell r="AG16">
            <v>9999000</v>
          </cell>
          <cell r="AJ16">
            <v>8</v>
          </cell>
          <cell r="AK16">
            <v>37892000</v>
          </cell>
        </row>
        <row r="17">
          <cell r="B17">
            <v>6240709</v>
          </cell>
          <cell r="H17">
            <v>1</v>
          </cell>
          <cell r="I17">
            <v>2099000</v>
          </cell>
          <cell r="N17">
            <v>1</v>
          </cell>
          <cell r="O17">
            <v>3599000</v>
          </cell>
          <cell r="AF17">
            <v>1</v>
          </cell>
          <cell r="AG17">
            <v>9999000</v>
          </cell>
          <cell r="AJ17">
            <v>3</v>
          </cell>
          <cell r="AK17">
            <v>15697000</v>
          </cell>
        </row>
        <row r="18">
          <cell r="B18">
            <v>6240708</v>
          </cell>
          <cell r="D18">
            <v>3</v>
          </cell>
          <cell r="E18">
            <v>6897000</v>
          </cell>
          <cell r="F18">
            <v>1</v>
          </cell>
          <cell r="G18">
            <v>2799000</v>
          </cell>
          <cell r="AJ18">
            <v>4</v>
          </cell>
          <cell r="AK18">
            <v>9696000</v>
          </cell>
        </row>
        <row r="19">
          <cell r="B19">
            <v>6240705</v>
          </cell>
          <cell r="D19">
            <v>1</v>
          </cell>
          <cell r="E19">
            <v>2599000</v>
          </cell>
          <cell r="F19">
            <v>1</v>
          </cell>
          <cell r="G19">
            <v>2799000</v>
          </cell>
          <cell r="H19">
            <v>1</v>
          </cell>
          <cell r="I19">
            <v>2099000</v>
          </cell>
          <cell r="J19">
            <v>2</v>
          </cell>
          <cell r="K19">
            <v>7798000</v>
          </cell>
          <cell r="AF19">
            <v>1</v>
          </cell>
          <cell r="AG19">
            <v>9999000</v>
          </cell>
          <cell r="AJ19">
            <v>6</v>
          </cell>
          <cell r="AK19">
            <v>25294000</v>
          </cell>
        </row>
        <row r="20">
          <cell r="B20">
            <v>6170706</v>
          </cell>
          <cell r="D20">
            <v>4</v>
          </cell>
          <cell r="E20">
            <v>9796000</v>
          </cell>
          <cell r="F20">
            <v>7</v>
          </cell>
          <cell r="G20">
            <v>19593000</v>
          </cell>
          <cell r="H20">
            <v>1</v>
          </cell>
          <cell r="I20">
            <v>2099000</v>
          </cell>
          <cell r="J20">
            <v>3</v>
          </cell>
          <cell r="K20">
            <v>12497000</v>
          </cell>
          <cell r="X20">
            <v>2</v>
          </cell>
          <cell r="Y20">
            <v>11798000</v>
          </cell>
          <cell r="AJ20">
            <v>17</v>
          </cell>
          <cell r="AK20">
            <v>55783000</v>
          </cell>
        </row>
        <row r="21">
          <cell r="B21">
            <v>6170703</v>
          </cell>
          <cell r="H21">
            <v>1</v>
          </cell>
          <cell r="I21">
            <v>2099000</v>
          </cell>
          <cell r="Z21">
            <v>1</v>
          </cell>
          <cell r="AA21">
            <v>25999000</v>
          </cell>
          <cell r="AJ21">
            <v>2</v>
          </cell>
          <cell r="AK21">
            <v>28098000</v>
          </cell>
        </row>
        <row r="22">
          <cell r="B22">
            <v>6220701</v>
          </cell>
          <cell r="D22">
            <v>2</v>
          </cell>
          <cell r="E22">
            <v>5198000</v>
          </cell>
          <cell r="F22">
            <v>1</v>
          </cell>
          <cell r="G22">
            <v>2799000</v>
          </cell>
          <cell r="H22">
            <v>1</v>
          </cell>
          <cell r="I22">
            <v>2099000</v>
          </cell>
          <cell r="J22">
            <v>4</v>
          </cell>
          <cell r="K22">
            <v>18396000</v>
          </cell>
          <cell r="N22">
            <v>2</v>
          </cell>
          <cell r="O22">
            <v>7198000</v>
          </cell>
          <cell r="R22">
            <v>2</v>
          </cell>
          <cell r="S22">
            <v>7198000</v>
          </cell>
          <cell r="T22">
            <v>1</v>
          </cell>
          <cell r="U22">
            <v>5499000</v>
          </cell>
          <cell r="X22">
            <v>1</v>
          </cell>
          <cell r="Y22">
            <v>5899000</v>
          </cell>
          <cell r="AB22">
            <v>1</v>
          </cell>
          <cell r="AC22">
            <v>6899000</v>
          </cell>
          <cell r="AJ22">
            <v>15</v>
          </cell>
          <cell r="AK22">
            <v>61185000</v>
          </cell>
        </row>
        <row r="23">
          <cell r="B23">
            <v>6050701</v>
          </cell>
          <cell r="D23">
            <v>4</v>
          </cell>
          <cell r="E23">
            <v>9496000</v>
          </cell>
          <cell r="F23">
            <v>2</v>
          </cell>
          <cell r="G23">
            <v>5598000</v>
          </cell>
          <cell r="J23">
            <v>2</v>
          </cell>
          <cell r="K23">
            <v>8598000</v>
          </cell>
          <cell r="N23">
            <v>1</v>
          </cell>
          <cell r="O23">
            <v>3599000</v>
          </cell>
          <cell r="P23">
            <v>1</v>
          </cell>
          <cell r="Q23">
            <v>7999000</v>
          </cell>
          <cell r="R23">
            <v>1</v>
          </cell>
          <cell r="S23">
            <v>3599000</v>
          </cell>
          <cell r="X23">
            <v>1</v>
          </cell>
          <cell r="Y23">
            <v>5899000</v>
          </cell>
          <cell r="AB23">
            <v>1</v>
          </cell>
          <cell r="AC23">
            <v>6899000</v>
          </cell>
          <cell r="AF23">
            <v>3</v>
          </cell>
          <cell r="AG23">
            <v>29997000</v>
          </cell>
          <cell r="AJ23">
            <v>16</v>
          </cell>
          <cell r="AK23">
            <v>81684000</v>
          </cell>
        </row>
        <row r="24">
          <cell r="B24">
            <v>6050705</v>
          </cell>
          <cell r="D24">
            <v>1</v>
          </cell>
          <cell r="E24">
            <v>2599000</v>
          </cell>
          <cell r="F24">
            <v>4</v>
          </cell>
          <cell r="G24">
            <v>10396000</v>
          </cell>
          <cell r="J24">
            <v>2</v>
          </cell>
          <cell r="K24">
            <v>10398000</v>
          </cell>
          <cell r="P24">
            <v>1</v>
          </cell>
          <cell r="Q24">
            <v>7999000</v>
          </cell>
          <cell r="V24">
            <v>1</v>
          </cell>
          <cell r="W24">
            <v>11999000</v>
          </cell>
          <cell r="AJ24">
            <v>9</v>
          </cell>
          <cell r="AK24">
            <v>43391000</v>
          </cell>
        </row>
        <row r="25">
          <cell r="B25">
            <v>6050706</v>
          </cell>
          <cell r="F25">
            <v>2</v>
          </cell>
          <cell r="G25">
            <v>5598000</v>
          </cell>
          <cell r="H25">
            <v>1</v>
          </cell>
          <cell r="I25">
            <v>2099000</v>
          </cell>
          <cell r="N25">
            <v>1</v>
          </cell>
          <cell r="O25">
            <v>3599000</v>
          </cell>
          <cell r="P25">
            <v>1</v>
          </cell>
          <cell r="Q25">
            <v>7999000</v>
          </cell>
          <cell r="T25">
            <v>1</v>
          </cell>
          <cell r="U25">
            <v>6299000</v>
          </cell>
          <cell r="AF25">
            <v>1</v>
          </cell>
          <cell r="AG25">
            <v>9999000</v>
          </cell>
          <cell r="AJ25">
            <v>7</v>
          </cell>
          <cell r="AK25">
            <v>35593000</v>
          </cell>
        </row>
        <row r="26">
          <cell r="B26">
            <v>6190704</v>
          </cell>
          <cell r="D26">
            <v>4</v>
          </cell>
          <cell r="E26">
            <v>10096000</v>
          </cell>
          <cell r="F26">
            <v>5</v>
          </cell>
          <cell r="G26">
            <v>12795000</v>
          </cell>
          <cell r="H26">
            <v>2</v>
          </cell>
          <cell r="I26">
            <v>4198000</v>
          </cell>
          <cell r="J26">
            <v>1</v>
          </cell>
          <cell r="K26">
            <v>4299000</v>
          </cell>
          <cell r="N26">
            <v>1</v>
          </cell>
          <cell r="O26">
            <v>3599000</v>
          </cell>
          <cell r="P26">
            <v>1</v>
          </cell>
          <cell r="Q26">
            <v>7999000</v>
          </cell>
          <cell r="R26">
            <v>3</v>
          </cell>
          <cell r="S26">
            <v>10797000</v>
          </cell>
          <cell r="T26">
            <v>2</v>
          </cell>
          <cell r="U26">
            <v>11798000</v>
          </cell>
          <cell r="X26">
            <v>1</v>
          </cell>
          <cell r="Y26">
            <v>5899000</v>
          </cell>
          <cell r="AB26">
            <v>1</v>
          </cell>
          <cell r="AC26">
            <v>8399000</v>
          </cell>
          <cell r="AD26">
            <v>1</v>
          </cell>
          <cell r="AE26">
            <v>5699000</v>
          </cell>
          <cell r="AF26">
            <v>1</v>
          </cell>
          <cell r="AG26">
            <v>9999000</v>
          </cell>
          <cell r="AJ26">
            <v>23</v>
          </cell>
          <cell r="AK26">
            <v>95577000</v>
          </cell>
        </row>
        <row r="27">
          <cell r="B27">
            <v>6190701</v>
          </cell>
          <cell r="D27">
            <v>3</v>
          </cell>
          <cell r="E27">
            <v>7797000</v>
          </cell>
          <cell r="F27">
            <v>3</v>
          </cell>
          <cell r="G27">
            <v>7997000</v>
          </cell>
          <cell r="H27">
            <v>1</v>
          </cell>
          <cell r="I27">
            <v>2099000</v>
          </cell>
          <cell r="AF27">
            <v>1</v>
          </cell>
          <cell r="AG27">
            <v>9999000</v>
          </cell>
          <cell r="AJ27">
            <v>8</v>
          </cell>
          <cell r="AK27">
            <v>27892000</v>
          </cell>
        </row>
        <row r="28">
          <cell r="B28">
            <v>6190707</v>
          </cell>
          <cell r="D28">
            <v>6</v>
          </cell>
          <cell r="E28">
            <v>14394000</v>
          </cell>
          <cell r="F28">
            <v>9</v>
          </cell>
          <cell r="G28">
            <v>24391000</v>
          </cell>
          <cell r="H28">
            <v>3</v>
          </cell>
          <cell r="I28">
            <v>6297000</v>
          </cell>
          <cell r="J28">
            <v>4</v>
          </cell>
          <cell r="K28">
            <v>17196000</v>
          </cell>
          <cell r="L28">
            <v>1</v>
          </cell>
          <cell r="M28">
            <v>3599000</v>
          </cell>
          <cell r="N28">
            <v>1</v>
          </cell>
          <cell r="O28">
            <v>3599000</v>
          </cell>
          <cell r="P28">
            <v>1</v>
          </cell>
          <cell r="Q28">
            <v>7999000</v>
          </cell>
          <cell r="R28">
            <v>1</v>
          </cell>
          <cell r="S28">
            <v>3599000</v>
          </cell>
          <cell r="T28">
            <v>1</v>
          </cell>
          <cell r="U28">
            <v>6299000</v>
          </cell>
          <cell r="X28">
            <v>7</v>
          </cell>
          <cell r="Y28">
            <v>41293000</v>
          </cell>
          <cell r="AB28">
            <v>2</v>
          </cell>
          <cell r="AC28">
            <v>13798000</v>
          </cell>
          <cell r="AF28">
            <v>1</v>
          </cell>
          <cell r="AG28">
            <v>9999000</v>
          </cell>
          <cell r="AJ28">
            <v>37</v>
          </cell>
          <cell r="AK28">
            <v>152463000</v>
          </cell>
        </row>
        <row r="29">
          <cell r="B29">
            <v>6190706</v>
          </cell>
          <cell r="D29">
            <v>9</v>
          </cell>
          <cell r="E29">
            <v>21891000</v>
          </cell>
          <cell r="F29">
            <v>10</v>
          </cell>
          <cell r="G29">
            <v>26390000</v>
          </cell>
          <cell r="H29">
            <v>1</v>
          </cell>
          <cell r="I29">
            <v>2099000</v>
          </cell>
          <cell r="J29">
            <v>7</v>
          </cell>
          <cell r="K29">
            <v>33093000</v>
          </cell>
          <cell r="T29">
            <v>1</v>
          </cell>
          <cell r="U29">
            <v>5499000</v>
          </cell>
          <cell r="X29">
            <v>1</v>
          </cell>
          <cell r="Y29">
            <v>5899000</v>
          </cell>
          <cell r="AB29">
            <v>1</v>
          </cell>
          <cell r="AC29">
            <v>6899000</v>
          </cell>
          <cell r="AJ29">
            <v>30</v>
          </cell>
          <cell r="AK29">
            <v>101770000</v>
          </cell>
        </row>
        <row r="30">
          <cell r="B30">
            <v>6190708</v>
          </cell>
          <cell r="D30">
            <v>1</v>
          </cell>
          <cell r="E30">
            <v>2299000</v>
          </cell>
          <cell r="F30">
            <v>1</v>
          </cell>
          <cell r="G30">
            <v>2799000</v>
          </cell>
          <cell r="J30">
            <v>4</v>
          </cell>
          <cell r="K30">
            <v>17196000</v>
          </cell>
          <cell r="N30">
            <v>1</v>
          </cell>
          <cell r="O30">
            <v>3599000</v>
          </cell>
          <cell r="R30">
            <v>1</v>
          </cell>
          <cell r="S30">
            <v>3599000</v>
          </cell>
          <cell r="X30">
            <v>1</v>
          </cell>
          <cell r="Y30">
            <v>5899000</v>
          </cell>
          <cell r="AF30">
            <v>1</v>
          </cell>
          <cell r="AG30">
            <v>9999000</v>
          </cell>
          <cell r="AJ30">
            <v>10</v>
          </cell>
          <cell r="AK30">
            <v>45390000</v>
          </cell>
        </row>
        <row r="31">
          <cell r="B31">
            <v>6190705</v>
          </cell>
          <cell r="D31">
            <v>3</v>
          </cell>
          <cell r="E31">
            <v>6897000</v>
          </cell>
          <cell r="F31">
            <v>2</v>
          </cell>
          <cell r="G31">
            <v>4798000</v>
          </cell>
          <cell r="H31">
            <v>1</v>
          </cell>
          <cell r="I31">
            <v>2099000</v>
          </cell>
          <cell r="P31">
            <v>1</v>
          </cell>
          <cell r="Q31">
            <v>7999000</v>
          </cell>
          <cell r="R31">
            <v>1</v>
          </cell>
          <cell r="S31">
            <v>3599000</v>
          </cell>
          <cell r="T31">
            <v>1</v>
          </cell>
          <cell r="U31">
            <v>5499000</v>
          </cell>
          <cell r="AB31">
            <v>1</v>
          </cell>
          <cell r="AC31">
            <v>6899000</v>
          </cell>
          <cell r="AJ31">
            <v>10</v>
          </cell>
          <cell r="AK31">
            <v>37790000</v>
          </cell>
        </row>
        <row r="32">
          <cell r="B32">
            <v>6180706</v>
          </cell>
          <cell r="D32">
            <v>6</v>
          </cell>
          <cell r="E32">
            <v>14394000</v>
          </cell>
          <cell r="F32">
            <v>7</v>
          </cell>
          <cell r="G32">
            <v>19193000</v>
          </cell>
          <cell r="H32">
            <v>2</v>
          </cell>
          <cell r="I32">
            <v>4198000</v>
          </cell>
          <cell r="J32">
            <v>4</v>
          </cell>
          <cell r="K32">
            <v>18996000</v>
          </cell>
          <cell r="L32">
            <v>1</v>
          </cell>
          <cell r="M32">
            <v>3599000</v>
          </cell>
          <cell r="N32">
            <v>1</v>
          </cell>
          <cell r="O32">
            <v>3599000</v>
          </cell>
          <cell r="X32">
            <v>1</v>
          </cell>
          <cell r="Y32">
            <v>5899000</v>
          </cell>
          <cell r="AB32">
            <v>1</v>
          </cell>
          <cell r="AC32">
            <v>8399000</v>
          </cell>
          <cell r="AJ32">
            <v>23</v>
          </cell>
          <cell r="AK32">
            <v>78277000</v>
          </cell>
        </row>
        <row r="33">
          <cell r="B33">
            <v>6180707</v>
          </cell>
          <cell r="D33">
            <v>1</v>
          </cell>
          <cell r="E33">
            <v>2299000</v>
          </cell>
          <cell r="F33">
            <v>1</v>
          </cell>
          <cell r="G33">
            <v>2799000</v>
          </cell>
          <cell r="J33">
            <v>1</v>
          </cell>
          <cell r="K33">
            <v>4299000</v>
          </cell>
          <cell r="AJ33">
            <v>3</v>
          </cell>
          <cell r="AK33">
            <v>9397000</v>
          </cell>
        </row>
        <row r="34">
          <cell r="B34">
            <v>6130702</v>
          </cell>
          <cell r="D34">
            <v>2</v>
          </cell>
          <cell r="E34">
            <v>5198000</v>
          </cell>
          <cell r="F34">
            <v>1</v>
          </cell>
          <cell r="G34">
            <v>2399000</v>
          </cell>
          <cell r="H34">
            <v>1</v>
          </cell>
          <cell r="I34">
            <v>2099000</v>
          </cell>
          <cell r="J34">
            <v>1</v>
          </cell>
          <cell r="K34">
            <v>4299000</v>
          </cell>
          <cell r="X34">
            <v>2</v>
          </cell>
          <cell r="Y34">
            <v>11798000</v>
          </cell>
          <cell r="AJ34">
            <v>7</v>
          </cell>
          <cell r="AK34">
            <v>25793000</v>
          </cell>
        </row>
        <row r="35">
          <cell r="B35">
            <v>6140705</v>
          </cell>
          <cell r="F35">
            <v>2</v>
          </cell>
          <cell r="G35">
            <v>5198000</v>
          </cell>
          <cell r="J35">
            <v>3</v>
          </cell>
          <cell r="K35">
            <v>13697000</v>
          </cell>
          <cell r="P35">
            <v>2</v>
          </cell>
          <cell r="Q35">
            <v>14998000</v>
          </cell>
          <cell r="V35">
            <v>2</v>
          </cell>
          <cell r="W35">
            <v>23998000</v>
          </cell>
          <cell r="Z35">
            <v>2</v>
          </cell>
          <cell r="AA35">
            <v>51998000</v>
          </cell>
          <cell r="AB35">
            <v>3</v>
          </cell>
          <cell r="AC35">
            <v>23697000</v>
          </cell>
          <cell r="AJ35">
            <v>14</v>
          </cell>
          <cell r="AK35">
            <v>133586000</v>
          </cell>
        </row>
        <row r="36">
          <cell r="B36">
            <v>6140706</v>
          </cell>
          <cell r="L36">
            <v>2</v>
          </cell>
          <cell r="M36">
            <v>7198000</v>
          </cell>
          <cell r="AF36">
            <v>2</v>
          </cell>
          <cell r="AG36">
            <v>19998000</v>
          </cell>
          <cell r="AJ36">
            <v>4</v>
          </cell>
          <cell r="AK36">
            <v>27196000</v>
          </cell>
        </row>
        <row r="37">
          <cell r="B37">
            <v>6040701</v>
          </cell>
          <cell r="D37">
            <v>3</v>
          </cell>
          <cell r="E37">
            <v>7497000</v>
          </cell>
          <cell r="F37">
            <v>2</v>
          </cell>
          <cell r="G37">
            <v>5598000</v>
          </cell>
          <cell r="N37">
            <v>1</v>
          </cell>
          <cell r="O37">
            <v>3599000</v>
          </cell>
          <cell r="P37">
            <v>2</v>
          </cell>
          <cell r="Q37">
            <v>15998000</v>
          </cell>
          <cell r="AF37">
            <v>2</v>
          </cell>
          <cell r="AG37">
            <v>19998000</v>
          </cell>
          <cell r="AJ37">
            <v>10</v>
          </cell>
          <cell r="AK37">
            <v>52690000</v>
          </cell>
        </row>
        <row r="38">
          <cell r="B38">
            <v>6040703</v>
          </cell>
          <cell r="D38">
            <v>1</v>
          </cell>
          <cell r="E38">
            <v>2599000</v>
          </cell>
          <cell r="F38">
            <v>2</v>
          </cell>
          <cell r="G38">
            <v>4798000</v>
          </cell>
          <cell r="J38">
            <v>3</v>
          </cell>
          <cell r="K38">
            <v>14697000</v>
          </cell>
          <cell r="X38">
            <v>1</v>
          </cell>
          <cell r="Y38">
            <v>5899000</v>
          </cell>
          <cell r="AJ38">
            <v>7</v>
          </cell>
          <cell r="AK38">
            <v>27993000</v>
          </cell>
        </row>
        <row r="39">
          <cell r="B39">
            <v>6080712</v>
          </cell>
          <cell r="D39">
            <v>2</v>
          </cell>
          <cell r="E39">
            <v>5198000</v>
          </cell>
          <cell r="F39">
            <v>1</v>
          </cell>
          <cell r="G39">
            <v>2799000</v>
          </cell>
          <cell r="H39">
            <v>1</v>
          </cell>
          <cell r="I39">
            <v>2099000</v>
          </cell>
          <cell r="J39">
            <v>3</v>
          </cell>
          <cell r="K39">
            <v>13697000</v>
          </cell>
          <cell r="N39">
            <v>1</v>
          </cell>
          <cell r="O39">
            <v>3599000</v>
          </cell>
          <cell r="T39">
            <v>2</v>
          </cell>
          <cell r="U39">
            <v>10998000</v>
          </cell>
          <cell r="AF39">
            <v>1</v>
          </cell>
          <cell r="AG39">
            <v>9999000</v>
          </cell>
          <cell r="AJ39">
            <v>11</v>
          </cell>
          <cell r="AK39">
            <v>48389000</v>
          </cell>
        </row>
        <row r="40">
          <cell r="B40">
            <v>6040702</v>
          </cell>
          <cell r="F40">
            <v>3</v>
          </cell>
          <cell r="G40">
            <v>7997000</v>
          </cell>
          <cell r="H40">
            <v>1</v>
          </cell>
          <cell r="I40">
            <v>2099000</v>
          </cell>
          <cell r="J40">
            <v>2</v>
          </cell>
          <cell r="K40">
            <v>9398000</v>
          </cell>
          <cell r="N40">
            <v>1</v>
          </cell>
          <cell r="O40">
            <v>3599000</v>
          </cell>
          <cell r="AJ40">
            <v>7</v>
          </cell>
          <cell r="AK40">
            <v>23093000</v>
          </cell>
        </row>
        <row r="41">
          <cell r="B41">
            <v>6020711</v>
          </cell>
          <cell r="D41">
            <v>3</v>
          </cell>
          <cell r="E41">
            <v>7497000</v>
          </cell>
          <cell r="F41">
            <v>7</v>
          </cell>
          <cell r="G41">
            <v>18393000</v>
          </cell>
          <cell r="H41">
            <v>1</v>
          </cell>
          <cell r="I41">
            <v>2099000</v>
          </cell>
          <cell r="J41">
            <v>5</v>
          </cell>
          <cell r="K41">
            <v>23495000</v>
          </cell>
          <cell r="P41">
            <v>1</v>
          </cell>
          <cell r="Q41">
            <v>7999000</v>
          </cell>
          <cell r="Z41">
            <v>1</v>
          </cell>
          <cell r="AA41">
            <v>25999000</v>
          </cell>
          <cell r="AD41">
            <v>1</v>
          </cell>
          <cell r="AE41">
            <v>5699000</v>
          </cell>
          <cell r="AF41">
            <v>1</v>
          </cell>
          <cell r="AG41">
            <v>9999000</v>
          </cell>
          <cell r="AJ41">
            <v>20</v>
          </cell>
          <cell r="AK41">
            <v>101180000</v>
          </cell>
        </row>
        <row r="42">
          <cell r="B42">
            <v>6020706</v>
          </cell>
          <cell r="D42">
            <v>8</v>
          </cell>
          <cell r="E42">
            <v>19592000</v>
          </cell>
          <cell r="F42">
            <v>11</v>
          </cell>
          <cell r="G42">
            <v>28789000</v>
          </cell>
          <cell r="H42">
            <v>2</v>
          </cell>
          <cell r="I42">
            <v>4198000</v>
          </cell>
          <cell r="J42">
            <v>2</v>
          </cell>
          <cell r="K42">
            <v>8598000</v>
          </cell>
          <cell r="N42">
            <v>1</v>
          </cell>
          <cell r="O42">
            <v>3599000</v>
          </cell>
          <cell r="R42">
            <v>1</v>
          </cell>
          <cell r="S42">
            <v>3599000</v>
          </cell>
          <cell r="X42">
            <v>4</v>
          </cell>
          <cell r="Y42">
            <v>23596000</v>
          </cell>
          <cell r="AF42">
            <v>2</v>
          </cell>
          <cell r="AG42">
            <v>19998000</v>
          </cell>
          <cell r="AJ42">
            <v>31</v>
          </cell>
          <cell r="AK42">
            <v>111969000</v>
          </cell>
        </row>
        <row r="43">
          <cell r="B43">
            <v>6020704</v>
          </cell>
          <cell r="D43">
            <v>6</v>
          </cell>
          <cell r="E43">
            <v>15294000</v>
          </cell>
          <cell r="F43">
            <v>2</v>
          </cell>
          <cell r="G43">
            <v>5198000</v>
          </cell>
          <cell r="J43">
            <v>1</v>
          </cell>
          <cell r="K43">
            <v>4299000</v>
          </cell>
          <cell r="P43">
            <v>1</v>
          </cell>
          <cell r="Q43">
            <v>7999000</v>
          </cell>
          <cell r="R43">
            <v>1</v>
          </cell>
          <cell r="S43">
            <v>3599000</v>
          </cell>
          <cell r="AJ43">
            <v>11</v>
          </cell>
          <cell r="AK43">
            <v>36389000</v>
          </cell>
        </row>
        <row r="44">
          <cell r="B44">
            <v>6010708</v>
          </cell>
          <cell r="D44">
            <v>1</v>
          </cell>
          <cell r="E44">
            <v>2299000</v>
          </cell>
          <cell r="F44">
            <v>8</v>
          </cell>
          <cell r="G44">
            <v>19992000</v>
          </cell>
          <cell r="H44">
            <v>2</v>
          </cell>
          <cell r="I44">
            <v>4198000</v>
          </cell>
          <cell r="L44">
            <v>1</v>
          </cell>
          <cell r="M44">
            <v>3599000</v>
          </cell>
          <cell r="N44">
            <v>1</v>
          </cell>
          <cell r="O44">
            <v>3599000</v>
          </cell>
          <cell r="V44">
            <v>1</v>
          </cell>
          <cell r="W44">
            <v>11999000</v>
          </cell>
          <cell r="X44">
            <v>1</v>
          </cell>
          <cell r="Y44">
            <v>5899000</v>
          </cell>
          <cell r="Z44">
            <v>1</v>
          </cell>
          <cell r="AA44">
            <v>25999000</v>
          </cell>
          <cell r="AB44">
            <v>2</v>
          </cell>
          <cell r="AC44">
            <v>13798000</v>
          </cell>
          <cell r="AF44">
            <v>4</v>
          </cell>
          <cell r="AG44">
            <v>39996000</v>
          </cell>
          <cell r="AH44">
            <v>2</v>
          </cell>
          <cell r="AI44">
            <v>31998000</v>
          </cell>
          <cell r="AJ44">
            <v>24</v>
          </cell>
          <cell r="AK44">
            <v>163376000</v>
          </cell>
        </row>
        <row r="45">
          <cell r="B45">
            <v>6010703</v>
          </cell>
          <cell r="D45">
            <v>3</v>
          </cell>
          <cell r="E45">
            <v>7197000</v>
          </cell>
          <cell r="F45">
            <v>10</v>
          </cell>
          <cell r="G45">
            <v>25590000</v>
          </cell>
          <cell r="H45">
            <v>10</v>
          </cell>
          <cell r="I45">
            <v>20990000</v>
          </cell>
          <cell r="J45">
            <v>2</v>
          </cell>
          <cell r="K45">
            <v>9398000</v>
          </cell>
          <cell r="R45">
            <v>1</v>
          </cell>
          <cell r="S45">
            <v>3599000</v>
          </cell>
          <cell r="AJ45">
            <v>26</v>
          </cell>
          <cell r="AK45">
            <v>66774000</v>
          </cell>
        </row>
        <row r="46">
          <cell r="B46">
            <v>6010702</v>
          </cell>
          <cell r="D46">
            <v>14</v>
          </cell>
          <cell r="E46">
            <v>33386000</v>
          </cell>
          <cell r="F46">
            <v>20</v>
          </cell>
          <cell r="G46">
            <v>53980000</v>
          </cell>
          <cell r="H46">
            <v>15</v>
          </cell>
          <cell r="I46">
            <v>31485000</v>
          </cell>
          <cell r="J46">
            <v>7</v>
          </cell>
          <cell r="K46">
            <v>29093000</v>
          </cell>
          <cell r="P46">
            <v>2</v>
          </cell>
          <cell r="Q46">
            <v>15998000</v>
          </cell>
          <cell r="R46">
            <v>1</v>
          </cell>
          <cell r="S46">
            <v>3599000</v>
          </cell>
          <cell r="Z46">
            <v>1</v>
          </cell>
          <cell r="AA46">
            <v>25999000</v>
          </cell>
          <cell r="AB46">
            <v>1</v>
          </cell>
          <cell r="AC46">
            <v>6899000</v>
          </cell>
          <cell r="AF46">
            <v>2</v>
          </cell>
          <cell r="AG46">
            <v>19998000</v>
          </cell>
          <cell r="AJ46">
            <v>63</v>
          </cell>
          <cell r="AK46">
            <v>220437000</v>
          </cell>
        </row>
        <row r="47">
          <cell r="B47">
            <v>6010701</v>
          </cell>
          <cell r="D47">
            <v>10</v>
          </cell>
          <cell r="E47">
            <v>24490000</v>
          </cell>
          <cell r="F47">
            <v>18</v>
          </cell>
          <cell r="G47">
            <v>47982000</v>
          </cell>
          <cell r="H47">
            <v>10</v>
          </cell>
          <cell r="I47">
            <v>20990000</v>
          </cell>
          <cell r="J47">
            <v>9</v>
          </cell>
          <cell r="K47">
            <v>38491000</v>
          </cell>
          <cell r="N47">
            <v>1</v>
          </cell>
          <cell r="O47">
            <v>3599000</v>
          </cell>
          <cell r="T47">
            <v>2</v>
          </cell>
          <cell r="U47">
            <v>11798000</v>
          </cell>
          <cell r="X47">
            <v>2</v>
          </cell>
          <cell r="Y47">
            <v>11798000</v>
          </cell>
          <cell r="AF47">
            <v>3</v>
          </cell>
          <cell r="AG47">
            <v>29997000</v>
          </cell>
          <cell r="AJ47">
            <v>55</v>
          </cell>
          <cell r="AK47">
            <v>189145000</v>
          </cell>
        </row>
        <row r="48">
          <cell r="B48">
            <v>6010710</v>
          </cell>
          <cell r="D48">
            <v>9</v>
          </cell>
          <cell r="E48">
            <v>22491000</v>
          </cell>
          <cell r="F48">
            <v>7</v>
          </cell>
          <cell r="G48">
            <v>17593000</v>
          </cell>
          <cell r="H48">
            <v>12</v>
          </cell>
          <cell r="I48">
            <v>25188000</v>
          </cell>
          <cell r="J48">
            <v>3</v>
          </cell>
          <cell r="K48">
            <v>12097000</v>
          </cell>
          <cell r="N48">
            <v>1</v>
          </cell>
          <cell r="O48">
            <v>3599000</v>
          </cell>
          <cell r="T48">
            <v>1</v>
          </cell>
          <cell r="U48">
            <v>5499000</v>
          </cell>
          <cell r="X48">
            <v>1</v>
          </cell>
          <cell r="Y48">
            <v>5899000</v>
          </cell>
          <cell r="AD48">
            <v>1</v>
          </cell>
          <cell r="AE48">
            <v>5699000</v>
          </cell>
          <cell r="AF48">
            <v>1</v>
          </cell>
          <cell r="AG48">
            <v>9999000</v>
          </cell>
          <cell r="AJ48">
            <v>36</v>
          </cell>
          <cell r="AK48">
            <v>108064000</v>
          </cell>
        </row>
        <row r="49">
          <cell r="B49">
            <v>6010709</v>
          </cell>
          <cell r="D49">
            <v>18</v>
          </cell>
          <cell r="E49">
            <v>44082000</v>
          </cell>
          <cell r="F49">
            <v>14</v>
          </cell>
          <cell r="G49">
            <v>37586000</v>
          </cell>
          <cell r="H49">
            <v>32</v>
          </cell>
          <cell r="I49">
            <v>67168000</v>
          </cell>
          <cell r="J49">
            <v>8</v>
          </cell>
          <cell r="K49">
            <v>34992000</v>
          </cell>
          <cell r="R49">
            <v>6</v>
          </cell>
          <cell r="S49">
            <v>21594000</v>
          </cell>
          <cell r="T49">
            <v>5</v>
          </cell>
          <cell r="U49">
            <v>29095000</v>
          </cell>
          <cell r="X49">
            <v>5</v>
          </cell>
          <cell r="Y49">
            <v>29495000</v>
          </cell>
          <cell r="AB49">
            <v>4</v>
          </cell>
          <cell r="AC49">
            <v>27596000</v>
          </cell>
          <cell r="AJ49">
            <v>92</v>
          </cell>
          <cell r="AK49">
            <v>291608000</v>
          </cell>
        </row>
        <row r="50">
          <cell r="B50">
            <v>6010711</v>
          </cell>
          <cell r="D50">
            <v>1</v>
          </cell>
          <cell r="E50">
            <v>2299000</v>
          </cell>
          <cell r="H50">
            <v>1</v>
          </cell>
          <cell r="I50">
            <v>2099000</v>
          </cell>
          <cell r="J50">
            <v>1</v>
          </cell>
          <cell r="K50">
            <v>3899000</v>
          </cell>
          <cell r="P50">
            <v>1</v>
          </cell>
          <cell r="Q50">
            <v>7999000</v>
          </cell>
          <cell r="X50">
            <v>1</v>
          </cell>
          <cell r="Y50">
            <v>5899000</v>
          </cell>
          <cell r="AF50">
            <v>1</v>
          </cell>
          <cell r="AG50">
            <v>9999000</v>
          </cell>
          <cell r="AJ50">
            <v>6</v>
          </cell>
          <cell r="AK50">
            <v>32194000</v>
          </cell>
        </row>
        <row r="51">
          <cell r="B51">
            <v>6150702</v>
          </cell>
          <cell r="X51">
            <v>2</v>
          </cell>
          <cell r="Y51">
            <v>11798000</v>
          </cell>
          <cell r="AB51">
            <v>1</v>
          </cell>
          <cell r="AC51">
            <v>6899000</v>
          </cell>
          <cell r="AJ51">
            <v>3</v>
          </cell>
          <cell r="AK51">
            <v>18697000</v>
          </cell>
        </row>
        <row r="52">
          <cell r="B52">
            <v>6100702</v>
          </cell>
          <cell r="D52">
            <v>1</v>
          </cell>
          <cell r="E52">
            <v>2299000</v>
          </cell>
          <cell r="P52">
            <v>1</v>
          </cell>
          <cell r="Q52">
            <v>6999000</v>
          </cell>
          <cell r="R52">
            <v>1</v>
          </cell>
          <cell r="S52">
            <v>3599000</v>
          </cell>
          <cell r="T52">
            <v>1</v>
          </cell>
          <cell r="U52">
            <v>6299000</v>
          </cell>
          <cell r="AF52">
            <v>2</v>
          </cell>
          <cell r="AG52">
            <v>19998000</v>
          </cell>
          <cell r="AJ52">
            <v>6</v>
          </cell>
          <cell r="AK52">
            <v>39194000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70282000</v>
          </cell>
          <cell r="D17">
            <v>18</v>
          </cell>
          <cell r="E17">
            <v>3904555.5555555555</v>
          </cell>
        </row>
        <row r="18">
          <cell r="A18">
            <v>6010701</v>
          </cell>
          <cell r="B18" t="str">
            <v>6010701-MVS ROXY SHOWROOM 21</v>
          </cell>
          <cell r="C18">
            <v>288825000</v>
          </cell>
          <cell r="D18">
            <v>75</v>
          </cell>
          <cell r="E18">
            <v>3851000</v>
          </cell>
        </row>
        <row r="19">
          <cell r="A19">
            <v>6010702</v>
          </cell>
          <cell r="B19" t="str">
            <v>6010702-ME ROXY PAMERAN TIMUR</v>
          </cell>
          <cell r="C19">
            <v>216525000</v>
          </cell>
          <cell r="D19">
            <v>75</v>
          </cell>
          <cell r="E19">
            <v>2887000</v>
          </cell>
        </row>
        <row r="20">
          <cell r="A20">
            <v>6010703</v>
          </cell>
          <cell r="B20" t="str">
            <v>6010703-VIVO STORE WINSHOP</v>
          </cell>
          <cell r="C20">
            <v>94962000</v>
          </cell>
          <cell r="D20">
            <v>38</v>
          </cell>
          <cell r="E20">
            <v>2499000</v>
          </cell>
        </row>
        <row r="21">
          <cell r="A21">
            <v>6020711</v>
          </cell>
          <cell r="B21" t="str">
            <v>6020711-vivostore emporium</v>
          </cell>
          <cell r="C21">
            <v>114979000</v>
          </cell>
          <cell r="D21">
            <v>21</v>
          </cell>
          <cell r="E21">
            <v>5475190.4761904757</v>
          </cell>
        </row>
        <row r="22">
          <cell r="A22">
            <v>6010711</v>
          </cell>
          <cell r="B22" t="str">
            <v>6010711-LIPPO MALL PURI 1FK02</v>
          </cell>
          <cell r="C22">
            <v>117485000</v>
          </cell>
          <cell r="D22">
            <v>15</v>
          </cell>
          <cell r="E22">
            <v>7832333.333333333</v>
          </cell>
        </row>
        <row r="23">
          <cell r="A23">
            <v>6020706</v>
          </cell>
          <cell r="B23" t="str">
            <v>6020706-MVS CEMPAKA SHOWROOM 2 (454)</v>
          </cell>
          <cell r="C23">
            <v>80677000</v>
          </cell>
          <cell r="D23">
            <v>23</v>
          </cell>
          <cell r="E23">
            <v>3507695.6521739131</v>
          </cell>
        </row>
        <row r="24">
          <cell r="A24">
            <v>6020704</v>
          </cell>
          <cell r="B24" t="str">
            <v>6020704-MVS CEMPAKA SHOWROOM 14 (8TOKO)</v>
          </cell>
          <cell r="C24">
            <v>38889000</v>
          </cell>
          <cell r="D24">
            <v>11</v>
          </cell>
          <cell r="E24">
            <v>3535363.6363636362</v>
          </cell>
        </row>
        <row r="25">
          <cell r="A25">
            <v>6080712</v>
          </cell>
          <cell r="B25" t="str">
            <v>6080712-MVS ITC DEPOK VIVO STORE 2</v>
          </cell>
          <cell r="C25">
            <v>79885000</v>
          </cell>
          <cell r="D25">
            <v>15</v>
          </cell>
          <cell r="E25">
            <v>5325666.666666667</v>
          </cell>
        </row>
        <row r="26">
          <cell r="A26">
            <v>6040702</v>
          </cell>
          <cell r="B26" t="str">
            <v>6040702-TRAN STUDIO MALL 2F059</v>
          </cell>
          <cell r="C26">
            <v>43492000</v>
          </cell>
          <cell r="D26">
            <v>8</v>
          </cell>
          <cell r="E26">
            <v>5436500</v>
          </cell>
        </row>
        <row r="27">
          <cell r="A27">
            <v>6040703</v>
          </cell>
          <cell r="B27" t="str">
            <v>6040703-SAWANGAN 1F1-0320</v>
          </cell>
          <cell r="C27">
            <v>66189000</v>
          </cell>
          <cell r="D27">
            <v>11</v>
          </cell>
          <cell r="E27">
            <v>6017181.8181818184</v>
          </cell>
        </row>
        <row r="28">
          <cell r="A28">
            <v>6050701</v>
          </cell>
          <cell r="B28" t="str">
            <v>6050701-MVS X6 DS0824</v>
          </cell>
          <cell r="C28">
            <v>53189000</v>
          </cell>
          <cell r="D28">
            <v>11</v>
          </cell>
          <cell r="E28">
            <v>4835363.6363636367</v>
          </cell>
        </row>
        <row r="29">
          <cell r="A29">
            <v>6220701</v>
          </cell>
          <cell r="B29" t="str">
            <v>6220701-MVS MBH-VIP VIVO STORE-DD284</v>
          </cell>
          <cell r="C29">
            <v>42988000</v>
          </cell>
          <cell r="D29">
            <v>12</v>
          </cell>
          <cell r="E29">
            <v>3582333.3333333335</v>
          </cell>
        </row>
        <row r="30">
          <cell r="A30">
            <v>6180706</v>
          </cell>
          <cell r="B30" t="str">
            <v>6180706-MVS MALL CCM</v>
          </cell>
          <cell r="C30">
            <v>105273000</v>
          </cell>
          <cell r="D30">
            <v>27</v>
          </cell>
          <cell r="E30">
            <v>3899000</v>
          </cell>
        </row>
        <row r="31">
          <cell r="A31">
            <v>6180707</v>
          </cell>
          <cell r="B31" t="str">
            <v>6180707-SC BTM</v>
          </cell>
          <cell r="C31">
            <v>10497000</v>
          </cell>
          <cell r="D31">
            <v>3</v>
          </cell>
          <cell r="E31">
            <v>3499000</v>
          </cell>
        </row>
        <row r="32">
          <cell r="A32">
            <v>6170707</v>
          </cell>
          <cell r="B32" t="str">
            <v>6170707-LG BLOK D NO. 01D</v>
          </cell>
          <cell r="C32">
            <v>46684000</v>
          </cell>
          <cell r="D32">
            <v>16</v>
          </cell>
          <cell r="E32">
            <v>2917750</v>
          </cell>
        </row>
        <row r="33">
          <cell r="A33">
            <v>6170706</v>
          </cell>
          <cell r="B33" t="str">
            <v>A200802-CHARLES</v>
          </cell>
          <cell r="C33">
            <v>75376000</v>
          </cell>
          <cell r="D33">
            <v>24</v>
          </cell>
          <cell r="E33">
            <v>3140666.6666666665</v>
          </cell>
        </row>
        <row r="34">
          <cell r="A34">
            <v>6240704</v>
          </cell>
          <cell r="B34" t="str">
            <v>6240704-TANGCITY LG017 WEST LOBBY</v>
          </cell>
          <cell r="C34">
            <v>6297000</v>
          </cell>
          <cell r="D34">
            <v>3</v>
          </cell>
          <cell r="E34">
            <v>2099000</v>
          </cell>
        </row>
        <row r="35">
          <cell r="A35">
            <v>6240703</v>
          </cell>
          <cell r="B35" t="str">
            <v>6240703-TANGCITY LG009 CENTER</v>
          </cell>
          <cell r="C35">
            <v>107778000</v>
          </cell>
          <cell r="D35">
            <v>22</v>
          </cell>
          <cell r="E35">
            <v>4899000</v>
          </cell>
        </row>
        <row r="36">
          <cell r="A36">
            <v>6240705</v>
          </cell>
          <cell r="B36" t="str">
            <v>6240705-CIPUTRA 2FC15</v>
          </cell>
          <cell r="C36">
            <v>35493000</v>
          </cell>
          <cell r="D36">
            <v>7</v>
          </cell>
          <cell r="E36">
            <v>5070428.5714285718</v>
          </cell>
        </row>
        <row r="37">
          <cell r="A37">
            <v>6240709</v>
          </cell>
          <cell r="B37" t="str">
            <v>6240709-ITC BSD 1F49-50</v>
          </cell>
          <cell r="C37">
            <v>24894000</v>
          </cell>
          <cell r="D37">
            <v>6</v>
          </cell>
          <cell r="E37">
            <v>4149000</v>
          </cell>
        </row>
        <row r="38">
          <cell r="A38">
            <v>6240708</v>
          </cell>
          <cell r="B38" t="str">
            <v>6240708-ITC BSD 1F09-14</v>
          </cell>
          <cell r="C38">
            <v>23194000</v>
          </cell>
          <cell r="D38">
            <v>6</v>
          </cell>
          <cell r="E38">
            <v>3865666.6666666665</v>
          </cell>
        </row>
        <row r="39">
          <cell r="A39">
            <v>6240707</v>
          </cell>
          <cell r="B39" t="str">
            <v>6240707-SUPERMALL UGN3A仓库</v>
          </cell>
          <cell r="C39">
            <v>14795000</v>
          </cell>
          <cell r="D39">
            <v>5</v>
          </cell>
          <cell r="E39">
            <v>2959000</v>
          </cell>
        </row>
        <row r="40">
          <cell r="A40">
            <v>6240706</v>
          </cell>
          <cell r="B40" t="str">
            <v>6240706-SUPERMALL LGC3A</v>
          </cell>
          <cell r="C40">
            <v>21994000</v>
          </cell>
          <cell r="D40">
            <v>6</v>
          </cell>
          <cell r="E40">
            <v>3665666.6666666665</v>
          </cell>
        </row>
        <row r="41">
          <cell r="A41">
            <v>6170703</v>
          </cell>
          <cell r="B41" t="str">
            <v>6170703-4004 MVS-BNT-CCM STORE</v>
          </cell>
          <cell r="C41">
            <v>31795000</v>
          </cell>
          <cell r="D41">
            <v>5</v>
          </cell>
          <cell r="E41">
            <v>6359000</v>
          </cell>
        </row>
        <row r="42">
          <cell r="A42">
            <v>6190701</v>
          </cell>
          <cell r="B42" t="str">
            <v>6190701-VIVO STORE UG</v>
          </cell>
          <cell r="C42">
            <v>34689000</v>
          </cell>
          <cell r="D42">
            <v>11</v>
          </cell>
          <cell r="E42">
            <v>3153545.4545454546</v>
          </cell>
        </row>
        <row r="43">
          <cell r="A43">
            <v>6190704</v>
          </cell>
          <cell r="B43" t="str">
            <v>A300201-VIVO STORE 1 BEC</v>
          </cell>
          <cell r="C43">
            <v>116968000</v>
          </cell>
          <cell r="D43">
            <v>32</v>
          </cell>
          <cell r="E43">
            <v>3655250</v>
          </cell>
        </row>
        <row r="44">
          <cell r="A44">
            <v>6190707</v>
          </cell>
          <cell r="B44" t="str">
            <v>A300202-VIVO STORE LU</v>
          </cell>
          <cell r="C44">
            <v>113767000</v>
          </cell>
          <cell r="D44">
            <v>33</v>
          </cell>
          <cell r="E44">
            <v>3447484.8484848486</v>
          </cell>
        </row>
        <row r="45">
          <cell r="A45">
            <v>6100702</v>
          </cell>
          <cell r="B45" t="str">
            <v>6100702-VS Jogja City Mall</v>
          </cell>
          <cell r="C45">
            <v>44190000</v>
          </cell>
          <cell r="D45">
            <v>10</v>
          </cell>
          <cell r="E45">
            <v>4419000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54690000</v>
          </cell>
          <cell r="D47">
            <v>10</v>
          </cell>
          <cell r="E47">
            <v>5469000</v>
          </cell>
        </row>
        <row r="48">
          <cell r="A48">
            <v>6140705</v>
          </cell>
          <cell r="B48" t="str">
            <v>6140705-QUEENCITY 2F027</v>
          </cell>
          <cell r="C48">
            <v>93089000</v>
          </cell>
          <cell r="D48">
            <v>11</v>
          </cell>
          <cell r="E48">
            <v>8462636.3636363633</v>
          </cell>
        </row>
        <row r="49">
          <cell r="A49">
            <v>6190705</v>
          </cell>
          <cell r="B49" t="str">
            <v>A300105-VIVO STORE LG F20</v>
          </cell>
          <cell r="C49">
            <v>35391000</v>
          </cell>
          <cell r="D49">
            <v>9</v>
          </cell>
          <cell r="E49">
            <v>3932333.3333333335</v>
          </cell>
        </row>
        <row r="50">
          <cell r="A50">
            <v>6190706</v>
          </cell>
          <cell r="B50" t="str">
            <v>A300102-VIVO STORE 4 BEC</v>
          </cell>
          <cell r="C50">
            <v>144070000</v>
          </cell>
          <cell r="D50">
            <v>30</v>
          </cell>
          <cell r="E50">
            <v>4802333.333333333</v>
          </cell>
        </row>
        <row r="51">
          <cell r="A51">
            <v>6240702</v>
          </cell>
          <cell r="B51" t="str">
            <v>A200902-LG BLOK B NO. 01B</v>
          </cell>
          <cell r="C51">
            <v>78780000</v>
          </cell>
          <cell r="D51">
            <v>20</v>
          </cell>
          <cell r="E51">
            <v>3939000</v>
          </cell>
        </row>
        <row r="52">
          <cell r="A52">
            <v>6240701</v>
          </cell>
          <cell r="B52" t="str">
            <v>A200803-LG BLOK A-B NO. 12</v>
          </cell>
          <cell r="C52">
            <v>85573000</v>
          </cell>
          <cell r="D52">
            <v>27</v>
          </cell>
          <cell r="E52">
            <v>3169370.3703703703</v>
          </cell>
        </row>
        <row r="53">
          <cell r="A53">
            <v>6040701</v>
          </cell>
          <cell r="B53" t="str">
            <v>A200402-ITC-VIVO STORE 1</v>
          </cell>
          <cell r="C53">
            <v>76981000</v>
          </cell>
          <cell r="D53">
            <v>19</v>
          </cell>
          <cell r="E53">
            <v>4051631.5789473685</v>
          </cell>
        </row>
        <row r="54">
          <cell r="A54">
            <v>6010710</v>
          </cell>
          <cell r="B54" t="str">
            <v>A100304-PAMERAN SELATAN</v>
          </cell>
          <cell r="C54">
            <v>98762000</v>
          </cell>
          <cell r="D54">
            <v>38</v>
          </cell>
          <cell r="E54">
            <v>2599000</v>
          </cell>
        </row>
        <row r="55">
          <cell r="A55">
            <v>6010709</v>
          </cell>
          <cell r="B55" t="str">
            <v>A100303-PAMERAN UTARA</v>
          </cell>
          <cell r="C55">
            <v>252516000</v>
          </cell>
          <cell r="D55">
            <v>84</v>
          </cell>
          <cell r="E55">
            <v>3006142.8571428573</v>
          </cell>
        </row>
        <row r="56">
          <cell r="C56">
            <v>3041903000</v>
          </cell>
          <cell r="D56">
            <v>797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D3" zoomScale="88" zoomScaleNormal="88" workbookViewId="0">
      <selection activeCell="AH23" sqref="A1:BQ48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71" t="s">
        <v>0</v>
      </c>
      <c r="B1" s="272"/>
      <c r="C1" s="272"/>
      <c r="D1" s="97" t="s">
        <v>1</v>
      </c>
      <c r="E1" s="97" t="s">
        <v>2</v>
      </c>
      <c r="F1" s="98" t="s">
        <v>3</v>
      </c>
      <c r="G1" s="275" t="s">
        <v>4</v>
      </c>
      <c r="H1" s="276"/>
      <c r="I1" s="275" t="s">
        <v>5</v>
      </c>
      <c r="J1" s="280"/>
      <c r="K1" s="281"/>
      <c r="L1" s="281"/>
      <c r="M1" s="281"/>
      <c r="N1" s="281"/>
      <c r="O1" s="281"/>
      <c r="P1" s="281"/>
      <c r="Q1" s="281"/>
      <c r="R1" s="281"/>
      <c r="S1" s="281"/>
      <c r="T1" s="282"/>
      <c r="U1" s="275" t="s">
        <v>6</v>
      </c>
      <c r="V1" s="280"/>
      <c r="W1" s="281"/>
      <c r="X1" s="281"/>
      <c r="Y1" s="281"/>
      <c r="Z1" s="281"/>
      <c r="AA1" s="281"/>
      <c r="AB1" s="282"/>
      <c r="AC1" s="275" t="s">
        <v>7</v>
      </c>
      <c r="AD1" s="276"/>
      <c r="AE1" s="275" t="s">
        <v>8</v>
      </c>
      <c r="AF1" s="280"/>
      <c r="AG1" s="281"/>
      <c r="AH1" s="282"/>
      <c r="AI1" s="241" t="s">
        <v>9</v>
      </c>
      <c r="AJ1" s="242"/>
      <c r="AK1" s="243"/>
      <c r="AL1" s="243"/>
      <c r="AM1" s="243"/>
      <c r="AN1" s="243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86"/>
      <c r="BC1" s="241" t="s">
        <v>10</v>
      </c>
      <c r="BD1" s="242"/>
      <c r="BE1" s="243"/>
      <c r="BF1" s="243"/>
      <c r="BG1" s="243"/>
      <c r="BH1" s="243"/>
      <c r="BI1" s="243"/>
      <c r="BJ1" s="243"/>
      <c r="BK1" s="243"/>
      <c r="BL1" s="243"/>
      <c r="BM1" s="243"/>
      <c r="BN1" s="243"/>
      <c r="BO1" s="243"/>
      <c r="BP1" s="243"/>
      <c r="BQ1" s="244"/>
    </row>
    <row r="2" spans="1:69" ht="16" customHeight="1" x14ac:dyDescent="0.2">
      <c r="A2" s="273"/>
      <c r="B2" s="274"/>
      <c r="C2" s="274"/>
      <c r="D2" s="99">
        <v>30</v>
      </c>
      <c r="E2" s="99">
        <v>7</v>
      </c>
      <c r="F2" s="100">
        <f>E2/D2</f>
        <v>0.23333333333333334</v>
      </c>
      <c r="G2" s="277"/>
      <c r="H2" s="278"/>
      <c r="I2" s="277"/>
      <c r="J2" s="283"/>
      <c r="K2" s="284"/>
      <c r="L2" s="284"/>
      <c r="M2" s="284"/>
      <c r="N2" s="284"/>
      <c r="O2" s="284"/>
      <c r="P2" s="284"/>
      <c r="Q2" s="284"/>
      <c r="R2" s="284"/>
      <c r="S2" s="284"/>
      <c r="T2" s="285"/>
      <c r="U2" s="277"/>
      <c r="V2" s="283"/>
      <c r="W2" s="284"/>
      <c r="X2" s="284"/>
      <c r="Y2" s="284"/>
      <c r="Z2" s="284"/>
      <c r="AA2" s="284"/>
      <c r="AB2" s="285"/>
      <c r="AC2" s="277"/>
      <c r="AD2" s="278"/>
      <c r="AE2" s="277"/>
      <c r="AF2" s="283"/>
      <c r="AG2" s="284"/>
      <c r="AH2" s="285"/>
      <c r="AI2" s="245"/>
      <c r="AJ2" s="246"/>
      <c r="AK2" s="247"/>
      <c r="AL2" s="247"/>
      <c r="AM2" s="247"/>
      <c r="AN2" s="247"/>
      <c r="AO2" s="247"/>
      <c r="AP2" s="247"/>
      <c r="AQ2" s="247"/>
      <c r="AR2" s="247"/>
      <c r="AS2" s="247"/>
      <c r="AT2" s="247"/>
      <c r="AU2" s="247"/>
      <c r="AV2" s="247"/>
      <c r="AW2" s="247"/>
      <c r="AX2" s="247"/>
      <c r="AY2" s="247"/>
      <c r="AZ2" s="247"/>
      <c r="BA2" s="247"/>
      <c r="BB2" s="287"/>
      <c r="BC2" s="245" t="s">
        <v>11</v>
      </c>
      <c r="BD2" s="246"/>
      <c r="BE2" s="247"/>
      <c r="BF2" s="247" t="s">
        <v>12</v>
      </c>
      <c r="BG2" s="247"/>
      <c r="BH2" s="247"/>
      <c r="BI2" s="247" t="s">
        <v>13</v>
      </c>
      <c r="BJ2" s="247"/>
      <c r="BK2" s="247"/>
      <c r="BL2" s="247" t="s">
        <v>14</v>
      </c>
      <c r="BM2" s="247"/>
      <c r="BN2" s="247"/>
      <c r="BO2" s="247" t="s">
        <v>15</v>
      </c>
      <c r="BP2" s="247"/>
      <c r="BQ2" s="248"/>
    </row>
    <row r="3" spans="1:69" ht="16" customHeight="1" x14ac:dyDescent="0.2">
      <c r="A3" s="251" t="s">
        <v>16</v>
      </c>
      <c r="B3" s="253" t="s">
        <v>17</v>
      </c>
      <c r="C3" s="253" t="s">
        <v>18</v>
      </c>
      <c r="D3" s="253" t="s">
        <v>19</v>
      </c>
      <c r="E3" s="253" t="s">
        <v>20</v>
      </c>
      <c r="F3" s="258" t="s">
        <v>21</v>
      </c>
      <c r="G3" s="260"/>
      <c r="H3" s="279"/>
      <c r="I3" s="260"/>
      <c r="J3" s="262"/>
      <c r="K3" s="256"/>
      <c r="L3" s="256"/>
      <c r="M3" s="256"/>
      <c r="N3" s="256"/>
      <c r="O3" s="256"/>
      <c r="P3" s="256"/>
      <c r="Q3" s="256"/>
      <c r="R3" s="256"/>
      <c r="S3" s="256"/>
      <c r="T3" s="268"/>
      <c r="U3" s="260"/>
      <c r="V3" s="262"/>
      <c r="W3" s="256"/>
      <c r="X3" s="256"/>
      <c r="Y3" s="256"/>
      <c r="Z3" s="256"/>
      <c r="AA3" s="256"/>
      <c r="AB3" s="268"/>
      <c r="AC3" s="260"/>
      <c r="AD3" s="279"/>
      <c r="AE3" s="260"/>
      <c r="AF3" s="262"/>
      <c r="AG3" s="256"/>
      <c r="AH3" s="268"/>
      <c r="AI3" s="264" t="s">
        <v>22</v>
      </c>
      <c r="AJ3" s="265"/>
      <c r="AK3" s="266"/>
      <c r="AL3" s="266"/>
      <c r="AM3" s="256" t="s">
        <v>23</v>
      </c>
      <c r="AN3" s="256"/>
      <c r="AO3" s="256"/>
      <c r="AP3" s="256"/>
      <c r="AQ3" s="256" t="s">
        <v>24</v>
      </c>
      <c r="AR3" s="256"/>
      <c r="AS3" s="256"/>
      <c r="AT3" s="256"/>
      <c r="AU3" s="267" t="s">
        <v>25</v>
      </c>
      <c r="AV3" s="267"/>
      <c r="AW3" s="267"/>
      <c r="AX3" s="267"/>
      <c r="AY3" s="256" t="s">
        <v>26</v>
      </c>
      <c r="AZ3" s="256"/>
      <c r="BA3" s="256"/>
      <c r="BB3" s="268"/>
      <c r="BC3" s="260" t="s">
        <v>27</v>
      </c>
      <c r="BD3" s="262" t="s">
        <v>28</v>
      </c>
      <c r="BE3" s="256" t="s">
        <v>29</v>
      </c>
      <c r="BF3" s="256" t="s">
        <v>30</v>
      </c>
      <c r="BG3" s="256" t="s">
        <v>28</v>
      </c>
      <c r="BH3" s="256" t="s">
        <v>29</v>
      </c>
      <c r="BI3" s="256" t="s">
        <v>31</v>
      </c>
      <c r="BJ3" s="256" t="s">
        <v>28</v>
      </c>
      <c r="BK3" s="256" t="s">
        <v>29</v>
      </c>
      <c r="BL3" s="256" t="s">
        <v>32</v>
      </c>
      <c r="BM3" s="256" t="s">
        <v>28</v>
      </c>
      <c r="BN3" s="256" t="s">
        <v>29</v>
      </c>
      <c r="BO3" s="256" t="s">
        <v>33</v>
      </c>
      <c r="BP3" s="256" t="s">
        <v>28</v>
      </c>
      <c r="BQ3" s="269" t="s">
        <v>29</v>
      </c>
    </row>
    <row r="4" spans="1:69" ht="29" thickBot="1" x14ac:dyDescent="0.25">
      <c r="A4" s="252"/>
      <c r="B4" s="254"/>
      <c r="C4" s="255"/>
      <c r="D4" s="254"/>
      <c r="E4" s="254"/>
      <c r="F4" s="259"/>
      <c r="G4" s="101" t="s">
        <v>22</v>
      </c>
      <c r="H4" s="102" t="s">
        <v>25</v>
      </c>
      <c r="I4" s="103" t="s">
        <v>25</v>
      </c>
      <c r="J4" s="104" t="s">
        <v>29</v>
      </c>
      <c r="K4" s="105" t="s">
        <v>34</v>
      </c>
      <c r="L4" s="106" t="s">
        <v>35</v>
      </c>
      <c r="M4" s="106" t="s">
        <v>24</v>
      </c>
      <c r="N4" s="106" t="s">
        <v>29</v>
      </c>
      <c r="O4" s="106" t="s">
        <v>8</v>
      </c>
      <c r="P4" s="106" t="s">
        <v>29</v>
      </c>
      <c r="Q4" s="106" t="s">
        <v>36</v>
      </c>
      <c r="R4" s="107" t="s">
        <v>22</v>
      </c>
      <c r="S4" s="107" t="s">
        <v>29</v>
      </c>
      <c r="T4" s="108" t="s">
        <v>34</v>
      </c>
      <c r="U4" s="103" t="s">
        <v>25</v>
      </c>
      <c r="V4" s="104" t="s">
        <v>29</v>
      </c>
      <c r="W4" s="109" t="s">
        <v>34</v>
      </c>
      <c r="X4" s="110" t="s">
        <v>24</v>
      </c>
      <c r="Y4" s="110" t="s">
        <v>34</v>
      </c>
      <c r="Z4" s="111" t="s">
        <v>22</v>
      </c>
      <c r="AA4" s="111" t="s">
        <v>34</v>
      </c>
      <c r="AB4" s="112" t="s">
        <v>29</v>
      </c>
      <c r="AC4" s="113" t="s">
        <v>22</v>
      </c>
      <c r="AD4" s="114" t="s">
        <v>25</v>
      </c>
      <c r="AE4" s="115" t="s">
        <v>37</v>
      </c>
      <c r="AF4" s="116" t="s">
        <v>38</v>
      </c>
      <c r="AG4" s="117" t="s">
        <v>34</v>
      </c>
      <c r="AH4" s="118" t="s">
        <v>29</v>
      </c>
      <c r="AI4" s="119" t="s">
        <v>37</v>
      </c>
      <c r="AJ4" s="120" t="s">
        <v>38</v>
      </c>
      <c r="AK4" s="121" t="s">
        <v>34</v>
      </c>
      <c r="AL4" s="121" t="s">
        <v>29</v>
      </c>
      <c r="AM4" s="122" t="s">
        <v>37</v>
      </c>
      <c r="AN4" s="122" t="s">
        <v>38</v>
      </c>
      <c r="AO4" s="122" t="s">
        <v>34</v>
      </c>
      <c r="AP4" s="122" t="s">
        <v>29</v>
      </c>
      <c r="AQ4" s="122" t="s">
        <v>37</v>
      </c>
      <c r="AR4" s="122" t="s">
        <v>38</v>
      </c>
      <c r="AS4" s="122" t="s">
        <v>34</v>
      </c>
      <c r="AT4" s="122" t="s">
        <v>39</v>
      </c>
      <c r="AU4" s="105" t="s">
        <v>37</v>
      </c>
      <c r="AV4" s="105" t="s">
        <v>38</v>
      </c>
      <c r="AW4" s="105" t="s">
        <v>34</v>
      </c>
      <c r="AX4" s="105" t="s">
        <v>29</v>
      </c>
      <c r="AY4" s="122" t="s">
        <v>37</v>
      </c>
      <c r="AZ4" s="122" t="s">
        <v>38</v>
      </c>
      <c r="BA4" s="122" t="s">
        <v>34</v>
      </c>
      <c r="BB4" s="123" t="s">
        <v>29</v>
      </c>
      <c r="BC4" s="261"/>
      <c r="BD4" s="263"/>
      <c r="BE4" s="257"/>
      <c r="BF4" s="257"/>
      <c r="BG4" s="257"/>
      <c r="BH4" s="257"/>
      <c r="BI4" s="257"/>
      <c r="BJ4" s="257"/>
      <c r="BK4" s="257"/>
      <c r="BL4" s="257"/>
      <c r="BM4" s="257"/>
      <c r="BN4" s="257"/>
      <c r="BO4" s="257"/>
      <c r="BP4" s="257"/>
      <c r="BQ4" s="270"/>
    </row>
    <row r="5" spans="1:69" ht="17" thickBot="1" x14ac:dyDescent="0.25">
      <c r="A5" s="124">
        <v>1</v>
      </c>
      <c r="B5" s="125" t="s">
        <v>40</v>
      </c>
      <c r="C5" s="126">
        <v>6010708</v>
      </c>
      <c r="D5" s="36" t="str">
        <f>IFERROR(INDEX('[2]Target store'!$C$5:$C$47,MATCH($C5&amp;"-*",'[2]Target store'!$C$5:$C$47,0)),"NOT FOUND")</f>
        <v>6010708-CENTRAL PARK SHOWROOM</v>
      </c>
      <c r="E5" s="36" t="s">
        <v>41</v>
      </c>
      <c r="F5" s="127">
        <v>3</v>
      </c>
      <c r="G5" s="128">
        <f>_xlfn.XLOOKUP(D:D,'[2]Target store'!C:C,'[2]Target store'!F:F,0)</f>
        <v>110</v>
      </c>
      <c r="H5" s="129">
        <f>_xlfn.XLOOKUP(D:D,'[2]Target store'!C:C,'[2]Target store'!G:G,0)</f>
        <v>600000000</v>
      </c>
      <c r="I5" s="130">
        <f>IFERROR(GETPIVOTDATA("Sum of SRP",'[2]DEVICE &amp; VALUE'!$A$6,"ID Store",$C5),0)</f>
        <v>163376000</v>
      </c>
      <c r="J5" s="131">
        <f>IFERROR(I5/H5,0)</f>
        <v>0.27229333333333333</v>
      </c>
      <c r="K5" s="132">
        <f>I5-H5</f>
        <v>-436624000</v>
      </c>
      <c r="L5" s="133">
        <f>IFERROR(GETPIVOTDATA("Sum of Qty",[2]PF!$A$5,"ID Store",$C5),0)</f>
        <v>1</v>
      </c>
      <c r="M5" s="134">
        <f>IFERROR(GETPIVOTDATA("Sum of Qty",'[2]DEVICE &amp; VALUE'!$A$6,"ID Store",$C5,"Segment Price","3mio&gt;"),0)</f>
        <v>13</v>
      </c>
      <c r="N5" s="135">
        <f>IFERROR(M5/R5,0)</f>
        <v>0.54166666666666663</v>
      </c>
      <c r="O5" s="136">
        <f>IFERROR(GETPIVOTDATA("Sum of Qty",[2]IQOO!$A$6,"ID Store",$C5),0)</f>
        <v>1</v>
      </c>
      <c r="P5" s="135">
        <f>IFERROR(O5/R5,0)</f>
        <v>4.1666666666666664E-2</v>
      </c>
      <c r="Q5" s="137">
        <f>IFERROR(M5/R5,0)</f>
        <v>0.54166666666666663</v>
      </c>
      <c r="R5" s="136">
        <f>IFERROR(GETPIVOTDATA("Sum of Qty",'[2]DEVICE &amp; VALUE'!$A$6,"ID Store",$C5),0)</f>
        <v>24</v>
      </c>
      <c r="S5" s="136">
        <f>R5/G5</f>
        <v>0.21818181818181817</v>
      </c>
      <c r="T5" s="136">
        <f>R5-G5</f>
        <v>-86</v>
      </c>
      <c r="U5" s="138">
        <f>I5/$E$2*$D$2</f>
        <v>700182857.14285707</v>
      </c>
      <c r="V5" s="131">
        <f>IFERROR(U5/H5,0)</f>
        <v>1.1669714285714285</v>
      </c>
      <c r="W5" s="139">
        <f>U5-H5</f>
        <v>100182857.14285707</v>
      </c>
      <c r="X5" s="140">
        <f t="shared" ref="X5:X47" si="0">M5/$E$2*$D$2</f>
        <v>55.714285714285715</v>
      </c>
      <c r="Y5" s="141">
        <f t="shared" ref="Y5:Y48" si="1">X5-G5</f>
        <v>-54.285714285714285</v>
      </c>
      <c r="Z5" s="141">
        <f>R5/$E$2*$D$2</f>
        <v>102.85714285714285</v>
      </c>
      <c r="AA5" s="141">
        <f>Z5-G5</f>
        <v>-7.142857142857153</v>
      </c>
      <c r="AB5" s="141">
        <f>IFERROR(Z5/G5,0)</f>
        <v>0.93506493506493493</v>
      </c>
      <c r="AC5" s="239">
        <f>IFERROR(($G5-$R5)/($D$2-$E$2),0)</f>
        <v>3.7391304347826089</v>
      </c>
      <c r="AD5" s="142">
        <f>IFERROR(($H5-$I5)/($D$2-$E$2),0)</f>
        <v>18983652.173913043</v>
      </c>
      <c r="AE5" s="143">
        <f>IFERROR(GETPIVOTDATA("Sum of Qty",'[2]DATA LAST MONTH IQOO'!$A$6,"ID Store",$C5),0)</f>
        <v>1</v>
      </c>
      <c r="AF5" s="144">
        <f>IFERROR(GETPIVOTDATA("Sum of Qty",[2]IQOO!$A$6,"ID Store",$C5),0)</f>
        <v>1</v>
      </c>
      <c r="AG5" s="145">
        <f t="shared" ref="AG5:AG48" si="2">AF5-AE5</f>
        <v>0</v>
      </c>
      <c r="AH5" s="137">
        <f t="shared" ref="AH5:AH47" si="3">IFERROR(AG5/AE5,0)</f>
        <v>0</v>
      </c>
      <c r="AI5" s="146">
        <f>IFERROR(GETPIVOTDATA("Sum of Qty",'[2]DATA LAST MONTH DEVICE'!$A$6,"ID Store",$C5),0)</f>
        <v>18</v>
      </c>
      <c r="AJ5" s="147">
        <f>R5</f>
        <v>24</v>
      </c>
      <c r="AK5" s="148">
        <f t="shared" ref="AK5:AK48" si="4">AJ5-AI5</f>
        <v>6</v>
      </c>
      <c r="AL5" s="149">
        <f t="shared" ref="AL5:AL47" si="5">IFERROR(AK5/AI5,0)</f>
        <v>0.33333333333333331</v>
      </c>
      <c r="AM5" s="134">
        <f>IFERROR(GETPIVOTDATA("Sum of Qty",'[2]Store 3mio+ last month'!$A$6,"ID Store",$C5),0)</f>
        <v>71</v>
      </c>
      <c r="AN5" s="145">
        <f>VLOOKUP(C:C,C:Z,24,0)</f>
        <v>102.85714285714285</v>
      </c>
      <c r="AO5" s="145">
        <f t="shared" ref="AO5:AO48" si="6">AN5-AM5</f>
        <v>31.857142857142847</v>
      </c>
      <c r="AP5" s="135">
        <f t="shared" ref="AP5:AP47" si="7">IFERROR(AO5/AM5,0)</f>
        <v>0.44869215291750486</v>
      </c>
      <c r="AQ5" s="134">
        <f>IFERROR(GETPIVOTDATA("Sum of Qty",'[2]DATA LAST MONTH DEVICE'!$A$6,"ID Store",$C5,"Segment Price","3mio&gt;"),0)</f>
        <v>8</v>
      </c>
      <c r="AR5" s="136">
        <f t="shared" ref="AR5:AR47" si="8">M5</f>
        <v>13</v>
      </c>
      <c r="AS5" s="136">
        <f t="shared" ref="AS5:AS48" si="9">AR5-AQ5</f>
        <v>5</v>
      </c>
      <c r="AT5" s="137">
        <f t="shared" ref="AT5:AT47" si="10">IFERROR(AS5/AQ5,0)</f>
        <v>0.625</v>
      </c>
      <c r="AU5" s="130">
        <f>IFERROR(GETPIVOTDATA("Sum of SRP",'[2]DATA LAST MONTH DEVICE'!$A$6,"ID Store",$C5),0)</f>
        <v>70282000</v>
      </c>
      <c r="AV5" s="130">
        <f>I5</f>
        <v>163376000</v>
      </c>
      <c r="AW5" s="150">
        <f t="shared" ref="AW5:AW48" si="11">AV5-AU5</f>
        <v>93094000</v>
      </c>
      <c r="AX5" s="151">
        <f t="shared" ref="AX5:AX47" si="12">IFERROR(AW5/AU5,0)</f>
        <v>1.3245781281124611</v>
      </c>
      <c r="AY5" s="152">
        <f>IFERROR(VLOOKUP(C5,'[2]DATA SALES LAST MONTH'!A:E,5,0),0)</f>
        <v>3904555.5555555555</v>
      </c>
      <c r="AZ5" s="153">
        <f>IFERROR(U5/Z5,0)</f>
        <v>6807333.333333333</v>
      </c>
      <c r="BA5" s="153">
        <f t="shared" ref="BA5:BA48" si="13">AZ5-AY5</f>
        <v>2902777.7777777775</v>
      </c>
      <c r="BB5" s="137">
        <f t="shared" ref="BB5:BB47" si="14">IFERROR(BA5/AY5,0)</f>
        <v>0.74343359608434589</v>
      </c>
      <c r="BC5" s="154">
        <f>_xlfn.XLOOKUP(D:D,'[2]Target store'!C:C,'[2]Target store'!J:J,0)</f>
        <v>11</v>
      </c>
      <c r="BD5" s="133">
        <f>IFERROR(GETPIVOTDATA("Sum of Qty",[2]ACC!$A$5,"ID Store",$C5),0)</f>
        <v>8</v>
      </c>
      <c r="BE5" s="135">
        <f t="shared" ref="BE5:BE47" si="15">IFERROR(BD5/BC5,0)</f>
        <v>0.72727272727272729</v>
      </c>
      <c r="BF5" s="155">
        <f>_xlfn.XLOOKUP(D:D,'[2]Target store'!C:C,'[2]Target store'!K:K,0)</f>
        <v>2700000</v>
      </c>
      <c r="BG5" s="155">
        <f>IFERROR(GETPIVOTDATA("Sum of SRP",'[2]Insurance by Store'!$A$5,"ID Store",$C5,"Product Type","Qoala"),0)</f>
        <v>318000</v>
      </c>
      <c r="BH5" s="135">
        <f t="shared" ref="BH5:BH47" si="16">IFERROR(BG5/BF5,0)</f>
        <v>0.11777777777777777</v>
      </c>
      <c r="BI5" s="155">
        <f>_xlfn.XLOOKUP(D:D,'[2]Target store'!C:C,'[2]Target store'!L:L,0)</f>
        <v>600000</v>
      </c>
      <c r="BJ5" s="155">
        <f>IFERROR(GETPIVOTDATA("Sum of SRP",'[2]Insurance by Store'!$A$5,"ID Store",$C5,"Product Type","Vivo Care"),0)</f>
        <v>0</v>
      </c>
      <c r="BK5" s="135">
        <f t="shared" ref="BK5:BK47" si="17">IFERROR(BJ5/BI5,0)</f>
        <v>0</v>
      </c>
      <c r="BL5" s="145">
        <f>_xlfn.XLOOKUP(D:D,'[2]Target store'!C:C,'[2]Target store'!M:M,0)</f>
        <v>1200000</v>
      </c>
      <c r="BM5" s="134">
        <f>IFERROR(GETPIVOTDATA("Sum of Qty",'[2]Operator by Store'!$A$5,"ID Store",$C5,"Product Type","Indosat"),0)</f>
        <v>0</v>
      </c>
      <c r="BN5" s="135">
        <f t="shared" ref="BN5:BN47" si="18">IFERROR(BM5/BL5,0)</f>
        <v>0</v>
      </c>
      <c r="BO5" s="145">
        <f>_xlfn.XLOOKUP(D:D,'[2]Target store'!C:C,'[2]Target store'!N:N,0)</f>
        <v>1800000</v>
      </c>
      <c r="BP5" s="134">
        <f>IFERROR(GETPIVOTDATA("Sum of Qty",'[2]Operator by Store'!$A$5,"ID Store",$C5,"Product Type","Telkomsel"),0)</f>
        <v>0</v>
      </c>
      <c r="BQ5" s="156">
        <f t="shared" ref="BQ5:BQ47" si="19">IFERROR(BP5/BO5,0)</f>
        <v>0</v>
      </c>
    </row>
    <row r="6" spans="1:69" ht="17" thickBot="1" x14ac:dyDescent="0.25">
      <c r="A6" s="157">
        <v>2</v>
      </c>
      <c r="B6" s="158" t="s">
        <v>40</v>
      </c>
      <c r="C6" s="159">
        <v>6010701</v>
      </c>
      <c r="D6" s="160" t="str">
        <f>IFERROR(INDEX('[2]Target store'!$C$5:$C$47,MATCH($C6&amp;"-*",'[2]Target store'!$C$5:$C$47,0)),"NOT FOUND")</f>
        <v>6010701-ROXY SHOWROOM 21</v>
      </c>
      <c r="E6" s="160" t="s">
        <v>42</v>
      </c>
      <c r="F6" s="161">
        <v>6</v>
      </c>
      <c r="G6" s="128">
        <f>_xlfn.XLOOKUP(D:D,'[2]Target store'!C:C,'[2]Target store'!F:F,0)</f>
        <v>240</v>
      </c>
      <c r="H6" s="162">
        <f>_xlfn.XLOOKUP(D:D,'[2]Target store'!C:C,'[2]Target store'!G:G,0)</f>
        <v>1050000000</v>
      </c>
      <c r="I6" s="163">
        <f>IFERROR(GETPIVOTDATA("Sum of SRP",'[2]DEVICE &amp; VALUE'!$A$6,"ID Store",$C6),0)</f>
        <v>189145000</v>
      </c>
      <c r="J6" s="164">
        <f t="shared" ref="J6:J47" si="20">IFERROR(I6/H6,0)</f>
        <v>0.18013809523809524</v>
      </c>
      <c r="K6" s="165">
        <f t="shared" ref="K6:K47" si="21">I6-H6</f>
        <v>-860855000</v>
      </c>
      <c r="L6" s="133">
        <f>IFERROR(GETPIVOTDATA("Sum of Qty",[2]PF!$A$5,"ID Store",$C6),0)</f>
        <v>8</v>
      </c>
      <c r="M6" s="134">
        <f>IFERROR(GETPIVOTDATA("Sum of Qty",'[2]DEVICE &amp; VALUE'!$A$6,"ID Store",$C6,"Segment Price","3mio&gt;"),0)</f>
        <v>17</v>
      </c>
      <c r="N6" s="135">
        <f t="shared" ref="N6:N47" si="22">IFERROR(M6/R6,0)</f>
        <v>0.30909090909090908</v>
      </c>
      <c r="O6" s="136">
        <f>IFERROR(GETPIVOTDATA("Sum of Qty",[2]IQOO!$A$6,"ID Store",$C6),0)</f>
        <v>0</v>
      </c>
      <c r="P6" s="135">
        <f t="shared" ref="P6:P47" si="23">IFERROR(O6/R6,0)</f>
        <v>0</v>
      </c>
      <c r="Q6" s="137">
        <f t="shared" ref="Q6:Q47" si="24">IFERROR(M6/R6,0)</f>
        <v>0.30909090909090908</v>
      </c>
      <c r="R6" s="136">
        <f>IFERROR(GETPIVOTDATA("Sum of Qty",'[2]DEVICE &amp; VALUE'!$A$6,"ID Store",$C6),0)</f>
        <v>55</v>
      </c>
      <c r="S6" s="136">
        <f t="shared" ref="S6:S47" si="25">R6/G6</f>
        <v>0.22916666666666666</v>
      </c>
      <c r="T6" s="136">
        <f t="shared" ref="T6:T47" si="26">R6-G6</f>
        <v>-185</v>
      </c>
      <c r="U6" s="166">
        <f t="shared" ref="U6:U47" si="27">I6/$E$2*$D$2</f>
        <v>810621428.57142866</v>
      </c>
      <c r="V6" s="164">
        <f t="shared" ref="V6:V47" si="28">IFERROR(U6/H6,0)</f>
        <v>0.77202040816326534</v>
      </c>
      <c r="W6" s="167">
        <f t="shared" ref="W6:W47" si="29">U6-H6</f>
        <v>-239378571.42857134</v>
      </c>
      <c r="X6" s="168">
        <f t="shared" si="0"/>
        <v>72.857142857142847</v>
      </c>
      <c r="Y6" s="169">
        <f t="shared" si="1"/>
        <v>-167.14285714285717</v>
      </c>
      <c r="Z6" s="169">
        <f t="shared" ref="Z6:Z47" si="30">R6/$E$2*$D$2</f>
        <v>235.71428571428569</v>
      </c>
      <c r="AA6" s="169">
        <f t="shared" ref="AA6:AA47" si="31">Z6-G6</f>
        <v>-4.285714285714306</v>
      </c>
      <c r="AB6" s="169">
        <f t="shared" ref="AB6:AB47" si="32">IFERROR(Z6/G6,0)</f>
        <v>0.9821428571428571</v>
      </c>
      <c r="AC6" s="239">
        <f t="shared" ref="AC6:AC47" si="33">IFERROR(($G6-$R6)/($D$2-$E$2),0)</f>
        <v>8.0434782608695645</v>
      </c>
      <c r="AD6" s="142">
        <f t="shared" ref="AD6:AD47" si="34">IFERROR(($H6-$I6)/($D$2-$E$2),0)</f>
        <v>37428478.260869563</v>
      </c>
      <c r="AE6" s="170">
        <f>IFERROR(GETPIVOTDATA("Sum of Qty",'[2]DATA LAST MONTH IQOO'!$A$6,"ID Store",$C6),0)</f>
        <v>2</v>
      </c>
      <c r="AF6" s="171">
        <f>IFERROR(GETPIVOTDATA("Sum of Qty",[2]IQOO!$A$6,"ID Store",$C6),0)</f>
        <v>0</v>
      </c>
      <c r="AG6" s="172">
        <f t="shared" si="2"/>
        <v>-2</v>
      </c>
      <c r="AH6" s="173">
        <f t="shared" si="3"/>
        <v>-1</v>
      </c>
      <c r="AI6" s="174">
        <f>IFERROR(GETPIVOTDATA("Sum of Qty",'[2]DATA LAST MONTH DEVICE'!$A$6,"ID Store",$C6),0)</f>
        <v>75</v>
      </c>
      <c r="AJ6" s="147">
        <f t="shared" ref="AJ6:AJ47" si="35">R6</f>
        <v>55</v>
      </c>
      <c r="AK6" s="175">
        <f t="shared" si="4"/>
        <v>-20</v>
      </c>
      <c r="AL6" s="176">
        <f t="shared" si="5"/>
        <v>-0.26666666666666666</v>
      </c>
      <c r="AM6" s="177">
        <f>IFERROR(GETPIVOTDATA("Sum of Qty",'[2]Store 3mio+ last month'!$A$6,"ID Store",$C6),0)</f>
        <v>270</v>
      </c>
      <c r="AN6" s="145">
        <f t="shared" ref="AN6:AN47" si="36">VLOOKUP(C:C,C:Z,24,0)</f>
        <v>235.71428571428569</v>
      </c>
      <c r="AO6" s="172">
        <f t="shared" si="6"/>
        <v>-34.285714285714306</v>
      </c>
      <c r="AP6" s="178">
        <f t="shared" si="7"/>
        <v>-0.12698412698412706</v>
      </c>
      <c r="AQ6" s="177">
        <f>IFERROR(GETPIVOTDATA("Sum of Qty",'[2]DATA LAST MONTH DEVICE'!$A$6,"ID Store",$C6,"Segment Price","3mio&gt;"),0)</f>
        <v>31</v>
      </c>
      <c r="AR6" s="179">
        <f t="shared" si="8"/>
        <v>17</v>
      </c>
      <c r="AS6" s="179">
        <f t="shared" si="9"/>
        <v>-14</v>
      </c>
      <c r="AT6" s="173">
        <f t="shared" si="10"/>
        <v>-0.45161290322580644</v>
      </c>
      <c r="AU6" s="180">
        <f>IFERROR(GETPIVOTDATA("Sum of SRP",'[2]DATA LAST MONTH DEVICE'!$A$6,"ID Store",$C6),0)</f>
        <v>288825000</v>
      </c>
      <c r="AV6" s="180">
        <f t="shared" ref="AV6:AV47" si="37">I6</f>
        <v>189145000</v>
      </c>
      <c r="AW6" s="181">
        <f t="shared" si="11"/>
        <v>-99680000</v>
      </c>
      <c r="AX6" s="182">
        <f t="shared" si="12"/>
        <v>-0.34512247900978099</v>
      </c>
      <c r="AY6" s="183">
        <f>IFERROR(VLOOKUP(C6,'[2]DATA SALES LAST MONTH'!A:E,5,0),0)</f>
        <v>3851000</v>
      </c>
      <c r="AZ6" s="153">
        <f t="shared" ref="AZ6:AZ47" si="38">IFERROR(U6/Z6,0)</f>
        <v>3439000.0000000005</v>
      </c>
      <c r="BA6" s="184">
        <f t="shared" si="13"/>
        <v>-411999.99999999953</v>
      </c>
      <c r="BB6" s="173">
        <f t="shared" si="14"/>
        <v>-0.10698519864970125</v>
      </c>
      <c r="BC6" s="154">
        <f>_xlfn.XLOOKUP(D:D,'[2]Target store'!C:C,'[2]Target store'!J:J,0)</f>
        <v>24</v>
      </c>
      <c r="BD6" s="185">
        <f>IFERROR(GETPIVOTDATA("Sum of Qty",[2]ACC!$A$5,"ID Store",$C6),0)</f>
        <v>21</v>
      </c>
      <c r="BE6" s="178">
        <f t="shared" si="15"/>
        <v>0.875</v>
      </c>
      <c r="BF6" s="155">
        <f>_xlfn.XLOOKUP(D:D,'[2]Target store'!C:C,'[2]Target store'!K:K,0)</f>
        <v>4725000</v>
      </c>
      <c r="BG6" s="186">
        <f>IFERROR(GETPIVOTDATA("Sum of SRP",'[2]Insurance by Store'!$A$5,"ID Store",$C6,"Product Type","Qoala"),0)</f>
        <v>1431000</v>
      </c>
      <c r="BH6" s="178">
        <f t="shared" si="16"/>
        <v>0.30285714285714288</v>
      </c>
      <c r="BI6" s="155">
        <f>_xlfn.XLOOKUP(D:D,'[2]Target store'!C:C,'[2]Target store'!L:L,0)</f>
        <v>1050000</v>
      </c>
      <c r="BJ6" s="186">
        <f>IFERROR(GETPIVOTDATA("Sum of SRP",'[2]Insurance by Store'!$A$5,"ID Store",$C6,"Product Type","Vivo Care"),0)</f>
        <v>1000000</v>
      </c>
      <c r="BK6" s="178">
        <f t="shared" si="17"/>
        <v>0.95238095238095233</v>
      </c>
      <c r="BL6" s="145">
        <f>_xlfn.XLOOKUP(D:D,'[2]Target store'!C:C,'[2]Target store'!M:M,0)</f>
        <v>2100000</v>
      </c>
      <c r="BM6" s="177">
        <f>IFERROR(GETPIVOTDATA("Sum of Qty",'[2]Operator by Store'!$A$5,"ID Store",$C6,"Product Type","Indosat"),0)</f>
        <v>1</v>
      </c>
      <c r="BN6" s="178">
        <f t="shared" si="18"/>
        <v>4.7619047619047617E-7</v>
      </c>
      <c r="BO6" s="145">
        <f>_xlfn.XLOOKUP(D:D,'[2]Target store'!C:C,'[2]Target store'!N:N,0)</f>
        <v>3150000</v>
      </c>
      <c r="BP6" s="177">
        <f>IFERROR(GETPIVOTDATA("Sum of Qty",'[2]Operator by Store'!$A$5,"ID Store",$C6,"Product Type","Telkomsel"),0)</f>
        <v>0</v>
      </c>
      <c r="BQ6" s="187">
        <f t="shared" si="19"/>
        <v>0</v>
      </c>
    </row>
    <row r="7" spans="1:69" ht="17" thickBot="1" x14ac:dyDescent="0.25">
      <c r="A7" s="157">
        <v>3</v>
      </c>
      <c r="B7" s="158" t="s">
        <v>40</v>
      </c>
      <c r="C7" s="159">
        <v>6010702</v>
      </c>
      <c r="D7" s="160" t="str">
        <f>IFERROR(INDEX('[2]Target store'!$C$5:$C$47,MATCH($C7&amp;"-*",'[2]Target store'!$C$5:$C$47,0)),"NOT FOUND")</f>
        <v>6010702-ROXY PAMERAN TIMUR</v>
      </c>
      <c r="E7" s="160" t="s">
        <v>42</v>
      </c>
      <c r="F7" s="161">
        <v>6</v>
      </c>
      <c r="G7" s="128">
        <f>_xlfn.XLOOKUP(D:D,'[2]Target store'!C:C,'[2]Target store'!F:F,0)</f>
        <v>240</v>
      </c>
      <c r="H7" s="162">
        <f>_xlfn.XLOOKUP(D:D,'[2]Target store'!C:C,'[2]Target store'!G:G,0)</f>
        <v>950000000</v>
      </c>
      <c r="I7" s="163">
        <f>IFERROR(GETPIVOTDATA("Sum of SRP",'[2]DEVICE &amp; VALUE'!$A$6,"ID Store",$C7),0)</f>
        <v>220437000</v>
      </c>
      <c r="J7" s="164">
        <f t="shared" si="20"/>
        <v>0.23203894736842104</v>
      </c>
      <c r="K7" s="165">
        <f t="shared" si="21"/>
        <v>-729563000</v>
      </c>
      <c r="L7" s="133">
        <f>IFERROR(GETPIVOTDATA("Sum of Qty",[2]PF!$A$5,"ID Store",$C7),0)</f>
        <v>6</v>
      </c>
      <c r="M7" s="134">
        <f>IFERROR(GETPIVOTDATA("Sum of Qty",'[2]DEVICE &amp; VALUE'!$A$6,"ID Store",$C7,"Segment Price","3mio&gt;"),0)</f>
        <v>14</v>
      </c>
      <c r="N7" s="135">
        <f t="shared" si="22"/>
        <v>0.22222222222222221</v>
      </c>
      <c r="O7" s="136">
        <f>IFERROR(GETPIVOTDATA("Sum of Qty",[2]IQOO!$A$6,"ID Store",$C7),0)</f>
        <v>1</v>
      </c>
      <c r="P7" s="135">
        <f t="shared" si="23"/>
        <v>1.5873015873015872E-2</v>
      </c>
      <c r="Q7" s="137">
        <f t="shared" si="24"/>
        <v>0.22222222222222221</v>
      </c>
      <c r="R7" s="136">
        <f>IFERROR(GETPIVOTDATA("Sum of Qty",'[2]DEVICE &amp; VALUE'!$A$6,"ID Store",$C7),0)</f>
        <v>63</v>
      </c>
      <c r="S7" s="136">
        <f t="shared" si="25"/>
        <v>0.26250000000000001</v>
      </c>
      <c r="T7" s="136">
        <f t="shared" si="26"/>
        <v>-177</v>
      </c>
      <c r="U7" s="166">
        <f t="shared" si="27"/>
        <v>944730000</v>
      </c>
      <c r="V7" s="164">
        <f t="shared" si="28"/>
        <v>0.99445263157894737</v>
      </c>
      <c r="W7" s="167">
        <f t="shared" si="29"/>
        <v>-5270000</v>
      </c>
      <c r="X7" s="168">
        <f t="shared" si="0"/>
        <v>60</v>
      </c>
      <c r="Y7" s="169">
        <f t="shared" si="1"/>
        <v>-180</v>
      </c>
      <c r="Z7" s="169">
        <f t="shared" si="30"/>
        <v>270</v>
      </c>
      <c r="AA7" s="169">
        <f t="shared" si="31"/>
        <v>30</v>
      </c>
      <c r="AB7" s="169">
        <f t="shared" si="32"/>
        <v>1.125</v>
      </c>
      <c r="AC7" s="239">
        <f t="shared" si="33"/>
        <v>7.6956521739130439</v>
      </c>
      <c r="AD7" s="142">
        <f t="shared" si="34"/>
        <v>31720130.434782609</v>
      </c>
      <c r="AE7" s="170">
        <f>IFERROR(GETPIVOTDATA("Sum of Qty",'[2]DATA LAST MONTH IQOO'!$A$6,"ID Store",$C7),0)</f>
        <v>2</v>
      </c>
      <c r="AF7" s="171">
        <f>IFERROR(GETPIVOTDATA("Sum of Qty",[2]IQOO!$A$6,"ID Store",$C7),0)</f>
        <v>1</v>
      </c>
      <c r="AG7" s="172">
        <f t="shared" si="2"/>
        <v>-1</v>
      </c>
      <c r="AH7" s="173">
        <f t="shared" si="3"/>
        <v>-0.5</v>
      </c>
      <c r="AI7" s="174">
        <f>IFERROR(GETPIVOTDATA("Sum of Qty",'[2]DATA LAST MONTH DEVICE'!$A$6,"ID Store",$C7),0)</f>
        <v>75</v>
      </c>
      <c r="AJ7" s="147">
        <f t="shared" si="35"/>
        <v>63</v>
      </c>
      <c r="AK7" s="175">
        <f t="shared" si="4"/>
        <v>-12</v>
      </c>
      <c r="AL7" s="176">
        <f t="shared" si="5"/>
        <v>-0.16</v>
      </c>
      <c r="AM7" s="177">
        <f>IFERROR(GETPIVOTDATA("Sum of Qty",'[2]Store 3mio+ last month'!$A$6,"ID Store",$C7),0)</f>
        <v>285</v>
      </c>
      <c r="AN7" s="145">
        <f t="shared" si="36"/>
        <v>270</v>
      </c>
      <c r="AO7" s="172">
        <f t="shared" si="6"/>
        <v>-15</v>
      </c>
      <c r="AP7" s="178">
        <f t="shared" si="7"/>
        <v>-5.2631578947368418E-2</v>
      </c>
      <c r="AQ7" s="177">
        <f>IFERROR(GETPIVOTDATA("Sum of Qty",'[2]DATA LAST MONTH DEVICE'!$A$6,"ID Store",$C7,"Segment Price","3mio&gt;"),0)</f>
        <v>15</v>
      </c>
      <c r="AR7" s="179">
        <f t="shared" si="8"/>
        <v>14</v>
      </c>
      <c r="AS7" s="179">
        <f t="shared" si="9"/>
        <v>-1</v>
      </c>
      <c r="AT7" s="173">
        <f t="shared" si="10"/>
        <v>-6.6666666666666666E-2</v>
      </c>
      <c r="AU7" s="180">
        <f>IFERROR(GETPIVOTDATA("Sum of SRP",'[2]DATA LAST MONTH DEVICE'!$A$6,"ID Store",$C7),0)</f>
        <v>216525000</v>
      </c>
      <c r="AV7" s="180">
        <f t="shared" si="37"/>
        <v>220437000</v>
      </c>
      <c r="AW7" s="181">
        <f t="shared" si="11"/>
        <v>3912000</v>
      </c>
      <c r="AX7" s="182">
        <f t="shared" si="12"/>
        <v>1.8067197783165918E-2</v>
      </c>
      <c r="AY7" s="183">
        <f>IFERROR(VLOOKUP(C7,'[2]DATA SALES LAST MONTH'!A:E,5,0),0)</f>
        <v>2887000</v>
      </c>
      <c r="AZ7" s="153">
        <f t="shared" si="38"/>
        <v>3499000</v>
      </c>
      <c r="BA7" s="184">
        <f t="shared" si="13"/>
        <v>612000</v>
      </c>
      <c r="BB7" s="173">
        <f t="shared" si="14"/>
        <v>0.2119847592656737</v>
      </c>
      <c r="BC7" s="154">
        <f>_xlfn.XLOOKUP(D:D,'[2]Target store'!C:C,'[2]Target store'!J:J,0)</f>
        <v>24</v>
      </c>
      <c r="BD7" s="185">
        <f>IFERROR(GETPIVOTDATA("Sum of Qty",[2]ACC!$A$5,"ID Store",$C7),0)</f>
        <v>19</v>
      </c>
      <c r="BE7" s="178">
        <f t="shared" si="15"/>
        <v>0.79166666666666663</v>
      </c>
      <c r="BF7" s="155">
        <f>_xlfn.XLOOKUP(D:D,'[2]Target store'!C:C,'[2]Target store'!K:K,0)</f>
        <v>4275000</v>
      </c>
      <c r="BG7" s="186">
        <f>IFERROR(GETPIVOTDATA("Sum of SRP",'[2]Insurance by Store'!$A$5,"ID Store",$C7,"Product Type","Qoala"),0)</f>
        <v>795000</v>
      </c>
      <c r="BH7" s="178">
        <f t="shared" si="16"/>
        <v>0.18596491228070175</v>
      </c>
      <c r="BI7" s="155">
        <f>_xlfn.XLOOKUP(D:D,'[2]Target store'!C:C,'[2]Target store'!L:L,0)</f>
        <v>950000</v>
      </c>
      <c r="BJ7" s="186">
        <f>IFERROR(GETPIVOTDATA("Sum of SRP",'[2]Insurance by Store'!$A$5,"ID Store",$C7,"Product Type","Vivo Care"),0)</f>
        <v>0</v>
      </c>
      <c r="BK7" s="178">
        <f t="shared" si="17"/>
        <v>0</v>
      </c>
      <c r="BL7" s="145">
        <f>_xlfn.XLOOKUP(D:D,'[2]Target store'!C:C,'[2]Target store'!M:M,0)</f>
        <v>1900000</v>
      </c>
      <c r="BM7" s="177">
        <f>IFERROR(GETPIVOTDATA("Sum of Qty",'[2]Operator by Store'!$A$5,"ID Store",$C7,"Product Type","Indosat"),0)</f>
        <v>1</v>
      </c>
      <c r="BN7" s="178">
        <f t="shared" si="18"/>
        <v>5.2631578947368416E-7</v>
      </c>
      <c r="BO7" s="145">
        <f>_xlfn.XLOOKUP(D:D,'[2]Target store'!C:C,'[2]Target store'!N:N,0)</f>
        <v>2850000</v>
      </c>
      <c r="BP7" s="177">
        <f>IFERROR(GETPIVOTDATA("Sum of Qty",'[2]Operator by Store'!$A$5,"ID Store",$C7,"Product Type","Telkomsel"),0)</f>
        <v>0</v>
      </c>
      <c r="BQ7" s="187">
        <f t="shared" si="19"/>
        <v>0</v>
      </c>
    </row>
    <row r="8" spans="1:69" ht="17" thickBot="1" x14ac:dyDescent="0.25">
      <c r="A8" s="157">
        <v>4</v>
      </c>
      <c r="B8" s="158" t="s">
        <v>40</v>
      </c>
      <c r="C8" s="159">
        <v>6010703</v>
      </c>
      <c r="D8" s="160" t="str">
        <f>IFERROR(INDEX('[2]Target store'!$C$5:$C$47,MATCH($C8&amp;"-*",'[2]Target store'!$C$5:$C$47,0)),"NOT FOUND")</f>
        <v>6010703-ROXY VS WINSHOP</v>
      </c>
      <c r="E8" s="160" t="s">
        <v>43</v>
      </c>
      <c r="F8" s="161">
        <v>3</v>
      </c>
      <c r="G8" s="128">
        <f>_xlfn.XLOOKUP(D:D,'[2]Target store'!C:C,'[2]Target store'!F:F,0)</f>
        <v>120</v>
      </c>
      <c r="H8" s="162">
        <f>_xlfn.XLOOKUP(D:D,'[2]Target store'!C:C,'[2]Target store'!G:G,0)</f>
        <v>450000000</v>
      </c>
      <c r="I8" s="163">
        <f>IFERROR(GETPIVOTDATA("Sum of SRP",'[2]DEVICE &amp; VALUE'!$A$6,"ID Store",$C8),0)</f>
        <v>66774000</v>
      </c>
      <c r="J8" s="164">
        <f t="shared" si="20"/>
        <v>0.14838666666666667</v>
      </c>
      <c r="K8" s="165">
        <f t="shared" si="21"/>
        <v>-383226000</v>
      </c>
      <c r="L8" s="133">
        <f>IFERROR(GETPIVOTDATA("Sum of Qty",[2]PF!$A$5,"ID Store",$C8),0)</f>
        <v>2</v>
      </c>
      <c r="M8" s="134">
        <f>IFERROR(GETPIVOTDATA("Sum of Qty",'[2]DEVICE &amp; VALUE'!$A$6,"ID Store",$C8,"Segment Price","3mio&gt;"),0)</f>
        <v>3</v>
      </c>
      <c r="N8" s="135">
        <f t="shared" si="22"/>
        <v>0.11538461538461539</v>
      </c>
      <c r="O8" s="136">
        <f>IFERROR(GETPIVOTDATA("Sum of Qty",[2]IQOO!$A$6,"ID Store",$C8),0)</f>
        <v>0</v>
      </c>
      <c r="P8" s="135">
        <f t="shared" si="23"/>
        <v>0</v>
      </c>
      <c r="Q8" s="137">
        <f t="shared" si="24"/>
        <v>0.11538461538461539</v>
      </c>
      <c r="R8" s="136">
        <f>IFERROR(GETPIVOTDATA("Sum of Qty",'[2]DEVICE &amp; VALUE'!$A$6,"ID Store",$C8),0)</f>
        <v>26</v>
      </c>
      <c r="S8" s="136">
        <f t="shared" si="25"/>
        <v>0.21666666666666667</v>
      </c>
      <c r="T8" s="136">
        <f t="shared" si="26"/>
        <v>-94</v>
      </c>
      <c r="U8" s="166">
        <f t="shared" si="27"/>
        <v>286174285.71428567</v>
      </c>
      <c r="V8" s="164">
        <f t="shared" si="28"/>
        <v>0.63594285714285703</v>
      </c>
      <c r="W8" s="167">
        <f t="shared" si="29"/>
        <v>-163825714.28571433</v>
      </c>
      <c r="X8" s="168">
        <f t="shared" si="0"/>
        <v>12.857142857142856</v>
      </c>
      <c r="Y8" s="169">
        <f t="shared" si="1"/>
        <v>-107.14285714285714</v>
      </c>
      <c r="Z8" s="169">
        <f t="shared" si="30"/>
        <v>111.42857142857143</v>
      </c>
      <c r="AA8" s="169">
        <f t="shared" si="31"/>
        <v>-8.5714285714285694</v>
      </c>
      <c r="AB8" s="169">
        <f t="shared" si="32"/>
        <v>0.9285714285714286</v>
      </c>
      <c r="AC8" s="239">
        <f t="shared" si="33"/>
        <v>4.0869565217391308</v>
      </c>
      <c r="AD8" s="142">
        <f t="shared" si="34"/>
        <v>16662000</v>
      </c>
      <c r="AE8" s="170">
        <f>IFERROR(GETPIVOTDATA("Sum of Qty",'[2]DATA LAST MONTH IQOO'!$A$6,"ID Store",$C8),0)</f>
        <v>0</v>
      </c>
      <c r="AF8" s="171">
        <f>IFERROR(GETPIVOTDATA("Sum of Qty",[2]IQOO!$A$6,"ID Store",$C8),0)</f>
        <v>0</v>
      </c>
      <c r="AG8" s="172">
        <f t="shared" si="2"/>
        <v>0</v>
      </c>
      <c r="AH8" s="173">
        <f t="shared" si="3"/>
        <v>0</v>
      </c>
      <c r="AI8" s="174">
        <f>IFERROR(GETPIVOTDATA("Sum of Qty",'[2]DATA LAST MONTH DEVICE'!$A$6,"ID Store",$C8),0)</f>
        <v>38</v>
      </c>
      <c r="AJ8" s="147">
        <f t="shared" si="35"/>
        <v>26</v>
      </c>
      <c r="AK8" s="175">
        <f t="shared" si="4"/>
        <v>-12</v>
      </c>
      <c r="AL8" s="176">
        <f t="shared" si="5"/>
        <v>-0.31578947368421051</v>
      </c>
      <c r="AM8" s="177">
        <f>IFERROR(GETPIVOTDATA("Sum of Qty",'[2]Store 3mio+ last month'!$A$6,"ID Store",$C8),0)</f>
        <v>138</v>
      </c>
      <c r="AN8" s="145">
        <f t="shared" si="36"/>
        <v>111.42857142857143</v>
      </c>
      <c r="AO8" s="172">
        <f t="shared" si="6"/>
        <v>-26.571428571428569</v>
      </c>
      <c r="AP8" s="178">
        <f t="shared" si="7"/>
        <v>-0.19254658385093165</v>
      </c>
      <c r="AQ8" s="177">
        <f>IFERROR(GETPIVOTDATA("Sum of Qty",'[2]DATA LAST MONTH DEVICE'!$A$6,"ID Store",$C8,"Segment Price","3mio&gt;"),0)</f>
        <v>5</v>
      </c>
      <c r="AR8" s="179">
        <f t="shared" si="8"/>
        <v>3</v>
      </c>
      <c r="AS8" s="179">
        <f t="shared" si="9"/>
        <v>-2</v>
      </c>
      <c r="AT8" s="173">
        <f t="shared" si="10"/>
        <v>-0.4</v>
      </c>
      <c r="AU8" s="180">
        <f>IFERROR(GETPIVOTDATA("Sum of SRP",'[2]DATA LAST MONTH DEVICE'!$A$6,"ID Store",$C8),0)</f>
        <v>94962000</v>
      </c>
      <c r="AV8" s="180">
        <f t="shared" si="37"/>
        <v>66774000</v>
      </c>
      <c r="AW8" s="181">
        <f t="shared" si="11"/>
        <v>-28188000</v>
      </c>
      <c r="AX8" s="182">
        <f t="shared" si="12"/>
        <v>-0.29683452328299742</v>
      </c>
      <c r="AY8" s="183">
        <f>IFERROR(VLOOKUP(C8,'[2]DATA SALES LAST MONTH'!A:E,5,0),0)</f>
        <v>2499000</v>
      </c>
      <c r="AZ8" s="153">
        <f t="shared" si="38"/>
        <v>2568230.769230769</v>
      </c>
      <c r="BA8" s="184">
        <f t="shared" si="13"/>
        <v>69230.769230769016</v>
      </c>
      <c r="BB8" s="173">
        <f t="shared" si="14"/>
        <v>2.7703389047926776E-2</v>
      </c>
      <c r="BC8" s="154">
        <f>_xlfn.XLOOKUP(D:D,'[2]Target store'!C:C,'[2]Target store'!J:J,0)</f>
        <v>12</v>
      </c>
      <c r="BD8" s="185">
        <f>IFERROR(GETPIVOTDATA("Sum of Qty",[2]ACC!$A$5,"ID Store",$C8),0)</f>
        <v>7</v>
      </c>
      <c r="BE8" s="178">
        <f t="shared" si="15"/>
        <v>0.58333333333333337</v>
      </c>
      <c r="BF8" s="155">
        <f>_xlfn.XLOOKUP(D:D,'[2]Target store'!C:C,'[2]Target store'!K:K,0)</f>
        <v>2025000</v>
      </c>
      <c r="BG8" s="186">
        <f>IFERROR(GETPIVOTDATA("Sum of SRP",'[2]Insurance by Store'!$A$5,"ID Store",$C8,"Product Type","Qoala"),0)</f>
        <v>636000</v>
      </c>
      <c r="BH8" s="178">
        <f t="shared" si="16"/>
        <v>0.31407407407407406</v>
      </c>
      <c r="BI8" s="155">
        <f>_xlfn.XLOOKUP(D:D,'[2]Target store'!C:C,'[2]Target store'!L:L,0)</f>
        <v>450000</v>
      </c>
      <c r="BJ8" s="186">
        <f>IFERROR(GETPIVOTDATA("Sum of SRP",'[2]Insurance by Store'!$A$5,"ID Store",$C8,"Product Type","Vivo Care"),0)</f>
        <v>0</v>
      </c>
      <c r="BK8" s="178">
        <f t="shared" si="17"/>
        <v>0</v>
      </c>
      <c r="BL8" s="145">
        <f>_xlfn.XLOOKUP(D:D,'[2]Target store'!C:C,'[2]Target store'!M:M,0)</f>
        <v>900000</v>
      </c>
      <c r="BM8" s="177">
        <f>IFERROR(GETPIVOTDATA("Sum of Qty",'[2]Operator by Store'!$A$5,"ID Store",$C8,"Product Type","Indosat"),0)</f>
        <v>0</v>
      </c>
      <c r="BN8" s="178">
        <f t="shared" si="18"/>
        <v>0</v>
      </c>
      <c r="BO8" s="145">
        <f>_xlfn.XLOOKUP(D:D,'[2]Target store'!C:C,'[2]Target store'!N:N,0)</f>
        <v>1350000</v>
      </c>
      <c r="BP8" s="177">
        <f>IFERROR(GETPIVOTDATA("Sum of Qty",'[2]Operator by Store'!$A$5,"ID Store",$C8,"Product Type","Telkomsel"),0)</f>
        <v>0</v>
      </c>
      <c r="BQ8" s="187">
        <f t="shared" si="19"/>
        <v>0</v>
      </c>
    </row>
    <row r="9" spans="1:69" ht="17" thickBot="1" x14ac:dyDescent="0.25">
      <c r="A9" s="157">
        <v>5</v>
      </c>
      <c r="B9" s="158" t="s">
        <v>40</v>
      </c>
      <c r="C9" s="159">
        <v>6010709</v>
      </c>
      <c r="D9" s="160" t="str">
        <f>IFERROR(INDEX('[2]Target store'!$C$5:$C$47,MATCH($C9&amp;"-*",'[2]Target store'!$C$5:$C$47,0)),"NOT FOUND")</f>
        <v>6010709-ROXY PAMERAN UTARA</v>
      </c>
      <c r="E9" s="160" t="s">
        <v>43</v>
      </c>
      <c r="F9" s="161">
        <v>7</v>
      </c>
      <c r="G9" s="128">
        <f>_xlfn.XLOOKUP(D:D,'[2]Target store'!C:C,'[2]Target store'!F:F,0)</f>
        <v>320</v>
      </c>
      <c r="H9" s="162">
        <f>_xlfn.XLOOKUP(D:D,'[2]Target store'!C:C,'[2]Target store'!G:G,0)</f>
        <v>1100000000</v>
      </c>
      <c r="I9" s="163">
        <f>IFERROR(GETPIVOTDATA("Sum of SRP",'[2]DEVICE &amp; VALUE'!$A$6,"ID Store",$C9),0)</f>
        <v>291608000</v>
      </c>
      <c r="J9" s="164">
        <f t="shared" si="20"/>
        <v>0.26509818181818184</v>
      </c>
      <c r="K9" s="165">
        <f t="shared" si="21"/>
        <v>-808392000</v>
      </c>
      <c r="L9" s="133">
        <f>IFERROR(GETPIVOTDATA("Sum of Qty",[2]PF!$A$5,"ID Store",$C9),0)</f>
        <v>12</v>
      </c>
      <c r="M9" s="134">
        <f>IFERROR(GETPIVOTDATA("Sum of Qty",'[2]DEVICE &amp; VALUE'!$A$6,"ID Store",$C9,"Segment Price","3mio&gt;"),0)</f>
        <v>28</v>
      </c>
      <c r="N9" s="135">
        <f t="shared" si="22"/>
        <v>0.30434782608695654</v>
      </c>
      <c r="O9" s="136">
        <f>IFERROR(GETPIVOTDATA("Sum of Qty",[2]IQOO!$A$6,"ID Store",$C9),0)</f>
        <v>2</v>
      </c>
      <c r="P9" s="135">
        <f t="shared" si="23"/>
        <v>2.1739130434782608E-2</v>
      </c>
      <c r="Q9" s="137">
        <f t="shared" si="24"/>
        <v>0.30434782608695654</v>
      </c>
      <c r="R9" s="136">
        <f>IFERROR(GETPIVOTDATA("Sum of Qty",'[2]DEVICE &amp; VALUE'!$A$6,"ID Store",$C9),0)</f>
        <v>92</v>
      </c>
      <c r="S9" s="136">
        <f t="shared" si="25"/>
        <v>0.28749999999999998</v>
      </c>
      <c r="T9" s="136">
        <f t="shared" si="26"/>
        <v>-228</v>
      </c>
      <c r="U9" s="166">
        <f t="shared" si="27"/>
        <v>1249748571.4285715</v>
      </c>
      <c r="V9" s="164">
        <f t="shared" si="28"/>
        <v>1.136135064935065</v>
      </c>
      <c r="W9" s="167">
        <f t="shared" si="29"/>
        <v>149748571.42857146</v>
      </c>
      <c r="X9" s="168">
        <f t="shared" si="0"/>
        <v>120</v>
      </c>
      <c r="Y9" s="169">
        <f t="shared" si="1"/>
        <v>-200</v>
      </c>
      <c r="Z9" s="169">
        <f t="shared" si="30"/>
        <v>394.28571428571428</v>
      </c>
      <c r="AA9" s="169">
        <f t="shared" si="31"/>
        <v>74.285714285714278</v>
      </c>
      <c r="AB9" s="169">
        <f t="shared" si="32"/>
        <v>1.2321428571428572</v>
      </c>
      <c r="AC9" s="239">
        <f t="shared" si="33"/>
        <v>9.9130434782608692</v>
      </c>
      <c r="AD9" s="142">
        <f t="shared" si="34"/>
        <v>35147478.260869563</v>
      </c>
      <c r="AE9" s="170">
        <f>IFERROR(GETPIVOTDATA("Sum of Qty",'[2]DATA LAST MONTH IQOO'!$A$6,"ID Store",$C9),0)</f>
        <v>1</v>
      </c>
      <c r="AF9" s="171">
        <f>IFERROR(GETPIVOTDATA("Sum of Qty",[2]IQOO!$A$6,"ID Store",$C9),0)</f>
        <v>2</v>
      </c>
      <c r="AG9" s="172">
        <f t="shared" si="2"/>
        <v>1</v>
      </c>
      <c r="AH9" s="173">
        <f t="shared" si="3"/>
        <v>1</v>
      </c>
      <c r="AI9" s="174">
        <f>IFERROR(GETPIVOTDATA("Sum of Qty",'[2]DATA LAST MONTH DEVICE'!$A$6,"ID Store",$C9),0)</f>
        <v>84</v>
      </c>
      <c r="AJ9" s="147">
        <f t="shared" si="35"/>
        <v>92</v>
      </c>
      <c r="AK9" s="175">
        <f t="shared" si="4"/>
        <v>8</v>
      </c>
      <c r="AL9" s="176">
        <f t="shared" si="5"/>
        <v>9.5238095238095233E-2</v>
      </c>
      <c r="AM9" s="177">
        <f>IFERROR(GETPIVOTDATA("Sum of Qty",'[2]Store 3mio+ last month'!$A$6,"ID Store",$C9),0)</f>
        <v>351</v>
      </c>
      <c r="AN9" s="145">
        <f t="shared" si="36"/>
        <v>394.28571428571428</v>
      </c>
      <c r="AO9" s="172">
        <f t="shared" si="6"/>
        <v>43.285714285714278</v>
      </c>
      <c r="AP9" s="178">
        <f t="shared" si="7"/>
        <v>0.1233211233211233</v>
      </c>
      <c r="AQ9" s="177">
        <f>IFERROR(GETPIVOTDATA("Sum of Qty",'[2]DATA LAST MONTH DEVICE'!$A$6,"ID Store",$C9,"Segment Price","3mio&gt;"),0)</f>
        <v>21</v>
      </c>
      <c r="AR9" s="179">
        <f t="shared" si="8"/>
        <v>28</v>
      </c>
      <c r="AS9" s="179">
        <f t="shared" si="9"/>
        <v>7</v>
      </c>
      <c r="AT9" s="173">
        <f t="shared" si="10"/>
        <v>0.33333333333333331</v>
      </c>
      <c r="AU9" s="180">
        <f>IFERROR(GETPIVOTDATA("Sum of SRP",'[2]DATA LAST MONTH DEVICE'!$A$6,"ID Store",$C9),0)</f>
        <v>252516000</v>
      </c>
      <c r="AV9" s="180">
        <f t="shared" si="37"/>
        <v>291608000</v>
      </c>
      <c r="AW9" s="181">
        <f t="shared" si="11"/>
        <v>39092000</v>
      </c>
      <c r="AX9" s="182">
        <f t="shared" si="12"/>
        <v>0.15480999223811562</v>
      </c>
      <c r="AY9" s="183">
        <f>IFERROR(VLOOKUP(C9,'[2]DATA SALES LAST MONTH'!A:E,5,0),0)</f>
        <v>3006142.8571428573</v>
      </c>
      <c r="AZ9" s="153">
        <f t="shared" si="38"/>
        <v>3169652.1739130435</v>
      </c>
      <c r="BA9" s="184">
        <f t="shared" si="13"/>
        <v>163509.31677018618</v>
      </c>
      <c r="BB9" s="173">
        <f t="shared" si="14"/>
        <v>5.4391732043496802E-2</v>
      </c>
      <c r="BC9" s="154">
        <f>_xlfn.XLOOKUP(D:D,'[2]Target store'!C:C,'[2]Target store'!J:J,0)</f>
        <v>32</v>
      </c>
      <c r="BD9" s="185">
        <f>IFERROR(GETPIVOTDATA("Sum of Qty",[2]ACC!$A$5,"ID Store",$C9),0)</f>
        <v>19</v>
      </c>
      <c r="BE9" s="178">
        <f t="shared" si="15"/>
        <v>0.59375</v>
      </c>
      <c r="BF9" s="155">
        <f>_xlfn.XLOOKUP(D:D,'[2]Target store'!C:C,'[2]Target store'!K:K,0)</f>
        <v>4950000</v>
      </c>
      <c r="BG9" s="186">
        <f>IFERROR(GETPIVOTDATA("Sum of SRP",'[2]Insurance by Store'!$A$5,"ID Store",$C9,"Product Type","Qoala"),0)</f>
        <v>1749000</v>
      </c>
      <c r="BH9" s="178">
        <f t="shared" si="16"/>
        <v>0.35333333333333333</v>
      </c>
      <c r="BI9" s="155">
        <f>_xlfn.XLOOKUP(D:D,'[2]Target store'!C:C,'[2]Target store'!L:L,0)</f>
        <v>1100000</v>
      </c>
      <c r="BJ9" s="186">
        <f>IFERROR(GETPIVOTDATA("Sum of SRP",'[2]Insurance by Store'!$A$5,"ID Store",$C9,"Product Type","Vivo Care"),0)</f>
        <v>0</v>
      </c>
      <c r="BK9" s="178">
        <f t="shared" si="17"/>
        <v>0</v>
      </c>
      <c r="BL9" s="145">
        <f>_xlfn.XLOOKUP(D:D,'[2]Target store'!C:C,'[2]Target store'!M:M,0)</f>
        <v>2200000</v>
      </c>
      <c r="BM9" s="177">
        <f>IFERROR(GETPIVOTDATA("Sum of Qty",'[2]Operator by Store'!$A$5,"ID Store",$C9,"Product Type","Indosat"),0)</f>
        <v>0</v>
      </c>
      <c r="BN9" s="178">
        <f t="shared" si="18"/>
        <v>0</v>
      </c>
      <c r="BO9" s="145">
        <f>_xlfn.XLOOKUP(D:D,'[2]Target store'!C:C,'[2]Target store'!N:N,0)</f>
        <v>3300000</v>
      </c>
      <c r="BP9" s="177">
        <f>IFERROR(GETPIVOTDATA("Sum of Qty",'[2]Operator by Store'!$A$5,"ID Store",$C9,"Product Type","Telkomsel"),0)</f>
        <v>0</v>
      </c>
      <c r="BQ9" s="187">
        <f t="shared" si="19"/>
        <v>0</v>
      </c>
    </row>
    <row r="10" spans="1:69" ht="17" thickBot="1" x14ac:dyDescent="0.25">
      <c r="A10" s="157">
        <v>6</v>
      </c>
      <c r="B10" s="158" t="s">
        <v>40</v>
      </c>
      <c r="C10" s="159">
        <v>6010710</v>
      </c>
      <c r="D10" s="188" t="str">
        <f>IFERROR(INDEX('[2]Target store'!$C$5:$C$47,MATCH($C10&amp;"-*",'[2]Target store'!$C$5:$C$47,0)),"NOT FOUND")</f>
        <v>6010710-ROXY PAMERAN SELATAN</v>
      </c>
      <c r="E10" s="188" t="s">
        <v>43</v>
      </c>
      <c r="F10" s="161">
        <v>3</v>
      </c>
      <c r="G10" s="128">
        <f>_xlfn.XLOOKUP(D:D,'[2]Target store'!C:C,'[2]Target store'!F:F,0)</f>
        <v>110</v>
      </c>
      <c r="H10" s="162">
        <f>_xlfn.XLOOKUP(D:D,'[2]Target store'!C:C,'[2]Target store'!G:G,0)</f>
        <v>400000000</v>
      </c>
      <c r="I10" s="163">
        <f>IFERROR(GETPIVOTDATA("Sum of SRP",'[2]DEVICE &amp; VALUE'!$A$6,"ID Store",$C10),0)</f>
        <v>108064000</v>
      </c>
      <c r="J10" s="164">
        <f t="shared" si="20"/>
        <v>0.27016000000000001</v>
      </c>
      <c r="K10" s="165">
        <f t="shared" si="21"/>
        <v>-291936000</v>
      </c>
      <c r="L10" s="133">
        <f>IFERROR(GETPIVOTDATA("Sum of Qty",[2]PF!$A$5,"ID Store",$C10),0)</f>
        <v>4</v>
      </c>
      <c r="M10" s="134">
        <f>IFERROR(GETPIVOTDATA("Sum of Qty",'[2]DEVICE &amp; VALUE'!$A$6,"ID Store",$C10,"Segment Price","3mio&gt;"),0)</f>
        <v>8</v>
      </c>
      <c r="N10" s="135">
        <f t="shared" si="22"/>
        <v>0.22222222222222221</v>
      </c>
      <c r="O10" s="136">
        <f>IFERROR(GETPIVOTDATA("Sum of Qty",[2]IQOO!$A$6,"ID Store",$C10),0)</f>
        <v>0</v>
      </c>
      <c r="P10" s="135">
        <f t="shared" si="23"/>
        <v>0</v>
      </c>
      <c r="Q10" s="137">
        <f t="shared" si="24"/>
        <v>0.22222222222222221</v>
      </c>
      <c r="R10" s="136">
        <f>IFERROR(GETPIVOTDATA("Sum of Qty",'[2]DEVICE &amp; VALUE'!$A$6,"ID Store",$C10),0)</f>
        <v>36</v>
      </c>
      <c r="S10" s="136">
        <f t="shared" si="25"/>
        <v>0.32727272727272727</v>
      </c>
      <c r="T10" s="136">
        <f t="shared" si="26"/>
        <v>-74</v>
      </c>
      <c r="U10" s="166">
        <f t="shared" si="27"/>
        <v>463131428.57142854</v>
      </c>
      <c r="V10" s="164">
        <f t="shared" si="28"/>
        <v>1.1578285714285714</v>
      </c>
      <c r="W10" s="167">
        <f t="shared" si="29"/>
        <v>63131428.571428537</v>
      </c>
      <c r="X10" s="168">
        <f t="shared" si="0"/>
        <v>34.285714285714285</v>
      </c>
      <c r="Y10" s="169">
        <f t="shared" si="1"/>
        <v>-75.714285714285722</v>
      </c>
      <c r="Z10" s="169">
        <f t="shared" si="30"/>
        <v>154.28571428571431</v>
      </c>
      <c r="AA10" s="169">
        <f t="shared" si="31"/>
        <v>44.285714285714306</v>
      </c>
      <c r="AB10" s="169">
        <f t="shared" si="32"/>
        <v>1.4025974025974028</v>
      </c>
      <c r="AC10" s="239">
        <f t="shared" si="33"/>
        <v>3.2173913043478262</v>
      </c>
      <c r="AD10" s="142">
        <f t="shared" si="34"/>
        <v>12692869.565217391</v>
      </c>
      <c r="AE10" s="170">
        <f>IFERROR(GETPIVOTDATA("Sum of Qty",'[2]DATA LAST MONTH IQOO'!$A$6,"ID Store",$C10),0)</f>
        <v>0</v>
      </c>
      <c r="AF10" s="171">
        <f>IFERROR(GETPIVOTDATA("Sum of Qty",[2]IQOO!$A$6,"ID Store",$C10),0)</f>
        <v>0</v>
      </c>
      <c r="AG10" s="172">
        <f t="shared" si="2"/>
        <v>0</v>
      </c>
      <c r="AH10" s="173">
        <f t="shared" si="3"/>
        <v>0</v>
      </c>
      <c r="AI10" s="174">
        <f>IFERROR(GETPIVOTDATA("Sum of Qty",'[2]DATA LAST MONTH DEVICE'!$A$6,"ID Store",$C10),0)</f>
        <v>38</v>
      </c>
      <c r="AJ10" s="147">
        <f t="shared" si="35"/>
        <v>36</v>
      </c>
      <c r="AK10" s="175">
        <f t="shared" si="4"/>
        <v>-2</v>
      </c>
      <c r="AL10" s="176">
        <f t="shared" si="5"/>
        <v>-5.2631578947368418E-2</v>
      </c>
      <c r="AM10" s="177">
        <f>IFERROR(GETPIVOTDATA("Sum of Qty",'[2]Store 3mio+ last month'!$A$6,"ID Store",$C10),0)</f>
        <v>123</v>
      </c>
      <c r="AN10" s="145">
        <f t="shared" si="36"/>
        <v>154.28571428571431</v>
      </c>
      <c r="AO10" s="172">
        <f t="shared" si="6"/>
        <v>31.285714285714306</v>
      </c>
      <c r="AP10" s="178">
        <f t="shared" si="7"/>
        <v>0.2543554006968643</v>
      </c>
      <c r="AQ10" s="177">
        <f>IFERROR(GETPIVOTDATA("Sum of Qty",'[2]DATA LAST MONTH DEVICE'!$A$6,"ID Store",$C10,"Segment Price","3mio&gt;"),0)</f>
        <v>6</v>
      </c>
      <c r="AR10" s="179">
        <f t="shared" si="8"/>
        <v>8</v>
      </c>
      <c r="AS10" s="179">
        <f t="shared" si="9"/>
        <v>2</v>
      </c>
      <c r="AT10" s="173">
        <f t="shared" si="10"/>
        <v>0.33333333333333331</v>
      </c>
      <c r="AU10" s="180">
        <f>IFERROR(GETPIVOTDATA("Sum of SRP",'[2]DATA LAST MONTH DEVICE'!$A$6,"ID Store",$C10),0)</f>
        <v>98762000</v>
      </c>
      <c r="AV10" s="180">
        <f t="shared" si="37"/>
        <v>108064000</v>
      </c>
      <c r="AW10" s="181">
        <f t="shared" si="11"/>
        <v>9302000</v>
      </c>
      <c r="AX10" s="182">
        <f t="shared" si="12"/>
        <v>9.4186022964298011E-2</v>
      </c>
      <c r="AY10" s="183">
        <f>IFERROR(VLOOKUP(C10,'[2]DATA SALES LAST MONTH'!A:E,5,0),0)</f>
        <v>2599000</v>
      </c>
      <c r="AZ10" s="153">
        <f t="shared" si="38"/>
        <v>3001777.7777777771</v>
      </c>
      <c r="BA10" s="184">
        <f t="shared" si="13"/>
        <v>402777.77777777705</v>
      </c>
      <c r="BB10" s="173">
        <f t="shared" si="14"/>
        <v>0.15497413535120316</v>
      </c>
      <c r="BC10" s="154">
        <f>_xlfn.XLOOKUP(D:D,'[2]Target store'!C:C,'[2]Target store'!J:J,0)</f>
        <v>11</v>
      </c>
      <c r="BD10" s="185">
        <f>IFERROR(GETPIVOTDATA("Sum of Qty",[2]ACC!$A$5,"ID Store",$C10),0)</f>
        <v>6</v>
      </c>
      <c r="BE10" s="178">
        <f t="shared" si="15"/>
        <v>0.54545454545454541</v>
      </c>
      <c r="BF10" s="155">
        <f>_xlfn.XLOOKUP(D:D,'[2]Target store'!C:C,'[2]Target store'!K:K,0)</f>
        <v>1800000</v>
      </c>
      <c r="BG10" s="186">
        <f>IFERROR(GETPIVOTDATA("Sum of SRP",'[2]Insurance by Store'!$A$5,"ID Store",$C10,"Product Type","Qoala"),0)</f>
        <v>636000</v>
      </c>
      <c r="BH10" s="178">
        <f t="shared" si="16"/>
        <v>0.35333333333333333</v>
      </c>
      <c r="BI10" s="155">
        <f>_xlfn.XLOOKUP(D:D,'[2]Target store'!C:C,'[2]Target store'!L:L,0)</f>
        <v>400000</v>
      </c>
      <c r="BJ10" s="186">
        <f>IFERROR(GETPIVOTDATA("Sum of SRP",'[2]Insurance by Store'!$A$5,"ID Store",$C10,"Product Type","Vivo Care"),0)</f>
        <v>0</v>
      </c>
      <c r="BK10" s="178">
        <f t="shared" si="17"/>
        <v>0</v>
      </c>
      <c r="BL10" s="145">
        <f>_xlfn.XLOOKUP(D:D,'[2]Target store'!C:C,'[2]Target store'!M:M,0)</f>
        <v>800000</v>
      </c>
      <c r="BM10" s="177">
        <f>IFERROR(GETPIVOTDATA("Sum of Qty",'[2]Operator by Store'!$A$5,"ID Store",$C10,"Product Type","Indosat"),0)</f>
        <v>0</v>
      </c>
      <c r="BN10" s="178">
        <f t="shared" si="18"/>
        <v>0</v>
      </c>
      <c r="BO10" s="145">
        <f>_xlfn.XLOOKUP(D:D,'[2]Target store'!C:C,'[2]Target store'!N:N,0)</f>
        <v>1200000</v>
      </c>
      <c r="BP10" s="177">
        <f>IFERROR(GETPIVOTDATA("Sum of Qty",'[2]Operator by Store'!$A$5,"ID Store",$C10,"Product Type","Telkomsel"),0)</f>
        <v>0</v>
      </c>
      <c r="BQ10" s="187">
        <f t="shared" si="19"/>
        <v>0</v>
      </c>
    </row>
    <row r="11" spans="1:69" ht="17" thickBot="1" x14ac:dyDescent="0.25">
      <c r="A11" s="157">
        <v>7</v>
      </c>
      <c r="B11" s="158" t="s">
        <v>40</v>
      </c>
      <c r="C11" s="159">
        <v>6020711</v>
      </c>
      <c r="D11" s="189" t="str">
        <f>IFERROR(INDEX('[2]Target store'!$C$5:$C$47,MATCH($C11&amp;"-*",'[2]Target store'!$C$5:$C$47,0)),"NOT FOUND")</f>
        <v>6020711-EMPORIUM VIVO STORE</v>
      </c>
      <c r="E11" s="189" t="s">
        <v>44</v>
      </c>
      <c r="F11" s="161">
        <v>3</v>
      </c>
      <c r="G11" s="128">
        <f>_xlfn.XLOOKUP(D:D,'[2]Target store'!C:C,'[2]Target store'!F:F,0)</f>
        <v>110</v>
      </c>
      <c r="H11" s="162">
        <f>_xlfn.XLOOKUP(D:D,'[2]Target store'!C:C,'[2]Target store'!G:G,0)</f>
        <v>620000000</v>
      </c>
      <c r="I11" s="163">
        <f>IFERROR(GETPIVOTDATA("Sum of SRP",'[2]DEVICE &amp; VALUE'!$A$6,"ID Store",$C11),0)</f>
        <v>101180000</v>
      </c>
      <c r="J11" s="164">
        <f t="shared" si="20"/>
        <v>0.16319354838709677</v>
      </c>
      <c r="K11" s="165">
        <f t="shared" si="21"/>
        <v>-518820000</v>
      </c>
      <c r="L11" s="133">
        <f>IFERROR(GETPIVOTDATA("Sum of Qty",[2]PF!$A$5,"ID Store",$C11),0)</f>
        <v>1</v>
      </c>
      <c r="M11" s="134">
        <f>IFERROR(GETPIVOTDATA("Sum of Qty",'[2]DEVICE &amp; VALUE'!$A$6,"ID Store",$C11,"Segment Price","3mio&gt;"),0)</f>
        <v>9</v>
      </c>
      <c r="N11" s="135">
        <f t="shared" si="22"/>
        <v>0.45</v>
      </c>
      <c r="O11" s="136">
        <f>IFERROR(GETPIVOTDATA("Sum of Qty",[2]IQOO!$A$6,"ID Store",$C11),0)</f>
        <v>0</v>
      </c>
      <c r="P11" s="135">
        <f t="shared" si="23"/>
        <v>0</v>
      </c>
      <c r="Q11" s="137">
        <f t="shared" si="24"/>
        <v>0.45</v>
      </c>
      <c r="R11" s="136">
        <f>IFERROR(GETPIVOTDATA("Sum of Qty",'[2]DEVICE &amp; VALUE'!$A$6,"ID Store",$C11),0)</f>
        <v>20</v>
      </c>
      <c r="S11" s="136">
        <f t="shared" si="25"/>
        <v>0.18181818181818182</v>
      </c>
      <c r="T11" s="136">
        <f t="shared" si="26"/>
        <v>-90</v>
      </c>
      <c r="U11" s="166">
        <f t="shared" si="27"/>
        <v>433628571.42857146</v>
      </c>
      <c r="V11" s="164">
        <f t="shared" si="28"/>
        <v>0.69940092165898626</v>
      </c>
      <c r="W11" s="167">
        <f t="shared" si="29"/>
        <v>-186371428.57142854</v>
      </c>
      <c r="X11" s="168">
        <f t="shared" si="0"/>
        <v>38.571428571428577</v>
      </c>
      <c r="Y11" s="169">
        <f t="shared" si="1"/>
        <v>-71.428571428571416</v>
      </c>
      <c r="Z11" s="169">
        <f t="shared" si="30"/>
        <v>85.714285714285722</v>
      </c>
      <c r="AA11" s="169">
        <f t="shared" si="31"/>
        <v>-24.285714285714278</v>
      </c>
      <c r="AB11" s="169">
        <f t="shared" si="32"/>
        <v>0.77922077922077926</v>
      </c>
      <c r="AC11" s="239">
        <f t="shared" si="33"/>
        <v>3.9130434782608696</v>
      </c>
      <c r="AD11" s="142">
        <f t="shared" si="34"/>
        <v>22557391.304347824</v>
      </c>
      <c r="AE11" s="170">
        <f>IFERROR(GETPIVOTDATA("Sum of Qty",'[2]DATA LAST MONTH IQOO'!$A$6,"ID Store",$C11),0)</f>
        <v>1</v>
      </c>
      <c r="AF11" s="171">
        <f>IFERROR(GETPIVOTDATA("Sum of Qty",[2]IQOO!$A$6,"ID Store",$C11),0)</f>
        <v>0</v>
      </c>
      <c r="AG11" s="172">
        <f t="shared" si="2"/>
        <v>-1</v>
      </c>
      <c r="AH11" s="173">
        <f t="shared" si="3"/>
        <v>-1</v>
      </c>
      <c r="AI11" s="174">
        <f>IFERROR(GETPIVOTDATA("Sum of Qty",'[2]DATA LAST MONTH DEVICE'!$A$6,"ID Store",$C11),0)</f>
        <v>21</v>
      </c>
      <c r="AJ11" s="147">
        <f t="shared" si="35"/>
        <v>20</v>
      </c>
      <c r="AK11" s="175">
        <f t="shared" si="4"/>
        <v>-1</v>
      </c>
      <c r="AL11" s="176">
        <f t="shared" si="5"/>
        <v>-4.7619047619047616E-2</v>
      </c>
      <c r="AM11" s="177">
        <f>IFERROR(GETPIVOTDATA("Sum of Qty",'[2]Store 3mio+ last month'!$A$6,"ID Store",$C11),0)</f>
        <v>86</v>
      </c>
      <c r="AN11" s="145">
        <f t="shared" si="36"/>
        <v>85.714285714285722</v>
      </c>
      <c r="AO11" s="172">
        <f t="shared" si="6"/>
        <v>-0.28571428571427759</v>
      </c>
      <c r="AP11" s="178">
        <f t="shared" si="7"/>
        <v>-3.3222591362125301E-3</v>
      </c>
      <c r="AQ11" s="177">
        <f>IFERROR(GETPIVOTDATA("Sum of Qty",'[2]DATA LAST MONTH DEVICE'!$A$6,"ID Store",$C11,"Segment Price","3mio&gt;"),0)</f>
        <v>10</v>
      </c>
      <c r="AR11" s="179">
        <f t="shared" si="8"/>
        <v>9</v>
      </c>
      <c r="AS11" s="179">
        <f t="shared" si="9"/>
        <v>-1</v>
      </c>
      <c r="AT11" s="173">
        <f t="shared" si="10"/>
        <v>-0.1</v>
      </c>
      <c r="AU11" s="180">
        <f>IFERROR(GETPIVOTDATA("Sum of SRP",'[2]DATA LAST MONTH DEVICE'!$A$6,"ID Store",$C11),0)</f>
        <v>114979000</v>
      </c>
      <c r="AV11" s="180">
        <f t="shared" si="37"/>
        <v>101180000</v>
      </c>
      <c r="AW11" s="181">
        <f t="shared" si="11"/>
        <v>-13799000</v>
      </c>
      <c r="AX11" s="182">
        <f t="shared" si="12"/>
        <v>-0.12001321980535576</v>
      </c>
      <c r="AY11" s="183">
        <f>IFERROR(VLOOKUP(C11,'[2]DATA SALES LAST MONTH'!A:E,5,0),0)</f>
        <v>5475190.4761904757</v>
      </c>
      <c r="AZ11" s="153">
        <f t="shared" si="38"/>
        <v>5059000</v>
      </c>
      <c r="BA11" s="184">
        <f t="shared" si="13"/>
        <v>-416190.47619047575</v>
      </c>
      <c r="BB11" s="173">
        <f t="shared" si="14"/>
        <v>-7.6013880795623476E-2</v>
      </c>
      <c r="BC11" s="154">
        <f>_xlfn.XLOOKUP(D:D,'[2]Target store'!C:C,'[2]Target store'!J:J,0)</f>
        <v>11</v>
      </c>
      <c r="BD11" s="185">
        <f>IFERROR(GETPIVOTDATA("Sum of Qty",[2]ACC!$A$5,"ID Store",$C11),0)</f>
        <v>13</v>
      </c>
      <c r="BE11" s="178">
        <f t="shared" si="15"/>
        <v>1.1818181818181819</v>
      </c>
      <c r="BF11" s="155">
        <f>_xlfn.XLOOKUP(D:D,'[2]Target store'!C:C,'[2]Target store'!K:K,0)</f>
        <v>2790000</v>
      </c>
      <c r="BG11" s="186">
        <f>IFERROR(GETPIVOTDATA("Sum of SRP",'[2]Insurance by Store'!$A$5,"ID Store",$C11,"Product Type","Qoala"),0)</f>
        <v>408000</v>
      </c>
      <c r="BH11" s="178">
        <f t="shared" si="16"/>
        <v>0.14623655913978495</v>
      </c>
      <c r="BI11" s="155">
        <f>_xlfn.XLOOKUP(D:D,'[2]Target store'!C:C,'[2]Target store'!L:L,0)</f>
        <v>620000</v>
      </c>
      <c r="BJ11" s="186">
        <f>IFERROR(GETPIVOTDATA("Sum of SRP",'[2]Insurance by Store'!$A$5,"ID Store",$C11,"Product Type","Vivo Care"),0)</f>
        <v>0</v>
      </c>
      <c r="BK11" s="178">
        <f t="shared" si="17"/>
        <v>0</v>
      </c>
      <c r="BL11" s="145">
        <f>_xlfn.XLOOKUP(D:D,'[2]Target store'!C:C,'[2]Target store'!M:M,0)</f>
        <v>1240000</v>
      </c>
      <c r="BM11" s="177">
        <f>IFERROR(GETPIVOTDATA("Sum of Qty",'[2]Operator by Store'!$A$5,"ID Store",$C11,"Product Type","Indosat"),0)</f>
        <v>1</v>
      </c>
      <c r="BN11" s="178">
        <f t="shared" si="18"/>
        <v>8.064516129032258E-7</v>
      </c>
      <c r="BO11" s="145">
        <f>_xlfn.XLOOKUP(D:D,'[2]Target store'!C:C,'[2]Target store'!N:N,0)</f>
        <v>1860000</v>
      </c>
      <c r="BP11" s="177">
        <f>IFERROR(GETPIVOTDATA("Sum of Qty",'[2]Operator by Store'!$A$5,"ID Store",$C11,"Product Type","Telkomsel"),0)</f>
        <v>0</v>
      </c>
      <c r="BQ11" s="187">
        <f t="shared" si="19"/>
        <v>0</v>
      </c>
    </row>
    <row r="12" spans="1:69" ht="17" thickBot="1" x14ac:dyDescent="0.25">
      <c r="A12" s="157">
        <v>8</v>
      </c>
      <c r="B12" s="158" t="s">
        <v>40</v>
      </c>
      <c r="C12" s="159">
        <v>6010711</v>
      </c>
      <c r="D12" s="188" t="str">
        <f>IFERROR(INDEX('[2]Target store'!$C$5:$C$47,MATCH($C12&amp;"-*",'[2]Target store'!$C$5:$C$47,0)),"NOT FOUND")</f>
        <v>6010711-LIPPO MALL PURI 1FK02</v>
      </c>
      <c r="E12" s="188" t="s">
        <v>45</v>
      </c>
      <c r="F12" s="161">
        <v>3</v>
      </c>
      <c r="G12" s="128">
        <f>_xlfn.XLOOKUP(D:D,'[2]Target store'!C:C,'[2]Target store'!F:F,0)</f>
        <v>50</v>
      </c>
      <c r="H12" s="162">
        <f>_xlfn.XLOOKUP(D:D,'[2]Target store'!C:C,'[2]Target store'!G:G,0)</f>
        <v>350000000</v>
      </c>
      <c r="I12" s="163">
        <f>IFERROR(GETPIVOTDATA("Sum of SRP",'[2]DEVICE &amp; VALUE'!$A$6,"ID Store",$C12),0)</f>
        <v>32194000</v>
      </c>
      <c r="J12" s="164">
        <f t="shared" si="20"/>
        <v>9.1982857142857144E-2</v>
      </c>
      <c r="K12" s="165">
        <f t="shared" si="21"/>
        <v>-317806000</v>
      </c>
      <c r="L12" s="133">
        <f>IFERROR(GETPIVOTDATA("Sum of Qty",[2]PF!$A$5,"ID Store",$C12),0)</f>
        <v>1</v>
      </c>
      <c r="M12" s="134">
        <f>IFERROR(GETPIVOTDATA("Sum of Qty",'[2]DEVICE &amp; VALUE'!$A$6,"ID Store",$C12,"Segment Price","3mio&gt;"),0)</f>
        <v>4</v>
      </c>
      <c r="N12" s="135">
        <f t="shared" si="22"/>
        <v>0.66666666666666663</v>
      </c>
      <c r="O12" s="136">
        <f>IFERROR(GETPIVOTDATA("Sum of Qty",[2]IQOO!$A$6,"ID Store",$C12),0)</f>
        <v>0</v>
      </c>
      <c r="P12" s="135">
        <f t="shared" si="23"/>
        <v>0</v>
      </c>
      <c r="Q12" s="137">
        <f t="shared" si="24"/>
        <v>0.66666666666666663</v>
      </c>
      <c r="R12" s="136">
        <f>IFERROR(GETPIVOTDATA("Sum of Qty",'[2]DEVICE &amp; VALUE'!$A$6,"ID Store",$C12),0)</f>
        <v>6</v>
      </c>
      <c r="S12" s="136">
        <f t="shared" si="25"/>
        <v>0.12</v>
      </c>
      <c r="T12" s="136">
        <f t="shared" si="26"/>
        <v>-44</v>
      </c>
      <c r="U12" s="166">
        <f t="shared" si="27"/>
        <v>137974285.71428573</v>
      </c>
      <c r="V12" s="164">
        <f t="shared" si="28"/>
        <v>0.39421224489795925</v>
      </c>
      <c r="W12" s="167">
        <f t="shared" si="29"/>
        <v>-212025714.28571427</v>
      </c>
      <c r="X12" s="168">
        <f t="shared" si="0"/>
        <v>17.142857142857142</v>
      </c>
      <c r="Y12" s="169">
        <f t="shared" si="1"/>
        <v>-32.857142857142861</v>
      </c>
      <c r="Z12" s="169">
        <f t="shared" si="30"/>
        <v>25.714285714285712</v>
      </c>
      <c r="AA12" s="169">
        <f t="shared" si="31"/>
        <v>-24.285714285714288</v>
      </c>
      <c r="AB12" s="169">
        <f t="shared" si="32"/>
        <v>0.51428571428571423</v>
      </c>
      <c r="AC12" s="239">
        <f t="shared" si="33"/>
        <v>1.9130434782608696</v>
      </c>
      <c r="AD12" s="142">
        <f t="shared" si="34"/>
        <v>13817652.173913043</v>
      </c>
      <c r="AE12" s="170">
        <f>IFERROR(GETPIVOTDATA("Sum of Qty",'[2]DATA LAST MONTH IQOO'!$A$6,"ID Store",$C12),0)</f>
        <v>1</v>
      </c>
      <c r="AF12" s="171">
        <f>IFERROR(GETPIVOTDATA("Sum of Qty",[2]IQOO!$A$6,"ID Store",$C12),0)</f>
        <v>0</v>
      </c>
      <c r="AG12" s="172">
        <f t="shared" si="2"/>
        <v>-1</v>
      </c>
      <c r="AH12" s="173">
        <f t="shared" si="3"/>
        <v>-1</v>
      </c>
      <c r="AI12" s="174">
        <f>IFERROR(GETPIVOTDATA("Sum of Qty",'[2]DATA LAST MONTH DEVICE'!$A$6,"ID Store",$C12),0)</f>
        <v>15</v>
      </c>
      <c r="AJ12" s="147">
        <f t="shared" si="35"/>
        <v>6</v>
      </c>
      <c r="AK12" s="175">
        <f t="shared" si="4"/>
        <v>-9</v>
      </c>
      <c r="AL12" s="176">
        <f t="shared" si="5"/>
        <v>-0.6</v>
      </c>
      <c r="AM12" s="177">
        <f>IFERROR(GETPIVOTDATA("Sum of Qty",'[2]Store 3mio+ last month'!$A$6,"ID Store",$C12),0)</f>
        <v>49</v>
      </c>
      <c r="AN12" s="145">
        <f t="shared" si="36"/>
        <v>25.714285714285712</v>
      </c>
      <c r="AO12" s="172">
        <f t="shared" si="6"/>
        <v>-23.285714285714288</v>
      </c>
      <c r="AP12" s="178">
        <f t="shared" si="7"/>
        <v>-0.47521865889212833</v>
      </c>
      <c r="AQ12" s="177">
        <f>IFERROR(GETPIVOTDATA("Sum of Qty",'[2]DATA LAST MONTH DEVICE'!$A$6,"ID Store",$C12,"Segment Price","3mio&gt;"),0)</f>
        <v>8</v>
      </c>
      <c r="AR12" s="179">
        <f t="shared" si="8"/>
        <v>4</v>
      </c>
      <c r="AS12" s="179">
        <f t="shared" si="9"/>
        <v>-4</v>
      </c>
      <c r="AT12" s="173">
        <f t="shared" si="10"/>
        <v>-0.5</v>
      </c>
      <c r="AU12" s="180">
        <f>IFERROR(GETPIVOTDATA("Sum of SRP",'[2]DATA LAST MONTH DEVICE'!$A$6,"ID Store",$C12),0)</f>
        <v>117485000</v>
      </c>
      <c r="AV12" s="180">
        <f t="shared" si="37"/>
        <v>32194000</v>
      </c>
      <c r="AW12" s="181">
        <f t="shared" si="11"/>
        <v>-85291000</v>
      </c>
      <c r="AX12" s="182">
        <f t="shared" si="12"/>
        <v>-0.72597352853555774</v>
      </c>
      <c r="AY12" s="183">
        <f>IFERROR(VLOOKUP(C12,'[2]DATA SALES LAST MONTH'!A:E,5,0),0)</f>
        <v>7832333.333333333</v>
      </c>
      <c r="AZ12" s="153">
        <f t="shared" si="38"/>
        <v>5365666.6666666679</v>
      </c>
      <c r="BA12" s="184">
        <f t="shared" si="13"/>
        <v>-2466666.6666666651</v>
      </c>
      <c r="BB12" s="173">
        <f t="shared" si="14"/>
        <v>-0.31493382133889414</v>
      </c>
      <c r="BC12" s="154">
        <f>_xlfn.XLOOKUP(D:D,'[2]Target store'!C:C,'[2]Target store'!J:J,0)</f>
        <v>5</v>
      </c>
      <c r="BD12" s="185">
        <f>IFERROR(GETPIVOTDATA("Sum of Qty",[2]ACC!$A$5,"ID Store",$C12),0)</f>
        <v>1</v>
      </c>
      <c r="BE12" s="178">
        <f t="shared" si="15"/>
        <v>0.2</v>
      </c>
      <c r="BF12" s="155">
        <f>_xlfn.XLOOKUP(D:D,'[2]Target store'!C:C,'[2]Target store'!K:K,0)</f>
        <v>1575000</v>
      </c>
      <c r="BG12" s="186">
        <f>IFERROR(GETPIVOTDATA("Sum of SRP",'[2]Insurance by Store'!$A$5,"ID Store",$C12,"Product Type","Qoala"),0)</f>
        <v>0</v>
      </c>
      <c r="BH12" s="178">
        <f t="shared" si="16"/>
        <v>0</v>
      </c>
      <c r="BI12" s="155">
        <f>_xlfn.XLOOKUP(D:D,'[2]Target store'!C:C,'[2]Target store'!L:L,0)</f>
        <v>350000</v>
      </c>
      <c r="BJ12" s="186">
        <f>IFERROR(GETPIVOTDATA("Sum of SRP",'[2]Insurance by Store'!$A$5,"ID Store",$C12,"Product Type","Vivo Care"),0)</f>
        <v>0</v>
      </c>
      <c r="BK12" s="178">
        <f t="shared" si="17"/>
        <v>0</v>
      </c>
      <c r="BL12" s="145">
        <f>_xlfn.XLOOKUP(D:D,'[2]Target store'!C:C,'[2]Target store'!M:M,0)</f>
        <v>700000</v>
      </c>
      <c r="BM12" s="177">
        <f>IFERROR(GETPIVOTDATA("Sum of Qty",'[2]Operator by Store'!$A$5,"ID Store",$C12,"Product Type","Indosat"),0)</f>
        <v>0</v>
      </c>
      <c r="BN12" s="178">
        <f t="shared" si="18"/>
        <v>0</v>
      </c>
      <c r="BO12" s="145">
        <f>_xlfn.XLOOKUP(D:D,'[2]Target store'!C:C,'[2]Target store'!N:N,0)</f>
        <v>1050000</v>
      </c>
      <c r="BP12" s="177">
        <f>IFERROR(GETPIVOTDATA("Sum of Qty",'[2]Operator by Store'!$A$5,"ID Store",$C12,"Product Type","Telkomsel"),0)</f>
        <v>0</v>
      </c>
      <c r="BQ12" s="187">
        <f t="shared" si="19"/>
        <v>0</v>
      </c>
    </row>
    <row r="13" spans="1:69" ht="17" thickBot="1" x14ac:dyDescent="0.25">
      <c r="A13" s="157">
        <v>9</v>
      </c>
      <c r="B13" s="158" t="s">
        <v>40</v>
      </c>
      <c r="C13" s="159">
        <v>6020706</v>
      </c>
      <c r="D13" s="188" t="str">
        <f>IFERROR(INDEX('[2]Target store'!$C$5:$C$47,MATCH($C13&amp;"-*",'[2]Target store'!$C$5:$C$47,0)),"NOT FOUND")</f>
        <v>6020706-CEMPAKA SHOWROOM 2 (454)</v>
      </c>
      <c r="E13" s="188" t="s">
        <v>46</v>
      </c>
      <c r="F13" s="161">
        <v>3</v>
      </c>
      <c r="G13" s="128">
        <f>_xlfn.XLOOKUP(D:D,'[2]Target store'!C:C,'[2]Target store'!F:F,0)</f>
        <v>100</v>
      </c>
      <c r="H13" s="162">
        <f>_xlfn.XLOOKUP(D:D,'[2]Target store'!C:C,'[2]Target store'!G:G,0)</f>
        <v>400000000</v>
      </c>
      <c r="I13" s="163">
        <f>IFERROR(GETPIVOTDATA("Sum of SRP",'[2]DEVICE &amp; VALUE'!$A$6,"ID Store",$C13),0)</f>
        <v>111969000</v>
      </c>
      <c r="J13" s="164">
        <f t="shared" si="20"/>
        <v>0.27992250000000002</v>
      </c>
      <c r="K13" s="165">
        <f t="shared" si="21"/>
        <v>-288031000</v>
      </c>
      <c r="L13" s="133">
        <f>IFERROR(GETPIVOTDATA("Sum of Qty",[2]PF!$A$5,"ID Store",$C13),0)</f>
        <v>4</v>
      </c>
      <c r="M13" s="134">
        <f>IFERROR(GETPIVOTDATA("Sum of Qty",'[2]DEVICE &amp; VALUE'!$A$6,"ID Store",$C13,"Segment Price","3mio&gt;"),0)</f>
        <v>10</v>
      </c>
      <c r="N13" s="135">
        <f t="shared" si="22"/>
        <v>0.32258064516129031</v>
      </c>
      <c r="O13" s="136">
        <f>IFERROR(GETPIVOTDATA("Sum of Qty",[2]IQOO!$A$6,"ID Store",$C13),0)</f>
        <v>0</v>
      </c>
      <c r="P13" s="135">
        <f t="shared" si="23"/>
        <v>0</v>
      </c>
      <c r="Q13" s="137">
        <f t="shared" si="24"/>
        <v>0.32258064516129031</v>
      </c>
      <c r="R13" s="136">
        <f>IFERROR(GETPIVOTDATA("Sum of Qty",'[2]DEVICE &amp; VALUE'!$A$6,"ID Store",$C13),0)</f>
        <v>31</v>
      </c>
      <c r="S13" s="136">
        <f t="shared" si="25"/>
        <v>0.31</v>
      </c>
      <c r="T13" s="136">
        <f t="shared" si="26"/>
        <v>-69</v>
      </c>
      <c r="U13" s="166">
        <f t="shared" si="27"/>
        <v>479867142.85714287</v>
      </c>
      <c r="V13" s="164">
        <f t="shared" si="28"/>
        <v>1.1996678571428572</v>
      </c>
      <c r="W13" s="167">
        <f t="shared" si="29"/>
        <v>79867142.857142866</v>
      </c>
      <c r="X13" s="168">
        <f t="shared" si="0"/>
        <v>42.857142857142861</v>
      </c>
      <c r="Y13" s="169">
        <f t="shared" si="1"/>
        <v>-57.142857142857139</v>
      </c>
      <c r="Z13" s="169">
        <f t="shared" si="30"/>
        <v>132.85714285714286</v>
      </c>
      <c r="AA13" s="169">
        <f t="shared" si="31"/>
        <v>32.857142857142861</v>
      </c>
      <c r="AB13" s="169">
        <f t="shared" si="32"/>
        <v>1.3285714285714285</v>
      </c>
      <c r="AC13" s="239">
        <f t="shared" si="33"/>
        <v>3</v>
      </c>
      <c r="AD13" s="142">
        <f t="shared" si="34"/>
        <v>12523086.956521738</v>
      </c>
      <c r="AE13" s="170">
        <f>IFERROR(GETPIVOTDATA("Sum of Qty",'[2]DATA LAST MONTH IQOO'!$A$6,"ID Store",$C13),0)</f>
        <v>1</v>
      </c>
      <c r="AF13" s="171">
        <f>IFERROR(GETPIVOTDATA("Sum of Qty",[2]IQOO!$A$6,"ID Store",$C13),0)</f>
        <v>0</v>
      </c>
      <c r="AG13" s="172">
        <f t="shared" si="2"/>
        <v>-1</v>
      </c>
      <c r="AH13" s="173">
        <f t="shared" si="3"/>
        <v>-1</v>
      </c>
      <c r="AI13" s="174">
        <f>IFERROR(GETPIVOTDATA("Sum of Qty",'[2]DATA LAST MONTH DEVICE'!$A$6,"ID Store",$C13),0)</f>
        <v>23</v>
      </c>
      <c r="AJ13" s="147">
        <f t="shared" si="35"/>
        <v>31</v>
      </c>
      <c r="AK13" s="175">
        <f t="shared" si="4"/>
        <v>8</v>
      </c>
      <c r="AL13" s="176">
        <f t="shared" si="5"/>
        <v>0.34782608695652173</v>
      </c>
      <c r="AM13" s="177">
        <f>IFERROR(GETPIVOTDATA("Sum of Qty",'[2]Store 3mio+ last month'!$A$6,"ID Store",$C13),0)</f>
        <v>88</v>
      </c>
      <c r="AN13" s="145">
        <f t="shared" si="36"/>
        <v>132.85714285714286</v>
      </c>
      <c r="AO13" s="172">
        <f t="shared" si="6"/>
        <v>44.857142857142861</v>
      </c>
      <c r="AP13" s="178">
        <f t="shared" si="7"/>
        <v>0.50974025974025983</v>
      </c>
      <c r="AQ13" s="177">
        <f>IFERROR(GETPIVOTDATA("Sum of Qty",'[2]DATA LAST MONTH DEVICE'!$A$6,"ID Store",$C13,"Segment Price","3mio&gt;"),0)</f>
        <v>9</v>
      </c>
      <c r="AR13" s="179">
        <f t="shared" si="8"/>
        <v>10</v>
      </c>
      <c r="AS13" s="179">
        <f t="shared" si="9"/>
        <v>1</v>
      </c>
      <c r="AT13" s="173">
        <f t="shared" si="10"/>
        <v>0.1111111111111111</v>
      </c>
      <c r="AU13" s="180">
        <f>IFERROR(GETPIVOTDATA("Sum of SRP",'[2]DATA LAST MONTH DEVICE'!$A$6,"ID Store",$C13),0)</f>
        <v>80677000</v>
      </c>
      <c r="AV13" s="180">
        <f t="shared" si="37"/>
        <v>111969000</v>
      </c>
      <c r="AW13" s="181">
        <f t="shared" si="11"/>
        <v>31292000</v>
      </c>
      <c r="AX13" s="182">
        <f t="shared" si="12"/>
        <v>0.38786766984394561</v>
      </c>
      <c r="AY13" s="183">
        <f>IFERROR(VLOOKUP(C13,'[2]DATA SALES LAST MONTH'!A:E,5,0),0)</f>
        <v>3507695.6521739131</v>
      </c>
      <c r="AZ13" s="153">
        <f t="shared" si="38"/>
        <v>3611903.2258064514</v>
      </c>
      <c r="BA13" s="184">
        <f t="shared" si="13"/>
        <v>104207.57363253832</v>
      </c>
      <c r="BB13" s="173">
        <f t="shared" si="14"/>
        <v>2.970827117454022E-2</v>
      </c>
      <c r="BC13" s="154">
        <f>_xlfn.XLOOKUP(D:D,'[2]Target store'!C:C,'[2]Target store'!J:J,0)</f>
        <v>10</v>
      </c>
      <c r="BD13" s="185">
        <f>IFERROR(GETPIVOTDATA("Sum of Qty",[2]ACC!$A$5,"ID Store",$C13),0)</f>
        <v>0</v>
      </c>
      <c r="BE13" s="178">
        <f t="shared" si="15"/>
        <v>0</v>
      </c>
      <c r="BF13" s="155">
        <f>_xlfn.XLOOKUP(D:D,'[2]Target store'!C:C,'[2]Target store'!K:K,0)</f>
        <v>1800000</v>
      </c>
      <c r="BG13" s="186">
        <f>IFERROR(GETPIVOTDATA("Sum of SRP",'[2]Insurance by Store'!$A$5,"ID Store",$C13,"Product Type","Qoala"),0)</f>
        <v>828000</v>
      </c>
      <c r="BH13" s="178">
        <f t="shared" si="16"/>
        <v>0.46</v>
      </c>
      <c r="BI13" s="155">
        <f>_xlfn.XLOOKUP(D:D,'[2]Target store'!C:C,'[2]Target store'!L:L,0)</f>
        <v>400000</v>
      </c>
      <c r="BJ13" s="186">
        <f>IFERROR(GETPIVOTDATA("Sum of SRP",'[2]Insurance by Store'!$A$5,"ID Store",$C13,"Product Type","Vivo Care"),0)</f>
        <v>0</v>
      </c>
      <c r="BK13" s="178">
        <f t="shared" si="17"/>
        <v>0</v>
      </c>
      <c r="BL13" s="145">
        <f>_xlfn.XLOOKUP(D:D,'[2]Target store'!C:C,'[2]Target store'!M:M,0)</f>
        <v>800000</v>
      </c>
      <c r="BM13" s="177">
        <f>IFERROR(GETPIVOTDATA("Sum of Qty",'[2]Operator by Store'!$A$5,"ID Store",$C13,"Product Type","Indosat"),0)</f>
        <v>0</v>
      </c>
      <c r="BN13" s="178">
        <f t="shared" si="18"/>
        <v>0</v>
      </c>
      <c r="BO13" s="145">
        <f>_xlfn.XLOOKUP(D:D,'[2]Target store'!C:C,'[2]Target store'!N:N,0)</f>
        <v>1200000</v>
      </c>
      <c r="BP13" s="177">
        <f>IFERROR(GETPIVOTDATA("Sum of Qty",'[2]Operator by Store'!$A$5,"ID Store",$C13,"Product Type","Telkomsel"),0)</f>
        <v>0</v>
      </c>
      <c r="BQ13" s="187">
        <f t="shared" si="19"/>
        <v>0</v>
      </c>
    </row>
    <row r="14" spans="1:69" ht="17" thickBot="1" x14ac:dyDescent="0.25">
      <c r="A14" s="157">
        <v>10</v>
      </c>
      <c r="B14" s="158" t="s">
        <v>40</v>
      </c>
      <c r="C14" s="159">
        <v>6020704</v>
      </c>
      <c r="D14" s="188" t="str">
        <f>IFERROR(INDEX('[2]Target store'!$C$5:$C$47,MATCH($C14&amp;"-*",'[2]Target store'!$C$5:$C$47,0)),"NOT FOUND")</f>
        <v>6020704-CEMPAKA SHOWROOM 14(8TOKO)</v>
      </c>
      <c r="E14" s="188" t="s">
        <v>46</v>
      </c>
      <c r="F14" s="161">
        <v>3</v>
      </c>
      <c r="G14" s="128">
        <f>_xlfn.XLOOKUP(D:D,'[2]Target store'!C:C,'[2]Target store'!F:F,0)</f>
        <v>50</v>
      </c>
      <c r="H14" s="162">
        <f>_xlfn.XLOOKUP(D:D,'[2]Target store'!C:C,'[2]Target store'!G:G,0)</f>
        <v>200000000</v>
      </c>
      <c r="I14" s="163">
        <f>IFERROR(GETPIVOTDATA("Sum of SRP",'[2]DEVICE &amp; VALUE'!$A$6,"ID Store",$C14),0)</f>
        <v>36389000</v>
      </c>
      <c r="J14" s="164">
        <f t="shared" si="20"/>
        <v>0.181945</v>
      </c>
      <c r="K14" s="165">
        <f t="shared" si="21"/>
        <v>-163611000</v>
      </c>
      <c r="L14" s="133">
        <f>IFERROR(GETPIVOTDATA("Sum of Qty",[2]PF!$A$5,"ID Store",$C14),0)</f>
        <v>2</v>
      </c>
      <c r="M14" s="134">
        <f>IFERROR(GETPIVOTDATA("Sum of Qty",'[2]DEVICE &amp; VALUE'!$A$6,"ID Store",$C14,"Segment Price","3mio&gt;"),0)</f>
        <v>3</v>
      </c>
      <c r="N14" s="135">
        <f t="shared" si="22"/>
        <v>0.27272727272727271</v>
      </c>
      <c r="O14" s="136">
        <f>IFERROR(GETPIVOTDATA("Sum of Qty",[2]IQOO!$A$6,"ID Store",$C14),0)</f>
        <v>0</v>
      </c>
      <c r="P14" s="135">
        <f t="shared" si="23"/>
        <v>0</v>
      </c>
      <c r="Q14" s="137">
        <f t="shared" si="24"/>
        <v>0.27272727272727271</v>
      </c>
      <c r="R14" s="136">
        <f>IFERROR(GETPIVOTDATA("Sum of Qty",'[2]DEVICE &amp; VALUE'!$A$6,"ID Store",$C14),0)</f>
        <v>11</v>
      </c>
      <c r="S14" s="136">
        <f t="shared" si="25"/>
        <v>0.22</v>
      </c>
      <c r="T14" s="136">
        <f t="shared" si="26"/>
        <v>-39</v>
      </c>
      <c r="U14" s="166">
        <f t="shared" si="27"/>
        <v>155952857.14285716</v>
      </c>
      <c r="V14" s="164">
        <f t="shared" si="28"/>
        <v>0.7797642857142858</v>
      </c>
      <c r="W14" s="167">
        <f t="shared" si="29"/>
        <v>-44047142.857142836</v>
      </c>
      <c r="X14" s="168">
        <f t="shared" si="0"/>
        <v>12.857142857142856</v>
      </c>
      <c r="Y14" s="169">
        <f t="shared" si="1"/>
        <v>-37.142857142857146</v>
      </c>
      <c r="Z14" s="169">
        <f t="shared" si="30"/>
        <v>47.142857142857139</v>
      </c>
      <c r="AA14" s="169">
        <f t="shared" si="31"/>
        <v>-2.8571428571428612</v>
      </c>
      <c r="AB14" s="169">
        <f t="shared" si="32"/>
        <v>0.94285714285714273</v>
      </c>
      <c r="AC14" s="239">
        <f t="shared" si="33"/>
        <v>1.6956521739130435</v>
      </c>
      <c r="AD14" s="142">
        <f t="shared" si="34"/>
        <v>7113521.7391304346</v>
      </c>
      <c r="AE14" s="170">
        <f>IFERROR(GETPIVOTDATA("Sum of Qty",'[2]DATA LAST MONTH IQOO'!$A$6,"ID Store",$C14),0)</f>
        <v>1</v>
      </c>
      <c r="AF14" s="171">
        <f>IFERROR(GETPIVOTDATA("Sum of Qty",[2]IQOO!$A$6,"ID Store",$C14),0)</f>
        <v>0</v>
      </c>
      <c r="AG14" s="172">
        <f t="shared" si="2"/>
        <v>-1</v>
      </c>
      <c r="AH14" s="173">
        <f t="shared" si="3"/>
        <v>-1</v>
      </c>
      <c r="AI14" s="174">
        <f>IFERROR(GETPIVOTDATA("Sum of Qty",'[2]DATA LAST MONTH DEVICE'!$A$6,"ID Store",$C14),0)</f>
        <v>11</v>
      </c>
      <c r="AJ14" s="147">
        <f t="shared" si="35"/>
        <v>11</v>
      </c>
      <c r="AK14" s="175">
        <f t="shared" si="4"/>
        <v>0</v>
      </c>
      <c r="AL14" s="176">
        <f t="shared" si="5"/>
        <v>0</v>
      </c>
      <c r="AM14" s="177">
        <f>IFERROR(GETPIVOTDATA("Sum of Qty",'[2]Store 3mio+ last month'!$A$6,"ID Store",$C14),0)</f>
        <v>63</v>
      </c>
      <c r="AN14" s="145">
        <f t="shared" si="36"/>
        <v>47.142857142857139</v>
      </c>
      <c r="AO14" s="172">
        <f t="shared" si="6"/>
        <v>-15.857142857142861</v>
      </c>
      <c r="AP14" s="178">
        <f t="shared" si="7"/>
        <v>-0.2517006802721089</v>
      </c>
      <c r="AQ14" s="177">
        <f>IFERROR(GETPIVOTDATA("Sum of Qty",'[2]DATA LAST MONTH DEVICE'!$A$6,"ID Store",$C14,"Segment Price","3mio&gt;"),0)</f>
        <v>5</v>
      </c>
      <c r="AR14" s="179">
        <f t="shared" si="8"/>
        <v>3</v>
      </c>
      <c r="AS14" s="179">
        <f t="shared" si="9"/>
        <v>-2</v>
      </c>
      <c r="AT14" s="173">
        <f t="shared" si="10"/>
        <v>-0.4</v>
      </c>
      <c r="AU14" s="180">
        <f>IFERROR(GETPIVOTDATA("Sum of SRP",'[2]DATA LAST MONTH DEVICE'!$A$6,"ID Store",$C14),0)</f>
        <v>38889000</v>
      </c>
      <c r="AV14" s="180">
        <f t="shared" si="37"/>
        <v>36389000</v>
      </c>
      <c r="AW14" s="181">
        <f t="shared" si="11"/>
        <v>-2500000</v>
      </c>
      <c r="AX14" s="182">
        <f t="shared" si="12"/>
        <v>-6.4285530612769676E-2</v>
      </c>
      <c r="AY14" s="183">
        <f>IFERROR(VLOOKUP(C14,'[2]DATA SALES LAST MONTH'!A:E,5,0),0)</f>
        <v>3535363.6363636362</v>
      </c>
      <c r="AZ14" s="153">
        <f t="shared" si="38"/>
        <v>3308090.9090909096</v>
      </c>
      <c r="BA14" s="184">
        <f t="shared" si="13"/>
        <v>-227272.7272727266</v>
      </c>
      <c r="BB14" s="173">
        <f t="shared" si="14"/>
        <v>-6.4285530612769495E-2</v>
      </c>
      <c r="BC14" s="154">
        <f>_xlfn.XLOOKUP(D:D,'[2]Target store'!C:C,'[2]Target store'!J:J,0)</f>
        <v>5</v>
      </c>
      <c r="BD14" s="185">
        <f>IFERROR(GETPIVOTDATA("Sum of Qty",[2]ACC!$A$5,"ID Store",$C14),0)</f>
        <v>1</v>
      </c>
      <c r="BE14" s="178">
        <f t="shared" si="15"/>
        <v>0.2</v>
      </c>
      <c r="BF14" s="155">
        <f>_xlfn.XLOOKUP(D:D,'[2]Target store'!C:C,'[2]Target store'!K:K,0)</f>
        <v>900000</v>
      </c>
      <c r="BG14" s="186">
        <f>IFERROR(GETPIVOTDATA("Sum of SRP",'[2]Insurance by Store'!$A$5,"ID Store",$C14,"Product Type","Qoala"),0)</f>
        <v>159000</v>
      </c>
      <c r="BH14" s="178">
        <f t="shared" si="16"/>
        <v>0.17666666666666667</v>
      </c>
      <c r="BI14" s="155">
        <f>_xlfn.XLOOKUP(D:D,'[2]Target store'!C:C,'[2]Target store'!L:L,0)</f>
        <v>200000</v>
      </c>
      <c r="BJ14" s="186">
        <f>IFERROR(GETPIVOTDATA("Sum of SRP",'[2]Insurance by Store'!$A$5,"ID Store",$C14,"Product Type","Vivo Care"),0)</f>
        <v>0</v>
      </c>
      <c r="BK14" s="178">
        <f t="shared" si="17"/>
        <v>0</v>
      </c>
      <c r="BL14" s="145">
        <f>_xlfn.XLOOKUP(D:D,'[2]Target store'!C:C,'[2]Target store'!M:M,0)</f>
        <v>400000</v>
      </c>
      <c r="BM14" s="177">
        <f>IFERROR(GETPIVOTDATA("Sum of Qty",'[2]Operator by Store'!$A$5,"ID Store",$C14,"Product Type","Indosat"),0)</f>
        <v>0</v>
      </c>
      <c r="BN14" s="178">
        <f t="shared" si="18"/>
        <v>0</v>
      </c>
      <c r="BO14" s="145">
        <f>_xlfn.XLOOKUP(D:D,'[2]Target store'!C:C,'[2]Target store'!N:N,0)</f>
        <v>600000</v>
      </c>
      <c r="BP14" s="177">
        <f>IFERROR(GETPIVOTDATA("Sum of Qty",'[2]Operator by Store'!$A$5,"ID Store",$C14,"Product Type","Telkomsel"),0)</f>
        <v>0</v>
      </c>
      <c r="BQ14" s="187">
        <f t="shared" si="19"/>
        <v>0</v>
      </c>
    </row>
    <row r="15" spans="1:69" ht="17" thickBot="1" x14ac:dyDescent="0.25">
      <c r="A15" s="157">
        <v>11</v>
      </c>
      <c r="B15" s="158" t="s">
        <v>47</v>
      </c>
      <c r="C15" s="159">
        <v>6040701</v>
      </c>
      <c r="D15" s="188" t="str">
        <f>IFERROR(INDEX('[2]Target store'!$C$5:$C$47,MATCH($C15&amp;"-*",'[2]Target store'!$C$5:$C$47,0)),"NOT FOUND")</f>
        <v>6040701-ITC DEPOK VIVO STORE 1</v>
      </c>
      <c r="E15" s="188" t="s">
        <v>48</v>
      </c>
      <c r="F15" s="161">
        <v>3</v>
      </c>
      <c r="G15" s="128">
        <f>_xlfn.XLOOKUP(D:D,'[2]Target store'!C:C,'[2]Target store'!F:F,0)</f>
        <v>60</v>
      </c>
      <c r="H15" s="162">
        <f>_xlfn.XLOOKUP(D:D,'[2]Target store'!C:C,'[2]Target store'!G:G,0)</f>
        <v>250000000</v>
      </c>
      <c r="I15" s="163">
        <f>IFERROR(GETPIVOTDATA("Sum of SRP",'[2]DEVICE &amp; VALUE'!$A$6,"ID Store",$C15),0)</f>
        <v>52690000</v>
      </c>
      <c r="J15" s="164">
        <f t="shared" si="20"/>
        <v>0.21076</v>
      </c>
      <c r="K15" s="165">
        <f t="shared" si="21"/>
        <v>-197310000</v>
      </c>
      <c r="L15" s="133">
        <f>IFERROR(GETPIVOTDATA("Sum of Qty",[2]PF!$A$5,"ID Store",$C15),0)</f>
        <v>1</v>
      </c>
      <c r="M15" s="134">
        <f>IFERROR(GETPIVOTDATA("Sum of Qty",'[2]DEVICE &amp; VALUE'!$A$6,"ID Store",$C15,"Segment Price","3mio&gt;"),0)</f>
        <v>5</v>
      </c>
      <c r="N15" s="135">
        <f t="shared" si="22"/>
        <v>0.5</v>
      </c>
      <c r="O15" s="136">
        <f>IFERROR(GETPIVOTDATA("Sum of Qty",[2]IQOO!$A$6,"ID Store",$C15),0)</f>
        <v>0</v>
      </c>
      <c r="P15" s="135">
        <f t="shared" si="23"/>
        <v>0</v>
      </c>
      <c r="Q15" s="137">
        <f t="shared" si="24"/>
        <v>0.5</v>
      </c>
      <c r="R15" s="136">
        <f>IFERROR(GETPIVOTDATA("Sum of Qty",'[2]DEVICE &amp; VALUE'!$A$6,"ID Store",$C15),0)</f>
        <v>10</v>
      </c>
      <c r="S15" s="136">
        <f t="shared" si="25"/>
        <v>0.16666666666666666</v>
      </c>
      <c r="T15" s="136">
        <f t="shared" si="26"/>
        <v>-50</v>
      </c>
      <c r="U15" s="166">
        <f t="shared" si="27"/>
        <v>225814285.71428573</v>
      </c>
      <c r="V15" s="164">
        <f t="shared" si="28"/>
        <v>0.90325714285714298</v>
      </c>
      <c r="W15" s="167">
        <f t="shared" si="29"/>
        <v>-24185714.285714269</v>
      </c>
      <c r="X15" s="168">
        <f t="shared" si="0"/>
        <v>21.428571428571431</v>
      </c>
      <c r="Y15" s="169">
        <f t="shared" si="1"/>
        <v>-38.571428571428569</v>
      </c>
      <c r="Z15" s="169">
        <f t="shared" si="30"/>
        <v>42.857142857142861</v>
      </c>
      <c r="AA15" s="169">
        <f t="shared" si="31"/>
        <v>-17.142857142857139</v>
      </c>
      <c r="AB15" s="169">
        <f t="shared" si="32"/>
        <v>0.7142857142857143</v>
      </c>
      <c r="AC15" s="239">
        <f t="shared" si="33"/>
        <v>2.1739130434782608</v>
      </c>
      <c r="AD15" s="142">
        <f t="shared" si="34"/>
        <v>8578695.6521739122</v>
      </c>
      <c r="AE15" s="170">
        <f>IFERROR(GETPIVOTDATA("Sum of Qty",'[2]DATA LAST MONTH IQOO'!$A$6,"ID Store",$C15),0)</f>
        <v>0</v>
      </c>
      <c r="AF15" s="171">
        <f>IFERROR(GETPIVOTDATA("Sum of Qty",[2]IQOO!$A$6,"ID Store",$C15),0)</f>
        <v>0</v>
      </c>
      <c r="AG15" s="172">
        <f t="shared" si="2"/>
        <v>0</v>
      </c>
      <c r="AH15" s="173">
        <f t="shared" si="3"/>
        <v>0</v>
      </c>
      <c r="AI15" s="174">
        <f>IFERROR(GETPIVOTDATA("Sum of Qty",'[2]DATA LAST MONTH DEVICE'!$A$6,"ID Store",$C15),0)</f>
        <v>19</v>
      </c>
      <c r="AJ15" s="147">
        <f t="shared" si="35"/>
        <v>10</v>
      </c>
      <c r="AK15" s="175">
        <f t="shared" si="4"/>
        <v>-9</v>
      </c>
      <c r="AL15" s="176">
        <f t="shared" si="5"/>
        <v>-0.47368421052631576</v>
      </c>
      <c r="AM15" s="177">
        <f>IFERROR(GETPIVOTDATA("Sum of Qty",'[2]Store 3mio+ last month'!$A$6,"ID Store",$C15),0)</f>
        <v>60</v>
      </c>
      <c r="AN15" s="145">
        <f t="shared" si="36"/>
        <v>42.857142857142861</v>
      </c>
      <c r="AO15" s="172">
        <f t="shared" si="6"/>
        <v>-17.142857142857139</v>
      </c>
      <c r="AP15" s="178">
        <f t="shared" si="7"/>
        <v>-0.28571428571428564</v>
      </c>
      <c r="AQ15" s="177">
        <f>IFERROR(GETPIVOTDATA("Sum of Qty",'[2]DATA LAST MONTH DEVICE'!$A$6,"ID Store",$C15,"Segment Price","3mio&gt;"),0)</f>
        <v>10</v>
      </c>
      <c r="AR15" s="179">
        <f t="shared" si="8"/>
        <v>5</v>
      </c>
      <c r="AS15" s="179">
        <f t="shared" si="9"/>
        <v>-5</v>
      </c>
      <c r="AT15" s="173">
        <f t="shared" si="10"/>
        <v>-0.5</v>
      </c>
      <c r="AU15" s="180">
        <f>IFERROR(GETPIVOTDATA("Sum of SRP",'[2]DATA LAST MONTH DEVICE'!$A$6,"ID Store",$C15),0)</f>
        <v>76981000</v>
      </c>
      <c r="AV15" s="180">
        <f t="shared" si="37"/>
        <v>52690000</v>
      </c>
      <c r="AW15" s="181">
        <f t="shared" si="11"/>
        <v>-24291000</v>
      </c>
      <c r="AX15" s="182">
        <f t="shared" si="12"/>
        <v>-0.31554539431807849</v>
      </c>
      <c r="AY15" s="183">
        <f>IFERROR(VLOOKUP(C15,'[2]DATA SALES LAST MONTH'!A:E,5,0),0)</f>
        <v>4051631.5789473685</v>
      </c>
      <c r="AZ15" s="153">
        <f t="shared" si="38"/>
        <v>5269000</v>
      </c>
      <c r="BA15" s="184">
        <f t="shared" si="13"/>
        <v>1217368.4210526315</v>
      </c>
      <c r="BB15" s="173">
        <f t="shared" si="14"/>
        <v>0.30046375079565085</v>
      </c>
      <c r="BC15" s="154">
        <f>_xlfn.XLOOKUP(D:D,'[2]Target store'!C:C,'[2]Target store'!J:J,0)</f>
        <v>6</v>
      </c>
      <c r="BD15" s="185">
        <f>IFERROR(GETPIVOTDATA("Sum of Qty",[2]ACC!$A$5,"ID Store",$C15),0)</f>
        <v>0</v>
      </c>
      <c r="BE15" s="178">
        <f t="shared" si="15"/>
        <v>0</v>
      </c>
      <c r="BF15" s="155">
        <f>_xlfn.XLOOKUP(D:D,'[2]Target store'!C:C,'[2]Target store'!K:K,0)</f>
        <v>1125000</v>
      </c>
      <c r="BG15" s="186">
        <f>IFERROR(GETPIVOTDATA("Sum of SRP",'[2]Insurance by Store'!$A$5,"ID Store",$C15,"Product Type","Qoala"),0)</f>
        <v>0</v>
      </c>
      <c r="BH15" s="178">
        <f t="shared" si="16"/>
        <v>0</v>
      </c>
      <c r="BI15" s="155">
        <f>_xlfn.XLOOKUP(D:D,'[2]Target store'!C:C,'[2]Target store'!L:L,0)</f>
        <v>250000</v>
      </c>
      <c r="BJ15" s="186">
        <f>IFERROR(GETPIVOTDATA("Sum of SRP",'[2]Insurance by Store'!$A$5,"ID Store",$C15,"Product Type","Vivo Care"),0)</f>
        <v>0</v>
      </c>
      <c r="BK15" s="178">
        <f t="shared" si="17"/>
        <v>0</v>
      </c>
      <c r="BL15" s="145">
        <f>_xlfn.XLOOKUP(D:D,'[2]Target store'!C:C,'[2]Target store'!M:M,0)</f>
        <v>500000</v>
      </c>
      <c r="BM15" s="177">
        <f>IFERROR(GETPIVOTDATA("Sum of Qty",'[2]Operator by Store'!$A$5,"ID Store",$C15,"Product Type","Indosat"),0)</f>
        <v>0</v>
      </c>
      <c r="BN15" s="178">
        <f t="shared" si="18"/>
        <v>0</v>
      </c>
      <c r="BO15" s="145">
        <f>_xlfn.XLOOKUP(D:D,'[2]Target store'!C:C,'[2]Target store'!N:N,0)</f>
        <v>750000</v>
      </c>
      <c r="BP15" s="177">
        <f>IFERROR(GETPIVOTDATA("Sum of Qty",'[2]Operator by Store'!$A$5,"ID Store",$C15,"Product Type","Telkomsel"),0)</f>
        <v>0</v>
      </c>
      <c r="BQ15" s="187">
        <f t="shared" si="19"/>
        <v>0</v>
      </c>
    </row>
    <row r="16" spans="1:69" ht="17" thickBot="1" x14ac:dyDescent="0.25">
      <c r="A16" s="157">
        <v>12</v>
      </c>
      <c r="B16" s="158" t="s">
        <v>47</v>
      </c>
      <c r="C16" s="159">
        <v>6080712</v>
      </c>
      <c r="D16" s="188" t="str">
        <f>IFERROR(INDEX('[2]Target store'!$C$5:$C$47,MATCH($C16&amp;"-*",'[2]Target store'!$C$5:$C$47,0)),"NOT FOUND")</f>
        <v>6080712-ITC DEPOK VIVO STORE 2</v>
      </c>
      <c r="E16" s="188" t="s">
        <v>48</v>
      </c>
      <c r="F16" s="161">
        <v>3</v>
      </c>
      <c r="G16" s="128">
        <f>_xlfn.XLOOKUP(D:D,'[2]Target store'!C:C,'[2]Target store'!F:F,0)</f>
        <v>70</v>
      </c>
      <c r="H16" s="162">
        <f>_xlfn.XLOOKUP(D:D,'[2]Target store'!C:C,'[2]Target store'!G:G,0)</f>
        <v>300000000</v>
      </c>
      <c r="I16" s="163">
        <f>IFERROR(GETPIVOTDATA("Sum of SRP",'[2]DEVICE &amp; VALUE'!$A$6,"ID Store",$C16),0)</f>
        <v>48389000</v>
      </c>
      <c r="J16" s="164">
        <f t="shared" si="20"/>
        <v>0.16129666666666667</v>
      </c>
      <c r="K16" s="165">
        <f t="shared" si="21"/>
        <v>-251611000</v>
      </c>
      <c r="L16" s="133">
        <f>IFERROR(GETPIVOTDATA("Sum of Qty",[2]PF!$A$5,"ID Store",$C16),0)</f>
        <v>3</v>
      </c>
      <c r="M16" s="134">
        <f>IFERROR(GETPIVOTDATA("Sum of Qty",'[2]DEVICE &amp; VALUE'!$A$6,"ID Store",$C16,"Segment Price","3mio&gt;"),0)</f>
        <v>7</v>
      </c>
      <c r="N16" s="135">
        <f t="shared" si="22"/>
        <v>0.63636363636363635</v>
      </c>
      <c r="O16" s="136">
        <f>IFERROR(GETPIVOTDATA("Sum of Qty",[2]IQOO!$A$6,"ID Store",$C16),0)</f>
        <v>0</v>
      </c>
      <c r="P16" s="135">
        <f t="shared" si="23"/>
        <v>0</v>
      </c>
      <c r="Q16" s="137">
        <f t="shared" si="24"/>
        <v>0.63636363636363635</v>
      </c>
      <c r="R16" s="136">
        <f>IFERROR(GETPIVOTDATA("Sum of Qty",'[2]DEVICE &amp; VALUE'!$A$6,"ID Store",$C16),0)</f>
        <v>11</v>
      </c>
      <c r="S16" s="136">
        <f t="shared" si="25"/>
        <v>0.15714285714285714</v>
      </c>
      <c r="T16" s="136">
        <f t="shared" si="26"/>
        <v>-59</v>
      </c>
      <c r="U16" s="166">
        <f t="shared" si="27"/>
        <v>207381428.57142857</v>
      </c>
      <c r="V16" s="164">
        <f t="shared" si="28"/>
        <v>0.69127142857142854</v>
      </c>
      <c r="W16" s="167">
        <f t="shared" si="29"/>
        <v>-92618571.428571433</v>
      </c>
      <c r="X16" s="168">
        <f t="shared" si="0"/>
        <v>30</v>
      </c>
      <c r="Y16" s="169">
        <f t="shared" si="1"/>
        <v>-40</v>
      </c>
      <c r="Z16" s="169">
        <f t="shared" si="30"/>
        <v>47.142857142857139</v>
      </c>
      <c r="AA16" s="169">
        <f t="shared" si="31"/>
        <v>-22.857142857142861</v>
      </c>
      <c r="AB16" s="169">
        <f t="shared" si="32"/>
        <v>0.67346938775510201</v>
      </c>
      <c r="AC16" s="239">
        <f t="shared" si="33"/>
        <v>2.5652173913043477</v>
      </c>
      <c r="AD16" s="142">
        <f t="shared" si="34"/>
        <v>10939608.695652174</v>
      </c>
      <c r="AE16" s="170">
        <f>IFERROR(GETPIVOTDATA("Sum of Qty",'[2]DATA LAST MONTH IQOO'!$A$6,"ID Store",$C16),0)</f>
        <v>1</v>
      </c>
      <c r="AF16" s="171">
        <f>IFERROR(GETPIVOTDATA("Sum of Qty",[2]IQOO!$A$6,"ID Store",$C16),0)</f>
        <v>0</v>
      </c>
      <c r="AG16" s="172">
        <f t="shared" si="2"/>
        <v>-1</v>
      </c>
      <c r="AH16" s="173">
        <f t="shared" si="3"/>
        <v>-1</v>
      </c>
      <c r="AI16" s="174">
        <f>IFERROR(GETPIVOTDATA("Sum of Qty",'[2]DATA LAST MONTH DEVICE'!$A$6,"ID Store",$C16),0)</f>
        <v>15</v>
      </c>
      <c r="AJ16" s="147">
        <f t="shared" si="35"/>
        <v>11</v>
      </c>
      <c r="AK16" s="175">
        <f t="shared" si="4"/>
        <v>-4</v>
      </c>
      <c r="AL16" s="176">
        <f t="shared" si="5"/>
        <v>-0.26666666666666666</v>
      </c>
      <c r="AM16" s="177">
        <f>IFERROR(GETPIVOTDATA("Sum of Qty",'[2]Store 3mio+ last month'!$A$6,"ID Store",$C16),0)</f>
        <v>44</v>
      </c>
      <c r="AN16" s="145">
        <f t="shared" si="36"/>
        <v>47.142857142857139</v>
      </c>
      <c r="AO16" s="172">
        <f t="shared" si="6"/>
        <v>3.1428571428571388</v>
      </c>
      <c r="AP16" s="178">
        <f t="shared" si="7"/>
        <v>7.1428571428571341E-2</v>
      </c>
      <c r="AQ16" s="177">
        <f>IFERROR(GETPIVOTDATA("Sum of Qty",'[2]DATA LAST MONTH DEVICE'!$A$6,"ID Store",$C16,"Segment Price","3mio&gt;"),0)</f>
        <v>9</v>
      </c>
      <c r="AR16" s="179">
        <f t="shared" si="8"/>
        <v>7</v>
      </c>
      <c r="AS16" s="179">
        <f t="shared" si="9"/>
        <v>-2</v>
      </c>
      <c r="AT16" s="173">
        <f t="shared" si="10"/>
        <v>-0.22222222222222221</v>
      </c>
      <c r="AU16" s="180">
        <f>IFERROR(GETPIVOTDATA("Sum of SRP",'[2]DATA LAST MONTH DEVICE'!$A$6,"ID Store",$C16),0)</f>
        <v>79885000</v>
      </c>
      <c r="AV16" s="180">
        <f t="shared" si="37"/>
        <v>48389000</v>
      </c>
      <c r="AW16" s="181">
        <f t="shared" si="11"/>
        <v>-31496000</v>
      </c>
      <c r="AX16" s="182">
        <f t="shared" si="12"/>
        <v>-0.39426675846529385</v>
      </c>
      <c r="AY16" s="183">
        <f>IFERROR(VLOOKUP(C16,'[2]DATA SALES LAST MONTH'!A:E,5,0),0)</f>
        <v>5325666.666666667</v>
      </c>
      <c r="AZ16" s="153">
        <f t="shared" si="38"/>
        <v>4399000</v>
      </c>
      <c r="BA16" s="184">
        <f t="shared" si="13"/>
        <v>-926666.66666666698</v>
      </c>
      <c r="BB16" s="173">
        <f t="shared" si="14"/>
        <v>-0.17400012517994623</v>
      </c>
      <c r="BC16" s="154">
        <f>_xlfn.XLOOKUP(D:D,'[2]Target store'!C:C,'[2]Target store'!J:J,0)</f>
        <v>7</v>
      </c>
      <c r="BD16" s="185">
        <f>IFERROR(GETPIVOTDATA("Sum of Qty",[2]ACC!$A$5,"ID Store",$C16),0)</f>
        <v>5</v>
      </c>
      <c r="BE16" s="178">
        <f t="shared" si="15"/>
        <v>0.7142857142857143</v>
      </c>
      <c r="BF16" s="155">
        <f>_xlfn.XLOOKUP(D:D,'[2]Target store'!C:C,'[2]Target store'!K:K,0)</f>
        <v>1350000</v>
      </c>
      <c r="BG16" s="186">
        <f>IFERROR(GETPIVOTDATA("Sum of SRP",'[2]Insurance by Store'!$A$5,"ID Store",$C16,"Product Type","Qoala"),0)</f>
        <v>249000</v>
      </c>
      <c r="BH16" s="178">
        <f t="shared" si="16"/>
        <v>0.18444444444444444</v>
      </c>
      <c r="BI16" s="155">
        <f>_xlfn.XLOOKUP(D:D,'[2]Target store'!C:C,'[2]Target store'!L:L,0)</f>
        <v>300000</v>
      </c>
      <c r="BJ16" s="186">
        <f>IFERROR(GETPIVOTDATA("Sum of SRP",'[2]Insurance by Store'!$A$5,"ID Store",$C16,"Product Type","Vivo Care"),0)</f>
        <v>0</v>
      </c>
      <c r="BK16" s="178">
        <f t="shared" si="17"/>
        <v>0</v>
      </c>
      <c r="BL16" s="145">
        <f>_xlfn.XLOOKUP(D:D,'[2]Target store'!C:C,'[2]Target store'!M:M,0)</f>
        <v>600000</v>
      </c>
      <c r="BM16" s="177">
        <f>IFERROR(GETPIVOTDATA("Sum of Qty",'[2]Operator by Store'!$A$5,"ID Store",$C16,"Product Type","Indosat"),0)</f>
        <v>0</v>
      </c>
      <c r="BN16" s="178">
        <f t="shared" si="18"/>
        <v>0</v>
      </c>
      <c r="BO16" s="145">
        <f>_xlfn.XLOOKUP(D:D,'[2]Target store'!C:C,'[2]Target store'!N:N,0)</f>
        <v>900000</v>
      </c>
      <c r="BP16" s="177">
        <f>IFERROR(GETPIVOTDATA("Sum of Qty",'[2]Operator by Store'!$A$5,"ID Store",$C16,"Product Type","Telkomsel"),0)</f>
        <v>0</v>
      </c>
      <c r="BQ16" s="187">
        <f t="shared" si="19"/>
        <v>0</v>
      </c>
    </row>
    <row r="17" spans="1:69" ht="17" thickBot="1" x14ac:dyDescent="0.25">
      <c r="A17" s="157">
        <v>13</v>
      </c>
      <c r="B17" s="158" t="s">
        <v>47</v>
      </c>
      <c r="C17" s="159">
        <v>6040702</v>
      </c>
      <c r="D17" s="188" t="str">
        <f>IFERROR(INDEX('[2]Target store'!$C$5:$C$47,MATCH($C17&amp;"-*",'[2]Target store'!$C$5:$C$47,0)),"NOT FOUND")</f>
        <v>6040702-TRAN STUDIO MALL 2F059</v>
      </c>
      <c r="E17" s="188" t="s">
        <v>48</v>
      </c>
      <c r="F17" s="161">
        <v>2</v>
      </c>
      <c r="G17" s="128">
        <f>_xlfn.XLOOKUP(D:D,'[2]Target store'!C:C,'[2]Target store'!F:F,0)</f>
        <v>50</v>
      </c>
      <c r="H17" s="162">
        <f>_xlfn.XLOOKUP(D:D,'[2]Target store'!C:C,'[2]Target store'!G:G,0)</f>
        <v>200000000</v>
      </c>
      <c r="I17" s="163">
        <f>IFERROR(GETPIVOTDATA("Sum of SRP",'[2]DEVICE &amp; VALUE'!$A$6,"ID Store",$C17),0)</f>
        <v>23093000</v>
      </c>
      <c r="J17" s="164">
        <f t="shared" si="20"/>
        <v>0.115465</v>
      </c>
      <c r="K17" s="165">
        <f t="shared" si="21"/>
        <v>-176907000</v>
      </c>
      <c r="L17" s="133">
        <f>IFERROR(GETPIVOTDATA("Sum of Qty",[2]PF!$A$5,"ID Store",$C17),0)</f>
        <v>1</v>
      </c>
      <c r="M17" s="134">
        <f>IFERROR(GETPIVOTDATA("Sum of Qty",'[2]DEVICE &amp; VALUE'!$A$6,"ID Store",$C17,"Segment Price","3mio&gt;"),0)</f>
        <v>3</v>
      </c>
      <c r="N17" s="135">
        <f t="shared" si="22"/>
        <v>0.42857142857142855</v>
      </c>
      <c r="O17" s="136">
        <f>IFERROR(GETPIVOTDATA("Sum of Qty",[2]IQOO!$A$6,"ID Store",$C17),0)</f>
        <v>0</v>
      </c>
      <c r="P17" s="135">
        <f t="shared" si="23"/>
        <v>0</v>
      </c>
      <c r="Q17" s="137">
        <f t="shared" si="24"/>
        <v>0.42857142857142855</v>
      </c>
      <c r="R17" s="136">
        <f>IFERROR(GETPIVOTDATA("Sum of Qty",'[2]DEVICE &amp; VALUE'!$A$6,"ID Store",$C17),0)</f>
        <v>7</v>
      </c>
      <c r="S17" s="136">
        <f t="shared" si="25"/>
        <v>0.14000000000000001</v>
      </c>
      <c r="T17" s="136">
        <f t="shared" si="26"/>
        <v>-43</v>
      </c>
      <c r="U17" s="166">
        <f t="shared" si="27"/>
        <v>98970000</v>
      </c>
      <c r="V17" s="164">
        <f t="shared" si="28"/>
        <v>0.49485000000000001</v>
      </c>
      <c r="W17" s="167">
        <f t="shared" si="29"/>
        <v>-101030000</v>
      </c>
      <c r="X17" s="168">
        <f t="shared" si="0"/>
        <v>12.857142857142856</v>
      </c>
      <c r="Y17" s="169">
        <f t="shared" si="1"/>
        <v>-37.142857142857146</v>
      </c>
      <c r="Z17" s="169">
        <f t="shared" si="30"/>
        <v>30</v>
      </c>
      <c r="AA17" s="169">
        <f t="shared" si="31"/>
        <v>-20</v>
      </c>
      <c r="AB17" s="169">
        <f t="shared" si="32"/>
        <v>0.6</v>
      </c>
      <c r="AC17" s="239">
        <f t="shared" si="33"/>
        <v>1.8695652173913044</v>
      </c>
      <c r="AD17" s="142">
        <f t="shared" si="34"/>
        <v>7691608.6956521738</v>
      </c>
      <c r="AE17" s="170">
        <f>IFERROR(GETPIVOTDATA("Sum of Qty",'[2]DATA LAST MONTH IQOO'!$A$6,"ID Store",$C17),0)</f>
        <v>1</v>
      </c>
      <c r="AF17" s="171">
        <f>IFERROR(GETPIVOTDATA("Sum of Qty",[2]IQOO!$A$6,"ID Store",$C17),0)</f>
        <v>0</v>
      </c>
      <c r="AG17" s="172">
        <f t="shared" si="2"/>
        <v>-1</v>
      </c>
      <c r="AH17" s="173">
        <f t="shared" si="3"/>
        <v>-1</v>
      </c>
      <c r="AI17" s="174">
        <f>IFERROR(GETPIVOTDATA("Sum of Qty",'[2]DATA LAST MONTH DEVICE'!$A$6,"ID Store",$C17),0)</f>
        <v>8</v>
      </c>
      <c r="AJ17" s="147">
        <f t="shared" si="35"/>
        <v>7</v>
      </c>
      <c r="AK17" s="175">
        <f t="shared" si="4"/>
        <v>-1</v>
      </c>
      <c r="AL17" s="176">
        <f t="shared" si="5"/>
        <v>-0.125</v>
      </c>
      <c r="AM17" s="177">
        <f>IFERROR(GETPIVOTDATA("Sum of Qty",'[2]Store 3mio+ last month'!$A$6,"ID Store",$C17),0)</f>
        <v>36</v>
      </c>
      <c r="AN17" s="145">
        <f t="shared" si="36"/>
        <v>30</v>
      </c>
      <c r="AO17" s="172">
        <f t="shared" si="6"/>
        <v>-6</v>
      </c>
      <c r="AP17" s="178">
        <f t="shared" si="7"/>
        <v>-0.16666666666666666</v>
      </c>
      <c r="AQ17" s="177">
        <f>IFERROR(GETPIVOTDATA("Sum of Qty",'[2]DATA LAST MONTH DEVICE'!$A$6,"ID Store",$C17,"Segment Price","3mio&gt;"),0)</f>
        <v>5</v>
      </c>
      <c r="AR17" s="179">
        <f t="shared" si="8"/>
        <v>3</v>
      </c>
      <c r="AS17" s="179">
        <f t="shared" si="9"/>
        <v>-2</v>
      </c>
      <c r="AT17" s="173">
        <f t="shared" si="10"/>
        <v>-0.4</v>
      </c>
      <c r="AU17" s="180">
        <f>IFERROR(GETPIVOTDATA("Sum of SRP",'[2]DATA LAST MONTH DEVICE'!$A$6,"ID Store",$C17),0)</f>
        <v>43492000</v>
      </c>
      <c r="AV17" s="180">
        <f t="shared" si="37"/>
        <v>23093000</v>
      </c>
      <c r="AW17" s="181">
        <f t="shared" si="11"/>
        <v>-20399000</v>
      </c>
      <c r="AX17" s="182">
        <f t="shared" si="12"/>
        <v>-0.46902878690333855</v>
      </c>
      <c r="AY17" s="183">
        <f>IFERROR(VLOOKUP(C17,'[2]DATA SALES LAST MONTH'!A:E,5,0),0)</f>
        <v>5436500</v>
      </c>
      <c r="AZ17" s="153">
        <f t="shared" si="38"/>
        <v>3299000</v>
      </c>
      <c r="BA17" s="184">
        <f t="shared" si="13"/>
        <v>-2137500</v>
      </c>
      <c r="BB17" s="173">
        <f t="shared" si="14"/>
        <v>-0.39317575646095831</v>
      </c>
      <c r="BC17" s="154">
        <f>_xlfn.XLOOKUP(D:D,'[2]Target store'!C:C,'[2]Target store'!J:J,0)</f>
        <v>5</v>
      </c>
      <c r="BD17" s="185">
        <f>IFERROR(GETPIVOTDATA("Sum of Qty",[2]ACC!$A$5,"ID Store",$C17),0)</f>
        <v>1</v>
      </c>
      <c r="BE17" s="178">
        <f t="shared" si="15"/>
        <v>0.2</v>
      </c>
      <c r="BF17" s="155">
        <f>_xlfn.XLOOKUP(D:D,'[2]Target store'!C:C,'[2]Target store'!K:K,0)</f>
        <v>900000</v>
      </c>
      <c r="BG17" s="186">
        <f>IFERROR(GETPIVOTDATA("Sum of SRP",'[2]Insurance by Store'!$A$5,"ID Store",$C17,"Product Type","Qoala"),0)</f>
        <v>0</v>
      </c>
      <c r="BH17" s="178">
        <f t="shared" si="16"/>
        <v>0</v>
      </c>
      <c r="BI17" s="155">
        <f>_xlfn.XLOOKUP(D:D,'[2]Target store'!C:C,'[2]Target store'!L:L,0)</f>
        <v>200000</v>
      </c>
      <c r="BJ17" s="186">
        <f>IFERROR(GETPIVOTDATA("Sum of SRP",'[2]Insurance by Store'!$A$5,"ID Store",$C17,"Product Type","Vivo Care"),0)</f>
        <v>0</v>
      </c>
      <c r="BK17" s="178">
        <f t="shared" si="17"/>
        <v>0</v>
      </c>
      <c r="BL17" s="145">
        <f>_xlfn.XLOOKUP(D:D,'[2]Target store'!C:C,'[2]Target store'!M:M,0)</f>
        <v>400000</v>
      </c>
      <c r="BM17" s="177">
        <f>IFERROR(GETPIVOTDATA("Sum of Qty",'[2]Operator by Store'!$A$5,"ID Store",$C17,"Product Type","Indosat"),0)</f>
        <v>0</v>
      </c>
      <c r="BN17" s="178">
        <f t="shared" si="18"/>
        <v>0</v>
      </c>
      <c r="BO17" s="145">
        <f>_xlfn.XLOOKUP(D:D,'[2]Target store'!C:C,'[2]Target store'!N:N,0)</f>
        <v>600000</v>
      </c>
      <c r="BP17" s="177">
        <f>IFERROR(GETPIVOTDATA("Sum of Qty",'[2]Operator by Store'!$A$5,"ID Store",$C17,"Product Type","Telkomsel"),0)</f>
        <v>0</v>
      </c>
      <c r="BQ17" s="187">
        <f t="shared" si="19"/>
        <v>0</v>
      </c>
    </row>
    <row r="18" spans="1:69" ht="17" thickBot="1" x14ac:dyDescent="0.25">
      <c r="A18" s="157">
        <v>14</v>
      </c>
      <c r="B18" s="158" t="s">
        <v>47</v>
      </c>
      <c r="C18" s="159">
        <v>6040703</v>
      </c>
      <c r="D18" s="188" t="str">
        <f>IFERROR(INDEX('[2]Target store'!$C$5:$C$47,MATCH($C18&amp;"-*",'[2]Target store'!$C$5:$C$47,0)),"NOT FOUND")</f>
        <v>6040703-SAWANGAN 1F1-0320</v>
      </c>
      <c r="E18" s="188" t="s">
        <v>48</v>
      </c>
      <c r="F18" s="161">
        <v>2</v>
      </c>
      <c r="G18" s="128">
        <f>_xlfn.XLOOKUP(D:D,'[2]Target store'!C:C,'[2]Target store'!F:F,0)</f>
        <v>50</v>
      </c>
      <c r="H18" s="162">
        <f>_xlfn.XLOOKUP(D:D,'[2]Target store'!C:C,'[2]Target store'!G:G,0)</f>
        <v>200000000</v>
      </c>
      <c r="I18" s="163">
        <f>IFERROR(GETPIVOTDATA("Sum of SRP",'[2]DEVICE &amp; VALUE'!$A$6,"ID Store",$C18),0)</f>
        <v>27993000</v>
      </c>
      <c r="J18" s="164">
        <f t="shared" si="20"/>
        <v>0.13996500000000001</v>
      </c>
      <c r="K18" s="165">
        <f t="shared" si="21"/>
        <v>-172007000</v>
      </c>
      <c r="L18" s="133">
        <f>IFERROR(GETPIVOTDATA("Sum of Qty",[2]PF!$A$5,"ID Store",$C18),0)</f>
        <v>1</v>
      </c>
      <c r="M18" s="134">
        <f>IFERROR(GETPIVOTDATA("Sum of Qty",'[2]DEVICE &amp; VALUE'!$A$6,"ID Store",$C18,"Segment Price","3mio&gt;"),0)</f>
        <v>4</v>
      </c>
      <c r="N18" s="135">
        <f t="shared" si="22"/>
        <v>0.5714285714285714</v>
      </c>
      <c r="O18" s="136">
        <f>IFERROR(GETPIVOTDATA("Sum of Qty",[2]IQOO!$A$6,"ID Store",$C18),0)</f>
        <v>0</v>
      </c>
      <c r="P18" s="135">
        <f t="shared" si="23"/>
        <v>0</v>
      </c>
      <c r="Q18" s="137">
        <f t="shared" si="24"/>
        <v>0.5714285714285714</v>
      </c>
      <c r="R18" s="136">
        <f>IFERROR(GETPIVOTDATA("Sum of Qty",'[2]DEVICE &amp; VALUE'!$A$6,"ID Store",$C18),0)</f>
        <v>7</v>
      </c>
      <c r="S18" s="136">
        <f t="shared" si="25"/>
        <v>0.14000000000000001</v>
      </c>
      <c r="T18" s="136">
        <f t="shared" si="26"/>
        <v>-43</v>
      </c>
      <c r="U18" s="166">
        <f t="shared" si="27"/>
        <v>119970000</v>
      </c>
      <c r="V18" s="164">
        <f t="shared" si="28"/>
        <v>0.59984999999999999</v>
      </c>
      <c r="W18" s="167">
        <f t="shared" si="29"/>
        <v>-80030000</v>
      </c>
      <c r="X18" s="168">
        <f t="shared" si="0"/>
        <v>17.142857142857142</v>
      </c>
      <c r="Y18" s="169">
        <f t="shared" si="1"/>
        <v>-32.857142857142861</v>
      </c>
      <c r="Z18" s="169">
        <f t="shared" si="30"/>
        <v>30</v>
      </c>
      <c r="AA18" s="169">
        <f t="shared" si="31"/>
        <v>-20</v>
      </c>
      <c r="AB18" s="169">
        <f t="shared" si="32"/>
        <v>0.6</v>
      </c>
      <c r="AC18" s="239">
        <f t="shared" si="33"/>
        <v>1.8695652173913044</v>
      </c>
      <c r="AD18" s="142">
        <f t="shared" si="34"/>
        <v>7478565.2173913047</v>
      </c>
      <c r="AE18" s="170">
        <f>IFERROR(GETPIVOTDATA("Sum of Qty",'[2]DATA LAST MONTH IQOO'!$A$6,"ID Store",$C18),0)</f>
        <v>2</v>
      </c>
      <c r="AF18" s="171">
        <f>IFERROR(GETPIVOTDATA("Sum of Qty",[2]IQOO!$A$6,"ID Store",$C18),0)</f>
        <v>0</v>
      </c>
      <c r="AG18" s="172">
        <f t="shared" si="2"/>
        <v>-2</v>
      </c>
      <c r="AH18" s="173">
        <f t="shared" si="3"/>
        <v>-1</v>
      </c>
      <c r="AI18" s="174">
        <f>IFERROR(GETPIVOTDATA("Sum of Qty",'[2]DATA LAST MONTH DEVICE'!$A$6,"ID Store",$C18),0)</f>
        <v>11</v>
      </c>
      <c r="AJ18" s="147">
        <f t="shared" si="35"/>
        <v>7</v>
      </c>
      <c r="AK18" s="175">
        <f t="shared" si="4"/>
        <v>-4</v>
      </c>
      <c r="AL18" s="176">
        <f t="shared" si="5"/>
        <v>-0.36363636363636365</v>
      </c>
      <c r="AM18" s="177">
        <f>IFERROR(GETPIVOTDATA("Sum of Qty",'[2]Store 3mio+ last month'!$A$6,"ID Store",$C18),0)</f>
        <v>35</v>
      </c>
      <c r="AN18" s="145">
        <f t="shared" si="36"/>
        <v>30</v>
      </c>
      <c r="AO18" s="172">
        <f t="shared" si="6"/>
        <v>-5</v>
      </c>
      <c r="AP18" s="178">
        <f t="shared" si="7"/>
        <v>-0.14285714285714285</v>
      </c>
      <c r="AQ18" s="177">
        <f>IFERROR(GETPIVOTDATA("Sum of Qty",'[2]DATA LAST MONTH DEVICE'!$A$6,"ID Store",$C18,"Segment Price","3mio&gt;"),0)</f>
        <v>6</v>
      </c>
      <c r="AR18" s="179">
        <f t="shared" si="8"/>
        <v>4</v>
      </c>
      <c r="AS18" s="179">
        <f t="shared" si="9"/>
        <v>-2</v>
      </c>
      <c r="AT18" s="173">
        <f t="shared" si="10"/>
        <v>-0.33333333333333331</v>
      </c>
      <c r="AU18" s="180">
        <f>IFERROR(GETPIVOTDATA("Sum of SRP",'[2]DATA LAST MONTH DEVICE'!$A$6,"ID Store",$C18),0)</f>
        <v>66189000</v>
      </c>
      <c r="AV18" s="180">
        <f t="shared" si="37"/>
        <v>27993000</v>
      </c>
      <c r="AW18" s="181">
        <f t="shared" si="11"/>
        <v>-38196000</v>
      </c>
      <c r="AX18" s="182">
        <f t="shared" si="12"/>
        <v>-0.57707474051579566</v>
      </c>
      <c r="AY18" s="183">
        <f>IFERROR(VLOOKUP(C18,'[2]DATA SALES LAST MONTH'!A:E,5,0),0)</f>
        <v>6017181.8181818184</v>
      </c>
      <c r="AZ18" s="153">
        <f t="shared" si="38"/>
        <v>3999000</v>
      </c>
      <c r="BA18" s="184">
        <f t="shared" si="13"/>
        <v>-2018181.8181818184</v>
      </c>
      <c r="BB18" s="173">
        <f t="shared" si="14"/>
        <v>-0.33540316366767892</v>
      </c>
      <c r="BC18" s="154">
        <f>_xlfn.XLOOKUP(D:D,'[2]Target store'!C:C,'[2]Target store'!J:J,0)</f>
        <v>5</v>
      </c>
      <c r="BD18" s="185">
        <f>IFERROR(GETPIVOTDATA("Sum of Qty",[2]ACC!$A$5,"ID Store",$C18),0)</f>
        <v>1</v>
      </c>
      <c r="BE18" s="178">
        <f t="shared" si="15"/>
        <v>0.2</v>
      </c>
      <c r="BF18" s="155">
        <f>_xlfn.XLOOKUP(D:D,'[2]Target store'!C:C,'[2]Target store'!K:K,0)</f>
        <v>900000</v>
      </c>
      <c r="BG18" s="186">
        <f>IFERROR(GETPIVOTDATA("Sum of SRP",'[2]Insurance by Store'!$A$5,"ID Store",$C18,"Product Type","Qoala"),0)</f>
        <v>329000</v>
      </c>
      <c r="BH18" s="178">
        <f t="shared" si="16"/>
        <v>0.36555555555555558</v>
      </c>
      <c r="BI18" s="155">
        <f>_xlfn.XLOOKUP(D:D,'[2]Target store'!C:C,'[2]Target store'!L:L,0)</f>
        <v>200000</v>
      </c>
      <c r="BJ18" s="186">
        <f>IFERROR(GETPIVOTDATA("Sum of SRP",'[2]Insurance by Store'!$A$5,"ID Store",$C18,"Product Type","Vivo Care"),0)</f>
        <v>0</v>
      </c>
      <c r="BK18" s="178">
        <f t="shared" si="17"/>
        <v>0</v>
      </c>
      <c r="BL18" s="145">
        <f>_xlfn.XLOOKUP(D:D,'[2]Target store'!C:C,'[2]Target store'!M:M,0)</f>
        <v>400000</v>
      </c>
      <c r="BM18" s="177">
        <f>IFERROR(GETPIVOTDATA("Sum of Qty",'[2]Operator by Store'!$A$5,"ID Store",$C18,"Product Type","Indosat"),0)</f>
        <v>0</v>
      </c>
      <c r="BN18" s="178">
        <f t="shared" si="18"/>
        <v>0</v>
      </c>
      <c r="BO18" s="145">
        <f>_xlfn.XLOOKUP(D:D,'[2]Target store'!C:C,'[2]Target store'!N:N,0)</f>
        <v>600000</v>
      </c>
      <c r="BP18" s="177">
        <f>IFERROR(GETPIVOTDATA("Sum of Qty",'[2]Operator by Store'!$A$5,"ID Store",$C18,"Product Type","Telkomsel"),0)</f>
        <v>0</v>
      </c>
      <c r="BQ18" s="187">
        <f t="shared" si="19"/>
        <v>0</v>
      </c>
    </row>
    <row r="19" spans="1:69" ht="17" thickBot="1" x14ac:dyDescent="0.25">
      <c r="A19" s="157">
        <v>15</v>
      </c>
      <c r="B19" s="158" t="s">
        <v>49</v>
      </c>
      <c r="C19" s="159">
        <v>6050701</v>
      </c>
      <c r="D19" s="188" t="str">
        <f>IFERROR(INDEX('[2]Target store'!$C$5:$C$47,MATCH($C19&amp;"-*",'[2]Target store'!$C$5:$C$47,0)),"NOT FOUND")</f>
        <v>6050701-BCP VS X6 DS0824</v>
      </c>
      <c r="E19" s="188" t="s">
        <v>50</v>
      </c>
      <c r="F19" s="161">
        <v>2</v>
      </c>
      <c r="G19" s="128">
        <f>_xlfn.XLOOKUP(D:D,'[2]Target store'!C:C,'[2]Target store'!F:F,0)</f>
        <v>60</v>
      </c>
      <c r="H19" s="162">
        <f>_xlfn.XLOOKUP(D:D,'[2]Target store'!C:C,'[2]Target store'!G:G,0)</f>
        <v>280000000</v>
      </c>
      <c r="I19" s="163">
        <f>IFERROR(GETPIVOTDATA("Sum of SRP",'[2]DEVICE &amp; VALUE'!$A$6,"ID Store",$C19),0)</f>
        <v>81684000</v>
      </c>
      <c r="J19" s="164">
        <f t="shared" si="20"/>
        <v>0.29172857142857145</v>
      </c>
      <c r="K19" s="165">
        <f t="shared" si="21"/>
        <v>-198316000</v>
      </c>
      <c r="L19" s="133">
        <f>IFERROR(GETPIVOTDATA("Sum of Qty",[2]PF!$A$5,"ID Store",$C19),0)</f>
        <v>4</v>
      </c>
      <c r="M19" s="134">
        <f>IFERROR(GETPIVOTDATA("Sum of Qty",'[2]DEVICE &amp; VALUE'!$A$6,"ID Store",$C19,"Segment Price","3mio&gt;"),0)</f>
        <v>10</v>
      </c>
      <c r="N19" s="135">
        <f t="shared" si="22"/>
        <v>0.625</v>
      </c>
      <c r="O19" s="136">
        <f>IFERROR(GETPIVOTDATA("Sum of Qty",[2]IQOO!$A$6,"ID Store",$C19),0)</f>
        <v>1</v>
      </c>
      <c r="P19" s="135">
        <f t="shared" si="23"/>
        <v>6.25E-2</v>
      </c>
      <c r="Q19" s="137">
        <f t="shared" si="24"/>
        <v>0.625</v>
      </c>
      <c r="R19" s="136">
        <f>IFERROR(GETPIVOTDATA("Sum of Qty",'[2]DEVICE &amp; VALUE'!$A$6,"ID Store",$C19),0)</f>
        <v>16</v>
      </c>
      <c r="S19" s="136">
        <f t="shared" si="25"/>
        <v>0.26666666666666666</v>
      </c>
      <c r="T19" s="136">
        <f t="shared" si="26"/>
        <v>-44</v>
      </c>
      <c r="U19" s="166">
        <f t="shared" si="27"/>
        <v>350074285.71428567</v>
      </c>
      <c r="V19" s="164">
        <f t="shared" si="28"/>
        <v>1.2502653061224489</v>
      </c>
      <c r="W19" s="167">
        <f t="shared" si="29"/>
        <v>70074285.714285672</v>
      </c>
      <c r="X19" s="168">
        <f t="shared" si="0"/>
        <v>42.857142857142861</v>
      </c>
      <c r="Y19" s="169">
        <f t="shared" si="1"/>
        <v>-17.142857142857139</v>
      </c>
      <c r="Z19" s="169">
        <f t="shared" si="30"/>
        <v>68.571428571428569</v>
      </c>
      <c r="AA19" s="169">
        <f t="shared" si="31"/>
        <v>8.5714285714285694</v>
      </c>
      <c r="AB19" s="169">
        <f t="shared" si="32"/>
        <v>1.1428571428571428</v>
      </c>
      <c r="AC19" s="239">
        <f t="shared" si="33"/>
        <v>1.9130434782608696</v>
      </c>
      <c r="AD19" s="142">
        <f t="shared" si="34"/>
        <v>8622434.7826086953</v>
      </c>
      <c r="AE19" s="170">
        <f>IFERROR(GETPIVOTDATA("Sum of Qty",'[2]DATA LAST MONTH IQOO'!$A$6,"ID Store",$C19),0)</f>
        <v>2</v>
      </c>
      <c r="AF19" s="171">
        <f>IFERROR(GETPIVOTDATA("Sum of Qty",[2]IQOO!$A$6,"ID Store",$C19),0)</f>
        <v>1</v>
      </c>
      <c r="AG19" s="172">
        <f t="shared" si="2"/>
        <v>-1</v>
      </c>
      <c r="AH19" s="173">
        <f t="shared" si="3"/>
        <v>-0.5</v>
      </c>
      <c r="AI19" s="174">
        <f>IFERROR(GETPIVOTDATA("Sum of Qty",'[2]DATA LAST MONTH DEVICE'!$A$6,"ID Store",$C19),0)</f>
        <v>11</v>
      </c>
      <c r="AJ19" s="147">
        <f t="shared" si="35"/>
        <v>16</v>
      </c>
      <c r="AK19" s="175">
        <f t="shared" si="4"/>
        <v>5</v>
      </c>
      <c r="AL19" s="176">
        <f t="shared" si="5"/>
        <v>0.45454545454545453</v>
      </c>
      <c r="AM19" s="177">
        <f>IFERROR(GETPIVOTDATA("Sum of Qty",'[2]Store 3mio+ last month'!$A$6,"ID Store",$C19),0)</f>
        <v>43</v>
      </c>
      <c r="AN19" s="145">
        <f t="shared" si="36"/>
        <v>68.571428571428569</v>
      </c>
      <c r="AO19" s="172">
        <f t="shared" si="6"/>
        <v>25.571428571428569</v>
      </c>
      <c r="AP19" s="178">
        <f t="shared" si="7"/>
        <v>0.5946843853820597</v>
      </c>
      <c r="AQ19" s="177">
        <f>IFERROR(GETPIVOTDATA("Sum of Qty",'[2]DATA LAST MONTH DEVICE'!$A$6,"ID Store",$C19,"Segment Price","3mio&gt;"),0)</f>
        <v>6</v>
      </c>
      <c r="AR19" s="179">
        <f t="shared" si="8"/>
        <v>10</v>
      </c>
      <c r="AS19" s="179">
        <f t="shared" si="9"/>
        <v>4</v>
      </c>
      <c r="AT19" s="173">
        <f t="shared" si="10"/>
        <v>0.66666666666666663</v>
      </c>
      <c r="AU19" s="180">
        <f>IFERROR(GETPIVOTDATA("Sum of SRP",'[2]DATA LAST MONTH DEVICE'!$A$6,"ID Store",$C19),0)</f>
        <v>53189000</v>
      </c>
      <c r="AV19" s="180">
        <f t="shared" si="37"/>
        <v>81684000</v>
      </c>
      <c r="AW19" s="181">
        <f t="shared" si="11"/>
        <v>28495000</v>
      </c>
      <c r="AX19" s="182">
        <f t="shared" si="12"/>
        <v>0.53573107221417959</v>
      </c>
      <c r="AY19" s="183">
        <f>IFERROR(VLOOKUP(C19,'[2]DATA SALES LAST MONTH'!A:E,5,0),0)</f>
        <v>4835363.6363636367</v>
      </c>
      <c r="AZ19" s="153">
        <f t="shared" si="38"/>
        <v>5105249.9999999991</v>
      </c>
      <c r="BA19" s="184">
        <f t="shared" si="13"/>
        <v>269886.36363636237</v>
      </c>
      <c r="BB19" s="173">
        <f t="shared" si="14"/>
        <v>5.5815112147248228E-2</v>
      </c>
      <c r="BC19" s="154">
        <f>_xlfn.XLOOKUP(D:D,'[2]Target store'!C:C,'[2]Target store'!J:J,0)</f>
        <v>6</v>
      </c>
      <c r="BD19" s="185">
        <f>IFERROR(GETPIVOTDATA("Sum of Qty",[2]ACC!$A$5,"ID Store",$C19),0)</f>
        <v>3</v>
      </c>
      <c r="BE19" s="178">
        <f t="shared" si="15"/>
        <v>0.5</v>
      </c>
      <c r="BF19" s="155">
        <f>_xlfn.XLOOKUP(D:D,'[2]Target store'!C:C,'[2]Target store'!K:K,0)</f>
        <v>1260000</v>
      </c>
      <c r="BG19" s="186">
        <f>IFERROR(GETPIVOTDATA("Sum of SRP",'[2]Insurance by Store'!$A$5,"ID Store",$C19,"Product Type","Qoala"),0)</f>
        <v>0</v>
      </c>
      <c r="BH19" s="178">
        <f t="shared" si="16"/>
        <v>0</v>
      </c>
      <c r="BI19" s="155">
        <f>_xlfn.XLOOKUP(D:D,'[2]Target store'!C:C,'[2]Target store'!L:L,0)</f>
        <v>280000</v>
      </c>
      <c r="BJ19" s="186">
        <f>IFERROR(GETPIVOTDATA("Sum of SRP",'[2]Insurance by Store'!$A$5,"ID Store",$C19,"Product Type","Vivo Care"),0)</f>
        <v>0</v>
      </c>
      <c r="BK19" s="178">
        <f t="shared" si="17"/>
        <v>0</v>
      </c>
      <c r="BL19" s="145">
        <f>_xlfn.XLOOKUP(D:D,'[2]Target store'!C:C,'[2]Target store'!M:M,0)</f>
        <v>560000</v>
      </c>
      <c r="BM19" s="177">
        <f>IFERROR(GETPIVOTDATA("Sum of Qty",'[2]Operator by Store'!$A$5,"ID Store",$C19,"Product Type","Indosat"),0)</f>
        <v>0</v>
      </c>
      <c r="BN19" s="178">
        <f t="shared" si="18"/>
        <v>0</v>
      </c>
      <c r="BO19" s="145">
        <f>_xlfn.XLOOKUP(D:D,'[2]Target store'!C:C,'[2]Target store'!N:N,0)</f>
        <v>840000</v>
      </c>
      <c r="BP19" s="177">
        <f>IFERROR(GETPIVOTDATA("Sum of Qty",'[2]Operator by Store'!$A$5,"ID Store",$C19,"Product Type","Telkomsel"),0)</f>
        <v>0</v>
      </c>
      <c r="BQ19" s="187">
        <f t="shared" si="19"/>
        <v>0</v>
      </c>
    </row>
    <row r="20" spans="1:69" ht="17" thickBot="1" x14ac:dyDescent="0.25">
      <c r="A20" s="157">
        <v>16</v>
      </c>
      <c r="B20" s="158" t="s">
        <v>49</v>
      </c>
      <c r="C20" s="159">
        <v>6220701</v>
      </c>
      <c r="D20" s="188" t="str">
        <f>IFERROR(INDEX('[2]Target store'!$C$5:$C$47,MATCH($C20&amp;"-*",'[2]Target store'!$C$5:$C$47,0)),"NOT FOUND")</f>
        <v>6220701-MBH-VIP VIVO STORE-DD284</v>
      </c>
      <c r="E20" s="188" t="s">
        <v>50</v>
      </c>
      <c r="F20" s="161">
        <v>2</v>
      </c>
      <c r="G20" s="128">
        <f>_xlfn.XLOOKUP(D:D,'[2]Target store'!C:C,'[2]Target store'!F:F,0)</f>
        <v>70</v>
      </c>
      <c r="H20" s="162">
        <f>_xlfn.XLOOKUP(D:D,'[2]Target store'!C:C,'[2]Target store'!G:G,0)</f>
        <v>300000000</v>
      </c>
      <c r="I20" s="163">
        <f>IFERROR(GETPIVOTDATA("Sum of SRP",'[2]DEVICE &amp; VALUE'!$A$6,"ID Store",$C20),0)</f>
        <v>61185000</v>
      </c>
      <c r="J20" s="164">
        <f t="shared" si="20"/>
        <v>0.20394999999999999</v>
      </c>
      <c r="K20" s="165">
        <f t="shared" si="21"/>
        <v>-238815000</v>
      </c>
      <c r="L20" s="133">
        <f>IFERROR(GETPIVOTDATA("Sum of Qty",[2]PF!$A$5,"ID Store",$C20),0)</f>
        <v>8</v>
      </c>
      <c r="M20" s="134">
        <f>IFERROR(GETPIVOTDATA("Sum of Qty",'[2]DEVICE &amp; VALUE'!$A$6,"ID Store",$C20,"Segment Price","3mio&gt;"),0)</f>
        <v>11</v>
      </c>
      <c r="N20" s="135">
        <f t="shared" si="22"/>
        <v>0.73333333333333328</v>
      </c>
      <c r="O20" s="136">
        <f>IFERROR(GETPIVOTDATA("Sum of Qty",[2]IQOO!$A$6,"ID Store",$C20),0)</f>
        <v>0</v>
      </c>
      <c r="P20" s="135">
        <f t="shared" si="23"/>
        <v>0</v>
      </c>
      <c r="Q20" s="137">
        <f t="shared" si="24"/>
        <v>0.73333333333333328</v>
      </c>
      <c r="R20" s="136">
        <f>IFERROR(GETPIVOTDATA("Sum of Qty",'[2]DEVICE &amp; VALUE'!$A$6,"ID Store",$C20),0)</f>
        <v>15</v>
      </c>
      <c r="S20" s="136">
        <f t="shared" si="25"/>
        <v>0.21428571428571427</v>
      </c>
      <c r="T20" s="136">
        <f t="shared" si="26"/>
        <v>-55</v>
      </c>
      <c r="U20" s="166">
        <f t="shared" si="27"/>
        <v>262221428.57142857</v>
      </c>
      <c r="V20" s="164">
        <f t="shared" si="28"/>
        <v>0.87407142857142861</v>
      </c>
      <c r="W20" s="167">
        <f t="shared" si="29"/>
        <v>-37778571.428571433</v>
      </c>
      <c r="X20" s="168">
        <f t="shared" si="0"/>
        <v>47.142857142857139</v>
      </c>
      <c r="Y20" s="169">
        <f t="shared" si="1"/>
        <v>-22.857142857142861</v>
      </c>
      <c r="Z20" s="169">
        <f t="shared" si="30"/>
        <v>64.285714285714278</v>
      </c>
      <c r="AA20" s="169">
        <f t="shared" si="31"/>
        <v>-5.7142857142857224</v>
      </c>
      <c r="AB20" s="169">
        <f t="shared" si="32"/>
        <v>0.91836734693877542</v>
      </c>
      <c r="AC20" s="239">
        <f t="shared" si="33"/>
        <v>2.3913043478260869</v>
      </c>
      <c r="AD20" s="142">
        <f t="shared" si="34"/>
        <v>10383260.869565217</v>
      </c>
      <c r="AE20" s="170">
        <f>IFERROR(GETPIVOTDATA("Sum of Qty",'[2]DATA LAST MONTH IQOO'!$A$6,"ID Store",$C20),0)</f>
        <v>1</v>
      </c>
      <c r="AF20" s="171">
        <f>IFERROR(GETPIVOTDATA("Sum of Qty",[2]IQOO!$A$6,"ID Store",$C20),0)</f>
        <v>0</v>
      </c>
      <c r="AG20" s="172">
        <f t="shared" si="2"/>
        <v>-1</v>
      </c>
      <c r="AH20" s="173">
        <f t="shared" si="3"/>
        <v>-1</v>
      </c>
      <c r="AI20" s="174">
        <f>IFERROR(GETPIVOTDATA("Sum of Qty",'[2]DATA LAST MONTH DEVICE'!$A$6,"ID Store",$C20),0)</f>
        <v>12</v>
      </c>
      <c r="AJ20" s="147">
        <f t="shared" si="35"/>
        <v>15</v>
      </c>
      <c r="AK20" s="175">
        <f t="shared" si="4"/>
        <v>3</v>
      </c>
      <c r="AL20" s="176">
        <f t="shared" si="5"/>
        <v>0.25</v>
      </c>
      <c r="AM20" s="177">
        <f>IFERROR(GETPIVOTDATA("Sum of Qty",'[2]Store 3mio+ last month'!$A$6,"ID Store",$C20),0)</f>
        <v>66</v>
      </c>
      <c r="AN20" s="145">
        <f t="shared" si="36"/>
        <v>64.285714285714278</v>
      </c>
      <c r="AO20" s="172">
        <f t="shared" si="6"/>
        <v>-1.7142857142857224</v>
      </c>
      <c r="AP20" s="178">
        <f t="shared" si="7"/>
        <v>-2.5974025974026097E-2</v>
      </c>
      <c r="AQ20" s="177">
        <f>IFERROR(GETPIVOTDATA("Sum of Qty",'[2]DATA LAST MONTH DEVICE'!$A$6,"ID Store",$C20,"Segment Price","3mio&gt;"),0)</f>
        <v>4</v>
      </c>
      <c r="AR20" s="179">
        <f t="shared" si="8"/>
        <v>11</v>
      </c>
      <c r="AS20" s="179">
        <f t="shared" si="9"/>
        <v>7</v>
      </c>
      <c r="AT20" s="173">
        <f t="shared" si="10"/>
        <v>1.75</v>
      </c>
      <c r="AU20" s="180">
        <f>IFERROR(GETPIVOTDATA("Sum of SRP",'[2]DATA LAST MONTH DEVICE'!$A$6,"ID Store",$C20),0)</f>
        <v>42988000</v>
      </c>
      <c r="AV20" s="180">
        <f t="shared" si="37"/>
        <v>61185000</v>
      </c>
      <c r="AW20" s="181">
        <f t="shared" si="11"/>
        <v>18197000</v>
      </c>
      <c r="AX20" s="182">
        <f t="shared" si="12"/>
        <v>0.42330417791011443</v>
      </c>
      <c r="AY20" s="183">
        <f>IFERROR(VLOOKUP(C20,'[2]DATA SALES LAST MONTH'!A:E,5,0),0)</f>
        <v>3582333.3333333335</v>
      </c>
      <c r="AZ20" s="153">
        <f t="shared" si="38"/>
        <v>4079000.0000000005</v>
      </c>
      <c r="BA20" s="184">
        <f t="shared" si="13"/>
        <v>496666.66666666698</v>
      </c>
      <c r="BB20" s="173">
        <f t="shared" si="14"/>
        <v>0.13864334232809164</v>
      </c>
      <c r="BC20" s="154">
        <f>_xlfn.XLOOKUP(D:D,'[2]Target store'!C:C,'[2]Target store'!J:J,0)</f>
        <v>7</v>
      </c>
      <c r="BD20" s="185">
        <f>IFERROR(GETPIVOTDATA("Sum of Qty",[2]ACC!$A$5,"ID Store",$C20),0)</f>
        <v>7</v>
      </c>
      <c r="BE20" s="178">
        <f t="shared" si="15"/>
        <v>1</v>
      </c>
      <c r="BF20" s="155">
        <f>_xlfn.XLOOKUP(D:D,'[2]Target store'!C:C,'[2]Target store'!K:K,0)</f>
        <v>1350000</v>
      </c>
      <c r="BG20" s="186">
        <f>IFERROR(GETPIVOTDATA("Sum of SRP",'[2]Insurance by Store'!$A$5,"ID Store",$C20,"Product Type","Qoala"),0)</f>
        <v>0</v>
      </c>
      <c r="BH20" s="178">
        <f t="shared" si="16"/>
        <v>0</v>
      </c>
      <c r="BI20" s="155">
        <f>_xlfn.XLOOKUP(D:D,'[2]Target store'!C:C,'[2]Target store'!L:L,0)</f>
        <v>300000</v>
      </c>
      <c r="BJ20" s="186">
        <f>IFERROR(GETPIVOTDATA("Sum of SRP",'[2]Insurance by Store'!$A$5,"ID Store",$C20,"Product Type","Vivo Care"),0)</f>
        <v>0</v>
      </c>
      <c r="BK20" s="178">
        <f t="shared" si="17"/>
        <v>0</v>
      </c>
      <c r="BL20" s="145">
        <f>_xlfn.XLOOKUP(D:D,'[2]Target store'!C:C,'[2]Target store'!M:M,0)</f>
        <v>600000</v>
      </c>
      <c r="BM20" s="177">
        <f>IFERROR(GETPIVOTDATA("Sum of Qty",'[2]Operator by Store'!$A$5,"ID Store",$C20,"Product Type","Indosat"),0)</f>
        <v>0</v>
      </c>
      <c r="BN20" s="178">
        <f t="shared" si="18"/>
        <v>0</v>
      </c>
      <c r="BO20" s="145">
        <f>_xlfn.XLOOKUP(D:D,'[2]Target store'!C:C,'[2]Target store'!N:N,0)</f>
        <v>900000</v>
      </c>
      <c r="BP20" s="177">
        <f>IFERROR(GETPIVOTDATA("Sum of Qty",'[2]Operator by Store'!$A$5,"ID Store",$C20,"Product Type","Telkomsel"),0)</f>
        <v>0</v>
      </c>
      <c r="BQ20" s="187">
        <f t="shared" si="19"/>
        <v>0</v>
      </c>
    </row>
    <row r="21" spans="1:69" ht="17" thickBot="1" x14ac:dyDescent="0.25">
      <c r="A21" s="157">
        <v>17</v>
      </c>
      <c r="B21" s="158" t="s">
        <v>49</v>
      </c>
      <c r="C21" s="159">
        <v>6050705</v>
      </c>
      <c r="D21" s="188" t="str">
        <f>IFERROR(INDEX('[2]Target store'!$C$5:$C$47,MATCH($C21&amp;"-*",'[2]Target store'!$C$5:$C$47,0)),"NOT FOUND")</f>
        <v>6050705-MBH 2F009</v>
      </c>
      <c r="E21" s="188" t="s">
        <v>50</v>
      </c>
      <c r="F21" s="161">
        <v>1</v>
      </c>
      <c r="G21" s="128">
        <f>_xlfn.XLOOKUP(D:D,'[2]Target store'!C:C,'[2]Target store'!F:F,0)</f>
        <v>30</v>
      </c>
      <c r="H21" s="162">
        <f>_xlfn.XLOOKUP(D:D,'[2]Target store'!C:C,'[2]Target store'!G:G,0)</f>
        <v>120000000</v>
      </c>
      <c r="I21" s="163">
        <f>IFERROR(GETPIVOTDATA("Sum of SRP",'[2]DEVICE &amp; VALUE'!$A$6,"ID Store",$C21),0)</f>
        <v>43391000</v>
      </c>
      <c r="J21" s="164">
        <f t="shared" si="20"/>
        <v>0.36159166666666664</v>
      </c>
      <c r="K21" s="165">
        <f t="shared" si="21"/>
        <v>-76609000</v>
      </c>
      <c r="L21" s="133">
        <f>IFERROR(GETPIVOTDATA("Sum of Qty",[2]PF!$A$5,"ID Store",$C21),0)</f>
        <v>0</v>
      </c>
      <c r="M21" s="134">
        <f>IFERROR(GETPIVOTDATA("Sum of Qty",'[2]DEVICE &amp; VALUE'!$A$6,"ID Store",$C21,"Segment Price","3mio&gt;"),0)</f>
        <v>4</v>
      </c>
      <c r="N21" s="135">
        <f t="shared" si="22"/>
        <v>0.44444444444444442</v>
      </c>
      <c r="O21" s="136">
        <f>IFERROR(GETPIVOTDATA("Sum of Qty",[2]IQOO!$A$6,"ID Store",$C21),0)</f>
        <v>1</v>
      </c>
      <c r="P21" s="135">
        <f t="shared" si="23"/>
        <v>0.1111111111111111</v>
      </c>
      <c r="Q21" s="137">
        <f t="shared" si="24"/>
        <v>0.44444444444444442</v>
      </c>
      <c r="R21" s="136">
        <f>IFERROR(GETPIVOTDATA("Sum of Qty",'[2]DEVICE &amp; VALUE'!$A$6,"ID Store",$C21),0)</f>
        <v>9</v>
      </c>
      <c r="S21" s="136">
        <f t="shared" si="25"/>
        <v>0.3</v>
      </c>
      <c r="T21" s="136">
        <f t="shared" si="26"/>
        <v>-21</v>
      </c>
      <c r="U21" s="166">
        <f t="shared" si="27"/>
        <v>185961428.57142857</v>
      </c>
      <c r="V21" s="164">
        <f t="shared" si="28"/>
        <v>1.5496785714285715</v>
      </c>
      <c r="W21" s="167">
        <f t="shared" si="29"/>
        <v>65961428.571428567</v>
      </c>
      <c r="X21" s="168">
        <f t="shared" si="0"/>
        <v>17.142857142857142</v>
      </c>
      <c r="Y21" s="169">
        <f t="shared" si="1"/>
        <v>-12.857142857142858</v>
      </c>
      <c r="Z21" s="169">
        <f t="shared" si="30"/>
        <v>38.571428571428577</v>
      </c>
      <c r="AA21" s="169">
        <f t="shared" si="31"/>
        <v>8.5714285714285765</v>
      </c>
      <c r="AB21" s="169">
        <f t="shared" si="32"/>
        <v>1.2857142857142858</v>
      </c>
      <c r="AC21" s="239">
        <f t="shared" si="33"/>
        <v>0.91304347826086951</v>
      </c>
      <c r="AD21" s="142">
        <f t="shared" si="34"/>
        <v>3330826.086956522</v>
      </c>
      <c r="AE21" s="170">
        <f>IFERROR(GETPIVOTDATA("Sum of Qty",'[2]DATA LAST MONTH IQOO'!$A$6,"ID Store",$C21),0)</f>
        <v>1</v>
      </c>
      <c r="AF21" s="171">
        <f>IFERROR(GETPIVOTDATA("Sum of Qty",[2]IQOO!$A$6,"ID Store",$C21),0)</f>
        <v>1</v>
      </c>
      <c r="AG21" s="172">
        <f t="shared" si="2"/>
        <v>0</v>
      </c>
      <c r="AH21" s="173">
        <f t="shared" si="3"/>
        <v>0</v>
      </c>
      <c r="AI21" s="174">
        <f>IFERROR(GETPIVOTDATA("Sum of Qty",'[2]DATA LAST MONTH DEVICE'!$A$6,"ID Store",$C21),0)</f>
        <v>9</v>
      </c>
      <c r="AJ21" s="147">
        <f t="shared" si="35"/>
        <v>9</v>
      </c>
      <c r="AK21" s="175">
        <f t="shared" si="4"/>
        <v>0</v>
      </c>
      <c r="AL21" s="176">
        <f t="shared" si="5"/>
        <v>0</v>
      </c>
      <c r="AM21" s="177">
        <f>IFERROR(GETPIVOTDATA("Sum of Qty",'[2]Store 3mio+ last month'!$A$6,"ID Store",$C21),0)</f>
        <v>23</v>
      </c>
      <c r="AN21" s="145">
        <f t="shared" si="36"/>
        <v>38.571428571428577</v>
      </c>
      <c r="AO21" s="172">
        <f t="shared" si="6"/>
        <v>15.571428571428577</v>
      </c>
      <c r="AP21" s="178">
        <f t="shared" si="7"/>
        <v>0.67701863354037284</v>
      </c>
      <c r="AQ21" s="177">
        <f>IFERROR(GETPIVOTDATA("Sum of Qty",'[2]DATA LAST MONTH DEVICE'!$A$6,"ID Store",$C21,"Segment Price","3mio&gt;"),0)</f>
        <v>5</v>
      </c>
      <c r="AR21" s="179">
        <f t="shared" si="8"/>
        <v>4</v>
      </c>
      <c r="AS21" s="179">
        <f t="shared" si="9"/>
        <v>-1</v>
      </c>
      <c r="AT21" s="173">
        <f t="shared" si="10"/>
        <v>-0.2</v>
      </c>
      <c r="AU21" s="180">
        <f>IFERROR(GETPIVOTDATA("Sum of SRP",'[2]DATA LAST MONTH DEVICE'!$A$6,"ID Store",$C21),0)</f>
        <v>43391000</v>
      </c>
      <c r="AV21" s="180">
        <f t="shared" si="37"/>
        <v>43391000</v>
      </c>
      <c r="AW21" s="181">
        <f t="shared" si="11"/>
        <v>0</v>
      </c>
      <c r="AX21" s="182">
        <f t="shared" si="12"/>
        <v>0</v>
      </c>
      <c r="AY21" s="183">
        <f>IFERROR(VLOOKUP(C21,'[2]DATA SALES LAST MONTH'!A:E,5,0),0)</f>
        <v>0</v>
      </c>
      <c r="AZ21" s="153">
        <f t="shared" si="38"/>
        <v>4821222.2222222211</v>
      </c>
      <c r="BA21" s="184">
        <f t="shared" si="13"/>
        <v>4821222.2222222211</v>
      </c>
      <c r="BB21" s="173">
        <f t="shared" si="14"/>
        <v>0</v>
      </c>
      <c r="BC21" s="154">
        <f>_xlfn.XLOOKUP(D:D,'[2]Target store'!C:C,'[2]Target store'!J:J,0)</f>
        <v>3</v>
      </c>
      <c r="BD21" s="185">
        <f>IFERROR(GETPIVOTDATA("Sum of Qty",[2]ACC!$A$5,"ID Store",$C21),0)</f>
        <v>2</v>
      </c>
      <c r="BE21" s="178">
        <f t="shared" si="15"/>
        <v>0.66666666666666663</v>
      </c>
      <c r="BF21" s="155">
        <f>_xlfn.XLOOKUP(D:D,'[2]Target store'!C:C,'[2]Target store'!K:K,0)</f>
        <v>540000</v>
      </c>
      <c r="BG21" s="186">
        <f>IFERROR(GETPIVOTDATA("Sum of SRP",'[2]Insurance by Store'!$A$5,"ID Store",$C21,"Product Type","Qoala"),0)</f>
        <v>0</v>
      </c>
      <c r="BH21" s="178">
        <f t="shared" si="16"/>
        <v>0</v>
      </c>
      <c r="BI21" s="155">
        <f>_xlfn.XLOOKUP(D:D,'[2]Target store'!C:C,'[2]Target store'!L:L,0)</f>
        <v>120000</v>
      </c>
      <c r="BJ21" s="186">
        <f>IFERROR(GETPIVOTDATA("Sum of SRP",'[2]Insurance by Store'!$A$5,"ID Store",$C21,"Product Type","Vivo Care"),0)</f>
        <v>0</v>
      </c>
      <c r="BK21" s="178">
        <f t="shared" si="17"/>
        <v>0</v>
      </c>
      <c r="BL21" s="145">
        <f>_xlfn.XLOOKUP(D:D,'[2]Target store'!C:C,'[2]Target store'!M:M,0)</f>
        <v>240000</v>
      </c>
      <c r="BM21" s="177">
        <f>IFERROR(GETPIVOTDATA("Sum of Qty",'[2]Operator by Store'!$A$5,"ID Store",$C21,"Product Type","Indosat"),0)</f>
        <v>0</v>
      </c>
      <c r="BN21" s="178">
        <f t="shared" si="18"/>
        <v>0</v>
      </c>
      <c r="BO21" s="145">
        <f>_xlfn.XLOOKUP(D:D,'[2]Target store'!C:C,'[2]Target store'!N:N,0)</f>
        <v>360000</v>
      </c>
      <c r="BP21" s="177">
        <f>IFERROR(GETPIVOTDATA("Sum of Qty",'[2]Operator by Store'!$A$5,"ID Store",$C21,"Product Type","Telkomsel"),0)</f>
        <v>0</v>
      </c>
      <c r="BQ21" s="187">
        <f t="shared" si="19"/>
        <v>0</v>
      </c>
    </row>
    <row r="22" spans="1:69" ht="17" thickBot="1" x14ac:dyDescent="0.25">
      <c r="A22" s="157">
        <v>18</v>
      </c>
      <c r="B22" s="158" t="s">
        <v>49</v>
      </c>
      <c r="C22" s="159">
        <v>6050706</v>
      </c>
      <c r="D22" s="188" t="str">
        <f>IFERROR(INDEX('[2]Target store'!$C$5:$C$47,MATCH($C22&amp;"-*",'[2]Target store'!$C$5:$C$47,0)),"NOT FOUND")</f>
        <v>6050706-AEON MALL DELTAMAS 1F081</v>
      </c>
      <c r="E22" s="188" t="s">
        <v>50</v>
      </c>
      <c r="F22" s="161">
        <v>3</v>
      </c>
      <c r="G22" s="128">
        <f>_xlfn.XLOOKUP(D:D,'[2]Target store'!C:C,'[2]Target store'!F:F,0)</f>
        <v>30</v>
      </c>
      <c r="H22" s="162">
        <f>_xlfn.XLOOKUP(D:D,'[2]Target store'!C:C,'[2]Target store'!G:G,0)</f>
        <v>170000000</v>
      </c>
      <c r="I22" s="163">
        <f>IFERROR(GETPIVOTDATA("Sum of SRP",'[2]DEVICE &amp; VALUE'!$A$6,"ID Store",$C22),0)</f>
        <v>35593000</v>
      </c>
      <c r="J22" s="164">
        <f t="shared" si="20"/>
        <v>0.20937058823529411</v>
      </c>
      <c r="K22" s="165">
        <f t="shared" si="21"/>
        <v>-134407000</v>
      </c>
      <c r="L22" s="133">
        <f>IFERROR(GETPIVOTDATA("Sum of Qty",[2]PF!$A$5,"ID Store",$C22),0)</f>
        <v>2</v>
      </c>
      <c r="M22" s="134">
        <f>IFERROR(GETPIVOTDATA("Sum of Qty",'[2]DEVICE &amp; VALUE'!$A$6,"ID Store",$C22,"Segment Price","3mio&gt;"),0)</f>
        <v>4</v>
      </c>
      <c r="N22" s="135">
        <f t="shared" si="22"/>
        <v>0.5714285714285714</v>
      </c>
      <c r="O22" s="136">
        <f>IFERROR(GETPIVOTDATA("Sum of Qty",[2]IQOO!$A$6,"ID Store",$C22),0)</f>
        <v>0</v>
      </c>
      <c r="P22" s="135">
        <f t="shared" si="23"/>
        <v>0</v>
      </c>
      <c r="Q22" s="137">
        <f t="shared" si="24"/>
        <v>0.5714285714285714</v>
      </c>
      <c r="R22" s="136">
        <f>IFERROR(GETPIVOTDATA("Sum of Qty",'[2]DEVICE &amp; VALUE'!$A$6,"ID Store",$C22),0)</f>
        <v>7</v>
      </c>
      <c r="S22" s="136">
        <f t="shared" si="25"/>
        <v>0.23333333333333334</v>
      </c>
      <c r="T22" s="136">
        <f t="shared" si="26"/>
        <v>-23</v>
      </c>
      <c r="U22" s="166">
        <f t="shared" si="27"/>
        <v>152541428.57142857</v>
      </c>
      <c r="V22" s="164">
        <f t="shared" si="28"/>
        <v>0.89730252100840335</v>
      </c>
      <c r="W22" s="167">
        <f t="shared" si="29"/>
        <v>-17458571.428571433</v>
      </c>
      <c r="X22" s="168">
        <f t="shared" si="0"/>
        <v>17.142857142857142</v>
      </c>
      <c r="Y22" s="169">
        <f t="shared" si="1"/>
        <v>-12.857142857142858</v>
      </c>
      <c r="Z22" s="169">
        <f t="shared" si="30"/>
        <v>30</v>
      </c>
      <c r="AA22" s="169">
        <f t="shared" si="31"/>
        <v>0</v>
      </c>
      <c r="AB22" s="169">
        <f t="shared" si="32"/>
        <v>1</v>
      </c>
      <c r="AC22" s="239">
        <f t="shared" si="33"/>
        <v>1</v>
      </c>
      <c r="AD22" s="142">
        <f t="shared" si="34"/>
        <v>5843782.6086956523</v>
      </c>
      <c r="AE22" s="170">
        <f>IFERROR(GETPIVOTDATA("Sum of Qty",'[2]DATA LAST MONTH IQOO'!$A$6,"ID Store",$C22),0)</f>
        <v>0</v>
      </c>
      <c r="AF22" s="171">
        <f>IFERROR(GETPIVOTDATA("Sum of Qty",[2]IQOO!$A$6,"ID Store",$C22),0)</f>
        <v>0</v>
      </c>
      <c r="AG22" s="172">
        <f t="shared" si="2"/>
        <v>0</v>
      </c>
      <c r="AH22" s="173">
        <f t="shared" si="3"/>
        <v>0</v>
      </c>
      <c r="AI22" s="174">
        <f>IFERROR(GETPIVOTDATA("Sum of Qty",'[2]DATA LAST MONTH DEVICE'!$A$6,"ID Store",$C22),0)</f>
        <v>15</v>
      </c>
      <c r="AJ22" s="147">
        <f t="shared" si="35"/>
        <v>7</v>
      </c>
      <c r="AK22" s="175">
        <f t="shared" si="4"/>
        <v>-8</v>
      </c>
      <c r="AL22" s="176">
        <f t="shared" si="5"/>
        <v>-0.53333333333333333</v>
      </c>
      <c r="AM22" s="177">
        <f>IFERROR(GETPIVOTDATA("Sum of Qty",'[2]Store 3mio+ last month'!$A$6,"ID Store",$C22),0)</f>
        <v>44</v>
      </c>
      <c r="AN22" s="145">
        <f t="shared" si="36"/>
        <v>30</v>
      </c>
      <c r="AO22" s="172">
        <f t="shared" si="6"/>
        <v>-14</v>
      </c>
      <c r="AP22" s="178">
        <f t="shared" si="7"/>
        <v>-0.31818181818181818</v>
      </c>
      <c r="AQ22" s="177">
        <f>IFERROR(GETPIVOTDATA("Sum of Qty",'[2]DATA LAST MONTH DEVICE'!$A$6,"ID Store",$C22,"Segment Price","3mio&gt;"),0)</f>
        <v>3</v>
      </c>
      <c r="AR22" s="179">
        <f t="shared" si="8"/>
        <v>4</v>
      </c>
      <c r="AS22" s="179">
        <f t="shared" si="9"/>
        <v>1</v>
      </c>
      <c r="AT22" s="173">
        <f t="shared" si="10"/>
        <v>0.33333333333333331</v>
      </c>
      <c r="AU22" s="180">
        <f>IFERROR(GETPIVOTDATA("Sum of SRP",'[2]DATA LAST MONTH DEVICE'!$A$6,"ID Store",$C22),0)</f>
        <v>50285000</v>
      </c>
      <c r="AV22" s="180">
        <f t="shared" si="37"/>
        <v>35593000</v>
      </c>
      <c r="AW22" s="181">
        <f t="shared" si="11"/>
        <v>-14692000</v>
      </c>
      <c r="AX22" s="182">
        <f t="shared" si="12"/>
        <v>-0.29217460475290841</v>
      </c>
      <c r="AY22" s="183">
        <f>IFERROR(VLOOKUP(C22,'[2]DATA SALES LAST MONTH'!A:E,5,0),0)</f>
        <v>0</v>
      </c>
      <c r="AZ22" s="153">
        <f t="shared" si="38"/>
        <v>5084714.2857142854</v>
      </c>
      <c r="BA22" s="184">
        <f t="shared" si="13"/>
        <v>5084714.2857142854</v>
      </c>
      <c r="BB22" s="173">
        <f t="shared" si="14"/>
        <v>0</v>
      </c>
      <c r="BC22" s="154">
        <f>_xlfn.XLOOKUP(D:D,'[2]Target store'!C:C,'[2]Target store'!J:J,0)</f>
        <v>3</v>
      </c>
      <c r="BD22" s="185">
        <f>IFERROR(GETPIVOTDATA("Sum of Qty",[2]ACC!$A$5,"ID Store",$C22),0)</f>
        <v>2</v>
      </c>
      <c r="BE22" s="178">
        <f t="shared" si="15"/>
        <v>0.66666666666666663</v>
      </c>
      <c r="BF22" s="155">
        <f>_xlfn.XLOOKUP(D:D,'[2]Target store'!C:C,'[2]Target store'!K:K,0)</f>
        <v>765000</v>
      </c>
      <c r="BG22" s="186">
        <f>IFERROR(GETPIVOTDATA("Sum of SRP",'[2]Insurance by Store'!$A$5,"ID Store",$C22,"Product Type","Qoala"),0)</f>
        <v>249000</v>
      </c>
      <c r="BH22" s="178">
        <f t="shared" si="16"/>
        <v>0.32549019607843138</v>
      </c>
      <c r="BI22" s="155">
        <f>_xlfn.XLOOKUP(D:D,'[2]Target store'!C:C,'[2]Target store'!L:L,0)</f>
        <v>170000</v>
      </c>
      <c r="BJ22" s="186">
        <f>IFERROR(GETPIVOTDATA("Sum of SRP",'[2]Insurance by Store'!$A$5,"ID Store",$C22,"Product Type","Vivo Care"),0)</f>
        <v>0</v>
      </c>
      <c r="BK22" s="178">
        <f t="shared" si="17"/>
        <v>0</v>
      </c>
      <c r="BL22" s="145">
        <f>_xlfn.XLOOKUP(D:D,'[2]Target store'!C:C,'[2]Target store'!M:M,0)</f>
        <v>340000</v>
      </c>
      <c r="BM22" s="177">
        <f>IFERROR(GETPIVOTDATA("Sum of Qty",'[2]Operator by Store'!$A$5,"ID Store",$C22,"Product Type","Indosat"),0)</f>
        <v>0</v>
      </c>
      <c r="BN22" s="178">
        <f t="shared" si="18"/>
        <v>0</v>
      </c>
      <c r="BO22" s="145">
        <f>_xlfn.XLOOKUP(D:D,'[2]Target store'!C:C,'[2]Target store'!N:N,0)</f>
        <v>510000</v>
      </c>
      <c r="BP22" s="177">
        <f>IFERROR(GETPIVOTDATA("Sum of Qty",'[2]Operator by Store'!$A$5,"ID Store",$C22,"Product Type","Telkomsel"),0)</f>
        <v>0</v>
      </c>
      <c r="BQ22" s="187">
        <f t="shared" si="19"/>
        <v>0</v>
      </c>
    </row>
    <row r="23" spans="1:69" ht="17" thickBot="1" x14ac:dyDescent="0.25">
      <c r="A23" s="157">
        <v>19</v>
      </c>
      <c r="B23" s="158" t="s">
        <v>51</v>
      </c>
      <c r="C23" s="159">
        <v>6180706</v>
      </c>
      <c r="D23" s="188" t="str">
        <f>IFERROR(INDEX('[2]Target store'!$C$5:$C$47,MATCH($C23&amp;"-*",'[2]Target store'!$C$5:$C$47,0)),"NOT FOUND")</f>
        <v>6180706-MALL CCM VIVO STORE</v>
      </c>
      <c r="E23" s="188" t="s">
        <v>52</v>
      </c>
      <c r="F23" s="161">
        <v>3</v>
      </c>
      <c r="G23" s="128">
        <f>_xlfn.XLOOKUP(D:D,'[2]Target store'!C:C,'[2]Target store'!F:F,0)</f>
        <v>120</v>
      </c>
      <c r="H23" s="162">
        <f>_xlfn.XLOOKUP(D:D,'[2]Target store'!C:C,'[2]Target store'!G:G,0)</f>
        <v>550000000</v>
      </c>
      <c r="I23" s="163">
        <f>IFERROR(GETPIVOTDATA("Sum of SRP",'[2]DEVICE &amp; VALUE'!$A$6,"ID Store",$C23),0)</f>
        <v>78277000</v>
      </c>
      <c r="J23" s="164">
        <f t="shared" si="20"/>
        <v>0.14232181818181819</v>
      </c>
      <c r="K23" s="165">
        <f t="shared" si="21"/>
        <v>-471723000</v>
      </c>
      <c r="L23" s="133">
        <f>IFERROR(GETPIVOTDATA("Sum of Qty",[2]PF!$A$5,"ID Store",$C23),0)</f>
        <v>3</v>
      </c>
      <c r="M23" s="134">
        <f>IFERROR(GETPIVOTDATA("Sum of Qty",'[2]DEVICE &amp; VALUE'!$A$6,"ID Store",$C23,"Segment Price","3mio&gt;"),0)</f>
        <v>8</v>
      </c>
      <c r="N23" s="135">
        <f t="shared" si="22"/>
        <v>0.34782608695652173</v>
      </c>
      <c r="O23" s="136">
        <f>IFERROR(GETPIVOTDATA("Sum of Qty",[2]IQOO!$A$6,"ID Store",$C23),0)</f>
        <v>0</v>
      </c>
      <c r="P23" s="135">
        <f t="shared" si="23"/>
        <v>0</v>
      </c>
      <c r="Q23" s="137">
        <f t="shared" si="24"/>
        <v>0.34782608695652173</v>
      </c>
      <c r="R23" s="136">
        <f>IFERROR(GETPIVOTDATA("Sum of Qty",'[2]DEVICE &amp; VALUE'!$A$6,"ID Store",$C23),0)</f>
        <v>23</v>
      </c>
      <c r="S23" s="136">
        <f t="shared" si="25"/>
        <v>0.19166666666666668</v>
      </c>
      <c r="T23" s="136">
        <f t="shared" si="26"/>
        <v>-97</v>
      </c>
      <c r="U23" s="166">
        <f t="shared" si="27"/>
        <v>335472857.14285713</v>
      </c>
      <c r="V23" s="164">
        <f t="shared" si="28"/>
        <v>0.60995064935064935</v>
      </c>
      <c r="W23" s="167">
        <f t="shared" si="29"/>
        <v>-214527142.85714287</v>
      </c>
      <c r="X23" s="168">
        <f t="shared" si="0"/>
        <v>34.285714285714285</v>
      </c>
      <c r="Y23" s="169">
        <f t="shared" si="1"/>
        <v>-85.714285714285722</v>
      </c>
      <c r="Z23" s="169">
        <f t="shared" si="30"/>
        <v>98.571428571428569</v>
      </c>
      <c r="AA23" s="169">
        <f t="shared" si="31"/>
        <v>-21.428571428571431</v>
      </c>
      <c r="AB23" s="169">
        <f t="shared" si="32"/>
        <v>0.8214285714285714</v>
      </c>
      <c r="AC23" s="239">
        <f t="shared" si="33"/>
        <v>4.2173913043478262</v>
      </c>
      <c r="AD23" s="142">
        <f t="shared" si="34"/>
        <v>20509695.652173914</v>
      </c>
      <c r="AE23" s="170">
        <f>IFERROR(GETPIVOTDATA("Sum of Qty",'[2]DATA LAST MONTH IQOO'!$A$6,"ID Store",$C23),0)</f>
        <v>1</v>
      </c>
      <c r="AF23" s="171">
        <f>IFERROR(GETPIVOTDATA("Sum of Qty",[2]IQOO!$A$6,"ID Store",$C23),0)</f>
        <v>0</v>
      </c>
      <c r="AG23" s="172">
        <f t="shared" si="2"/>
        <v>-1</v>
      </c>
      <c r="AH23" s="173">
        <f t="shared" si="3"/>
        <v>-1</v>
      </c>
      <c r="AI23" s="174">
        <f>IFERROR(GETPIVOTDATA("Sum of Qty",'[2]DATA LAST MONTH DEVICE'!$A$6,"ID Store",$C23),0)</f>
        <v>27</v>
      </c>
      <c r="AJ23" s="147">
        <f t="shared" si="35"/>
        <v>23</v>
      </c>
      <c r="AK23" s="175">
        <f t="shared" si="4"/>
        <v>-4</v>
      </c>
      <c r="AL23" s="176">
        <f t="shared" si="5"/>
        <v>-0.14814814814814814</v>
      </c>
      <c r="AM23" s="177">
        <f>IFERROR(GETPIVOTDATA("Sum of Qty",'[2]Store 3mio+ last month'!$A$6,"ID Store",$C23),0)</f>
        <v>109</v>
      </c>
      <c r="AN23" s="145">
        <f t="shared" si="36"/>
        <v>98.571428571428569</v>
      </c>
      <c r="AO23" s="172">
        <f t="shared" si="6"/>
        <v>-10.428571428571431</v>
      </c>
      <c r="AP23" s="178">
        <f t="shared" si="7"/>
        <v>-9.5674967234600283E-2</v>
      </c>
      <c r="AQ23" s="177">
        <f>IFERROR(GETPIVOTDATA("Sum of Qty",'[2]DATA LAST MONTH DEVICE'!$A$6,"ID Store",$C23,"Segment Price","3mio&gt;"),0)</f>
        <v>9</v>
      </c>
      <c r="AR23" s="179">
        <f t="shared" si="8"/>
        <v>8</v>
      </c>
      <c r="AS23" s="179">
        <f t="shared" si="9"/>
        <v>-1</v>
      </c>
      <c r="AT23" s="173">
        <f t="shared" si="10"/>
        <v>-0.1111111111111111</v>
      </c>
      <c r="AU23" s="180">
        <f>IFERROR(GETPIVOTDATA("Sum of SRP",'[2]DATA LAST MONTH DEVICE'!$A$6,"ID Store",$C23),0)</f>
        <v>105273000</v>
      </c>
      <c r="AV23" s="180">
        <f t="shared" si="37"/>
        <v>78277000</v>
      </c>
      <c r="AW23" s="181">
        <f t="shared" si="11"/>
        <v>-26996000</v>
      </c>
      <c r="AX23" s="182">
        <f t="shared" si="12"/>
        <v>-0.25643802304484531</v>
      </c>
      <c r="AY23" s="183">
        <f>IFERROR(VLOOKUP(C23,'[2]DATA SALES LAST MONTH'!A:E,5,0),0)</f>
        <v>3899000</v>
      </c>
      <c r="AZ23" s="153">
        <f t="shared" si="38"/>
        <v>3403347.8260869565</v>
      </c>
      <c r="BA23" s="184">
        <f t="shared" si="13"/>
        <v>-495652.17391304346</v>
      </c>
      <c r="BB23" s="173">
        <f t="shared" si="14"/>
        <v>-0.12712289661786189</v>
      </c>
      <c r="BC23" s="154">
        <f>_xlfn.XLOOKUP(D:D,'[2]Target store'!C:C,'[2]Target store'!J:J,0)</f>
        <v>12</v>
      </c>
      <c r="BD23" s="185">
        <f>IFERROR(GETPIVOTDATA("Sum of Qty",[2]ACC!$A$5,"ID Store",$C23),0)</f>
        <v>12</v>
      </c>
      <c r="BE23" s="178">
        <f t="shared" si="15"/>
        <v>1</v>
      </c>
      <c r="BF23" s="155">
        <f>_xlfn.XLOOKUP(D:D,'[2]Target store'!C:C,'[2]Target store'!K:K,0)</f>
        <v>2475000</v>
      </c>
      <c r="BG23" s="186">
        <f>IFERROR(GETPIVOTDATA("Sum of SRP",'[2]Insurance by Store'!$A$5,"ID Store",$C23,"Product Type","Qoala"),0)</f>
        <v>647000</v>
      </c>
      <c r="BH23" s="178">
        <f t="shared" si="16"/>
        <v>0.26141414141414143</v>
      </c>
      <c r="BI23" s="155">
        <f>_xlfn.XLOOKUP(D:D,'[2]Target store'!C:C,'[2]Target store'!L:L,0)</f>
        <v>550000</v>
      </c>
      <c r="BJ23" s="186">
        <f>IFERROR(GETPIVOTDATA("Sum of SRP",'[2]Insurance by Store'!$A$5,"ID Store",$C23,"Product Type","Vivo Care"),0)</f>
        <v>0</v>
      </c>
      <c r="BK23" s="178">
        <f t="shared" si="17"/>
        <v>0</v>
      </c>
      <c r="BL23" s="145">
        <f>_xlfn.XLOOKUP(D:D,'[2]Target store'!C:C,'[2]Target store'!M:M,0)</f>
        <v>1100000</v>
      </c>
      <c r="BM23" s="177">
        <f>IFERROR(GETPIVOTDATA("Sum of Qty",'[2]Operator by Store'!$A$5,"ID Store",$C23,"Product Type","Indosat"),0)</f>
        <v>1</v>
      </c>
      <c r="BN23" s="178">
        <f t="shared" si="18"/>
        <v>9.0909090909090904E-7</v>
      </c>
      <c r="BO23" s="145">
        <f>_xlfn.XLOOKUP(D:D,'[2]Target store'!C:C,'[2]Target store'!N:N,0)</f>
        <v>1650000</v>
      </c>
      <c r="BP23" s="177">
        <f>IFERROR(GETPIVOTDATA("Sum of Qty",'[2]Operator by Store'!$A$5,"ID Store",$C23,"Product Type","Telkomsel"),0)</f>
        <v>0</v>
      </c>
      <c r="BQ23" s="187">
        <f t="shared" si="19"/>
        <v>0</v>
      </c>
    </row>
    <row r="24" spans="1:69" ht="17" thickBot="1" x14ac:dyDescent="0.25">
      <c r="A24" s="157">
        <v>20</v>
      </c>
      <c r="B24" s="158" t="s">
        <v>51</v>
      </c>
      <c r="C24" s="159">
        <v>6180707</v>
      </c>
      <c r="D24" s="188" t="str">
        <f>IFERROR(INDEX('[2]Target store'!$C$5:$C$47,MATCH($C24&amp;"-*",'[2]Target store'!$C$5:$C$47,0)),"NOT FOUND")</f>
        <v>6180707-BTM SC VIVO STORE</v>
      </c>
      <c r="E24" s="188" t="s">
        <v>52</v>
      </c>
      <c r="F24" s="161">
        <v>1</v>
      </c>
      <c r="G24" s="128">
        <f>_xlfn.XLOOKUP(D:D,'[2]Target store'!C:C,'[2]Target store'!F:F,0)</f>
        <v>30</v>
      </c>
      <c r="H24" s="162">
        <f>_xlfn.XLOOKUP(D:D,'[2]Target store'!C:C,'[2]Target store'!G:G,0)</f>
        <v>120000000</v>
      </c>
      <c r="I24" s="163">
        <f>IFERROR(GETPIVOTDATA("Sum of SRP",'[2]DEVICE &amp; VALUE'!$A$6,"ID Store",$C24),0)</f>
        <v>9397000</v>
      </c>
      <c r="J24" s="164">
        <f t="shared" si="20"/>
        <v>7.8308333333333327E-2</v>
      </c>
      <c r="K24" s="165">
        <f t="shared" si="21"/>
        <v>-110603000</v>
      </c>
      <c r="L24" s="133">
        <f>IFERROR(GETPIVOTDATA("Sum of Qty",[2]PF!$A$5,"ID Store",$C24),0)</f>
        <v>1</v>
      </c>
      <c r="M24" s="134">
        <f>IFERROR(GETPIVOTDATA("Sum of Qty",'[2]DEVICE &amp; VALUE'!$A$6,"ID Store",$C24,"Segment Price","3mio&gt;"),0)</f>
        <v>1</v>
      </c>
      <c r="N24" s="135">
        <f t="shared" si="22"/>
        <v>0.33333333333333331</v>
      </c>
      <c r="O24" s="136">
        <f>IFERROR(GETPIVOTDATA("Sum of Qty",[2]IQOO!$A$6,"ID Store",$C24),0)</f>
        <v>0</v>
      </c>
      <c r="P24" s="135">
        <f t="shared" si="23"/>
        <v>0</v>
      </c>
      <c r="Q24" s="137">
        <f t="shared" si="24"/>
        <v>0.33333333333333331</v>
      </c>
      <c r="R24" s="136">
        <f>IFERROR(GETPIVOTDATA("Sum of Qty",'[2]DEVICE &amp; VALUE'!$A$6,"ID Store",$C24),0)</f>
        <v>3</v>
      </c>
      <c r="S24" s="136">
        <f t="shared" si="25"/>
        <v>0.1</v>
      </c>
      <c r="T24" s="136">
        <f t="shared" si="26"/>
        <v>-27</v>
      </c>
      <c r="U24" s="166">
        <f t="shared" si="27"/>
        <v>40272857.142857142</v>
      </c>
      <c r="V24" s="164">
        <f t="shared" si="28"/>
        <v>0.33560714285714283</v>
      </c>
      <c r="W24" s="167">
        <f t="shared" si="29"/>
        <v>-79727142.857142866</v>
      </c>
      <c r="X24" s="168">
        <f t="shared" si="0"/>
        <v>4.2857142857142856</v>
      </c>
      <c r="Y24" s="169">
        <f t="shared" si="1"/>
        <v>-25.714285714285715</v>
      </c>
      <c r="Z24" s="169">
        <f t="shared" si="30"/>
        <v>12.857142857142856</v>
      </c>
      <c r="AA24" s="169">
        <f t="shared" si="31"/>
        <v>-17.142857142857146</v>
      </c>
      <c r="AB24" s="169">
        <f t="shared" si="32"/>
        <v>0.42857142857142855</v>
      </c>
      <c r="AC24" s="239">
        <f t="shared" si="33"/>
        <v>1.173913043478261</v>
      </c>
      <c r="AD24" s="142">
        <f t="shared" si="34"/>
        <v>4808826.0869565215</v>
      </c>
      <c r="AE24" s="170">
        <f>IFERROR(GETPIVOTDATA("Sum of Qty",'[2]DATA LAST MONTH IQOO'!$A$6,"ID Store",$C24),0)</f>
        <v>0</v>
      </c>
      <c r="AF24" s="171">
        <f>IFERROR(GETPIVOTDATA("Sum of Qty",[2]IQOO!$A$6,"ID Store",$C24),0)</f>
        <v>0</v>
      </c>
      <c r="AG24" s="172">
        <f t="shared" si="2"/>
        <v>0</v>
      </c>
      <c r="AH24" s="173">
        <f t="shared" si="3"/>
        <v>0</v>
      </c>
      <c r="AI24" s="174">
        <f>IFERROR(GETPIVOTDATA("Sum of Qty",'[2]DATA LAST MONTH DEVICE'!$A$6,"ID Store",$C24),0)</f>
        <v>3</v>
      </c>
      <c r="AJ24" s="147">
        <f t="shared" si="35"/>
        <v>3</v>
      </c>
      <c r="AK24" s="175">
        <f t="shared" si="4"/>
        <v>0</v>
      </c>
      <c r="AL24" s="176">
        <f t="shared" si="5"/>
        <v>0</v>
      </c>
      <c r="AM24" s="177">
        <f>IFERROR(GETPIVOTDATA("Sum of Qty",'[2]Store 3mio+ last month'!$A$6,"ID Store",$C24),0)</f>
        <v>27</v>
      </c>
      <c r="AN24" s="145">
        <f t="shared" si="36"/>
        <v>12.857142857142856</v>
      </c>
      <c r="AO24" s="172">
        <f t="shared" si="6"/>
        <v>-14.142857142857144</v>
      </c>
      <c r="AP24" s="178">
        <f t="shared" si="7"/>
        <v>-0.52380952380952384</v>
      </c>
      <c r="AQ24" s="177">
        <f>IFERROR(GETPIVOTDATA("Sum of Qty",'[2]DATA LAST MONTH DEVICE'!$A$6,"ID Store",$C24,"Segment Price","3mio&gt;"),0)</f>
        <v>1</v>
      </c>
      <c r="AR24" s="179">
        <f t="shared" si="8"/>
        <v>1</v>
      </c>
      <c r="AS24" s="179">
        <f t="shared" si="9"/>
        <v>0</v>
      </c>
      <c r="AT24" s="173">
        <f t="shared" si="10"/>
        <v>0</v>
      </c>
      <c r="AU24" s="180">
        <f>IFERROR(GETPIVOTDATA("Sum of SRP",'[2]DATA LAST MONTH DEVICE'!$A$6,"ID Store",$C24),0)</f>
        <v>10497000</v>
      </c>
      <c r="AV24" s="180">
        <f t="shared" si="37"/>
        <v>9397000</v>
      </c>
      <c r="AW24" s="181">
        <f t="shared" si="11"/>
        <v>-1100000</v>
      </c>
      <c r="AX24" s="182">
        <f t="shared" si="12"/>
        <v>-0.10479184528913023</v>
      </c>
      <c r="AY24" s="183">
        <f>IFERROR(VLOOKUP(C24,'[2]DATA SALES LAST MONTH'!A:E,5,0),0)</f>
        <v>3499000</v>
      </c>
      <c r="AZ24" s="153">
        <f t="shared" si="38"/>
        <v>3132333.3333333335</v>
      </c>
      <c r="BA24" s="184">
        <f t="shared" si="13"/>
        <v>-366666.66666666651</v>
      </c>
      <c r="BB24" s="173">
        <f t="shared" si="14"/>
        <v>-0.10479184528913019</v>
      </c>
      <c r="BC24" s="154">
        <f>_xlfn.XLOOKUP(D:D,'[2]Target store'!C:C,'[2]Target store'!J:J,0)</f>
        <v>3</v>
      </c>
      <c r="BD24" s="185">
        <f>IFERROR(GETPIVOTDATA("Sum of Qty",[2]ACC!$A$5,"ID Store",$C24),0)</f>
        <v>0</v>
      </c>
      <c r="BE24" s="178">
        <f t="shared" si="15"/>
        <v>0</v>
      </c>
      <c r="BF24" s="155">
        <f>_xlfn.XLOOKUP(D:D,'[2]Target store'!C:C,'[2]Target store'!K:K,0)</f>
        <v>100000</v>
      </c>
      <c r="BG24" s="186">
        <f>IFERROR(GETPIVOTDATA("Sum of SRP",'[2]Insurance by Store'!$A$5,"ID Store",$C24,"Product Type","Qoala"),0)</f>
        <v>0</v>
      </c>
      <c r="BH24" s="178">
        <f t="shared" si="16"/>
        <v>0</v>
      </c>
      <c r="BI24" s="155">
        <f>_xlfn.XLOOKUP(D:D,'[2]Target store'!C:C,'[2]Target store'!L:L,0)</f>
        <v>100000</v>
      </c>
      <c r="BJ24" s="186">
        <f>IFERROR(GETPIVOTDATA("Sum of SRP",'[2]Insurance by Store'!$A$5,"ID Store",$C24,"Product Type","Vivo Care"),0)</f>
        <v>0</v>
      </c>
      <c r="BK24" s="178">
        <f t="shared" si="17"/>
        <v>0</v>
      </c>
      <c r="BL24" s="145">
        <f>_xlfn.XLOOKUP(D:D,'[2]Target store'!C:C,'[2]Target store'!M:M,0)</f>
        <v>240000</v>
      </c>
      <c r="BM24" s="177">
        <f>IFERROR(GETPIVOTDATA("Sum of Qty",'[2]Operator by Store'!$A$5,"ID Store",$C24,"Product Type","Indosat"),0)</f>
        <v>0</v>
      </c>
      <c r="BN24" s="178">
        <f t="shared" si="18"/>
        <v>0</v>
      </c>
      <c r="BO24" s="145">
        <f>_xlfn.XLOOKUP(D:D,'[2]Target store'!C:C,'[2]Target store'!N:N,0)</f>
        <v>360000</v>
      </c>
      <c r="BP24" s="177">
        <f>IFERROR(GETPIVOTDATA("Sum of Qty",'[2]Operator by Store'!$A$5,"ID Store",$C24,"Product Type","Telkomsel"),0)</f>
        <v>0</v>
      </c>
      <c r="BQ24" s="187">
        <f t="shared" si="19"/>
        <v>0</v>
      </c>
    </row>
    <row r="25" spans="1:69" ht="17" thickBot="1" x14ac:dyDescent="0.25">
      <c r="A25" s="157">
        <v>21</v>
      </c>
      <c r="B25" s="158" t="s">
        <v>53</v>
      </c>
      <c r="C25" s="159">
        <v>6170707</v>
      </c>
      <c r="D25" s="189" t="str">
        <f>IFERROR(INDEX('[2]Target store'!$C$5:$C$47,MATCH($C25&amp;"-*",'[2]Target store'!$C$5:$C$47,0)),"NOT FOUND")</f>
        <v>6170707-TANGCITY LG BLOK D NO. 01D</v>
      </c>
      <c r="E25" s="189" t="s">
        <v>54</v>
      </c>
      <c r="F25" s="161">
        <v>2</v>
      </c>
      <c r="G25" s="128">
        <f>_xlfn.XLOOKUP(D:D,'[2]Target store'!C:C,'[2]Target store'!F:F,0)</f>
        <v>90</v>
      </c>
      <c r="H25" s="162">
        <f>_xlfn.XLOOKUP(D:D,'[2]Target store'!C:C,'[2]Target store'!G:G,0)</f>
        <v>300000000</v>
      </c>
      <c r="I25" s="163">
        <f>IFERROR(GETPIVOTDATA("Sum of SRP",'[2]DEVICE &amp; VALUE'!$A$6,"ID Store",$C25),0)</f>
        <v>75577000</v>
      </c>
      <c r="J25" s="164">
        <f t="shared" si="20"/>
        <v>0.25192333333333333</v>
      </c>
      <c r="K25" s="165">
        <f t="shared" si="21"/>
        <v>-224423000</v>
      </c>
      <c r="L25" s="133">
        <f>IFERROR(GETPIVOTDATA("Sum of Qty",[2]PF!$A$5,"ID Store",$C25),0)</f>
        <v>1</v>
      </c>
      <c r="M25" s="134">
        <f>IFERROR(GETPIVOTDATA("Sum of Qty",'[2]DEVICE &amp; VALUE'!$A$6,"ID Store",$C25,"Segment Price","3mio&gt;"),0)</f>
        <v>5</v>
      </c>
      <c r="N25" s="135">
        <f t="shared" si="22"/>
        <v>0.21739130434782608</v>
      </c>
      <c r="O25" s="136">
        <f>IFERROR(GETPIVOTDATA("Sum of Qty",[2]IQOO!$A$6,"ID Store",$C25),0)</f>
        <v>0</v>
      </c>
      <c r="P25" s="135">
        <f t="shared" si="23"/>
        <v>0</v>
      </c>
      <c r="Q25" s="137">
        <f t="shared" si="24"/>
        <v>0.21739130434782608</v>
      </c>
      <c r="R25" s="136">
        <f>IFERROR(GETPIVOTDATA("Sum of Qty",'[2]DEVICE &amp; VALUE'!$A$6,"ID Store",$C25),0)</f>
        <v>23</v>
      </c>
      <c r="S25" s="136">
        <f t="shared" si="25"/>
        <v>0.25555555555555554</v>
      </c>
      <c r="T25" s="136">
        <f t="shared" si="26"/>
        <v>-67</v>
      </c>
      <c r="U25" s="166">
        <f t="shared" si="27"/>
        <v>323901428.57142854</v>
      </c>
      <c r="V25" s="164">
        <f t="shared" si="28"/>
        <v>1.0796714285714284</v>
      </c>
      <c r="W25" s="167">
        <f t="shared" si="29"/>
        <v>23901428.571428537</v>
      </c>
      <c r="X25" s="168">
        <f t="shared" si="0"/>
        <v>21.428571428571431</v>
      </c>
      <c r="Y25" s="169">
        <f t="shared" si="1"/>
        <v>-68.571428571428569</v>
      </c>
      <c r="Z25" s="169">
        <f t="shared" si="30"/>
        <v>98.571428571428569</v>
      </c>
      <c r="AA25" s="169">
        <f t="shared" si="31"/>
        <v>8.5714285714285694</v>
      </c>
      <c r="AB25" s="169">
        <f t="shared" si="32"/>
        <v>1.0952380952380951</v>
      </c>
      <c r="AC25" s="239">
        <f t="shared" si="33"/>
        <v>2.9130434782608696</v>
      </c>
      <c r="AD25" s="142">
        <f t="shared" si="34"/>
        <v>9757521.7391304355</v>
      </c>
      <c r="AE25" s="170">
        <f>IFERROR(GETPIVOTDATA("Sum of Qty",'[2]DATA LAST MONTH IQOO'!$A$6,"ID Store",$C25),0)</f>
        <v>0</v>
      </c>
      <c r="AF25" s="171">
        <f>IFERROR(GETPIVOTDATA("Sum of Qty",[2]IQOO!$A$6,"ID Store",$C25),0)</f>
        <v>0</v>
      </c>
      <c r="AG25" s="172">
        <f t="shared" si="2"/>
        <v>0</v>
      </c>
      <c r="AH25" s="173">
        <f t="shared" si="3"/>
        <v>0</v>
      </c>
      <c r="AI25" s="174">
        <f>IFERROR(GETPIVOTDATA("Sum of Qty",'[2]DATA LAST MONTH DEVICE'!$A$6,"ID Store",$C25),0)</f>
        <v>16</v>
      </c>
      <c r="AJ25" s="147">
        <f t="shared" si="35"/>
        <v>23</v>
      </c>
      <c r="AK25" s="175">
        <f t="shared" si="4"/>
        <v>7</v>
      </c>
      <c r="AL25" s="176">
        <f t="shared" si="5"/>
        <v>0.4375</v>
      </c>
      <c r="AM25" s="177">
        <f>IFERROR(GETPIVOTDATA("Sum of Qty",'[2]Store 3mio+ last month'!$A$6,"ID Store",$C25),0)</f>
        <v>81</v>
      </c>
      <c r="AN25" s="145">
        <f t="shared" si="36"/>
        <v>98.571428571428569</v>
      </c>
      <c r="AO25" s="172">
        <f t="shared" si="6"/>
        <v>17.571428571428569</v>
      </c>
      <c r="AP25" s="178">
        <f t="shared" si="7"/>
        <v>0.21693121693121692</v>
      </c>
      <c r="AQ25" s="177">
        <f>IFERROR(GETPIVOTDATA("Sum of Qty",'[2]DATA LAST MONTH DEVICE'!$A$6,"ID Store",$C25,"Segment Price","3mio&gt;"),0)</f>
        <v>2</v>
      </c>
      <c r="AR25" s="179">
        <f t="shared" si="8"/>
        <v>5</v>
      </c>
      <c r="AS25" s="179">
        <f t="shared" si="9"/>
        <v>3</v>
      </c>
      <c r="AT25" s="173">
        <f t="shared" si="10"/>
        <v>1.5</v>
      </c>
      <c r="AU25" s="180">
        <f>IFERROR(GETPIVOTDATA("Sum of SRP",'[2]DATA LAST MONTH DEVICE'!$A$6,"ID Store",$C25),0)</f>
        <v>46684000</v>
      </c>
      <c r="AV25" s="180">
        <f t="shared" si="37"/>
        <v>75577000</v>
      </c>
      <c r="AW25" s="181">
        <f t="shared" si="11"/>
        <v>28893000</v>
      </c>
      <c r="AX25" s="182">
        <f t="shared" si="12"/>
        <v>0.61890583497558049</v>
      </c>
      <c r="AY25" s="183">
        <f>IFERROR(VLOOKUP(C25,'[2]DATA SALES LAST MONTH'!A:E,5,0),0)</f>
        <v>2917750</v>
      </c>
      <c r="AZ25" s="153">
        <f t="shared" si="38"/>
        <v>3285956.5217391304</v>
      </c>
      <c r="BA25" s="184">
        <f t="shared" si="13"/>
        <v>368206.52173913037</v>
      </c>
      <c r="BB25" s="173">
        <f t="shared" si="14"/>
        <v>0.12619536346127336</v>
      </c>
      <c r="BC25" s="154">
        <f>_xlfn.XLOOKUP(D:D,'[2]Target store'!C:C,'[2]Target store'!J:J,0)</f>
        <v>9</v>
      </c>
      <c r="BD25" s="185">
        <f>IFERROR(GETPIVOTDATA("Sum of Qty",[2]ACC!$A$5,"ID Store",$C25),0)</f>
        <v>7</v>
      </c>
      <c r="BE25" s="178">
        <f t="shared" si="15"/>
        <v>0.77777777777777779</v>
      </c>
      <c r="BF25" s="155">
        <f>_xlfn.XLOOKUP(D:D,'[2]Target store'!C:C,'[2]Target store'!K:K,0)</f>
        <v>1350000</v>
      </c>
      <c r="BG25" s="186">
        <f>IFERROR(GETPIVOTDATA("Sum of SRP",'[2]Insurance by Store'!$A$5,"ID Store",$C25,"Product Type","Qoala"),0)</f>
        <v>0</v>
      </c>
      <c r="BH25" s="178">
        <f t="shared" si="16"/>
        <v>0</v>
      </c>
      <c r="BI25" s="155">
        <f>_xlfn.XLOOKUP(D:D,'[2]Target store'!C:C,'[2]Target store'!L:L,0)</f>
        <v>300000</v>
      </c>
      <c r="BJ25" s="186">
        <f>IFERROR(GETPIVOTDATA("Sum of SRP",'[2]Insurance by Store'!$A$5,"ID Store",$C25,"Product Type","Vivo Care"),0)</f>
        <v>0</v>
      </c>
      <c r="BK25" s="178">
        <f t="shared" si="17"/>
        <v>0</v>
      </c>
      <c r="BL25" s="145">
        <f>_xlfn.XLOOKUP(D:D,'[2]Target store'!C:C,'[2]Target store'!M:M,0)</f>
        <v>600000</v>
      </c>
      <c r="BM25" s="177">
        <f>IFERROR(GETPIVOTDATA("Sum of Qty",'[2]Operator by Store'!$A$5,"ID Store",$C25,"Product Type","Indosat"),0)</f>
        <v>0</v>
      </c>
      <c r="BN25" s="178">
        <f t="shared" si="18"/>
        <v>0</v>
      </c>
      <c r="BO25" s="145">
        <f>_xlfn.XLOOKUP(D:D,'[2]Target store'!C:C,'[2]Target store'!N:N,0)</f>
        <v>900000</v>
      </c>
      <c r="BP25" s="177">
        <f>IFERROR(GETPIVOTDATA("Sum of Qty",'[2]Operator by Store'!$A$5,"ID Store",$C25,"Product Type","Telkomsel"),0)</f>
        <v>0</v>
      </c>
      <c r="BQ25" s="187">
        <f t="shared" si="19"/>
        <v>0</v>
      </c>
    </row>
    <row r="26" spans="1:69" ht="17" thickBot="1" x14ac:dyDescent="0.25">
      <c r="A26" s="157">
        <v>22</v>
      </c>
      <c r="B26" s="158" t="s">
        <v>53</v>
      </c>
      <c r="C26" s="159">
        <v>6240702</v>
      </c>
      <c r="D26" s="189" t="str">
        <f>IFERROR(INDEX('[2]Target store'!$C$5:$C$47,MATCH($C26&amp;"-*",'[2]Target store'!$C$5:$C$47,0)),"NOT FOUND")</f>
        <v>6240702-TANGCITY LG BLOK B NO. 01B</v>
      </c>
      <c r="E26" s="189" t="s">
        <v>54</v>
      </c>
      <c r="F26" s="161">
        <v>3</v>
      </c>
      <c r="G26" s="128">
        <f>_xlfn.XLOOKUP(D:D,'[2]Target store'!C:C,'[2]Target store'!F:F,0)</f>
        <v>90</v>
      </c>
      <c r="H26" s="162">
        <f>_xlfn.XLOOKUP(D:D,'[2]Target store'!C:C,'[2]Target store'!G:G,0)</f>
        <v>400000000</v>
      </c>
      <c r="I26" s="163">
        <f>IFERROR(GETPIVOTDATA("Sum of SRP",'[2]DEVICE &amp; VALUE'!$A$6,"ID Store",$C26),0)</f>
        <v>106776000</v>
      </c>
      <c r="J26" s="164">
        <f t="shared" si="20"/>
        <v>0.26694000000000001</v>
      </c>
      <c r="K26" s="165">
        <f t="shared" si="21"/>
        <v>-293224000</v>
      </c>
      <c r="L26" s="133">
        <f>IFERROR(GETPIVOTDATA("Sum of Qty",[2]PF!$A$5,"ID Store",$C26),0)</f>
        <v>2</v>
      </c>
      <c r="M26" s="134">
        <f>IFERROR(GETPIVOTDATA("Sum of Qty",'[2]DEVICE &amp; VALUE'!$A$6,"ID Store",$C26,"Segment Price","3mio&gt;"),0)</f>
        <v>11</v>
      </c>
      <c r="N26" s="135">
        <f t="shared" si="22"/>
        <v>0.45833333333333331</v>
      </c>
      <c r="O26" s="136">
        <f>IFERROR(GETPIVOTDATA("Sum of Qty",[2]IQOO!$A$6,"ID Store",$C26),0)</f>
        <v>0</v>
      </c>
      <c r="P26" s="135">
        <f t="shared" si="23"/>
        <v>0</v>
      </c>
      <c r="Q26" s="137">
        <f t="shared" si="24"/>
        <v>0.45833333333333331</v>
      </c>
      <c r="R26" s="136">
        <f>IFERROR(GETPIVOTDATA("Sum of Qty",'[2]DEVICE &amp; VALUE'!$A$6,"ID Store",$C26),0)</f>
        <v>24</v>
      </c>
      <c r="S26" s="136">
        <f t="shared" si="25"/>
        <v>0.26666666666666666</v>
      </c>
      <c r="T26" s="136">
        <f t="shared" si="26"/>
        <v>-66</v>
      </c>
      <c r="U26" s="166">
        <f t="shared" si="27"/>
        <v>457611428.57142854</v>
      </c>
      <c r="V26" s="164">
        <f t="shared" si="28"/>
        <v>1.1440285714285714</v>
      </c>
      <c r="W26" s="167">
        <f t="shared" si="29"/>
        <v>57611428.571428537</v>
      </c>
      <c r="X26" s="168">
        <f t="shared" si="0"/>
        <v>47.142857142857139</v>
      </c>
      <c r="Y26" s="169">
        <f t="shared" si="1"/>
        <v>-42.857142857142861</v>
      </c>
      <c r="Z26" s="169">
        <f t="shared" si="30"/>
        <v>102.85714285714285</v>
      </c>
      <c r="AA26" s="169">
        <f t="shared" si="31"/>
        <v>12.857142857142847</v>
      </c>
      <c r="AB26" s="169">
        <f t="shared" si="32"/>
        <v>1.1428571428571428</v>
      </c>
      <c r="AC26" s="239">
        <f t="shared" si="33"/>
        <v>2.8695652173913042</v>
      </c>
      <c r="AD26" s="142">
        <f t="shared" si="34"/>
        <v>12748869.565217391</v>
      </c>
      <c r="AE26" s="170">
        <f>IFERROR(GETPIVOTDATA("Sum of Qty",'[2]DATA LAST MONTH IQOO'!$A$6,"ID Store",$C26),0)</f>
        <v>0</v>
      </c>
      <c r="AF26" s="171">
        <f>IFERROR(GETPIVOTDATA("Sum of Qty",[2]IQOO!$A$6,"ID Store",$C26),0)</f>
        <v>0</v>
      </c>
      <c r="AG26" s="172">
        <f t="shared" si="2"/>
        <v>0</v>
      </c>
      <c r="AH26" s="173">
        <f t="shared" si="3"/>
        <v>0</v>
      </c>
      <c r="AI26" s="174">
        <f>IFERROR(GETPIVOTDATA("Sum of Qty",'[2]DATA LAST MONTH DEVICE'!$A$6,"ID Store",$C26),0)</f>
        <v>20</v>
      </c>
      <c r="AJ26" s="147">
        <f t="shared" si="35"/>
        <v>24</v>
      </c>
      <c r="AK26" s="175">
        <f t="shared" si="4"/>
        <v>4</v>
      </c>
      <c r="AL26" s="176">
        <f t="shared" si="5"/>
        <v>0.2</v>
      </c>
      <c r="AM26" s="177">
        <f>IFERROR(GETPIVOTDATA("Sum of Qty",'[2]Store 3mio+ last month'!$A$6,"ID Store",$C26),0)</f>
        <v>105</v>
      </c>
      <c r="AN26" s="145">
        <f t="shared" si="36"/>
        <v>102.85714285714285</v>
      </c>
      <c r="AO26" s="172">
        <f t="shared" si="6"/>
        <v>-2.142857142857153</v>
      </c>
      <c r="AP26" s="178">
        <f t="shared" si="7"/>
        <v>-2.0408163265306218E-2</v>
      </c>
      <c r="AQ26" s="177">
        <f>IFERROR(GETPIVOTDATA("Sum of Qty",'[2]DATA LAST MONTH DEVICE'!$A$6,"ID Store",$C26,"Segment Price","3mio&gt;"),0)</f>
        <v>8</v>
      </c>
      <c r="AR26" s="179">
        <f t="shared" si="8"/>
        <v>11</v>
      </c>
      <c r="AS26" s="179">
        <f t="shared" si="9"/>
        <v>3</v>
      </c>
      <c r="AT26" s="173">
        <f t="shared" si="10"/>
        <v>0.375</v>
      </c>
      <c r="AU26" s="180">
        <f>IFERROR(GETPIVOTDATA("Sum of SRP",'[2]DATA LAST MONTH DEVICE'!$A$6,"ID Store",$C26),0)</f>
        <v>78780000</v>
      </c>
      <c r="AV26" s="180">
        <f t="shared" si="37"/>
        <v>106776000</v>
      </c>
      <c r="AW26" s="181">
        <f t="shared" si="11"/>
        <v>27996000</v>
      </c>
      <c r="AX26" s="182">
        <f t="shared" si="12"/>
        <v>0.35536938309215538</v>
      </c>
      <c r="AY26" s="183">
        <f>IFERROR(VLOOKUP(C26,'[2]DATA SALES LAST MONTH'!A:E,5,0),0)</f>
        <v>3939000</v>
      </c>
      <c r="AZ26" s="153">
        <f t="shared" si="38"/>
        <v>4449000</v>
      </c>
      <c r="BA26" s="184">
        <f t="shared" si="13"/>
        <v>510000</v>
      </c>
      <c r="BB26" s="173">
        <f t="shared" si="14"/>
        <v>0.12947448591012947</v>
      </c>
      <c r="BC26" s="154">
        <f>_xlfn.XLOOKUP(D:D,'[2]Target store'!C:C,'[2]Target store'!J:J,0)</f>
        <v>9</v>
      </c>
      <c r="BD26" s="185">
        <f>IFERROR(GETPIVOTDATA("Sum of Qty",[2]ACC!$A$5,"ID Store",$C26),0)</f>
        <v>16</v>
      </c>
      <c r="BE26" s="178">
        <f t="shared" si="15"/>
        <v>1.7777777777777777</v>
      </c>
      <c r="BF26" s="155">
        <f>_xlfn.XLOOKUP(D:D,'[2]Target store'!C:C,'[2]Target store'!K:K,0)</f>
        <v>1800000</v>
      </c>
      <c r="BG26" s="186">
        <f>IFERROR(GETPIVOTDATA("Sum of SRP",'[2]Insurance by Store'!$A$5,"ID Store",$C26,"Product Type","Qoala"),0)</f>
        <v>0</v>
      </c>
      <c r="BH26" s="178">
        <f t="shared" si="16"/>
        <v>0</v>
      </c>
      <c r="BI26" s="155">
        <f>_xlfn.XLOOKUP(D:D,'[2]Target store'!C:C,'[2]Target store'!L:L,0)</f>
        <v>400000</v>
      </c>
      <c r="BJ26" s="186">
        <f>IFERROR(GETPIVOTDATA("Sum of SRP",'[2]Insurance by Store'!$A$5,"ID Store",$C26,"Product Type","Vivo Care"),0)</f>
        <v>0</v>
      </c>
      <c r="BK26" s="178">
        <f t="shared" si="17"/>
        <v>0</v>
      </c>
      <c r="BL26" s="145">
        <f>_xlfn.XLOOKUP(D:D,'[2]Target store'!C:C,'[2]Target store'!M:M,0)</f>
        <v>800000</v>
      </c>
      <c r="BM26" s="177">
        <f>IFERROR(GETPIVOTDATA("Sum of Qty",'[2]Operator by Store'!$A$5,"ID Store",$C26,"Product Type","Indosat"),0)</f>
        <v>0</v>
      </c>
      <c r="BN26" s="178">
        <f t="shared" si="18"/>
        <v>0</v>
      </c>
      <c r="BO26" s="145">
        <f>_xlfn.XLOOKUP(D:D,'[2]Target store'!C:C,'[2]Target store'!N:N,0)</f>
        <v>1200000</v>
      </c>
      <c r="BP26" s="177">
        <f>IFERROR(GETPIVOTDATA("Sum of Qty",'[2]Operator by Store'!$A$5,"ID Store",$C26,"Product Type","Telkomsel"),0)</f>
        <v>0</v>
      </c>
      <c r="BQ26" s="187">
        <f t="shared" si="19"/>
        <v>0</v>
      </c>
    </row>
    <row r="27" spans="1:69" ht="17" thickBot="1" x14ac:dyDescent="0.25">
      <c r="A27" s="157">
        <v>23</v>
      </c>
      <c r="B27" s="158" t="s">
        <v>53</v>
      </c>
      <c r="C27" s="159">
        <v>6240704</v>
      </c>
      <c r="D27" s="189" t="str">
        <f>IFERROR(INDEX('[2]Target store'!$C$5:$C$47,MATCH($C27&amp;"-*",'[2]Target store'!$C$5:$C$47,0)),"NOT FOUND")</f>
        <v>6240704-TANGCITY LG017</v>
      </c>
      <c r="E27" s="189" t="s">
        <v>54</v>
      </c>
      <c r="F27" s="161">
        <v>2</v>
      </c>
      <c r="G27" s="128">
        <f>_xlfn.XLOOKUP(D:D,'[2]Target store'!C:C,'[2]Target store'!F:F,0)</f>
        <v>30</v>
      </c>
      <c r="H27" s="162">
        <f>_xlfn.XLOOKUP(D:D,'[2]Target store'!C:C,'[2]Target store'!G:G,0)</f>
        <v>100000000</v>
      </c>
      <c r="I27" s="163">
        <f>IFERROR(GETPIVOTDATA("Sum of SRP",'[2]DEVICE &amp; VALUE'!$A$6,"ID Store",$C27),0)</f>
        <v>13097000</v>
      </c>
      <c r="J27" s="164">
        <f t="shared" si="20"/>
        <v>0.13097</v>
      </c>
      <c r="K27" s="165">
        <f t="shared" si="21"/>
        <v>-86903000</v>
      </c>
      <c r="L27" s="133">
        <f>IFERROR(GETPIVOTDATA("Sum of Qty",[2]PF!$A$5,"ID Store",$C27),0)</f>
        <v>0</v>
      </c>
      <c r="M27" s="134">
        <f>IFERROR(GETPIVOTDATA("Sum of Qty",'[2]DEVICE &amp; VALUE'!$A$6,"ID Store",$C27,"Segment Price","3mio&gt;"),0)</f>
        <v>2</v>
      </c>
      <c r="N27" s="135">
        <f t="shared" si="22"/>
        <v>0.66666666666666663</v>
      </c>
      <c r="O27" s="136">
        <f>IFERROR(GETPIVOTDATA("Sum of Qty",[2]IQOO!$A$6,"ID Store",$C27),0)</f>
        <v>0</v>
      </c>
      <c r="P27" s="135">
        <f t="shared" si="23"/>
        <v>0</v>
      </c>
      <c r="Q27" s="137">
        <f t="shared" si="24"/>
        <v>0.66666666666666663</v>
      </c>
      <c r="R27" s="136">
        <f>IFERROR(GETPIVOTDATA("Sum of Qty",'[2]DEVICE &amp; VALUE'!$A$6,"ID Store",$C27),0)</f>
        <v>3</v>
      </c>
      <c r="S27" s="136">
        <f t="shared" si="25"/>
        <v>0.1</v>
      </c>
      <c r="T27" s="136">
        <f t="shared" si="26"/>
        <v>-27</v>
      </c>
      <c r="U27" s="166">
        <f t="shared" si="27"/>
        <v>56130000</v>
      </c>
      <c r="V27" s="164">
        <f t="shared" si="28"/>
        <v>0.56130000000000002</v>
      </c>
      <c r="W27" s="167">
        <f t="shared" si="29"/>
        <v>-43870000</v>
      </c>
      <c r="X27" s="168">
        <f t="shared" si="0"/>
        <v>8.5714285714285712</v>
      </c>
      <c r="Y27" s="169">
        <f t="shared" si="1"/>
        <v>-21.428571428571431</v>
      </c>
      <c r="Z27" s="169">
        <f t="shared" si="30"/>
        <v>12.857142857142856</v>
      </c>
      <c r="AA27" s="169">
        <f t="shared" si="31"/>
        <v>-17.142857142857146</v>
      </c>
      <c r="AB27" s="169">
        <f t="shared" si="32"/>
        <v>0.42857142857142855</v>
      </c>
      <c r="AC27" s="239">
        <f t="shared" si="33"/>
        <v>1.173913043478261</v>
      </c>
      <c r="AD27" s="142">
        <f t="shared" si="34"/>
        <v>3778391.3043478262</v>
      </c>
      <c r="AE27" s="170">
        <f>IFERROR(GETPIVOTDATA("Sum of Qty",'[2]DATA LAST MONTH IQOO'!$A$6,"ID Store",$C27),0)</f>
        <v>0</v>
      </c>
      <c r="AF27" s="171">
        <f>IFERROR(GETPIVOTDATA("Sum of Qty",[2]IQOO!$A$6,"ID Store",$C27),0)</f>
        <v>0</v>
      </c>
      <c r="AG27" s="172">
        <f t="shared" si="2"/>
        <v>0</v>
      </c>
      <c r="AH27" s="173">
        <f t="shared" si="3"/>
        <v>0</v>
      </c>
      <c r="AI27" s="174">
        <f>IFERROR(GETPIVOTDATA("Sum of Qty",'[2]DATA LAST MONTH DEVICE'!$A$6,"ID Store",$C27),0)</f>
        <v>3</v>
      </c>
      <c r="AJ27" s="147">
        <f t="shared" si="35"/>
        <v>3</v>
      </c>
      <c r="AK27" s="175">
        <f t="shared" si="4"/>
        <v>0</v>
      </c>
      <c r="AL27" s="176">
        <f t="shared" si="5"/>
        <v>0</v>
      </c>
      <c r="AM27" s="177">
        <f>IFERROR(GETPIVOTDATA("Sum of Qty",'[2]Store 3mio+ last month'!$A$6,"ID Store",$C27),0)</f>
        <v>20</v>
      </c>
      <c r="AN27" s="145">
        <f t="shared" si="36"/>
        <v>12.857142857142856</v>
      </c>
      <c r="AO27" s="172">
        <f t="shared" si="6"/>
        <v>-7.1428571428571441</v>
      </c>
      <c r="AP27" s="178">
        <f t="shared" si="7"/>
        <v>-0.35714285714285721</v>
      </c>
      <c r="AQ27" s="177">
        <f>IFERROR(GETPIVOTDATA("Sum of Qty",'[2]DATA LAST MONTH DEVICE'!$A$6,"ID Store",$C27,"Segment Price","3mio&gt;"),0)</f>
        <v>0</v>
      </c>
      <c r="AR27" s="179">
        <f t="shared" si="8"/>
        <v>2</v>
      </c>
      <c r="AS27" s="179">
        <f t="shared" si="9"/>
        <v>2</v>
      </c>
      <c r="AT27" s="173">
        <f t="shared" si="10"/>
        <v>0</v>
      </c>
      <c r="AU27" s="180">
        <f>IFERROR(GETPIVOTDATA("Sum of SRP",'[2]DATA LAST MONTH DEVICE'!$A$6,"ID Store",$C27),0)</f>
        <v>6297000</v>
      </c>
      <c r="AV27" s="180">
        <f t="shared" si="37"/>
        <v>13097000</v>
      </c>
      <c r="AW27" s="181">
        <f t="shared" si="11"/>
        <v>6800000</v>
      </c>
      <c r="AX27" s="182">
        <f t="shared" si="12"/>
        <v>1.079879307606797</v>
      </c>
      <c r="AY27" s="183">
        <f>IFERROR(VLOOKUP(C27,'[2]DATA SALES LAST MONTH'!A:E,5,0),0)</f>
        <v>2099000</v>
      </c>
      <c r="AZ27" s="153">
        <f t="shared" si="38"/>
        <v>4365666.666666667</v>
      </c>
      <c r="BA27" s="184">
        <f t="shared" si="13"/>
        <v>2266666.666666667</v>
      </c>
      <c r="BB27" s="173">
        <f t="shared" si="14"/>
        <v>1.079879307606797</v>
      </c>
      <c r="BC27" s="154">
        <f>_xlfn.XLOOKUP(D:D,'[2]Target store'!C:C,'[2]Target store'!J:J,0)</f>
        <v>3</v>
      </c>
      <c r="BD27" s="185">
        <f>IFERROR(GETPIVOTDATA("Sum of Qty",[2]ACC!$A$5,"ID Store",$C27),0)</f>
        <v>0</v>
      </c>
      <c r="BE27" s="178">
        <f t="shared" si="15"/>
        <v>0</v>
      </c>
      <c r="BF27" s="155">
        <f>_xlfn.XLOOKUP(D:D,'[2]Target store'!C:C,'[2]Target store'!K:K,0)</f>
        <v>350000</v>
      </c>
      <c r="BG27" s="186">
        <f>IFERROR(GETPIVOTDATA("Sum of SRP",'[2]Insurance by Store'!$A$5,"ID Store",$C27,"Product Type","Qoala"),0)</f>
        <v>0</v>
      </c>
      <c r="BH27" s="178">
        <f t="shared" si="16"/>
        <v>0</v>
      </c>
      <c r="BI27" s="155">
        <f>_xlfn.XLOOKUP(D:D,'[2]Target store'!C:C,'[2]Target store'!L:L,0)</f>
        <v>150000</v>
      </c>
      <c r="BJ27" s="186">
        <f>IFERROR(GETPIVOTDATA("Sum of SRP",'[2]Insurance by Store'!$A$5,"ID Store",$C27,"Product Type","Vivo Care"),0)</f>
        <v>0</v>
      </c>
      <c r="BK27" s="178">
        <f t="shared" si="17"/>
        <v>0</v>
      </c>
      <c r="BL27" s="145">
        <f>_xlfn.XLOOKUP(D:D,'[2]Target store'!C:C,'[2]Target store'!M:M,0)</f>
        <v>200000</v>
      </c>
      <c r="BM27" s="177">
        <f>IFERROR(GETPIVOTDATA("Sum of Qty",'[2]Operator by Store'!$A$5,"ID Store",$C27,"Product Type","Indosat"),0)</f>
        <v>0</v>
      </c>
      <c r="BN27" s="178">
        <f t="shared" si="18"/>
        <v>0</v>
      </c>
      <c r="BO27" s="145">
        <f>_xlfn.XLOOKUP(D:D,'[2]Target store'!C:C,'[2]Target store'!N:N,0)</f>
        <v>300000</v>
      </c>
      <c r="BP27" s="177">
        <f>IFERROR(GETPIVOTDATA("Sum of Qty",'[2]Operator by Store'!$A$5,"ID Store",$C27,"Product Type","Telkomsel"),0)</f>
        <v>0</v>
      </c>
      <c r="BQ27" s="187">
        <f t="shared" si="19"/>
        <v>0</v>
      </c>
    </row>
    <row r="28" spans="1:69" ht="17" thickBot="1" x14ac:dyDescent="0.25">
      <c r="A28" s="157">
        <v>24</v>
      </c>
      <c r="B28" s="158" t="s">
        <v>53</v>
      </c>
      <c r="C28" s="159">
        <v>6240701</v>
      </c>
      <c r="D28" s="188" t="str">
        <f>IFERROR(INDEX('[2]Target store'!$C$5:$C$47,MATCH($C28&amp;"-*",'[2]Target store'!$C$5:$C$47,0)),"NOT FOUND")</f>
        <v>6240701-TANGCITY LG BLOK A-B NO. 12</v>
      </c>
      <c r="E28" s="188" t="s">
        <v>55</v>
      </c>
      <c r="F28" s="161">
        <v>3</v>
      </c>
      <c r="G28" s="128">
        <f>_xlfn.XLOOKUP(D:D,'[2]Target store'!C:C,'[2]Target store'!F:F,0)</f>
        <v>90</v>
      </c>
      <c r="H28" s="162">
        <f>_xlfn.XLOOKUP(D:D,'[2]Target store'!C:C,'[2]Target store'!G:G,0)</f>
        <v>350000000</v>
      </c>
      <c r="I28" s="163">
        <f>IFERROR(GETPIVOTDATA("Sum of SRP",'[2]DEVICE &amp; VALUE'!$A$6,"ID Store",$C28),0)</f>
        <v>71079000</v>
      </c>
      <c r="J28" s="164">
        <f t="shared" si="20"/>
        <v>0.20308285714285715</v>
      </c>
      <c r="K28" s="165">
        <f t="shared" si="21"/>
        <v>-278921000</v>
      </c>
      <c r="L28" s="133">
        <f>IFERROR(GETPIVOTDATA("Sum of Qty",[2]PF!$A$5,"ID Store",$C28),0)</f>
        <v>4</v>
      </c>
      <c r="M28" s="134">
        <f>IFERROR(GETPIVOTDATA("Sum of Qty",'[2]DEVICE &amp; VALUE'!$A$6,"ID Store",$C28,"Segment Price","3mio&gt;"),0)</f>
        <v>7</v>
      </c>
      <c r="N28" s="135">
        <f t="shared" si="22"/>
        <v>0.33333333333333331</v>
      </c>
      <c r="O28" s="136">
        <f>IFERROR(GETPIVOTDATA("Sum of Qty",[2]IQOO!$A$6,"ID Store",$C28),0)</f>
        <v>0</v>
      </c>
      <c r="P28" s="135">
        <f t="shared" si="23"/>
        <v>0</v>
      </c>
      <c r="Q28" s="137">
        <f t="shared" si="24"/>
        <v>0.33333333333333331</v>
      </c>
      <c r="R28" s="136">
        <f>IFERROR(GETPIVOTDATA("Sum of Qty",'[2]DEVICE &amp; VALUE'!$A$6,"ID Store",$C28),0)</f>
        <v>21</v>
      </c>
      <c r="S28" s="136">
        <f t="shared" si="25"/>
        <v>0.23333333333333334</v>
      </c>
      <c r="T28" s="136">
        <f t="shared" si="26"/>
        <v>-69</v>
      </c>
      <c r="U28" s="166">
        <f t="shared" si="27"/>
        <v>304624285.71428567</v>
      </c>
      <c r="V28" s="164">
        <f t="shared" si="28"/>
        <v>0.87035510204081623</v>
      </c>
      <c r="W28" s="167">
        <f t="shared" si="29"/>
        <v>-45375714.285714328</v>
      </c>
      <c r="X28" s="168">
        <f t="shared" si="0"/>
        <v>30</v>
      </c>
      <c r="Y28" s="169">
        <f t="shared" si="1"/>
        <v>-60</v>
      </c>
      <c r="Z28" s="169">
        <f t="shared" si="30"/>
        <v>90</v>
      </c>
      <c r="AA28" s="169">
        <f t="shared" si="31"/>
        <v>0</v>
      </c>
      <c r="AB28" s="169">
        <f t="shared" si="32"/>
        <v>1</v>
      </c>
      <c r="AC28" s="239">
        <f t="shared" si="33"/>
        <v>3</v>
      </c>
      <c r="AD28" s="142">
        <f t="shared" si="34"/>
        <v>12127000</v>
      </c>
      <c r="AE28" s="170">
        <f>IFERROR(GETPIVOTDATA("Sum of Qty",'[2]DATA LAST MONTH IQOO'!$A$6,"ID Store",$C28),0)</f>
        <v>0</v>
      </c>
      <c r="AF28" s="171">
        <f>IFERROR(GETPIVOTDATA("Sum of Qty",[2]IQOO!$A$6,"ID Store",$C28),0)</f>
        <v>0</v>
      </c>
      <c r="AG28" s="172">
        <f t="shared" si="2"/>
        <v>0</v>
      </c>
      <c r="AH28" s="173">
        <f t="shared" si="3"/>
        <v>0</v>
      </c>
      <c r="AI28" s="174">
        <f>IFERROR(GETPIVOTDATA("Sum of Qty",'[2]DATA LAST MONTH DEVICE'!$A$6,"ID Store",$C28),0)</f>
        <v>27</v>
      </c>
      <c r="AJ28" s="147">
        <f t="shared" si="35"/>
        <v>21</v>
      </c>
      <c r="AK28" s="175">
        <f t="shared" si="4"/>
        <v>-6</v>
      </c>
      <c r="AL28" s="176">
        <f t="shared" si="5"/>
        <v>-0.22222222222222221</v>
      </c>
      <c r="AM28" s="177">
        <f>IFERROR(GETPIVOTDATA("Sum of Qty",'[2]Store 3mio+ last month'!$A$6,"ID Store",$C28),0)</f>
        <v>105</v>
      </c>
      <c r="AN28" s="145">
        <f t="shared" si="36"/>
        <v>90</v>
      </c>
      <c r="AO28" s="172">
        <f t="shared" si="6"/>
        <v>-15</v>
      </c>
      <c r="AP28" s="178">
        <f t="shared" si="7"/>
        <v>-0.14285714285714285</v>
      </c>
      <c r="AQ28" s="177">
        <f>IFERROR(GETPIVOTDATA("Sum of Qty",'[2]DATA LAST MONTH DEVICE'!$A$6,"ID Store",$C28,"Segment Price","3mio&gt;"),0)</f>
        <v>7</v>
      </c>
      <c r="AR28" s="179">
        <f t="shared" si="8"/>
        <v>7</v>
      </c>
      <c r="AS28" s="179">
        <f t="shared" si="9"/>
        <v>0</v>
      </c>
      <c r="AT28" s="173">
        <f t="shared" si="10"/>
        <v>0</v>
      </c>
      <c r="AU28" s="180">
        <f>IFERROR(GETPIVOTDATA("Sum of SRP",'[2]DATA LAST MONTH DEVICE'!$A$6,"ID Store",$C28),0)</f>
        <v>85573000</v>
      </c>
      <c r="AV28" s="180">
        <f t="shared" si="37"/>
        <v>71079000</v>
      </c>
      <c r="AW28" s="181">
        <f t="shared" si="11"/>
        <v>-14494000</v>
      </c>
      <c r="AX28" s="182">
        <f t="shared" si="12"/>
        <v>-0.16937585453355614</v>
      </c>
      <c r="AY28" s="183">
        <f>IFERROR(VLOOKUP(C28,'[2]DATA SALES LAST MONTH'!A:E,5,0),0)</f>
        <v>3169370.3703703703</v>
      </c>
      <c r="AZ28" s="153">
        <f t="shared" si="38"/>
        <v>3384714.2857142854</v>
      </c>
      <c r="BA28" s="184">
        <f t="shared" si="13"/>
        <v>215343.91534391511</v>
      </c>
      <c r="BB28" s="173">
        <f t="shared" si="14"/>
        <v>6.7945329885427744E-2</v>
      </c>
      <c r="BC28" s="154">
        <f>_xlfn.XLOOKUP(D:D,'[2]Target store'!C:C,'[2]Target store'!J:J,0)</f>
        <v>9</v>
      </c>
      <c r="BD28" s="185">
        <f>IFERROR(GETPIVOTDATA("Sum of Qty",[2]ACC!$A$5,"ID Store",$C28),0)</f>
        <v>3</v>
      </c>
      <c r="BE28" s="178">
        <f t="shared" si="15"/>
        <v>0.33333333333333331</v>
      </c>
      <c r="BF28" s="155">
        <f>_xlfn.XLOOKUP(D:D,'[2]Target store'!C:C,'[2]Target store'!K:K,0)</f>
        <v>1575000</v>
      </c>
      <c r="BG28" s="186">
        <f>IFERROR(GETPIVOTDATA("Sum of SRP",'[2]Insurance by Store'!$A$5,"ID Store",$C28,"Product Type","Qoala"),0)</f>
        <v>0</v>
      </c>
      <c r="BH28" s="178">
        <f t="shared" si="16"/>
        <v>0</v>
      </c>
      <c r="BI28" s="155">
        <f>_xlfn.XLOOKUP(D:D,'[2]Target store'!C:C,'[2]Target store'!L:L,0)</f>
        <v>350000</v>
      </c>
      <c r="BJ28" s="186">
        <f>IFERROR(GETPIVOTDATA("Sum of SRP",'[2]Insurance by Store'!$A$5,"ID Store",$C28,"Product Type","Vivo Care"),0)</f>
        <v>0</v>
      </c>
      <c r="BK28" s="178">
        <f t="shared" si="17"/>
        <v>0</v>
      </c>
      <c r="BL28" s="145">
        <f>_xlfn.XLOOKUP(D:D,'[2]Target store'!C:C,'[2]Target store'!M:M,0)</f>
        <v>700000</v>
      </c>
      <c r="BM28" s="177">
        <f>IFERROR(GETPIVOTDATA("Sum of Qty",'[2]Operator by Store'!$A$5,"ID Store",$C28,"Product Type","Indosat"),0)</f>
        <v>0</v>
      </c>
      <c r="BN28" s="178">
        <f t="shared" si="18"/>
        <v>0</v>
      </c>
      <c r="BO28" s="145">
        <f>_xlfn.XLOOKUP(D:D,'[2]Target store'!C:C,'[2]Target store'!N:N,0)</f>
        <v>1050000</v>
      </c>
      <c r="BP28" s="177">
        <f>IFERROR(GETPIVOTDATA("Sum of Qty",'[2]Operator by Store'!$A$5,"ID Store",$C28,"Product Type","Telkomsel"),0)</f>
        <v>0</v>
      </c>
      <c r="BQ28" s="187">
        <f t="shared" si="19"/>
        <v>0</v>
      </c>
    </row>
    <row r="29" spans="1:69" ht="17" thickBot="1" x14ac:dyDescent="0.25">
      <c r="A29" s="157">
        <v>25</v>
      </c>
      <c r="B29" s="158" t="s">
        <v>53</v>
      </c>
      <c r="C29" s="159">
        <v>6170706</v>
      </c>
      <c r="D29" s="188" t="str">
        <f>IFERROR(INDEX('[2]Target store'!$C$5:$C$47,MATCH($C29&amp;"-*",'[2]Target store'!$C$5:$C$47,0)),"NOT FOUND")</f>
        <v>6170706-TANGCITY CHARLES</v>
      </c>
      <c r="E29" s="188" t="s">
        <v>55</v>
      </c>
      <c r="F29" s="161">
        <v>3</v>
      </c>
      <c r="G29" s="128">
        <f>_xlfn.XLOOKUP(D:D,'[2]Target store'!C:C,'[2]Target store'!F:F,0)</f>
        <v>90</v>
      </c>
      <c r="H29" s="162">
        <f>_xlfn.XLOOKUP(D:D,'[2]Target store'!C:C,'[2]Target store'!G:G,0)</f>
        <v>310000000</v>
      </c>
      <c r="I29" s="163">
        <f>IFERROR(GETPIVOTDATA("Sum of SRP",'[2]DEVICE &amp; VALUE'!$A$6,"ID Store",$C29),0)</f>
        <v>55783000</v>
      </c>
      <c r="J29" s="164">
        <f t="shared" si="20"/>
        <v>0.17994516129032259</v>
      </c>
      <c r="K29" s="165">
        <f t="shared" si="21"/>
        <v>-254217000</v>
      </c>
      <c r="L29" s="133">
        <f>IFERROR(GETPIVOTDATA("Sum of Qty",[2]PF!$A$5,"ID Store",$C29),0)</f>
        <v>3</v>
      </c>
      <c r="M29" s="134">
        <f>IFERROR(GETPIVOTDATA("Sum of Qty",'[2]DEVICE &amp; VALUE'!$A$6,"ID Store",$C29,"Segment Price","3mio&gt;"),0)</f>
        <v>5</v>
      </c>
      <c r="N29" s="135">
        <f t="shared" si="22"/>
        <v>0.29411764705882354</v>
      </c>
      <c r="O29" s="136">
        <f>IFERROR(GETPIVOTDATA("Sum of Qty",[2]IQOO!$A$6,"ID Store",$C29),0)</f>
        <v>0</v>
      </c>
      <c r="P29" s="135">
        <f t="shared" si="23"/>
        <v>0</v>
      </c>
      <c r="Q29" s="137">
        <f t="shared" si="24"/>
        <v>0.29411764705882354</v>
      </c>
      <c r="R29" s="136">
        <f>IFERROR(GETPIVOTDATA("Sum of Qty",'[2]DEVICE &amp; VALUE'!$A$6,"ID Store",$C29),0)</f>
        <v>17</v>
      </c>
      <c r="S29" s="136">
        <f t="shared" si="25"/>
        <v>0.18888888888888888</v>
      </c>
      <c r="T29" s="136">
        <f t="shared" si="26"/>
        <v>-73</v>
      </c>
      <c r="U29" s="166">
        <f t="shared" si="27"/>
        <v>239070000</v>
      </c>
      <c r="V29" s="164">
        <f t="shared" si="28"/>
        <v>0.77119354838709675</v>
      </c>
      <c r="W29" s="167">
        <f t="shared" si="29"/>
        <v>-70930000</v>
      </c>
      <c r="X29" s="168">
        <f t="shared" si="0"/>
        <v>21.428571428571431</v>
      </c>
      <c r="Y29" s="169">
        <f t="shared" si="1"/>
        <v>-68.571428571428569</v>
      </c>
      <c r="Z29" s="169">
        <f t="shared" si="30"/>
        <v>72.857142857142847</v>
      </c>
      <c r="AA29" s="169">
        <f t="shared" si="31"/>
        <v>-17.142857142857153</v>
      </c>
      <c r="AB29" s="169">
        <f t="shared" si="32"/>
        <v>0.80952380952380942</v>
      </c>
      <c r="AC29" s="239">
        <f t="shared" si="33"/>
        <v>3.1739130434782608</v>
      </c>
      <c r="AD29" s="142">
        <f t="shared" si="34"/>
        <v>11052913.043478262</v>
      </c>
      <c r="AE29" s="170">
        <f>IFERROR(GETPIVOTDATA("Sum of Qty",'[2]DATA LAST MONTH IQOO'!$A$6,"ID Store",$C29),0)</f>
        <v>0</v>
      </c>
      <c r="AF29" s="171">
        <f>IFERROR(GETPIVOTDATA("Sum of Qty",[2]IQOO!$A$6,"ID Store",$C29),0)</f>
        <v>0</v>
      </c>
      <c r="AG29" s="172">
        <f t="shared" si="2"/>
        <v>0</v>
      </c>
      <c r="AH29" s="173">
        <f t="shared" si="3"/>
        <v>0</v>
      </c>
      <c r="AI29" s="174">
        <f>IFERROR(GETPIVOTDATA("Sum of Qty",'[2]DATA LAST MONTH DEVICE'!$A$6,"ID Store",$C29),0)</f>
        <v>24</v>
      </c>
      <c r="AJ29" s="147">
        <f t="shared" si="35"/>
        <v>17</v>
      </c>
      <c r="AK29" s="175">
        <f t="shared" si="4"/>
        <v>-7</v>
      </c>
      <c r="AL29" s="176">
        <f t="shared" si="5"/>
        <v>-0.29166666666666669</v>
      </c>
      <c r="AM29" s="177">
        <f>IFERROR(GETPIVOTDATA("Sum of Qty",'[2]Store 3mio+ last month'!$A$6,"ID Store",$C29),0)</f>
        <v>85</v>
      </c>
      <c r="AN29" s="145">
        <f t="shared" si="36"/>
        <v>72.857142857142847</v>
      </c>
      <c r="AO29" s="172">
        <f t="shared" si="6"/>
        <v>-12.142857142857153</v>
      </c>
      <c r="AP29" s="178">
        <f t="shared" si="7"/>
        <v>-0.14285714285714299</v>
      </c>
      <c r="AQ29" s="177">
        <f>IFERROR(GETPIVOTDATA("Sum of Qty",'[2]DATA LAST MONTH DEVICE'!$A$6,"ID Store",$C29,"Segment Price","3mio&gt;"),0)</f>
        <v>5</v>
      </c>
      <c r="AR29" s="179">
        <f t="shared" si="8"/>
        <v>5</v>
      </c>
      <c r="AS29" s="179">
        <f t="shared" si="9"/>
        <v>0</v>
      </c>
      <c r="AT29" s="173">
        <f t="shared" si="10"/>
        <v>0</v>
      </c>
      <c r="AU29" s="180">
        <f>IFERROR(GETPIVOTDATA("Sum of SRP",'[2]DATA LAST MONTH DEVICE'!$A$6,"ID Store",$C29),0)</f>
        <v>75376000</v>
      </c>
      <c r="AV29" s="180">
        <f t="shared" si="37"/>
        <v>55783000</v>
      </c>
      <c r="AW29" s="181">
        <f t="shared" si="11"/>
        <v>-19593000</v>
      </c>
      <c r="AX29" s="182">
        <f t="shared" si="12"/>
        <v>-0.25993684992570582</v>
      </c>
      <c r="AY29" s="183">
        <f>IFERROR(VLOOKUP(C29,'[2]DATA SALES LAST MONTH'!A:E,5,0),0)</f>
        <v>3140666.6666666665</v>
      </c>
      <c r="AZ29" s="153">
        <f t="shared" si="38"/>
        <v>3281352.9411764708</v>
      </c>
      <c r="BA29" s="184">
        <f t="shared" si="13"/>
        <v>140686.27450980432</v>
      </c>
      <c r="BB29" s="173">
        <f t="shared" si="14"/>
        <v>4.4795035399003716E-2</v>
      </c>
      <c r="BC29" s="154">
        <f>_xlfn.XLOOKUP(D:D,'[2]Target store'!C:C,'[2]Target store'!J:J,0)</f>
        <v>9</v>
      </c>
      <c r="BD29" s="185">
        <f>IFERROR(GETPIVOTDATA("Sum of Qty",[2]ACC!$A$5,"ID Store",$C29),0)</f>
        <v>4</v>
      </c>
      <c r="BE29" s="178">
        <f t="shared" si="15"/>
        <v>0.44444444444444442</v>
      </c>
      <c r="BF29" s="155">
        <f>_xlfn.XLOOKUP(D:D,'[2]Target store'!C:C,'[2]Target store'!K:K,0)</f>
        <v>1395000</v>
      </c>
      <c r="BG29" s="186">
        <f>IFERROR(GETPIVOTDATA("Sum of SRP",'[2]Insurance by Store'!$A$5,"ID Store",$C29,"Product Type","Qoala"),0)</f>
        <v>0</v>
      </c>
      <c r="BH29" s="178">
        <f t="shared" si="16"/>
        <v>0</v>
      </c>
      <c r="BI29" s="155">
        <f>_xlfn.XLOOKUP(D:D,'[2]Target store'!C:C,'[2]Target store'!L:L,0)</f>
        <v>310000</v>
      </c>
      <c r="BJ29" s="186">
        <f>IFERROR(GETPIVOTDATA("Sum of SRP",'[2]Insurance by Store'!$A$5,"ID Store",$C29,"Product Type","Vivo Care"),0)</f>
        <v>0</v>
      </c>
      <c r="BK29" s="178">
        <f t="shared" si="17"/>
        <v>0</v>
      </c>
      <c r="BL29" s="145">
        <f>_xlfn.XLOOKUP(D:D,'[2]Target store'!C:C,'[2]Target store'!M:M,0)</f>
        <v>620000</v>
      </c>
      <c r="BM29" s="177">
        <f>IFERROR(GETPIVOTDATA("Sum of Qty",'[2]Operator by Store'!$A$5,"ID Store",$C29,"Product Type","Indosat"),0)</f>
        <v>0</v>
      </c>
      <c r="BN29" s="178">
        <f t="shared" si="18"/>
        <v>0</v>
      </c>
      <c r="BO29" s="145">
        <f>_xlfn.XLOOKUP(D:D,'[2]Target store'!C:C,'[2]Target store'!N:N,0)</f>
        <v>930000</v>
      </c>
      <c r="BP29" s="177">
        <f>IFERROR(GETPIVOTDATA("Sum of Qty",'[2]Operator by Store'!$A$5,"ID Store",$C29,"Product Type","Telkomsel"),0)</f>
        <v>0</v>
      </c>
      <c r="BQ29" s="187">
        <f t="shared" si="19"/>
        <v>0</v>
      </c>
    </row>
    <row r="30" spans="1:69" ht="17" thickBot="1" x14ac:dyDescent="0.25">
      <c r="A30" s="157">
        <v>26</v>
      </c>
      <c r="B30" s="158" t="s">
        <v>53</v>
      </c>
      <c r="C30" s="159">
        <v>6240703</v>
      </c>
      <c r="D30" s="188" t="str">
        <f>IFERROR(INDEX('[2]Target store'!$C$5:$C$47,MATCH($C30&amp;"-*",'[2]Target store'!$C$5:$C$47,0)),"NOT FOUND")</f>
        <v>6240703-TANGCITY LG009</v>
      </c>
      <c r="E30" s="188" t="s">
        <v>55</v>
      </c>
      <c r="F30" s="161">
        <v>2</v>
      </c>
      <c r="G30" s="128">
        <f>_xlfn.XLOOKUP(D:D,'[2]Target store'!C:C,'[2]Target store'!F:F,0)</f>
        <v>90</v>
      </c>
      <c r="H30" s="162">
        <f>_xlfn.XLOOKUP(D:D,'[2]Target store'!C:C,'[2]Target store'!G:G,0)</f>
        <v>400000000</v>
      </c>
      <c r="I30" s="163">
        <f>IFERROR(GETPIVOTDATA("Sum of SRP",'[2]DEVICE &amp; VALUE'!$A$6,"ID Store",$C30),0)</f>
        <v>57685000</v>
      </c>
      <c r="J30" s="164">
        <f t="shared" si="20"/>
        <v>0.14421249999999999</v>
      </c>
      <c r="K30" s="165">
        <f t="shared" si="21"/>
        <v>-342315000</v>
      </c>
      <c r="L30" s="133">
        <f>IFERROR(GETPIVOTDATA("Sum of Qty",[2]PF!$A$5,"ID Store",$C30),0)</f>
        <v>5</v>
      </c>
      <c r="M30" s="134">
        <f>IFERROR(GETPIVOTDATA("Sum of Qty",'[2]DEVICE &amp; VALUE'!$A$6,"ID Store",$C30,"Segment Price","3mio&gt;"),0)</f>
        <v>8</v>
      </c>
      <c r="N30" s="135">
        <f t="shared" si="22"/>
        <v>0.53333333333333333</v>
      </c>
      <c r="O30" s="136">
        <f>IFERROR(GETPIVOTDATA("Sum of Qty",[2]IQOO!$A$6,"ID Store",$C30),0)</f>
        <v>0</v>
      </c>
      <c r="P30" s="135">
        <f t="shared" si="23"/>
        <v>0</v>
      </c>
      <c r="Q30" s="137">
        <f t="shared" si="24"/>
        <v>0.53333333333333333</v>
      </c>
      <c r="R30" s="136">
        <f>IFERROR(GETPIVOTDATA("Sum of Qty",'[2]DEVICE &amp; VALUE'!$A$6,"ID Store",$C30),0)</f>
        <v>15</v>
      </c>
      <c r="S30" s="136">
        <f t="shared" si="25"/>
        <v>0.16666666666666666</v>
      </c>
      <c r="T30" s="136">
        <f t="shared" si="26"/>
        <v>-75</v>
      </c>
      <c r="U30" s="166">
        <f t="shared" si="27"/>
        <v>247221428.57142857</v>
      </c>
      <c r="V30" s="164">
        <f t="shared" si="28"/>
        <v>0.61805357142857142</v>
      </c>
      <c r="W30" s="167">
        <f t="shared" si="29"/>
        <v>-152778571.42857143</v>
      </c>
      <c r="X30" s="168">
        <f t="shared" si="0"/>
        <v>34.285714285714285</v>
      </c>
      <c r="Y30" s="169">
        <f t="shared" si="1"/>
        <v>-55.714285714285715</v>
      </c>
      <c r="Z30" s="169">
        <f t="shared" si="30"/>
        <v>64.285714285714278</v>
      </c>
      <c r="AA30" s="169">
        <f t="shared" si="31"/>
        <v>-25.714285714285722</v>
      </c>
      <c r="AB30" s="169">
        <f t="shared" si="32"/>
        <v>0.71428571428571419</v>
      </c>
      <c r="AC30" s="239">
        <f t="shared" si="33"/>
        <v>3.2608695652173911</v>
      </c>
      <c r="AD30" s="142">
        <f t="shared" si="34"/>
        <v>14883260.869565217</v>
      </c>
      <c r="AE30" s="170">
        <f>IFERROR(GETPIVOTDATA("Sum of Qty",'[2]DATA LAST MONTH IQOO'!$A$6,"ID Store",$C30),0)</f>
        <v>0</v>
      </c>
      <c r="AF30" s="171">
        <f>IFERROR(GETPIVOTDATA("Sum of Qty",[2]IQOO!$A$6,"ID Store",$C30),0)</f>
        <v>0</v>
      </c>
      <c r="AG30" s="172">
        <f t="shared" si="2"/>
        <v>0</v>
      </c>
      <c r="AH30" s="173">
        <f t="shared" si="3"/>
        <v>0</v>
      </c>
      <c r="AI30" s="174">
        <f>IFERROR(GETPIVOTDATA("Sum of Qty",'[2]DATA LAST MONTH DEVICE'!$A$6,"ID Store",$C30),0)</f>
        <v>22</v>
      </c>
      <c r="AJ30" s="147">
        <f t="shared" si="35"/>
        <v>15</v>
      </c>
      <c r="AK30" s="175">
        <f t="shared" si="4"/>
        <v>-7</v>
      </c>
      <c r="AL30" s="176">
        <f t="shared" si="5"/>
        <v>-0.31818181818181818</v>
      </c>
      <c r="AM30" s="177">
        <f>IFERROR(GETPIVOTDATA("Sum of Qty",'[2]Store 3mio+ last month'!$A$6,"ID Store",$C30),0)</f>
        <v>85</v>
      </c>
      <c r="AN30" s="145">
        <f t="shared" si="36"/>
        <v>64.285714285714278</v>
      </c>
      <c r="AO30" s="172">
        <f t="shared" si="6"/>
        <v>-20.714285714285722</v>
      </c>
      <c r="AP30" s="178">
        <f t="shared" si="7"/>
        <v>-0.24369747899159674</v>
      </c>
      <c r="AQ30" s="177">
        <f>IFERROR(GETPIVOTDATA("Sum of Qty",'[2]DATA LAST MONTH DEVICE'!$A$6,"ID Store",$C30,"Segment Price","3mio&gt;"),0)</f>
        <v>12</v>
      </c>
      <c r="AR30" s="179">
        <f t="shared" si="8"/>
        <v>8</v>
      </c>
      <c r="AS30" s="179">
        <f t="shared" si="9"/>
        <v>-4</v>
      </c>
      <c r="AT30" s="173">
        <f t="shared" si="10"/>
        <v>-0.33333333333333331</v>
      </c>
      <c r="AU30" s="180">
        <f>IFERROR(GETPIVOTDATA("Sum of SRP",'[2]DATA LAST MONTH DEVICE'!$A$6,"ID Store",$C30),0)</f>
        <v>107778000</v>
      </c>
      <c r="AV30" s="180">
        <f t="shared" si="37"/>
        <v>57685000</v>
      </c>
      <c r="AW30" s="181">
        <f t="shared" si="11"/>
        <v>-50093000</v>
      </c>
      <c r="AX30" s="182">
        <f t="shared" si="12"/>
        <v>-0.46477945406298132</v>
      </c>
      <c r="AY30" s="183">
        <f>IFERROR(VLOOKUP(C30,'[2]DATA SALES LAST MONTH'!A:E,5,0),0)</f>
        <v>4899000</v>
      </c>
      <c r="AZ30" s="153">
        <f t="shared" si="38"/>
        <v>3845666.666666667</v>
      </c>
      <c r="BA30" s="184">
        <f t="shared" si="13"/>
        <v>-1053333.333333333</v>
      </c>
      <c r="BB30" s="173">
        <f t="shared" si="14"/>
        <v>-0.2150098659590392</v>
      </c>
      <c r="BC30" s="154">
        <f>_xlfn.XLOOKUP(D:D,'[2]Target store'!C:C,'[2]Target store'!J:J,0)</f>
        <v>9</v>
      </c>
      <c r="BD30" s="185">
        <f>IFERROR(GETPIVOTDATA("Sum of Qty",[2]ACC!$A$5,"ID Store",$C30),0)</f>
        <v>6</v>
      </c>
      <c r="BE30" s="178">
        <f t="shared" si="15"/>
        <v>0.66666666666666663</v>
      </c>
      <c r="BF30" s="155">
        <f>_xlfn.XLOOKUP(D:D,'[2]Target store'!C:C,'[2]Target store'!K:K,0)</f>
        <v>1800000</v>
      </c>
      <c r="BG30" s="186">
        <f>IFERROR(GETPIVOTDATA("Sum of SRP",'[2]Insurance by Store'!$A$5,"ID Store",$C30,"Product Type","Qoala"),0)</f>
        <v>329000</v>
      </c>
      <c r="BH30" s="178">
        <f t="shared" si="16"/>
        <v>0.18277777777777779</v>
      </c>
      <c r="BI30" s="155">
        <f>_xlfn.XLOOKUP(D:D,'[2]Target store'!C:C,'[2]Target store'!L:L,0)</f>
        <v>400000</v>
      </c>
      <c r="BJ30" s="186">
        <f>IFERROR(GETPIVOTDATA("Sum of SRP",'[2]Insurance by Store'!$A$5,"ID Store",$C30,"Product Type","Vivo Care"),0)</f>
        <v>0</v>
      </c>
      <c r="BK30" s="178">
        <f t="shared" si="17"/>
        <v>0</v>
      </c>
      <c r="BL30" s="145">
        <f>_xlfn.XLOOKUP(D:D,'[2]Target store'!C:C,'[2]Target store'!M:M,0)</f>
        <v>800000</v>
      </c>
      <c r="BM30" s="177">
        <f>IFERROR(GETPIVOTDATA("Sum of Qty",'[2]Operator by Store'!$A$5,"ID Store",$C30,"Product Type","Indosat"),0)</f>
        <v>0</v>
      </c>
      <c r="BN30" s="178">
        <f t="shared" si="18"/>
        <v>0</v>
      </c>
      <c r="BO30" s="145">
        <f>_xlfn.XLOOKUP(D:D,'[2]Target store'!C:C,'[2]Target store'!N:N,0)</f>
        <v>1200000</v>
      </c>
      <c r="BP30" s="177">
        <f>IFERROR(GETPIVOTDATA("Sum of Qty",'[2]Operator by Store'!$A$5,"ID Store",$C30,"Product Type","Telkomsel"),0)</f>
        <v>0</v>
      </c>
      <c r="BQ30" s="187">
        <f t="shared" si="19"/>
        <v>0</v>
      </c>
    </row>
    <row r="31" spans="1:69" ht="17" thickBot="1" x14ac:dyDescent="0.25">
      <c r="A31" s="157">
        <v>27</v>
      </c>
      <c r="B31" s="158" t="s">
        <v>53</v>
      </c>
      <c r="C31" s="159">
        <v>6170703</v>
      </c>
      <c r="D31" s="189" t="str">
        <f>IFERROR(INDEX('[2]Target store'!$C$5:$C$47,MATCH($C31&amp;"-*",'[2]Target store'!$C$5:$C$47,0)),"NOT FOUND")</f>
        <v>6170703-BNT-CCM VIVO STORE</v>
      </c>
      <c r="E31" s="189" t="s">
        <v>56</v>
      </c>
      <c r="F31" s="161">
        <v>2</v>
      </c>
      <c r="G31" s="128">
        <f>_xlfn.XLOOKUP(D:D,'[2]Target store'!C:C,'[2]Target store'!F:F,0)</f>
        <v>30</v>
      </c>
      <c r="H31" s="162">
        <f>_xlfn.XLOOKUP(D:D,'[2]Target store'!C:C,'[2]Target store'!G:G,0)</f>
        <v>120000000</v>
      </c>
      <c r="I31" s="163">
        <f>IFERROR(GETPIVOTDATA("Sum of SRP",'[2]DEVICE &amp; VALUE'!$A$6,"ID Store",$C31),0)</f>
        <v>28098000</v>
      </c>
      <c r="J31" s="164">
        <f t="shared" si="20"/>
        <v>0.23415</v>
      </c>
      <c r="K31" s="165">
        <f t="shared" si="21"/>
        <v>-91902000</v>
      </c>
      <c r="L31" s="133">
        <f>IFERROR(GETPIVOTDATA("Sum of Qty",[2]PF!$A$5,"ID Store",$C31),0)</f>
        <v>0</v>
      </c>
      <c r="M31" s="134">
        <f>IFERROR(GETPIVOTDATA("Sum of Qty",'[2]DEVICE &amp; VALUE'!$A$6,"ID Store",$C31,"Segment Price","3mio&gt;"),0)</f>
        <v>1</v>
      </c>
      <c r="N31" s="135">
        <f t="shared" si="22"/>
        <v>0.5</v>
      </c>
      <c r="O31" s="136">
        <f>IFERROR(GETPIVOTDATA("Sum of Qty",[2]IQOO!$A$6,"ID Store",$C31),0)</f>
        <v>0</v>
      </c>
      <c r="P31" s="135">
        <f t="shared" si="23"/>
        <v>0</v>
      </c>
      <c r="Q31" s="137">
        <f t="shared" si="24"/>
        <v>0.5</v>
      </c>
      <c r="R31" s="136">
        <f>IFERROR(GETPIVOTDATA("Sum of Qty",'[2]DEVICE &amp; VALUE'!$A$6,"ID Store",$C31),0)</f>
        <v>2</v>
      </c>
      <c r="S31" s="136">
        <f t="shared" si="25"/>
        <v>6.6666666666666666E-2</v>
      </c>
      <c r="T31" s="136">
        <f t="shared" si="26"/>
        <v>-28</v>
      </c>
      <c r="U31" s="166">
        <f t="shared" si="27"/>
        <v>120420000</v>
      </c>
      <c r="V31" s="164">
        <f t="shared" si="28"/>
        <v>1.0035000000000001</v>
      </c>
      <c r="W31" s="167">
        <f t="shared" si="29"/>
        <v>420000</v>
      </c>
      <c r="X31" s="168">
        <f t="shared" si="0"/>
        <v>4.2857142857142856</v>
      </c>
      <c r="Y31" s="169">
        <f t="shared" si="1"/>
        <v>-25.714285714285715</v>
      </c>
      <c r="Z31" s="169">
        <f t="shared" si="30"/>
        <v>8.5714285714285712</v>
      </c>
      <c r="AA31" s="169">
        <f t="shared" si="31"/>
        <v>-21.428571428571431</v>
      </c>
      <c r="AB31" s="169">
        <f t="shared" si="32"/>
        <v>0.2857142857142857</v>
      </c>
      <c r="AC31" s="239">
        <f t="shared" si="33"/>
        <v>1.2173913043478262</v>
      </c>
      <c r="AD31" s="142">
        <f t="shared" si="34"/>
        <v>3995739.1304347827</v>
      </c>
      <c r="AE31" s="170">
        <f>IFERROR(GETPIVOTDATA("Sum of Qty",'[2]DATA LAST MONTH IQOO'!$A$6,"ID Store",$C31),0)</f>
        <v>1</v>
      </c>
      <c r="AF31" s="171">
        <f>IFERROR(GETPIVOTDATA("Sum of Qty",[2]IQOO!$A$6,"ID Store",$C31),0)</f>
        <v>0</v>
      </c>
      <c r="AG31" s="172">
        <f t="shared" si="2"/>
        <v>-1</v>
      </c>
      <c r="AH31" s="173">
        <f t="shared" si="3"/>
        <v>-1</v>
      </c>
      <c r="AI31" s="174">
        <f>IFERROR(GETPIVOTDATA("Sum of Qty",'[2]DATA LAST MONTH DEVICE'!$A$6,"ID Store",$C31),0)</f>
        <v>5</v>
      </c>
      <c r="AJ31" s="147">
        <f t="shared" si="35"/>
        <v>2</v>
      </c>
      <c r="AK31" s="175">
        <f t="shared" si="4"/>
        <v>-3</v>
      </c>
      <c r="AL31" s="176">
        <f t="shared" si="5"/>
        <v>-0.6</v>
      </c>
      <c r="AM31" s="177">
        <f>IFERROR(GETPIVOTDATA("Sum of Qty",'[2]Store 3mio+ last month'!$A$6,"ID Store",$C31),0)</f>
        <v>17</v>
      </c>
      <c r="AN31" s="145">
        <f t="shared" si="36"/>
        <v>8.5714285714285712</v>
      </c>
      <c r="AO31" s="172">
        <f t="shared" si="6"/>
        <v>-8.4285714285714288</v>
      </c>
      <c r="AP31" s="178">
        <f t="shared" si="7"/>
        <v>-0.49579831932773111</v>
      </c>
      <c r="AQ31" s="177">
        <f>IFERROR(GETPIVOTDATA("Sum of Qty",'[2]DATA LAST MONTH DEVICE'!$A$6,"ID Store",$C31,"Segment Price","3mio&gt;"),0)</f>
        <v>4</v>
      </c>
      <c r="AR31" s="179">
        <f t="shared" si="8"/>
        <v>1</v>
      </c>
      <c r="AS31" s="179">
        <f t="shared" si="9"/>
        <v>-3</v>
      </c>
      <c r="AT31" s="173">
        <f t="shared" si="10"/>
        <v>-0.75</v>
      </c>
      <c r="AU31" s="180">
        <f>IFERROR(GETPIVOTDATA("Sum of SRP",'[2]DATA LAST MONTH DEVICE'!$A$6,"ID Store",$C31),0)</f>
        <v>31795000</v>
      </c>
      <c r="AV31" s="180">
        <f t="shared" si="37"/>
        <v>28098000</v>
      </c>
      <c r="AW31" s="181">
        <f t="shared" si="11"/>
        <v>-3697000</v>
      </c>
      <c r="AX31" s="182">
        <f t="shared" si="12"/>
        <v>-0.11627614404780626</v>
      </c>
      <c r="AY31" s="183">
        <f>IFERROR(VLOOKUP(C31,'[2]DATA SALES LAST MONTH'!A:E,5,0),0)</f>
        <v>6359000</v>
      </c>
      <c r="AZ31" s="153">
        <f t="shared" si="38"/>
        <v>14049000</v>
      </c>
      <c r="BA31" s="184">
        <f t="shared" si="13"/>
        <v>7690000</v>
      </c>
      <c r="BB31" s="173">
        <f t="shared" si="14"/>
        <v>1.2093096398804843</v>
      </c>
      <c r="BC31" s="154">
        <f>_xlfn.XLOOKUP(D:D,'[2]Target store'!C:C,'[2]Target store'!J:J,0)</f>
        <v>3</v>
      </c>
      <c r="BD31" s="185">
        <f>IFERROR(GETPIVOTDATA("Sum of Qty",[2]ACC!$A$5,"ID Store",$C31),0)</f>
        <v>0</v>
      </c>
      <c r="BE31" s="178">
        <f t="shared" si="15"/>
        <v>0</v>
      </c>
      <c r="BF31" s="155">
        <f>_xlfn.XLOOKUP(D:D,'[2]Target store'!C:C,'[2]Target store'!K:K,0)</f>
        <v>200000</v>
      </c>
      <c r="BG31" s="186">
        <f>IFERROR(GETPIVOTDATA("Sum of SRP",'[2]Insurance by Store'!$A$5,"ID Store",$C31,"Product Type","Qoala"),0)</f>
        <v>0</v>
      </c>
      <c r="BH31" s="178">
        <f t="shared" si="16"/>
        <v>0</v>
      </c>
      <c r="BI31" s="155">
        <f>_xlfn.XLOOKUP(D:D,'[2]Target store'!C:C,'[2]Target store'!L:L,0)</f>
        <v>100000</v>
      </c>
      <c r="BJ31" s="186">
        <f>IFERROR(GETPIVOTDATA("Sum of SRP",'[2]Insurance by Store'!$A$5,"ID Store",$C31,"Product Type","Vivo Care"),0)</f>
        <v>0</v>
      </c>
      <c r="BK31" s="178">
        <f t="shared" si="17"/>
        <v>0</v>
      </c>
      <c r="BL31" s="145">
        <f>_xlfn.XLOOKUP(D:D,'[2]Target store'!C:C,'[2]Target store'!M:M,0)</f>
        <v>240000</v>
      </c>
      <c r="BM31" s="177">
        <f>IFERROR(GETPIVOTDATA("Sum of Qty",'[2]Operator by Store'!$A$5,"ID Store",$C31,"Product Type","Indosat"),0)</f>
        <v>0</v>
      </c>
      <c r="BN31" s="178">
        <f t="shared" si="18"/>
        <v>0</v>
      </c>
      <c r="BO31" s="145">
        <f>_xlfn.XLOOKUP(D:D,'[2]Target store'!C:C,'[2]Target store'!N:N,0)</f>
        <v>360000</v>
      </c>
      <c r="BP31" s="177">
        <f>IFERROR(GETPIVOTDATA("Sum of Qty",'[2]Operator by Store'!$A$5,"ID Store",$C31,"Product Type","Telkomsel"),0)</f>
        <v>0</v>
      </c>
      <c r="BQ31" s="187">
        <f t="shared" si="19"/>
        <v>0</v>
      </c>
    </row>
    <row r="32" spans="1:69" ht="17" thickBot="1" x14ac:dyDescent="0.25">
      <c r="A32" s="157">
        <v>28</v>
      </c>
      <c r="B32" s="158" t="s">
        <v>53</v>
      </c>
      <c r="C32" s="159">
        <v>6240705</v>
      </c>
      <c r="D32" s="188" t="str">
        <f>IFERROR(INDEX('[2]Target store'!$C$5:$C$47,MATCH($C32&amp;"-*",'[2]Target store'!$C$5:$C$47,0)),"NOT FOUND")</f>
        <v>6240705-CIPUTRA 2FC15</v>
      </c>
      <c r="E32" s="188" t="s">
        <v>55</v>
      </c>
      <c r="F32" s="161">
        <v>2</v>
      </c>
      <c r="G32" s="128">
        <f>_xlfn.XLOOKUP(D:D,'[2]Target store'!C:C,'[2]Target store'!F:F,0)</f>
        <v>40</v>
      </c>
      <c r="H32" s="162">
        <f>_xlfn.XLOOKUP(D:D,'[2]Target store'!C:C,'[2]Target store'!G:G,0)</f>
        <v>210000000</v>
      </c>
      <c r="I32" s="163">
        <f>IFERROR(GETPIVOTDATA("Sum of SRP",'[2]DEVICE &amp; VALUE'!$A$6,"ID Store",$C32),0)</f>
        <v>25294000</v>
      </c>
      <c r="J32" s="164">
        <f t="shared" si="20"/>
        <v>0.12044761904761905</v>
      </c>
      <c r="K32" s="165">
        <f t="shared" si="21"/>
        <v>-184706000</v>
      </c>
      <c r="L32" s="133">
        <f>IFERROR(GETPIVOTDATA("Sum of Qty",[2]PF!$A$5,"ID Store",$C32),0)</f>
        <v>2</v>
      </c>
      <c r="M32" s="134">
        <f>IFERROR(GETPIVOTDATA("Sum of Qty",'[2]DEVICE &amp; VALUE'!$A$6,"ID Store",$C32,"Segment Price","3mio&gt;"),0)</f>
        <v>3</v>
      </c>
      <c r="N32" s="135">
        <f t="shared" si="22"/>
        <v>0.5</v>
      </c>
      <c r="O32" s="136">
        <f>IFERROR(GETPIVOTDATA("Sum of Qty",[2]IQOO!$A$6,"ID Store",$C32),0)</f>
        <v>0</v>
      </c>
      <c r="P32" s="135">
        <f t="shared" si="23"/>
        <v>0</v>
      </c>
      <c r="Q32" s="137">
        <f t="shared" si="24"/>
        <v>0.5</v>
      </c>
      <c r="R32" s="136">
        <f>IFERROR(GETPIVOTDATA("Sum of Qty",'[2]DEVICE &amp; VALUE'!$A$6,"ID Store",$C32),0)</f>
        <v>6</v>
      </c>
      <c r="S32" s="136">
        <f t="shared" si="25"/>
        <v>0.15</v>
      </c>
      <c r="T32" s="136">
        <f t="shared" si="26"/>
        <v>-34</v>
      </c>
      <c r="U32" s="166">
        <f t="shared" si="27"/>
        <v>108402857.14285713</v>
      </c>
      <c r="V32" s="164">
        <f t="shared" si="28"/>
        <v>0.51620408163265297</v>
      </c>
      <c r="W32" s="167">
        <f t="shared" si="29"/>
        <v>-101597142.85714287</v>
      </c>
      <c r="X32" s="168">
        <f t="shared" si="0"/>
        <v>12.857142857142856</v>
      </c>
      <c r="Y32" s="169">
        <f t="shared" si="1"/>
        <v>-27.142857142857146</v>
      </c>
      <c r="Z32" s="169">
        <f t="shared" si="30"/>
        <v>25.714285714285712</v>
      </c>
      <c r="AA32" s="169">
        <f t="shared" si="31"/>
        <v>-14.285714285714288</v>
      </c>
      <c r="AB32" s="169">
        <f t="shared" si="32"/>
        <v>0.64285714285714279</v>
      </c>
      <c r="AC32" s="239">
        <f t="shared" si="33"/>
        <v>1.4782608695652173</v>
      </c>
      <c r="AD32" s="142">
        <f t="shared" si="34"/>
        <v>8030695.6521739131</v>
      </c>
      <c r="AE32" s="170">
        <f>IFERROR(GETPIVOTDATA("Sum of Qty",'[2]DATA LAST MONTH IQOO'!$A$6,"ID Store",$C32),0)</f>
        <v>1</v>
      </c>
      <c r="AF32" s="171">
        <f>IFERROR(GETPIVOTDATA("Sum of Qty",[2]IQOO!$A$6,"ID Store",$C32),0)</f>
        <v>0</v>
      </c>
      <c r="AG32" s="172">
        <f t="shared" si="2"/>
        <v>-1</v>
      </c>
      <c r="AH32" s="173">
        <f t="shared" si="3"/>
        <v>-1</v>
      </c>
      <c r="AI32" s="174">
        <f>IFERROR(GETPIVOTDATA("Sum of Qty",'[2]DATA LAST MONTH DEVICE'!$A$6,"ID Store",$C32),0)</f>
        <v>7</v>
      </c>
      <c r="AJ32" s="147">
        <f t="shared" si="35"/>
        <v>6</v>
      </c>
      <c r="AK32" s="175">
        <f t="shared" si="4"/>
        <v>-1</v>
      </c>
      <c r="AL32" s="176">
        <f t="shared" si="5"/>
        <v>-0.14285714285714285</v>
      </c>
      <c r="AM32" s="177">
        <f>IFERROR(GETPIVOTDATA("Sum of Qty",'[2]Store 3mio+ last month'!$A$6,"ID Store",$C32),0)</f>
        <v>38</v>
      </c>
      <c r="AN32" s="145">
        <f t="shared" si="36"/>
        <v>25.714285714285712</v>
      </c>
      <c r="AO32" s="172">
        <f t="shared" si="6"/>
        <v>-12.285714285714288</v>
      </c>
      <c r="AP32" s="178">
        <f t="shared" si="7"/>
        <v>-0.32330827067669182</v>
      </c>
      <c r="AQ32" s="177">
        <f>IFERROR(GETPIVOTDATA("Sum of Qty",'[2]DATA LAST MONTH DEVICE'!$A$6,"ID Store",$C32,"Segment Price","3mio&gt;"),0)</f>
        <v>4</v>
      </c>
      <c r="AR32" s="179">
        <f t="shared" si="8"/>
        <v>3</v>
      </c>
      <c r="AS32" s="179">
        <f t="shared" si="9"/>
        <v>-1</v>
      </c>
      <c r="AT32" s="173">
        <f t="shared" si="10"/>
        <v>-0.25</v>
      </c>
      <c r="AU32" s="180">
        <f>IFERROR(GETPIVOTDATA("Sum of SRP",'[2]DATA LAST MONTH DEVICE'!$A$6,"ID Store",$C32),0)</f>
        <v>35493000</v>
      </c>
      <c r="AV32" s="180">
        <f t="shared" si="37"/>
        <v>25294000</v>
      </c>
      <c r="AW32" s="181">
        <f t="shared" si="11"/>
        <v>-10199000</v>
      </c>
      <c r="AX32" s="182">
        <f t="shared" si="12"/>
        <v>-0.28735243569154484</v>
      </c>
      <c r="AY32" s="183">
        <f>IFERROR(VLOOKUP(C32,'[2]DATA SALES LAST MONTH'!A:E,5,0),0)</f>
        <v>5070428.5714285718</v>
      </c>
      <c r="AZ32" s="153">
        <f t="shared" si="38"/>
        <v>4215666.666666667</v>
      </c>
      <c r="BA32" s="184">
        <f t="shared" si="13"/>
        <v>-854761.90476190485</v>
      </c>
      <c r="BB32" s="173">
        <f t="shared" si="14"/>
        <v>-0.16857784164013562</v>
      </c>
      <c r="BC32" s="154">
        <f>_xlfn.XLOOKUP(D:D,'[2]Target store'!C:C,'[2]Target store'!J:J,0)</f>
        <v>4</v>
      </c>
      <c r="BD32" s="185">
        <f>IFERROR(GETPIVOTDATA("Sum of Qty",[2]ACC!$A$5,"ID Store",$C32),0)</f>
        <v>1</v>
      </c>
      <c r="BE32" s="178">
        <f t="shared" si="15"/>
        <v>0.25</v>
      </c>
      <c r="BF32" s="155">
        <f>_xlfn.XLOOKUP(D:D,'[2]Target store'!C:C,'[2]Target store'!K:K,0)</f>
        <v>100000</v>
      </c>
      <c r="BG32" s="186">
        <f>IFERROR(GETPIVOTDATA("Sum of SRP",'[2]Insurance by Store'!$A$5,"ID Store",$C32,"Product Type","Qoala"),0)</f>
        <v>0</v>
      </c>
      <c r="BH32" s="178">
        <f t="shared" si="16"/>
        <v>0</v>
      </c>
      <c r="BI32" s="155">
        <f>_xlfn.XLOOKUP(D:D,'[2]Target store'!C:C,'[2]Target store'!L:L,0)</f>
        <v>50000</v>
      </c>
      <c r="BJ32" s="186">
        <f>IFERROR(GETPIVOTDATA("Sum of SRP",'[2]Insurance by Store'!$A$5,"ID Store",$C32,"Product Type","Vivo Care"),0)</f>
        <v>0</v>
      </c>
      <c r="BK32" s="178">
        <f t="shared" si="17"/>
        <v>0</v>
      </c>
      <c r="BL32" s="145">
        <f>_xlfn.XLOOKUP(D:D,'[2]Target store'!C:C,'[2]Target store'!M:M,0)</f>
        <v>420000</v>
      </c>
      <c r="BM32" s="177">
        <f>IFERROR(GETPIVOTDATA("Sum of Qty",'[2]Operator by Store'!$A$5,"ID Store",$C32,"Product Type","Indosat"),0)</f>
        <v>0</v>
      </c>
      <c r="BN32" s="178">
        <f t="shared" si="18"/>
        <v>0</v>
      </c>
      <c r="BO32" s="145">
        <f>_xlfn.XLOOKUP(D:D,'[2]Target store'!C:C,'[2]Target store'!N:N,0)</f>
        <v>630000</v>
      </c>
      <c r="BP32" s="177">
        <f>IFERROR(GETPIVOTDATA("Sum of Qty",'[2]Operator by Store'!$A$5,"ID Store",$C32,"Product Type","Telkomsel"),0)</f>
        <v>0</v>
      </c>
      <c r="BQ32" s="187">
        <f t="shared" si="19"/>
        <v>0</v>
      </c>
    </row>
    <row r="33" spans="1:69" ht="17" thickBot="1" x14ac:dyDescent="0.25">
      <c r="A33" s="157">
        <v>29</v>
      </c>
      <c r="B33" s="158" t="s">
        <v>53</v>
      </c>
      <c r="C33" s="159">
        <v>6240709</v>
      </c>
      <c r="D33" s="189" t="str">
        <f>IFERROR(INDEX('[2]Target store'!$C$5:$C$47,MATCH($C33&amp;"-*",'[2]Target store'!$C$5:$C$47,0)),"NOT FOUND")</f>
        <v>6240709-ITC BSD 1F49-50</v>
      </c>
      <c r="E33" s="189" t="s">
        <v>54</v>
      </c>
      <c r="F33" s="161">
        <v>2</v>
      </c>
      <c r="G33" s="128">
        <f>_xlfn.XLOOKUP(D:D,'[2]Target store'!C:C,'[2]Target store'!F:F,0)</f>
        <v>30</v>
      </c>
      <c r="H33" s="162">
        <f>_xlfn.XLOOKUP(D:D,'[2]Target store'!C:C,'[2]Target store'!G:G,0)</f>
        <v>100000000</v>
      </c>
      <c r="I33" s="163">
        <f>IFERROR(GETPIVOTDATA("Sum of SRP",'[2]DEVICE &amp; VALUE'!$A$6,"ID Store",$C33),0)</f>
        <v>15697000</v>
      </c>
      <c r="J33" s="164">
        <f t="shared" si="20"/>
        <v>0.15697</v>
      </c>
      <c r="K33" s="165">
        <f t="shared" si="21"/>
        <v>-84303000</v>
      </c>
      <c r="L33" s="133">
        <f>IFERROR(GETPIVOTDATA("Sum of Qty",[2]PF!$A$5,"ID Store",$C33),0)</f>
        <v>1</v>
      </c>
      <c r="M33" s="134">
        <f>IFERROR(GETPIVOTDATA("Sum of Qty",'[2]DEVICE &amp; VALUE'!$A$6,"ID Store",$C33,"Segment Price","3mio&gt;"),0)</f>
        <v>2</v>
      </c>
      <c r="N33" s="135">
        <f t="shared" si="22"/>
        <v>0.66666666666666663</v>
      </c>
      <c r="O33" s="136">
        <f>IFERROR(GETPIVOTDATA("Sum of Qty",[2]IQOO!$A$6,"ID Store",$C33),0)</f>
        <v>0</v>
      </c>
      <c r="P33" s="135">
        <f t="shared" si="23"/>
        <v>0</v>
      </c>
      <c r="Q33" s="137">
        <f t="shared" si="24"/>
        <v>0.66666666666666663</v>
      </c>
      <c r="R33" s="136">
        <f>IFERROR(GETPIVOTDATA("Sum of Qty",'[2]DEVICE &amp; VALUE'!$A$6,"ID Store",$C33),0)</f>
        <v>3</v>
      </c>
      <c r="S33" s="136">
        <f t="shared" si="25"/>
        <v>0.1</v>
      </c>
      <c r="T33" s="136">
        <f t="shared" si="26"/>
        <v>-27</v>
      </c>
      <c r="U33" s="166">
        <f t="shared" si="27"/>
        <v>67272857.142857134</v>
      </c>
      <c r="V33" s="164">
        <f t="shared" si="28"/>
        <v>0.67272857142857134</v>
      </c>
      <c r="W33" s="167">
        <f t="shared" si="29"/>
        <v>-32727142.857142866</v>
      </c>
      <c r="X33" s="168">
        <f t="shared" si="0"/>
        <v>8.5714285714285712</v>
      </c>
      <c r="Y33" s="169">
        <f t="shared" si="1"/>
        <v>-21.428571428571431</v>
      </c>
      <c r="Z33" s="169">
        <f t="shared" si="30"/>
        <v>12.857142857142856</v>
      </c>
      <c r="AA33" s="169">
        <f t="shared" si="31"/>
        <v>-17.142857142857146</v>
      </c>
      <c r="AB33" s="169">
        <f t="shared" si="32"/>
        <v>0.42857142857142855</v>
      </c>
      <c r="AC33" s="239">
        <f t="shared" si="33"/>
        <v>1.173913043478261</v>
      </c>
      <c r="AD33" s="142">
        <f t="shared" si="34"/>
        <v>3665347.8260869565</v>
      </c>
      <c r="AE33" s="170">
        <f>IFERROR(GETPIVOTDATA("Sum of Qty",'[2]DATA LAST MONTH IQOO'!$A$6,"ID Store",$C33),0)</f>
        <v>0</v>
      </c>
      <c r="AF33" s="171">
        <f>IFERROR(GETPIVOTDATA("Sum of Qty",[2]IQOO!$A$6,"ID Store",$C33),0)</f>
        <v>0</v>
      </c>
      <c r="AG33" s="172">
        <f t="shared" si="2"/>
        <v>0</v>
      </c>
      <c r="AH33" s="173">
        <f t="shared" si="3"/>
        <v>0</v>
      </c>
      <c r="AI33" s="174">
        <f>IFERROR(GETPIVOTDATA("Sum of Qty",'[2]DATA LAST MONTH DEVICE'!$A$6,"ID Store",$C33),0)</f>
        <v>6</v>
      </c>
      <c r="AJ33" s="147">
        <f t="shared" si="35"/>
        <v>3</v>
      </c>
      <c r="AK33" s="175">
        <f t="shared" si="4"/>
        <v>-3</v>
      </c>
      <c r="AL33" s="176">
        <f t="shared" si="5"/>
        <v>-0.5</v>
      </c>
      <c r="AM33" s="177">
        <f>IFERROR(GETPIVOTDATA("Sum of Qty",'[2]Store 3mio+ last month'!$A$6,"ID Store",$C33),0)</f>
        <v>23</v>
      </c>
      <c r="AN33" s="145">
        <f t="shared" si="36"/>
        <v>12.857142857142856</v>
      </c>
      <c r="AO33" s="172">
        <f t="shared" si="6"/>
        <v>-10.142857142857144</v>
      </c>
      <c r="AP33" s="178">
        <f t="shared" si="7"/>
        <v>-0.44099378881987583</v>
      </c>
      <c r="AQ33" s="177">
        <f>IFERROR(GETPIVOTDATA("Sum of Qty",'[2]DATA LAST MONTH DEVICE'!$A$6,"ID Store",$C33,"Segment Price","3mio&gt;"),0)</f>
        <v>4</v>
      </c>
      <c r="AR33" s="179">
        <f t="shared" si="8"/>
        <v>2</v>
      </c>
      <c r="AS33" s="179">
        <f t="shared" si="9"/>
        <v>-2</v>
      </c>
      <c r="AT33" s="173">
        <f t="shared" si="10"/>
        <v>-0.5</v>
      </c>
      <c r="AU33" s="180">
        <f>IFERROR(GETPIVOTDATA("Sum of SRP",'[2]DATA LAST MONTH DEVICE'!$A$6,"ID Store",$C33),0)</f>
        <v>24894000</v>
      </c>
      <c r="AV33" s="180">
        <f t="shared" si="37"/>
        <v>15697000</v>
      </c>
      <c r="AW33" s="181">
        <f t="shared" si="11"/>
        <v>-9197000</v>
      </c>
      <c r="AX33" s="182">
        <f t="shared" si="12"/>
        <v>-0.36944645296055273</v>
      </c>
      <c r="AY33" s="183">
        <f>IFERROR(VLOOKUP(C33,'[2]DATA SALES LAST MONTH'!A:E,5,0),0)</f>
        <v>4149000</v>
      </c>
      <c r="AZ33" s="153">
        <f t="shared" si="38"/>
        <v>5232333.333333333</v>
      </c>
      <c r="BA33" s="184">
        <f t="shared" si="13"/>
        <v>1083333.333333333</v>
      </c>
      <c r="BB33" s="173">
        <f t="shared" si="14"/>
        <v>0.26110709407889443</v>
      </c>
      <c r="BC33" s="154">
        <f>_xlfn.XLOOKUP(D:D,'[2]Target store'!C:C,'[2]Target store'!J:J,0)</f>
        <v>3</v>
      </c>
      <c r="BD33" s="185">
        <f>IFERROR(GETPIVOTDATA("Sum of Qty",[2]ACC!$A$5,"ID Store",$C33),0)</f>
        <v>2</v>
      </c>
      <c r="BE33" s="178">
        <f t="shared" si="15"/>
        <v>0.66666666666666663</v>
      </c>
      <c r="BF33" s="155">
        <f>_xlfn.XLOOKUP(D:D,'[2]Target store'!C:C,'[2]Target store'!K:K,0)</f>
        <v>450000</v>
      </c>
      <c r="BG33" s="186">
        <f>IFERROR(GETPIVOTDATA("Sum of SRP",'[2]Insurance by Store'!$A$5,"ID Store",$C33,"Product Type","Qoala"),0)</f>
        <v>0</v>
      </c>
      <c r="BH33" s="178">
        <f t="shared" si="16"/>
        <v>0</v>
      </c>
      <c r="BI33" s="155">
        <f>_xlfn.XLOOKUP(D:D,'[2]Target store'!C:C,'[2]Target store'!L:L,0)</f>
        <v>100000</v>
      </c>
      <c r="BJ33" s="186">
        <f>IFERROR(GETPIVOTDATA("Sum of SRP",'[2]Insurance by Store'!$A$5,"ID Store",$C33,"Product Type","Vivo Care"),0)</f>
        <v>0</v>
      </c>
      <c r="BK33" s="178">
        <f t="shared" si="17"/>
        <v>0</v>
      </c>
      <c r="BL33" s="145">
        <f>_xlfn.XLOOKUP(D:D,'[2]Target store'!C:C,'[2]Target store'!M:M,0)</f>
        <v>200000</v>
      </c>
      <c r="BM33" s="177">
        <f>IFERROR(GETPIVOTDATA("Sum of Qty",'[2]Operator by Store'!$A$5,"ID Store",$C33,"Product Type","Indosat"),0)</f>
        <v>0</v>
      </c>
      <c r="BN33" s="178">
        <f t="shared" si="18"/>
        <v>0</v>
      </c>
      <c r="BO33" s="145">
        <f>_xlfn.XLOOKUP(D:D,'[2]Target store'!C:C,'[2]Target store'!N:N,0)</f>
        <v>300000</v>
      </c>
      <c r="BP33" s="177">
        <f>IFERROR(GETPIVOTDATA("Sum of Qty",'[2]Operator by Store'!$A$5,"ID Store",$C33,"Product Type","Telkomsel"),0)</f>
        <v>0</v>
      </c>
      <c r="BQ33" s="187">
        <f t="shared" si="19"/>
        <v>0</v>
      </c>
    </row>
    <row r="34" spans="1:69" ht="17" thickBot="1" x14ac:dyDescent="0.25">
      <c r="A34" s="157">
        <v>30</v>
      </c>
      <c r="B34" s="158" t="s">
        <v>53</v>
      </c>
      <c r="C34" s="159">
        <v>6240708</v>
      </c>
      <c r="D34" s="189" t="str">
        <f>IFERROR(INDEX('[2]Target store'!$C$5:$C$47,MATCH($C34&amp;"-*",'[2]Target store'!$C$5:$C$47,0)),"NOT FOUND")</f>
        <v>6240708-ITC BSD 1F09-14</v>
      </c>
      <c r="E34" s="189" t="s">
        <v>54</v>
      </c>
      <c r="F34" s="161">
        <v>2</v>
      </c>
      <c r="G34" s="128">
        <f>_xlfn.XLOOKUP(D:D,'[2]Target store'!C:C,'[2]Target store'!F:F,0)</f>
        <v>30</v>
      </c>
      <c r="H34" s="162">
        <f>_xlfn.XLOOKUP(D:D,'[2]Target store'!C:C,'[2]Target store'!G:G,0)</f>
        <v>120000000</v>
      </c>
      <c r="I34" s="163">
        <f>IFERROR(GETPIVOTDATA("Sum of SRP",'[2]DEVICE &amp; VALUE'!$A$6,"ID Store",$C34),0)</f>
        <v>9696000</v>
      </c>
      <c r="J34" s="164">
        <f t="shared" si="20"/>
        <v>8.0799999999999997E-2</v>
      </c>
      <c r="K34" s="165">
        <f t="shared" si="21"/>
        <v>-110304000</v>
      </c>
      <c r="L34" s="133">
        <f>IFERROR(GETPIVOTDATA("Sum of Qty",[2]PF!$A$5,"ID Store",$C34),0)</f>
        <v>0</v>
      </c>
      <c r="M34" s="134">
        <f>IFERROR(GETPIVOTDATA("Sum of Qty",'[2]DEVICE &amp; VALUE'!$A$6,"ID Store",$C34,"Segment Price","3mio&gt;"),0)</f>
        <v>0</v>
      </c>
      <c r="N34" s="135">
        <f t="shared" si="22"/>
        <v>0</v>
      </c>
      <c r="O34" s="136">
        <f>IFERROR(GETPIVOTDATA("Sum of Qty",[2]IQOO!$A$6,"ID Store",$C34),0)</f>
        <v>0</v>
      </c>
      <c r="P34" s="135">
        <f t="shared" si="23"/>
        <v>0</v>
      </c>
      <c r="Q34" s="137">
        <f t="shared" si="24"/>
        <v>0</v>
      </c>
      <c r="R34" s="136">
        <f>IFERROR(GETPIVOTDATA("Sum of Qty",'[2]DEVICE &amp; VALUE'!$A$6,"ID Store",$C34),0)</f>
        <v>4</v>
      </c>
      <c r="S34" s="136">
        <f t="shared" si="25"/>
        <v>0.13333333333333333</v>
      </c>
      <c r="T34" s="136">
        <f t="shared" si="26"/>
        <v>-26</v>
      </c>
      <c r="U34" s="166">
        <f t="shared" si="27"/>
        <v>41554285.714285709</v>
      </c>
      <c r="V34" s="164">
        <f t="shared" si="28"/>
        <v>0.34628571428571425</v>
      </c>
      <c r="W34" s="167">
        <f t="shared" si="29"/>
        <v>-78445714.285714298</v>
      </c>
      <c r="X34" s="168">
        <f t="shared" si="0"/>
        <v>0</v>
      </c>
      <c r="Y34" s="169">
        <f t="shared" si="1"/>
        <v>-30</v>
      </c>
      <c r="Z34" s="169">
        <f t="shared" si="30"/>
        <v>17.142857142857142</v>
      </c>
      <c r="AA34" s="169">
        <f t="shared" si="31"/>
        <v>-12.857142857142858</v>
      </c>
      <c r="AB34" s="169">
        <f t="shared" si="32"/>
        <v>0.5714285714285714</v>
      </c>
      <c r="AC34" s="239">
        <f t="shared" si="33"/>
        <v>1.1304347826086956</v>
      </c>
      <c r="AD34" s="142">
        <f t="shared" si="34"/>
        <v>4795826.0869565215</v>
      </c>
      <c r="AE34" s="170">
        <f>IFERROR(GETPIVOTDATA("Sum of Qty",'[2]DATA LAST MONTH IQOO'!$A$6,"ID Store",$C34),0)</f>
        <v>0</v>
      </c>
      <c r="AF34" s="171">
        <f>IFERROR(GETPIVOTDATA("Sum of Qty",[2]IQOO!$A$6,"ID Store",$C34),0)</f>
        <v>0</v>
      </c>
      <c r="AG34" s="172">
        <f t="shared" si="2"/>
        <v>0</v>
      </c>
      <c r="AH34" s="173">
        <f t="shared" si="3"/>
        <v>0</v>
      </c>
      <c r="AI34" s="174">
        <f>IFERROR(GETPIVOTDATA("Sum of Qty",'[2]DATA LAST MONTH DEVICE'!$A$6,"ID Store",$C34),0)</f>
        <v>6</v>
      </c>
      <c r="AJ34" s="147">
        <f t="shared" si="35"/>
        <v>4</v>
      </c>
      <c r="AK34" s="175">
        <f t="shared" si="4"/>
        <v>-2</v>
      </c>
      <c r="AL34" s="176">
        <f t="shared" si="5"/>
        <v>-0.33333333333333331</v>
      </c>
      <c r="AM34" s="177">
        <f>IFERROR(GETPIVOTDATA("Sum of Qty",'[2]Store 3mio+ last month'!$A$6,"ID Store",$C34),0)</f>
        <v>23</v>
      </c>
      <c r="AN34" s="145">
        <f t="shared" si="36"/>
        <v>17.142857142857142</v>
      </c>
      <c r="AO34" s="172">
        <f t="shared" si="6"/>
        <v>-5.8571428571428577</v>
      </c>
      <c r="AP34" s="178">
        <f t="shared" si="7"/>
        <v>-0.25465838509316774</v>
      </c>
      <c r="AQ34" s="177">
        <f>IFERROR(GETPIVOTDATA("Sum of Qty",'[2]DATA LAST MONTH DEVICE'!$A$6,"ID Store",$C34,"Segment Price","3mio&gt;"),0)</f>
        <v>3</v>
      </c>
      <c r="AR34" s="179">
        <f t="shared" si="8"/>
        <v>0</v>
      </c>
      <c r="AS34" s="179">
        <f t="shared" si="9"/>
        <v>-3</v>
      </c>
      <c r="AT34" s="173">
        <f t="shared" si="10"/>
        <v>-1</v>
      </c>
      <c r="AU34" s="180">
        <f>IFERROR(GETPIVOTDATA("Sum of SRP",'[2]DATA LAST MONTH DEVICE'!$A$6,"ID Store",$C34),0)</f>
        <v>23194000</v>
      </c>
      <c r="AV34" s="180">
        <f t="shared" si="37"/>
        <v>9696000</v>
      </c>
      <c r="AW34" s="181">
        <f t="shared" si="11"/>
        <v>-13498000</v>
      </c>
      <c r="AX34" s="182">
        <f t="shared" si="12"/>
        <v>-0.58196085194446845</v>
      </c>
      <c r="AY34" s="183">
        <f>IFERROR(VLOOKUP(C34,'[2]DATA SALES LAST MONTH'!A:E,5,0),0)</f>
        <v>3865666.6666666665</v>
      </c>
      <c r="AZ34" s="153">
        <f t="shared" si="38"/>
        <v>2423999.9999999995</v>
      </c>
      <c r="BA34" s="184">
        <f t="shared" si="13"/>
        <v>-1441666.666666667</v>
      </c>
      <c r="BB34" s="173">
        <f t="shared" si="14"/>
        <v>-0.37294127791670267</v>
      </c>
      <c r="BC34" s="154">
        <f>_xlfn.XLOOKUP(D:D,'[2]Target store'!C:C,'[2]Target store'!J:J,0)</f>
        <v>3</v>
      </c>
      <c r="BD34" s="185">
        <f>IFERROR(GETPIVOTDATA("Sum of Qty",[2]ACC!$A$5,"ID Store",$C34),0)</f>
        <v>1</v>
      </c>
      <c r="BE34" s="178">
        <f t="shared" si="15"/>
        <v>0.33333333333333331</v>
      </c>
      <c r="BF34" s="155">
        <f>_xlfn.XLOOKUP(D:D,'[2]Target store'!C:C,'[2]Target store'!K:K,0)</f>
        <v>540000</v>
      </c>
      <c r="BG34" s="186">
        <f>IFERROR(GETPIVOTDATA("Sum of SRP",'[2]Insurance by Store'!$A$5,"ID Store",$C34,"Product Type","Qoala"),0)</f>
        <v>0</v>
      </c>
      <c r="BH34" s="178">
        <f t="shared" si="16"/>
        <v>0</v>
      </c>
      <c r="BI34" s="155">
        <f>_xlfn.XLOOKUP(D:D,'[2]Target store'!C:C,'[2]Target store'!L:L,0)</f>
        <v>120000</v>
      </c>
      <c r="BJ34" s="186">
        <f>IFERROR(GETPIVOTDATA("Sum of SRP",'[2]Insurance by Store'!$A$5,"ID Store",$C34,"Product Type","Vivo Care"),0)</f>
        <v>0</v>
      </c>
      <c r="BK34" s="178">
        <f t="shared" si="17"/>
        <v>0</v>
      </c>
      <c r="BL34" s="145">
        <f>_xlfn.XLOOKUP(D:D,'[2]Target store'!C:C,'[2]Target store'!M:M,0)</f>
        <v>240000</v>
      </c>
      <c r="BM34" s="177">
        <f>IFERROR(GETPIVOTDATA("Sum of Qty",'[2]Operator by Store'!$A$5,"ID Store",$C34,"Product Type","Indosat"),0)</f>
        <v>0</v>
      </c>
      <c r="BN34" s="178">
        <f t="shared" si="18"/>
        <v>0</v>
      </c>
      <c r="BO34" s="145">
        <f>_xlfn.XLOOKUP(D:D,'[2]Target store'!C:C,'[2]Target store'!N:N,0)</f>
        <v>360000</v>
      </c>
      <c r="BP34" s="177">
        <f>IFERROR(GETPIVOTDATA("Sum of Qty",'[2]Operator by Store'!$A$5,"ID Store",$C34,"Product Type","Telkomsel"),0)</f>
        <v>0</v>
      </c>
      <c r="BQ34" s="187">
        <f t="shared" si="19"/>
        <v>0</v>
      </c>
    </row>
    <row r="35" spans="1:69" ht="17" thickBot="1" x14ac:dyDescent="0.25">
      <c r="A35" s="157">
        <v>31</v>
      </c>
      <c r="B35" s="158" t="s">
        <v>53</v>
      </c>
      <c r="C35" s="159">
        <v>6240707</v>
      </c>
      <c r="D35" s="188" t="str">
        <f>IFERROR(INDEX('[2]Target store'!$C$5:$C$47,MATCH($C35&amp;"-*",'[2]Target store'!$C$5:$C$47,0)),"NOT FOUND")</f>
        <v>6240707-KARAWACI UGN3A</v>
      </c>
      <c r="E35" s="188" t="s">
        <v>57</v>
      </c>
      <c r="F35" s="161">
        <v>2</v>
      </c>
      <c r="G35" s="128">
        <f>_xlfn.XLOOKUP(D:D,'[2]Target store'!C:C,'[2]Target store'!F:F,0)</f>
        <v>30</v>
      </c>
      <c r="H35" s="162">
        <f>_xlfn.XLOOKUP(D:D,'[2]Target store'!C:C,'[2]Target store'!G:G,0)</f>
        <v>160000000</v>
      </c>
      <c r="I35" s="163">
        <f>IFERROR(GETPIVOTDATA("Sum of SRP",'[2]DEVICE &amp; VALUE'!$A$6,"ID Store",$C35),0)</f>
        <v>18594000</v>
      </c>
      <c r="J35" s="164">
        <f t="shared" si="20"/>
        <v>0.1162125</v>
      </c>
      <c r="K35" s="165">
        <f t="shared" si="21"/>
        <v>-141406000</v>
      </c>
      <c r="L35" s="133">
        <f>IFERROR(GETPIVOTDATA("Sum of Qty",[2]PF!$A$5,"ID Store",$C35),0)</f>
        <v>0</v>
      </c>
      <c r="M35" s="134">
        <f>IFERROR(GETPIVOTDATA("Sum of Qty",'[2]DEVICE &amp; VALUE'!$A$6,"ID Store",$C35,"Segment Price","3mio&gt;"),0)</f>
        <v>1</v>
      </c>
      <c r="N35" s="135">
        <f t="shared" si="22"/>
        <v>0.16666666666666666</v>
      </c>
      <c r="O35" s="136">
        <f>IFERROR(GETPIVOTDATA("Sum of Qty",[2]IQOO!$A$6,"ID Store",$C35),0)</f>
        <v>0</v>
      </c>
      <c r="P35" s="135">
        <f t="shared" si="23"/>
        <v>0</v>
      </c>
      <c r="Q35" s="137">
        <f t="shared" si="24"/>
        <v>0.16666666666666666</v>
      </c>
      <c r="R35" s="136">
        <f>IFERROR(GETPIVOTDATA("Sum of Qty",'[2]DEVICE &amp; VALUE'!$A$6,"ID Store",$C35),0)</f>
        <v>6</v>
      </c>
      <c r="S35" s="136">
        <f t="shared" si="25"/>
        <v>0.2</v>
      </c>
      <c r="T35" s="136">
        <f t="shared" si="26"/>
        <v>-24</v>
      </c>
      <c r="U35" s="166">
        <f t="shared" si="27"/>
        <v>79688571.428571418</v>
      </c>
      <c r="V35" s="164">
        <f t="shared" si="28"/>
        <v>0.49805357142857137</v>
      </c>
      <c r="W35" s="167">
        <f t="shared" si="29"/>
        <v>-80311428.571428582</v>
      </c>
      <c r="X35" s="168">
        <f t="shared" si="0"/>
        <v>4.2857142857142856</v>
      </c>
      <c r="Y35" s="169">
        <f t="shared" si="1"/>
        <v>-25.714285714285715</v>
      </c>
      <c r="Z35" s="169">
        <f t="shared" si="30"/>
        <v>25.714285714285712</v>
      </c>
      <c r="AA35" s="169">
        <f t="shared" si="31"/>
        <v>-4.2857142857142883</v>
      </c>
      <c r="AB35" s="169">
        <f t="shared" si="32"/>
        <v>0.8571428571428571</v>
      </c>
      <c r="AC35" s="239">
        <f t="shared" si="33"/>
        <v>1.0434782608695652</v>
      </c>
      <c r="AD35" s="142">
        <f t="shared" si="34"/>
        <v>6148086.9565217393</v>
      </c>
      <c r="AE35" s="170">
        <f>IFERROR(GETPIVOTDATA("Sum of Qty",'[2]DATA LAST MONTH IQOO'!$A$6,"ID Store",$C35),0)</f>
        <v>0</v>
      </c>
      <c r="AF35" s="171">
        <f>IFERROR(GETPIVOTDATA("Sum of Qty",[2]IQOO!$A$6,"ID Store",$C35),0)</f>
        <v>0</v>
      </c>
      <c r="AG35" s="172">
        <f t="shared" si="2"/>
        <v>0</v>
      </c>
      <c r="AH35" s="173">
        <f t="shared" si="3"/>
        <v>0</v>
      </c>
      <c r="AI35" s="174">
        <f>IFERROR(GETPIVOTDATA("Sum of Qty",'[2]DATA LAST MONTH DEVICE'!$A$6,"ID Store",$C35),0)</f>
        <v>5</v>
      </c>
      <c r="AJ35" s="147">
        <f t="shared" si="35"/>
        <v>6</v>
      </c>
      <c r="AK35" s="175">
        <f t="shared" si="4"/>
        <v>1</v>
      </c>
      <c r="AL35" s="176">
        <f t="shared" si="5"/>
        <v>0.2</v>
      </c>
      <c r="AM35" s="177">
        <f>IFERROR(GETPIVOTDATA("Sum of Qty",'[2]Store 3mio+ last month'!$A$6,"ID Store",$C35),0)</f>
        <v>32</v>
      </c>
      <c r="AN35" s="145">
        <f t="shared" si="36"/>
        <v>25.714285714285712</v>
      </c>
      <c r="AO35" s="172">
        <f t="shared" si="6"/>
        <v>-6.2857142857142883</v>
      </c>
      <c r="AP35" s="178">
        <f t="shared" si="7"/>
        <v>-0.19642857142857151</v>
      </c>
      <c r="AQ35" s="177">
        <f>IFERROR(GETPIVOTDATA("Sum of Qty",'[2]DATA LAST MONTH DEVICE'!$A$6,"ID Store",$C35,"Segment Price","3mio&gt;"),0)</f>
        <v>1</v>
      </c>
      <c r="AR35" s="179">
        <f t="shared" si="8"/>
        <v>1</v>
      </c>
      <c r="AS35" s="179">
        <f t="shared" si="9"/>
        <v>0</v>
      </c>
      <c r="AT35" s="173">
        <f t="shared" si="10"/>
        <v>0</v>
      </c>
      <c r="AU35" s="180">
        <f>IFERROR(GETPIVOTDATA("Sum of SRP",'[2]DATA LAST MONTH DEVICE'!$A$6,"ID Store",$C35),0)</f>
        <v>14795000</v>
      </c>
      <c r="AV35" s="180">
        <f t="shared" si="37"/>
        <v>18594000</v>
      </c>
      <c r="AW35" s="181">
        <f t="shared" si="11"/>
        <v>3799000</v>
      </c>
      <c r="AX35" s="182">
        <f t="shared" si="12"/>
        <v>0.25677593781683</v>
      </c>
      <c r="AY35" s="183">
        <f>IFERROR(VLOOKUP(C35,'[2]DATA SALES LAST MONTH'!A:E,5,0),0)</f>
        <v>2959000</v>
      </c>
      <c r="AZ35" s="153">
        <f t="shared" si="38"/>
        <v>3099000</v>
      </c>
      <c r="BA35" s="184">
        <f t="shared" si="13"/>
        <v>140000</v>
      </c>
      <c r="BB35" s="173">
        <f t="shared" si="14"/>
        <v>4.7313281514025009E-2</v>
      </c>
      <c r="BC35" s="154">
        <f>_xlfn.XLOOKUP(D:D,'[2]Target store'!C:C,'[2]Target store'!J:J,0)</f>
        <v>3</v>
      </c>
      <c r="BD35" s="185">
        <f>IFERROR(GETPIVOTDATA("Sum of Qty",[2]ACC!$A$5,"ID Store",$C35),0)</f>
        <v>0</v>
      </c>
      <c r="BE35" s="178">
        <f t="shared" si="15"/>
        <v>0</v>
      </c>
      <c r="BF35" s="155">
        <f>_xlfn.XLOOKUP(D:D,'[2]Target store'!C:C,'[2]Target store'!K:K,0)</f>
        <v>720000</v>
      </c>
      <c r="BG35" s="186">
        <f>IFERROR(GETPIVOTDATA("Sum of SRP",'[2]Insurance by Store'!$A$5,"ID Store",$C35,"Product Type","Qoala"),0)</f>
        <v>0</v>
      </c>
      <c r="BH35" s="178">
        <f t="shared" si="16"/>
        <v>0</v>
      </c>
      <c r="BI35" s="155">
        <f>_xlfn.XLOOKUP(D:D,'[2]Target store'!C:C,'[2]Target store'!L:L,0)</f>
        <v>160000</v>
      </c>
      <c r="BJ35" s="186">
        <f>IFERROR(GETPIVOTDATA("Sum of SRP",'[2]Insurance by Store'!$A$5,"ID Store",$C35,"Product Type","Vivo Care"),0)</f>
        <v>0</v>
      </c>
      <c r="BK35" s="178">
        <f t="shared" si="17"/>
        <v>0</v>
      </c>
      <c r="BL35" s="145">
        <f>_xlfn.XLOOKUP(D:D,'[2]Target store'!C:C,'[2]Target store'!M:M,0)</f>
        <v>320000</v>
      </c>
      <c r="BM35" s="177">
        <f>IFERROR(GETPIVOTDATA("Sum of Qty",'[2]Operator by Store'!$A$5,"ID Store",$C35,"Product Type","Indosat"),0)</f>
        <v>0</v>
      </c>
      <c r="BN35" s="178">
        <f t="shared" si="18"/>
        <v>0</v>
      </c>
      <c r="BO35" s="145">
        <f>_xlfn.XLOOKUP(D:D,'[2]Target store'!C:C,'[2]Target store'!N:N,0)</f>
        <v>480000</v>
      </c>
      <c r="BP35" s="177">
        <f>IFERROR(GETPIVOTDATA("Sum of Qty",'[2]Operator by Store'!$A$5,"ID Store",$C35,"Product Type","Telkomsel"),0)</f>
        <v>0</v>
      </c>
      <c r="BQ35" s="187">
        <f t="shared" si="19"/>
        <v>0</v>
      </c>
    </row>
    <row r="36" spans="1:69" ht="17" thickBot="1" x14ac:dyDescent="0.25">
      <c r="A36" s="157">
        <v>32</v>
      </c>
      <c r="B36" s="158" t="s">
        <v>53</v>
      </c>
      <c r="C36" s="159">
        <v>6240706</v>
      </c>
      <c r="D36" s="188" t="str">
        <f>IFERROR(INDEX('[2]Target store'!$C$5:$C$47,MATCH($C36&amp;"-*",'[2]Target store'!$C$5:$C$47,0)),"NOT FOUND")</f>
        <v>6240706-KARAWACI 1FC3A</v>
      </c>
      <c r="E36" s="188" t="s">
        <v>57</v>
      </c>
      <c r="F36" s="161">
        <v>2</v>
      </c>
      <c r="G36" s="128">
        <f>_xlfn.XLOOKUP(D:D,'[2]Target store'!C:C,'[2]Target store'!F:F,0)</f>
        <v>30</v>
      </c>
      <c r="H36" s="162">
        <f>_xlfn.XLOOKUP(D:D,'[2]Target store'!C:C,'[2]Target store'!G:G,0)</f>
        <v>120000000</v>
      </c>
      <c r="I36" s="163">
        <f>IFERROR(GETPIVOTDATA("Sum of SRP",'[2]DEVICE &amp; VALUE'!$A$6,"ID Store",$C36),0)</f>
        <v>37892000</v>
      </c>
      <c r="J36" s="164">
        <f t="shared" si="20"/>
        <v>0.31576666666666664</v>
      </c>
      <c r="K36" s="165">
        <f t="shared" si="21"/>
        <v>-82108000</v>
      </c>
      <c r="L36" s="133">
        <f>IFERROR(GETPIVOTDATA("Sum of Qty",[2]PF!$A$5,"ID Store",$C36),0)</f>
        <v>1</v>
      </c>
      <c r="M36" s="134">
        <f>IFERROR(GETPIVOTDATA("Sum of Qty",'[2]DEVICE &amp; VALUE'!$A$6,"ID Store",$C36,"Segment Price","3mio&gt;"),0)</f>
        <v>4</v>
      </c>
      <c r="N36" s="135">
        <f t="shared" si="22"/>
        <v>0.5</v>
      </c>
      <c r="O36" s="136">
        <f>IFERROR(GETPIVOTDATA("Sum of Qty",[2]IQOO!$A$6,"ID Store",$C36),0)</f>
        <v>0</v>
      </c>
      <c r="P36" s="135">
        <f t="shared" si="23"/>
        <v>0</v>
      </c>
      <c r="Q36" s="137">
        <f t="shared" si="24"/>
        <v>0.5</v>
      </c>
      <c r="R36" s="136">
        <f>IFERROR(GETPIVOTDATA("Sum of Qty",'[2]DEVICE &amp; VALUE'!$A$6,"ID Store",$C36),0)</f>
        <v>8</v>
      </c>
      <c r="S36" s="136">
        <f t="shared" si="25"/>
        <v>0.26666666666666666</v>
      </c>
      <c r="T36" s="136">
        <f t="shared" si="26"/>
        <v>-22</v>
      </c>
      <c r="U36" s="166">
        <f t="shared" si="27"/>
        <v>162394285.71428573</v>
      </c>
      <c r="V36" s="164">
        <f t="shared" si="28"/>
        <v>1.3532857142857144</v>
      </c>
      <c r="W36" s="167">
        <f t="shared" si="29"/>
        <v>42394285.714285731</v>
      </c>
      <c r="X36" s="168">
        <f t="shared" si="0"/>
        <v>17.142857142857142</v>
      </c>
      <c r="Y36" s="169">
        <f t="shared" si="1"/>
        <v>-12.857142857142858</v>
      </c>
      <c r="Z36" s="169">
        <f t="shared" si="30"/>
        <v>34.285714285714285</v>
      </c>
      <c r="AA36" s="169">
        <f t="shared" si="31"/>
        <v>4.2857142857142847</v>
      </c>
      <c r="AB36" s="169">
        <f t="shared" si="32"/>
        <v>1.1428571428571428</v>
      </c>
      <c r="AC36" s="239">
        <f t="shared" si="33"/>
        <v>0.95652173913043481</v>
      </c>
      <c r="AD36" s="142">
        <f t="shared" si="34"/>
        <v>3569913.0434782607</v>
      </c>
      <c r="AE36" s="170">
        <f>IFERROR(GETPIVOTDATA("Sum of Qty",'[2]DATA LAST MONTH IQOO'!$A$6,"ID Store",$C36),0)</f>
        <v>0</v>
      </c>
      <c r="AF36" s="171">
        <f>IFERROR(GETPIVOTDATA("Sum of Qty",[2]IQOO!$A$6,"ID Store",$C36),0)</f>
        <v>0</v>
      </c>
      <c r="AG36" s="172">
        <f t="shared" si="2"/>
        <v>0</v>
      </c>
      <c r="AH36" s="173">
        <f t="shared" si="3"/>
        <v>0</v>
      </c>
      <c r="AI36" s="174">
        <f>IFERROR(GETPIVOTDATA("Sum of Qty",'[2]DATA LAST MONTH DEVICE'!$A$6,"ID Store",$C36),0)</f>
        <v>6</v>
      </c>
      <c r="AJ36" s="147">
        <f t="shared" si="35"/>
        <v>8</v>
      </c>
      <c r="AK36" s="175">
        <f t="shared" si="4"/>
        <v>2</v>
      </c>
      <c r="AL36" s="176">
        <f t="shared" si="5"/>
        <v>0.33333333333333331</v>
      </c>
      <c r="AM36" s="177">
        <f>IFERROR(GETPIVOTDATA("Sum of Qty",'[2]Store 3mio+ last month'!$A$6,"ID Store",$C36),0)</f>
        <v>22</v>
      </c>
      <c r="AN36" s="145">
        <f t="shared" si="36"/>
        <v>34.285714285714285</v>
      </c>
      <c r="AO36" s="172">
        <f t="shared" si="6"/>
        <v>12.285714285714285</v>
      </c>
      <c r="AP36" s="178">
        <f t="shared" si="7"/>
        <v>0.55844155844155841</v>
      </c>
      <c r="AQ36" s="177">
        <f>IFERROR(GETPIVOTDATA("Sum of Qty",'[2]DATA LAST MONTH DEVICE'!$A$6,"ID Store",$C36,"Segment Price","3mio&gt;"),0)</f>
        <v>3</v>
      </c>
      <c r="AR36" s="179">
        <f t="shared" si="8"/>
        <v>4</v>
      </c>
      <c r="AS36" s="179">
        <f t="shared" si="9"/>
        <v>1</v>
      </c>
      <c r="AT36" s="173">
        <f t="shared" si="10"/>
        <v>0.33333333333333331</v>
      </c>
      <c r="AU36" s="180">
        <f>IFERROR(GETPIVOTDATA("Sum of SRP",'[2]DATA LAST MONTH DEVICE'!$A$6,"ID Store",$C36),0)</f>
        <v>21994000</v>
      </c>
      <c r="AV36" s="180">
        <f t="shared" si="37"/>
        <v>37892000</v>
      </c>
      <c r="AW36" s="181">
        <f t="shared" si="11"/>
        <v>15898000</v>
      </c>
      <c r="AX36" s="182">
        <f t="shared" si="12"/>
        <v>0.72283350004546698</v>
      </c>
      <c r="AY36" s="183">
        <f>IFERROR(VLOOKUP(C36,'[2]DATA SALES LAST MONTH'!A:E,5,0),0)</f>
        <v>3665666.6666666665</v>
      </c>
      <c r="AZ36" s="153">
        <f t="shared" si="38"/>
        <v>4736500.0000000009</v>
      </c>
      <c r="BA36" s="184">
        <f t="shared" si="13"/>
        <v>1070833.3333333344</v>
      </c>
      <c r="BB36" s="173">
        <f t="shared" si="14"/>
        <v>0.29212512503410054</v>
      </c>
      <c r="BC36" s="154">
        <f>_xlfn.XLOOKUP(D:D,'[2]Target store'!C:C,'[2]Target store'!J:J,0)</f>
        <v>3</v>
      </c>
      <c r="BD36" s="185">
        <f>IFERROR(GETPIVOTDATA("Sum of Qty",[2]ACC!$A$5,"ID Store",$C36),0)</f>
        <v>3</v>
      </c>
      <c r="BE36" s="178">
        <f t="shared" si="15"/>
        <v>1</v>
      </c>
      <c r="BF36" s="155">
        <f>_xlfn.XLOOKUP(D:D,'[2]Target store'!C:C,'[2]Target store'!K:K,0)</f>
        <v>540000</v>
      </c>
      <c r="BG36" s="186">
        <f>IFERROR(GETPIVOTDATA("Sum of SRP",'[2]Insurance by Store'!$A$5,"ID Store",$C36,"Product Type","Qoala"),0)</f>
        <v>0</v>
      </c>
      <c r="BH36" s="178">
        <f t="shared" si="16"/>
        <v>0</v>
      </c>
      <c r="BI36" s="155">
        <f>_xlfn.XLOOKUP(D:D,'[2]Target store'!C:C,'[2]Target store'!L:L,0)</f>
        <v>120000</v>
      </c>
      <c r="BJ36" s="186">
        <f>IFERROR(GETPIVOTDATA("Sum of SRP",'[2]Insurance by Store'!$A$5,"ID Store",$C36,"Product Type","Vivo Care"),0)</f>
        <v>0</v>
      </c>
      <c r="BK36" s="178">
        <f t="shared" si="17"/>
        <v>0</v>
      </c>
      <c r="BL36" s="145">
        <f>_xlfn.XLOOKUP(D:D,'[2]Target store'!C:C,'[2]Target store'!M:M,0)</f>
        <v>240000</v>
      </c>
      <c r="BM36" s="177">
        <f>IFERROR(GETPIVOTDATA("Sum of Qty",'[2]Operator by Store'!$A$5,"ID Store",$C36,"Product Type","Indosat"),0)</f>
        <v>0</v>
      </c>
      <c r="BN36" s="178">
        <f t="shared" si="18"/>
        <v>0</v>
      </c>
      <c r="BO36" s="145">
        <f>_xlfn.XLOOKUP(D:D,'[2]Target store'!C:C,'[2]Target store'!N:N,0)</f>
        <v>360000</v>
      </c>
      <c r="BP36" s="177">
        <f>IFERROR(GETPIVOTDATA("Sum of Qty",'[2]Operator by Store'!$A$5,"ID Store",$C36,"Product Type","Telkomsel"),0)</f>
        <v>0</v>
      </c>
      <c r="BQ36" s="187">
        <f t="shared" si="19"/>
        <v>0</v>
      </c>
    </row>
    <row r="37" spans="1:69" ht="17" thickBot="1" x14ac:dyDescent="0.25">
      <c r="A37" s="157">
        <v>33</v>
      </c>
      <c r="B37" s="158" t="s">
        <v>58</v>
      </c>
      <c r="C37" s="159">
        <v>6190701</v>
      </c>
      <c r="D37" s="188" t="str">
        <f>IFERROR(INDEX('[2]Target store'!$C$5:$C$47,MATCH($C37&amp;"-*",'[2]Target store'!$C$5:$C$47,0)),"NOT FOUND")</f>
        <v>6190701-BEC VIVO STORE UG</v>
      </c>
      <c r="E37" s="188" t="s">
        <v>59</v>
      </c>
      <c r="F37" s="161">
        <v>1</v>
      </c>
      <c r="G37" s="128">
        <f>_xlfn.XLOOKUP(D:D,'[2]Target store'!C:C,'[2]Target store'!F:F,0)</f>
        <v>50</v>
      </c>
      <c r="H37" s="162">
        <f>_xlfn.XLOOKUP(D:D,'[2]Target store'!C:C,'[2]Target store'!G:G,0)</f>
        <v>170000000</v>
      </c>
      <c r="I37" s="163">
        <f>IFERROR(GETPIVOTDATA("Sum of SRP",'[2]DEVICE &amp; VALUE'!$A$6,"ID Store",$C37),0)</f>
        <v>27892000</v>
      </c>
      <c r="J37" s="164">
        <f t="shared" si="20"/>
        <v>0.16407058823529411</v>
      </c>
      <c r="K37" s="165">
        <f t="shared" si="21"/>
        <v>-142108000</v>
      </c>
      <c r="L37" s="133">
        <f>IFERROR(GETPIVOTDATA("Sum of Qty",[2]PF!$A$5,"ID Store",$C37),0)</f>
        <v>0</v>
      </c>
      <c r="M37" s="134">
        <f>IFERROR(GETPIVOTDATA("Sum of Qty",'[2]DEVICE &amp; VALUE'!$A$6,"ID Store",$C37,"Segment Price","3mio&gt;"),0)</f>
        <v>1</v>
      </c>
      <c r="N37" s="135">
        <f t="shared" si="22"/>
        <v>0.125</v>
      </c>
      <c r="O37" s="136">
        <f>IFERROR(GETPIVOTDATA("Sum of Qty",[2]IQOO!$A$6,"ID Store",$C37),0)</f>
        <v>0</v>
      </c>
      <c r="P37" s="135">
        <f t="shared" si="23"/>
        <v>0</v>
      </c>
      <c r="Q37" s="137">
        <f t="shared" si="24"/>
        <v>0.125</v>
      </c>
      <c r="R37" s="136">
        <f>IFERROR(GETPIVOTDATA("Sum of Qty",'[2]DEVICE &amp; VALUE'!$A$6,"ID Store",$C37),0)</f>
        <v>8</v>
      </c>
      <c r="S37" s="136">
        <f t="shared" si="25"/>
        <v>0.16</v>
      </c>
      <c r="T37" s="136">
        <f t="shared" si="26"/>
        <v>-42</v>
      </c>
      <c r="U37" s="166">
        <f t="shared" si="27"/>
        <v>119537142.85714287</v>
      </c>
      <c r="V37" s="164">
        <f t="shared" si="28"/>
        <v>0.70315966386554629</v>
      </c>
      <c r="W37" s="167">
        <f t="shared" si="29"/>
        <v>-50462857.142857134</v>
      </c>
      <c r="X37" s="168">
        <f t="shared" si="0"/>
        <v>4.2857142857142856</v>
      </c>
      <c r="Y37" s="169">
        <f t="shared" si="1"/>
        <v>-45.714285714285715</v>
      </c>
      <c r="Z37" s="169">
        <f t="shared" si="30"/>
        <v>34.285714285714285</v>
      </c>
      <c r="AA37" s="169">
        <f t="shared" si="31"/>
        <v>-15.714285714285715</v>
      </c>
      <c r="AB37" s="169">
        <f t="shared" si="32"/>
        <v>0.68571428571428572</v>
      </c>
      <c r="AC37" s="239">
        <f t="shared" si="33"/>
        <v>1.826086956521739</v>
      </c>
      <c r="AD37" s="142">
        <f t="shared" si="34"/>
        <v>6178608.6956521738</v>
      </c>
      <c r="AE37" s="170">
        <f>IFERROR(GETPIVOTDATA("Sum of Qty",'[2]DATA LAST MONTH IQOO'!$A$6,"ID Store",$C37),0)</f>
        <v>0</v>
      </c>
      <c r="AF37" s="171">
        <f>IFERROR(GETPIVOTDATA("Sum of Qty",[2]IQOO!$A$6,"ID Store",$C37),0)</f>
        <v>0</v>
      </c>
      <c r="AG37" s="172">
        <f t="shared" si="2"/>
        <v>0</v>
      </c>
      <c r="AH37" s="173">
        <f t="shared" si="3"/>
        <v>0</v>
      </c>
      <c r="AI37" s="174">
        <f>IFERROR(GETPIVOTDATA("Sum of Qty",'[2]DATA LAST MONTH DEVICE'!$A$6,"ID Store",$C37),0)</f>
        <v>11</v>
      </c>
      <c r="AJ37" s="147">
        <f t="shared" si="35"/>
        <v>8</v>
      </c>
      <c r="AK37" s="175">
        <f t="shared" si="4"/>
        <v>-3</v>
      </c>
      <c r="AL37" s="176">
        <f t="shared" si="5"/>
        <v>-0.27272727272727271</v>
      </c>
      <c r="AM37" s="177">
        <f>IFERROR(GETPIVOTDATA("Sum of Qty",'[2]Store 3mio+ last month'!$A$6,"ID Store",$C37),0)</f>
        <v>48</v>
      </c>
      <c r="AN37" s="145">
        <f t="shared" si="36"/>
        <v>34.285714285714285</v>
      </c>
      <c r="AO37" s="172">
        <f t="shared" si="6"/>
        <v>-13.714285714285715</v>
      </c>
      <c r="AP37" s="178">
        <f t="shared" si="7"/>
        <v>-0.28571428571428575</v>
      </c>
      <c r="AQ37" s="177">
        <f>IFERROR(GETPIVOTDATA("Sum of Qty",'[2]DATA LAST MONTH DEVICE'!$A$6,"ID Store",$C37,"Segment Price","3mio&gt;"),0)</f>
        <v>4</v>
      </c>
      <c r="AR37" s="179">
        <f t="shared" si="8"/>
        <v>1</v>
      </c>
      <c r="AS37" s="179">
        <f t="shared" si="9"/>
        <v>-3</v>
      </c>
      <c r="AT37" s="173">
        <f t="shared" si="10"/>
        <v>-0.75</v>
      </c>
      <c r="AU37" s="180">
        <f>IFERROR(GETPIVOTDATA("Sum of SRP",'[2]DATA LAST MONTH DEVICE'!$A$6,"ID Store",$C37),0)</f>
        <v>34689000</v>
      </c>
      <c r="AV37" s="180">
        <f t="shared" si="37"/>
        <v>27892000</v>
      </c>
      <c r="AW37" s="181">
        <f t="shared" si="11"/>
        <v>-6797000</v>
      </c>
      <c r="AX37" s="182">
        <f t="shared" si="12"/>
        <v>-0.19594107642192049</v>
      </c>
      <c r="AY37" s="183">
        <f>IFERROR(VLOOKUP(C37,'[2]DATA SALES LAST MONTH'!A:E,5,0),0)</f>
        <v>3153545.4545454546</v>
      </c>
      <c r="AZ37" s="153">
        <f t="shared" si="38"/>
        <v>3486500.0000000005</v>
      </c>
      <c r="BA37" s="184">
        <f t="shared" si="13"/>
        <v>332954.54545454588</v>
      </c>
      <c r="BB37" s="173">
        <f t="shared" si="14"/>
        <v>0.10558101991985945</v>
      </c>
      <c r="BC37" s="154">
        <f>_xlfn.XLOOKUP(D:D,'[2]Target store'!C:C,'[2]Target store'!J:J,0)</f>
        <v>5</v>
      </c>
      <c r="BD37" s="185">
        <f>IFERROR(GETPIVOTDATA("Sum of Qty",[2]ACC!$A$5,"ID Store",$C37),0)</f>
        <v>2</v>
      </c>
      <c r="BE37" s="178">
        <f t="shared" si="15"/>
        <v>0.4</v>
      </c>
      <c r="BF37" s="155">
        <f>_xlfn.XLOOKUP(D:D,'[2]Target store'!C:C,'[2]Target store'!K:K,0)</f>
        <v>765000</v>
      </c>
      <c r="BG37" s="186">
        <f>IFERROR(GETPIVOTDATA("Sum of SRP",'[2]Insurance by Store'!$A$5,"ID Store",$C37,"Product Type","Qoala"),0)</f>
        <v>0</v>
      </c>
      <c r="BH37" s="178">
        <f t="shared" si="16"/>
        <v>0</v>
      </c>
      <c r="BI37" s="155">
        <f>_xlfn.XLOOKUP(D:D,'[2]Target store'!C:C,'[2]Target store'!L:L,0)</f>
        <v>170000</v>
      </c>
      <c r="BJ37" s="186">
        <f>IFERROR(GETPIVOTDATA("Sum of SRP",'[2]Insurance by Store'!$A$5,"ID Store",$C37,"Product Type","Vivo Care"),0)</f>
        <v>0</v>
      </c>
      <c r="BK37" s="178">
        <f t="shared" si="17"/>
        <v>0</v>
      </c>
      <c r="BL37" s="145">
        <f>_xlfn.XLOOKUP(D:D,'[2]Target store'!C:C,'[2]Target store'!M:M,0)</f>
        <v>340000</v>
      </c>
      <c r="BM37" s="177">
        <f>IFERROR(GETPIVOTDATA("Sum of Qty",'[2]Operator by Store'!$A$5,"ID Store",$C37,"Product Type","Indosat"),0)</f>
        <v>0</v>
      </c>
      <c r="BN37" s="178">
        <f t="shared" si="18"/>
        <v>0</v>
      </c>
      <c r="BO37" s="145">
        <f>_xlfn.XLOOKUP(D:D,'[2]Target store'!C:C,'[2]Target store'!N:N,0)</f>
        <v>510000</v>
      </c>
      <c r="BP37" s="177">
        <f>IFERROR(GETPIVOTDATA("Sum of Qty",'[2]Operator by Store'!$A$5,"ID Store",$C37,"Product Type","Telkomsel"),0)</f>
        <v>0</v>
      </c>
      <c r="BQ37" s="187">
        <f t="shared" si="19"/>
        <v>0</v>
      </c>
    </row>
    <row r="38" spans="1:69" ht="17" thickBot="1" x14ac:dyDescent="0.25">
      <c r="A38" s="157">
        <v>34</v>
      </c>
      <c r="B38" s="158" t="s">
        <v>58</v>
      </c>
      <c r="C38" s="159">
        <v>6190706</v>
      </c>
      <c r="D38" s="188" t="str">
        <f>IFERROR(INDEX('[2]Target store'!$C$5:$C$47,MATCH($C38&amp;"-*",'[2]Target store'!$C$5:$C$47,0)),"NOT FOUND")</f>
        <v>6190706-BEC VIVO STORE 4</v>
      </c>
      <c r="E38" s="188" t="s">
        <v>59</v>
      </c>
      <c r="F38" s="161">
        <v>4</v>
      </c>
      <c r="G38" s="128">
        <f>_xlfn.XLOOKUP(D:D,'[2]Target store'!C:C,'[2]Target store'!F:F,0)</f>
        <v>120</v>
      </c>
      <c r="H38" s="162">
        <f>_xlfn.XLOOKUP(D:D,'[2]Target store'!C:C,'[2]Target store'!G:G,0)</f>
        <v>620000000</v>
      </c>
      <c r="I38" s="163">
        <f>IFERROR(GETPIVOTDATA("Sum of SRP",'[2]DEVICE &amp; VALUE'!$A$6,"ID Store",$C38),0)</f>
        <v>101770000</v>
      </c>
      <c r="J38" s="164">
        <f t="shared" si="20"/>
        <v>0.16414516129032258</v>
      </c>
      <c r="K38" s="165">
        <f t="shared" si="21"/>
        <v>-518230000</v>
      </c>
      <c r="L38" s="133">
        <f>IFERROR(GETPIVOTDATA("Sum of Qty",[2]PF!$A$5,"ID Store",$C38),0)</f>
        <v>5</v>
      </c>
      <c r="M38" s="134">
        <f>IFERROR(GETPIVOTDATA("Sum of Qty",'[2]DEVICE &amp; VALUE'!$A$6,"ID Store",$C38,"Segment Price","3mio&gt;"),0)</f>
        <v>10</v>
      </c>
      <c r="N38" s="135">
        <f t="shared" si="22"/>
        <v>0.33333333333333331</v>
      </c>
      <c r="O38" s="136">
        <f>IFERROR(GETPIVOTDATA("Sum of Qty",[2]IQOO!$A$6,"ID Store",$C38),0)</f>
        <v>0</v>
      </c>
      <c r="P38" s="135">
        <f t="shared" si="23"/>
        <v>0</v>
      </c>
      <c r="Q38" s="137">
        <f t="shared" si="24"/>
        <v>0.33333333333333331</v>
      </c>
      <c r="R38" s="136">
        <f>IFERROR(GETPIVOTDATA("Sum of Qty",'[2]DEVICE &amp; VALUE'!$A$6,"ID Store",$C38),0)</f>
        <v>30</v>
      </c>
      <c r="S38" s="136">
        <f t="shared" si="25"/>
        <v>0.25</v>
      </c>
      <c r="T38" s="136">
        <f t="shared" si="26"/>
        <v>-90</v>
      </c>
      <c r="U38" s="166">
        <f t="shared" si="27"/>
        <v>436157142.85714287</v>
      </c>
      <c r="V38" s="164">
        <f t="shared" si="28"/>
        <v>0.70347926267281102</v>
      </c>
      <c r="W38" s="167">
        <f t="shared" si="29"/>
        <v>-183842857.14285713</v>
      </c>
      <c r="X38" s="168">
        <f t="shared" si="0"/>
        <v>42.857142857142861</v>
      </c>
      <c r="Y38" s="169">
        <f t="shared" si="1"/>
        <v>-77.142857142857139</v>
      </c>
      <c r="Z38" s="169">
        <f t="shared" si="30"/>
        <v>128.57142857142856</v>
      </c>
      <c r="AA38" s="169">
        <f t="shared" si="31"/>
        <v>8.5714285714285552</v>
      </c>
      <c r="AB38" s="169">
        <f t="shared" si="32"/>
        <v>1.0714285714285714</v>
      </c>
      <c r="AC38" s="239">
        <f t="shared" si="33"/>
        <v>3.9130434782608696</v>
      </c>
      <c r="AD38" s="142">
        <f t="shared" si="34"/>
        <v>22531739.130434781</v>
      </c>
      <c r="AE38" s="170">
        <f>IFERROR(GETPIVOTDATA("Sum of Qty",'[2]DATA LAST MONTH IQOO'!$A$6,"ID Store",$C38),0)</f>
        <v>1</v>
      </c>
      <c r="AF38" s="171">
        <f>IFERROR(GETPIVOTDATA("Sum of Qty",[2]IQOO!$A$6,"ID Store",$C38),0)</f>
        <v>0</v>
      </c>
      <c r="AG38" s="172">
        <f t="shared" si="2"/>
        <v>-1</v>
      </c>
      <c r="AH38" s="173">
        <f t="shared" si="3"/>
        <v>-1</v>
      </c>
      <c r="AI38" s="174">
        <f>IFERROR(GETPIVOTDATA("Sum of Qty",'[2]DATA LAST MONTH DEVICE'!$A$6,"ID Store",$C38),0)</f>
        <v>30</v>
      </c>
      <c r="AJ38" s="147">
        <f t="shared" si="35"/>
        <v>30</v>
      </c>
      <c r="AK38" s="175">
        <f t="shared" si="4"/>
        <v>0</v>
      </c>
      <c r="AL38" s="176">
        <f t="shared" si="5"/>
        <v>0</v>
      </c>
      <c r="AM38" s="177">
        <f>IFERROR(GETPIVOTDATA("Sum of Qty",'[2]Store 3mio+ last month'!$A$6,"ID Store",$C38),0)</f>
        <v>136</v>
      </c>
      <c r="AN38" s="145">
        <f t="shared" si="36"/>
        <v>128.57142857142856</v>
      </c>
      <c r="AO38" s="172">
        <f t="shared" si="6"/>
        <v>-7.4285714285714448</v>
      </c>
      <c r="AP38" s="178">
        <f t="shared" si="7"/>
        <v>-5.4621848739495917E-2</v>
      </c>
      <c r="AQ38" s="177">
        <f>IFERROR(GETPIVOTDATA("Sum of Qty",'[2]DATA LAST MONTH DEVICE'!$A$6,"ID Store",$C38,"Segment Price","3mio&gt;"),0)</f>
        <v>15</v>
      </c>
      <c r="AR38" s="179">
        <f t="shared" si="8"/>
        <v>10</v>
      </c>
      <c r="AS38" s="179">
        <f t="shared" si="9"/>
        <v>-5</v>
      </c>
      <c r="AT38" s="173">
        <f t="shared" si="10"/>
        <v>-0.33333333333333331</v>
      </c>
      <c r="AU38" s="180">
        <f>IFERROR(GETPIVOTDATA("Sum of SRP",'[2]DATA LAST MONTH DEVICE'!$A$6,"ID Store",$C38),0)</f>
        <v>144070000</v>
      </c>
      <c r="AV38" s="180">
        <f t="shared" si="37"/>
        <v>101770000</v>
      </c>
      <c r="AW38" s="181">
        <f t="shared" si="11"/>
        <v>-42300000</v>
      </c>
      <c r="AX38" s="182">
        <f t="shared" si="12"/>
        <v>-0.29360727424168809</v>
      </c>
      <c r="AY38" s="183">
        <f>IFERROR(VLOOKUP(C38,'[2]DATA SALES LAST MONTH'!A:E,5,0),0)</f>
        <v>4802333.333333333</v>
      </c>
      <c r="AZ38" s="153">
        <f t="shared" si="38"/>
        <v>3392333.333333334</v>
      </c>
      <c r="BA38" s="184">
        <f t="shared" si="13"/>
        <v>-1409999.9999999991</v>
      </c>
      <c r="BB38" s="173">
        <f t="shared" si="14"/>
        <v>-0.29360727424168792</v>
      </c>
      <c r="BC38" s="154">
        <f>_xlfn.XLOOKUP(D:D,'[2]Target store'!C:C,'[2]Target store'!J:J,0)</f>
        <v>12</v>
      </c>
      <c r="BD38" s="185">
        <f>IFERROR(GETPIVOTDATA("Sum of Qty",[2]ACC!$A$5,"ID Store",$C38),0)</f>
        <v>4</v>
      </c>
      <c r="BE38" s="178">
        <f t="shared" si="15"/>
        <v>0.33333333333333331</v>
      </c>
      <c r="BF38" s="155">
        <f>_xlfn.XLOOKUP(D:D,'[2]Target store'!C:C,'[2]Target store'!K:K,0)</f>
        <v>2790000</v>
      </c>
      <c r="BG38" s="186">
        <f>IFERROR(GETPIVOTDATA("Sum of SRP",'[2]Insurance by Store'!$A$5,"ID Store",$C38,"Product Type","Qoala"),0)</f>
        <v>0</v>
      </c>
      <c r="BH38" s="178">
        <f t="shared" si="16"/>
        <v>0</v>
      </c>
      <c r="BI38" s="155">
        <f>_xlfn.XLOOKUP(D:D,'[2]Target store'!C:C,'[2]Target store'!L:L,0)</f>
        <v>620000</v>
      </c>
      <c r="BJ38" s="186">
        <f>IFERROR(GETPIVOTDATA("Sum of SRP",'[2]Insurance by Store'!$A$5,"ID Store",$C38,"Product Type","Vivo Care"),0)</f>
        <v>0</v>
      </c>
      <c r="BK38" s="178">
        <f t="shared" si="17"/>
        <v>0</v>
      </c>
      <c r="BL38" s="145">
        <f>_xlfn.XLOOKUP(D:D,'[2]Target store'!C:C,'[2]Target store'!M:M,0)</f>
        <v>1240000</v>
      </c>
      <c r="BM38" s="177">
        <f>IFERROR(GETPIVOTDATA("Sum of Qty",'[2]Operator by Store'!$A$5,"ID Store",$C38,"Product Type","Indosat"),0)</f>
        <v>1</v>
      </c>
      <c r="BN38" s="178">
        <f t="shared" si="18"/>
        <v>8.064516129032258E-7</v>
      </c>
      <c r="BO38" s="145">
        <f>_xlfn.XLOOKUP(D:D,'[2]Target store'!C:C,'[2]Target store'!N:N,0)</f>
        <v>1860000</v>
      </c>
      <c r="BP38" s="177">
        <f>IFERROR(GETPIVOTDATA("Sum of Qty",'[2]Operator by Store'!$A$5,"ID Store",$C38,"Product Type","Telkomsel"),0)</f>
        <v>0</v>
      </c>
      <c r="BQ38" s="187">
        <f t="shared" si="19"/>
        <v>0</v>
      </c>
    </row>
    <row r="39" spans="1:69" ht="17" thickBot="1" x14ac:dyDescent="0.25">
      <c r="A39" s="157">
        <v>35</v>
      </c>
      <c r="B39" s="158" t="s">
        <v>58</v>
      </c>
      <c r="C39" s="159">
        <v>6190705</v>
      </c>
      <c r="D39" s="188" t="str">
        <f>IFERROR(INDEX('[2]Target store'!$C$5:$C$47,MATCH($C39&amp;"-*",'[2]Target store'!$C$5:$C$47,0)),"NOT FOUND")</f>
        <v>6190705-BEC VIVO STORE LG F20</v>
      </c>
      <c r="E39" s="188" t="s">
        <v>60</v>
      </c>
      <c r="F39" s="161">
        <v>2</v>
      </c>
      <c r="G39" s="128">
        <f>_xlfn.XLOOKUP(D:D,'[2]Target store'!C:C,'[2]Target store'!F:F,0)</f>
        <v>50</v>
      </c>
      <c r="H39" s="162">
        <f>_xlfn.XLOOKUP(D:D,'[2]Target store'!C:C,'[2]Target store'!G:G,0)</f>
        <v>150000000</v>
      </c>
      <c r="I39" s="163">
        <f>IFERROR(GETPIVOTDATA("Sum of SRP",'[2]DEVICE &amp; VALUE'!$A$6,"ID Store",$C39),0)</f>
        <v>37790000</v>
      </c>
      <c r="J39" s="164">
        <f t="shared" si="20"/>
        <v>0.25193333333333334</v>
      </c>
      <c r="K39" s="165">
        <f t="shared" si="21"/>
        <v>-112210000</v>
      </c>
      <c r="L39" s="133">
        <f>IFERROR(GETPIVOTDATA("Sum of Qty",[2]PF!$A$5,"ID Store",$C39),0)</f>
        <v>2</v>
      </c>
      <c r="M39" s="134">
        <f>IFERROR(GETPIVOTDATA("Sum of Qty",'[2]DEVICE &amp; VALUE'!$A$6,"ID Store",$C39,"Segment Price","3mio&gt;"),0)</f>
        <v>4</v>
      </c>
      <c r="N39" s="135">
        <f t="shared" si="22"/>
        <v>0.4</v>
      </c>
      <c r="O39" s="136">
        <f>IFERROR(GETPIVOTDATA("Sum of Qty",[2]IQOO!$A$6,"ID Store",$C39),0)</f>
        <v>0</v>
      </c>
      <c r="P39" s="135">
        <f t="shared" si="23"/>
        <v>0</v>
      </c>
      <c r="Q39" s="137">
        <f t="shared" si="24"/>
        <v>0.4</v>
      </c>
      <c r="R39" s="136">
        <f>IFERROR(GETPIVOTDATA("Sum of Qty",'[2]DEVICE &amp; VALUE'!$A$6,"ID Store",$C39),0)</f>
        <v>10</v>
      </c>
      <c r="S39" s="136">
        <f t="shared" si="25"/>
        <v>0.2</v>
      </c>
      <c r="T39" s="136">
        <f t="shared" si="26"/>
        <v>-40</v>
      </c>
      <c r="U39" s="166">
        <f t="shared" si="27"/>
        <v>161957142.85714284</v>
      </c>
      <c r="V39" s="164">
        <f t="shared" si="28"/>
        <v>1.0797142857142856</v>
      </c>
      <c r="W39" s="167">
        <f t="shared" si="29"/>
        <v>11957142.857142836</v>
      </c>
      <c r="X39" s="168">
        <f t="shared" si="0"/>
        <v>17.142857142857142</v>
      </c>
      <c r="Y39" s="169">
        <f t="shared" si="1"/>
        <v>-32.857142857142861</v>
      </c>
      <c r="Z39" s="169">
        <f t="shared" si="30"/>
        <v>42.857142857142861</v>
      </c>
      <c r="AA39" s="169">
        <f t="shared" si="31"/>
        <v>-7.1428571428571388</v>
      </c>
      <c r="AB39" s="169">
        <f t="shared" si="32"/>
        <v>0.85714285714285721</v>
      </c>
      <c r="AC39" s="239">
        <f t="shared" si="33"/>
        <v>1.7391304347826086</v>
      </c>
      <c r="AD39" s="142">
        <f t="shared" si="34"/>
        <v>4878695.6521739131</v>
      </c>
      <c r="AE39" s="170">
        <f>IFERROR(GETPIVOTDATA("Sum of Qty",'[2]DATA LAST MONTH IQOO'!$A$6,"ID Store",$C39),0)</f>
        <v>1</v>
      </c>
      <c r="AF39" s="171">
        <f>IFERROR(GETPIVOTDATA("Sum of Qty",[2]IQOO!$A$6,"ID Store",$C39),0)</f>
        <v>0</v>
      </c>
      <c r="AG39" s="172">
        <f t="shared" si="2"/>
        <v>-1</v>
      </c>
      <c r="AH39" s="173">
        <f t="shared" si="3"/>
        <v>-1</v>
      </c>
      <c r="AI39" s="174">
        <f>IFERROR(GETPIVOTDATA("Sum of Qty",'[2]DATA LAST MONTH DEVICE'!$A$6,"ID Store",$C39),0)</f>
        <v>9</v>
      </c>
      <c r="AJ39" s="147">
        <f t="shared" si="35"/>
        <v>10</v>
      </c>
      <c r="AK39" s="175">
        <f t="shared" si="4"/>
        <v>1</v>
      </c>
      <c r="AL39" s="176">
        <f t="shared" si="5"/>
        <v>0.1111111111111111</v>
      </c>
      <c r="AM39" s="177">
        <f>IFERROR(GETPIVOTDATA("Sum of Qty",'[2]Store 3mio+ last month'!$A$6,"ID Store",$C39),0)</f>
        <v>24</v>
      </c>
      <c r="AN39" s="145">
        <f t="shared" si="36"/>
        <v>42.857142857142861</v>
      </c>
      <c r="AO39" s="172">
        <f t="shared" si="6"/>
        <v>18.857142857142861</v>
      </c>
      <c r="AP39" s="178">
        <f t="shared" si="7"/>
        <v>0.78571428571428592</v>
      </c>
      <c r="AQ39" s="177">
        <f>IFERROR(GETPIVOTDATA("Sum of Qty",'[2]DATA LAST MONTH DEVICE'!$A$6,"ID Store",$C39,"Segment Price","3mio&gt;"),0)</f>
        <v>4</v>
      </c>
      <c r="AR39" s="179">
        <f t="shared" si="8"/>
        <v>4</v>
      </c>
      <c r="AS39" s="179">
        <f t="shared" si="9"/>
        <v>0</v>
      </c>
      <c r="AT39" s="173">
        <f t="shared" si="10"/>
        <v>0</v>
      </c>
      <c r="AU39" s="180">
        <f>IFERROR(GETPIVOTDATA("Sum of SRP",'[2]DATA LAST MONTH DEVICE'!$A$6,"ID Store",$C39),0)</f>
        <v>35391000</v>
      </c>
      <c r="AV39" s="180">
        <f t="shared" si="37"/>
        <v>37790000</v>
      </c>
      <c r="AW39" s="181">
        <f t="shared" si="11"/>
        <v>2399000</v>
      </c>
      <c r="AX39" s="182">
        <f t="shared" si="12"/>
        <v>6.7785595207821195E-2</v>
      </c>
      <c r="AY39" s="183">
        <f>IFERROR(VLOOKUP(C39,'[2]DATA SALES LAST MONTH'!A:E,5,0),0)</f>
        <v>3932333.3333333335</v>
      </c>
      <c r="AZ39" s="153">
        <f t="shared" si="38"/>
        <v>3778999.9999999991</v>
      </c>
      <c r="BA39" s="184">
        <f t="shared" si="13"/>
        <v>-153333.33333333442</v>
      </c>
      <c r="BB39" s="173">
        <f t="shared" si="14"/>
        <v>-3.8992964312961197E-2</v>
      </c>
      <c r="BC39" s="154">
        <f>_xlfn.XLOOKUP(D:D,'[2]Target store'!C:C,'[2]Target store'!J:J,0)</f>
        <v>5</v>
      </c>
      <c r="BD39" s="185">
        <f>IFERROR(GETPIVOTDATA("Sum of Qty",[2]ACC!$A$5,"ID Store",$C39),0)</f>
        <v>0</v>
      </c>
      <c r="BE39" s="178">
        <f t="shared" si="15"/>
        <v>0</v>
      </c>
      <c r="BF39" s="155">
        <f>_xlfn.XLOOKUP(D:D,'[2]Target store'!C:C,'[2]Target store'!K:K,0)</f>
        <v>675000</v>
      </c>
      <c r="BG39" s="186">
        <f>IFERROR(GETPIVOTDATA("Sum of SRP",'[2]Insurance by Store'!$A$5,"ID Store",$C39,"Product Type","Qoala"),0)</f>
        <v>0</v>
      </c>
      <c r="BH39" s="178">
        <f t="shared" si="16"/>
        <v>0</v>
      </c>
      <c r="BI39" s="155">
        <f>_xlfn.XLOOKUP(D:D,'[2]Target store'!C:C,'[2]Target store'!L:L,0)</f>
        <v>150000</v>
      </c>
      <c r="BJ39" s="186">
        <f>IFERROR(GETPIVOTDATA("Sum of SRP",'[2]Insurance by Store'!$A$5,"ID Store",$C39,"Product Type","Vivo Care"),0)</f>
        <v>0</v>
      </c>
      <c r="BK39" s="178">
        <f t="shared" si="17"/>
        <v>0</v>
      </c>
      <c r="BL39" s="145">
        <f>_xlfn.XLOOKUP(D:D,'[2]Target store'!C:C,'[2]Target store'!M:M,0)</f>
        <v>300000</v>
      </c>
      <c r="BM39" s="177">
        <f>IFERROR(GETPIVOTDATA("Sum of Qty",'[2]Operator by Store'!$A$5,"ID Store",$C39,"Product Type","Indosat"),0)</f>
        <v>0</v>
      </c>
      <c r="BN39" s="178">
        <f t="shared" si="18"/>
        <v>0</v>
      </c>
      <c r="BO39" s="145">
        <f>_xlfn.XLOOKUP(D:D,'[2]Target store'!C:C,'[2]Target store'!N:N,0)</f>
        <v>450000</v>
      </c>
      <c r="BP39" s="177">
        <f>IFERROR(GETPIVOTDATA("Sum of Qty",'[2]Operator by Store'!$A$5,"ID Store",$C39,"Product Type","Telkomsel"),0)</f>
        <v>0</v>
      </c>
      <c r="BQ39" s="187">
        <f t="shared" si="19"/>
        <v>0</v>
      </c>
    </row>
    <row r="40" spans="1:69" ht="17" thickBot="1" x14ac:dyDescent="0.25">
      <c r="A40" s="157">
        <v>36</v>
      </c>
      <c r="B40" s="158" t="s">
        <v>58</v>
      </c>
      <c r="C40" s="159">
        <v>6190704</v>
      </c>
      <c r="D40" s="188" t="str">
        <f>IFERROR(INDEX('[2]Target store'!$C$5:$C$47,MATCH($C40&amp;"-*",'[2]Target store'!$C$5:$C$47,0)),"NOT FOUND")</f>
        <v>6190704-BEC VIVO STORE 1</v>
      </c>
      <c r="E40" s="188" t="s">
        <v>60</v>
      </c>
      <c r="F40" s="161">
        <v>4</v>
      </c>
      <c r="G40" s="128">
        <f>_xlfn.XLOOKUP(D:D,'[2]Target store'!C:C,'[2]Target store'!F:F,0)</f>
        <v>110</v>
      </c>
      <c r="H40" s="162">
        <f>_xlfn.XLOOKUP(D:D,'[2]Target store'!C:C,'[2]Target store'!G:G,0)</f>
        <v>500000000</v>
      </c>
      <c r="I40" s="163">
        <f>IFERROR(GETPIVOTDATA("Sum of SRP",'[2]DEVICE &amp; VALUE'!$A$6,"ID Store",$C40),0)</f>
        <v>95577000</v>
      </c>
      <c r="J40" s="164">
        <f t="shared" si="20"/>
        <v>0.19115399999999999</v>
      </c>
      <c r="K40" s="165">
        <f t="shared" si="21"/>
        <v>-404423000</v>
      </c>
      <c r="L40" s="133">
        <f>IFERROR(GETPIVOTDATA("Sum of Qty",[2]PF!$A$5,"ID Store",$C40),0)</f>
        <v>5</v>
      </c>
      <c r="M40" s="134">
        <f>IFERROR(GETPIVOTDATA("Sum of Qty",'[2]DEVICE &amp; VALUE'!$A$6,"ID Store",$C40,"Segment Price","3mio&gt;"),0)</f>
        <v>12</v>
      </c>
      <c r="N40" s="135">
        <f t="shared" si="22"/>
        <v>0.52173913043478259</v>
      </c>
      <c r="O40" s="136">
        <f>IFERROR(GETPIVOTDATA("Sum of Qty",[2]IQOO!$A$6,"ID Store",$C40),0)</f>
        <v>0</v>
      </c>
      <c r="P40" s="135">
        <f t="shared" si="23"/>
        <v>0</v>
      </c>
      <c r="Q40" s="137">
        <f t="shared" si="24"/>
        <v>0.52173913043478259</v>
      </c>
      <c r="R40" s="136">
        <f>IFERROR(GETPIVOTDATA("Sum of Qty",'[2]DEVICE &amp; VALUE'!$A$6,"ID Store",$C40),0)</f>
        <v>23</v>
      </c>
      <c r="S40" s="136">
        <f t="shared" si="25"/>
        <v>0.20909090909090908</v>
      </c>
      <c r="T40" s="136">
        <f t="shared" si="26"/>
        <v>-87</v>
      </c>
      <c r="U40" s="166">
        <f t="shared" si="27"/>
        <v>409615714.28571433</v>
      </c>
      <c r="V40" s="164">
        <f t="shared" si="28"/>
        <v>0.81923142857142861</v>
      </c>
      <c r="W40" s="167">
        <f t="shared" si="29"/>
        <v>-90384285.714285672</v>
      </c>
      <c r="X40" s="168">
        <f t="shared" si="0"/>
        <v>51.428571428571423</v>
      </c>
      <c r="Y40" s="169">
        <f t="shared" si="1"/>
        <v>-58.571428571428577</v>
      </c>
      <c r="Z40" s="169">
        <f t="shared" si="30"/>
        <v>98.571428571428569</v>
      </c>
      <c r="AA40" s="169">
        <f t="shared" si="31"/>
        <v>-11.428571428571431</v>
      </c>
      <c r="AB40" s="169">
        <f t="shared" si="32"/>
        <v>0.89610389610389607</v>
      </c>
      <c r="AC40" s="239">
        <f t="shared" si="33"/>
        <v>3.7826086956521738</v>
      </c>
      <c r="AD40" s="142">
        <f t="shared" si="34"/>
        <v>17583608.695652176</v>
      </c>
      <c r="AE40" s="170">
        <f>IFERROR(GETPIVOTDATA("Sum of Qty",'[2]DATA LAST MONTH IQOO'!$A$6,"ID Store",$C40),0)</f>
        <v>0</v>
      </c>
      <c r="AF40" s="171">
        <f>IFERROR(GETPIVOTDATA("Sum of Qty",[2]IQOO!$A$6,"ID Store",$C40),0)</f>
        <v>0</v>
      </c>
      <c r="AG40" s="172">
        <f t="shared" si="2"/>
        <v>0</v>
      </c>
      <c r="AH40" s="173">
        <f t="shared" si="3"/>
        <v>0</v>
      </c>
      <c r="AI40" s="174">
        <f>IFERROR(GETPIVOTDATA("Sum of Qty",'[2]DATA LAST MONTH DEVICE'!$A$6,"ID Store",$C40),0)</f>
        <v>32</v>
      </c>
      <c r="AJ40" s="147">
        <f t="shared" si="35"/>
        <v>23</v>
      </c>
      <c r="AK40" s="175">
        <f t="shared" si="4"/>
        <v>-9</v>
      </c>
      <c r="AL40" s="176">
        <f t="shared" si="5"/>
        <v>-0.28125</v>
      </c>
      <c r="AM40" s="177">
        <f>IFERROR(GETPIVOTDATA("Sum of Qty",'[2]Store 3mio+ last month'!$A$6,"ID Store",$C40),0)</f>
        <v>107</v>
      </c>
      <c r="AN40" s="145">
        <f t="shared" si="36"/>
        <v>98.571428571428569</v>
      </c>
      <c r="AO40" s="172">
        <f t="shared" si="6"/>
        <v>-8.4285714285714306</v>
      </c>
      <c r="AP40" s="178">
        <f t="shared" si="7"/>
        <v>-7.8771695594125515E-2</v>
      </c>
      <c r="AQ40" s="177">
        <f>IFERROR(GETPIVOTDATA("Sum of Qty",'[2]DATA LAST MONTH DEVICE'!$A$6,"ID Store",$C40,"Segment Price","3mio&gt;"),0)</f>
        <v>11</v>
      </c>
      <c r="AR40" s="179">
        <f t="shared" si="8"/>
        <v>12</v>
      </c>
      <c r="AS40" s="179">
        <f t="shared" si="9"/>
        <v>1</v>
      </c>
      <c r="AT40" s="173">
        <f t="shared" si="10"/>
        <v>9.0909090909090912E-2</v>
      </c>
      <c r="AU40" s="180">
        <f>IFERROR(GETPIVOTDATA("Sum of SRP",'[2]DATA LAST MONTH DEVICE'!$A$6,"ID Store",$C40),0)</f>
        <v>116968000</v>
      </c>
      <c r="AV40" s="180">
        <f t="shared" si="37"/>
        <v>95577000</v>
      </c>
      <c r="AW40" s="181">
        <f t="shared" si="11"/>
        <v>-21391000</v>
      </c>
      <c r="AX40" s="182">
        <f t="shared" si="12"/>
        <v>-0.18287907803843786</v>
      </c>
      <c r="AY40" s="183">
        <f>IFERROR(VLOOKUP(C40,'[2]DATA SALES LAST MONTH'!A:E,5,0),0)</f>
        <v>3655250</v>
      </c>
      <c r="AZ40" s="153">
        <f t="shared" si="38"/>
        <v>4155521.7391304355</v>
      </c>
      <c r="BA40" s="184">
        <f t="shared" si="13"/>
        <v>500271.73913043551</v>
      </c>
      <c r="BB40" s="173">
        <f t="shared" si="14"/>
        <v>0.13686389142478231</v>
      </c>
      <c r="BC40" s="154">
        <f>_xlfn.XLOOKUP(D:D,'[2]Target store'!C:C,'[2]Target store'!J:J,0)</f>
        <v>11</v>
      </c>
      <c r="BD40" s="185">
        <f>IFERROR(GETPIVOTDATA("Sum of Qty",[2]ACC!$A$5,"ID Store",$C40),0)</f>
        <v>1</v>
      </c>
      <c r="BE40" s="178">
        <f t="shared" si="15"/>
        <v>9.0909090909090912E-2</v>
      </c>
      <c r="BF40" s="155">
        <f>_xlfn.XLOOKUP(D:D,'[2]Target store'!C:C,'[2]Target store'!K:K,0)</f>
        <v>2250000</v>
      </c>
      <c r="BG40" s="186">
        <f>IFERROR(GETPIVOTDATA("Sum of SRP",'[2]Insurance by Store'!$A$5,"ID Store",$C40,"Product Type","Qoala"),0)</f>
        <v>0</v>
      </c>
      <c r="BH40" s="178">
        <f t="shared" si="16"/>
        <v>0</v>
      </c>
      <c r="BI40" s="155">
        <f>_xlfn.XLOOKUP(D:D,'[2]Target store'!C:C,'[2]Target store'!L:L,0)</f>
        <v>500000</v>
      </c>
      <c r="BJ40" s="186">
        <f>IFERROR(GETPIVOTDATA("Sum of SRP",'[2]Insurance by Store'!$A$5,"ID Store",$C40,"Product Type","Vivo Care"),0)</f>
        <v>0</v>
      </c>
      <c r="BK40" s="178">
        <f t="shared" si="17"/>
        <v>0</v>
      </c>
      <c r="BL40" s="145">
        <f>_xlfn.XLOOKUP(D:D,'[2]Target store'!C:C,'[2]Target store'!M:M,0)</f>
        <v>1000000</v>
      </c>
      <c r="BM40" s="177">
        <f>IFERROR(GETPIVOTDATA("Sum of Qty",'[2]Operator by Store'!$A$5,"ID Store",$C40,"Product Type","Indosat"),0)</f>
        <v>0</v>
      </c>
      <c r="BN40" s="178">
        <f t="shared" si="18"/>
        <v>0</v>
      </c>
      <c r="BO40" s="145">
        <f>_xlfn.XLOOKUP(D:D,'[2]Target store'!C:C,'[2]Target store'!N:N,0)</f>
        <v>1500000</v>
      </c>
      <c r="BP40" s="177">
        <f>IFERROR(GETPIVOTDATA("Sum of Qty",'[2]Operator by Store'!$A$5,"ID Store",$C40,"Product Type","Telkomsel"),0)</f>
        <v>0</v>
      </c>
      <c r="BQ40" s="187">
        <f t="shared" si="19"/>
        <v>0</v>
      </c>
    </row>
    <row r="41" spans="1:69" ht="17" thickBot="1" x14ac:dyDescent="0.25">
      <c r="A41" s="157">
        <v>37</v>
      </c>
      <c r="B41" s="158" t="s">
        <v>58</v>
      </c>
      <c r="C41" s="159">
        <v>6190707</v>
      </c>
      <c r="D41" s="188" t="str">
        <f>IFERROR(INDEX('[2]Target store'!$C$5:$C$47,MATCH($C41&amp;"-*",'[2]Target store'!$C$5:$C$47,0)),"NOT FOUND")</f>
        <v>6190707-BEC VIVO STORE LU</v>
      </c>
      <c r="E41" s="188" t="s">
        <v>60</v>
      </c>
      <c r="F41" s="161">
        <v>4</v>
      </c>
      <c r="G41" s="128">
        <f>_xlfn.XLOOKUP(D:D,'[2]Target store'!C:C,'[2]Target store'!F:F,0)</f>
        <v>120</v>
      </c>
      <c r="H41" s="162">
        <f>_xlfn.XLOOKUP(D:D,'[2]Target store'!C:C,'[2]Target store'!G:G,0)</f>
        <v>500000000</v>
      </c>
      <c r="I41" s="163">
        <f>IFERROR(GETPIVOTDATA("Sum of SRP",'[2]DEVICE &amp; VALUE'!$A$6,"ID Store",$C41),0)</f>
        <v>152463000</v>
      </c>
      <c r="J41" s="164">
        <f t="shared" si="20"/>
        <v>0.30492599999999997</v>
      </c>
      <c r="K41" s="165">
        <f t="shared" si="21"/>
        <v>-347537000</v>
      </c>
      <c r="L41" s="133">
        <f>IFERROR(GETPIVOTDATA("Sum of Qty",[2]PF!$A$5,"ID Store",$C41),0)</f>
        <v>5</v>
      </c>
      <c r="M41" s="134">
        <f>IFERROR(GETPIVOTDATA("Sum of Qty",'[2]DEVICE &amp; VALUE'!$A$6,"ID Store",$C41,"Segment Price","3mio&gt;"),0)</f>
        <v>19</v>
      </c>
      <c r="N41" s="135">
        <f t="shared" si="22"/>
        <v>0.51351351351351349</v>
      </c>
      <c r="O41" s="136">
        <f>IFERROR(GETPIVOTDATA("Sum of Qty",[2]IQOO!$A$6,"ID Store",$C41),0)</f>
        <v>0</v>
      </c>
      <c r="P41" s="135">
        <f t="shared" si="23"/>
        <v>0</v>
      </c>
      <c r="Q41" s="137">
        <f t="shared" si="24"/>
        <v>0.51351351351351349</v>
      </c>
      <c r="R41" s="136">
        <f>IFERROR(GETPIVOTDATA("Sum of Qty",'[2]DEVICE &amp; VALUE'!$A$6,"ID Store",$C41),0)</f>
        <v>37</v>
      </c>
      <c r="S41" s="136">
        <f t="shared" si="25"/>
        <v>0.30833333333333335</v>
      </c>
      <c r="T41" s="136">
        <f t="shared" si="26"/>
        <v>-83</v>
      </c>
      <c r="U41" s="166">
        <f t="shared" si="27"/>
        <v>653412857.14285707</v>
      </c>
      <c r="V41" s="164">
        <f t="shared" si="28"/>
        <v>1.3068257142857143</v>
      </c>
      <c r="W41" s="167">
        <f t="shared" si="29"/>
        <v>153412857.14285707</v>
      </c>
      <c r="X41" s="168">
        <f t="shared" si="0"/>
        <v>81.428571428571431</v>
      </c>
      <c r="Y41" s="169">
        <f t="shared" si="1"/>
        <v>-38.571428571428569</v>
      </c>
      <c r="Z41" s="169">
        <f t="shared" si="30"/>
        <v>158.57142857142856</v>
      </c>
      <c r="AA41" s="169">
        <f t="shared" si="31"/>
        <v>38.571428571428555</v>
      </c>
      <c r="AB41" s="169">
        <f t="shared" si="32"/>
        <v>1.3214285714285714</v>
      </c>
      <c r="AC41" s="239">
        <f t="shared" si="33"/>
        <v>3.6086956521739131</v>
      </c>
      <c r="AD41" s="142">
        <f t="shared" si="34"/>
        <v>15110304.347826088</v>
      </c>
      <c r="AE41" s="170">
        <f>IFERROR(GETPIVOTDATA("Sum of Qty",'[2]DATA LAST MONTH IQOO'!$A$6,"ID Store",$C41),0)</f>
        <v>3</v>
      </c>
      <c r="AF41" s="171">
        <f>IFERROR(GETPIVOTDATA("Sum of Qty",[2]IQOO!$A$6,"ID Store",$C41),0)</f>
        <v>0</v>
      </c>
      <c r="AG41" s="172">
        <f t="shared" si="2"/>
        <v>-3</v>
      </c>
      <c r="AH41" s="173">
        <f t="shared" si="3"/>
        <v>-1</v>
      </c>
      <c r="AI41" s="174">
        <f>IFERROR(GETPIVOTDATA("Sum of Qty",'[2]DATA LAST MONTH DEVICE'!$A$6,"ID Store",$C41),0)</f>
        <v>33</v>
      </c>
      <c r="AJ41" s="147">
        <f t="shared" si="35"/>
        <v>37</v>
      </c>
      <c r="AK41" s="175">
        <f t="shared" si="4"/>
        <v>4</v>
      </c>
      <c r="AL41" s="176">
        <f t="shared" si="5"/>
        <v>0.12121212121212122</v>
      </c>
      <c r="AM41" s="177">
        <f>IFERROR(GETPIVOTDATA("Sum of Qty",'[2]Store 3mio+ last month'!$A$6,"ID Store",$C41),0)</f>
        <v>110</v>
      </c>
      <c r="AN41" s="145">
        <f t="shared" si="36"/>
        <v>158.57142857142856</v>
      </c>
      <c r="AO41" s="172">
        <f t="shared" si="6"/>
        <v>48.571428571428555</v>
      </c>
      <c r="AP41" s="178">
        <f t="shared" si="7"/>
        <v>0.44155844155844143</v>
      </c>
      <c r="AQ41" s="177">
        <f>IFERROR(GETPIVOTDATA("Sum of Qty",'[2]DATA LAST MONTH DEVICE'!$A$6,"ID Store",$C41,"Segment Price","3mio&gt;"),0)</f>
        <v>9</v>
      </c>
      <c r="AR41" s="179">
        <f t="shared" si="8"/>
        <v>19</v>
      </c>
      <c r="AS41" s="179">
        <f t="shared" si="9"/>
        <v>10</v>
      </c>
      <c r="AT41" s="173">
        <f t="shared" si="10"/>
        <v>1.1111111111111112</v>
      </c>
      <c r="AU41" s="180">
        <f>IFERROR(GETPIVOTDATA("Sum of SRP",'[2]DATA LAST MONTH DEVICE'!$A$6,"ID Store",$C41),0)</f>
        <v>113767000</v>
      </c>
      <c r="AV41" s="180">
        <f t="shared" si="37"/>
        <v>152463000</v>
      </c>
      <c r="AW41" s="181">
        <f t="shared" si="11"/>
        <v>38696000</v>
      </c>
      <c r="AX41" s="182">
        <f t="shared" si="12"/>
        <v>0.34013378220397833</v>
      </c>
      <c r="AY41" s="183">
        <f>IFERROR(VLOOKUP(C41,'[2]DATA SALES LAST MONTH'!A:E,5,0),0)</f>
        <v>3447484.8484848486</v>
      </c>
      <c r="AZ41" s="153">
        <f t="shared" si="38"/>
        <v>4120621.6216216218</v>
      </c>
      <c r="BA41" s="184">
        <f t="shared" si="13"/>
        <v>673136.77313677315</v>
      </c>
      <c r="BB41" s="173">
        <f t="shared" si="14"/>
        <v>0.19525445439814282</v>
      </c>
      <c r="BC41" s="154">
        <f>_xlfn.XLOOKUP(D:D,'[2]Target store'!C:C,'[2]Target store'!J:J,0)</f>
        <v>12</v>
      </c>
      <c r="BD41" s="185">
        <f>IFERROR(GETPIVOTDATA("Sum of Qty",[2]ACC!$A$5,"ID Store",$C41),0)</f>
        <v>4</v>
      </c>
      <c r="BE41" s="178">
        <f t="shared" si="15"/>
        <v>0.33333333333333331</v>
      </c>
      <c r="BF41" s="155">
        <f>_xlfn.XLOOKUP(D:D,'[2]Target store'!C:C,'[2]Target store'!K:K,0)</f>
        <v>2250000</v>
      </c>
      <c r="BG41" s="186">
        <f>IFERROR(GETPIVOTDATA("Sum of SRP",'[2]Insurance by Store'!$A$5,"ID Store",$C41,"Product Type","Qoala"),0)</f>
        <v>0</v>
      </c>
      <c r="BH41" s="178">
        <f t="shared" si="16"/>
        <v>0</v>
      </c>
      <c r="BI41" s="155">
        <f>_xlfn.XLOOKUP(D:D,'[2]Target store'!C:C,'[2]Target store'!L:L,0)</f>
        <v>500000</v>
      </c>
      <c r="BJ41" s="186">
        <f>IFERROR(GETPIVOTDATA("Sum of SRP",'[2]Insurance by Store'!$A$5,"ID Store",$C41,"Product Type","Vivo Care"),0)</f>
        <v>0</v>
      </c>
      <c r="BK41" s="178">
        <f t="shared" si="17"/>
        <v>0</v>
      </c>
      <c r="BL41" s="145">
        <f>_xlfn.XLOOKUP(D:D,'[2]Target store'!C:C,'[2]Target store'!M:M,0)</f>
        <v>1000000</v>
      </c>
      <c r="BM41" s="177">
        <f>IFERROR(GETPIVOTDATA("Sum of Qty",'[2]Operator by Store'!$A$5,"ID Store",$C41,"Product Type","Indosat"),0)</f>
        <v>1</v>
      </c>
      <c r="BN41" s="178">
        <f t="shared" si="18"/>
        <v>9.9999999999999995E-7</v>
      </c>
      <c r="BO41" s="145">
        <f>_xlfn.XLOOKUP(D:D,'[2]Target store'!C:C,'[2]Target store'!N:N,0)</f>
        <v>1500000</v>
      </c>
      <c r="BP41" s="177">
        <f>IFERROR(GETPIVOTDATA("Sum of Qty",'[2]Operator by Store'!$A$5,"ID Store",$C41,"Product Type","Telkomsel"),0)</f>
        <v>0</v>
      </c>
      <c r="BQ41" s="187">
        <f t="shared" si="19"/>
        <v>0</v>
      </c>
    </row>
    <row r="42" spans="1:69" ht="17" thickBot="1" x14ac:dyDescent="0.25">
      <c r="A42" s="157">
        <v>38</v>
      </c>
      <c r="B42" s="158" t="s">
        <v>58</v>
      </c>
      <c r="C42" s="159">
        <v>6190708</v>
      </c>
      <c r="D42" s="188" t="str">
        <f>IFERROR(INDEX('[2]Target store'!$C$5:$C$47,MATCH($C42&amp;"-*",'[2]Target store'!$C$5:$C$47,0)),"NOT FOUND")</f>
        <v>6190708-BEC SC LGAA07</v>
      </c>
      <c r="E42" s="188" t="s">
        <v>60</v>
      </c>
      <c r="F42" s="161">
        <v>1</v>
      </c>
      <c r="G42" s="128">
        <f>_xlfn.XLOOKUP(D:D,'[2]Target store'!C:C,'[2]Target store'!F:F,0)</f>
        <v>20</v>
      </c>
      <c r="H42" s="162">
        <f>_xlfn.XLOOKUP(D:D,'[2]Target store'!C:C,'[2]Target store'!G:G,0)</f>
        <v>80000000</v>
      </c>
      <c r="I42" s="163">
        <f>IFERROR(GETPIVOTDATA("Sum of SRP",'[2]DEVICE &amp; VALUE'!$A$6,"ID Store",$C42),0)</f>
        <v>45390000</v>
      </c>
      <c r="J42" s="164">
        <f t="shared" si="20"/>
        <v>0.56737499999999996</v>
      </c>
      <c r="K42" s="165">
        <f t="shared" si="21"/>
        <v>-34610000</v>
      </c>
      <c r="L42" s="133">
        <f>IFERROR(GETPIVOTDATA("Sum of Qty",[2]PF!$A$5,"ID Store",$C42),0)</f>
        <v>6</v>
      </c>
      <c r="M42" s="134">
        <f>IFERROR(GETPIVOTDATA("Sum of Qty",'[2]DEVICE &amp; VALUE'!$A$6,"ID Store",$C42,"Segment Price","3mio&gt;"),0)</f>
        <v>8</v>
      </c>
      <c r="N42" s="135">
        <f t="shared" si="22"/>
        <v>0.8</v>
      </c>
      <c r="O42" s="136">
        <f>IFERROR(GETPIVOTDATA("Sum of Qty",[2]IQOO!$A$6,"ID Store",$C42),0)</f>
        <v>0</v>
      </c>
      <c r="P42" s="135">
        <f t="shared" si="23"/>
        <v>0</v>
      </c>
      <c r="Q42" s="137">
        <f t="shared" si="24"/>
        <v>0.8</v>
      </c>
      <c r="R42" s="136">
        <f>IFERROR(GETPIVOTDATA("Sum of Qty",'[2]DEVICE &amp; VALUE'!$A$6,"ID Store",$C42),0)</f>
        <v>10</v>
      </c>
      <c r="S42" s="136">
        <f t="shared" si="25"/>
        <v>0.5</v>
      </c>
      <c r="T42" s="136">
        <f t="shared" si="26"/>
        <v>-10</v>
      </c>
      <c r="U42" s="166">
        <f t="shared" si="27"/>
        <v>194528571.42857143</v>
      </c>
      <c r="V42" s="164">
        <f t="shared" si="28"/>
        <v>2.4316071428571431</v>
      </c>
      <c r="W42" s="167">
        <f t="shared" si="29"/>
        <v>114528571.42857143</v>
      </c>
      <c r="X42" s="168">
        <f t="shared" si="0"/>
        <v>34.285714285714285</v>
      </c>
      <c r="Y42" s="169">
        <f t="shared" si="1"/>
        <v>14.285714285714285</v>
      </c>
      <c r="Z42" s="169">
        <f t="shared" si="30"/>
        <v>42.857142857142861</v>
      </c>
      <c r="AA42" s="169">
        <f t="shared" si="31"/>
        <v>22.857142857142861</v>
      </c>
      <c r="AB42" s="169">
        <f t="shared" si="32"/>
        <v>2.1428571428571432</v>
      </c>
      <c r="AC42" s="239">
        <f t="shared" si="33"/>
        <v>0.43478260869565216</v>
      </c>
      <c r="AD42" s="142">
        <f t="shared" si="34"/>
        <v>1504782.6086956521</v>
      </c>
      <c r="AE42" s="170">
        <f>IFERROR(GETPIVOTDATA("Sum of Qty",'[2]DATA LAST MONTH IQOO'!$A$6,"ID Store",$C42),0)</f>
        <v>0</v>
      </c>
      <c r="AF42" s="171">
        <f>IFERROR(GETPIVOTDATA("Sum of Qty",[2]IQOO!$A$6,"ID Store",$C42),0)</f>
        <v>0</v>
      </c>
      <c r="AG42" s="172">
        <f t="shared" si="2"/>
        <v>0</v>
      </c>
      <c r="AH42" s="173">
        <f t="shared" si="3"/>
        <v>0</v>
      </c>
      <c r="AI42" s="174">
        <f>IFERROR(GETPIVOTDATA("Sum of Qty",'[2]DATA LAST MONTH DEVICE'!$A$6,"ID Store",$C42),0)</f>
        <v>2</v>
      </c>
      <c r="AJ42" s="147">
        <f t="shared" si="35"/>
        <v>10</v>
      </c>
      <c r="AK42" s="175">
        <f t="shared" si="4"/>
        <v>8</v>
      </c>
      <c r="AL42" s="176">
        <f t="shared" si="5"/>
        <v>4</v>
      </c>
      <c r="AM42" s="177">
        <f>IFERROR(GETPIVOTDATA("Sum of Qty",'[2]Store 3mio+ last month'!$A$6,"ID Store",$C42),0)</f>
        <v>15</v>
      </c>
      <c r="AN42" s="145">
        <f t="shared" si="36"/>
        <v>42.857142857142861</v>
      </c>
      <c r="AO42" s="172">
        <f t="shared" si="6"/>
        <v>27.857142857142861</v>
      </c>
      <c r="AP42" s="178">
        <f t="shared" si="7"/>
        <v>1.8571428571428574</v>
      </c>
      <c r="AQ42" s="177">
        <f>IFERROR(GETPIVOTDATA("Sum of Qty",'[2]DATA LAST MONTH DEVICE'!$A$6,"ID Store",$C42,"Segment Price","3mio&gt;"),0)</f>
        <v>1</v>
      </c>
      <c r="AR42" s="179">
        <f t="shared" si="8"/>
        <v>8</v>
      </c>
      <c r="AS42" s="179">
        <f t="shared" si="9"/>
        <v>7</v>
      </c>
      <c r="AT42" s="173">
        <f t="shared" si="10"/>
        <v>7</v>
      </c>
      <c r="AU42" s="180">
        <f>IFERROR(GETPIVOTDATA("Sum of SRP",'[2]DATA LAST MONTH DEVICE'!$A$6,"ID Store",$C42),0)</f>
        <v>12798000</v>
      </c>
      <c r="AV42" s="180">
        <f t="shared" si="37"/>
        <v>45390000</v>
      </c>
      <c r="AW42" s="181">
        <f t="shared" si="11"/>
        <v>32592000</v>
      </c>
      <c r="AX42" s="182">
        <f t="shared" si="12"/>
        <v>2.5466479137365212</v>
      </c>
      <c r="AY42" s="183">
        <f>IFERROR(VLOOKUP(C42,'[2]DATA SALES LAST MONTH'!A:E,5,0),0)</f>
        <v>0</v>
      </c>
      <c r="AZ42" s="153">
        <f t="shared" si="38"/>
        <v>4539000</v>
      </c>
      <c r="BA42" s="184">
        <f t="shared" si="13"/>
        <v>4539000</v>
      </c>
      <c r="BB42" s="173">
        <f t="shared" si="14"/>
        <v>0</v>
      </c>
      <c r="BC42" s="154">
        <f>_xlfn.XLOOKUP(D:D,'[2]Target store'!C:C,'[2]Target store'!J:J,0)</f>
        <v>2</v>
      </c>
      <c r="BD42" s="185">
        <f>IFERROR(GETPIVOTDATA("Sum of Qty",[2]ACC!$A$5,"ID Store",$C42),0)</f>
        <v>0</v>
      </c>
      <c r="BE42" s="178">
        <f t="shared" si="15"/>
        <v>0</v>
      </c>
      <c r="BF42" s="155">
        <f>_xlfn.XLOOKUP(D:D,'[2]Target store'!C:C,'[2]Target store'!K:K,0)</f>
        <v>360000</v>
      </c>
      <c r="BG42" s="186">
        <f>IFERROR(GETPIVOTDATA("Sum of SRP",'[2]Insurance by Store'!$A$5,"ID Store",$C42,"Product Type","Qoala"),0)</f>
        <v>0</v>
      </c>
      <c r="BH42" s="178">
        <f t="shared" si="16"/>
        <v>0</v>
      </c>
      <c r="BI42" s="155">
        <f>_xlfn.XLOOKUP(D:D,'[2]Target store'!C:C,'[2]Target store'!L:L,0)</f>
        <v>80000</v>
      </c>
      <c r="BJ42" s="186">
        <f>IFERROR(GETPIVOTDATA("Sum of SRP",'[2]Insurance by Store'!$A$5,"ID Store",$C42,"Product Type","Vivo Care"),0)</f>
        <v>0</v>
      </c>
      <c r="BK42" s="178">
        <f t="shared" si="17"/>
        <v>0</v>
      </c>
      <c r="BL42" s="145">
        <f>_xlfn.XLOOKUP(D:D,'[2]Target store'!C:C,'[2]Target store'!M:M,0)</f>
        <v>160000</v>
      </c>
      <c r="BM42" s="177">
        <f>IFERROR(GETPIVOTDATA("Sum of Qty",'[2]Operator by Store'!$A$5,"ID Store",$C42,"Product Type","Indosat"),0)</f>
        <v>0</v>
      </c>
      <c r="BN42" s="178">
        <f t="shared" si="18"/>
        <v>0</v>
      </c>
      <c r="BO42" s="145">
        <f>_xlfn.XLOOKUP(D:D,'[2]Target store'!C:C,'[2]Target store'!N:N,0)</f>
        <v>240000</v>
      </c>
      <c r="BP42" s="177">
        <f>IFERROR(GETPIVOTDATA("Sum of Qty",'[2]Operator by Store'!$A$5,"ID Store",$C42,"Product Type","Telkomsel"),0)</f>
        <v>0</v>
      </c>
      <c r="BQ42" s="187">
        <f t="shared" si="19"/>
        <v>0</v>
      </c>
    </row>
    <row r="43" spans="1:69" ht="17" thickBot="1" x14ac:dyDescent="0.25">
      <c r="A43" s="157">
        <v>39</v>
      </c>
      <c r="B43" s="158" t="s">
        <v>61</v>
      </c>
      <c r="C43" s="159">
        <v>6150702</v>
      </c>
      <c r="D43" s="189" t="str">
        <f>IFERROR(INDEX('[2]Target store'!$C$5:$C$47,MATCH($C43&amp;"-*",'[2]Target store'!$C$5:$C$47,0)),"NOT FOUND")</f>
        <v>6150702-GRANMALL SC GF-11</v>
      </c>
      <c r="E43" s="189" t="s">
        <v>62</v>
      </c>
      <c r="F43" s="161">
        <v>2</v>
      </c>
      <c r="G43" s="128">
        <f>_xlfn.XLOOKUP(D:D,'[2]Target store'!C:C,'[2]Target store'!F:F,0)</f>
        <v>20</v>
      </c>
      <c r="H43" s="162">
        <f>_xlfn.XLOOKUP(D:D,'[2]Target store'!C:C,'[2]Target store'!G:G,0)</f>
        <v>50000000</v>
      </c>
      <c r="I43" s="163">
        <f>IFERROR(GETPIVOTDATA("Sum of SRP",'[2]DEVICE &amp; VALUE'!$A$6,"ID Store",$C43),0)</f>
        <v>18697000</v>
      </c>
      <c r="J43" s="164">
        <f t="shared" si="20"/>
        <v>0.37393999999999999</v>
      </c>
      <c r="K43" s="165">
        <f t="shared" si="21"/>
        <v>-31303000</v>
      </c>
      <c r="L43" s="133">
        <f>IFERROR(GETPIVOTDATA("Sum of Qty",[2]PF!$A$5,"ID Store",$C43),0)</f>
        <v>0</v>
      </c>
      <c r="M43" s="134">
        <f>IFERROR(GETPIVOTDATA("Sum of Qty",'[2]DEVICE &amp; VALUE'!$A$6,"ID Store",$C43,"Segment Price","3mio&gt;"),0)</f>
        <v>3</v>
      </c>
      <c r="N43" s="135">
        <f t="shared" si="22"/>
        <v>1</v>
      </c>
      <c r="O43" s="136">
        <f>IFERROR(GETPIVOTDATA("Sum of Qty",[2]IQOO!$A$6,"ID Store",$C43),0)</f>
        <v>1</v>
      </c>
      <c r="P43" s="135">
        <f t="shared" si="23"/>
        <v>0.33333333333333331</v>
      </c>
      <c r="Q43" s="137">
        <f t="shared" si="24"/>
        <v>1</v>
      </c>
      <c r="R43" s="136">
        <f>IFERROR(GETPIVOTDATA("Sum of Qty",'[2]DEVICE &amp; VALUE'!$A$6,"ID Store",$C43),0)</f>
        <v>3</v>
      </c>
      <c r="S43" s="136">
        <f t="shared" si="25"/>
        <v>0.15</v>
      </c>
      <c r="T43" s="136">
        <f t="shared" si="26"/>
        <v>-17</v>
      </c>
      <c r="U43" s="166">
        <f t="shared" si="27"/>
        <v>80130000</v>
      </c>
      <c r="V43" s="164">
        <f t="shared" si="28"/>
        <v>1.6026</v>
      </c>
      <c r="W43" s="167">
        <f t="shared" si="29"/>
        <v>30130000</v>
      </c>
      <c r="X43" s="168">
        <f t="shared" si="0"/>
        <v>12.857142857142856</v>
      </c>
      <c r="Y43" s="169">
        <f t="shared" si="1"/>
        <v>-7.1428571428571441</v>
      </c>
      <c r="Z43" s="169">
        <f t="shared" si="30"/>
        <v>12.857142857142856</v>
      </c>
      <c r="AA43" s="169">
        <f t="shared" si="31"/>
        <v>-7.1428571428571441</v>
      </c>
      <c r="AB43" s="169">
        <f t="shared" si="32"/>
        <v>0.64285714285714279</v>
      </c>
      <c r="AC43" s="239">
        <f t="shared" si="33"/>
        <v>0.73913043478260865</v>
      </c>
      <c r="AD43" s="142">
        <f t="shared" si="34"/>
        <v>1361000</v>
      </c>
      <c r="AE43" s="170">
        <f>IFERROR(GETPIVOTDATA("Sum of Qty",'[2]DATA LAST MONTH IQOO'!$A$6,"ID Store",$C43),0)</f>
        <v>0</v>
      </c>
      <c r="AF43" s="171">
        <f>IFERROR(GETPIVOTDATA("Sum of Qty",[2]IQOO!$A$6,"ID Store",$C43),0)</f>
        <v>1</v>
      </c>
      <c r="AG43" s="172">
        <f t="shared" si="2"/>
        <v>1</v>
      </c>
      <c r="AH43" s="173">
        <f t="shared" si="3"/>
        <v>0</v>
      </c>
      <c r="AI43" s="174">
        <f>IFERROR(GETPIVOTDATA("Sum of Qty",'[2]DATA LAST MONTH DEVICE'!$A$6,"ID Store",$C43),0)</f>
        <v>2</v>
      </c>
      <c r="AJ43" s="147">
        <f t="shared" si="35"/>
        <v>3</v>
      </c>
      <c r="AK43" s="175">
        <f t="shared" si="4"/>
        <v>1</v>
      </c>
      <c r="AL43" s="176">
        <f t="shared" si="5"/>
        <v>0.5</v>
      </c>
      <c r="AM43" s="177">
        <f>IFERROR(GETPIVOTDATA("Sum of Qty",'[2]Store 3mio+ last month'!$A$6,"ID Store",$C43),0)</f>
        <v>10</v>
      </c>
      <c r="AN43" s="145">
        <f t="shared" si="36"/>
        <v>12.857142857142856</v>
      </c>
      <c r="AO43" s="172">
        <f t="shared" si="6"/>
        <v>2.8571428571428559</v>
      </c>
      <c r="AP43" s="178">
        <f t="shared" si="7"/>
        <v>0.28571428571428559</v>
      </c>
      <c r="AQ43" s="177">
        <f>IFERROR(GETPIVOTDATA("Sum of Qty",'[2]DATA LAST MONTH DEVICE'!$A$6,"ID Store",$C43,"Segment Price","3mio&gt;"),0)</f>
        <v>2</v>
      </c>
      <c r="AR43" s="179">
        <f t="shared" si="8"/>
        <v>3</v>
      </c>
      <c r="AS43" s="179">
        <f t="shared" si="9"/>
        <v>1</v>
      </c>
      <c r="AT43" s="173">
        <f t="shared" si="10"/>
        <v>0.5</v>
      </c>
      <c r="AU43" s="180">
        <f>IFERROR(GETPIVOTDATA("Sum of SRP",'[2]DATA LAST MONTH DEVICE'!$A$6,"ID Store",$C43),0)</f>
        <v>9798000</v>
      </c>
      <c r="AV43" s="180">
        <f t="shared" si="37"/>
        <v>18697000</v>
      </c>
      <c r="AW43" s="181">
        <f t="shared" si="11"/>
        <v>8899000</v>
      </c>
      <c r="AX43" s="182">
        <f t="shared" si="12"/>
        <v>0.90824658093488464</v>
      </c>
      <c r="AY43" s="183">
        <f>IFERROR(VLOOKUP(C43,'[2]DATA SALES LAST MONTH'!A:E,5,0),0)</f>
        <v>0</v>
      </c>
      <c r="AZ43" s="153">
        <f t="shared" si="38"/>
        <v>6232333.333333334</v>
      </c>
      <c r="BA43" s="184">
        <f t="shared" si="13"/>
        <v>6232333.333333334</v>
      </c>
      <c r="BB43" s="173">
        <f t="shared" si="14"/>
        <v>0</v>
      </c>
      <c r="BC43" s="154">
        <f>_xlfn.XLOOKUP(D:D,'[2]Target store'!C:C,'[2]Target store'!J:J,0)</f>
        <v>2</v>
      </c>
      <c r="BD43" s="185">
        <f>IFERROR(GETPIVOTDATA("Sum of Qty",[2]ACC!$A$5,"ID Store",$C43),0)</f>
        <v>0</v>
      </c>
      <c r="BE43" s="178">
        <f t="shared" si="15"/>
        <v>0</v>
      </c>
      <c r="BF43" s="155">
        <f>_xlfn.XLOOKUP(D:D,'[2]Target store'!C:C,'[2]Target store'!K:K,0)</f>
        <v>225000</v>
      </c>
      <c r="BG43" s="186">
        <f>IFERROR(GETPIVOTDATA("Sum of SRP",'[2]Insurance by Store'!$A$5,"ID Store",$C43,"Product Type","Qoala"),0)</f>
        <v>0</v>
      </c>
      <c r="BH43" s="178">
        <f t="shared" si="16"/>
        <v>0</v>
      </c>
      <c r="BI43" s="155">
        <f>_xlfn.XLOOKUP(D:D,'[2]Target store'!C:C,'[2]Target store'!L:L,0)</f>
        <v>50000</v>
      </c>
      <c r="BJ43" s="186">
        <f>IFERROR(GETPIVOTDATA("Sum of SRP",'[2]Insurance by Store'!$A$5,"ID Store",$C43,"Product Type","Vivo Care"),0)</f>
        <v>0</v>
      </c>
      <c r="BK43" s="178">
        <f t="shared" si="17"/>
        <v>0</v>
      </c>
      <c r="BL43" s="145">
        <f>_xlfn.XLOOKUP(D:D,'[2]Target store'!C:C,'[2]Target store'!M:M,0)</f>
        <v>100000</v>
      </c>
      <c r="BM43" s="177">
        <f>IFERROR(GETPIVOTDATA("Sum of Qty",'[2]Operator by Store'!$A$5,"ID Store",$C43,"Product Type","Indosat"),0)</f>
        <v>0</v>
      </c>
      <c r="BN43" s="178">
        <f t="shared" si="18"/>
        <v>0</v>
      </c>
      <c r="BO43" s="145">
        <f>_xlfn.XLOOKUP(D:D,'[2]Target store'!C:C,'[2]Target store'!N:N,0)</f>
        <v>150000</v>
      </c>
      <c r="BP43" s="177">
        <f>IFERROR(GETPIVOTDATA("Sum of Qty",'[2]Operator by Store'!$A$5,"ID Store",$C43,"Product Type","Telkomsel"),0)</f>
        <v>0</v>
      </c>
      <c r="BQ43" s="187">
        <f t="shared" si="19"/>
        <v>0</v>
      </c>
    </row>
    <row r="44" spans="1:69" ht="17" thickBot="1" x14ac:dyDescent="0.25">
      <c r="A44" s="157">
        <v>40</v>
      </c>
      <c r="B44" s="158" t="s">
        <v>63</v>
      </c>
      <c r="C44" s="159">
        <v>6130702</v>
      </c>
      <c r="D44" s="188" t="str">
        <f>IFERROR(INDEX('[2]Target store'!$C$5:$C$47,MATCH($C44&amp;"-*",'[2]Target store'!$C$5:$C$47,0)),"NOT FOUND")</f>
        <v>6130702-RITA SUPERMALL SF36-37</v>
      </c>
      <c r="E44" s="188" t="s">
        <v>64</v>
      </c>
      <c r="F44" s="161">
        <v>3</v>
      </c>
      <c r="G44" s="128">
        <f>_xlfn.XLOOKUP(D:D,'[2]Target store'!C:C,'[2]Target store'!F:F,0)</f>
        <v>60</v>
      </c>
      <c r="H44" s="162">
        <f>_xlfn.XLOOKUP(D:D,'[2]Target store'!C:C,'[2]Target store'!G:G,0)</f>
        <v>300000000</v>
      </c>
      <c r="I44" s="163">
        <f>IFERROR(GETPIVOTDATA("Sum of SRP",'[2]DEVICE &amp; VALUE'!$A$6,"ID Store",$C44),0)</f>
        <v>25793000</v>
      </c>
      <c r="J44" s="164">
        <f t="shared" si="20"/>
        <v>8.5976666666666673E-2</v>
      </c>
      <c r="K44" s="165">
        <f t="shared" si="21"/>
        <v>-274207000</v>
      </c>
      <c r="L44" s="133">
        <f>IFERROR(GETPIVOTDATA("Sum of Qty",[2]PF!$A$5,"ID Store",$C44),0)</f>
        <v>1</v>
      </c>
      <c r="M44" s="134">
        <f>IFERROR(GETPIVOTDATA("Sum of Qty",'[2]DEVICE &amp; VALUE'!$A$6,"ID Store",$C44,"Segment Price","3mio&gt;"),0)</f>
        <v>3</v>
      </c>
      <c r="N44" s="135">
        <f t="shared" si="22"/>
        <v>0.42857142857142855</v>
      </c>
      <c r="O44" s="136">
        <f>IFERROR(GETPIVOTDATA("Sum of Qty",[2]IQOO!$A$6,"ID Store",$C44),0)</f>
        <v>0</v>
      </c>
      <c r="P44" s="135">
        <f t="shared" si="23"/>
        <v>0</v>
      </c>
      <c r="Q44" s="137">
        <f t="shared" si="24"/>
        <v>0.42857142857142855</v>
      </c>
      <c r="R44" s="136">
        <f>IFERROR(GETPIVOTDATA("Sum of Qty",'[2]DEVICE &amp; VALUE'!$A$6,"ID Store",$C44),0)</f>
        <v>7</v>
      </c>
      <c r="S44" s="136">
        <f t="shared" si="25"/>
        <v>0.11666666666666667</v>
      </c>
      <c r="T44" s="136">
        <f t="shared" si="26"/>
        <v>-53</v>
      </c>
      <c r="U44" s="166">
        <f t="shared" si="27"/>
        <v>110541428.57142858</v>
      </c>
      <c r="V44" s="164">
        <f t="shared" si="28"/>
        <v>0.36847142857142862</v>
      </c>
      <c r="W44" s="167">
        <f t="shared" si="29"/>
        <v>-189458571.4285714</v>
      </c>
      <c r="X44" s="168">
        <f t="shared" si="0"/>
        <v>12.857142857142856</v>
      </c>
      <c r="Y44" s="169">
        <f t="shared" si="1"/>
        <v>-47.142857142857146</v>
      </c>
      <c r="Z44" s="169">
        <f t="shared" si="30"/>
        <v>30</v>
      </c>
      <c r="AA44" s="169">
        <f t="shared" si="31"/>
        <v>-30</v>
      </c>
      <c r="AB44" s="169">
        <f t="shared" si="32"/>
        <v>0.5</v>
      </c>
      <c r="AC44" s="239">
        <f t="shared" si="33"/>
        <v>2.3043478260869565</v>
      </c>
      <c r="AD44" s="142">
        <f t="shared" si="34"/>
        <v>11922043.478260869</v>
      </c>
      <c r="AE44" s="170">
        <f>IFERROR(GETPIVOTDATA("Sum of Qty",'[2]DATA LAST MONTH IQOO'!$A$6,"ID Store",$C44),0)</f>
        <v>1</v>
      </c>
      <c r="AF44" s="171">
        <f>IFERROR(GETPIVOTDATA("Sum of Qty",[2]IQOO!$A$6,"ID Store",$C44),0)</f>
        <v>0</v>
      </c>
      <c r="AG44" s="172">
        <f t="shared" si="2"/>
        <v>-1</v>
      </c>
      <c r="AH44" s="173">
        <f t="shared" si="3"/>
        <v>-1</v>
      </c>
      <c r="AI44" s="174">
        <f>IFERROR(GETPIVOTDATA("Sum of Qty",'[2]DATA LAST MONTH DEVICE'!$A$6,"ID Store",$C44),0)</f>
        <v>10</v>
      </c>
      <c r="AJ44" s="147">
        <f t="shared" si="35"/>
        <v>7</v>
      </c>
      <c r="AK44" s="175">
        <f t="shared" si="4"/>
        <v>-3</v>
      </c>
      <c r="AL44" s="176">
        <f t="shared" si="5"/>
        <v>-0.3</v>
      </c>
      <c r="AM44" s="177">
        <f>IFERROR(GETPIVOTDATA("Sum of Qty",'[2]Store 3mio+ last month'!$A$6,"ID Store",$C44),0)</f>
        <v>60</v>
      </c>
      <c r="AN44" s="145">
        <f t="shared" si="36"/>
        <v>30</v>
      </c>
      <c r="AO44" s="172">
        <f t="shared" si="6"/>
        <v>-30</v>
      </c>
      <c r="AP44" s="178">
        <f t="shared" si="7"/>
        <v>-0.5</v>
      </c>
      <c r="AQ44" s="177">
        <f>IFERROR(GETPIVOTDATA("Sum of Qty",'[2]DATA LAST MONTH DEVICE'!$A$6,"ID Store",$C44,"Segment Price","3mio&gt;"),0)</f>
        <v>7</v>
      </c>
      <c r="AR44" s="179">
        <f t="shared" si="8"/>
        <v>3</v>
      </c>
      <c r="AS44" s="179">
        <f t="shared" si="9"/>
        <v>-4</v>
      </c>
      <c r="AT44" s="173">
        <f t="shared" si="10"/>
        <v>-0.5714285714285714</v>
      </c>
      <c r="AU44" s="180">
        <f>IFERROR(GETPIVOTDATA("Sum of SRP",'[2]DATA LAST MONTH DEVICE'!$A$6,"ID Store",$C44),0)</f>
        <v>54690000</v>
      </c>
      <c r="AV44" s="180">
        <f t="shared" si="37"/>
        <v>25793000</v>
      </c>
      <c r="AW44" s="181">
        <f t="shared" si="11"/>
        <v>-28897000</v>
      </c>
      <c r="AX44" s="182">
        <f t="shared" si="12"/>
        <v>-0.52837813128542699</v>
      </c>
      <c r="AY44" s="183">
        <f>IFERROR(VLOOKUP(C44,'[2]DATA SALES LAST MONTH'!A:E,5,0),0)</f>
        <v>5469000</v>
      </c>
      <c r="AZ44" s="153">
        <f t="shared" si="38"/>
        <v>3684714.2857142859</v>
      </c>
      <c r="BA44" s="184">
        <f t="shared" si="13"/>
        <v>-1784285.7142857141</v>
      </c>
      <c r="BB44" s="173">
        <f t="shared" si="14"/>
        <v>-0.32625447326489559</v>
      </c>
      <c r="BC44" s="154">
        <f>_xlfn.XLOOKUP(D:D,'[2]Target store'!C:C,'[2]Target store'!J:J,0)</f>
        <v>6</v>
      </c>
      <c r="BD44" s="185">
        <f>IFERROR(GETPIVOTDATA("Sum of Qty",[2]ACC!$A$5,"ID Store",$C44),0)</f>
        <v>1</v>
      </c>
      <c r="BE44" s="178">
        <f t="shared" si="15"/>
        <v>0.16666666666666666</v>
      </c>
      <c r="BF44" s="155">
        <f>_xlfn.XLOOKUP(D:D,'[2]Target store'!C:C,'[2]Target store'!K:K,0)</f>
        <v>1350000</v>
      </c>
      <c r="BG44" s="186">
        <f>IFERROR(GETPIVOTDATA("Sum of SRP",'[2]Insurance by Store'!$A$5,"ID Store",$C44,"Product Type","Qoala"),0)</f>
        <v>0</v>
      </c>
      <c r="BH44" s="178">
        <f t="shared" si="16"/>
        <v>0</v>
      </c>
      <c r="BI44" s="155">
        <f>_xlfn.XLOOKUP(D:D,'[2]Target store'!C:C,'[2]Target store'!L:L,0)</f>
        <v>300000</v>
      </c>
      <c r="BJ44" s="186">
        <f>IFERROR(GETPIVOTDATA("Sum of SRP",'[2]Insurance by Store'!$A$5,"ID Store",$C44,"Product Type","Vivo Care"),0)</f>
        <v>0</v>
      </c>
      <c r="BK44" s="178">
        <f t="shared" si="17"/>
        <v>0</v>
      </c>
      <c r="BL44" s="145">
        <f>_xlfn.XLOOKUP(D:D,'[2]Target store'!C:C,'[2]Target store'!M:M,0)</f>
        <v>600000</v>
      </c>
      <c r="BM44" s="177">
        <f>IFERROR(GETPIVOTDATA("Sum of Qty",'[2]Operator by Store'!$A$5,"ID Store",$C44,"Product Type","Indosat"),0)</f>
        <v>0</v>
      </c>
      <c r="BN44" s="178">
        <f t="shared" si="18"/>
        <v>0</v>
      </c>
      <c r="BO44" s="145">
        <f>_xlfn.XLOOKUP(D:D,'[2]Target store'!C:C,'[2]Target store'!N:N,0)</f>
        <v>900000</v>
      </c>
      <c r="BP44" s="177">
        <f>IFERROR(GETPIVOTDATA("Sum of Qty",'[2]Operator by Store'!$A$5,"ID Store",$C44,"Product Type","Telkomsel"),0)</f>
        <v>0</v>
      </c>
      <c r="BQ44" s="187">
        <f t="shared" si="19"/>
        <v>0</v>
      </c>
    </row>
    <row r="45" spans="1:69" ht="17" thickBot="1" x14ac:dyDescent="0.25">
      <c r="A45" s="157">
        <v>41</v>
      </c>
      <c r="B45" s="158" t="s">
        <v>65</v>
      </c>
      <c r="C45" s="159">
        <v>6100702</v>
      </c>
      <c r="D45" s="189" t="str">
        <f>IFERROR(INDEX('[2]Target store'!$C$5:$C$47,MATCH($C45&amp;"-*",'[2]Target store'!$C$5:$C$47,0)),"NOT FOUND")</f>
        <v>6100702-Jogja City Mall VIVO STORE</v>
      </c>
      <c r="E45" s="189" t="s">
        <v>62</v>
      </c>
      <c r="F45" s="161">
        <v>1</v>
      </c>
      <c r="G45" s="128">
        <f>_xlfn.XLOOKUP(D:D,'[2]Target store'!C:C,'[2]Target store'!F:F,0)</f>
        <v>50</v>
      </c>
      <c r="H45" s="162">
        <f>_xlfn.XLOOKUP(D:D,'[2]Target store'!C:C,'[2]Target store'!G:G,0)</f>
        <v>300000000</v>
      </c>
      <c r="I45" s="163">
        <f>IFERROR(GETPIVOTDATA("Sum of SRP",'[2]DEVICE &amp; VALUE'!$A$6,"ID Store",$C45),0)</f>
        <v>39194000</v>
      </c>
      <c r="J45" s="164">
        <f t="shared" si="20"/>
        <v>0.13064666666666666</v>
      </c>
      <c r="K45" s="165">
        <f t="shared" si="21"/>
        <v>-260806000</v>
      </c>
      <c r="L45" s="133">
        <f>IFERROR(GETPIVOTDATA("Sum of Qty",[2]PF!$A$5,"ID Store",$C45),0)</f>
        <v>2</v>
      </c>
      <c r="M45" s="134">
        <f>IFERROR(GETPIVOTDATA("Sum of Qty",'[2]DEVICE &amp; VALUE'!$A$6,"ID Store",$C45,"Segment Price","3mio&gt;"),0)</f>
        <v>5</v>
      </c>
      <c r="N45" s="135">
        <f t="shared" si="22"/>
        <v>0.83333333333333337</v>
      </c>
      <c r="O45" s="136">
        <f>IFERROR(GETPIVOTDATA("Sum of Qty",[2]IQOO!$A$6,"ID Store",$C45),0)</f>
        <v>0</v>
      </c>
      <c r="P45" s="135">
        <f t="shared" si="23"/>
        <v>0</v>
      </c>
      <c r="Q45" s="137">
        <f t="shared" si="24"/>
        <v>0.83333333333333337</v>
      </c>
      <c r="R45" s="136">
        <f>IFERROR(GETPIVOTDATA("Sum of Qty",'[2]DEVICE &amp; VALUE'!$A$6,"ID Store",$C45),0)</f>
        <v>6</v>
      </c>
      <c r="S45" s="136">
        <f t="shared" si="25"/>
        <v>0.12</v>
      </c>
      <c r="T45" s="136">
        <f t="shared" si="26"/>
        <v>-44</v>
      </c>
      <c r="U45" s="166">
        <f t="shared" si="27"/>
        <v>167974285.71428573</v>
      </c>
      <c r="V45" s="164">
        <f t="shared" si="28"/>
        <v>0.55991428571428581</v>
      </c>
      <c r="W45" s="167">
        <f t="shared" si="29"/>
        <v>-132025714.28571427</v>
      </c>
      <c r="X45" s="168">
        <f t="shared" si="0"/>
        <v>21.428571428571431</v>
      </c>
      <c r="Y45" s="169">
        <f t="shared" si="1"/>
        <v>-28.571428571428569</v>
      </c>
      <c r="Z45" s="169">
        <f t="shared" si="30"/>
        <v>25.714285714285712</v>
      </c>
      <c r="AA45" s="169">
        <f t="shared" si="31"/>
        <v>-24.285714285714288</v>
      </c>
      <c r="AB45" s="169">
        <f t="shared" si="32"/>
        <v>0.51428571428571423</v>
      </c>
      <c r="AC45" s="239">
        <f t="shared" si="33"/>
        <v>1.9130434782608696</v>
      </c>
      <c r="AD45" s="142">
        <f t="shared" si="34"/>
        <v>11339391.304347826</v>
      </c>
      <c r="AE45" s="170">
        <f>IFERROR(GETPIVOTDATA("Sum of Qty",'[2]DATA LAST MONTH IQOO'!$A$6,"ID Store",$C45),0)</f>
        <v>1</v>
      </c>
      <c r="AF45" s="171">
        <f>IFERROR(GETPIVOTDATA("Sum of Qty",[2]IQOO!$A$6,"ID Store",$C45),0)</f>
        <v>0</v>
      </c>
      <c r="AG45" s="172">
        <f t="shared" si="2"/>
        <v>-1</v>
      </c>
      <c r="AH45" s="173">
        <f t="shared" si="3"/>
        <v>-1</v>
      </c>
      <c r="AI45" s="174">
        <f>IFERROR(GETPIVOTDATA("Sum of Qty",'[2]DATA LAST MONTH DEVICE'!$A$6,"ID Store",$C45),0)</f>
        <v>10</v>
      </c>
      <c r="AJ45" s="147">
        <f t="shared" si="35"/>
        <v>6</v>
      </c>
      <c r="AK45" s="175">
        <f t="shared" si="4"/>
        <v>-4</v>
      </c>
      <c r="AL45" s="176">
        <f t="shared" si="5"/>
        <v>-0.4</v>
      </c>
      <c r="AM45" s="177">
        <f>IFERROR(GETPIVOTDATA("Sum of Qty",'[2]Store 3mio+ last month'!$A$6,"ID Store",$C45),0)</f>
        <v>28</v>
      </c>
      <c r="AN45" s="145">
        <f t="shared" si="36"/>
        <v>25.714285714285712</v>
      </c>
      <c r="AO45" s="172">
        <f t="shared" si="6"/>
        <v>-2.2857142857142883</v>
      </c>
      <c r="AP45" s="178">
        <f t="shared" si="7"/>
        <v>-8.163265306122458E-2</v>
      </c>
      <c r="AQ45" s="177">
        <f>IFERROR(GETPIVOTDATA("Sum of Qty",'[2]DATA LAST MONTH DEVICE'!$A$6,"ID Store",$C45,"Segment Price","3mio&gt;"),0)</f>
        <v>7</v>
      </c>
      <c r="AR45" s="179">
        <f t="shared" si="8"/>
        <v>5</v>
      </c>
      <c r="AS45" s="179">
        <f t="shared" si="9"/>
        <v>-2</v>
      </c>
      <c r="AT45" s="173">
        <f t="shared" si="10"/>
        <v>-0.2857142857142857</v>
      </c>
      <c r="AU45" s="180">
        <f>IFERROR(GETPIVOTDATA("Sum of SRP",'[2]DATA LAST MONTH DEVICE'!$A$6,"ID Store",$C45),0)</f>
        <v>44190000</v>
      </c>
      <c r="AV45" s="180">
        <f t="shared" si="37"/>
        <v>39194000</v>
      </c>
      <c r="AW45" s="181">
        <f t="shared" si="11"/>
        <v>-4996000</v>
      </c>
      <c r="AX45" s="182">
        <f t="shared" si="12"/>
        <v>-0.11305725277212039</v>
      </c>
      <c r="AY45" s="183">
        <f>IFERROR(VLOOKUP(C45,'[2]DATA SALES LAST MONTH'!A:E,5,0),0)</f>
        <v>4419000</v>
      </c>
      <c r="AZ45" s="153">
        <f t="shared" si="38"/>
        <v>6532333.3333333349</v>
      </c>
      <c r="BA45" s="184">
        <f t="shared" si="13"/>
        <v>2113333.3333333349</v>
      </c>
      <c r="BB45" s="173">
        <f t="shared" si="14"/>
        <v>0.47823791204646637</v>
      </c>
      <c r="BC45" s="154">
        <f>_xlfn.XLOOKUP(D:D,'[2]Target store'!C:C,'[2]Target store'!J:J,0)</f>
        <v>5</v>
      </c>
      <c r="BD45" s="185">
        <f>IFERROR(GETPIVOTDATA("Sum of Qty",[2]ACC!$A$5,"ID Store",$C45),0)</f>
        <v>0</v>
      </c>
      <c r="BE45" s="178">
        <f t="shared" si="15"/>
        <v>0</v>
      </c>
      <c r="BF45" s="155">
        <f>_xlfn.XLOOKUP(D:D,'[2]Target store'!C:C,'[2]Target store'!K:K,0)</f>
        <v>1350000</v>
      </c>
      <c r="BG45" s="186">
        <f>IFERROR(GETPIVOTDATA("Sum of SRP",'[2]Insurance by Store'!$A$5,"ID Store",$C45,"Product Type","Qoala"),0)</f>
        <v>0</v>
      </c>
      <c r="BH45" s="178">
        <f t="shared" si="16"/>
        <v>0</v>
      </c>
      <c r="BI45" s="155">
        <f>_xlfn.XLOOKUP(D:D,'[2]Target store'!C:C,'[2]Target store'!L:L,0)</f>
        <v>300000</v>
      </c>
      <c r="BJ45" s="186">
        <f>IFERROR(GETPIVOTDATA("Sum of SRP",'[2]Insurance by Store'!$A$5,"ID Store",$C45,"Product Type","Vivo Care"),0)</f>
        <v>0</v>
      </c>
      <c r="BK45" s="178">
        <f t="shared" si="17"/>
        <v>0</v>
      </c>
      <c r="BL45" s="145">
        <f>_xlfn.XLOOKUP(D:D,'[2]Target store'!C:C,'[2]Target store'!M:M,0)</f>
        <v>600000</v>
      </c>
      <c r="BM45" s="177">
        <f>IFERROR(GETPIVOTDATA("Sum of Qty",'[2]Operator by Store'!$A$5,"ID Store",$C45,"Product Type","Indosat"),0)</f>
        <v>0</v>
      </c>
      <c r="BN45" s="178">
        <f t="shared" si="18"/>
        <v>0</v>
      </c>
      <c r="BO45" s="145">
        <f>_xlfn.XLOOKUP(D:D,'[2]Target store'!C:C,'[2]Target store'!N:N,0)</f>
        <v>900000</v>
      </c>
      <c r="BP45" s="177">
        <f>IFERROR(GETPIVOTDATA("Sum of Qty",'[2]Operator by Store'!$A$5,"ID Store",$C45,"Product Type","Telkomsel"),0)</f>
        <v>0</v>
      </c>
      <c r="BQ45" s="187">
        <f t="shared" si="19"/>
        <v>0</v>
      </c>
    </row>
    <row r="46" spans="1:69" ht="17" thickBot="1" x14ac:dyDescent="0.25">
      <c r="A46" s="157">
        <v>42</v>
      </c>
      <c r="B46" s="158" t="s">
        <v>65</v>
      </c>
      <c r="C46" s="159">
        <v>6140706</v>
      </c>
      <c r="D46" s="188" t="str">
        <f>IFERROR(INDEX('[2]Target store'!$C$5:$C$47,MATCH($C46&amp;"-*",'[2]Target store'!$C$5:$C$47,0)),"NOT FOUND")</f>
        <v>6140706-23 SEMARANG MALL 1F065-66</v>
      </c>
      <c r="E46" s="188" t="s">
        <v>66</v>
      </c>
      <c r="F46" s="161">
        <v>2</v>
      </c>
      <c r="G46" s="128">
        <f>_xlfn.XLOOKUP(D:D,'[2]Target store'!C:C,'[2]Target store'!F:F,0)</f>
        <v>50</v>
      </c>
      <c r="H46" s="162">
        <f>_xlfn.XLOOKUP(D:D,'[2]Target store'!C:C,'[2]Target store'!G:G,0)</f>
        <v>200000000</v>
      </c>
      <c r="I46" s="163">
        <f>IFERROR(GETPIVOTDATA("Sum of SRP",'[2]DEVICE &amp; VALUE'!$A$6,"ID Store",$C46),0)</f>
        <v>27196000</v>
      </c>
      <c r="J46" s="164">
        <f t="shared" si="20"/>
        <v>0.13597999999999999</v>
      </c>
      <c r="K46" s="165">
        <f t="shared" si="21"/>
        <v>-172804000</v>
      </c>
      <c r="L46" s="133">
        <f>IFERROR(GETPIVOTDATA("Sum of Qty",[2]PF!$A$5,"ID Store",$C46),0)</f>
        <v>0</v>
      </c>
      <c r="M46" s="134">
        <f>IFERROR(GETPIVOTDATA("Sum of Qty",'[2]DEVICE &amp; VALUE'!$A$6,"ID Store",$C46,"Segment Price","3mio&gt;"),0)</f>
        <v>4</v>
      </c>
      <c r="N46" s="135">
        <f t="shared" si="22"/>
        <v>1</v>
      </c>
      <c r="O46" s="136">
        <f>IFERROR(GETPIVOTDATA("Sum of Qty",[2]IQOO!$A$6,"ID Store",$C46),0)</f>
        <v>0</v>
      </c>
      <c r="P46" s="135">
        <f t="shared" si="23"/>
        <v>0</v>
      </c>
      <c r="Q46" s="137">
        <f t="shared" si="24"/>
        <v>1</v>
      </c>
      <c r="R46" s="136">
        <f>IFERROR(GETPIVOTDATA("Sum of Qty",'[2]DEVICE &amp; VALUE'!$A$6,"ID Store",$C46),0)</f>
        <v>4</v>
      </c>
      <c r="S46" s="136">
        <f t="shared" si="25"/>
        <v>0.08</v>
      </c>
      <c r="T46" s="136">
        <f t="shared" si="26"/>
        <v>-46</v>
      </c>
      <c r="U46" s="166">
        <f t="shared" si="27"/>
        <v>116554285.71428572</v>
      </c>
      <c r="V46" s="164">
        <f t="shared" si="28"/>
        <v>0.58277142857142861</v>
      </c>
      <c r="W46" s="167">
        <f t="shared" si="29"/>
        <v>-83445714.285714284</v>
      </c>
      <c r="X46" s="168">
        <f t="shared" si="0"/>
        <v>17.142857142857142</v>
      </c>
      <c r="Y46" s="169">
        <f t="shared" si="1"/>
        <v>-32.857142857142861</v>
      </c>
      <c r="Z46" s="169">
        <f t="shared" si="30"/>
        <v>17.142857142857142</v>
      </c>
      <c r="AA46" s="169">
        <f t="shared" si="31"/>
        <v>-32.857142857142861</v>
      </c>
      <c r="AB46" s="169">
        <f t="shared" si="32"/>
        <v>0.34285714285714286</v>
      </c>
      <c r="AC46" s="239">
        <f t="shared" si="33"/>
        <v>2</v>
      </c>
      <c r="AD46" s="142">
        <f t="shared" si="34"/>
        <v>7513217.3913043477</v>
      </c>
      <c r="AE46" s="170">
        <f>IFERROR(GETPIVOTDATA("Sum of Qty",'[2]DATA LAST MONTH IQOO'!$A$6,"ID Store",$C46),0)</f>
        <v>0</v>
      </c>
      <c r="AF46" s="171">
        <f>IFERROR(GETPIVOTDATA("Sum of Qty",[2]IQOO!$A$6,"ID Store",$C46),0)</f>
        <v>0</v>
      </c>
      <c r="AG46" s="172">
        <f t="shared" si="2"/>
        <v>0</v>
      </c>
      <c r="AH46" s="173">
        <f t="shared" si="3"/>
        <v>0</v>
      </c>
      <c r="AI46" s="174">
        <f>IFERROR(GETPIVOTDATA("Sum of Qty",'[2]DATA LAST MONTH DEVICE'!$A$6,"ID Store",$C46),0)</f>
        <v>5</v>
      </c>
      <c r="AJ46" s="147">
        <f t="shared" si="35"/>
        <v>4</v>
      </c>
      <c r="AK46" s="175">
        <f t="shared" si="4"/>
        <v>-1</v>
      </c>
      <c r="AL46" s="176">
        <f t="shared" si="5"/>
        <v>-0.2</v>
      </c>
      <c r="AM46" s="177">
        <f>IFERROR(GETPIVOTDATA("Sum of Qty",'[2]Store 3mio+ last month'!$A$6,"ID Store",$C46),0)</f>
        <v>30</v>
      </c>
      <c r="AN46" s="145">
        <f t="shared" si="36"/>
        <v>17.142857142857142</v>
      </c>
      <c r="AO46" s="172">
        <f t="shared" si="6"/>
        <v>-12.857142857142858</v>
      </c>
      <c r="AP46" s="178">
        <f t="shared" si="7"/>
        <v>-0.4285714285714286</v>
      </c>
      <c r="AQ46" s="177">
        <f>IFERROR(GETPIVOTDATA("Sum of Qty",'[2]DATA LAST MONTH DEVICE'!$A$6,"ID Store",$C46,"Segment Price","3mio&gt;"),0)</f>
        <v>3</v>
      </c>
      <c r="AR46" s="179">
        <f t="shared" si="8"/>
        <v>4</v>
      </c>
      <c r="AS46" s="179">
        <f t="shared" si="9"/>
        <v>1</v>
      </c>
      <c r="AT46" s="173">
        <f t="shared" si="10"/>
        <v>0.33333333333333331</v>
      </c>
      <c r="AU46" s="180">
        <f>IFERROR(GETPIVOTDATA("Sum of SRP",'[2]DATA LAST MONTH DEVICE'!$A$6,"ID Store",$C46),0)</f>
        <v>45095000</v>
      </c>
      <c r="AV46" s="180">
        <f t="shared" si="37"/>
        <v>27196000</v>
      </c>
      <c r="AW46" s="181">
        <f t="shared" si="11"/>
        <v>-17899000</v>
      </c>
      <c r="AX46" s="182">
        <f t="shared" si="12"/>
        <v>-0.3969176183612374</v>
      </c>
      <c r="AY46" s="183">
        <f>IFERROR(VLOOKUP(C46,'[2]DATA SALES LAST MONTH'!A:E,5,0),0)</f>
        <v>0</v>
      </c>
      <c r="AZ46" s="153">
        <f t="shared" si="38"/>
        <v>6799000</v>
      </c>
      <c r="BA46" s="184">
        <f t="shared" si="13"/>
        <v>6799000</v>
      </c>
      <c r="BB46" s="173">
        <f t="shared" si="14"/>
        <v>0</v>
      </c>
      <c r="BC46" s="154">
        <f>_xlfn.XLOOKUP(D:D,'[2]Target store'!C:C,'[2]Target store'!J:J,0)</f>
        <v>5</v>
      </c>
      <c r="BD46" s="185">
        <f>IFERROR(GETPIVOTDATA("Sum of Qty",[2]ACC!$A$5,"ID Store",$C46),0)</f>
        <v>2</v>
      </c>
      <c r="BE46" s="178">
        <f t="shared" si="15"/>
        <v>0.4</v>
      </c>
      <c r="BF46" s="155">
        <f>_xlfn.XLOOKUP(D:D,'[2]Target store'!C:C,'[2]Target store'!K:K,0)</f>
        <v>900000</v>
      </c>
      <c r="BG46" s="186">
        <f>IFERROR(GETPIVOTDATA("Sum of SRP",'[2]Insurance by Store'!$A$5,"ID Store",$C46,"Product Type","Qoala"),0)</f>
        <v>0</v>
      </c>
      <c r="BH46" s="178">
        <f t="shared" si="16"/>
        <v>0</v>
      </c>
      <c r="BI46" s="155">
        <f>_xlfn.XLOOKUP(D:D,'[2]Target store'!C:C,'[2]Target store'!L:L,0)</f>
        <v>200000</v>
      </c>
      <c r="BJ46" s="186">
        <f>IFERROR(GETPIVOTDATA("Sum of SRP",'[2]Insurance by Store'!$A$5,"ID Store",$C46,"Product Type","Vivo Care"),0)</f>
        <v>0</v>
      </c>
      <c r="BK46" s="178">
        <f t="shared" si="17"/>
        <v>0</v>
      </c>
      <c r="BL46" s="145">
        <f>_xlfn.XLOOKUP(D:D,'[2]Target store'!C:C,'[2]Target store'!M:M,0)</f>
        <v>400000</v>
      </c>
      <c r="BM46" s="177">
        <f>IFERROR(GETPIVOTDATA("Sum of Qty",'[2]Operator by Store'!$A$5,"ID Store",$C46,"Product Type","Indosat"),0)</f>
        <v>0</v>
      </c>
      <c r="BN46" s="178">
        <f t="shared" si="18"/>
        <v>0</v>
      </c>
      <c r="BO46" s="145">
        <f>_xlfn.XLOOKUP(D:D,'[2]Target store'!C:C,'[2]Target store'!N:N,0)</f>
        <v>600000</v>
      </c>
      <c r="BP46" s="177">
        <f>IFERROR(GETPIVOTDATA("Sum of Qty",'[2]Operator by Store'!$A$5,"ID Store",$C46,"Product Type","Telkomsel"),0)</f>
        <v>0</v>
      </c>
      <c r="BQ46" s="187">
        <f t="shared" si="19"/>
        <v>0</v>
      </c>
    </row>
    <row r="47" spans="1:69" ht="17" thickBot="1" x14ac:dyDescent="0.25">
      <c r="A47" s="190">
        <v>43</v>
      </c>
      <c r="B47" s="191" t="s">
        <v>65</v>
      </c>
      <c r="C47" s="192">
        <v>6140705</v>
      </c>
      <c r="D47" s="193" t="str">
        <f>IFERROR(INDEX('[2]Target store'!$C$5:$C$47,MATCH($C47&amp;"-*",'[2]Target store'!$C$5:$C$47,0)),"NOT FOUND")</f>
        <v>6140705-QUEENCITY 2F027</v>
      </c>
      <c r="E47" s="188" t="s">
        <v>66</v>
      </c>
      <c r="F47" s="194">
        <v>3</v>
      </c>
      <c r="G47" s="128">
        <f>_xlfn.XLOOKUP(D:D,'[2]Target store'!C:C,'[2]Target store'!F:F,0)</f>
        <v>60</v>
      </c>
      <c r="H47" s="162">
        <f>_xlfn.XLOOKUP(D:D,'[2]Target store'!C:C,'[2]Target store'!G:G,0)</f>
        <v>350000000</v>
      </c>
      <c r="I47" s="163">
        <f>IFERROR(GETPIVOTDATA("Sum of SRP",'[2]DEVICE &amp; VALUE'!$A$6,"ID Store",$C47),0)</f>
        <v>133586000</v>
      </c>
      <c r="J47" s="164">
        <f t="shared" si="20"/>
        <v>0.38167428571428569</v>
      </c>
      <c r="K47" s="165">
        <f t="shared" si="21"/>
        <v>-216414000</v>
      </c>
      <c r="L47" s="133">
        <f>IFERROR(GETPIVOTDATA("Sum of Qty",[2]PF!$A$5,"ID Store",$C47),0)</f>
        <v>1</v>
      </c>
      <c r="M47" s="134">
        <f>IFERROR(GETPIVOTDATA("Sum of Qty",'[2]DEVICE &amp; VALUE'!$A$6,"ID Store",$C47,"Segment Price","3mio&gt;"),0)</f>
        <v>12</v>
      </c>
      <c r="N47" s="135">
        <f t="shared" si="22"/>
        <v>0.8571428571428571</v>
      </c>
      <c r="O47" s="136">
        <f>IFERROR(GETPIVOTDATA("Sum of Qty",[2]IQOO!$A$6,"ID Store",$C47),0)</f>
        <v>3</v>
      </c>
      <c r="P47" s="135">
        <f t="shared" si="23"/>
        <v>0.21428571428571427</v>
      </c>
      <c r="Q47" s="137">
        <f t="shared" si="24"/>
        <v>0.8571428571428571</v>
      </c>
      <c r="R47" s="136">
        <f>IFERROR(GETPIVOTDATA("Sum of Qty",'[2]DEVICE &amp; VALUE'!$A$6,"ID Store",$C47),0)</f>
        <v>14</v>
      </c>
      <c r="S47" s="136">
        <f t="shared" si="25"/>
        <v>0.23333333333333334</v>
      </c>
      <c r="T47" s="136">
        <f t="shared" si="26"/>
        <v>-46</v>
      </c>
      <c r="U47" s="166">
        <f t="shared" si="27"/>
        <v>572511428.57142866</v>
      </c>
      <c r="V47" s="164">
        <f t="shared" si="28"/>
        <v>1.6357469387755104</v>
      </c>
      <c r="W47" s="167">
        <f t="shared" si="29"/>
        <v>222511428.57142866</v>
      </c>
      <c r="X47" s="195">
        <f t="shared" si="0"/>
        <v>51.428571428571423</v>
      </c>
      <c r="Y47" s="196">
        <f t="shared" si="1"/>
        <v>-8.5714285714285765</v>
      </c>
      <c r="Z47" s="196">
        <f t="shared" si="30"/>
        <v>60</v>
      </c>
      <c r="AA47" s="196">
        <f t="shared" si="31"/>
        <v>0</v>
      </c>
      <c r="AB47" s="196">
        <f t="shared" si="32"/>
        <v>1</v>
      </c>
      <c r="AC47" s="239">
        <f t="shared" si="33"/>
        <v>2</v>
      </c>
      <c r="AD47" s="142">
        <f t="shared" si="34"/>
        <v>9409304.3478260878</v>
      </c>
      <c r="AE47" s="197">
        <f>IFERROR(GETPIVOTDATA("Sum of Qty",'[2]DATA LAST MONTH IQOO'!$A$6,"ID Store",$C47),0)</f>
        <v>4</v>
      </c>
      <c r="AF47" s="198">
        <f>IFERROR(GETPIVOTDATA("Sum of Qty",[2]IQOO!$A$6,"ID Store",$C47),0)</f>
        <v>3</v>
      </c>
      <c r="AG47" s="199">
        <f t="shared" si="2"/>
        <v>-1</v>
      </c>
      <c r="AH47" s="200">
        <f t="shared" si="3"/>
        <v>-0.25</v>
      </c>
      <c r="AI47" s="201">
        <f>IFERROR(GETPIVOTDATA("Sum of Qty",'[2]DATA LAST MONTH DEVICE'!$A$6,"ID Store",$C47),0)</f>
        <v>11</v>
      </c>
      <c r="AJ47" s="147">
        <f t="shared" si="35"/>
        <v>14</v>
      </c>
      <c r="AK47" s="202">
        <f t="shared" si="4"/>
        <v>3</v>
      </c>
      <c r="AL47" s="203">
        <f t="shared" si="5"/>
        <v>0.27272727272727271</v>
      </c>
      <c r="AM47" s="204">
        <f>IFERROR(GETPIVOTDATA("Sum of Qty",'[2]Store 3mio+ last month'!$A$6,"ID Store",$C47),0)</f>
        <v>45</v>
      </c>
      <c r="AN47" s="145">
        <f t="shared" si="36"/>
        <v>60</v>
      </c>
      <c r="AO47" s="199">
        <f t="shared" si="6"/>
        <v>15</v>
      </c>
      <c r="AP47" s="205">
        <f t="shared" si="7"/>
        <v>0.33333333333333331</v>
      </c>
      <c r="AQ47" s="204">
        <f>IFERROR(GETPIVOTDATA("Sum of Qty",'[2]DATA LAST MONTH DEVICE'!$A$6,"ID Store",$C47,"Segment Price","3mio&gt;"),0)</f>
        <v>10</v>
      </c>
      <c r="AR47" s="206">
        <f t="shared" si="8"/>
        <v>12</v>
      </c>
      <c r="AS47" s="206">
        <f t="shared" si="9"/>
        <v>2</v>
      </c>
      <c r="AT47" s="200">
        <f t="shared" si="10"/>
        <v>0.2</v>
      </c>
      <c r="AU47" s="207">
        <f>IFERROR(GETPIVOTDATA("Sum of SRP",'[2]DATA LAST MONTH DEVICE'!$A$6,"ID Store",$C47),0)</f>
        <v>93089000</v>
      </c>
      <c r="AV47" s="207">
        <f t="shared" si="37"/>
        <v>133586000</v>
      </c>
      <c r="AW47" s="208">
        <f t="shared" si="11"/>
        <v>40497000</v>
      </c>
      <c r="AX47" s="209">
        <f t="shared" si="12"/>
        <v>0.43503528880963377</v>
      </c>
      <c r="AY47" s="210">
        <f>IFERROR(VLOOKUP(C47,'[2]DATA SALES LAST MONTH'!A:E,5,0),0)</f>
        <v>8462636.3636363633</v>
      </c>
      <c r="AZ47" s="153">
        <f t="shared" si="38"/>
        <v>9541857.1428571437</v>
      </c>
      <c r="BA47" s="211">
        <f t="shared" si="13"/>
        <v>1079220.7792207804</v>
      </c>
      <c r="BB47" s="200">
        <f t="shared" si="14"/>
        <v>0.12752772692185527</v>
      </c>
      <c r="BC47" s="154">
        <f>_xlfn.XLOOKUP(D:D,'[2]Target store'!C:C,'[2]Target store'!J:J,0)</f>
        <v>6</v>
      </c>
      <c r="BD47" s="212">
        <f>IFERROR(GETPIVOTDATA("Sum of Qty",[2]ACC!$A$5,"ID Store",$C47),0)</f>
        <v>1</v>
      </c>
      <c r="BE47" s="205">
        <f t="shared" si="15"/>
        <v>0.16666666666666666</v>
      </c>
      <c r="BF47" s="155">
        <f>_xlfn.XLOOKUP(D:D,'[2]Target store'!C:C,'[2]Target store'!K:K,0)</f>
        <v>1575000</v>
      </c>
      <c r="BG47" s="213">
        <f>IFERROR(GETPIVOTDATA("Sum of SRP",'[2]Insurance by Store'!$A$5,"ID Store",$C47,"Product Type","Qoala"),0)</f>
        <v>329000</v>
      </c>
      <c r="BH47" s="205">
        <f t="shared" si="16"/>
        <v>0.2088888888888889</v>
      </c>
      <c r="BI47" s="155">
        <f>_xlfn.XLOOKUP(D:D,'[2]Target store'!C:C,'[2]Target store'!L:L,0)</f>
        <v>350000</v>
      </c>
      <c r="BJ47" s="213">
        <f>IFERROR(GETPIVOTDATA("Sum of SRP",'[2]Insurance by Store'!$A$5,"ID Store",$C47,"Product Type","Vivo Care"),0)</f>
        <v>0</v>
      </c>
      <c r="BK47" s="205">
        <f t="shared" si="17"/>
        <v>0</v>
      </c>
      <c r="BL47" s="145">
        <f>_xlfn.XLOOKUP(D:D,'[2]Target store'!C:C,'[2]Target store'!M:M,0)</f>
        <v>700000</v>
      </c>
      <c r="BM47" s="204">
        <f>IFERROR(GETPIVOTDATA("Sum of Qty",'[2]Operator by Store'!$A$5,"ID Store",$C47,"Product Type","Indosat"),0)</f>
        <v>0</v>
      </c>
      <c r="BN47" s="205">
        <f t="shared" si="18"/>
        <v>0</v>
      </c>
      <c r="BO47" s="145">
        <f>_xlfn.XLOOKUP(D:D,'[2]Target store'!C:C,'[2]Target store'!N:N,0)</f>
        <v>1050000</v>
      </c>
      <c r="BP47" s="204">
        <f>IFERROR(GETPIVOTDATA("Sum of Qty",'[2]Operator by Store'!$A$5,"ID Store",$C47,"Product Type","Telkomsel"),0)</f>
        <v>0</v>
      </c>
      <c r="BQ47" s="214">
        <f t="shared" si="19"/>
        <v>0</v>
      </c>
    </row>
    <row r="48" spans="1:69" ht="17" thickBot="1" x14ac:dyDescent="0.25">
      <c r="A48" s="249" t="s">
        <v>68</v>
      </c>
      <c r="B48" s="250"/>
      <c r="C48" s="250"/>
      <c r="D48" s="250"/>
      <c r="E48" s="250"/>
      <c r="F48" s="38">
        <f>SUM(F5:F47)</f>
        <v>116</v>
      </c>
      <c r="G48" s="39">
        <f>SUM(G5:G47)</f>
        <v>3400</v>
      </c>
      <c r="H48" s="40">
        <f>SUM(H5:H47)</f>
        <v>14520000000</v>
      </c>
      <c r="I48" s="41">
        <f>SUM(I5:I47)</f>
        <v>3003444000</v>
      </c>
      <c r="J48" s="42">
        <f>I48/H48</f>
        <v>0.2068487603305785</v>
      </c>
      <c r="K48" s="43">
        <f>I48-H48</f>
        <v>-11516556000</v>
      </c>
      <c r="L48" s="44">
        <f>SUM(L5:L47)</f>
        <v>111</v>
      </c>
      <c r="M48" s="37">
        <f>SUM(M5:M47)</f>
        <v>296</v>
      </c>
      <c r="N48" s="45">
        <f>M48/R48</f>
        <v>0.39153439153439151</v>
      </c>
      <c r="O48" s="46">
        <f>SUM(O5:O47)</f>
        <v>10</v>
      </c>
      <c r="P48" s="45">
        <f>O48/R48</f>
        <v>1.3227513227513227E-2</v>
      </c>
      <c r="Q48" s="47">
        <f>M48/R48</f>
        <v>0.39153439153439151</v>
      </c>
      <c r="R48" s="49">
        <f>SUM(R5:R47)</f>
        <v>756</v>
      </c>
      <c r="S48" s="49">
        <f>R48/G48</f>
        <v>0.22235294117647059</v>
      </c>
      <c r="T48" s="49">
        <f>R48-G48</f>
        <v>-2644</v>
      </c>
      <c r="U48" s="41">
        <f>SUM(U5:U47)</f>
        <v>12871902857.142855</v>
      </c>
      <c r="V48" s="42">
        <f>U48/H48</f>
        <v>0.88649468713105062</v>
      </c>
      <c r="W48" s="43">
        <f>U48-H48</f>
        <v>-1648097142.8571453</v>
      </c>
      <c r="X48" s="48">
        <f>SUM(X5:X47)</f>
        <v>1268.5714285714284</v>
      </c>
      <c r="Y48" s="49">
        <f t="shared" si="1"/>
        <v>-2131.4285714285716</v>
      </c>
      <c r="Z48" s="49">
        <f>SUM(Z5:Z47)</f>
        <v>3239.9999999999986</v>
      </c>
      <c r="AA48" s="49">
        <f>Z48-G48</f>
        <v>-160.00000000000136</v>
      </c>
      <c r="AB48" s="49">
        <f>Z48/G48</f>
        <v>0.95294117647058785</v>
      </c>
      <c r="AC48" s="240">
        <f>SUM(AC5:AC47)</f>
        <v>114.95652173913045</v>
      </c>
      <c r="AD48" s="50">
        <f>SUM(AD5:AD47)</f>
        <v>500719826.08695644</v>
      </c>
      <c r="AE48" s="48">
        <f>SUM(AE5:AE47)</f>
        <v>32</v>
      </c>
      <c r="AF48" s="48">
        <f>SUM(AF5:AF47)</f>
        <v>10</v>
      </c>
      <c r="AG48" s="46">
        <f t="shared" si="2"/>
        <v>-22</v>
      </c>
      <c r="AH48" s="47">
        <f>AG48/AE48</f>
        <v>-0.6875</v>
      </c>
      <c r="AI48" s="51">
        <f>SUM(AI5:AI47)</f>
        <v>830</v>
      </c>
      <c r="AJ48" s="52">
        <f>SUM(AJ5:AJ47)</f>
        <v>756</v>
      </c>
      <c r="AK48" s="53">
        <f t="shared" si="4"/>
        <v>-74</v>
      </c>
      <c r="AL48" s="54">
        <f>AK48/AI48</f>
        <v>-8.91566265060241E-2</v>
      </c>
      <c r="AM48" s="37">
        <f>SUM(AM5:AM47)</f>
        <v>3260</v>
      </c>
      <c r="AN48" s="46">
        <f>SUM(AN5:AN47)</f>
        <v>3239.9999999999986</v>
      </c>
      <c r="AO48" s="46">
        <f t="shared" si="6"/>
        <v>-20.000000000001364</v>
      </c>
      <c r="AP48" s="45">
        <f>AO48/AM48</f>
        <v>-6.1349693251537924E-3</v>
      </c>
      <c r="AQ48" s="37">
        <f>SUM(AQ5:AQ47)</f>
        <v>302</v>
      </c>
      <c r="AR48" s="46">
        <f>SUM(AR5:AR47)</f>
        <v>296</v>
      </c>
      <c r="AS48" s="46">
        <f t="shared" si="9"/>
        <v>-6</v>
      </c>
      <c r="AT48" s="47">
        <f>AS48/AQ48</f>
        <v>-1.9867549668874173E-2</v>
      </c>
      <c r="AU48" s="41">
        <f>SUM(AU5:AU47)</f>
        <v>3203270000</v>
      </c>
      <c r="AV48" s="41">
        <f>SUM(AV5:AV47)</f>
        <v>3003444000</v>
      </c>
      <c r="AW48" s="55">
        <f t="shared" si="11"/>
        <v>-199826000</v>
      </c>
      <c r="AX48" s="56">
        <f>AW48/AU48</f>
        <v>-6.2381878517889532E-2</v>
      </c>
      <c r="AY48" s="57">
        <f>AU48/AI48</f>
        <v>3859361.4457831327</v>
      </c>
      <c r="AZ48" s="58">
        <f>U48/Z48</f>
        <v>3972809.5238095247</v>
      </c>
      <c r="BA48" s="58">
        <f t="shared" si="13"/>
        <v>113448.07802639203</v>
      </c>
      <c r="BB48" s="47">
        <f>BA48/AY48</f>
        <v>2.9395556653639993E-2</v>
      </c>
      <c r="BC48" s="59">
        <f>SUM(BC5:BC47)</f>
        <v>340</v>
      </c>
      <c r="BD48" s="44">
        <f>SUM(BD5:BD47)</f>
        <v>186</v>
      </c>
      <c r="BE48" s="45">
        <f>BD48/BC48</f>
        <v>0.54705882352941182</v>
      </c>
      <c r="BF48" s="58">
        <f>SUM(BF5:BF47)</f>
        <v>63615000</v>
      </c>
      <c r="BG48" s="58">
        <f>SUM(BG5:BG47)</f>
        <v>9092000</v>
      </c>
      <c r="BH48" s="45">
        <f>BG48/BF48</f>
        <v>0.14292226676098405</v>
      </c>
      <c r="BI48" s="58">
        <f>SUM(BI5:BI47)</f>
        <v>14370000</v>
      </c>
      <c r="BJ48" s="58">
        <f>SUM(BJ5:BJ47)</f>
        <v>1000000</v>
      </c>
      <c r="BK48" s="45">
        <f>BJ48/BI48</f>
        <v>6.9589422407794019E-2</v>
      </c>
      <c r="BL48" s="46">
        <f>SUM(BL5:BL47)</f>
        <v>29040000</v>
      </c>
      <c r="BM48" s="37">
        <f>SUM(BM5:BM47)</f>
        <v>6</v>
      </c>
      <c r="BN48" s="45">
        <f>BM48/BL48</f>
        <v>2.0661157024793388E-7</v>
      </c>
      <c r="BO48" s="46">
        <f>SUM(BO5:BO47)</f>
        <v>43560000</v>
      </c>
      <c r="BP48" s="37">
        <f>SUM(BP5:BP47)</f>
        <v>0</v>
      </c>
      <c r="BQ48" s="60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D6:D47">
    <cfRule type="duplicateValues" dxfId="7" priority="1"/>
  </conditionalFormatting>
  <conditionalFormatting sqref="J5:J47">
    <cfRule type="cellIs" dxfId="6" priority="8" operator="lessThan">
      <formula>$F$2</formula>
    </cfRule>
  </conditionalFormatting>
  <conditionalFormatting sqref="K5:K47">
    <cfRule type="cellIs" dxfId="5" priority="5" operator="lessThan">
      <formula>0</formula>
    </cfRule>
  </conditionalFormatting>
  <conditionalFormatting sqref="AL5:AL47">
    <cfRule type="cellIs" dxfId="4" priority="7" operator="lessThan">
      <formula>0</formula>
    </cfRule>
  </conditionalFormatting>
  <conditionalFormatting sqref="AX5:AX47">
    <cfRule type="cellIs" dxfId="3" priority="6" operator="lessThan">
      <formula>0</formula>
    </cfRule>
  </conditionalFormatting>
  <conditionalFormatting sqref="BE5:BE47">
    <cfRule type="cellIs" dxfId="2" priority="4" operator="lessThan">
      <formula>$F$2</formula>
    </cfRule>
  </conditionalFormatting>
  <conditionalFormatting sqref="BH5:BH47">
    <cfRule type="cellIs" dxfId="1" priority="3" operator="lessThan">
      <formula>$F$2</formula>
    </cfRule>
  </conditionalFormatting>
  <conditionalFormatting sqref="BN5:BN47">
    <cfRule type="cellIs" dxfId="0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opLeftCell="DI1" zoomScale="75" zoomScaleNormal="75" workbookViewId="0">
      <selection activeCell="EI3" sqref="EI3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8" style="26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288" t="s">
        <v>69</v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288"/>
      <c r="N1" s="288"/>
      <c r="O1" s="288"/>
      <c r="P1" s="288"/>
      <c r="Q1" s="288"/>
      <c r="R1" s="288"/>
      <c r="S1" s="288"/>
      <c r="T1" s="288"/>
      <c r="U1" s="288"/>
      <c r="V1" s="288"/>
      <c r="W1" s="288"/>
      <c r="X1" s="288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8"/>
      <c r="AJ1" s="288"/>
      <c r="AK1" s="288"/>
      <c r="AL1" s="288"/>
      <c r="AM1" s="288"/>
      <c r="AN1" s="288"/>
      <c r="AO1" s="288"/>
      <c r="AP1" s="288"/>
      <c r="AQ1" s="288"/>
      <c r="AR1" s="288"/>
      <c r="AS1" s="288"/>
      <c r="AT1" s="288"/>
      <c r="AU1" s="288"/>
      <c r="AV1" s="288"/>
      <c r="AW1" s="288"/>
      <c r="AX1" s="288"/>
      <c r="AY1" s="288"/>
      <c r="AZ1" s="288"/>
      <c r="BA1" s="288"/>
      <c r="BB1" s="288"/>
      <c r="BC1" s="288"/>
      <c r="BD1" s="288"/>
      <c r="BE1" s="288"/>
      <c r="BF1" s="288"/>
      <c r="BG1" s="288"/>
      <c r="BH1" s="288"/>
      <c r="BI1" s="288"/>
      <c r="BJ1" s="288"/>
      <c r="BK1" s="288"/>
      <c r="BL1" s="288"/>
      <c r="BM1" s="288"/>
      <c r="BN1" s="288"/>
      <c r="BO1" s="288"/>
      <c r="BP1" s="288"/>
      <c r="BQ1" s="288"/>
      <c r="BR1" s="288"/>
      <c r="BS1" s="288"/>
      <c r="BT1" s="288"/>
      <c r="BU1" s="288"/>
      <c r="BV1" s="288"/>
      <c r="BW1" s="288"/>
      <c r="BX1" s="288"/>
      <c r="BY1" s="288"/>
      <c r="BZ1" s="288"/>
      <c r="CA1" s="288"/>
      <c r="CB1" s="288"/>
      <c r="CC1" s="288"/>
      <c r="CD1" s="288"/>
      <c r="CE1" s="288"/>
      <c r="CF1" s="288"/>
      <c r="CG1" s="288"/>
      <c r="CH1" s="288"/>
      <c r="CI1" s="288"/>
      <c r="CJ1" s="288"/>
      <c r="CK1" s="288"/>
      <c r="CL1" s="288"/>
      <c r="CM1" s="288"/>
      <c r="CN1" s="288"/>
      <c r="CO1" s="288"/>
      <c r="CP1" s="288"/>
      <c r="CQ1" s="288"/>
      <c r="CR1" s="288"/>
      <c r="CS1" s="288"/>
      <c r="CT1" s="288"/>
      <c r="CU1" s="288"/>
      <c r="CV1" s="288"/>
      <c r="CW1" s="288"/>
      <c r="CX1" s="288"/>
      <c r="CY1" s="288"/>
      <c r="CZ1" s="288"/>
      <c r="DA1" s="288"/>
      <c r="DB1" s="288"/>
      <c r="DC1" s="288"/>
      <c r="DD1" s="288"/>
      <c r="DE1" s="288"/>
      <c r="DF1" s="288"/>
      <c r="DG1" s="288"/>
      <c r="DH1" s="288"/>
      <c r="DI1" s="288"/>
      <c r="DJ1" s="288"/>
      <c r="DK1" s="288"/>
      <c r="DL1" s="288"/>
      <c r="DM1" s="288"/>
      <c r="DN1" s="288"/>
      <c r="DO1" s="288"/>
      <c r="DP1" s="288"/>
      <c r="DQ1" s="288"/>
      <c r="DR1" s="288"/>
      <c r="DS1" s="288"/>
      <c r="DT1" s="288"/>
      <c r="DU1" s="288"/>
      <c r="DV1" s="288"/>
      <c r="DW1" s="288"/>
      <c r="DX1" s="288"/>
      <c r="DY1" s="288"/>
      <c r="DZ1" s="288"/>
      <c r="EA1" s="288"/>
      <c r="EB1" s="288"/>
      <c r="EC1" s="288"/>
      <c r="ED1" s="288"/>
      <c r="EE1" s="288"/>
      <c r="EF1" s="288"/>
      <c r="EG1" s="288"/>
      <c r="EH1"/>
      <c r="EI1" t="s">
        <v>70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71</v>
      </c>
      <c r="B2" s="28" t="s">
        <v>72</v>
      </c>
      <c r="F2" s="29" t="s">
        <v>73</v>
      </c>
      <c r="G2" s="29"/>
      <c r="H2" s="29"/>
      <c r="I2" s="29"/>
      <c r="J2" s="29"/>
      <c r="K2" s="29"/>
      <c r="L2" s="29" t="s">
        <v>73</v>
      </c>
      <c r="M2" s="29"/>
      <c r="N2" s="29"/>
      <c r="O2" s="29"/>
      <c r="P2" s="29"/>
      <c r="Q2" s="29"/>
      <c r="R2" s="29" t="s">
        <v>73</v>
      </c>
      <c r="S2" s="29"/>
      <c r="T2" s="29"/>
      <c r="U2" s="29"/>
      <c r="V2" s="29"/>
      <c r="W2" s="29"/>
      <c r="X2" s="29" t="s">
        <v>73</v>
      </c>
      <c r="Y2" s="29"/>
      <c r="Z2" s="29"/>
      <c r="AA2" s="29"/>
      <c r="AB2" s="29"/>
      <c r="AC2" s="29"/>
      <c r="AD2" s="29" t="s">
        <v>74</v>
      </c>
      <c r="AE2" s="29"/>
      <c r="AF2" s="29"/>
      <c r="AG2" s="29"/>
      <c r="AH2" s="29"/>
      <c r="AI2" s="29"/>
      <c r="AJ2" s="29" t="s">
        <v>74</v>
      </c>
      <c r="AK2" s="29"/>
      <c r="AL2" s="29"/>
      <c r="AM2" s="29"/>
      <c r="AN2" s="29"/>
      <c r="AO2" s="29"/>
      <c r="AP2" s="29" t="s">
        <v>74</v>
      </c>
      <c r="AQ2" s="29"/>
      <c r="AR2" s="29"/>
      <c r="AS2" s="29"/>
      <c r="AT2" s="29"/>
      <c r="AU2" s="29"/>
      <c r="AV2" s="29" t="s">
        <v>74</v>
      </c>
      <c r="AW2" s="29"/>
      <c r="AX2" s="29"/>
      <c r="AY2" s="29"/>
      <c r="AZ2" s="29"/>
      <c r="BA2" s="29"/>
      <c r="BB2" s="29" t="s">
        <v>74</v>
      </c>
      <c r="BC2" s="29"/>
      <c r="BD2" s="29"/>
      <c r="BE2" s="29"/>
      <c r="BF2" s="29"/>
      <c r="BG2" s="29"/>
      <c r="BH2" s="29" t="s">
        <v>74</v>
      </c>
      <c r="BI2" s="29"/>
      <c r="BJ2" s="29"/>
      <c r="BK2" s="29"/>
      <c r="BL2" s="29"/>
      <c r="BM2" s="29"/>
      <c r="BN2" s="29" t="s">
        <v>74</v>
      </c>
      <c r="BO2" s="29"/>
      <c r="BP2" s="29"/>
      <c r="BQ2" s="29"/>
      <c r="BR2" s="29"/>
      <c r="BS2" s="29"/>
      <c r="BT2" s="29" t="s">
        <v>74</v>
      </c>
      <c r="BU2" s="29"/>
      <c r="BV2" s="29"/>
      <c r="BW2" s="29"/>
      <c r="BX2" s="29"/>
      <c r="BY2" s="29"/>
      <c r="BZ2" s="29" t="s">
        <v>74</v>
      </c>
      <c r="CA2" s="29"/>
      <c r="CB2" s="29"/>
      <c r="CC2" s="29"/>
      <c r="CD2" s="29"/>
      <c r="CE2" s="29"/>
      <c r="CF2" s="29" t="s">
        <v>74</v>
      </c>
      <c r="CG2" s="29"/>
      <c r="CH2" s="29"/>
      <c r="CI2" s="29"/>
      <c r="CJ2" s="29"/>
      <c r="CK2" s="29"/>
      <c r="CL2" s="29" t="s">
        <v>74</v>
      </c>
      <c r="CM2" s="29"/>
      <c r="CN2" s="29"/>
      <c r="CO2" s="29"/>
      <c r="CP2" s="29"/>
      <c r="CQ2" s="29"/>
      <c r="CR2" s="29" t="s">
        <v>74</v>
      </c>
      <c r="CS2" s="29"/>
      <c r="CT2" s="29"/>
      <c r="CU2" s="29"/>
      <c r="CV2" s="29"/>
      <c r="CW2" s="29"/>
      <c r="CX2" s="29" t="s">
        <v>74</v>
      </c>
      <c r="CY2" s="29"/>
      <c r="CZ2" s="29"/>
      <c r="DA2" s="29"/>
      <c r="DB2" s="29"/>
      <c r="DC2" s="29"/>
      <c r="DD2" s="29" t="s">
        <v>75</v>
      </c>
      <c r="DE2" s="29"/>
      <c r="DF2" s="29"/>
      <c r="DG2" s="29"/>
      <c r="DH2" s="29"/>
      <c r="DI2" s="29"/>
      <c r="DJ2" s="29" t="s">
        <v>76</v>
      </c>
      <c r="DK2" s="29"/>
      <c r="DL2" s="29"/>
      <c r="DM2" s="29"/>
      <c r="DN2" s="29"/>
      <c r="DO2" s="29"/>
      <c r="DP2" s="29" t="s">
        <v>76</v>
      </c>
      <c r="DQ2" s="29"/>
      <c r="DR2" s="29"/>
      <c r="DS2" s="29"/>
      <c r="DT2" s="29"/>
      <c r="DU2" s="29"/>
      <c r="DV2" s="29" t="s">
        <v>76</v>
      </c>
      <c r="DW2" s="29"/>
      <c r="DX2" s="29"/>
      <c r="DY2" s="29"/>
      <c r="DZ2" s="29"/>
      <c r="EA2" s="29"/>
      <c r="EB2" s="29" t="s">
        <v>68</v>
      </c>
      <c r="EC2" s="29"/>
      <c r="ED2" s="29"/>
      <c r="EE2" s="29"/>
      <c r="EF2" s="29"/>
      <c r="EG2" s="29"/>
      <c r="EH2"/>
      <c r="EI2" t="e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#REF!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92" t="s">
        <v>16</v>
      </c>
      <c r="B3" s="292" t="s">
        <v>17</v>
      </c>
      <c r="C3" s="292" t="s">
        <v>77</v>
      </c>
      <c r="D3" s="292" t="s">
        <v>19</v>
      </c>
      <c r="E3" s="292" t="s">
        <v>78</v>
      </c>
      <c r="F3" s="289" t="s">
        <v>79</v>
      </c>
      <c r="G3" s="290"/>
      <c r="H3" s="290"/>
      <c r="I3" s="290"/>
      <c r="J3" s="290"/>
      <c r="K3" s="291"/>
      <c r="L3" s="289" t="s">
        <v>80</v>
      </c>
      <c r="M3" s="290"/>
      <c r="N3" s="290"/>
      <c r="O3" s="290"/>
      <c r="P3" s="290"/>
      <c r="Q3" s="291"/>
      <c r="R3" s="289" t="s">
        <v>81</v>
      </c>
      <c r="S3" s="290"/>
      <c r="T3" s="290"/>
      <c r="U3" s="290"/>
      <c r="V3" s="290"/>
      <c r="W3" s="291"/>
      <c r="X3" s="289" t="s">
        <v>82</v>
      </c>
      <c r="Y3" s="290"/>
      <c r="Z3" s="290"/>
      <c r="AA3" s="290"/>
      <c r="AB3" s="290"/>
      <c r="AC3" s="291"/>
      <c r="AD3" s="289" t="s">
        <v>83</v>
      </c>
      <c r="AE3" s="290"/>
      <c r="AF3" s="290"/>
      <c r="AG3" s="290"/>
      <c r="AH3" s="290"/>
      <c r="AI3" s="291"/>
      <c r="AJ3" s="289" t="s">
        <v>84</v>
      </c>
      <c r="AK3" s="290"/>
      <c r="AL3" s="290"/>
      <c r="AM3" s="290"/>
      <c r="AN3" s="290"/>
      <c r="AO3" s="291"/>
      <c r="AP3" s="289" t="s">
        <v>85</v>
      </c>
      <c r="AQ3" s="290"/>
      <c r="AR3" s="290"/>
      <c r="AS3" s="290"/>
      <c r="AT3" s="290"/>
      <c r="AU3" s="291"/>
      <c r="AV3" s="289" t="s">
        <v>86</v>
      </c>
      <c r="AW3" s="290"/>
      <c r="AX3" s="290"/>
      <c r="AY3" s="290"/>
      <c r="AZ3" s="290"/>
      <c r="BA3" s="291"/>
      <c r="BB3" s="289" t="s">
        <v>87</v>
      </c>
      <c r="BC3" s="290"/>
      <c r="BD3" s="290"/>
      <c r="BE3" s="290"/>
      <c r="BF3" s="290"/>
      <c r="BG3" s="291"/>
      <c r="BH3" s="289" t="s">
        <v>88</v>
      </c>
      <c r="BI3" s="290"/>
      <c r="BJ3" s="290"/>
      <c r="BK3" s="290"/>
      <c r="BL3" s="290"/>
      <c r="BM3" s="291"/>
      <c r="BN3" s="289" t="s">
        <v>89</v>
      </c>
      <c r="BO3" s="290"/>
      <c r="BP3" s="290"/>
      <c r="BQ3" s="290"/>
      <c r="BR3" s="290"/>
      <c r="BS3" s="291"/>
      <c r="BT3" s="289" t="s">
        <v>90</v>
      </c>
      <c r="BU3" s="290"/>
      <c r="BV3" s="290"/>
      <c r="BW3" s="290"/>
      <c r="BX3" s="290"/>
      <c r="BY3" s="291"/>
      <c r="BZ3" s="289" t="s">
        <v>91</v>
      </c>
      <c r="CA3" s="290"/>
      <c r="CB3" s="290"/>
      <c r="CC3" s="290"/>
      <c r="CD3" s="290"/>
      <c r="CE3" s="291"/>
      <c r="CF3" s="289" t="s">
        <v>92</v>
      </c>
      <c r="CG3" s="290"/>
      <c r="CH3" s="290"/>
      <c r="CI3" s="290"/>
      <c r="CJ3" s="290"/>
      <c r="CK3" s="291"/>
      <c r="CL3" s="289" t="s">
        <v>93</v>
      </c>
      <c r="CM3" s="290"/>
      <c r="CN3" s="290"/>
      <c r="CO3" s="290"/>
      <c r="CP3" s="290"/>
      <c r="CQ3" s="291"/>
      <c r="CR3" s="289" t="s">
        <v>94</v>
      </c>
      <c r="CS3" s="290"/>
      <c r="CT3" s="290"/>
      <c r="CU3" s="290"/>
      <c r="CV3" s="290"/>
      <c r="CW3" s="291"/>
      <c r="CX3" s="289" t="s">
        <v>95</v>
      </c>
      <c r="CY3" s="290"/>
      <c r="CZ3" s="290"/>
      <c r="DA3" s="290"/>
      <c r="DB3" s="290"/>
      <c r="DC3" s="291"/>
      <c r="DD3" s="289" t="s">
        <v>96</v>
      </c>
      <c r="DE3" s="290"/>
      <c r="DF3" s="290"/>
      <c r="DG3" s="290"/>
      <c r="DH3" s="290"/>
      <c r="DI3" s="291"/>
      <c r="DJ3" s="289" t="s">
        <v>97</v>
      </c>
      <c r="DK3" s="290"/>
      <c r="DL3" s="290"/>
      <c r="DM3" s="290"/>
      <c r="DN3" s="290"/>
      <c r="DO3" s="291"/>
      <c r="DP3" s="289" t="s">
        <v>98</v>
      </c>
      <c r="DQ3" s="290"/>
      <c r="DR3" s="290"/>
      <c r="DS3" s="290"/>
      <c r="DT3" s="290"/>
      <c r="DU3" s="291"/>
      <c r="DV3" s="289" t="s">
        <v>99</v>
      </c>
      <c r="DW3" s="290"/>
      <c r="DX3" s="290"/>
      <c r="DY3" s="290"/>
      <c r="DZ3" s="290"/>
      <c r="EA3" s="291"/>
      <c r="EB3" s="289" t="s">
        <v>68</v>
      </c>
      <c r="EC3" s="290"/>
      <c r="ED3" s="290"/>
      <c r="EE3" s="290"/>
      <c r="EF3" s="290"/>
      <c r="EG3" s="291"/>
      <c r="EH3"/>
      <c r="EI3" t="e">
        <f>MATCH("Y11d",INDEX('[1]SALES PERTYPE'!$D$8:$BA$8,1,MATCH("3mio&gt;",'[1]SALES PERTYPE'!$D$7:$BA$7,0)):INDEX('[1]SALES PERTYPE'!$D$8:$BA$8,1,COLUMNS('[1]SALES PERTYPE'!$D$8:$BA$8)),0)+MATCH("3mio&gt;",'[1]SALES PERTYPE'!$D$7:$BA$7,0)-1</f>
        <v>#REF!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92"/>
      <c r="B4" s="292"/>
      <c r="C4" s="292"/>
      <c r="D4" s="292"/>
      <c r="E4" s="292"/>
      <c r="F4" s="30" t="s">
        <v>100</v>
      </c>
      <c r="G4" s="30" t="s">
        <v>101</v>
      </c>
      <c r="H4" s="30" t="s">
        <v>102</v>
      </c>
      <c r="I4" s="30" t="s">
        <v>103</v>
      </c>
      <c r="J4" s="30" t="s">
        <v>104</v>
      </c>
      <c r="K4" s="30" t="s">
        <v>105</v>
      </c>
      <c r="L4" s="30" t="s">
        <v>100</v>
      </c>
      <c r="M4" s="30" t="s">
        <v>101</v>
      </c>
      <c r="N4" s="30" t="s">
        <v>102</v>
      </c>
      <c r="O4" s="30" t="s">
        <v>103</v>
      </c>
      <c r="P4" s="30" t="s">
        <v>104</v>
      </c>
      <c r="Q4" s="30" t="s">
        <v>105</v>
      </c>
      <c r="R4" s="30" t="s">
        <v>100</v>
      </c>
      <c r="S4" s="30" t="s">
        <v>101</v>
      </c>
      <c r="T4" s="30" t="s">
        <v>102</v>
      </c>
      <c r="U4" s="30" t="s">
        <v>103</v>
      </c>
      <c r="V4" s="30" t="s">
        <v>104</v>
      </c>
      <c r="W4" s="30" t="s">
        <v>105</v>
      </c>
      <c r="X4" s="30" t="s">
        <v>100</v>
      </c>
      <c r="Y4" s="30" t="s">
        <v>101</v>
      </c>
      <c r="Z4" s="30" t="s">
        <v>102</v>
      </c>
      <c r="AA4" s="30" t="s">
        <v>103</v>
      </c>
      <c r="AB4" s="30" t="s">
        <v>104</v>
      </c>
      <c r="AC4" s="30" t="s">
        <v>105</v>
      </c>
      <c r="AD4" s="30" t="s">
        <v>100</v>
      </c>
      <c r="AE4" s="30" t="s">
        <v>101</v>
      </c>
      <c r="AF4" s="30" t="s">
        <v>102</v>
      </c>
      <c r="AG4" s="30" t="s">
        <v>103</v>
      </c>
      <c r="AH4" s="30" t="s">
        <v>104</v>
      </c>
      <c r="AI4" s="30" t="s">
        <v>105</v>
      </c>
      <c r="AJ4" s="30" t="s">
        <v>100</v>
      </c>
      <c r="AK4" s="30" t="s">
        <v>101</v>
      </c>
      <c r="AL4" s="30" t="s">
        <v>102</v>
      </c>
      <c r="AM4" s="30" t="s">
        <v>103</v>
      </c>
      <c r="AN4" s="30" t="s">
        <v>104</v>
      </c>
      <c r="AO4" s="30" t="s">
        <v>105</v>
      </c>
      <c r="AP4" s="30" t="s">
        <v>100</v>
      </c>
      <c r="AQ4" s="30" t="s">
        <v>101</v>
      </c>
      <c r="AR4" s="30" t="s">
        <v>102</v>
      </c>
      <c r="AS4" s="30" t="s">
        <v>103</v>
      </c>
      <c r="AT4" s="30" t="s">
        <v>104</v>
      </c>
      <c r="AU4" s="30" t="s">
        <v>105</v>
      </c>
      <c r="AV4" s="30" t="s">
        <v>100</v>
      </c>
      <c r="AW4" s="30" t="s">
        <v>101</v>
      </c>
      <c r="AX4" s="30" t="s">
        <v>102</v>
      </c>
      <c r="AY4" s="30" t="s">
        <v>103</v>
      </c>
      <c r="AZ4" s="30" t="s">
        <v>104</v>
      </c>
      <c r="BA4" s="30" t="s">
        <v>105</v>
      </c>
      <c r="BB4" s="30" t="s">
        <v>100</v>
      </c>
      <c r="BC4" s="30" t="s">
        <v>101</v>
      </c>
      <c r="BD4" s="30" t="s">
        <v>102</v>
      </c>
      <c r="BE4" s="30" t="s">
        <v>103</v>
      </c>
      <c r="BF4" s="30" t="s">
        <v>104</v>
      </c>
      <c r="BG4" s="30" t="s">
        <v>105</v>
      </c>
      <c r="BH4" s="30" t="s">
        <v>100</v>
      </c>
      <c r="BI4" s="30" t="s">
        <v>101</v>
      </c>
      <c r="BJ4" s="30" t="s">
        <v>102</v>
      </c>
      <c r="BK4" s="30" t="s">
        <v>103</v>
      </c>
      <c r="BL4" s="30" t="s">
        <v>104</v>
      </c>
      <c r="BM4" s="30" t="s">
        <v>105</v>
      </c>
      <c r="BN4" s="30" t="s">
        <v>100</v>
      </c>
      <c r="BO4" s="30" t="s">
        <v>101</v>
      </c>
      <c r="BP4" s="30" t="s">
        <v>102</v>
      </c>
      <c r="BQ4" s="30" t="s">
        <v>103</v>
      </c>
      <c r="BR4" s="30" t="s">
        <v>104</v>
      </c>
      <c r="BS4" s="30" t="s">
        <v>105</v>
      </c>
      <c r="BT4" s="30" t="s">
        <v>100</v>
      </c>
      <c r="BU4" s="30" t="s">
        <v>101</v>
      </c>
      <c r="BV4" s="30" t="s">
        <v>102</v>
      </c>
      <c r="BW4" s="30" t="s">
        <v>103</v>
      </c>
      <c r="BX4" s="30" t="s">
        <v>104</v>
      </c>
      <c r="BY4" s="30" t="s">
        <v>105</v>
      </c>
      <c r="BZ4" s="30" t="s">
        <v>100</v>
      </c>
      <c r="CA4" s="30" t="s">
        <v>101</v>
      </c>
      <c r="CB4" s="30" t="s">
        <v>102</v>
      </c>
      <c r="CC4" s="30" t="s">
        <v>103</v>
      </c>
      <c r="CD4" s="30" t="s">
        <v>104</v>
      </c>
      <c r="CE4" s="30" t="s">
        <v>105</v>
      </c>
      <c r="CF4" s="30" t="s">
        <v>100</v>
      </c>
      <c r="CG4" s="30" t="s">
        <v>101</v>
      </c>
      <c r="CH4" s="30" t="s">
        <v>102</v>
      </c>
      <c r="CI4" s="30" t="s">
        <v>103</v>
      </c>
      <c r="CJ4" s="30" t="s">
        <v>104</v>
      </c>
      <c r="CK4" s="30" t="s">
        <v>105</v>
      </c>
      <c r="CL4" s="30" t="s">
        <v>100</v>
      </c>
      <c r="CM4" s="30" t="s">
        <v>101</v>
      </c>
      <c r="CN4" s="30" t="s">
        <v>102</v>
      </c>
      <c r="CO4" s="30" t="s">
        <v>103</v>
      </c>
      <c r="CP4" s="30" t="s">
        <v>104</v>
      </c>
      <c r="CQ4" s="30" t="s">
        <v>105</v>
      </c>
      <c r="CR4" s="30" t="s">
        <v>100</v>
      </c>
      <c r="CS4" s="30" t="s">
        <v>101</v>
      </c>
      <c r="CT4" s="30" t="s">
        <v>102</v>
      </c>
      <c r="CU4" s="30" t="s">
        <v>103</v>
      </c>
      <c r="CV4" s="30" t="s">
        <v>104</v>
      </c>
      <c r="CW4" s="30" t="s">
        <v>105</v>
      </c>
      <c r="CX4" s="30" t="s">
        <v>100</v>
      </c>
      <c r="CY4" s="30" t="s">
        <v>101</v>
      </c>
      <c r="CZ4" s="30" t="s">
        <v>102</v>
      </c>
      <c r="DA4" s="30" t="s">
        <v>103</v>
      </c>
      <c r="DB4" s="30" t="s">
        <v>104</v>
      </c>
      <c r="DC4" s="30" t="s">
        <v>105</v>
      </c>
      <c r="DD4" s="30" t="s">
        <v>100</v>
      </c>
      <c r="DE4" s="30" t="s">
        <v>101</v>
      </c>
      <c r="DF4" s="30" t="s">
        <v>102</v>
      </c>
      <c r="DG4" s="30" t="s">
        <v>103</v>
      </c>
      <c r="DH4" s="30" t="s">
        <v>104</v>
      </c>
      <c r="DI4" s="30" t="s">
        <v>105</v>
      </c>
      <c r="DJ4" s="30" t="s">
        <v>100</v>
      </c>
      <c r="DK4" s="30" t="s">
        <v>101</v>
      </c>
      <c r="DL4" s="30" t="s">
        <v>102</v>
      </c>
      <c r="DM4" s="30" t="s">
        <v>103</v>
      </c>
      <c r="DN4" s="30" t="s">
        <v>104</v>
      </c>
      <c r="DO4" s="30" t="s">
        <v>105</v>
      </c>
      <c r="DP4" s="30" t="s">
        <v>100</v>
      </c>
      <c r="DQ4" s="30" t="s">
        <v>101</v>
      </c>
      <c r="DR4" s="30" t="s">
        <v>102</v>
      </c>
      <c r="DS4" s="30" t="s">
        <v>103</v>
      </c>
      <c r="DT4" s="30" t="s">
        <v>104</v>
      </c>
      <c r="DU4" s="30" t="s">
        <v>105</v>
      </c>
      <c r="DV4" s="30" t="s">
        <v>100</v>
      </c>
      <c r="DW4" s="30" t="s">
        <v>101</v>
      </c>
      <c r="DX4" s="30" t="s">
        <v>102</v>
      </c>
      <c r="DY4" s="30" t="s">
        <v>103</v>
      </c>
      <c r="DZ4" s="30" t="s">
        <v>104</v>
      </c>
      <c r="EA4" s="30" t="s">
        <v>105</v>
      </c>
      <c r="EB4" s="30" t="s">
        <v>100</v>
      </c>
      <c r="EC4" s="30" t="s">
        <v>101</v>
      </c>
      <c r="ED4" s="30" t="s">
        <v>102</v>
      </c>
      <c r="EE4" s="30" t="s">
        <v>103</v>
      </c>
      <c r="EF4" s="30" t="s">
        <v>104</v>
      </c>
      <c r="EG4" s="30" t="s">
        <v>105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'[2]ACHIEVEMENT STORE'!A5</f>
        <v>1</v>
      </c>
      <c r="B5" s="32" t="str">
        <f>'[2]ACHIEVEMENT STORE'!B5</f>
        <v>601 雅加达西北 JKT BU</v>
      </c>
      <c r="C5" s="31">
        <f>'[2]ACHIEVEMENT STORE'!C5</f>
        <v>6010708</v>
      </c>
      <c r="D5" s="32" t="str">
        <f>'[2]ACHIEVEMENT STORE'!D5</f>
        <v>6010708-CENTRAL PARK SHOWROOM</v>
      </c>
      <c r="E5" s="32" t="str">
        <f>'[2]ACHIEVEMENT STORE'!E5</f>
        <v>NANDI FEBRIANA</v>
      </c>
      <c r="F5" s="33">
        <f>IFERROR(INDEX('[2]SALES PERTYPE'!$D$10:$BA$52,MATCH($C5,'[2]SALES PERTYPE'!$B$10:$B$52,0),MATCH("Y05",'[2]SALES PERTYPE'!$D$8:$BA$8,0)),0)</f>
        <v>1</v>
      </c>
      <c r="G5" s="33">
        <f>IFERROR(INDEX('[2]Sales per type Agustus'!$D$10:$BA$51,MATCH($C5,'[2]Sales per type Agustus'!$B$10:$B$51,0),MATCH("Y05",'[2]Sales per type Agustus'!$D$8:$BA$8,0)),0)</f>
        <v>5</v>
      </c>
      <c r="H5" s="33">
        <f t="shared" ref="H5:H48" si="0">F5-G5</f>
        <v>-4</v>
      </c>
      <c r="I5" s="33" cm="1">
        <f t="array" ref="I5">IFERROR(INDEX('[2]SALES PERTYPE'!$D$10:$BA$52,MATCH($C5,'[2]SALES PERTYPE'!$B$10:$B$52,0),MATCH("Y05",'[2]SALES PERTYPE'!$D$8:$BA$8,0)+1),0)</f>
        <v>2299000</v>
      </c>
      <c r="J5" s="33" cm="1">
        <f t="array" ref="J5">IFERROR(INDEX('[2]Sales per type Agustus'!$D$10:$BA$51,MATCH($C5,'[2]Sales per type Agustus'!$B$10:$B$51,0),MATCH("Y05",'[2]Sales per type Agustus'!$D$8:$BA$8,0)+1),0)</f>
        <v>12995000</v>
      </c>
      <c r="K5" s="33">
        <f t="shared" ref="K5:K48" si="1">I5-J5</f>
        <v>-10696000</v>
      </c>
      <c r="L5" s="33">
        <f>IFERROR(INDEX('[2]SALES PERTYPE'!$D$10:$BA$52,MATCH($C5,'[2]SALES PERTYPE'!$B$10:$B$52,0),MATCH("Y11d",'[2]SALES PERTYPE'!$D$8:$BA$8,0)),0)</f>
        <v>8</v>
      </c>
      <c r="M5" s="33">
        <f>IFERROR(INDEX('[2]Sales per type Agustus'!$D$10:$BA$51,MATCH($C5,'[2]Sales per type Agustus'!$B$10:$B$51,0),MATCH("Y11d",'[2]Sales per type Agustus'!$D$8:$BA$8,0)),0)</f>
        <v>2</v>
      </c>
      <c r="N5" s="33">
        <f t="shared" ref="N5:N48" si="2">L5-M5</f>
        <v>6</v>
      </c>
      <c r="O5" s="33" cm="1">
        <f t="array" ref="O5">IFERROR(INDEX('[2]SALES PERTYPE'!$D$10:$BA$52,MATCH($C5,'[2]SALES PERTYPE'!$B$10:$B$52,0),MATCH("Y11d",'[2]SALES PERTYPE'!$D$8:$BA$8,0)+1),0)</f>
        <v>19992000</v>
      </c>
      <c r="P5" s="33" cm="1">
        <f t="array" ref="P5">IFERROR(INDEX('[2]Sales per type Agustus'!$D$10:$BA$51,MATCH($C5,'[2]Sales per type Agustus'!$B$10:$B$51,0),MATCH("Y11d",'[2]Sales per type Agustus'!$D$8:$BA$8,0)+1),0)</f>
        <v>4798000</v>
      </c>
      <c r="Q5" s="33">
        <f t="shared" ref="Q5:Q48" si="3">O5-P5</f>
        <v>15194000</v>
      </c>
      <c r="R5" s="33">
        <f>IFERROR(INDEX('[2]SALES PERTYPE'!$D$10:$BA$52,MATCH($C5,'[2]SALES PERTYPE'!$B$10:$B$52,0),MATCH("Watch GT 2",'[2]SALES PERTYPE'!$D$8:$BA$8,0)),0)</f>
        <v>0</v>
      </c>
      <c r="S5" s="33">
        <f>IFERROR(INDEX('[2]Sales per type Agustus'!$D$10:$BA$51,MATCH($C5,'[2]Sales per type Agustus'!$B$10:$B$51,0),MATCH("Watch GT 2",'[2]Sales per type Agustus'!$D$8:$BA$8,0)),0)</f>
        <v>0</v>
      </c>
      <c r="T5" s="33">
        <f t="shared" ref="T5:T48" si="4">R5-S5</f>
        <v>0</v>
      </c>
      <c r="U5" s="33" cm="1">
        <f t="array" ref="U5">IFERROR(INDEX('[2]SALES PERTYPE'!$D$10:$BA$52,MATCH($C5,'[2]SALES PERTYPE'!$B$10:$B$52,0),MATCH("Watch GT 2",'[2]SALES PERTYPE'!$D$8:$BA$8,0)+1),0)</f>
        <v>0</v>
      </c>
      <c r="V5" s="33" cm="1">
        <f t="array" ref="V5">IFERROR(INDEX('[2]Sales per type Agustus'!$D$10:$BA$51,MATCH($C5,'[2]Sales per type Agustus'!$B$10:$B$51,0),MATCH("Watch GT 2",'[2]Sales per type Agustus'!$D$8:$BA$8,0)+1),0)</f>
        <v>0</v>
      </c>
      <c r="W5" s="33">
        <f t="shared" ref="W5:W48" si="5">U5-V5</f>
        <v>0</v>
      </c>
      <c r="X5" s="33">
        <f>IFERROR(INDEX('[2]SALES PERTYPE'!$D$10:$BA$52,MATCH($C5,'[2]SALES PERTYPE'!$B$10:$B$52,0),MATCH("Y05e",'[2]SALES PERTYPE'!$D$8:$BA$8,0)),0)</f>
        <v>2</v>
      </c>
      <c r="Y5" s="33">
        <f>IFERROR(INDEX('[2]Sales per type Agustus'!$D$10:$BA$51,MATCH($C5,'[2]Sales per type Agustus'!$B$10:$B$51,0),MATCH("Y05e",'[2]Sales per type Agustus'!$D$8:$BA$8,0)),0)</f>
        <v>3</v>
      </c>
      <c r="Z5" s="33">
        <f t="shared" ref="Z5:Z48" si="6">X5-Y5</f>
        <v>-1</v>
      </c>
      <c r="AA5" s="33" cm="1">
        <f t="array" ref="AA5">IFERROR(INDEX('[2]SALES PERTYPE'!$D$10:$BA$52,MATCH($C5,'[2]SALES PERTYPE'!$B$10:$B$52,0),MATCH("Y05e",'[2]SALES PERTYPE'!$D$8:$BA$8,0)+1),0)</f>
        <v>4198000</v>
      </c>
      <c r="AB5" s="33" cm="1">
        <f t="array" ref="AB5">IFERROR(INDEX('[2]Sales per type Agustus'!$D$10:$BA$51,MATCH($C5,'[2]Sales per type Agustus'!$B$10:$B$51,0),MATCH("Y05e",'[2]Sales per type Agustus'!$D$8:$BA$8,0)+1),0)</f>
        <v>6297000</v>
      </c>
      <c r="AC5" s="33">
        <f t="shared" ref="AC5:AC48" si="7">AA5-AB5</f>
        <v>-2099000</v>
      </c>
      <c r="AD5" s="33">
        <f>IFERROR(INDEX('[2]SALES PERTYPE'!$D$10:$BA$52,MATCH($C5,'[2]SALES PERTYPE'!$B$10:$B$52,0),MATCH("V70",'[2]SALES PERTYPE'!$D$8:$BA$8,0)),0)</f>
        <v>4</v>
      </c>
      <c r="AE5" s="33">
        <f>IFERROR(INDEX('[2]Sales per type Agustus'!$D$10:$BA$51,MATCH($C5,'[2]Sales per type Agustus'!$B$10:$B$51,0),MATCH("V70",'[2]Sales per type Agustus'!$D$8:$BA$8,0)),0)</f>
        <v>0</v>
      </c>
      <c r="AF5" s="33">
        <f t="shared" ref="AF5:AF48" si="8">AD5-AE5</f>
        <v>4</v>
      </c>
      <c r="AG5" s="33" cm="1">
        <f t="array" ref="AG5">IFERROR(INDEX('[2]SALES PERTYPE'!$D$10:$BA$52,MATCH($C5,'[2]SALES PERTYPE'!$B$10:$B$52,0),MATCH("V70",'[2]SALES PERTYPE'!$D$8:$BA$8,0)+1),0)</f>
        <v>39996000</v>
      </c>
      <c r="AH5" s="33" cm="1">
        <f t="array" ref="AH5">IFERROR(INDEX('[2]Sales per type Agustus'!$D$10:$BA$51,MATCH($C5,'[2]Sales per type Agustus'!$B$10:$B$51,0),MATCH("V70",'[2]Sales per type Agustus'!$D$8:$BA$8,0)+1),0)</f>
        <v>0</v>
      </c>
      <c r="AI5" s="33">
        <f t="shared" ref="AI5:AI48" si="9">AG5-AH5</f>
        <v>39996000</v>
      </c>
      <c r="AJ5" s="33">
        <f>IFERROR(INDEX('[2]SALES PERTYPE'!$D$10:$BA$52,MATCH($C5,'[2]SALES PERTYPE'!$B$10:$B$52,0),MATCH("Y31d Pro",'[2]SALES PERTYPE'!$D$8:$BA$8,0)),0)</f>
        <v>0</v>
      </c>
      <c r="AK5" s="33">
        <f>IFERROR(INDEX('[2]Sales per type Agustus'!$D$10:$BA$51,MATCH($C5,'[2]Sales per type Agustus'!$B$10:$B$51,0),MATCH("Y31d Pro",'[2]Sales per type Agustus'!$D$8:$BA$8,0)),0)</f>
        <v>3</v>
      </c>
      <c r="AL5" s="33">
        <f t="shared" ref="AL5:AL48" si="10">AJ5-AK5</f>
        <v>-3</v>
      </c>
      <c r="AM5" s="33" cm="1">
        <f t="array" ref="AM5">IFERROR(INDEX('[2]SALES PERTYPE'!$D$10:$BA$52,MATCH($C5,'[2]SALES PERTYPE'!$B$10:$B$52,0),MATCH("Y31d Pro",'[2]SALES PERTYPE'!$D$8:$BA$8,0)+1),0)</f>
        <v>0</v>
      </c>
      <c r="AN5" s="33" cm="1">
        <f t="array" ref="AN5">IFERROR(INDEX('[2]Sales per type Agustus'!$D$10:$BA$51,MATCH($C5,'[2]Sales per type Agustus'!$B$10:$B$51,0),MATCH("Y31d Pro",'[2]Sales per type Agustus'!$D$8:$BA$8,0)+1),0)</f>
        <v>12897000</v>
      </c>
      <c r="AO5" s="33">
        <f t="shared" ref="AO5:AO48" si="11">AM5-AN5</f>
        <v>-12897000</v>
      </c>
      <c r="AP5" s="33" cm="1">
        <f t="array" ref="AP5">IFERROR(INDEX('[2]SALES PERTYPE'!$D$10:$BA$52,MATCH($C5,'[2]SALES PERTYPE'!$B$10:$B$52,0),$EI$3),0)</f>
        <v>0</v>
      </c>
      <c r="AQ5" s="33" cm="1">
        <f t="array" ref="AQ5">IFERROR(INDEX('[2]Sales per type Agustus'!$D$10:$BA$51,MATCH($C5,'[2]Sales per type Agustus'!$B$10:$B$51,0),$EI$2),0)</f>
        <v>0</v>
      </c>
      <c r="AR5" s="33">
        <f t="shared" ref="AR5:AR48" si="12">AP5-AQ5</f>
        <v>0</v>
      </c>
      <c r="AS5" s="33" cm="1">
        <f t="array" ref="AS5">IFERROR(INDEX('[2]SALES PERTYPE'!$D$10:$BA$52,MATCH($C5,'[2]SALES PERTYPE'!$B$10:$B$52,0),$EI$3+1),0)</f>
        <v>0</v>
      </c>
      <c r="AT5" s="33" cm="1">
        <f t="array" ref="AT5">IFERROR(INDEX('[2]Sales per type Agustus'!$D$10:$BA$51,MATCH($C5,'[2]Sales per type Agustus'!$B$10:$B$51,0),$EI$2+1),0)</f>
        <v>0</v>
      </c>
      <c r="AU5" s="33">
        <f t="shared" ref="AU5:AU48" si="13">AS5-AT5</f>
        <v>0</v>
      </c>
      <c r="AV5" s="33">
        <f>IFERROR(INDEX('[2]SALES PERTYPE'!$D$10:$BA$52,MATCH($C5,'[2]SALES PERTYPE'!$B$10:$B$52,0),MATCH("Y31d ",'[2]SALES PERTYPE'!$D$8:$BA$8,0)),0)</f>
        <v>1</v>
      </c>
      <c r="AW5" s="33">
        <f>IFERROR(INDEX('[2]Sales per type Agustus'!$D$10:$BA$51,MATCH($C5,'[2]Sales per type Agustus'!$B$10:$B$51,0),MATCH("Y31d ",'[2]Sales per type Agustus'!$D$8:$BA$8,0)),0)</f>
        <v>0</v>
      </c>
      <c r="AX5" s="33">
        <f t="shared" ref="AX5:AX48" si="14">AV5-AW5</f>
        <v>1</v>
      </c>
      <c r="AY5" s="33" cm="1">
        <f t="array" ref="AY5">IFERROR(INDEX('[2]SALES PERTYPE'!$D$10:$BA$52,MATCH($C5,'[2]SALES PERTYPE'!$B$10:$B$52,0),MATCH("Y31d ",'[2]SALES PERTYPE'!$D$8:$BA$8,0)+1),0)</f>
        <v>3599000</v>
      </c>
      <c r="AZ5" s="33" cm="1">
        <f t="array" ref="AZ5">IFERROR(INDEX('[2]Sales per type Agustus'!$D$10:$BA$51,MATCH($C5,'[2]Sales per type Agustus'!$B$10:$B$51,0),MATCH("Y31d ",'[2]Sales per type Agustus'!$D$8:$BA$8,0)+1),0)</f>
        <v>0</v>
      </c>
      <c r="BA5" s="33">
        <f t="shared" ref="BA5:BA48" si="15">AY5-AZ5</f>
        <v>3599000</v>
      </c>
      <c r="BB5" s="33">
        <f>IFERROR(INDEX('[2]SALES PERTYPE'!$D$10:$BA$52,MATCH($C5,'[2]SALES PERTYPE'!$B$10:$B$52,0),MATCH("V70 FE",'[2]SALES PERTYPE'!$D$8:$BA$8,0)),0)</f>
        <v>0</v>
      </c>
      <c r="BC5" s="33">
        <f>IFERROR(INDEX('[2]Sales per type Agustus'!$D$10:$BA$51,MATCH($C5,'[2]Sales per type Agustus'!$B$10:$B$51,0),MATCH("V70 FE",'[2]Sales per type Agustus'!$D$8:$BA$8,0)),0)</f>
        <v>1</v>
      </c>
      <c r="BD5" s="33">
        <f t="shared" ref="BD5:BD48" si="16">BB5-BC5</f>
        <v>-1</v>
      </c>
      <c r="BE5" s="33" cm="1">
        <f t="array" ref="BE5">IFERROR(INDEX('[2]SALES PERTYPE'!$D$10:$BA$52,MATCH($C5,'[2]SALES PERTYPE'!$B$10:$B$52,0),MATCH("V70 FE",'[2]SALES PERTYPE'!$D$8:$BA$8,0)+1),0)</f>
        <v>0</v>
      </c>
      <c r="BF5" s="33" cm="1">
        <f t="array" ref="BF5">IFERROR(INDEX('[2]Sales per type Agustus'!$D$10:$BA$51,MATCH($C5,'[2]Sales per type Agustus'!$B$10:$B$51,0),MATCH("V70 FE",'[2]Sales per type Agustus'!$D$8:$BA$8,0)+1),0)</f>
        <v>7999000</v>
      </c>
      <c r="BG5" s="33">
        <f t="shared" ref="BG5:BG48" si="17">BE5-BF5</f>
        <v>-7999000</v>
      </c>
      <c r="BH5" s="33">
        <f>IFERROR(INDEX('[2]SALES PERTYPE'!$D$10:$BA$52,MATCH($C5,'[2]SALES PERTYPE'!$B$10:$B$52,0),MATCH("Y31d",'[2]SALES PERTYPE'!$D$8:$BA$8,0)),0)</f>
        <v>0</v>
      </c>
      <c r="BI5" s="33">
        <f>IFERROR(INDEX('[2]Sales per type Agustus'!$D$10:$BA$51,MATCH($C5,'[2]Sales per type Agustus'!$B$10:$B$51,0),MATCH("Y31d",'[2]Sales per type Agustus'!$D$8:$BA$8,0)),0)</f>
        <v>0</v>
      </c>
      <c r="BJ5" s="33">
        <f t="shared" ref="BJ5:BJ48" si="18">BH5-BI5</f>
        <v>0</v>
      </c>
      <c r="BK5" s="33" cm="1">
        <f t="array" ref="BK5">IFERROR(INDEX('[2]SALES PERTYPE'!$D$10:$BA$52,MATCH($C5,'[2]SALES PERTYPE'!$B$10:$B$52,0),MATCH("Y31d",'[2]SALES PERTYPE'!$D$8:$BA$8,0)+1),0)</f>
        <v>0</v>
      </c>
      <c r="BL5" s="33" cm="1">
        <f t="array" ref="BL5">IFERROR(INDEX('[2]Sales per type Agustus'!$D$10:$BA$51,MATCH($C5,'[2]Sales per type Agustus'!$B$10:$B$51,0),MATCH("Y31d",'[2]Sales per type Agustus'!$D$8:$BA$8,0)+1),0)</f>
        <v>0</v>
      </c>
      <c r="BM5" s="33">
        <f t="shared" ref="BM5:BM48" si="19">BK5-BL5</f>
        <v>0</v>
      </c>
      <c r="BN5" s="33">
        <f>IFERROR(INDEX('[2]SALES PERTYPE'!$D$10:$BA$52,MATCH($C5,'[2]SALES PERTYPE'!$B$10:$B$52,0),MATCH("Y500",'[2]SALES PERTYPE'!$D$8:$BA$8,0)),0)</f>
        <v>0</v>
      </c>
      <c r="BO5" s="33">
        <f>IFERROR(INDEX('[2]Sales per type Agustus'!$D$10:$BA$51,MATCH($C5,'[2]Sales per type Agustus'!$B$10:$B$51,0),MATCH("Y500",'[2]Sales per type Agustus'!$D$8:$BA$8,0)),0)</f>
        <v>0</v>
      </c>
      <c r="BP5" s="33">
        <f t="shared" ref="BP5:BP48" si="20">BN5-BO5</f>
        <v>0</v>
      </c>
      <c r="BQ5" s="33" cm="1">
        <f t="array" ref="BQ5">IFERROR(INDEX('[2]SALES PERTYPE'!$D$10:$BA$52,MATCH($C5,'[2]SALES PERTYPE'!$B$10:$B$52,0),MATCH("Y500",'[2]SALES PERTYPE'!$D$8:$BA$8,0)+1),0)</f>
        <v>0</v>
      </c>
      <c r="BR5" s="33" cm="1">
        <f t="array" ref="BR5">IFERROR(INDEX('[2]Sales per type Agustus'!$D$10:$BA$51,MATCH($C5,'[2]Sales per type Agustus'!$B$10:$B$51,0),MATCH("Y500",'[2]Sales per type Agustus'!$D$8:$BA$8,0)+1),0)</f>
        <v>0</v>
      </c>
      <c r="BS5" s="33">
        <f t="shared" ref="BS5:BS48" si="21">BQ5-BR5</f>
        <v>0</v>
      </c>
      <c r="BT5" s="33">
        <f>IFERROR(INDEX('[2]SALES PERTYPE'!$D$10:$BA$52,MATCH($C5,'[2]SALES PERTYPE'!$B$10:$B$52,0),MATCH("IQOO 15R",'[2]SALES PERTYPE'!$D$8:$BA$8,0)),0)</f>
        <v>1</v>
      </c>
      <c r="BU5" s="33">
        <f>IFERROR(INDEX('[2]Sales per type Agustus'!$D$10:$BA$51,MATCH($C5,'[2]Sales per type Agustus'!$B$10:$B$51,0),MATCH("IQOO 15R",'[2]Sales per type Agustus'!$D$8:$BA$8,0)),0)</f>
        <v>0</v>
      </c>
      <c r="BV5" s="33">
        <f t="shared" ref="BV5:BV48" si="22">BT5-BU5</f>
        <v>1</v>
      </c>
      <c r="BW5" s="33" cm="1">
        <f t="array" ref="BW5">IFERROR(INDEX('[2]SALES PERTYPE'!$D$10:$BA$52,MATCH($C5,'[2]SALES PERTYPE'!$B$10:$B$52,0),MATCH("IQOO 15R",'[2]SALES PERTYPE'!$D$8:$BA$8,0)+1),0)</f>
        <v>11999000</v>
      </c>
      <c r="BX5" s="33" cm="1">
        <f t="array" ref="BX5">IFERROR(INDEX('[2]Sales per type Agustus'!$D$10:$BA$51,MATCH($C5,'[2]Sales per type Agustus'!$B$10:$B$51,0),MATCH("IQOO 15R",'[2]Sales per type Agustus'!$D$8:$BA$8,0)+1),0)</f>
        <v>0</v>
      </c>
      <c r="BY5" s="33">
        <f t="shared" ref="BY5:BY48" si="23">BW5-BX5</f>
        <v>11999000</v>
      </c>
      <c r="BZ5" s="33">
        <f>IFERROR(INDEX('[2]SALES PERTYPE'!$D$10:$BA$52,MATCH($C5,'[2]SALES PERTYPE'!$B$10:$B$52,0),MATCH("V60 Lite",'[2]SALES PERTYPE'!$D$8:$BA$8,0)),0)</f>
        <v>1</v>
      </c>
      <c r="CA5" s="33">
        <f>IFERROR(INDEX('[2]Sales per type Agustus'!$D$10:$BA$51,MATCH($C5,'[2]Sales per type Agustus'!$B$10:$B$51,0),MATCH("V60 Lite",'[2]Sales per type Agustus'!$D$8:$BA$8,0)),0)</f>
        <v>2</v>
      </c>
      <c r="CB5" s="33">
        <f t="shared" ref="CB5:CB48" si="24">BZ5-CA5</f>
        <v>-1</v>
      </c>
      <c r="CC5" s="33" cm="1">
        <f t="array" ref="CC5">IFERROR(INDEX('[2]SALES PERTYPE'!$D$10:$BA$52,MATCH($C5,'[2]SALES PERTYPE'!$B$10:$B$52,0),MATCH("V60 Lite",'[2]SALES PERTYPE'!$D$8:$BA$8,0)+1),0)</f>
        <v>5899000</v>
      </c>
      <c r="CD5" s="33" cm="1">
        <f t="array" ref="CD5">IFERROR(INDEX('[2]Sales per type Agustus'!$D$10:$BA$51,MATCH($C5,'[2]Sales per type Agustus'!$B$10:$B$51,0),MATCH("V60 Lite",'[2]Sales per type Agustus'!$D$8:$BA$8,0)+1),0)</f>
        <v>11198000</v>
      </c>
      <c r="CE5" s="33">
        <f t="shared" ref="CE5:CE48" si="25">CC5-CD5</f>
        <v>-5299000</v>
      </c>
      <c r="CF5" s="33">
        <f>IFERROR(INDEX('[2]SALES PERTYPE'!$D$10:$BA$52,MATCH($C5,'[2]SALES PERTYPE'!$B$10:$B$52,0),MATCH("X300 Ultra",'[2]SALES PERTYPE'!$D$8:$BA$8,0)),0)</f>
        <v>1</v>
      </c>
      <c r="CG5" s="33">
        <f>IFERROR(INDEX('[2]Sales per type Agustus'!$D$10:$BA$51,MATCH($C5,'[2]Sales per type Agustus'!$B$10:$B$51,0),MATCH("X300 Ultra",'[2]Sales per type Agustus'!$D$8:$BA$8,0)),0)</f>
        <v>0</v>
      </c>
      <c r="CH5" s="33">
        <f t="shared" ref="CH5:CH48" si="26">CF5-CG5</f>
        <v>1</v>
      </c>
      <c r="CI5" s="33" cm="1">
        <f t="array" ref="CI5">IFERROR(INDEX('[2]SALES PERTYPE'!$D$10:$BA$52,MATCH($C5,'[2]SALES PERTYPE'!$B$10:$B$52,0),MATCH("X300 Ultra",'[2]SALES PERTYPE'!$D$8:$BA$8,0)+1),0)</f>
        <v>25999000</v>
      </c>
      <c r="CJ5" s="33" cm="1">
        <f t="array" ref="CJ5">IFERROR(INDEX('[2]Sales per type Agustus'!$D$10:$BA$51,MATCH($C5,'[2]Sales per type Agustus'!$B$10:$B$51,0),MATCH("X300 Ultra",'[2]Sales per type Agustus'!$D$8:$BA$8,0)+1),0)</f>
        <v>0</v>
      </c>
      <c r="CK5" s="33">
        <f t="shared" ref="CK5:CK48" si="27">CI5-CJ5</f>
        <v>25999000</v>
      </c>
      <c r="CL5" s="33">
        <f>IFERROR(INDEX('[2]SALES PERTYPE'!$D$10:$BA$52,MATCH($C5,'[2]SALES PERTYPE'!$B$10:$B$52,0),MATCH("IQOO 15",'[2]SALES PERTYPE'!$D$8:$BA$8,0)),0)</f>
        <v>0</v>
      </c>
      <c r="CM5" s="33">
        <f>IFERROR(INDEX('[2]Sales per type Agustus'!$D$10:$BA$51,MATCH($C5,'[2]Sales per type Agustus'!$B$10:$B$51,0),MATCH("IQOO 15",'[2]Sales per type Agustus'!$D$8:$BA$8,0)),0)</f>
        <v>0</v>
      </c>
      <c r="CN5" s="33">
        <f t="shared" ref="CN5:CN48" si="28">CL5-CM5</f>
        <v>0</v>
      </c>
      <c r="CO5" s="33" cm="1">
        <f t="array" ref="CO5">IFERROR(INDEX('[2]SALES PERTYPE'!$D$10:$BA$52,MATCH($C5,'[2]SALES PERTYPE'!$B$10:$B$52,0),MATCH("IQOO 15",'[2]SALES PERTYPE'!$D$8:$BA$8,0)+1),0)</f>
        <v>0</v>
      </c>
      <c r="CP5" s="33" cm="1">
        <f t="array" ref="CP5">IFERROR(INDEX('[2]Sales per type Agustus'!$D$10:$BA$51,MATCH($C5,'[2]Sales per type Agustus'!$B$10:$B$51,0),MATCH("IQOO 15",'[2]Sales per type Agustus'!$D$8:$BA$8,0)+1),0)</f>
        <v>0</v>
      </c>
      <c r="CQ5" s="33">
        <f t="shared" ref="CQ5:CQ48" si="29">CO5-CP5</f>
        <v>0</v>
      </c>
      <c r="CR5" s="33">
        <f>IFERROR(INDEX('[2]SALES PERTYPE'!$D$10:$BA$52,MATCH($C5,'[2]SALES PERTYPE'!$B$10:$B$52,0),MATCH("IQOO Z11x",'[2]SALES PERTYPE'!$D$8:$BA$8,0)),0)</f>
        <v>0</v>
      </c>
      <c r="CS5" s="33">
        <f>IFERROR(INDEX('[2]Sales per type Agustus'!$D$10:$BA$51,MATCH($C5,'[2]Sales per type Agustus'!$B$10:$B$51,0),MATCH("IQOO Z11x",'[2]Sales per type Agustus'!$D$8:$BA$8,0)),0)</f>
        <v>1</v>
      </c>
      <c r="CT5" s="33">
        <f t="shared" ref="CT5:CT48" si="30">CR5-CS5</f>
        <v>-1</v>
      </c>
      <c r="CU5" s="33" cm="1">
        <f t="array" ref="CU5">IFERROR(INDEX('[2]SALES PERTYPE'!$D$10:$BA$52,MATCH($C5,'[2]SALES PERTYPE'!$B$10:$B$52,0),MATCH("IQOO Z11x",'[2]SALES PERTYPE'!$D$8:$BA$8,0)+1),0)</f>
        <v>0</v>
      </c>
      <c r="CV5" s="33" cm="1">
        <f t="array" ref="CV5">IFERROR(INDEX('[2]Sales per type Agustus'!$D$10:$BA$51,MATCH($C5,'[2]Sales per type Agustus'!$B$10:$B$51,0),MATCH("IQOO Z11x",'[2]Sales per type Agustus'!$D$8:$BA$8,0)+1),0)</f>
        <v>5699000</v>
      </c>
      <c r="CW5" s="33">
        <f t="shared" ref="CW5:CW48" si="31">CU5-CV5</f>
        <v>-5699000</v>
      </c>
      <c r="CX5" s="33">
        <f>IFERROR(INDEX('[2]SALES PERTYPE'!$D$10:$BA$52,MATCH($C5,'[2]SALES PERTYPE'!$B$10:$B$52,0),MATCH("IQOO Z11",'[2]SALES PERTYPE'!$D$8:$BA$8,0)),0)</f>
        <v>2</v>
      </c>
      <c r="CY5" s="33">
        <f>IFERROR(INDEX('[2]Sales per type Agustus'!$D$10:$BA$51,MATCH($C5,'[2]Sales per type Agustus'!$B$10:$B$51,0),MATCH("IQOO Z11",'[2]Sales per type Agustus'!$D$8:$BA$8,0)),0)</f>
        <v>1</v>
      </c>
      <c r="CZ5" s="33">
        <f t="shared" ref="CZ5:CZ48" si="32">CX5-CY5</f>
        <v>1</v>
      </c>
      <c r="DA5" s="33" cm="1">
        <f t="array" ref="DA5">IFERROR(INDEX('[2]SALES PERTYPE'!$D$10:$BA$52,MATCH($C5,'[2]SALES PERTYPE'!$B$10:$B$52,0),MATCH("IQOO Z11",'[2]SALES PERTYPE'!$D$8:$BA$8,0)+1),0)</f>
        <v>13798000</v>
      </c>
      <c r="DB5" s="33" cm="1">
        <f t="array" ref="DB5">IFERROR(INDEX('[2]Sales per type Agustus'!$D$10:$BA$51,MATCH($C5,'[2]Sales per type Agustus'!$B$10:$B$51,0),MATCH("IQOO Z11",'[2]Sales per type Agustus'!$D$8:$BA$8,0)+1),0)</f>
        <v>8399000</v>
      </c>
      <c r="DC5" s="33">
        <f t="shared" ref="DC5:DC48" si="33">DA5-DB5</f>
        <v>5399000</v>
      </c>
      <c r="DD5" s="33">
        <f>IFERROR(INDEX('[2]SALES PERTYPE'!$D$10:$BA$52,MATCH($C5,'[2]SALES PERTYPE'!$B$10:$B$52,0),MATCH("WATCH 3",'[2]SALES PERTYPE'!$D$8:$BA$8,0)),0)</f>
        <v>0</v>
      </c>
      <c r="DE5" s="33">
        <f>IFERROR(INDEX('[2]Sales per type Agustus'!$D$10:$BA$51,MATCH($C5,'[2]Sales per type Agustus'!$B$10:$B$51,0),MATCH("WATCH 3",'[2]Sales per type Agustus'!$D$8:$BA$8,0)),0)</f>
        <v>0</v>
      </c>
      <c r="DF5" s="33">
        <f t="shared" ref="DF5:DF48" si="34">DD5-DE5</f>
        <v>0</v>
      </c>
      <c r="DG5" s="33" cm="1">
        <f t="array" ref="DG5">IFERROR(INDEX('[2]SALES PERTYPE'!$D$10:$BA$52,MATCH($C5,'[2]SALES PERTYPE'!$B$10:$B$52,0),MATCH("WATCH 3",'[2]SALES PERTYPE'!$D$8:$BA$8,0)+1),0)</f>
        <v>0</v>
      </c>
      <c r="DH5" s="33" cm="1">
        <f t="array" ref="DH5">IFERROR(INDEX('[2]Sales per type Agustus'!$D$10:$BA$51,MATCH($C5,'[2]Sales per type Agustus'!$B$10:$B$51,0),MATCH("WATCH 3",'[2]Sales per type Agustus'!$D$8:$BA$8,0)+1),0)</f>
        <v>0</v>
      </c>
      <c r="DI5" s="33">
        <f t="shared" ref="DI5:DI48" si="35">DG5-DH5</f>
        <v>0</v>
      </c>
      <c r="DJ5" s="33">
        <f>IFERROR(INDEX('[2]SALES PERTYPE'!$D$10:$BA$52,MATCH($C5,'[2]SALES PERTYPE'!$B$10:$B$52,0),MATCH("X Fold5",'[2]SALES PERTYPE'!$D$8:$BA$8,0)),0)</f>
        <v>0</v>
      </c>
      <c r="DK5" s="33">
        <f>IFERROR(INDEX('[2]Sales per type Agustus'!$D$10:$BA$51,MATCH($C5,'[2]Sales per type Agustus'!$B$10:$B$51,0),MATCH("X Fold5",'[2]Sales per type Agustus'!$D$8:$BA$8,0)),0)</f>
        <v>0</v>
      </c>
      <c r="DL5" s="33">
        <f t="shared" ref="DL5:DL48" si="36">DJ5-DK5</f>
        <v>0</v>
      </c>
      <c r="DM5" s="33" cm="1">
        <f t="array" ref="DM5">IFERROR(INDEX('[2]SALES PERTYPE'!$D$10:$BA$52,MATCH($C5,'[2]SALES PERTYPE'!$B$10:$B$52,0),MATCH("X Fold5",'[2]SALES PERTYPE'!$D$8:$BA$8,0)+1),0)</f>
        <v>0</v>
      </c>
      <c r="DN5" s="33" cm="1">
        <f t="array" ref="DN5">IFERROR(INDEX('[2]Sales per type Agustus'!$D$10:$BA$51,MATCH($C5,'[2]Sales per type Agustus'!$B$10:$B$51,0),MATCH("X Fold5",'[2]Sales per type Agustus'!$D$8:$BA$8,0)+1),0)</f>
        <v>0</v>
      </c>
      <c r="DO5" s="33">
        <f t="shared" ref="DO5:DO48" si="37">DM5-DN5</f>
        <v>0</v>
      </c>
      <c r="DP5" s="33">
        <f>IFERROR(INDEX('[2]SALES PERTYPE'!$D$10:$BA$52,MATCH($C5,'[2]SALES PERTYPE'!$B$10:$B$52,0),MATCH("X300 PRO",'[2]SALES PERTYPE'!$D$8:$BA$8,0)),0)</f>
        <v>0</v>
      </c>
      <c r="DQ5" s="33">
        <f>IFERROR(INDEX('[2]Sales per type Agustus'!$D$10:$BA$51,MATCH($C5,'[2]Sales per type Agustus'!$B$10:$B$51,0),MATCH("X300 PRO",'[2]Sales per type Agustus'!$D$8:$BA$8,0)),0)</f>
        <v>0</v>
      </c>
      <c r="DR5" s="33">
        <f t="shared" ref="DR5:DR48" si="38">DP5-DQ5</f>
        <v>0</v>
      </c>
      <c r="DS5" s="33" cm="1">
        <f t="array" ref="DS5">IFERROR(INDEX('[2]SALES PERTYPE'!$D$10:$BA$52,MATCH($C5,'[2]SALES PERTYPE'!$B$10:$B$52,0),MATCH("X300 PRO",'[2]SALES PERTYPE'!$D$8:$BA$8,0)+1),0)</f>
        <v>0</v>
      </c>
      <c r="DT5" s="33" cm="1">
        <f t="array" ref="DT5">IFERROR(INDEX('[2]Sales per type Agustus'!$D$10:$BA$51,MATCH($C5,'[2]Sales per type Agustus'!$B$10:$B$51,0),MATCH("X300 PRO",'[2]Sales per type Agustus'!$D$8:$BA$8,0)+1),0)</f>
        <v>0</v>
      </c>
      <c r="DU5" s="33">
        <f t="shared" ref="DU5:DU48" si="39">DS5-DT5</f>
        <v>0</v>
      </c>
      <c r="DV5" s="33">
        <f>IFERROR(INDEX('[2]SALES PERTYPE'!$D$10:$BA$52,MATCH($C5,'[2]SALES PERTYPE'!$B$10:$B$52,0),MATCH("X300",'[2]SALES PERTYPE'!$D$8:$BA$8,0)),0)</f>
        <v>0</v>
      </c>
      <c r="DW5" s="33">
        <f>IFERROR(INDEX('[2]Sales per type Agustus'!$D$10:$BA$51,MATCH($C5,'[2]Sales per type Agustus'!$B$10:$B$51,0),MATCH("X300 ",'[2]Sales per type Agustus'!$D$8:$BA$8,0)),0)</f>
        <v>0</v>
      </c>
      <c r="DX5" s="33">
        <f t="shared" ref="DX5:DX48" si="40">DV5-DW5</f>
        <v>0</v>
      </c>
      <c r="DY5" s="33" cm="1">
        <f t="array" ref="DY5">IFERROR(INDEX('[2]SALES PERTYPE'!$D$10:$BA$52,MATCH($C5,'[2]SALES PERTYPE'!$B$10:$B$52,0),MATCH("X300",'[2]SALES PERTYPE'!$D$8:$BA$8,0)+1),0)</f>
        <v>0</v>
      </c>
      <c r="DZ5" s="33" cm="1">
        <f t="array" ref="DZ5">IFERROR(INDEX('[2]Sales per type Agustus'!$D$10:$BA$51,MATCH($C5,'[2]Sales per type Agustus'!$B$10:$B$51,0),MATCH("X300 ",'[2]Sales per type Agustus'!$D$8:$BA$8,0)+1),0)</f>
        <v>0</v>
      </c>
      <c r="EA5" s="33">
        <f t="shared" ref="EA5:EA48" si="41">DY5-DZ5</f>
        <v>0</v>
      </c>
      <c r="EB5" s="33">
        <f t="shared" ref="EB5:EC47" si="42">F5+L5+R5+X5+AD5+AJ5+AP5+AV5+BB5+BH5+BN5+BT5+BZ5+CF5+CL5+CR5+CX5+DD5+DJ5+DP5+DV5</f>
        <v>21</v>
      </c>
      <c r="EC5" s="33">
        <f t="shared" si="42"/>
        <v>18</v>
      </c>
      <c r="ED5" s="33">
        <f t="shared" ref="ED5:ED48" si="43">EB5-EC5</f>
        <v>3</v>
      </c>
      <c r="EE5" s="33">
        <f t="shared" ref="EE5:EF47" si="44">I5+O5+U5+AA5+AG5+AM5+AS5+AY5+BE5+BK5+BQ5+BW5+CC5+CI5+CO5+CU5+DA5+DG5+DM5+DS5+DY5</f>
        <v>127779000</v>
      </c>
      <c r="EF5" s="33">
        <f t="shared" si="44"/>
        <v>70282000</v>
      </c>
      <c r="EG5" s="33">
        <f t="shared" ref="EG5:EG48" si="45">EE5-EF5</f>
        <v>57497000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5">
        <f>'[2]ACHIEVEMENT STORE'!A6</f>
        <v>2</v>
      </c>
      <c r="B6" s="216" t="str">
        <f>'[2]ACHIEVEMENT STORE'!B6</f>
        <v>601 雅加达西北 JKT BU</v>
      </c>
      <c r="C6" s="215">
        <f>'[2]ACHIEVEMENT STORE'!C6</f>
        <v>6010701</v>
      </c>
      <c r="D6" s="216" t="str">
        <f>'[2]ACHIEVEMENT STORE'!D6</f>
        <v>6010701-ROXY SHOWROOM 21</v>
      </c>
      <c r="E6" s="216" t="str">
        <f>'[2]ACHIEVEMENT STORE'!E6</f>
        <v>ANGGARIA</v>
      </c>
      <c r="F6" s="33">
        <f>IFERROR(INDEX('[2]SALES PERTYPE'!$D$10:$BA$52,MATCH($C6,'[2]SALES PERTYPE'!$B$10:$B$52,0),MATCH("Y05",'[2]SALES PERTYPE'!$D$8:$BA$8,0)),0)</f>
        <v>10</v>
      </c>
      <c r="G6" s="33">
        <f>IFERROR(INDEX('[2]Sales per type Agustus'!$D$10:$BA$51,MATCH($C6,'[2]Sales per type Agustus'!$B$10:$B$51,0),MATCH("Y05",'[2]Sales per type Agustus'!$D$8:$BA$8,0)),0)</f>
        <v>17</v>
      </c>
      <c r="H6" s="33">
        <f t="shared" si="0"/>
        <v>-7</v>
      </c>
      <c r="I6" s="33" cm="1">
        <f t="array" ref="I6">IFERROR(INDEX('[2]SALES PERTYPE'!$D$10:$BA$52,MATCH($C6,'[2]SALES PERTYPE'!$B$10:$B$52,0),MATCH("Y05",'[2]SALES PERTYPE'!$D$8:$BA$8,0)+1),0)</f>
        <v>24490000</v>
      </c>
      <c r="J6" s="33" cm="1">
        <f t="array" ref="J6">IFERROR(INDEX('[2]Sales per type Agustus'!$D$10:$BA$51,MATCH($C6,'[2]Sales per type Agustus'!$B$10:$B$51,0),MATCH("Y05",'[2]Sales per type Agustus'!$D$8:$BA$8,0)+1),0)</f>
        <v>39983000</v>
      </c>
      <c r="K6" s="33">
        <f t="shared" si="1"/>
        <v>-15493000</v>
      </c>
      <c r="L6" s="33">
        <f>IFERROR(INDEX('[2]SALES PERTYPE'!$D$10:$BA$52,MATCH($C6,'[2]SALES PERTYPE'!$B$10:$B$52,0),MATCH("Y11d",'[2]SALES PERTYPE'!$D$8:$BA$8,0)),0)</f>
        <v>18</v>
      </c>
      <c r="M6" s="33">
        <f>IFERROR(INDEX('[2]Sales per type Agustus'!$D$10:$BA$51,MATCH($C6,'[2]Sales per type Agustus'!$B$10:$B$51,0),MATCH("Y11d",'[2]Sales per type Agustus'!$D$8:$BA$8,0)),0)</f>
        <v>9</v>
      </c>
      <c r="N6" s="33">
        <f t="shared" si="2"/>
        <v>9</v>
      </c>
      <c r="O6" s="33" cm="1">
        <f t="array" ref="O6">IFERROR(INDEX('[2]SALES PERTYPE'!$D$10:$BA$52,MATCH($C6,'[2]SALES PERTYPE'!$B$10:$B$52,0),MATCH("Y11d",'[2]SALES PERTYPE'!$D$8:$BA$8,0)+1),0)</f>
        <v>47982000</v>
      </c>
      <c r="P6" s="33" cm="1">
        <f t="array" ref="P6">IFERROR(INDEX('[2]Sales per type Agustus'!$D$10:$BA$51,MATCH($C6,'[2]Sales per type Agustus'!$B$10:$B$51,0),MATCH("Y11d",'[2]Sales per type Agustus'!$D$8:$BA$8,0)+1),0)</f>
        <v>23991000</v>
      </c>
      <c r="Q6" s="33">
        <f t="shared" si="3"/>
        <v>23991000</v>
      </c>
      <c r="R6" s="33">
        <f>IFERROR(INDEX('[2]SALES PERTYPE'!$D$10:$BA$52,MATCH($C6,'[2]SALES PERTYPE'!$B$10:$B$52,0),MATCH("Watch GT 2",'[2]SALES PERTYPE'!$D$8:$BA$8,0)),0)</f>
        <v>0</v>
      </c>
      <c r="S6" s="33">
        <f>IFERROR(INDEX('[2]Sales per type Agustus'!$D$10:$BA$51,MATCH($C6,'[2]Sales per type Agustus'!$B$10:$B$51,0),MATCH("Watch GT 2",'[2]Sales per type Agustus'!$D$8:$BA$8,0)),0)</f>
        <v>0</v>
      </c>
      <c r="T6" s="33">
        <f t="shared" si="4"/>
        <v>0</v>
      </c>
      <c r="U6" s="33" cm="1">
        <f t="array" ref="U6">IFERROR(INDEX('[2]SALES PERTYPE'!$D$10:$BA$52,MATCH($C6,'[2]SALES PERTYPE'!$B$10:$B$52,0),MATCH("Watch GT 2",'[2]SALES PERTYPE'!$D$8:$BA$8,0)+1),0)</f>
        <v>0</v>
      </c>
      <c r="V6" s="33" cm="1">
        <f t="array" ref="V6">IFERROR(INDEX('[2]Sales per type Agustus'!$D$10:$BA$51,MATCH($C6,'[2]Sales per type Agustus'!$B$10:$B$51,0),MATCH("Watch GT 2",'[2]Sales per type Agustus'!$D$8:$BA$8,0)+1),0)</f>
        <v>0</v>
      </c>
      <c r="W6" s="33">
        <f t="shared" si="5"/>
        <v>0</v>
      </c>
      <c r="X6" s="33">
        <f>IFERROR(INDEX('[2]SALES PERTYPE'!$D$10:$BA$52,MATCH($C6,'[2]SALES PERTYPE'!$B$10:$B$52,0),MATCH("Y05e",'[2]SALES PERTYPE'!$D$8:$BA$8,0)),0)</f>
        <v>10</v>
      </c>
      <c r="Y6" s="33">
        <f>IFERROR(INDEX('[2]Sales per type Agustus'!$D$10:$BA$51,MATCH($C6,'[2]Sales per type Agustus'!$B$10:$B$51,0),MATCH("Y05e",'[2]Sales per type Agustus'!$D$8:$BA$8,0)),0)</f>
        <v>18</v>
      </c>
      <c r="Z6" s="33">
        <f t="shared" si="6"/>
        <v>-8</v>
      </c>
      <c r="AA6" s="33" cm="1">
        <f t="array" ref="AA6">IFERROR(INDEX('[2]SALES PERTYPE'!$D$10:$BA$52,MATCH($C6,'[2]SALES PERTYPE'!$B$10:$B$52,0),MATCH("Y05e",'[2]SALES PERTYPE'!$D$8:$BA$8,0)+1),0)</f>
        <v>20990000</v>
      </c>
      <c r="AB6" s="33" cm="1">
        <f t="array" ref="AB6">IFERROR(INDEX('[2]Sales per type Agustus'!$D$10:$BA$51,MATCH($C6,'[2]Sales per type Agustus'!$B$10:$B$51,0),MATCH("Y05e",'[2]Sales per type Agustus'!$D$8:$BA$8,0)+1),0)</f>
        <v>37782000</v>
      </c>
      <c r="AC6" s="33">
        <f t="shared" si="7"/>
        <v>-16792000</v>
      </c>
      <c r="AD6" s="33">
        <f>IFERROR(INDEX('[2]SALES PERTYPE'!$D$10:$BA$52,MATCH($C6,'[2]SALES PERTYPE'!$B$10:$B$52,0),MATCH("V70",'[2]SALES PERTYPE'!$D$8:$BA$8,0)),0)</f>
        <v>3</v>
      </c>
      <c r="AE6" s="33">
        <f>IFERROR(INDEX('[2]Sales per type Agustus'!$D$10:$BA$51,MATCH($C6,'[2]Sales per type Agustus'!$B$10:$B$51,0),MATCH("V70",'[2]Sales per type Agustus'!$D$8:$BA$8,0)),0)</f>
        <v>2</v>
      </c>
      <c r="AF6" s="33">
        <f t="shared" si="8"/>
        <v>1</v>
      </c>
      <c r="AG6" s="33" cm="1">
        <f t="array" ref="AG6">IFERROR(INDEX('[2]SALES PERTYPE'!$D$10:$BA$52,MATCH($C6,'[2]SALES PERTYPE'!$B$10:$B$52,0),MATCH("V70",'[2]SALES PERTYPE'!$D$8:$BA$8,0)+1),0)</f>
        <v>29997000</v>
      </c>
      <c r="AH6" s="33" cm="1">
        <f t="array" ref="AH6">IFERROR(INDEX('[2]Sales per type Agustus'!$D$10:$BA$51,MATCH($C6,'[2]Sales per type Agustus'!$B$10:$B$51,0),MATCH("V70",'[2]Sales per type Agustus'!$D$8:$BA$8,0)+1),0)</f>
        <v>19998000</v>
      </c>
      <c r="AI6" s="33">
        <f t="shared" si="9"/>
        <v>9999000</v>
      </c>
      <c r="AJ6" s="33">
        <f>IFERROR(INDEX('[2]SALES PERTYPE'!$D$10:$BA$52,MATCH($C6,'[2]SALES PERTYPE'!$B$10:$B$52,0),MATCH("Y31d Pro",'[2]SALES PERTYPE'!$D$8:$BA$8,0)),0)</f>
        <v>9</v>
      </c>
      <c r="AK6" s="33">
        <f>IFERROR(INDEX('[2]Sales per type Agustus'!$D$10:$BA$51,MATCH($C6,'[2]Sales per type Agustus'!$B$10:$B$51,0),MATCH("Y31d Pro",'[2]Sales per type Agustus'!$D$8:$BA$8,0)),0)</f>
        <v>16</v>
      </c>
      <c r="AL6" s="33">
        <f t="shared" si="10"/>
        <v>-7</v>
      </c>
      <c r="AM6" s="33" cm="1">
        <f t="array" ref="AM6">IFERROR(INDEX('[2]SALES PERTYPE'!$D$10:$BA$52,MATCH($C6,'[2]SALES PERTYPE'!$B$10:$B$52,0),MATCH("Y31d Pro",'[2]SALES PERTYPE'!$D$8:$BA$8,0)+1),0)</f>
        <v>38491000</v>
      </c>
      <c r="AN6" s="33" cm="1">
        <f t="array" ref="AN6">IFERROR(INDEX('[2]Sales per type Agustus'!$D$10:$BA$51,MATCH($C6,'[2]Sales per type Agustus'!$B$10:$B$51,0),MATCH("Y31d Pro",'[2]Sales per type Agustus'!$D$8:$BA$8,0)+1),0)</f>
        <v>71584000</v>
      </c>
      <c r="AO6" s="33">
        <f t="shared" si="11"/>
        <v>-33093000</v>
      </c>
      <c r="AP6" s="33" cm="1">
        <f t="array" ref="AP6">IFERROR(INDEX('[2]SALES PERTYPE'!$D$10:$BA$52,MATCH($C6,'[2]SALES PERTYPE'!$B$10:$B$52,0),$EI$3),0)</f>
        <v>0</v>
      </c>
      <c r="AQ6" s="33" cm="1">
        <f t="array" ref="AQ6">IFERROR(INDEX('[2]Sales per type Agustus'!$D$10:$BA$51,MATCH($C6,'[2]Sales per type Agustus'!$B$10:$B$51,0),$EI$2),0)</f>
        <v>0</v>
      </c>
      <c r="AR6" s="33">
        <f t="shared" si="12"/>
        <v>0</v>
      </c>
      <c r="AS6" s="33" cm="1">
        <f t="array" ref="AS6">IFERROR(INDEX('[2]SALES PERTYPE'!$D$10:$BA$52,MATCH($C6,'[2]SALES PERTYPE'!$B$10:$B$52,0),$EI$3+1),0)</f>
        <v>0</v>
      </c>
      <c r="AT6" s="33" cm="1">
        <f t="array" ref="AT6">IFERROR(INDEX('[2]Sales per type Agustus'!$D$10:$BA$51,MATCH($C6,'[2]Sales per type Agustus'!$B$10:$B$51,0),$EI$2+1),0)</f>
        <v>0</v>
      </c>
      <c r="AU6" s="33">
        <f t="shared" si="13"/>
        <v>0</v>
      </c>
      <c r="AV6" s="33">
        <f>IFERROR(INDEX('[2]SALES PERTYPE'!$D$10:$BA$52,MATCH($C6,'[2]SALES PERTYPE'!$B$10:$B$52,0),MATCH("Y31d ",'[2]SALES PERTYPE'!$D$8:$BA$8,0)),0)</f>
        <v>1</v>
      </c>
      <c r="AW6" s="33">
        <f>IFERROR(INDEX('[2]Sales per type Agustus'!$D$10:$BA$51,MATCH($C6,'[2]Sales per type Agustus'!$B$10:$B$51,0),MATCH("Y31d ",'[2]Sales per type Agustus'!$D$8:$BA$8,0)),0)</f>
        <v>3</v>
      </c>
      <c r="AX6" s="33">
        <f t="shared" si="14"/>
        <v>-2</v>
      </c>
      <c r="AY6" s="33" cm="1">
        <f t="array" ref="AY6">IFERROR(INDEX('[2]SALES PERTYPE'!$D$10:$BA$52,MATCH($C6,'[2]SALES PERTYPE'!$B$10:$B$52,0),MATCH("Y31d ",'[2]SALES PERTYPE'!$D$8:$BA$8,0)+1),0)</f>
        <v>3599000</v>
      </c>
      <c r="AZ6" s="33" cm="1">
        <f t="array" ref="AZ6">IFERROR(INDEX('[2]Sales per type Agustus'!$D$10:$BA$51,MATCH($C6,'[2]Sales per type Agustus'!$B$10:$B$51,0),MATCH("Y31d ",'[2]Sales per type Agustus'!$D$8:$BA$8,0)+1),0)</f>
        <v>10797000</v>
      </c>
      <c r="BA6" s="33">
        <f t="shared" si="15"/>
        <v>-7198000</v>
      </c>
      <c r="BB6" s="33">
        <f>IFERROR(INDEX('[2]SALES PERTYPE'!$D$10:$BA$52,MATCH($C6,'[2]SALES PERTYPE'!$B$10:$B$52,0),MATCH("V70 FE",'[2]SALES PERTYPE'!$D$8:$BA$8,0)),0)</f>
        <v>0</v>
      </c>
      <c r="BC6" s="33">
        <f>IFERROR(INDEX('[2]Sales per type Agustus'!$D$10:$BA$51,MATCH($C6,'[2]Sales per type Agustus'!$B$10:$B$51,0),MATCH("V70 FE",'[2]Sales per type Agustus'!$D$8:$BA$8,0)),0)</f>
        <v>2</v>
      </c>
      <c r="BD6" s="33">
        <f t="shared" si="16"/>
        <v>-2</v>
      </c>
      <c r="BE6" s="33" cm="1">
        <f t="array" ref="BE6">IFERROR(INDEX('[2]SALES PERTYPE'!$D$10:$BA$52,MATCH($C6,'[2]SALES PERTYPE'!$B$10:$B$52,0),MATCH("V70 FE",'[2]SALES PERTYPE'!$D$8:$BA$8,0)+1),0)</f>
        <v>0</v>
      </c>
      <c r="BF6" s="33" cm="1">
        <f t="array" ref="BF6">IFERROR(INDEX('[2]Sales per type Agustus'!$D$10:$BA$51,MATCH($C6,'[2]Sales per type Agustus'!$B$10:$B$51,0),MATCH("V70 FE",'[2]Sales per type Agustus'!$D$8:$BA$8,0)+1),0)</f>
        <v>15998000</v>
      </c>
      <c r="BG6" s="33">
        <f t="shared" si="17"/>
        <v>-15998000</v>
      </c>
      <c r="BH6" s="33">
        <f>IFERROR(INDEX('[2]SALES PERTYPE'!$D$10:$BA$52,MATCH($C6,'[2]SALES PERTYPE'!$B$10:$B$52,0),MATCH("Y31d",'[2]SALES PERTYPE'!$D$8:$BA$8,0)),0)</f>
        <v>0</v>
      </c>
      <c r="BI6" s="33">
        <f>IFERROR(INDEX('[2]Sales per type Agustus'!$D$10:$BA$51,MATCH($C6,'[2]Sales per type Agustus'!$B$10:$B$51,0),MATCH("Y31d",'[2]Sales per type Agustus'!$D$8:$BA$8,0)),0)</f>
        <v>0</v>
      </c>
      <c r="BJ6" s="33">
        <f t="shared" si="18"/>
        <v>0</v>
      </c>
      <c r="BK6" s="33" cm="1">
        <f t="array" ref="BK6">IFERROR(INDEX('[2]SALES PERTYPE'!$D$10:$BA$52,MATCH($C6,'[2]SALES PERTYPE'!$B$10:$B$52,0),MATCH("Y31d",'[2]SALES PERTYPE'!$D$8:$BA$8,0)+1),0)</f>
        <v>0</v>
      </c>
      <c r="BL6" s="33" cm="1">
        <f t="array" ref="BL6">IFERROR(INDEX('[2]Sales per type Agustus'!$D$10:$BA$51,MATCH($C6,'[2]Sales per type Agustus'!$B$10:$B$51,0),MATCH("Y31d",'[2]Sales per type Agustus'!$D$8:$BA$8,0)+1),0)</f>
        <v>0</v>
      </c>
      <c r="BM6" s="33">
        <f t="shared" si="19"/>
        <v>0</v>
      </c>
      <c r="BN6" s="33">
        <f>IFERROR(INDEX('[2]SALES PERTYPE'!$D$10:$BA$52,MATCH($C6,'[2]SALES PERTYPE'!$B$10:$B$52,0),MATCH("Y500",'[2]SALES PERTYPE'!$D$8:$BA$8,0)),0)</f>
        <v>2</v>
      </c>
      <c r="BO6" s="33">
        <f>IFERROR(INDEX('[2]Sales per type Agustus'!$D$10:$BA$51,MATCH($C6,'[2]Sales per type Agustus'!$B$10:$B$51,0),MATCH("Y500",'[2]Sales per type Agustus'!$D$8:$BA$8,0)),0)</f>
        <v>3</v>
      </c>
      <c r="BP6" s="33">
        <f t="shared" si="20"/>
        <v>-1</v>
      </c>
      <c r="BQ6" s="33" cm="1">
        <f t="array" ref="BQ6">IFERROR(INDEX('[2]SALES PERTYPE'!$D$10:$BA$52,MATCH($C6,'[2]SALES PERTYPE'!$B$10:$B$52,0),MATCH("Y500",'[2]SALES PERTYPE'!$D$8:$BA$8,0)+1),0)</f>
        <v>11798000</v>
      </c>
      <c r="BR6" s="33" cm="1">
        <f t="array" ref="BR6">IFERROR(INDEX('[2]Sales per type Agustus'!$D$10:$BA$51,MATCH($C6,'[2]Sales per type Agustus'!$B$10:$B$51,0),MATCH("Y500",'[2]Sales per type Agustus'!$D$8:$BA$8,0)+1),0)</f>
        <v>18097000</v>
      </c>
      <c r="BS6" s="33">
        <f t="shared" si="21"/>
        <v>-6299000</v>
      </c>
      <c r="BT6" s="33">
        <f>IFERROR(INDEX('[2]SALES PERTYPE'!$D$10:$BA$52,MATCH($C6,'[2]SALES PERTYPE'!$B$10:$B$52,0),MATCH("IQOO 15R",'[2]SALES PERTYPE'!$D$8:$BA$8,0)),0)</f>
        <v>0</v>
      </c>
      <c r="BU6" s="33">
        <f>IFERROR(INDEX('[2]Sales per type Agustus'!$D$10:$BA$51,MATCH($C6,'[2]Sales per type Agustus'!$B$10:$B$51,0),MATCH("IQOO 15R",'[2]Sales per type Agustus'!$D$8:$BA$8,0)),0)</f>
        <v>0</v>
      </c>
      <c r="BV6" s="33">
        <f t="shared" si="22"/>
        <v>0</v>
      </c>
      <c r="BW6" s="33" cm="1">
        <f t="array" ref="BW6">IFERROR(INDEX('[2]SALES PERTYPE'!$D$10:$BA$52,MATCH($C6,'[2]SALES PERTYPE'!$B$10:$B$52,0),MATCH("IQOO 15R",'[2]SALES PERTYPE'!$D$8:$BA$8,0)+1),0)</f>
        <v>0</v>
      </c>
      <c r="BX6" s="33" cm="1">
        <f t="array" ref="BX6">IFERROR(INDEX('[2]Sales per type Agustus'!$D$10:$BA$51,MATCH($C6,'[2]Sales per type Agustus'!$B$10:$B$51,0),MATCH("IQOO 15R",'[2]Sales per type Agustus'!$D$8:$BA$8,0)+1),0)</f>
        <v>0</v>
      </c>
      <c r="BY6" s="33">
        <f t="shared" si="23"/>
        <v>0</v>
      </c>
      <c r="BZ6" s="33">
        <f>IFERROR(INDEX('[2]SALES PERTYPE'!$D$10:$BA$52,MATCH($C6,'[2]SALES PERTYPE'!$B$10:$B$52,0),MATCH("V60 Lite",'[2]SALES PERTYPE'!$D$8:$BA$8,0)),0)</f>
        <v>2</v>
      </c>
      <c r="CA6" s="33">
        <f>IFERROR(INDEX('[2]Sales per type Agustus'!$D$10:$BA$51,MATCH($C6,'[2]Sales per type Agustus'!$B$10:$B$51,0),MATCH("V60 Lite",'[2]Sales per type Agustus'!$D$8:$BA$8,0)),0)</f>
        <v>0</v>
      </c>
      <c r="CB6" s="33">
        <f t="shared" si="24"/>
        <v>2</v>
      </c>
      <c r="CC6" s="33" cm="1">
        <f t="array" ref="CC6">IFERROR(INDEX('[2]SALES PERTYPE'!$D$10:$BA$52,MATCH($C6,'[2]SALES PERTYPE'!$B$10:$B$52,0),MATCH("V60 Lite",'[2]SALES PERTYPE'!$D$8:$BA$8,0)+1),0)</f>
        <v>11798000</v>
      </c>
      <c r="CD6" s="33" cm="1">
        <f t="array" ref="CD6">IFERROR(INDEX('[2]Sales per type Agustus'!$D$10:$BA$51,MATCH($C6,'[2]Sales per type Agustus'!$B$10:$B$51,0),MATCH("V60 Lite",'[2]Sales per type Agustus'!$D$8:$BA$8,0)+1),0)</f>
        <v>0</v>
      </c>
      <c r="CE6" s="33">
        <f t="shared" si="25"/>
        <v>11798000</v>
      </c>
      <c r="CF6" s="33">
        <f>IFERROR(INDEX('[2]SALES PERTYPE'!$D$10:$BA$52,MATCH($C6,'[2]SALES PERTYPE'!$B$10:$B$52,0),MATCH("X300 Ultra",'[2]SALES PERTYPE'!$D$8:$BA$8,0)),0)</f>
        <v>0</v>
      </c>
      <c r="CG6" s="33">
        <f>IFERROR(INDEX('[2]Sales per type Agustus'!$D$10:$BA$51,MATCH($C6,'[2]Sales per type Agustus'!$B$10:$B$51,0),MATCH("X300 Ultra",'[2]Sales per type Agustus'!$D$8:$BA$8,0)),0)</f>
        <v>1</v>
      </c>
      <c r="CH6" s="33">
        <f t="shared" si="26"/>
        <v>-1</v>
      </c>
      <c r="CI6" s="33" cm="1">
        <f t="array" ref="CI6">IFERROR(INDEX('[2]SALES PERTYPE'!$D$10:$BA$52,MATCH($C6,'[2]SALES PERTYPE'!$B$10:$B$52,0),MATCH("X300 Ultra",'[2]SALES PERTYPE'!$D$8:$BA$8,0)+1),0)</f>
        <v>0</v>
      </c>
      <c r="CJ6" s="33" cm="1">
        <f t="array" ref="CJ6">IFERROR(INDEX('[2]Sales per type Agustus'!$D$10:$BA$51,MATCH($C6,'[2]Sales per type Agustus'!$B$10:$B$51,0),MATCH("X300 Ultra",'[2]Sales per type Agustus'!$D$8:$BA$8,0)+1),0)</f>
        <v>25999000</v>
      </c>
      <c r="CK6" s="33">
        <f t="shared" si="27"/>
        <v>-25999000</v>
      </c>
      <c r="CL6" s="33">
        <f>IFERROR(INDEX('[2]SALES PERTYPE'!$D$10:$BA$52,MATCH($C6,'[2]SALES PERTYPE'!$B$10:$B$52,0),MATCH("IQOO 15",'[2]SALES PERTYPE'!$D$8:$BA$8,0)),0)</f>
        <v>0</v>
      </c>
      <c r="CM6" s="33">
        <f>IFERROR(INDEX('[2]Sales per type Agustus'!$D$10:$BA$51,MATCH($C6,'[2]Sales per type Agustus'!$B$10:$B$51,0),MATCH("IQOO 15",'[2]Sales per type Agustus'!$D$8:$BA$8,0)),0)</f>
        <v>0</v>
      </c>
      <c r="CN6" s="33">
        <f t="shared" si="28"/>
        <v>0</v>
      </c>
      <c r="CO6" s="33" cm="1">
        <f t="array" ref="CO6">IFERROR(INDEX('[2]SALES PERTYPE'!$D$10:$BA$52,MATCH($C6,'[2]SALES PERTYPE'!$B$10:$B$52,0),MATCH("IQOO 15",'[2]SALES PERTYPE'!$D$8:$BA$8,0)+1),0)</f>
        <v>0</v>
      </c>
      <c r="CP6" s="33" cm="1">
        <f t="array" ref="CP6">IFERROR(INDEX('[2]Sales per type Agustus'!$D$10:$BA$51,MATCH($C6,'[2]Sales per type Agustus'!$B$10:$B$51,0),MATCH("IQOO 15",'[2]Sales per type Agustus'!$D$8:$BA$8,0)+1),0)</f>
        <v>0</v>
      </c>
      <c r="CQ6" s="33">
        <f t="shared" si="29"/>
        <v>0</v>
      </c>
      <c r="CR6" s="33">
        <f>IFERROR(INDEX('[2]SALES PERTYPE'!$D$10:$BA$52,MATCH($C6,'[2]SALES PERTYPE'!$B$10:$B$52,0),MATCH("IQOO Z11x",'[2]SALES PERTYPE'!$D$8:$BA$8,0)),0)</f>
        <v>0</v>
      </c>
      <c r="CS6" s="33">
        <f>IFERROR(INDEX('[2]Sales per type Agustus'!$D$10:$BA$51,MATCH($C6,'[2]Sales per type Agustus'!$B$10:$B$51,0),MATCH("IQOO Z11x",'[2]Sales per type Agustus'!$D$8:$BA$8,0)),0)</f>
        <v>1</v>
      </c>
      <c r="CT6" s="33">
        <f t="shared" si="30"/>
        <v>-1</v>
      </c>
      <c r="CU6" s="33" cm="1">
        <f t="array" ref="CU6">IFERROR(INDEX('[2]SALES PERTYPE'!$D$10:$BA$52,MATCH($C6,'[2]SALES PERTYPE'!$B$10:$B$52,0),MATCH("IQOO Z11x",'[2]SALES PERTYPE'!$D$8:$BA$8,0)+1),0)</f>
        <v>0</v>
      </c>
      <c r="CV6" s="33" cm="1">
        <f t="array" ref="CV6">IFERROR(INDEX('[2]Sales per type Agustus'!$D$10:$BA$51,MATCH($C6,'[2]Sales per type Agustus'!$B$10:$B$51,0),MATCH("IQOO Z11x",'[2]Sales per type Agustus'!$D$8:$BA$8,0)+1),0)</f>
        <v>5699000</v>
      </c>
      <c r="CW6" s="33">
        <f t="shared" si="31"/>
        <v>-5699000</v>
      </c>
      <c r="CX6" s="33">
        <f>IFERROR(INDEX('[2]SALES PERTYPE'!$D$10:$BA$52,MATCH($C6,'[2]SALES PERTYPE'!$B$10:$B$52,0),MATCH("IQOO Z11",'[2]SALES PERTYPE'!$D$8:$BA$8,0)),0)</f>
        <v>0</v>
      </c>
      <c r="CY6" s="33">
        <f>IFERROR(INDEX('[2]Sales per type Agustus'!$D$10:$BA$51,MATCH($C6,'[2]Sales per type Agustus'!$B$10:$B$51,0),MATCH("IQOO Z11",'[2]Sales per type Agustus'!$D$8:$BA$8,0)),0)</f>
        <v>2</v>
      </c>
      <c r="CZ6" s="33">
        <f t="shared" si="32"/>
        <v>-2</v>
      </c>
      <c r="DA6" s="33" cm="1">
        <f t="array" ref="DA6">IFERROR(INDEX('[2]SALES PERTYPE'!$D$10:$BA$52,MATCH($C6,'[2]SALES PERTYPE'!$B$10:$B$52,0),MATCH("IQOO Z11",'[2]SALES PERTYPE'!$D$8:$BA$8,0)+1),0)</f>
        <v>0</v>
      </c>
      <c r="DB6" s="33" cm="1">
        <f t="array" ref="DB6">IFERROR(INDEX('[2]Sales per type Agustus'!$D$10:$BA$51,MATCH($C6,'[2]Sales per type Agustus'!$B$10:$B$51,0),MATCH("IQOO Z11",'[2]Sales per type Agustus'!$D$8:$BA$8,0)+1),0)</f>
        <v>15298000</v>
      </c>
      <c r="DC6" s="33">
        <f t="shared" si="33"/>
        <v>-15298000</v>
      </c>
      <c r="DD6" s="33">
        <f>IFERROR(INDEX('[2]SALES PERTYPE'!$D$10:$BA$52,MATCH($C6,'[2]SALES PERTYPE'!$B$10:$B$52,0),MATCH("WATCH 3",'[2]SALES PERTYPE'!$D$8:$BA$8,0)),0)</f>
        <v>0</v>
      </c>
      <c r="DE6" s="33">
        <f>IFERROR(INDEX('[2]Sales per type Agustus'!$D$10:$BA$51,MATCH($C6,'[2]Sales per type Agustus'!$B$10:$B$51,0),MATCH("WATCH 3",'[2]Sales per type Agustus'!$D$8:$BA$8,0)),0)</f>
        <v>0</v>
      </c>
      <c r="DF6" s="33">
        <f t="shared" si="34"/>
        <v>0</v>
      </c>
      <c r="DG6" s="33" cm="1">
        <f t="array" ref="DG6">IFERROR(INDEX('[2]SALES PERTYPE'!$D$10:$BA$52,MATCH($C6,'[2]SALES PERTYPE'!$B$10:$B$52,0),MATCH("WATCH 3",'[2]SALES PERTYPE'!$D$8:$BA$8,0)+1),0)</f>
        <v>0</v>
      </c>
      <c r="DH6" s="33" cm="1">
        <f t="array" ref="DH6">IFERROR(INDEX('[2]Sales per type Agustus'!$D$10:$BA$51,MATCH($C6,'[2]Sales per type Agustus'!$B$10:$B$51,0),MATCH("WATCH 3",'[2]Sales per type Agustus'!$D$8:$BA$8,0)+1),0)</f>
        <v>0</v>
      </c>
      <c r="DI6" s="33">
        <f t="shared" si="35"/>
        <v>0</v>
      </c>
      <c r="DJ6" s="33">
        <f>IFERROR(INDEX('[2]SALES PERTYPE'!$D$10:$BA$52,MATCH($C6,'[2]SALES PERTYPE'!$B$10:$B$52,0),MATCH("X Fold5",'[2]SALES PERTYPE'!$D$8:$BA$8,0)),0)</f>
        <v>0</v>
      </c>
      <c r="DK6" s="33">
        <f>IFERROR(INDEX('[2]Sales per type Agustus'!$D$10:$BA$51,MATCH($C6,'[2]Sales per type Agustus'!$B$10:$B$51,0),MATCH("X Fold5",'[2]Sales per type Agustus'!$D$8:$BA$8,0)),0)</f>
        <v>0</v>
      </c>
      <c r="DL6" s="33">
        <f t="shared" si="36"/>
        <v>0</v>
      </c>
      <c r="DM6" s="33" cm="1">
        <f t="array" ref="DM6">IFERROR(INDEX('[2]SALES PERTYPE'!$D$10:$BA$52,MATCH($C6,'[2]SALES PERTYPE'!$B$10:$B$52,0),MATCH("X Fold5",'[2]SALES PERTYPE'!$D$8:$BA$8,0)+1),0)</f>
        <v>0</v>
      </c>
      <c r="DN6" s="33" cm="1">
        <f t="array" ref="DN6">IFERROR(INDEX('[2]Sales per type Agustus'!$D$10:$BA$51,MATCH($C6,'[2]Sales per type Agustus'!$B$10:$B$51,0),MATCH("X Fold5",'[2]Sales per type Agustus'!$D$8:$BA$8,0)+1),0)</f>
        <v>0</v>
      </c>
      <c r="DO6" s="33">
        <f t="shared" si="37"/>
        <v>0</v>
      </c>
      <c r="DP6" s="33">
        <f>IFERROR(INDEX('[2]SALES PERTYPE'!$D$10:$BA$52,MATCH($C6,'[2]SALES PERTYPE'!$B$10:$B$52,0),MATCH("X300 PRO",'[2]SALES PERTYPE'!$D$8:$BA$8,0)),0)</f>
        <v>0</v>
      </c>
      <c r="DQ6" s="33">
        <f>IFERROR(INDEX('[2]Sales per type Agustus'!$D$10:$BA$51,MATCH($C6,'[2]Sales per type Agustus'!$B$10:$B$51,0),MATCH("X300 PRO",'[2]Sales per type Agustus'!$D$8:$BA$8,0)),0)</f>
        <v>0</v>
      </c>
      <c r="DR6" s="33">
        <f t="shared" si="38"/>
        <v>0</v>
      </c>
      <c r="DS6" s="33" cm="1">
        <f t="array" ref="DS6">IFERROR(INDEX('[2]SALES PERTYPE'!$D$10:$BA$52,MATCH($C6,'[2]SALES PERTYPE'!$B$10:$B$52,0),MATCH("X300 PRO",'[2]SALES PERTYPE'!$D$8:$BA$8,0)+1),0)</f>
        <v>0</v>
      </c>
      <c r="DT6" s="33" cm="1">
        <f t="array" ref="DT6">IFERROR(INDEX('[2]Sales per type Agustus'!$D$10:$BA$51,MATCH($C6,'[2]Sales per type Agustus'!$B$10:$B$51,0),MATCH("X300 PRO",'[2]Sales per type Agustus'!$D$8:$BA$8,0)+1),0)</f>
        <v>0</v>
      </c>
      <c r="DU6" s="33">
        <f t="shared" si="39"/>
        <v>0</v>
      </c>
      <c r="DV6" s="33">
        <f>IFERROR(INDEX('[2]SALES PERTYPE'!$D$10:$BA$52,MATCH($C6,'[2]SALES PERTYPE'!$B$10:$B$52,0),MATCH("X300",'[2]SALES PERTYPE'!$D$8:$BA$8,0)),0)</f>
        <v>0</v>
      </c>
      <c r="DW6" s="33">
        <f>IFERROR(INDEX('[2]Sales per type Agustus'!$D$10:$BA$51,MATCH($C6,'[2]Sales per type Agustus'!$B$10:$B$51,0),MATCH("X300 ",'[2]Sales per type Agustus'!$D$8:$BA$8,0)),0)</f>
        <v>0</v>
      </c>
      <c r="DX6" s="33">
        <f t="shared" si="40"/>
        <v>0</v>
      </c>
      <c r="DY6" s="33" cm="1">
        <f t="array" ref="DY6">IFERROR(INDEX('[2]SALES PERTYPE'!$D$10:$BA$52,MATCH($C6,'[2]SALES PERTYPE'!$B$10:$B$52,0),MATCH("X300",'[2]SALES PERTYPE'!$D$8:$BA$8,0)+1),0)</f>
        <v>0</v>
      </c>
      <c r="DZ6" s="33" cm="1">
        <f t="array" ref="DZ6">IFERROR(INDEX('[2]Sales per type Agustus'!$D$10:$BA$51,MATCH($C6,'[2]Sales per type Agustus'!$B$10:$B$51,0),MATCH("X300 ",'[2]Sales per type Agustus'!$D$8:$BA$8,0)+1),0)</f>
        <v>0</v>
      </c>
      <c r="EA6" s="33">
        <f t="shared" si="41"/>
        <v>0</v>
      </c>
      <c r="EB6" s="33">
        <f t="shared" si="42"/>
        <v>55</v>
      </c>
      <c r="EC6" s="33">
        <f t="shared" si="42"/>
        <v>74</v>
      </c>
      <c r="ED6" s="33">
        <f t="shared" si="43"/>
        <v>-19</v>
      </c>
      <c r="EE6" s="33">
        <f t="shared" si="44"/>
        <v>189145000</v>
      </c>
      <c r="EF6" s="33">
        <f t="shared" si="44"/>
        <v>285226000</v>
      </c>
      <c r="EG6" s="33">
        <f t="shared" si="45"/>
        <v>-96081000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'[2]ACHIEVEMENT STORE'!A7</f>
        <v>3</v>
      </c>
      <c r="B7" s="32" t="str">
        <f>'[2]ACHIEVEMENT STORE'!B7</f>
        <v>601 雅加达西北 JKT BU</v>
      </c>
      <c r="C7" s="31">
        <f>'[2]ACHIEVEMENT STORE'!C7</f>
        <v>6010702</v>
      </c>
      <c r="D7" s="32" t="str">
        <f>'[2]ACHIEVEMENT STORE'!D7</f>
        <v>6010702-ROXY PAMERAN TIMUR</v>
      </c>
      <c r="E7" s="32" t="str">
        <f>'[2]ACHIEVEMENT STORE'!E7</f>
        <v>ANGGARIA</v>
      </c>
      <c r="F7" s="33">
        <f>IFERROR(INDEX('[2]SALES PERTYPE'!$D$10:$BA$52,MATCH($C7,'[2]SALES PERTYPE'!$B$10:$B$52,0),MATCH("Y05",'[2]SALES PERTYPE'!$D$8:$BA$8,0)),0)</f>
        <v>14</v>
      </c>
      <c r="G7" s="33">
        <f>IFERROR(INDEX('[2]Sales per type Agustus'!$D$10:$BA$51,MATCH($C7,'[2]Sales per type Agustus'!$B$10:$B$51,0),MATCH("Y05",'[2]Sales per type Agustus'!$D$8:$BA$8,0)),0)</f>
        <v>12</v>
      </c>
      <c r="H7" s="33">
        <f t="shared" si="0"/>
        <v>2</v>
      </c>
      <c r="I7" s="33" cm="1">
        <f t="array" ref="I7">IFERROR(INDEX('[2]SALES PERTYPE'!$D$10:$BA$52,MATCH($C7,'[2]SALES PERTYPE'!$B$10:$B$52,0),MATCH("Y05",'[2]SALES PERTYPE'!$D$8:$BA$8,0)+1),0)</f>
        <v>33386000</v>
      </c>
      <c r="J7" s="33" cm="1">
        <f t="array" ref="J7">IFERROR(INDEX('[2]Sales per type Agustus'!$D$10:$BA$51,MATCH($C7,'[2]Sales per type Agustus'!$B$10:$B$51,0),MATCH("Y05",'[2]Sales per type Agustus'!$D$8:$BA$8,0)+1),0)</f>
        <v>28788000</v>
      </c>
      <c r="K7" s="33">
        <f t="shared" si="1"/>
        <v>4598000</v>
      </c>
      <c r="L7" s="33">
        <f>IFERROR(INDEX('[2]SALES PERTYPE'!$D$10:$BA$52,MATCH($C7,'[2]SALES PERTYPE'!$B$10:$B$52,0),MATCH("Y11d",'[2]SALES PERTYPE'!$D$8:$BA$8,0)),0)</f>
        <v>20</v>
      </c>
      <c r="M7" s="33">
        <f>IFERROR(INDEX('[2]Sales per type Agustus'!$D$10:$BA$51,MATCH($C7,'[2]Sales per type Agustus'!$B$10:$B$51,0),MATCH("Y11d",'[2]Sales per type Agustus'!$D$8:$BA$8,0)),0)</f>
        <v>17</v>
      </c>
      <c r="N7" s="33">
        <f t="shared" si="2"/>
        <v>3</v>
      </c>
      <c r="O7" s="33" cm="1">
        <f t="array" ref="O7">IFERROR(INDEX('[2]SALES PERTYPE'!$D$10:$BA$52,MATCH($C7,'[2]SALES PERTYPE'!$B$10:$B$52,0),MATCH("Y11d",'[2]SALES PERTYPE'!$D$8:$BA$8,0)+1),0)</f>
        <v>53980000</v>
      </c>
      <c r="P7" s="33" cm="1">
        <f t="array" ref="P7">IFERROR(INDEX('[2]Sales per type Agustus'!$D$10:$BA$51,MATCH($C7,'[2]Sales per type Agustus'!$B$10:$B$51,0),MATCH("Y11d",'[2]Sales per type Agustus'!$D$8:$BA$8,0)+1),0)</f>
        <v>45183000</v>
      </c>
      <c r="Q7" s="33">
        <f t="shared" si="3"/>
        <v>8797000</v>
      </c>
      <c r="R7" s="33">
        <f>IFERROR(INDEX('[2]SALES PERTYPE'!$D$10:$BA$52,MATCH($C7,'[2]SALES PERTYPE'!$B$10:$B$52,0),MATCH("Watch GT 2",'[2]SALES PERTYPE'!$D$8:$BA$8,0)),0)</f>
        <v>0</v>
      </c>
      <c r="S7" s="33">
        <f>IFERROR(INDEX('[2]Sales per type Agustus'!$D$10:$BA$51,MATCH($C7,'[2]Sales per type Agustus'!$B$10:$B$51,0),MATCH("Watch GT 2",'[2]Sales per type Agustus'!$D$8:$BA$8,0)),0)</f>
        <v>0</v>
      </c>
      <c r="T7" s="33">
        <f t="shared" si="4"/>
        <v>0</v>
      </c>
      <c r="U7" s="33" cm="1">
        <f t="array" ref="U7">IFERROR(INDEX('[2]SALES PERTYPE'!$D$10:$BA$52,MATCH($C7,'[2]SALES PERTYPE'!$B$10:$B$52,0),MATCH("Watch GT 2",'[2]SALES PERTYPE'!$D$8:$BA$8,0)+1),0)</f>
        <v>0</v>
      </c>
      <c r="V7" s="33" cm="1">
        <f t="array" ref="V7">IFERROR(INDEX('[2]Sales per type Agustus'!$D$10:$BA$51,MATCH($C7,'[2]Sales per type Agustus'!$B$10:$B$51,0),MATCH("Watch GT 2",'[2]Sales per type Agustus'!$D$8:$BA$8,0)+1),0)</f>
        <v>0</v>
      </c>
      <c r="W7" s="33">
        <f t="shared" si="5"/>
        <v>0</v>
      </c>
      <c r="X7" s="33">
        <f>IFERROR(INDEX('[2]SALES PERTYPE'!$D$10:$BA$52,MATCH($C7,'[2]SALES PERTYPE'!$B$10:$B$52,0),MATCH("Y05e",'[2]SALES PERTYPE'!$D$8:$BA$8,0)),0)</f>
        <v>15</v>
      </c>
      <c r="Y7" s="33">
        <f>IFERROR(INDEX('[2]Sales per type Agustus'!$D$10:$BA$51,MATCH($C7,'[2]Sales per type Agustus'!$B$10:$B$51,0),MATCH("Y05e",'[2]Sales per type Agustus'!$D$8:$BA$8,0)),0)</f>
        <v>31</v>
      </c>
      <c r="Z7" s="33">
        <f t="shared" si="6"/>
        <v>-16</v>
      </c>
      <c r="AA7" s="33" cm="1">
        <f t="array" ref="AA7">IFERROR(INDEX('[2]SALES PERTYPE'!$D$10:$BA$52,MATCH($C7,'[2]SALES PERTYPE'!$B$10:$B$52,0),MATCH("Y05e",'[2]SALES PERTYPE'!$D$8:$BA$8,0)+1),0)</f>
        <v>31485000</v>
      </c>
      <c r="AB7" s="33" cm="1">
        <f t="array" ref="AB7">IFERROR(INDEX('[2]Sales per type Agustus'!$D$10:$BA$51,MATCH($C7,'[2]Sales per type Agustus'!$B$10:$B$51,0),MATCH("Y05e",'[2]Sales per type Agustus'!$D$8:$BA$8,0)+1),0)</f>
        <v>65069000</v>
      </c>
      <c r="AC7" s="33">
        <f t="shared" si="7"/>
        <v>-33584000</v>
      </c>
      <c r="AD7" s="33">
        <f>IFERROR(INDEX('[2]SALES PERTYPE'!$D$10:$BA$52,MATCH($C7,'[2]SALES PERTYPE'!$B$10:$B$52,0),MATCH("V70",'[2]SALES PERTYPE'!$D$8:$BA$8,0)),0)</f>
        <v>2</v>
      </c>
      <c r="AE7" s="33">
        <f>IFERROR(INDEX('[2]Sales per type Agustus'!$D$10:$BA$51,MATCH($C7,'[2]Sales per type Agustus'!$B$10:$B$51,0),MATCH("V70",'[2]Sales per type Agustus'!$D$8:$BA$8,0)),0)</f>
        <v>1</v>
      </c>
      <c r="AF7" s="33">
        <f t="shared" si="8"/>
        <v>1</v>
      </c>
      <c r="AG7" s="33" cm="1">
        <f t="array" ref="AG7">IFERROR(INDEX('[2]SALES PERTYPE'!$D$10:$BA$52,MATCH($C7,'[2]SALES PERTYPE'!$B$10:$B$52,0),MATCH("V70",'[2]SALES PERTYPE'!$D$8:$BA$8,0)+1),0)</f>
        <v>19998000</v>
      </c>
      <c r="AH7" s="33" cm="1">
        <f t="array" ref="AH7">IFERROR(INDEX('[2]Sales per type Agustus'!$D$10:$BA$51,MATCH($C7,'[2]Sales per type Agustus'!$B$10:$B$51,0),MATCH("V70",'[2]Sales per type Agustus'!$D$8:$BA$8,0)+1),0)</f>
        <v>9999000</v>
      </c>
      <c r="AI7" s="33">
        <f t="shared" si="9"/>
        <v>9999000</v>
      </c>
      <c r="AJ7" s="33">
        <f>IFERROR(INDEX('[2]SALES PERTYPE'!$D$10:$BA$52,MATCH($C7,'[2]SALES PERTYPE'!$B$10:$B$52,0),MATCH("Y31d Pro",'[2]SALES PERTYPE'!$D$8:$BA$8,0)),0)</f>
        <v>7</v>
      </c>
      <c r="AK7" s="33">
        <f>IFERROR(INDEX('[2]Sales per type Agustus'!$D$10:$BA$51,MATCH($C7,'[2]Sales per type Agustus'!$B$10:$B$51,0),MATCH("Y31d Pro",'[2]Sales per type Agustus'!$D$8:$BA$8,0)),0)</f>
        <v>10</v>
      </c>
      <c r="AL7" s="33">
        <f t="shared" si="10"/>
        <v>-3</v>
      </c>
      <c r="AM7" s="33" cm="1">
        <f t="array" ref="AM7">IFERROR(INDEX('[2]SALES PERTYPE'!$D$10:$BA$52,MATCH($C7,'[2]SALES PERTYPE'!$B$10:$B$52,0),MATCH("Y31d Pro",'[2]SALES PERTYPE'!$D$8:$BA$8,0)+1),0)</f>
        <v>29093000</v>
      </c>
      <c r="AN7" s="33" cm="1">
        <f t="array" ref="AN7">IFERROR(INDEX('[2]Sales per type Agustus'!$D$10:$BA$51,MATCH($C7,'[2]Sales per type Agustus'!$B$10:$B$51,0),MATCH("Y31d Pro",'[2]Sales per type Agustus'!$D$8:$BA$8,0)+1),0)</f>
        <v>44390000</v>
      </c>
      <c r="AO7" s="33">
        <f t="shared" si="11"/>
        <v>-15297000</v>
      </c>
      <c r="AP7" s="33" cm="1">
        <f t="array" ref="AP7">IFERROR(INDEX('[2]SALES PERTYPE'!$D$10:$BA$52,MATCH($C7,'[2]SALES PERTYPE'!$B$10:$B$52,0),$EI$3),0)</f>
        <v>0</v>
      </c>
      <c r="AQ7" s="33" cm="1">
        <f t="array" ref="AQ7">IFERROR(INDEX('[2]Sales per type Agustus'!$D$10:$BA$51,MATCH($C7,'[2]Sales per type Agustus'!$B$10:$B$51,0),$EI$2),0)</f>
        <v>0</v>
      </c>
      <c r="AR7" s="33">
        <f t="shared" si="12"/>
        <v>0</v>
      </c>
      <c r="AS7" s="33" cm="1">
        <f t="array" ref="AS7">IFERROR(INDEX('[2]SALES PERTYPE'!$D$10:$BA$52,MATCH($C7,'[2]SALES PERTYPE'!$B$10:$B$52,0),$EI$3+1),0)</f>
        <v>0</v>
      </c>
      <c r="AT7" s="33" cm="1">
        <f t="array" ref="AT7">IFERROR(INDEX('[2]Sales per type Agustus'!$D$10:$BA$51,MATCH($C7,'[2]Sales per type Agustus'!$B$10:$B$51,0),$EI$2+1),0)</f>
        <v>0</v>
      </c>
      <c r="AU7" s="33">
        <f t="shared" si="13"/>
        <v>0</v>
      </c>
      <c r="AV7" s="33">
        <f>IFERROR(INDEX('[2]SALES PERTYPE'!$D$10:$BA$52,MATCH($C7,'[2]SALES PERTYPE'!$B$10:$B$52,0),MATCH("Y31d ",'[2]SALES PERTYPE'!$D$8:$BA$8,0)),0)</f>
        <v>0</v>
      </c>
      <c r="AW7" s="33">
        <f>IFERROR(INDEX('[2]Sales per type Agustus'!$D$10:$BA$51,MATCH($C7,'[2]Sales per type Agustus'!$B$10:$B$51,0),MATCH("Y31d ",'[2]Sales per type Agustus'!$D$8:$BA$8,0)),0)</f>
        <v>0</v>
      </c>
      <c r="AX7" s="33">
        <f t="shared" si="14"/>
        <v>0</v>
      </c>
      <c r="AY7" s="33" cm="1">
        <f t="array" ref="AY7">IFERROR(INDEX('[2]SALES PERTYPE'!$D$10:$BA$52,MATCH($C7,'[2]SALES PERTYPE'!$B$10:$B$52,0),MATCH("Y31d ",'[2]SALES PERTYPE'!$D$8:$BA$8,0)+1),0)</f>
        <v>0</v>
      </c>
      <c r="AZ7" s="33" cm="1">
        <f t="array" ref="AZ7">IFERROR(INDEX('[2]Sales per type Agustus'!$D$10:$BA$51,MATCH($C7,'[2]Sales per type Agustus'!$B$10:$B$51,0),MATCH("Y31d ",'[2]Sales per type Agustus'!$D$8:$BA$8,0)+1),0)</f>
        <v>0</v>
      </c>
      <c r="BA7" s="33">
        <f t="shared" si="15"/>
        <v>0</v>
      </c>
      <c r="BB7" s="33">
        <f>IFERROR(INDEX('[2]SALES PERTYPE'!$D$10:$BA$52,MATCH($C7,'[2]SALES PERTYPE'!$B$10:$B$52,0),MATCH("V70 FE",'[2]SALES PERTYPE'!$D$8:$BA$8,0)),0)</f>
        <v>2</v>
      </c>
      <c r="BC7" s="33">
        <f>IFERROR(INDEX('[2]Sales per type Agustus'!$D$10:$BA$51,MATCH($C7,'[2]Sales per type Agustus'!$B$10:$B$51,0),MATCH("V70 FE",'[2]Sales per type Agustus'!$D$8:$BA$8,0)),0)</f>
        <v>0</v>
      </c>
      <c r="BD7" s="33">
        <f t="shared" si="16"/>
        <v>2</v>
      </c>
      <c r="BE7" s="33" cm="1">
        <f t="array" ref="BE7">IFERROR(INDEX('[2]SALES PERTYPE'!$D$10:$BA$52,MATCH($C7,'[2]SALES PERTYPE'!$B$10:$B$52,0),MATCH("V70 FE",'[2]SALES PERTYPE'!$D$8:$BA$8,0)+1),0)</f>
        <v>15998000</v>
      </c>
      <c r="BF7" s="33" cm="1">
        <f t="array" ref="BF7">IFERROR(INDEX('[2]Sales per type Agustus'!$D$10:$BA$51,MATCH($C7,'[2]Sales per type Agustus'!$B$10:$B$51,0),MATCH("V70 FE",'[2]Sales per type Agustus'!$D$8:$BA$8,0)+1),0)</f>
        <v>0</v>
      </c>
      <c r="BG7" s="33">
        <f t="shared" si="17"/>
        <v>15998000</v>
      </c>
      <c r="BH7" s="33">
        <f>IFERROR(INDEX('[2]SALES PERTYPE'!$D$10:$BA$52,MATCH($C7,'[2]SALES PERTYPE'!$B$10:$B$52,0),MATCH("Y31d",'[2]SALES PERTYPE'!$D$8:$BA$8,0)),0)</f>
        <v>1</v>
      </c>
      <c r="BI7" s="33">
        <f>IFERROR(INDEX('[2]Sales per type Agustus'!$D$10:$BA$51,MATCH($C7,'[2]Sales per type Agustus'!$B$10:$B$51,0),MATCH("Y31d",'[2]Sales per type Agustus'!$D$8:$BA$8,0)),0)</f>
        <v>0</v>
      </c>
      <c r="BJ7" s="33">
        <f t="shared" si="18"/>
        <v>1</v>
      </c>
      <c r="BK7" s="33" cm="1">
        <f t="array" ref="BK7">IFERROR(INDEX('[2]SALES PERTYPE'!$D$10:$BA$52,MATCH($C7,'[2]SALES PERTYPE'!$B$10:$B$52,0),MATCH("Y31d",'[2]SALES PERTYPE'!$D$8:$BA$8,0)+1),0)</f>
        <v>3599000</v>
      </c>
      <c r="BL7" s="33" cm="1">
        <f t="array" ref="BL7">IFERROR(INDEX('[2]Sales per type Agustus'!$D$10:$BA$51,MATCH($C7,'[2]Sales per type Agustus'!$B$10:$B$51,0),MATCH("Y31d",'[2]Sales per type Agustus'!$D$8:$BA$8,0)+1),0)</f>
        <v>0</v>
      </c>
      <c r="BM7" s="33">
        <f t="shared" si="19"/>
        <v>3599000</v>
      </c>
      <c r="BN7" s="33">
        <f>IFERROR(INDEX('[2]SALES PERTYPE'!$D$10:$BA$52,MATCH($C7,'[2]SALES PERTYPE'!$B$10:$B$52,0),MATCH("Y500",'[2]SALES PERTYPE'!$D$8:$BA$8,0)),0)</f>
        <v>0</v>
      </c>
      <c r="BO7" s="33">
        <f>IFERROR(INDEX('[2]Sales per type Agustus'!$D$10:$BA$51,MATCH($C7,'[2]Sales per type Agustus'!$B$10:$B$51,0),MATCH("Y500",'[2]Sales per type Agustus'!$D$8:$BA$8,0)),0)</f>
        <v>1</v>
      </c>
      <c r="BP7" s="33">
        <f t="shared" si="20"/>
        <v>-1</v>
      </c>
      <c r="BQ7" s="33" cm="1">
        <f t="array" ref="BQ7">IFERROR(INDEX('[2]SALES PERTYPE'!$D$10:$BA$52,MATCH($C7,'[2]SALES PERTYPE'!$B$10:$B$52,0),MATCH("Y500",'[2]SALES PERTYPE'!$D$8:$BA$8,0)+1),0)</f>
        <v>0</v>
      </c>
      <c r="BR7" s="33" cm="1">
        <f t="array" ref="BR7">IFERROR(INDEX('[2]Sales per type Agustus'!$D$10:$BA$51,MATCH($C7,'[2]Sales per type Agustus'!$B$10:$B$51,0),MATCH("Y500",'[2]Sales per type Agustus'!$D$8:$BA$8,0)+1),0)</f>
        <v>5499000</v>
      </c>
      <c r="BS7" s="33">
        <f t="shared" si="21"/>
        <v>-5499000</v>
      </c>
      <c r="BT7" s="33">
        <f>IFERROR(INDEX('[2]SALES PERTYPE'!$D$10:$BA$52,MATCH($C7,'[2]SALES PERTYPE'!$B$10:$B$52,0),MATCH("IQOO 15R",'[2]SALES PERTYPE'!$D$8:$BA$8,0)),0)</f>
        <v>0</v>
      </c>
      <c r="BU7" s="33">
        <f>IFERROR(INDEX('[2]Sales per type Agustus'!$D$10:$BA$51,MATCH($C7,'[2]Sales per type Agustus'!$B$10:$B$51,0),MATCH("IQOO 15R",'[2]Sales per type Agustus'!$D$8:$BA$8,0)),0)</f>
        <v>0</v>
      </c>
      <c r="BV7" s="33">
        <f t="shared" si="22"/>
        <v>0</v>
      </c>
      <c r="BW7" s="33" cm="1">
        <f t="array" ref="BW7">IFERROR(INDEX('[2]SALES PERTYPE'!$D$10:$BA$52,MATCH($C7,'[2]SALES PERTYPE'!$B$10:$B$52,0),MATCH("IQOO 15R",'[2]SALES PERTYPE'!$D$8:$BA$8,0)+1),0)</f>
        <v>0</v>
      </c>
      <c r="BX7" s="33" cm="1">
        <f t="array" ref="BX7">IFERROR(INDEX('[2]Sales per type Agustus'!$D$10:$BA$51,MATCH($C7,'[2]Sales per type Agustus'!$B$10:$B$51,0),MATCH("IQOO 15R",'[2]Sales per type Agustus'!$D$8:$BA$8,0)+1),0)</f>
        <v>0</v>
      </c>
      <c r="BY7" s="33">
        <f t="shared" si="23"/>
        <v>0</v>
      </c>
      <c r="BZ7" s="33">
        <f>IFERROR(INDEX('[2]SALES PERTYPE'!$D$10:$BA$52,MATCH($C7,'[2]SALES PERTYPE'!$B$10:$B$52,0),MATCH("V60 Lite",'[2]SALES PERTYPE'!$D$8:$BA$8,0)),0)</f>
        <v>0</v>
      </c>
      <c r="CA7" s="33">
        <f>IFERROR(INDEX('[2]Sales per type Agustus'!$D$10:$BA$51,MATCH($C7,'[2]Sales per type Agustus'!$B$10:$B$51,0),MATCH("V60 Lite",'[2]Sales per type Agustus'!$D$8:$BA$8,0)),0)</f>
        <v>1</v>
      </c>
      <c r="CB7" s="33">
        <f t="shared" si="24"/>
        <v>-1</v>
      </c>
      <c r="CC7" s="33" cm="1">
        <f t="array" ref="CC7">IFERROR(INDEX('[2]SALES PERTYPE'!$D$10:$BA$52,MATCH($C7,'[2]SALES PERTYPE'!$B$10:$B$52,0),MATCH("V60 Lite",'[2]SALES PERTYPE'!$D$8:$BA$8,0)+1),0)</f>
        <v>0</v>
      </c>
      <c r="CD7" s="33" cm="1">
        <f t="array" ref="CD7">IFERROR(INDEX('[2]Sales per type Agustus'!$D$10:$BA$51,MATCH($C7,'[2]Sales per type Agustus'!$B$10:$B$51,0),MATCH("V60 Lite",'[2]Sales per type Agustus'!$D$8:$BA$8,0)+1),0)</f>
        <v>5299000</v>
      </c>
      <c r="CE7" s="33">
        <f t="shared" si="25"/>
        <v>-5299000</v>
      </c>
      <c r="CF7" s="33">
        <f>IFERROR(INDEX('[2]SALES PERTYPE'!$D$10:$BA$52,MATCH($C7,'[2]SALES PERTYPE'!$B$10:$B$52,0),MATCH("X300 Ultra",'[2]SALES PERTYPE'!$D$8:$BA$8,0)),0)</f>
        <v>1</v>
      </c>
      <c r="CG7" s="33">
        <f>IFERROR(INDEX('[2]Sales per type Agustus'!$D$10:$BA$51,MATCH($C7,'[2]Sales per type Agustus'!$B$10:$B$51,0),MATCH("X300 Ultra",'[2]Sales per type Agustus'!$D$8:$BA$8,0)),0)</f>
        <v>0</v>
      </c>
      <c r="CH7" s="33">
        <f t="shared" si="26"/>
        <v>1</v>
      </c>
      <c r="CI7" s="33" cm="1">
        <f t="array" ref="CI7">IFERROR(INDEX('[2]SALES PERTYPE'!$D$10:$BA$52,MATCH($C7,'[2]SALES PERTYPE'!$B$10:$B$52,0),MATCH("X300 Ultra",'[2]SALES PERTYPE'!$D$8:$BA$8,0)+1),0)</f>
        <v>25999000</v>
      </c>
      <c r="CJ7" s="33" cm="1">
        <f t="array" ref="CJ7">IFERROR(INDEX('[2]Sales per type Agustus'!$D$10:$BA$51,MATCH($C7,'[2]Sales per type Agustus'!$B$10:$B$51,0),MATCH("X300 Ultra",'[2]Sales per type Agustus'!$D$8:$BA$8,0)+1),0)</f>
        <v>0</v>
      </c>
      <c r="CK7" s="33">
        <f t="shared" si="27"/>
        <v>25999000</v>
      </c>
      <c r="CL7" s="33">
        <f>IFERROR(INDEX('[2]SALES PERTYPE'!$D$10:$BA$52,MATCH($C7,'[2]SALES PERTYPE'!$B$10:$B$52,0),MATCH("IQOO 15",'[2]SALES PERTYPE'!$D$8:$BA$8,0)),0)</f>
        <v>0</v>
      </c>
      <c r="CM7" s="33">
        <f>IFERROR(INDEX('[2]Sales per type Agustus'!$D$10:$BA$51,MATCH($C7,'[2]Sales per type Agustus'!$B$10:$B$51,0),MATCH("IQOO 15",'[2]Sales per type Agustus'!$D$8:$BA$8,0)),0)</f>
        <v>0</v>
      </c>
      <c r="CN7" s="33">
        <f t="shared" si="28"/>
        <v>0</v>
      </c>
      <c r="CO7" s="33" cm="1">
        <f t="array" ref="CO7">IFERROR(INDEX('[2]SALES PERTYPE'!$D$10:$BA$52,MATCH($C7,'[2]SALES PERTYPE'!$B$10:$B$52,0),MATCH("IQOO 15",'[2]SALES PERTYPE'!$D$8:$BA$8,0)+1),0)</f>
        <v>0</v>
      </c>
      <c r="CP7" s="33" cm="1">
        <f t="array" ref="CP7">IFERROR(INDEX('[2]Sales per type Agustus'!$D$10:$BA$51,MATCH($C7,'[2]Sales per type Agustus'!$B$10:$B$51,0),MATCH("IQOO 15",'[2]Sales per type Agustus'!$D$8:$BA$8,0)+1),0)</f>
        <v>0</v>
      </c>
      <c r="CQ7" s="33">
        <f t="shared" si="29"/>
        <v>0</v>
      </c>
      <c r="CR7" s="33">
        <f>IFERROR(INDEX('[2]SALES PERTYPE'!$D$10:$BA$52,MATCH($C7,'[2]SALES PERTYPE'!$B$10:$B$52,0),MATCH("IQOO Z11x",'[2]SALES PERTYPE'!$D$8:$BA$8,0)),0)</f>
        <v>0</v>
      </c>
      <c r="CS7" s="33">
        <f>IFERROR(INDEX('[2]Sales per type Agustus'!$D$10:$BA$51,MATCH($C7,'[2]Sales per type Agustus'!$B$10:$B$51,0),MATCH("IQOO Z11x",'[2]Sales per type Agustus'!$D$8:$BA$8,0)),0)</f>
        <v>1</v>
      </c>
      <c r="CT7" s="33">
        <f t="shared" si="30"/>
        <v>-1</v>
      </c>
      <c r="CU7" s="33" cm="1">
        <f t="array" ref="CU7">IFERROR(INDEX('[2]SALES PERTYPE'!$D$10:$BA$52,MATCH($C7,'[2]SALES PERTYPE'!$B$10:$B$52,0),MATCH("IQOO Z11x",'[2]SALES PERTYPE'!$D$8:$BA$8,0)+1),0)</f>
        <v>0</v>
      </c>
      <c r="CV7" s="33" cm="1">
        <f t="array" ref="CV7">IFERROR(INDEX('[2]Sales per type Agustus'!$D$10:$BA$51,MATCH($C7,'[2]Sales per type Agustus'!$B$10:$B$51,0),MATCH("IQOO Z11x",'[2]Sales per type Agustus'!$D$8:$BA$8,0)+1),0)</f>
        <v>5599000</v>
      </c>
      <c r="CW7" s="33">
        <f t="shared" si="31"/>
        <v>-5599000</v>
      </c>
      <c r="CX7" s="33">
        <f>IFERROR(INDEX('[2]SALES PERTYPE'!$D$10:$BA$52,MATCH($C7,'[2]SALES PERTYPE'!$B$10:$B$52,0),MATCH("IQOO Z11",'[2]SALES PERTYPE'!$D$8:$BA$8,0)),0)</f>
        <v>1</v>
      </c>
      <c r="CY7" s="33">
        <f>IFERROR(INDEX('[2]Sales per type Agustus'!$D$10:$BA$51,MATCH($C7,'[2]Sales per type Agustus'!$B$10:$B$51,0),MATCH("IQOO Z11",'[2]Sales per type Agustus'!$D$8:$BA$8,0)),0)</f>
        <v>1</v>
      </c>
      <c r="CZ7" s="33">
        <f t="shared" si="32"/>
        <v>0</v>
      </c>
      <c r="DA7" s="33" cm="1">
        <f t="array" ref="DA7">IFERROR(INDEX('[2]SALES PERTYPE'!$D$10:$BA$52,MATCH($C7,'[2]SALES PERTYPE'!$B$10:$B$52,0),MATCH("IQOO Z11",'[2]SALES PERTYPE'!$D$8:$BA$8,0)+1),0)</f>
        <v>6899000</v>
      </c>
      <c r="DB7" s="33" cm="1">
        <f t="array" ref="DB7">IFERROR(INDEX('[2]Sales per type Agustus'!$D$10:$BA$51,MATCH($C7,'[2]Sales per type Agustus'!$B$10:$B$51,0),MATCH("IQOO Z11",'[2]Sales per type Agustus'!$D$8:$BA$8,0)+1),0)</f>
        <v>6699000</v>
      </c>
      <c r="DC7" s="33">
        <f t="shared" si="33"/>
        <v>200000</v>
      </c>
      <c r="DD7" s="33">
        <f>IFERROR(INDEX('[2]SALES PERTYPE'!$D$10:$BA$52,MATCH($C7,'[2]SALES PERTYPE'!$B$10:$B$52,0),MATCH("WATCH 3",'[2]SALES PERTYPE'!$D$8:$BA$8,0)),0)</f>
        <v>0</v>
      </c>
      <c r="DE7" s="33">
        <f>IFERROR(INDEX('[2]Sales per type Agustus'!$D$10:$BA$51,MATCH($C7,'[2]Sales per type Agustus'!$B$10:$B$51,0),MATCH("WATCH 3",'[2]Sales per type Agustus'!$D$8:$BA$8,0)),0)</f>
        <v>0</v>
      </c>
      <c r="DF7" s="33">
        <f t="shared" si="34"/>
        <v>0</v>
      </c>
      <c r="DG7" s="33" cm="1">
        <f t="array" ref="DG7">IFERROR(INDEX('[2]SALES PERTYPE'!$D$10:$BA$52,MATCH($C7,'[2]SALES PERTYPE'!$B$10:$B$52,0),MATCH("WATCH 3",'[2]SALES PERTYPE'!$D$8:$BA$8,0)+1),0)</f>
        <v>0</v>
      </c>
      <c r="DH7" s="33" cm="1">
        <f t="array" ref="DH7">IFERROR(INDEX('[2]Sales per type Agustus'!$D$10:$BA$51,MATCH($C7,'[2]Sales per type Agustus'!$B$10:$B$51,0),MATCH("WATCH 3",'[2]Sales per type Agustus'!$D$8:$BA$8,0)+1),0)</f>
        <v>0</v>
      </c>
      <c r="DI7" s="33">
        <f t="shared" si="35"/>
        <v>0</v>
      </c>
      <c r="DJ7" s="33">
        <f>IFERROR(INDEX('[2]SALES PERTYPE'!$D$10:$BA$52,MATCH($C7,'[2]SALES PERTYPE'!$B$10:$B$52,0),MATCH("X Fold5",'[2]SALES PERTYPE'!$D$8:$BA$8,0)),0)</f>
        <v>0</v>
      </c>
      <c r="DK7" s="33">
        <f>IFERROR(INDEX('[2]Sales per type Agustus'!$D$10:$BA$51,MATCH($C7,'[2]Sales per type Agustus'!$B$10:$B$51,0),MATCH("X Fold5",'[2]Sales per type Agustus'!$D$8:$BA$8,0)),0)</f>
        <v>0</v>
      </c>
      <c r="DL7" s="33">
        <f t="shared" si="36"/>
        <v>0</v>
      </c>
      <c r="DM7" s="33" cm="1">
        <f t="array" ref="DM7">IFERROR(INDEX('[2]SALES PERTYPE'!$D$10:$BA$52,MATCH($C7,'[2]SALES PERTYPE'!$B$10:$B$52,0),MATCH("X Fold5",'[2]SALES PERTYPE'!$D$8:$BA$8,0)+1),0)</f>
        <v>0</v>
      </c>
      <c r="DN7" s="33" cm="1">
        <f t="array" ref="DN7">IFERROR(INDEX('[2]Sales per type Agustus'!$D$10:$BA$51,MATCH($C7,'[2]Sales per type Agustus'!$B$10:$B$51,0),MATCH("X Fold5",'[2]Sales per type Agustus'!$D$8:$BA$8,0)+1),0)</f>
        <v>0</v>
      </c>
      <c r="DO7" s="33">
        <f t="shared" si="37"/>
        <v>0</v>
      </c>
      <c r="DP7" s="33">
        <f>IFERROR(INDEX('[2]SALES PERTYPE'!$D$10:$BA$52,MATCH($C7,'[2]SALES PERTYPE'!$B$10:$B$52,0),MATCH("X300 PRO",'[2]SALES PERTYPE'!$D$8:$BA$8,0)),0)</f>
        <v>0</v>
      </c>
      <c r="DQ7" s="33">
        <f>IFERROR(INDEX('[2]Sales per type Agustus'!$D$10:$BA$51,MATCH($C7,'[2]Sales per type Agustus'!$B$10:$B$51,0),MATCH("X300 PRO",'[2]Sales per type Agustus'!$D$8:$BA$8,0)),0)</f>
        <v>0</v>
      </c>
      <c r="DR7" s="33">
        <f t="shared" si="38"/>
        <v>0</v>
      </c>
      <c r="DS7" s="33" cm="1">
        <f t="array" ref="DS7">IFERROR(INDEX('[2]SALES PERTYPE'!$D$10:$BA$52,MATCH($C7,'[2]SALES PERTYPE'!$B$10:$B$52,0),MATCH("X300 PRO",'[2]SALES PERTYPE'!$D$8:$BA$8,0)+1),0)</f>
        <v>0</v>
      </c>
      <c r="DT7" s="33" cm="1">
        <f t="array" ref="DT7">IFERROR(INDEX('[2]Sales per type Agustus'!$D$10:$BA$51,MATCH($C7,'[2]Sales per type Agustus'!$B$10:$B$51,0),MATCH("X300 PRO",'[2]Sales per type Agustus'!$D$8:$BA$8,0)+1),0)</f>
        <v>0</v>
      </c>
      <c r="DU7" s="33">
        <f t="shared" si="39"/>
        <v>0</v>
      </c>
      <c r="DV7" s="33">
        <f>IFERROR(INDEX('[2]SALES PERTYPE'!$D$10:$BA$52,MATCH($C7,'[2]SALES PERTYPE'!$B$10:$B$52,0),MATCH("X300",'[2]SALES PERTYPE'!$D$8:$BA$8,0)),0)</f>
        <v>0</v>
      </c>
      <c r="DW7" s="33">
        <f>IFERROR(INDEX('[2]Sales per type Agustus'!$D$10:$BA$51,MATCH($C7,'[2]Sales per type Agustus'!$B$10:$B$51,0),MATCH("X300 ",'[2]Sales per type Agustus'!$D$8:$BA$8,0)),0)</f>
        <v>0</v>
      </c>
      <c r="DX7" s="33">
        <f t="shared" si="40"/>
        <v>0</v>
      </c>
      <c r="DY7" s="33" cm="1">
        <f t="array" ref="DY7">IFERROR(INDEX('[2]SALES PERTYPE'!$D$10:$BA$52,MATCH($C7,'[2]SALES PERTYPE'!$B$10:$B$52,0),MATCH("X300",'[2]SALES PERTYPE'!$D$8:$BA$8,0)+1),0)</f>
        <v>0</v>
      </c>
      <c r="DZ7" s="33" cm="1">
        <f t="array" ref="DZ7">IFERROR(INDEX('[2]Sales per type Agustus'!$D$10:$BA$51,MATCH($C7,'[2]Sales per type Agustus'!$B$10:$B$51,0),MATCH("X300 ",'[2]Sales per type Agustus'!$D$8:$BA$8,0)+1),0)</f>
        <v>0</v>
      </c>
      <c r="EA7" s="33">
        <f t="shared" si="41"/>
        <v>0</v>
      </c>
      <c r="EB7" s="33">
        <f t="shared" si="42"/>
        <v>63</v>
      </c>
      <c r="EC7" s="33">
        <f t="shared" si="42"/>
        <v>75</v>
      </c>
      <c r="ED7" s="33">
        <f t="shared" si="43"/>
        <v>-12</v>
      </c>
      <c r="EE7" s="33">
        <f t="shared" si="44"/>
        <v>220437000</v>
      </c>
      <c r="EF7" s="33">
        <f t="shared" si="44"/>
        <v>216525000</v>
      </c>
      <c r="EG7" s="33">
        <f t="shared" si="45"/>
        <v>3912000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5">
        <f>'[2]ACHIEVEMENT STORE'!A8</f>
        <v>4</v>
      </c>
      <c r="B8" s="216" t="str">
        <f>'[2]ACHIEVEMENT STORE'!B8</f>
        <v>601 雅加达西北 JKT BU</v>
      </c>
      <c r="C8" s="215">
        <f>'[2]ACHIEVEMENT STORE'!C8</f>
        <v>6010703</v>
      </c>
      <c r="D8" s="216" t="str">
        <f>'[2]ACHIEVEMENT STORE'!D8</f>
        <v>6010703-ROXY VS WINSHOP</v>
      </c>
      <c r="E8" s="216" t="str">
        <f>'[2]ACHIEVEMENT STORE'!E8</f>
        <v>NUR IRAWATI</v>
      </c>
      <c r="F8" s="33">
        <f>IFERROR(INDEX('[2]SALES PERTYPE'!$D$10:$BA$52,MATCH($C8,'[2]SALES PERTYPE'!$B$10:$B$52,0),MATCH("Y05",'[2]SALES PERTYPE'!$D$8:$BA$8,0)),0)</f>
        <v>3</v>
      </c>
      <c r="G8" s="33">
        <f>IFERROR(INDEX('[2]Sales per type Agustus'!$D$10:$BA$51,MATCH($C8,'[2]Sales per type Agustus'!$B$10:$B$51,0),MATCH("Y05",'[2]Sales per type Agustus'!$D$8:$BA$8,0)),0)</f>
        <v>2</v>
      </c>
      <c r="H8" s="33">
        <f t="shared" si="0"/>
        <v>1</v>
      </c>
      <c r="I8" s="33" cm="1">
        <f t="array" ref="I8">IFERROR(INDEX('[2]SALES PERTYPE'!$D$10:$BA$52,MATCH($C8,'[2]SALES PERTYPE'!$B$10:$B$52,0),MATCH("Y05",'[2]SALES PERTYPE'!$D$8:$BA$8,0)+1),0)</f>
        <v>7197000</v>
      </c>
      <c r="J8" s="33" cm="1">
        <f t="array" ref="J8">IFERROR(INDEX('[2]Sales per type Agustus'!$D$10:$BA$51,MATCH($C8,'[2]Sales per type Agustus'!$B$10:$B$51,0),MATCH("Y05",'[2]Sales per type Agustus'!$D$8:$BA$8,0)+1),0)</f>
        <v>4898000</v>
      </c>
      <c r="K8" s="33">
        <f t="shared" si="1"/>
        <v>2299000</v>
      </c>
      <c r="L8" s="33">
        <f>IFERROR(INDEX('[2]SALES PERTYPE'!$D$10:$BA$52,MATCH($C8,'[2]SALES PERTYPE'!$B$10:$B$52,0),MATCH("Y11d",'[2]SALES PERTYPE'!$D$8:$BA$8,0)),0)</f>
        <v>10</v>
      </c>
      <c r="M8" s="33">
        <f>IFERROR(INDEX('[2]Sales per type Agustus'!$D$10:$BA$51,MATCH($C8,'[2]Sales per type Agustus'!$B$10:$B$51,0),MATCH("Y11d",'[2]Sales per type Agustus'!$D$8:$BA$8,0)),0)</f>
        <v>5</v>
      </c>
      <c r="N8" s="33">
        <f t="shared" si="2"/>
        <v>5</v>
      </c>
      <c r="O8" s="33" cm="1">
        <f t="array" ref="O8">IFERROR(INDEX('[2]SALES PERTYPE'!$D$10:$BA$52,MATCH($C8,'[2]SALES PERTYPE'!$B$10:$B$52,0),MATCH("Y11d",'[2]SALES PERTYPE'!$D$8:$BA$8,0)+1),0)</f>
        <v>25590000</v>
      </c>
      <c r="P8" s="33" cm="1">
        <f t="array" ref="P8">IFERROR(INDEX('[2]Sales per type Agustus'!$D$10:$BA$51,MATCH($C8,'[2]Sales per type Agustus'!$B$10:$B$51,0),MATCH("Y11d",'[2]Sales per type Agustus'!$D$8:$BA$8,0)+1),0)</f>
        <v>13195000</v>
      </c>
      <c r="Q8" s="33">
        <f t="shared" si="3"/>
        <v>12395000</v>
      </c>
      <c r="R8" s="33">
        <f>IFERROR(INDEX('[2]SALES PERTYPE'!$D$10:$BA$52,MATCH($C8,'[2]SALES PERTYPE'!$B$10:$B$52,0),MATCH("Watch GT 2",'[2]SALES PERTYPE'!$D$8:$BA$8,0)),0)</f>
        <v>0</v>
      </c>
      <c r="S8" s="33">
        <f>IFERROR(INDEX('[2]Sales per type Agustus'!$D$10:$BA$51,MATCH($C8,'[2]Sales per type Agustus'!$B$10:$B$51,0),MATCH("Watch GT 2",'[2]Sales per type Agustus'!$D$8:$BA$8,0)),0)</f>
        <v>0</v>
      </c>
      <c r="T8" s="33">
        <f t="shared" si="4"/>
        <v>0</v>
      </c>
      <c r="U8" s="33" cm="1">
        <f t="array" ref="U8">IFERROR(INDEX('[2]SALES PERTYPE'!$D$10:$BA$52,MATCH($C8,'[2]SALES PERTYPE'!$B$10:$B$52,0),MATCH("Watch GT 2",'[2]SALES PERTYPE'!$D$8:$BA$8,0)+1),0)</f>
        <v>0</v>
      </c>
      <c r="V8" s="33" cm="1">
        <f t="array" ref="V8">IFERROR(INDEX('[2]Sales per type Agustus'!$D$10:$BA$51,MATCH($C8,'[2]Sales per type Agustus'!$B$10:$B$51,0),MATCH("Watch GT 2",'[2]Sales per type Agustus'!$D$8:$BA$8,0)+1),0)</f>
        <v>0</v>
      </c>
      <c r="W8" s="33">
        <f t="shared" si="5"/>
        <v>0</v>
      </c>
      <c r="X8" s="33">
        <f>IFERROR(INDEX('[2]SALES PERTYPE'!$D$10:$BA$52,MATCH($C8,'[2]SALES PERTYPE'!$B$10:$B$52,0),MATCH("Y05e",'[2]SALES PERTYPE'!$D$8:$BA$8,0)),0)</f>
        <v>10</v>
      </c>
      <c r="Y8" s="33">
        <f>IFERROR(INDEX('[2]Sales per type Agustus'!$D$10:$BA$51,MATCH($C8,'[2]Sales per type Agustus'!$B$10:$B$51,0),MATCH("Y05e",'[2]Sales per type Agustus'!$D$8:$BA$8,0)),0)</f>
        <v>26</v>
      </c>
      <c r="Z8" s="33">
        <f t="shared" si="6"/>
        <v>-16</v>
      </c>
      <c r="AA8" s="33" cm="1">
        <f t="array" ref="AA8">IFERROR(INDEX('[2]SALES PERTYPE'!$D$10:$BA$52,MATCH($C8,'[2]SALES PERTYPE'!$B$10:$B$52,0),MATCH("Y05e",'[2]SALES PERTYPE'!$D$8:$BA$8,0)+1),0)</f>
        <v>20990000</v>
      </c>
      <c r="AB8" s="33" cm="1">
        <f t="array" ref="AB8">IFERROR(INDEX('[2]Sales per type Agustus'!$D$10:$BA$51,MATCH($C8,'[2]Sales per type Agustus'!$B$10:$B$51,0),MATCH("Y05e",'[2]Sales per type Agustus'!$D$8:$BA$8,0)+1),0)</f>
        <v>54574000</v>
      </c>
      <c r="AC8" s="33">
        <f t="shared" si="7"/>
        <v>-33584000</v>
      </c>
      <c r="AD8" s="33">
        <f>IFERROR(INDEX('[2]SALES PERTYPE'!$D$10:$BA$52,MATCH($C8,'[2]SALES PERTYPE'!$B$10:$B$52,0),MATCH("V70",'[2]SALES PERTYPE'!$D$8:$BA$8,0)),0)</f>
        <v>0</v>
      </c>
      <c r="AE8" s="33">
        <f>IFERROR(INDEX('[2]Sales per type Agustus'!$D$10:$BA$51,MATCH($C8,'[2]Sales per type Agustus'!$B$10:$B$51,0),MATCH("V70",'[2]Sales per type Agustus'!$D$8:$BA$8,0)),0)</f>
        <v>0</v>
      </c>
      <c r="AF8" s="33">
        <f t="shared" si="8"/>
        <v>0</v>
      </c>
      <c r="AG8" s="33" cm="1">
        <f t="array" ref="AG8">IFERROR(INDEX('[2]SALES PERTYPE'!$D$10:$BA$52,MATCH($C8,'[2]SALES PERTYPE'!$B$10:$B$52,0),MATCH("V70",'[2]SALES PERTYPE'!$D$8:$BA$8,0)+1),0)</f>
        <v>0</v>
      </c>
      <c r="AH8" s="33" cm="1">
        <f t="array" ref="AH8">IFERROR(INDEX('[2]Sales per type Agustus'!$D$10:$BA$51,MATCH($C8,'[2]Sales per type Agustus'!$B$10:$B$51,0),MATCH("V70",'[2]Sales per type Agustus'!$D$8:$BA$8,0)+1),0)</f>
        <v>0</v>
      </c>
      <c r="AI8" s="33">
        <f t="shared" si="9"/>
        <v>0</v>
      </c>
      <c r="AJ8" s="33">
        <f>IFERROR(INDEX('[2]SALES PERTYPE'!$D$10:$BA$52,MATCH($C8,'[2]SALES PERTYPE'!$B$10:$B$52,0),MATCH("Y31d Pro",'[2]SALES PERTYPE'!$D$8:$BA$8,0)),0)</f>
        <v>2</v>
      </c>
      <c r="AK8" s="33">
        <f>IFERROR(INDEX('[2]Sales per type Agustus'!$D$10:$BA$51,MATCH($C8,'[2]Sales per type Agustus'!$B$10:$B$51,0),MATCH("Y31d Pro",'[2]Sales per type Agustus'!$D$8:$BA$8,0)),0)</f>
        <v>4</v>
      </c>
      <c r="AL8" s="33">
        <f t="shared" si="10"/>
        <v>-2</v>
      </c>
      <c r="AM8" s="33" cm="1">
        <f t="array" ref="AM8">IFERROR(INDEX('[2]SALES PERTYPE'!$D$10:$BA$52,MATCH($C8,'[2]SALES PERTYPE'!$B$10:$B$52,0),MATCH("Y31d Pro",'[2]SALES PERTYPE'!$D$8:$BA$8,0)+1),0)</f>
        <v>9398000</v>
      </c>
      <c r="AN8" s="33" cm="1">
        <f t="array" ref="AN8">IFERROR(INDEX('[2]Sales per type Agustus'!$D$10:$BA$51,MATCH($C8,'[2]Sales per type Agustus'!$B$10:$B$51,0),MATCH("Y31d Pro",'[2]Sales per type Agustus'!$D$8:$BA$8,0)+1),0)</f>
        <v>15996000</v>
      </c>
      <c r="AO8" s="33">
        <f t="shared" si="11"/>
        <v>-6598000</v>
      </c>
      <c r="AP8" s="33" cm="1">
        <f t="array" ref="AP8">IFERROR(INDEX('[2]SALES PERTYPE'!$D$10:$BA$52,MATCH($C8,'[2]SALES PERTYPE'!$B$10:$B$52,0),$EI$3),0)</f>
        <v>0</v>
      </c>
      <c r="AQ8" s="33" cm="1">
        <f t="array" ref="AQ8">IFERROR(INDEX('[2]Sales per type Agustus'!$D$10:$BA$51,MATCH($C8,'[2]Sales per type Agustus'!$B$10:$B$51,0),$EI$2),0)</f>
        <v>0</v>
      </c>
      <c r="AR8" s="33">
        <f t="shared" si="12"/>
        <v>0</v>
      </c>
      <c r="AS8" s="33" cm="1">
        <f t="array" ref="AS8">IFERROR(INDEX('[2]SALES PERTYPE'!$D$10:$BA$52,MATCH($C8,'[2]SALES PERTYPE'!$B$10:$B$52,0),$EI$3+1),0)</f>
        <v>0</v>
      </c>
      <c r="AT8" s="33" cm="1">
        <f t="array" ref="AT8">IFERROR(INDEX('[2]Sales per type Agustus'!$D$10:$BA$51,MATCH($C8,'[2]Sales per type Agustus'!$B$10:$B$51,0),$EI$2+1),0)</f>
        <v>0</v>
      </c>
      <c r="AU8" s="33">
        <f t="shared" si="13"/>
        <v>0</v>
      </c>
      <c r="AV8" s="33">
        <f>IFERROR(INDEX('[2]SALES PERTYPE'!$D$10:$BA$52,MATCH($C8,'[2]SALES PERTYPE'!$B$10:$B$52,0),MATCH("Y31d ",'[2]SALES PERTYPE'!$D$8:$BA$8,0)),0)</f>
        <v>0</v>
      </c>
      <c r="AW8" s="33">
        <f>IFERROR(INDEX('[2]Sales per type Agustus'!$D$10:$BA$51,MATCH($C8,'[2]Sales per type Agustus'!$B$10:$B$51,0),MATCH("Y31d ",'[2]Sales per type Agustus'!$D$8:$BA$8,0)),0)</f>
        <v>0</v>
      </c>
      <c r="AX8" s="33">
        <f t="shared" si="14"/>
        <v>0</v>
      </c>
      <c r="AY8" s="33" cm="1">
        <f t="array" ref="AY8">IFERROR(INDEX('[2]SALES PERTYPE'!$D$10:$BA$52,MATCH($C8,'[2]SALES PERTYPE'!$B$10:$B$52,0),MATCH("Y31d ",'[2]SALES PERTYPE'!$D$8:$BA$8,0)+1),0)</f>
        <v>0</v>
      </c>
      <c r="AZ8" s="33" cm="1">
        <f t="array" ref="AZ8">IFERROR(INDEX('[2]Sales per type Agustus'!$D$10:$BA$51,MATCH($C8,'[2]Sales per type Agustus'!$B$10:$B$51,0),MATCH("Y31d ",'[2]Sales per type Agustus'!$D$8:$BA$8,0)+1),0)</f>
        <v>0</v>
      </c>
      <c r="BA8" s="33">
        <f t="shared" si="15"/>
        <v>0</v>
      </c>
      <c r="BB8" s="33">
        <f>IFERROR(INDEX('[2]SALES PERTYPE'!$D$10:$BA$52,MATCH($C8,'[2]SALES PERTYPE'!$B$10:$B$52,0),MATCH("V70 FE",'[2]SALES PERTYPE'!$D$8:$BA$8,0)),0)</f>
        <v>0</v>
      </c>
      <c r="BC8" s="33">
        <f>IFERROR(INDEX('[2]Sales per type Agustus'!$D$10:$BA$51,MATCH($C8,'[2]Sales per type Agustus'!$B$10:$B$51,0),MATCH("V70 FE",'[2]Sales per type Agustus'!$D$8:$BA$8,0)),0)</f>
        <v>0</v>
      </c>
      <c r="BD8" s="33">
        <f t="shared" si="16"/>
        <v>0</v>
      </c>
      <c r="BE8" s="33" cm="1">
        <f t="array" ref="BE8">IFERROR(INDEX('[2]SALES PERTYPE'!$D$10:$BA$52,MATCH($C8,'[2]SALES PERTYPE'!$B$10:$B$52,0),MATCH("V70 FE",'[2]SALES PERTYPE'!$D$8:$BA$8,0)+1),0)</f>
        <v>0</v>
      </c>
      <c r="BF8" s="33" cm="1">
        <f t="array" ref="BF8">IFERROR(INDEX('[2]Sales per type Agustus'!$D$10:$BA$51,MATCH($C8,'[2]Sales per type Agustus'!$B$10:$B$51,0),MATCH("V70 FE",'[2]Sales per type Agustus'!$D$8:$BA$8,0)+1),0)</f>
        <v>0</v>
      </c>
      <c r="BG8" s="33">
        <f t="shared" si="17"/>
        <v>0</v>
      </c>
      <c r="BH8" s="33">
        <f>IFERROR(INDEX('[2]SALES PERTYPE'!$D$10:$BA$52,MATCH($C8,'[2]SALES PERTYPE'!$B$10:$B$52,0),MATCH("Y31d",'[2]SALES PERTYPE'!$D$8:$BA$8,0)),0)</f>
        <v>1</v>
      </c>
      <c r="BI8" s="33">
        <f>IFERROR(INDEX('[2]Sales per type Agustus'!$D$10:$BA$51,MATCH($C8,'[2]Sales per type Agustus'!$B$10:$B$51,0),MATCH("Y31d",'[2]Sales per type Agustus'!$D$8:$BA$8,0)),0)</f>
        <v>0</v>
      </c>
      <c r="BJ8" s="33">
        <f t="shared" si="18"/>
        <v>1</v>
      </c>
      <c r="BK8" s="33" cm="1">
        <f t="array" ref="BK8">IFERROR(INDEX('[2]SALES PERTYPE'!$D$10:$BA$52,MATCH($C8,'[2]SALES PERTYPE'!$B$10:$B$52,0),MATCH("Y31d",'[2]SALES PERTYPE'!$D$8:$BA$8,0)+1),0)</f>
        <v>3599000</v>
      </c>
      <c r="BL8" s="33" cm="1">
        <f t="array" ref="BL8">IFERROR(INDEX('[2]Sales per type Agustus'!$D$10:$BA$51,MATCH($C8,'[2]Sales per type Agustus'!$B$10:$B$51,0),MATCH("Y31d",'[2]Sales per type Agustus'!$D$8:$BA$8,0)+1),0)</f>
        <v>0</v>
      </c>
      <c r="BM8" s="33">
        <f t="shared" si="19"/>
        <v>3599000</v>
      </c>
      <c r="BN8" s="33">
        <f>IFERROR(INDEX('[2]SALES PERTYPE'!$D$10:$BA$52,MATCH($C8,'[2]SALES PERTYPE'!$B$10:$B$52,0),MATCH("Y500",'[2]SALES PERTYPE'!$D$8:$BA$8,0)),0)</f>
        <v>0</v>
      </c>
      <c r="BO8" s="33">
        <f>IFERROR(INDEX('[2]Sales per type Agustus'!$D$10:$BA$51,MATCH($C8,'[2]Sales per type Agustus'!$B$10:$B$51,0),MATCH("Y500",'[2]Sales per type Agustus'!$D$8:$BA$8,0)),0)</f>
        <v>1</v>
      </c>
      <c r="BP8" s="33">
        <f t="shared" si="20"/>
        <v>-1</v>
      </c>
      <c r="BQ8" s="33" cm="1">
        <f t="array" ref="BQ8">IFERROR(INDEX('[2]SALES PERTYPE'!$D$10:$BA$52,MATCH($C8,'[2]SALES PERTYPE'!$B$10:$B$52,0),MATCH("Y500",'[2]SALES PERTYPE'!$D$8:$BA$8,0)+1),0)</f>
        <v>0</v>
      </c>
      <c r="BR8" s="33" cm="1">
        <f t="array" ref="BR8">IFERROR(INDEX('[2]Sales per type Agustus'!$D$10:$BA$51,MATCH($C8,'[2]Sales per type Agustus'!$B$10:$B$51,0),MATCH("Y500",'[2]Sales per type Agustus'!$D$8:$BA$8,0)+1),0)</f>
        <v>6299000</v>
      </c>
      <c r="BS8" s="33">
        <f t="shared" si="21"/>
        <v>-6299000</v>
      </c>
      <c r="BT8" s="33">
        <f>IFERROR(INDEX('[2]SALES PERTYPE'!$D$10:$BA$52,MATCH($C8,'[2]SALES PERTYPE'!$B$10:$B$52,0),MATCH("IQOO 15R",'[2]SALES PERTYPE'!$D$8:$BA$8,0)),0)</f>
        <v>0</v>
      </c>
      <c r="BU8" s="33">
        <f>IFERROR(INDEX('[2]Sales per type Agustus'!$D$10:$BA$51,MATCH($C8,'[2]Sales per type Agustus'!$B$10:$B$51,0),MATCH("IQOO 15R",'[2]Sales per type Agustus'!$D$8:$BA$8,0)),0)</f>
        <v>0</v>
      </c>
      <c r="BV8" s="33">
        <f t="shared" si="22"/>
        <v>0</v>
      </c>
      <c r="BW8" s="33" cm="1">
        <f t="array" ref="BW8">IFERROR(INDEX('[2]SALES PERTYPE'!$D$10:$BA$52,MATCH($C8,'[2]SALES PERTYPE'!$B$10:$B$52,0),MATCH("IQOO 15R",'[2]SALES PERTYPE'!$D$8:$BA$8,0)+1),0)</f>
        <v>0</v>
      </c>
      <c r="BX8" s="33" cm="1">
        <f t="array" ref="BX8">IFERROR(INDEX('[2]Sales per type Agustus'!$D$10:$BA$51,MATCH($C8,'[2]Sales per type Agustus'!$B$10:$B$51,0),MATCH("IQOO 15R",'[2]Sales per type Agustus'!$D$8:$BA$8,0)+1),0)</f>
        <v>0</v>
      </c>
      <c r="BY8" s="33">
        <f t="shared" si="23"/>
        <v>0</v>
      </c>
      <c r="BZ8" s="33">
        <f>IFERROR(INDEX('[2]SALES PERTYPE'!$D$10:$BA$52,MATCH($C8,'[2]SALES PERTYPE'!$B$10:$B$52,0),MATCH("V60 Lite",'[2]SALES PERTYPE'!$D$8:$BA$8,0)),0)</f>
        <v>0</v>
      </c>
      <c r="CA8" s="33">
        <f>IFERROR(INDEX('[2]Sales per type Agustus'!$D$10:$BA$51,MATCH($C8,'[2]Sales per type Agustus'!$B$10:$B$51,0),MATCH("V60 Lite",'[2]Sales per type Agustus'!$D$8:$BA$8,0)),0)</f>
        <v>0</v>
      </c>
      <c r="CB8" s="33">
        <f t="shared" si="24"/>
        <v>0</v>
      </c>
      <c r="CC8" s="33" cm="1">
        <f t="array" ref="CC8">IFERROR(INDEX('[2]SALES PERTYPE'!$D$10:$BA$52,MATCH($C8,'[2]SALES PERTYPE'!$B$10:$B$52,0),MATCH("V60 Lite",'[2]SALES PERTYPE'!$D$8:$BA$8,0)+1),0)</f>
        <v>0</v>
      </c>
      <c r="CD8" s="33" cm="1">
        <f t="array" ref="CD8">IFERROR(INDEX('[2]Sales per type Agustus'!$D$10:$BA$51,MATCH($C8,'[2]Sales per type Agustus'!$B$10:$B$51,0),MATCH("V60 Lite",'[2]Sales per type Agustus'!$D$8:$BA$8,0)+1),0)</f>
        <v>0</v>
      </c>
      <c r="CE8" s="33">
        <f t="shared" si="25"/>
        <v>0</v>
      </c>
      <c r="CF8" s="33">
        <f>IFERROR(INDEX('[2]SALES PERTYPE'!$D$10:$BA$52,MATCH($C8,'[2]SALES PERTYPE'!$B$10:$B$52,0),MATCH("X300 Ultra",'[2]SALES PERTYPE'!$D$8:$BA$8,0)),0)</f>
        <v>0</v>
      </c>
      <c r="CG8" s="33">
        <f>IFERROR(INDEX('[2]Sales per type Agustus'!$D$10:$BA$51,MATCH($C8,'[2]Sales per type Agustus'!$B$10:$B$51,0),MATCH("X300 Ultra",'[2]Sales per type Agustus'!$D$8:$BA$8,0)),0)</f>
        <v>0</v>
      </c>
      <c r="CH8" s="33">
        <f t="shared" si="26"/>
        <v>0</v>
      </c>
      <c r="CI8" s="33" cm="1">
        <f t="array" ref="CI8">IFERROR(INDEX('[2]SALES PERTYPE'!$D$10:$BA$52,MATCH($C8,'[2]SALES PERTYPE'!$B$10:$B$52,0),MATCH("X300 Ultra",'[2]SALES PERTYPE'!$D$8:$BA$8,0)+1),0)</f>
        <v>0</v>
      </c>
      <c r="CJ8" s="33" cm="1">
        <f t="array" ref="CJ8">IFERROR(INDEX('[2]Sales per type Agustus'!$D$10:$BA$51,MATCH($C8,'[2]Sales per type Agustus'!$B$10:$B$51,0),MATCH("X300 Ultra",'[2]Sales per type Agustus'!$D$8:$BA$8,0)+1),0)</f>
        <v>0</v>
      </c>
      <c r="CK8" s="33">
        <f t="shared" si="27"/>
        <v>0</v>
      </c>
      <c r="CL8" s="33">
        <f>IFERROR(INDEX('[2]SALES PERTYPE'!$D$10:$BA$52,MATCH($C8,'[2]SALES PERTYPE'!$B$10:$B$52,0),MATCH("IQOO 15",'[2]SALES PERTYPE'!$D$8:$BA$8,0)),0)</f>
        <v>0</v>
      </c>
      <c r="CM8" s="33">
        <f>IFERROR(INDEX('[2]Sales per type Agustus'!$D$10:$BA$51,MATCH($C8,'[2]Sales per type Agustus'!$B$10:$B$51,0),MATCH("IQOO 15",'[2]Sales per type Agustus'!$D$8:$BA$8,0)),0)</f>
        <v>0</v>
      </c>
      <c r="CN8" s="33">
        <f t="shared" si="28"/>
        <v>0</v>
      </c>
      <c r="CO8" s="33" cm="1">
        <f t="array" ref="CO8">IFERROR(INDEX('[2]SALES PERTYPE'!$D$10:$BA$52,MATCH($C8,'[2]SALES PERTYPE'!$B$10:$B$52,0),MATCH("IQOO 15",'[2]SALES PERTYPE'!$D$8:$BA$8,0)+1),0)</f>
        <v>0</v>
      </c>
      <c r="CP8" s="33" cm="1">
        <f t="array" ref="CP8">IFERROR(INDEX('[2]Sales per type Agustus'!$D$10:$BA$51,MATCH($C8,'[2]Sales per type Agustus'!$B$10:$B$51,0),MATCH("IQOO 15",'[2]Sales per type Agustus'!$D$8:$BA$8,0)+1),0)</f>
        <v>0</v>
      </c>
      <c r="CQ8" s="33">
        <f t="shared" si="29"/>
        <v>0</v>
      </c>
      <c r="CR8" s="33">
        <f>IFERROR(INDEX('[2]SALES PERTYPE'!$D$10:$BA$52,MATCH($C8,'[2]SALES PERTYPE'!$B$10:$B$52,0),MATCH("IQOO Z11x",'[2]SALES PERTYPE'!$D$8:$BA$8,0)),0)</f>
        <v>0</v>
      </c>
      <c r="CS8" s="33">
        <f>IFERROR(INDEX('[2]Sales per type Agustus'!$D$10:$BA$51,MATCH($C8,'[2]Sales per type Agustus'!$B$10:$B$51,0),MATCH("IQOO Z11x",'[2]Sales per type Agustus'!$D$8:$BA$8,0)),0)</f>
        <v>0</v>
      </c>
      <c r="CT8" s="33">
        <f t="shared" si="30"/>
        <v>0</v>
      </c>
      <c r="CU8" s="33" cm="1">
        <f t="array" ref="CU8">IFERROR(INDEX('[2]SALES PERTYPE'!$D$10:$BA$52,MATCH($C8,'[2]SALES PERTYPE'!$B$10:$B$52,0),MATCH("IQOO Z11x",'[2]SALES PERTYPE'!$D$8:$BA$8,0)+1),0)</f>
        <v>0</v>
      </c>
      <c r="CV8" s="33" cm="1">
        <f t="array" ref="CV8">IFERROR(INDEX('[2]Sales per type Agustus'!$D$10:$BA$51,MATCH($C8,'[2]Sales per type Agustus'!$B$10:$B$51,0),MATCH("IQOO Z11x",'[2]Sales per type Agustus'!$D$8:$BA$8,0)+1),0)</f>
        <v>0</v>
      </c>
      <c r="CW8" s="33">
        <f t="shared" si="31"/>
        <v>0</v>
      </c>
      <c r="CX8" s="33">
        <f>IFERROR(INDEX('[2]SALES PERTYPE'!$D$10:$BA$52,MATCH($C8,'[2]SALES PERTYPE'!$B$10:$B$52,0),MATCH("IQOO Z11",'[2]SALES PERTYPE'!$D$8:$BA$8,0)),0)</f>
        <v>0</v>
      </c>
      <c r="CY8" s="33">
        <f>IFERROR(INDEX('[2]Sales per type Agustus'!$D$10:$BA$51,MATCH($C8,'[2]Sales per type Agustus'!$B$10:$B$51,0),MATCH("IQOO Z11",'[2]Sales per type Agustus'!$D$8:$BA$8,0)),0)</f>
        <v>0</v>
      </c>
      <c r="CZ8" s="33">
        <f t="shared" si="32"/>
        <v>0</v>
      </c>
      <c r="DA8" s="33" cm="1">
        <f t="array" ref="DA8">IFERROR(INDEX('[2]SALES PERTYPE'!$D$10:$BA$52,MATCH($C8,'[2]SALES PERTYPE'!$B$10:$B$52,0),MATCH("IQOO Z11",'[2]SALES PERTYPE'!$D$8:$BA$8,0)+1),0)</f>
        <v>0</v>
      </c>
      <c r="DB8" s="33" cm="1">
        <f t="array" ref="DB8">IFERROR(INDEX('[2]Sales per type Agustus'!$D$10:$BA$51,MATCH($C8,'[2]Sales per type Agustus'!$B$10:$B$51,0),MATCH("IQOO Z11",'[2]Sales per type Agustus'!$D$8:$BA$8,0)+1),0)</f>
        <v>0</v>
      </c>
      <c r="DC8" s="33">
        <f t="shared" si="33"/>
        <v>0</v>
      </c>
      <c r="DD8" s="33">
        <f>IFERROR(INDEX('[2]SALES PERTYPE'!$D$10:$BA$52,MATCH($C8,'[2]SALES PERTYPE'!$B$10:$B$52,0),MATCH("WATCH 3",'[2]SALES PERTYPE'!$D$8:$BA$8,0)),0)</f>
        <v>0</v>
      </c>
      <c r="DE8" s="33">
        <f>IFERROR(INDEX('[2]Sales per type Agustus'!$D$10:$BA$51,MATCH($C8,'[2]Sales per type Agustus'!$B$10:$B$51,0),MATCH("WATCH 3",'[2]Sales per type Agustus'!$D$8:$BA$8,0)),0)</f>
        <v>0</v>
      </c>
      <c r="DF8" s="33">
        <f t="shared" si="34"/>
        <v>0</v>
      </c>
      <c r="DG8" s="33" cm="1">
        <f t="array" ref="DG8">IFERROR(INDEX('[2]SALES PERTYPE'!$D$10:$BA$52,MATCH($C8,'[2]SALES PERTYPE'!$B$10:$B$52,0),MATCH("WATCH 3",'[2]SALES PERTYPE'!$D$8:$BA$8,0)+1),0)</f>
        <v>0</v>
      </c>
      <c r="DH8" s="33" cm="1">
        <f t="array" ref="DH8">IFERROR(INDEX('[2]Sales per type Agustus'!$D$10:$BA$51,MATCH($C8,'[2]Sales per type Agustus'!$B$10:$B$51,0),MATCH("WATCH 3",'[2]Sales per type Agustus'!$D$8:$BA$8,0)+1),0)</f>
        <v>0</v>
      </c>
      <c r="DI8" s="33">
        <f t="shared" si="35"/>
        <v>0</v>
      </c>
      <c r="DJ8" s="33">
        <f>IFERROR(INDEX('[2]SALES PERTYPE'!$D$10:$BA$52,MATCH($C8,'[2]SALES PERTYPE'!$B$10:$B$52,0),MATCH("X Fold5",'[2]SALES PERTYPE'!$D$8:$BA$8,0)),0)</f>
        <v>0</v>
      </c>
      <c r="DK8" s="33">
        <f>IFERROR(INDEX('[2]Sales per type Agustus'!$D$10:$BA$51,MATCH($C8,'[2]Sales per type Agustus'!$B$10:$B$51,0),MATCH("X Fold5",'[2]Sales per type Agustus'!$D$8:$BA$8,0)),0)</f>
        <v>0</v>
      </c>
      <c r="DL8" s="33">
        <f t="shared" si="36"/>
        <v>0</v>
      </c>
      <c r="DM8" s="33" cm="1">
        <f t="array" ref="DM8">IFERROR(INDEX('[2]SALES PERTYPE'!$D$10:$BA$52,MATCH($C8,'[2]SALES PERTYPE'!$B$10:$B$52,0),MATCH("X Fold5",'[2]SALES PERTYPE'!$D$8:$BA$8,0)+1),0)</f>
        <v>0</v>
      </c>
      <c r="DN8" s="33" cm="1">
        <f t="array" ref="DN8">IFERROR(INDEX('[2]Sales per type Agustus'!$D$10:$BA$51,MATCH($C8,'[2]Sales per type Agustus'!$B$10:$B$51,0),MATCH("X Fold5",'[2]Sales per type Agustus'!$D$8:$BA$8,0)+1),0)</f>
        <v>0</v>
      </c>
      <c r="DO8" s="33">
        <f t="shared" si="37"/>
        <v>0</v>
      </c>
      <c r="DP8" s="33">
        <f>IFERROR(INDEX('[2]SALES PERTYPE'!$D$10:$BA$52,MATCH($C8,'[2]SALES PERTYPE'!$B$10:$B$52,0),MATCH("X300 PRO",'[2]SALES PERTYPE'!$D$8:$BA$8,0)),0)</f>
        <v>0</v>
      </c>
      <c r="DQ8" s="33">
        <f>IFERROR(INDEX('[2]Sales per type Agustus'!$D$10:$BA$51,MATCH($C8,'[2]Sales per type Agustus'!$B$10:$B$51,0),MATCH("X300 PRO",'[2]Sales per type Agustus'!$D$8:$BA$8,0)),0)</f>
        <v>0</v>
      </c>
      <c r="DR8" s="33">
        <f t="shared" si="38"/>
        <v>0</v>
      </c>
      <c r="DS8" s="33" cm="1">
        <f t="array" ref="DS8">IFERROR(INDEX('[2]SALES PERTYPE'!$D$10:$BA$52,MATCH($C8,'[2]SALES PERTYPE'!$B$10:$B$52,0),MATCH("X300 PRO",'[2]SALES PERTYPE'!$D$8:$BA$8,0)+1),0)</f>
        <v>0</v>
      </c>
      <c r="DT8" s="33" cm="1">
        <f t="array" ref="DT8">IFERROR(INDEX('[2]Sales per type Agustus'!$D$10:$BA$51,MATCH($C8,'[2]Sales per type Agustus'!$B$10:$B$51,0),MATCH("X300 PRO",'[2]Sales per type Agustus'!$D$8:$BA$8,0)+1),0)</f>
        <v>0</v>
      </c>
      <c r="DU8" s="33">
        <f t="shared" si="39"/>
        <v>0</v>
      </c>
      <c r="DV8" s="33">
        <f>IFERROR(INDEX('[2]SALES PERTYPE'!$D$10:$BA$52,MATCH($C8,'[2]SALES PERTYPE'!$B$10:$B$52,0),MATCH("X300",'[2]SALES PERTYPE'!$D$8:$BA$8,0)),0)</f>
        <v>0</v>
      </c>
      <c r="DW8" s="33">
        <f>IFERROR(INDEX('[2]Sales per type Agustus'!$D$10:$BA$51,MATCH($C8,'[2]Sales per type Agustus'!$B$10:$B$51,0),MATCH("X300 ",'[2]Sales per type Agustus'!$D$8:$BA$8,0)),0)</f>
        <v>0</v>
      </c>
      <c r="DX8" s="33">
        <f t="shared" si="40"/>
        <v>0</v>
      </c>
      <c r="DY8" s="33" cm="1">
        <f t="array" ref="DY8">IFERROR(INDEX('[2]SALES PERTYPE'!$D$10:$BA$52,MATCH($C8,'[2]SALES PERTYPE'!$B$10:$B$52,0),MATCH("X300",'[2]SALES PERTYPE'!$D$8:$BA$8,0)+1),0)</f>
        <v>0</v>
      </c>
      <c r="DZ8" s="33" cm="1">
        <f t="array" ref="DZ8">IFERROR(INDEX('[2]Sales per type Agustus'!$D$10:$BA$51,MATCH($C8,'[2]Sales per type Agustus'!$B$10:$B$51,0),MATCH("X300 ",'[2]Sales per type Agustus'!$D$8:$BA$8,0)+1),0)</f>
        <v>0</v>
      </c>
      <c r="EA8" s="33">
        <f t="shared" si="41"/>
        <v>0</v>
      </c>
      <c r="EB8" s="33">
        <f t="shared" si="42"/>
        <v>26</v>
      </c>
      <c r="EC8" s="33">
        <f t="shared" si="42"/>
        <v>38</v>
      </c>
      <c r="ED8" s="33">
        <f t="shared" si="43"/>
        <v>-12</v>
      </c>
      <c r="EE8" s="33">
        <f t="shared" si="44"/>
        <v>66774000</v>
      </c>
      <c r="EF8" s="33">
        <f t="shared" si="44"/>
        <v>94962000</v>
      </c>
      <c r="EG8" s="33">
        <f t="shared" si="45"/>
        <v>-28188000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'[2]ACHIEVEMENT STORE'!A9</f>
        <v>5</v>
      </c>
      <c r="B9" s="32" t="str">
        <f>'[2]ACHIEVEMENT STORE'!B9</f>
        <v>601 雅加达西北 JKT BU</v>
      </c>
      <c r="C9" s="31">
        <f>'[2]ACHIEVEMENT STORE'!C9</f>
        <v>6010709</v>
      </c>
      <c r="D9" s="32" t="str">
        <f>'[2]ACHIEVEMENT STORE'!D9</f>
        <v>6010709-ROXY PAMERAN UTARA</v>
      </c>
      <c r="E9" s="32" t="str">
        <f>'[2]ACHIEVEMENT STORE'!E9</f>
        <v>NUR IRAWATI</v>
      </c>
      <c r="F9" s="33">
        <f>IFERROR(INDEX('[2]SALES PERTYPE'!$D$10:$BA$52,MATCH($C9,'[2]SALES PERTYPE'!$B$10:$B$52,0),MATCH("Y05",'[2]SALES PERTYPE'!$D$8:$BA$8,0)),0)</f>
        <v>18</v>
      </c>
      <c r="G9" s="33">
        <f>IFERROR(INDEX('[2]Sales per type Agustus'!$D$10:$BA$51,MATCH($C9,'[2]Sales per type Agustus'!$B$10:$B$51,0),MATCH("Y05",'[2]Sales per type Agustus'!$D$8:$BA$8,0)),0)</f>
        <v>12</v>
      </c>
      <c r="H9" s="33">
        <f t="shared" si="0"/>
        <v>6</v>
      </c>
      <c r="I9" s="33" cm="1">
        <f t="array" ref="I9">IFERROR(INDEX('[2]SALES PERTYPE'!$D$10:$BA$52,MATCH($C9,'[2]SALES PERTYPE'!$B$10:$B$52,0),MATCH("Y05",'[2]SALES PERTYPE'!$D$8:$BA$8,0)+1),0)</f>
        <v>44082000</v>
      </c>
      <c r="J9" s="33" cm="1">
        <f t="array" ref="J9">IFERROR(INDEX('[2]Sales per type Agustus'!$D$10:$BA$51,MATCH($C9,'[2]Sales per type Agustus'!$B$10:$B$51,0),MATCH("Y05",'[2]Sales per type Agustus'!$D$8:$BA$8,0)+1),0)</f>
        <v>28788000</v>
      </c>
      <c r="K9" s="33">
        <f t="shared" si="1"/>
        <v>15294000</v>
      </c>
      <c r="L9" s="33">
        <f>IFERROR(INDEX('[2]SALES PERTYPE'!$D$10:$BA$52,MATCH($C9,'[2]SALES PERTYPE'!$B$10:$B$52,0),MATCH("Y11d",'[2]SALES PERTYPE'!$D$8:$BA$8,0)),0)</f>
        <v>14</v>
      </c>
      <c r="M9" s="33">
        <f>IFERROR(INDEX('[2]Sales per type Agustus'!$D$10:$BA$51,MATCH($C9,'[2]Sales per type Agustus'!$B$10:$B$51,0),MATCH("Y11d",'[2]Sales per type Agustus'!$D$8:$BA$8,0)),0)</f>
        <v>17</v>
      </c>
      <c r="N9" s="33">
        <f t="shared" si="2"/>
        <v>-3</v>
      </c>
      <c r="O9" s="33" cm="1">
        <f t="array" ref="O9">IFERROR(INDEX('[2]SALES PERTYPE'!$D$10:$BA$52,MATCH($C9,'[2]SALES PERTYPE'!$B$10:$B$52,0),MATCH("Y11d",'[2]SALES PERTYPE'!$D$8:$BA$8,0)+1),0)</f>
        <v>37586000</v>
      </c>
      <c r="P9" s="33" cm="1">
        <f t="array" ref="P9">IFERROR(INDEX('[2]Sales per type Agustus'!$D$10:$BA$51,MATCH($C9,'[2]Sales per type Agustus'!$B$10:$B$51,0),MATCH("Y11d",'[2]Sales per type Agustus'!$D$8:$BA$8,0)+1),0)</f>
        <v>44383000</v>
      </c>
      <c r="Q9" s="33">
        <f t="shared" si="3"/>
        <v>-6797000</v>
      </c>
      <c r="R9" s="33">
        <f>IFERROR(INDEX('[2]SALES PERTYPE'!$D$10:$BA$52,MATCH($C9,'[2]SALES PERTYPE'!$B$10:$B$52,0),MATCH("Watch GT 2",'[2]SALES PERTYPE'!$D$8:$BA$8,0)),0)</f>
        <v>0</v>
      </c>
      <c r="S9" s="33">
        <f>IFERROR(INDEX('[2]Sales per type Agustus'!$D$10:$BA$51,MATCH($C9,'[2]Sales per type Agustus'!$B$10:$B$51,0),MATCH("Watch GT 2",'[2]Sales per type Agustus'!$D$8:$BA$8,0)),0)</f>
        <v>0</v>
      </c>
      <c r="T9" s="33">
        <f t="shared" si="4"/>
        <v>0</v>
      </c>
      <c r="U9" s="33" cm="1">
        <f t="array" ref="U9">IFERROR(INDEX('[2]SALES PERTYPE'!$D$10:$BA$52,MATCH($C9,'[2]SALES PERTYPE'!$B$10:$B$52,0),MATCH("Watch GT 2",'[2]SALES PERTYPE'!$D$8:$BA$8,0)+1),0)</f>
        <v>0</v>
      </c>
      <c r="V9" s="33" cm="1">
        <f t="array" ref="V9">IFERROR(INDEX('[2]Sales per type Agustus'!$D$10:$BA$51,MATCH($C9,'[2]Sales per type Agustus'!$B$10:$B$51,0),MATCH("Watch GT 2",'[2]Sales per type Agustus'!$D$8:$BA$8,0)+1),0)</f>
        <v>0</v>
      </c>
      <c r="W9" s="33">
        <f t="shared" si="5"/>
        <v>0</v>
      </c>
      <c r="X9" s="33">
        <f>IFERROR(INDEX('[2]SALES PERTYPE'!$D$10:$BA$52,MATCH($C9,'[2]SALES PERTYPE'!$B$10:$B$52,0),MATCH("Y05e",'[2]SALES PERTYPE'!$D$8:$BA$8,0)),0)</f>
        <v>32</v>
      </c>
      <c r="Y9" s="33">
        <f>IFERROR(INDEX('[2]Sales per type Agustus'!$D$10:$BA$51,MATCH($C9,'[2]Sales per type Agustus'!$B$10:$B$51,0),MATCH("Y05e",'[2]Sales per type Agustus'!$D$8:$BA$8,0)),0)</f>
        <v>34</v>
      </c>
      <c r="Z9" s="33">
        <f t="shared" si="6"/>
        <v>-2</v>
      </c>
      <c r="AA9" s="33" cm="1">
        <f t="array" ref="AA9">IFERROR(INDEX('[2]SALES PERTYPE'!$D$10:$BA$52,MATCH($C9,'[2]SALES PERTYPE'!$B$10:$B$52,0),MATCH("Y05e",'[2]SALES PERTYPE'!$D$8:$BA$8,0)+1),0)</f>
        <v>67168000</v>
      </c>
      <c r="AB9" s="33" cm="1">
        <f t="array" ref="AB9">IFERROR(INDEX('[2]Sales per type Agustus'!$D$10:$BA$51,MATCH($C9,'[2]Sales per type Agustus'!$B$10:$B$51,0),MATCH("Y05e",'[2]Sales per type Agustus'!$D$8:$BA$8,0)+1),0)</f>
        <v>71366000</v>
      </c>
      <c r="AC9" s="33">
        <f t="shared" si="7"/>
        <v>-4198000</v>
      </c>
      <c r="AD9" s="33">
        <f>IFERROR(INDEX('[2]SALES PERTYPE'!$D$10:$BA$52,MATCH($C9,'[2]SALES PERTYPE'!$B$10:$B$52,0),MATCH("V70",'[2]SALES PERTYPE'!$D$8:$BA$8,0)),0)</f>
        <v>0</v>
      </c>
      <c r="AE9" s="33">
        <f>IFERROR(INDEX('[2]Sales per type Agustus'!$D$10:$BA$51,MATCH($C9,'[2]Sales per type Agustus'!$B$10:$B$51,0),MATCH("V70",'[2]Sales per type Agustus'!$D$8:$BA$8,0)),0)</f>
        <v>2</v>
      </c>
      <c r="AF9" s="33">
        <f t="shared" si="8"/>
        <v>-2</v>
      </c>
      <c r="AG9" s="33" cm="1">
        <f t="array" ref="AG9">IFERROR(INDEX('[2]SALES PERTYPE'!$D$10:$BA$52,MATCH($C9,'[2]SALES PERTYPE'!$B$10:$B$52,0),MATCH("V70",'[2]SALES PERTYPE'!$D$8:$BA$8,0)+1),0)</f>
        <v>0</v>
      </c>
      <c r="AH9" s="33" cm="1">
        <f t="array" ref="AH9">IFERROR(INDEX('[2]Sales per type Agustus'!$D$10:$BA$51,MATCH($C9,'[2]Sales per type Agustus'!$B$10:$B$51,0),MATCH("V70",'[2]Sales per type Agustus'!$D$8:$BA$8,0)+1),0)</f>
        <v>18998000</v>
      </c>
      <c r="AI9" s="33">
        <f t="shared" si="9"/>
        <v>-18998000</v>
      </c>
      <c r="AJ9" s="33">
        <f>IFERROR(INDEX('[2]SALES PERTYPE'!$D$10:$BA$52,MATCH($C9,'[2]SALES PERTYPE'!$B$10:$B$52,0),MATCH("Y31d Pro",'[2]SALES PERTYPE'!$D$8:$BA$8,0)),0)</f>
        <v>8</v>
      </c>
      <c r="AK9" s="33">
        <f>IFERROR(INDEX('[2]Sales per type Agustus'!$D$10:$BA$51,MATCH($C9,'[2]Sales per type Agustus'!$B$10:$B$51,0),MATCH("Y31d Pro",'[2]Sales per type Agustus'!$D$8:$BA$8,0)),0)</f>
        <v>4</v>
      </c>
      <c r="AL9" s="33">
        <f t="shared" si="10"/>
        <v>4</v>
      </c>
      <c r="AM9" s="33" cm="1">
        <f t="array" ref="AM9">IFERROR(INDEX('[2]SALES PERTYPE'!$D$10:$BA$52,MATCH($C9,'[2]SALES PERTYPE'!$B$10:$B$52,0),MATCH("Y31d Pro",'[2]SALES PERTYPE'!$D$8:$BA$8,0)+1),0)</f>
        <v>34992000</v>
      </c>
      <c r="AN9" s="33" cm="1">
        <f t="array" ref="AN9">IFERROR(INDEX('[2]Sales per type Agustus'!$D$10:$BA$51,MATCH($C9,'[2]Sales per type Agustus'!$B$10:$B$51,0),MATCH("Y31d Pro",'[2]Sales per type Agustus'!$D$8:$BA$8,0)+1),0)</f>
        <v>16796000</v>
      </c>
      <c r="AO9" s="33">
        <f t="shared" si="11"/>
        <v>18196000</v>
      </c>
      <c r="AP9" s="33" cm="1">
        <f t="array" ref="AP9">IFERROR(INDEX('[2]SALES PERTYPE'!$D$10:$BA$52,MATCH($C9,'[2]SALES PERTYPE'!$B$10:$B$52,0),$EI$3),0)</f>
        <v>0</v>
      </c>
      <c r="AQ9" s="33" cm="1">
        <f t="array" ref="AQ9">IFERROR(INDEX('[2]Sales per type Agustus'!$D$10:$BA$51,MATCH($C9,'[2]Sales per type Agustus'!$B$10:$B$51,0),$EI$2),0)</f>
        <v>0</v>
      </c>
      <c r="AR9" s="33">
        <f t="shared" si="12"/>
        <v>0</v>
      </c>
      <c r="AS9" s="33" cm="1">
        <f t="array" ref="AS9">IFERROR(INDEX('[2]SALES PERTYPE'!$D$10:$BA$52,MATCH($C9,'[2]SALES PERTYPE'!$B$10:$B$52,0),$EI$3+1),0)</f>
        <v>0</v>
      </c>
      <c r="AT9" s="33" cm="1">
        <f t="array" ref="AT9">IFERROR(INDEX('[2]Sales per type Agustus'!$D$10:$BA$51,MATCH($C9,'[2]Sales per type Agustus'!$B$10:$B$51,0),$EI$2+1),0)</f>
        <v>0</v>
      </c>
      <c r="AU9" s="33">
        <f t="shared" si="13"/>
        <v>0</v>
      </c>
      <c r="AV9" s="33">
        <f>IFERROR(INDEX('[2]SALES PERTYPE'!$D$10:$BA$52,MATCH($C9,'[2]SALES PERTYPE'!$B$10:$B$52,0),MATCH("Y31d ",'[2]SALES PERTYPE'!$D$8:$BA$8,0)),0)</f>
        <v>0</v>
      </c>
      <c r="AW9" s="33">
        <f>IFERROR(INDEX('[2]Sales per type Agustus'!$D$10:$BA$51,MATCH($C9,'[2]Sales per type Agustus'!$B$10:$B$51,0),MATCH("Y31d ",'[2]Sales per type Agustus'!$D$8:$BA$8,0)),0)</f>
        <v>3</v>
      </c>
      <c r="AX9" s="33">
        <f t="shared" si="14"/>
        <v>-3</v>
      </c>
      <c r="AY9" s="33" cm="1">
        <f t="array" ref="AY9">IFERROR(INDEX('[2]SALES PERTYPE'!$D$10:$BA$52,MATCH($C9,'[2]SALES PERTYPE'!$B$10:$B$52,0),MATCH("Y31d ",'[2]SALES PERTYPE'!$D$8:$BA$8,0)+1),0)</f>
        <v>0</v>
      </c>
      <c r="AZ9" s="33" cm="1">
        <f t="array" ref="AZ9">IFERROR(INDEX('[2]Sales per type Agustus'!$D$10:$BA$51,MATCH($C9,'[2]Sales per type Agustus'!$B$10:$B$51,0),MATCH("Y31d ",'[2]Sales per type Agustus'!$D$8:$BA$8,0)+1),0)</f>
        <v>10797000</v>
      </c>
      <c r="BA9" s="33">
        <f t="shared" si="15"/>
        <v>-10797000</v>
      </c>
      <c r="BB9" s="33">
        <f>IFERROR(INDEX('[2]SALES PERTYPE'!$D$10:$BA$52,MATCH($C9,'[2]SALES PERTYPE'!$B$10:$B$52,0),MATCH("V70 FE",'[2]SALES PERTYPE'!$D$8:$BA$8,0)),0)</f>
        <v>0</v>
      </c>
      <c r="BC9" s="33">
        <f>IFERROR(INDEX('[2]Sales per type Agustus'!$D$10:$BA$51,MATCH($C9,'[2]Sales per type Agustus'!$B$10:$B$51,0),MATCH("V70 FE",'[2]Sales per type Agustus'!$D$8:$BA$8,0)),0)</f>
        <v>1</v>
      </c>
      <c r="BD9" s="33">
        <f t="shared" si="16"/>
        <v>-1</v>
      </c>
      <c r="BE9" s="33" cm="1">
        <f t="array" ref="BE9">IFERROR(INDEX('[2]SALES PERTYPE'!$D$10:$BA$52,MATCH($C9,'[2]SALES PERTYPE'!$B$10:$B$52,0),MATCH("V70 FE",'[2]SALES PERTYPE'!$D$8:$BA$8,0)+1),0)</f>
        <v>0</v>
      </c>
      <c r="BF9" s="33" cm="1">
        <f t="array" ref="BF9">IFERROR(INDEX('[2]Sales per type Agustus'!$D$10:$BA$51,MATCH($C9,'[2]Sales per type Agustus'!$B$10:$B$51,0),MATCH("V70 FE",'[2]Sales per type Agustus'!$D$8:$BA$8,0)+1),0)</f>
        <v>6499000</v>
      </c>
      <c r="BG9" s="33">
        <f t="shared" si="17"/>
        <v>-6499000</v>
      </c>
      <c r="BH9" s="33">
        <f>IFERROR(INDEX('[2]SALES PERTYPE'!$D$10:$BA$52,MATCH($C9,'[2]SALES PERTYPE'!$B$10:$B$52,0),MATCH("Y31d",'[2]SALES PERTYPE'!$D$8:$BA$8,0)),0)</f>
        <v>6</v>
      </c>
      <c r="BI9" s="33">
        <f>IFERROR(INDEX('[2]Sales per type Agustus'!$D$10:$BA$51,MATCH($C9,'[2]Sales per type Agustus'!$B$10:$B$51,0),MATCH("Y31d",'[2]Sales per type Agustus'!$D$8:$BA$8,0)),0)</f>
        <v>4</v>
      </c>
      <c r="BJ9" s="33">
        <f t="shared" si="18"/>
        <v>2</v>
      </c>
      <c r="BK9" s="33" cm="1">
        <f t="array" ref="BK9">IFERROR(INDEX('[2]SALES PERTYPE'!$D$10:$BA$52,MATCH($C9,'[2]SALES PERTYPE'!$B$10:$B$52,0),MATCH("Y31d",'[2]SALES PERTYPE'!$D$8:$BA$8,0)+1),0)</f>
        <v>21594000</v>
      </c>
      <c r="BL9" s="33" cm="1">
        <f t="array" ref="BL9">IFERROR(INDEX('[2]Sales per type Agustus'!$D$10:$BA$51,MATCH($C9,'[2]Sales per type Agustus'!$B$10:$B$51,0),MATCH("Y31d",'[2]Sales per type Agustus'!$D$8:$BA$8,0)+1),0)</f>
        <v>14396000</v>
      </c>
      <c r="BM9" s="33">
        <f t="shared" si="19"/>
        <v>7198000</v>
      </c>
      <c r="BN9" s="33">
        <f>IFERROR(INDEX('[2]SALES PERTYPE'!$D$10:$BA$52,MATCH($C9,'[2]SALES PERTYPE'!$B$10:$B$52,0),MATCH("Y500",'[2]SALES PERTYPE'!$D$8:$BA$8,0)),0)</f>
        <v>5</v>
      </c>
      <c r="BO9" s="33">
        <f>IFERROR(INDEX('[2]Sales per type Agustus'!$D$10:$BA$51,MATCH($C9,'[2]Sales per type Agustus'!$B$10:$B$51,0),MATCH("Y500",'[2]Sales per type Agustus'!$D$8:$BA$8,0)),0)</f>
        <v>3</v>
      </c>
      <c r="BP9" s="33">
        <f t="shared" si="20"/>
        <v>2</v>
      </c>
      <c r="BQ9" s="33" cm="1">
        <f t="array" ref="BQ9">IFERROR(INDEX('[2]SALES PERTYPE'!$D$10:$BA$52,MATCH($C9,'[2]SALES PERTYPE'!$B$10:$B$52,0),MATCH("Y500",'[2]SALES PERTYPE'!$D$8:$BA$8,0)+1),0)</f>
        <v>29095000</v>
      </c>
      <c r="BR9" s="33" cm="1">
        <f t="array" ref="BR9">IFERROR(INDEX('[2]Sales per type Agustus'!$D$10:$BA$51,MATCH($C9,'[2]Sales per type Agustus'!$B$10:$B$51,0),MATCH("Y500",'[2]Sales per type Agustus'!$D$8:$BA$8,0)+1),0)</f>
        <v>16497000</v>
      </c>
      <c r="BS9" s="33">
        <f t="shared" si="21"/>
        <v>12598000</v>
      </c>
      <c r="BT9" s="33">
        <f>IFERROR(INDEX('[2]SALES PERTYPE'!$D$10:$BA$52,MATCH($C9,'[2]SALES PERTYPE'!$B$10:$B$52,0),MATCH("IQOO 15R",'[2]SALES PERTYPE'!$D$8:$BA$8,0)),0)</f>
        <v>0</v>
      </c>
      <c r="BU9" s="33">
        <f>IFERROR(INDEX('[2]Sales per type Agustus'!$D$10:$BA$51,MATCH($C9,'[2]Sales per type Agustus'!$B$10:$B$51,0),MATCH("IQOO 15R",'[2]Sales per type Agustus'!$D$8:$BA$8,0)),0)</f>
        <v>0</v>
      </c>
      <c r="BV9" s="33">
        <f t="shared" si="22"/>
        <v>0</v>
      </c>
      <c r="BW9" s="33" cm="1">
        <f t="array" ref="BW9">IFERROR(INDEX('[2]SALES PERTYPE'!$D$10:$BA$52,MATCH($C9,'[2]SALES PERTYPE'!$B$10:$B$52,0),MATCH("IQOO 15R",'[2]SALES PERTYPE'!$D$8:$BA$8,0)+1),0)</f>
        <v>0</v>
      </c>
      <c r="BX9" s="33" cm="1">
        <f t="array" ref="BX9">IFERROR(INDEX('[2]Sales per type Agustus'!$D$10:$BA$51,MATCH($C9,'[2]Sales per type Agustus'!$B$10:$B$51,0),MATCH("IQOO 15R",'[2]Sales per type Agustus'!$D$8:$BA$8,0)+1),0)</f>
        <v>0</v>
      </c>
      <c r="BY9" s="33">
        <f t="shared" si="23"/>
        <v>0</v>
      </c>
      <c r="BZ9" s="33">
        <f>IFERROR(INDEX('[2]SALES PERTYPE'!$D$10:$BA$52,MATCH($C9,'[2]SALES PERTYPE'!$B$10:$B$52,0),MATCH("V60 Lite",'[2]SALES PERTYPE'!$D$8:$BA$8,0)),0)</f>
        <v>5</v>
      </c>
      <c r="CA9" s="33">
        <f>IFERROR(INDEX('[2]Sales per type Agustus'!$D$10:$BA$51,MATCH($C9,'[2]Sales per type Agustus'!$B$10:$B$51,0),MATCH("V60 Lite",'[2]Sales per type Agustus'!$D$8:$BA$8,0)),0)</f>
        <v>3</v>
      </c>
      <c r="CB9" s="33">
        <f t="shared" si="24"/>
        <v>2</v>
      </c>
      <c r="CC9" s="33" cm="1">
        <f t="array" ref="CC9">IFERROR(INDEX('[2]SALES PERTYPE'!$D$10:$BA$52,MATCH($C9,'[2]SALES PERTYPE'!$B$10:$B$52,0),MATCH("V60 Lite",'[2]SALES PERTYPE'!$D$8:$BA$8,0)+1),0)</f>
        <v>29495000</v>
      </c>
      <c r="CD9" s="33" cm="1">
        <f t="array" ref="CD9">IFERROR(INDEX('[2]Sales per type Agustus'!$D$10:$BA$51,MATCH($C9,'[2]Sales per type Agustus'!$B$10:$B$51,0),MATCH("V60 Lite",'[2]Sales per type Agustus'!$D$8:$BA$8,0)+1),0)</f>
        <v>17097000</v>
      </c>
      <c r="CE9" s="33">
        <f t="shared" si="25"/>
        <v>12398000</v>
      </c>
      <c r="CF9" s="33">
        <f>IFERROR(INDEX('[2]SALES PERTYPE'!$D$10:$BA$52,MATCH($C9,'[2]SALES PERTYPE'!$B$10:$B$52,0),MATCH("X300 Ultra",'[2]SALES PERTYPE'!$D$8:$BA$8,0)),0)</f>
        <v>0</v>
      </c>
      <c r="CG9" s="33">
        <f>IFERROR(INDEX('[2]Sales per type Agustus'!$D$10:$BA$51,MATCH($C9,'[2]Sales per type Agustus'!$B$10:$B$51,0),MATCH("X300 Ultra",'[2]Sales per type Agustus'!$D$8:$BA$8,0)),0)</f>
        <v>0</v>
      </c>
      <c r="CH9" s="33">
        <f t="shared" si="26"/>
        <v>0</v>
      </c>
      <c r="CI9" s="33" cm="1">
        <f t="array" ref="CI9">IFERROR(INDEX('[2]SALES PERTYPE'!$D$10:$BA$52,MATCH($C9,'[2]SALES PERTYPE'!$B$10:$B$52,0),MATCH("X300 Ultra",'[2]SALES PERTYPE'!$D$8:$BA$8,0)+1),0)</f>
        <v>0</v>
      </c>
      <c r="CJ9" s="33" cm="1">
        <f t="array" ref="CJ9">IFERROR(INDEX('[2]Sales per type Agustus'!$D$10:$BA$51,MATCH($C9,'[2]Sales per type Agustus'!$B$10:$B$51,0),MATCH("X300 Ultra",'[2]Sales per type Agustus'!$D$8:$BA$8,0)+1),0)</f>
        <v>0</v>
      </c>
      <c r="CK9" s="33">
        <f t="shared" si="27"/>
        <v>0</v>
      </c>
      <c r="CL9" s="33">
        <f>IFERROR(INDEX('[2]SALES PERTYPE'!$D$10:$BA$52,MATCH($C9,'[2]SALES PERTYPE'!$B$10:$B$52,0),MATCH("IQOO 15",'[2]SALES PERTYPE'!$D$8:$BA$8,0)),0)</f>
        <v>0</v>
      </c>
      <c r="CM9" s="33">
        <f>IFERROR(INDEX('[2]Sales per type Agustus'!$D$10:$BA$51,MATCH($C9,'[2]Sales per type Agustus'!$B$10:$B$51,0),MATCH("IQOO 15",'[2]Sales per type Agustus'!$D$8:$BA$8,0)),0)</f>
        <v>0</v>
      </c>
      <c r="CN9" s="33">
        <f t="shared" si="28"/>
        <v>0</v>
      </c>
      <c r="CO9" s="33" cm="1">
        <f t="array" ref="CO9">IFERROR(INDEX('[2]SALES PERTYPE'!$D$10:$BA$52,MATCH($C9,'[2]SALES PERTYPE'!$B$10:$B$52,0),MATCH("IQOO 15",'[2]SALES PERTYPE'!$D$8:$BA$8,0)+1),0)</f>
        <v>0</v>
      </c>
      <c r="CP9" s="33" cm="1">
        <f t="array" ref="CP9">IFERROR(INDEX('[2]Sales per type Agustus'!$D$10:$BA$51,MATCH($C9,'[2]Sales per type Agustus'!$B$10:$B$51,0),MATCH("IQOO 15",'[2]Sales per type Agustus'!$D$8:$BA$8,0)+1),0)</f>
        <v>0</v>
      </c>
      <c r="CQ9" s="33">
        <f t="shared" si="29"/>
        <v>0</v>
      </c>
      <c r="CR9" s="33">
        <f>IFERROR(INDEX('[2]SALES PERTYPE'!$D$10:$BA$52,MATCH($C9,'[2]SALES PERTYPE'!$B$10:$B$52,0),MATCH("IQOO Z11x",'[2]SALES PERTYPE'!$D$8:$BA$8,0)),0)</f>
        <v>0</v>
      </c>
      <c r="CS9" s="33">
        <f>IFERROR(INDEX('[2]Sales per type Agustus'!$D$10:$BA$51,MATCH($C9,'[2]Sales per type Agustus'!$B$10:$B$51,0),MATCH("IQOO Z11x",'[2]Sales per type Agustus'!$D$8:$BA$8,0)),0)</f>
        <v>0</v>
      </c>
      <c r="CT9" s="33">
        <f t="shared" si="30"/>
        <v>0</v>
      </c>
      <c r="CU9" s="33" cm="1">
        <f t="array" ref="CU9">IFERROR(INDEX('[2]SALES PERTYPE'!$D$10:$BA$52,MATCH($C9,'[2]SALES PERTYPE'!$B$10:$B$52,0),MATCH("IQOO Z11x",'[2]SALES PERTYPE'!$D$8:$BA$8,0)+1),0)</f>
        <v>0</v>
      </c>
      <c r="CV9" s="33" cm="1">
        <f t="array" ref="CV9">IFERROR(INDEX('[2]Sales per type Agustus'!$D$10:$BA$51,MATCH($C9,'[2]Sales per type Agustus'!$B$10:$B$51,0),MATCH("IQOO Z11x",'[2]Sales per type Agustus'!$D$8:$BA$8,0)+1),0)</f>
        <v>0</v>
      </c>
      <c r="CW9" s="33">
        <f t="shared" si="31"/>
        <v>0</v>
      </c>
      <c r="CX9" s="33">
        <f>IFERROR(INDEX('[2]SALES PERTYPE'!$D$10:$BA$52,MATCH($C9,'[2]SALES PERTYPE'!$B$10:$B$52,0),MATCH("IQOO Z11",'[2]SALES PERTYPE'!$D$8:$BA$8,0)),0)</f>
        <v>4</v>
      </c>
      <c r="CY9" s="33">
        <f>IFERROR(INDEX('[2]Sales per type Agustus'!$D$10:$BA$51,MATCH($C9,'[2]Sales per type Agustus'!$B$10:$B$51,0),MATCH("IQOO Z11",'[2]Sales per type Agustus'!$D$8:$BA$8,0)),0)</f>
        <v>1</v>
      </c>
      <c r="CZ9" s="33">
        <f t="shared" si="32"/>
        <v>3</v>
      </c>
      <c r="DA9" s="33" cm="1">
        <f t="array" ref="DA9">IFERROR(INDEX('[2]SALES PERTYPE'!$D$10:$BA$52,MATCH($C9,'[2]SALES PERTYPE'!$B$10:$B$52,0),MATCH("IQOO Z11",'[2]SALES PERTYPE'!$D$8:$BA$8,0)+1),0)</f>
        <v>27596000</v>
      </c>
      <c r="DB9" s="33" cm="1">
        <f t="array" ref="DB9">IFERROR(INDEX('[2]Sales per type Agustus'!$D$10:$BA$51,MATCH($C9,'[2]Sales per type Agustus'!$B$10:$B$51,0),MATCH("IQOO Z11",'[2]Sales per type Agustus'!$D$8:$BA$8,0)+1),0)</f>
        <v>6899000</v>
      </c>
      <c r="DC9" s="33">
        <f t="shared" si="33"/>
        <v>20697000</v>
      </c>
      <c r="DD9" s="33">
        <f>IFERROR(INDEX('[2]SALES PERTYPE'!$D$10:$BA$52,MATCH($C9,'[2]SALES PERTYPE'!$B$10:$B$52,0),MATCH("WATCH 3",'[2]SALES PERTYPE'!$D$8:$BA$8,0)),0)</f>
        <v>0</v>
      </c>
      <c r="DE9" s="33">
        <f>IFERROR(INDEX('[2]Sales per type Agustus'!$D$10:$BA$51,MATCH($C9,'[2]Sales per type Agustus'!$B$10:$B$51,0),MATCH("WATCH 3",'[2]Sales per type Agustus'!$D$8:$BA$8,0)),0)</f>
        <v>0</v>
      </c>
      <c r="DF9" s="33">
        <f t="shared" si="34"/>
        <v>0</v>
      </c>
      <c r="DG9" s="33" cm="1">
        <f t="array" ref="DG9">IFERROR(INDEX('[2]SALES PERTYPE'!$D$10:$BA$52,MATCH($C9,'[2]SALES PERTYPE'!$B$10:$B$52,0),MATCH("WATCH 3",'[2]SALES PERTYPE'!$D$8:$BA$8,0)+1),0)</f>
        <v>0</v>
      </c>
      <c r="DH9" s="33" cm="1">
        <f t="array" ref="DH9">IFERROR(INDEX('[2]Sales per type Agustus'!$D$10:$BA$51,MATCH($C9,'[2]Sales per type Agustus'!$B$10:$B$51,0),MATCH("WATCH 3",'[2]Sales per type Agustus'!$D$8:$BA$8,0)+1),0)</f>
        <v>0</v>
      </c>
      <c r="DI9" s="33">
        <f t="shared" si="35"/>
        <v>0</v>
      </c>
      <c r="DJ9" s="33">
        <f>IFERROR(INDEX('[2]SALES PERTYPE'!$D$10:$BA$52,MATCH($C9,'[2]SALES PERTYPE'!$B$10:$B$52,0),MATCH("X Fold5",'[2]SALES PERTYPE'!$D$8:$BA$8,0)),0)</f>
        <v>0</v>
      </c>
      <c r="DK9" s="33">
        <f>IFERROR(INDEX('[2]Sales per type Agustus'!$D$10:$BA$51,MATCH($C9,'[2]Sales per type Agustus'!$B$10:$B$51,0),MATCH("X Fold5",'[2]Sales per type Agustus'!$D$8:$BA$8,0)),0)</f>
        <v>0</v>
      </c>
      <c r="DL9" s="33">
        <f t="shared" si="36"/>
        <v>0</v>
      </c>
      <c r="DM9" s="33" cm="1">
        <f t="array" ref="DM9">IFERROR(INDEX('[2]SALES PERTYPE'!$D$10:$BA$52,MATCH($C9,'[2]SALES PERTYPE'!$B$10:$B$52,0),MATCH("X Fold5",'[2]SALES PERTYPE'!$D$8:$BA$8,0)+1),0)</f>
        <v>0</v>
      </c>
      <c r="DN9" s="33" cm="1">
        <f t="array" ref="DN9">IFERROR(INDEX('[2]Sales per type Agustus'!$D$10:$BA$51,MATCH($C9,'[2]Sales per type Agustus'!$B$10:$B$51,0),MATCH("X Fold5",'[2]Sales per type Agustus'!$D$8:$BA$8,0)+1),0)</f>
        <v>0</v>
      </c>
      <c r="DO9" s="33">
        <f t="shared" si="37"/>
        <v>0</v>
      </c>
      <c r="DP9" s="33">
        <f>IFERROR(INDEX('[2]SALES PERTYPE'!$D$10:$BA$52,MATCH($C9,'[2]SALES PERTYPE'!$B$10:$B$52,0),MATCH("X300 PRO",'[2]SALES PERTYPE'!$D$8:$BA$8,0)),0)</f>
        <v>0</v>
      </c>
      <c r="DQ9" s="33">
        <f>IFERROR(INDEX('[2]Sales per type Agustus'!$D$10:$BA$51,MATCH($C9,'[2]Sales per type Agustus'!$B$10:$B$51,0),MATCH("X300 PRO",'[2]Sales per type Agustus'!$D$8:$BA$8,0)),0)</f>
        <v>0</v>
      </c>
      <c r="DR9" s="33">
        <f t="shared" si="38"/>
        <v>0</v>
      </c>
      <c r="DS9" s="33" cm="1">
        <f t="array" ref="DS9">IFERROR(INDEX('[2]SALES PERTYPE'!$D$10:$BA$52,MATCH($C9,'[2]SALES PERTYPE'!$B$10:$B$52,0),MATCH("X300 PRO",'[2]SALES PERTYPE'!$D$8:$BA$8,0)+1),0)</f>
        <v>0</v>
      </c>
      <c r="DT9" s="33" cm="1">
        <f t="array" ref="DT9">IFERROR(INDEX('[2]Sales per type Agustus'!$D$10:$BA$51,MATCH($C9,'[2]Sales per type Agustus'!$B$10:$B$51,0),MATCH("X300 PRO",'[2]Sales per type Agustus'!$D$8:$BA$8,0)+1),0)</f>
        <v>0</v>
      </c>
      <c r="DU9" s="33">
        <f t="shared" si="39"/>
        <v>0</v>
      </c>
      <c r="DV9" s="33">
        <f>IFERROR(INDEX('[2]SALES PERTYPE'!$D$10:$BA$52,MATCH($C9,'[2]SALES PERTYPE'!$B$10:$B$52,0),MATCH("X300",'[2]SALES PERTYPE'!$D$8:$BA$8,0)),0)</f>
        <v>0</v>
      </c>
      <c r="DW9" s="33">
        <f>IFERROR(INDEX('[2]Sales per type Agustus'!$D$10:$BA$51,MATCH($C9,'[2]Sales per type Agustus'!$B$10:$B$51,0),MATCH("X300 ",'[2]Sales per type Agustus'!$D$8:$BA$8,0)),0)</f>
        <v>0</v>
      </c>
      <c r="DX9" s="33">
        <f t="shared" si="40"/>
        <v>0</v>
      </c>
      <c r="DY9" s="33" cm="1">
        <f t="array" ref="DY9">IFERROR(INDEX('[2]SALES PERTYPE'!$D$10:$BA$52,MATCH($C9,'[2]SALES PERTYPE'!$B$10:$B$52,0),MATCH("X300",'[2]SALES PERTYPE'!$D$8:$BA$8,0)+1),0)</f>
        <v>0</v>
      </c>
      <c r="DZ9" s="33" cm="1">
        <f t="array" ref="DZ9">IFERROR(INDEX('[2]Sales per type Agustus'!$D$10:$BA$51,MATCH($C9,'[2]Sales per type Agustus'!$B$10:$B$51,0),MATCH("X300 ",'[2]Sales per type Agustus'!$D$8:$BA$8,0)+1),0)</f>
        <v>0</v>
      </c>
      <c r="EA9" s="33">
        <f t="shared" si="41"/>
        <v>0</v>
      </c>
      <c r="EB9" s="33">
        <f t="shared" si="42"/>
        <v>92</v>
      </c>
      <c r="EC9" s="33">
        <f t="shared" si="42"/>
        <v>84</v>
      </c>
      <c r="ED9" s="33">
        <f t="shared" si="43"/>
        <v>8</v>
      </c>
      <c r="EE9" s="33">
        <f t="shared" si="44"/>
        <v>291608000</v>
      </c>
      <c r="EF9" s="33">
        <f t="shared" si="44"/>
        <v>252516000</v>
      </c>
      <c r="EG9" s="33">
        <f t="shared" si="45"/>
        <v>39092000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5">
        <f>'[2]ACHIEVEMENT STORE'!A10</f>
        <v>6</v>
      </c>
      <c r="B10" s="216" t="str">
        <f>'[2]ACHIEVEMENT STORE'!B10</f>
        <v>601 雅加达西北 JKT BU</v>
      </c>
      <c r="C10" s="215">
        <f>'[2]ACHIEVEMENT STORE'!C10</f>
        <v>6010710</v>
      </c>
      <c r="D10" s="216" t="str">
        <f>'[2]ACHIEVEMENT STORE'!D10</f>
        <v>6010710-ROXY PAMERAN SELATAN</v>
      </c>
      <c r="E10" s="216" t="str">
        <f>'[2]ACHIEVEMENT STORE'!E10</f>
        <v>NUR IRAWATI</v>
      </c>
      <c r="F10" s="33">
        <f>IFERROR(INDEX('[2]SALES PERTYPE'!$D$10:$BA$52,MATCH($C10,'[2]SALES PERTYPE'!$B$10:$B$52,0),MATCH("Y05",'[2]SALES PERTYPE'!$D$8:$BA$8,0)),0)</f>
        <v>9</v>
      </c>
      <c r="G10" s="33">
        <f>IFERROR(INDEX('[2]Sales per type Agustus'!$D$10:$BA$51,MATCH($C10,'[2]Sales per type Agustus'!$B$10:$B$51,0),MATCH("Y05",'[2]Sales per type Agustus'!$D$8:$BA$8,0)),0)</f>
        <v>7</v>
      </c>
      <c r="H10" s="33">
        <f t="shared" si="0"/>
        <v>2</v>
      </c>
      <c r="I10" s="33" cm="1">
        <f t="array" ref="I10">IFERROR(INDEX('[2]SALES PERTYPE'!$D$10:$BA$52,MATCH($C10,'[2]SALES PERTYPE'!$B$10:$B$52,0),MATCH("Y05",'[2]SALES PERTYPE'!$D$8:$BA$8,0)+1),0)</f>
        <v>22491000</v>
      </c>
      <c r="J10" s="33" cm="1">
        <f t="array" ref="J10">IFERROR(INDEX('[2]Sales per type Agustus'!$D$10:$BA$51,MATCH($C10,'[2]Sales per type Agustus'!$B$10:$B$51,0),MATCH("Y05",'[2]Sales per type Agustus'!$D$8:$BA$8,0)+1),0)</f>
        <v>17293000</v>
      </c>
      <c r="K10" s="33">
        <f t="shared" si="1"/>
        <v>5198000</v>
      </c>
      <c r="L10" s="33">
        <f>IFERROR(INDEX('[2]SALES PERTYPE'!$D$10:$BA$52,MATCH($C10,'[2]SALES PERTYPE'!$B$10:$B$52,0),MATCH("Y11d",'[2]SALES PERTYPE'!$D$8:$BA$8,0)),0)</f>
        <v>7</v>
      </c>
      <c r="M10" s="33">
        <f>IFERROR(INDEX('[2]Sales per type Agustus'!$D$10:$BA$51,MATCH($C10,'[2]Sales per type Agustus'!$B$10:$B$51,0),MATCH("Y11d",'[2]Sales per type Agustus'!$D$8:$BA$8,0)),0)</f>
        <v>5</v>
      </c>
      <c r="N10" s="33">
        <f t="shared" si="2"/>
        <v>2</v>
      </c>
      <c r="O10" s="33" cm="1">
        <f t="array" ref="O10">IFERROR(INDEX('[2]SALES PERTYPE'!$D$10:$BA$52,MATCH($C10,'[2]SALES PERTYPE'!$B$10:$B$52,0),MATCH("Y11d",'[2]SALES PERTYPE'!$D$8:$BA$8,0)+1),0)</f>
        <v>17593000</v>
      </c>
      <c r="P10" s="33" cm="1">
        <f t="array" ref="P10">IFERROR(INDEX('[2]Sales per type Agustus'!$D$10:$BA$51,MATCH($C10,'[2]Sales per type Agustus'!$B$10:$B$51,0),MATCH("Y11d",'[2]Sales per type Agustus'!$D$8:$BA$8,0)+1),0)</f>
        <v>13195000</v>
      </c>
      <c r="Q10" s="33">
        <f t="shared" si="3"/>
        <v>4398000</v>
      </c>
      <c r="R10" s="33">
        <f>IFERROR(INDEX('[2]SALES PERTYPE'!$D$10:$BA$52,MATCH($C10,'[2]SALES PERTYPE'!$B$10:$B$52,0),MATCH("Watch GT 2",'[2]SALES PERTYPE'!$D$8:$BA$8,0)),0)</f>
        <v>0</v>
      </c>
      <c r="S10" s="33">
        <f>IFERROR(INDEX('[2]Sales per type Agustus'!$D$10:$BA$51,MATCH($C10,'[2]Sales per type Agustus'!$B$10:$B$51,0),MATCH("Watch GT 2",'[2]Sales per type Agustus'!$D$8:$BA$8,0)),0)</f>
        <v>0</v>
      </c>
      <c r="T10" s="33">
        <f t="shared" si="4"/>
        <v>0</v>
      </c>
      <c r="U10" s="33" cm="1">
        <f t="array" ref="U10">IFERROR(INDEX('[2]SALES PERTYPE'!$D$10:$BA$52,MATCH($C10,'[2]SALES PERTYPE'!$B$10:$B$52,0),MATCH("Watch GT 2",'[2]SALES PERTYPE'!$D$8:$BA$8,0)+1),0)</f>
        <v>0</v>
      </c>
      <c r="V10" s="33" cm="1">
        <f t="array" ref="V10">IFERROR(INDEX('[2]Sales per type Agustus'!$D$10:$BA$51,MATCH($C10,'[2]Sales per type Agustus'!$B$10:$B$51,0),MATCH("Watch GT 2",'[2]Sales per type Agustus'!$D$8:$BA$8,0)+1),0)</f>
        <v>0</v>
      </c>
      <c r="W10" s="33">
        <f t="shared" si="5"/>
        <v>0</v>
      </c>
      <c r="X10" s="33">
        <f>IFERROR(INDEX('[2]SALES PERTYPE'!$D$10:$BA$52,MATCH($C10,'[2]SALES PERTYPE'!$B$10:$B$52,0),MATCH("Y05e",'[2]SALES PERTYPE'!$D$8:$BA$8,0)),0)</f>
        <v>12</v>
      </c>
      <c r="Y10" s="33">
        <f>IFERROR(INDEX('[2]Sales per type Agustus'!$D$10:$BA$51,MATCH($C10,'[2]Sales per type Agustus'!$B$10:$B$51,0),MATCH("Y05e",'[2]Sales per type Agustus'!$D$8:$BA$8,0)),0)</f>
        <v>20</v>
      </c>
      <c r="Z10" s="33">
        <f t="shared" si="6"/>
        <v>-8</v>
      </c>
      <c r="AA10" s="33" cm="1">
        <f t="array" ref="AA10">IFERROR(INDEX('[2]SALES PERTYPE'!$D$10:$BA$52,MATCH($C10,'[2]SALES PERTYPE'!$B$10:$B$52,0),MATCH("Y05e",'[2]SALES PERTYPE'!$D$8:$BA$8,0)+1),0)</f>
        <v>25188000</v>
      </c>
      <c r="AB10" s="33" cm="1">
        <f t="array" ref="AB10">IFERROR(INDEX('[2]Sales per type Agustus'!$D$10:$BA$51,MATCH($C10,'[2]Sales per type Agustus'!$B$10:$B$51,0),MATCH("Y05e",'[2]Sales per type Agustus'!$D$8:$BA$8,0)+1),0)</f>
        <v>41980000</v>
      </c>
      <c r="AC10" s="33">
        <f t="shared" si="7"/>
        <v>-16792000</v>
      </c>
      <c r="AD10" s="33">
        <f>IFERROR(INDEX('[2]SALES PERTYPE'!$D$10:$BA$52,MATCH($C10,'[2]SALES PERTYPE'!$B$10:$B$52,0),MATCH("V70",'[2]SALES PERTYPE'!$D$8:$BA$8,0)),0)</f>
        <v>1</v>
      </c>
      <c r="AE10" s="33">
        <f>IFERROR(INDEX('[2]Sales per type Agustus'!$D$10:$BA$51,MATCH($C10,'[2]Sales per type Agustus'!$B$10:$B$51,0),MATCH("V70",'[2]Sales per type Agustus'!$D$8:$BA$8,0)),0)</f>
        <v>0</v>
      </c>
      <c r="AF10" s="33">
        <f t="shared" si="8"/>
        <v>1</v>
      </c>
      <c r="AG10" s="33" cm="1">
        <f t="array" ref="AG10">IFERROR(INDEX('[2]SALES PERTYPE'!$D$10:$BA$52,MATCH($C10,'[2]SALES PERTYPE'!$B$10:$B$52,0),MATCH("V70",'[2]SALES PERTYPE'!$D$8:$BA$8,0)+1),0)</f>
        <v>9999000</v>
      </c>
      <c r="AH10" s="33" cm="1">
        <f t="array" ref="AH10">IFERROR(INDEX('[2]Sales per type Agustus'!$D$10:$BA$51,MATCH($C10,'[2]Sales per type Agustus'!$B$10:$B$51,0),MATCH("V70",'[2]Sales per type Agustus'!$D$8:$BA$8,0)+1),0)</f>
        <v>0</v>
      </c>
      <c r="AI10" s="33">
        <f t="shared" si="9"/>
        <v>9999000</v>
      </c>
      <c r="AJ10" s="33">
        <f>IFERROR(INDEX('[2]SALES PERTYPE'!$D$10:$BA$52,MATCH($C10,'[2]SALES PERTYPE'!$B$10:$B$52,0),MATCH("Y31d Pro",'[2]SALES PERTYPE'!$D$8:$BA$8,0)),0)</f>
        <v>3</v>
      </c>
      <c r="AK10" s="33">
        <f>IFERROR(INDEX('[2]Sales per type Agustus'!$D$10:$BA$51,MATCH($C10,'[2]Sales per type Agustus'!$B$10:$B$51,0),MATCH("Y31d Pro",'[2]Sales per type Agustus'!$D$8:$BA$8,0)),0)</f>
        <v>4</v>
      </c>
      <c r="AL10" s="33">
        <f t="shared" si="10"/>
        <v>-1</v>
      </c>
      <c r="AM10" s="33" cm="1">
        <f t="array" ref="AM10">IFERROR(INDEX('[2]SALES PERTYPE'!$D$10:$BA$52,MATCH($C10,'[2]SALES PERTYPE'!$B$10:$B$52,0),MATCH("Y31d Pro",'[2]SALES PERTYPE'!$D$8:$BA$8,0)+1),0)</f>
        <v>12097000</v>
      </c>
      <c r="AN10" s="33" cm="1">
        <f t="array" ref="AN10">IFERROR(INDEX('[2]Sales per type Agustus'!$D$10:$BA$51,MATCH($C10,'[2]Sales per type Agustus'!$B$10:$B$51,0),MATCH("Y31d Pro",'[2]Sales per type Agustus'!$D$8:$BA$8,0)+1),0)</f>
        <v>16396000</v>
      </c>
      <c r="AO10" s="33">
        <f t="shared" si="11"/>
        <v>-4299000</v>
      </c>
      <c r="AP10" s="33" cm="1">
        <f t="array" ref="AP10">IFERROR(INDEX('[2]SALES PERTYPE'!$D$10:$BA$52,MATCH($C10,'[2]SALES PERTYPE'!$B$10:$B$52,0),$EI$3),0)</f>
        <v>0</v>
      </c>
      <c r="AQ10" s="33" cm="1">
        <f t="array" ref="AQ10">IFERROR(INDEX('[2]Sales per type Agustus'!$D$10:$BA$51,MATCH($C10,'[2]Sales per type Agustus'!$B$10:$B$51,0),$EI$2),0)</f>
        <v>0</v>
      </c>
      <c r="AR10" s="33">
        <f t="shared" si="12"/>
        <v>0</v>
      </c>
      <c r="AS10" s="33" cm="1">
        <f t="array" ref="AS10">IFERROR(INDEX('[2]SALES PERTYPE'!$D$10:$BA$52,MATCH($C10,'[2]SALES PERTYPE'!$B$10:$B$52,0),$EI$3+1),0)</f>
        <v>0</v>
      </c>
      <c r="AT10" s="33" cm="1">
        <f t="array" ref="AT10">IFERROR(INDEX('[2]Sales per type Agustus'!$D$10:$BA$51,MATCH($C10,'[2]Sales per type Agustus'!$B$10:$B$51,0),$EI$2+1),0)</f>
        <v>0</v>
      </c>
      <c r="AU10" s="33">
        <f t="shared" si="13"/>
        <v>0</v>
      </c>
      <c r="AV10" s="33">
        <f>IFERROR(INDEX('[2]SALES PERTYPE'!$D$10:$BA$52,MATCH($C10,'[2]SALES PERTYPE'!$B$10:$B$52,0),MATCH("Y31d ",'[2]SALES PERTYPE'!$D$8:$BA$8,0)),0)</f>
        <v>1</v>
      </c>
      <c r="AW10" s="33">
        <f>IFERROR(INDEX('[2]Sales per type Agustus'!$D$10:$BA$51,MATCH($C10,'[2]Sales per type Agustus'!$B$10:$B$51,0),MATCH("Y31d ",'[2]Sales per type Agustus'!$D$8:$BA$8,0)),0)</f>
        <v>1</v>
      </c>
      <c r="AX10" s="33">
        <f t="shared" si="14"/>
        <v>0</v>
      </c>
      <c r="AY10" s="33" cm="1">
        <f t="array" ref="AY10">IFERROR(INDEX('[2]SALES PERTYPE'!$D$10:$BA$52,MATCH($C10,'[2]SALES PERTYPE'!$B$10:$B$52,0),MATCH("Y31d ",'[2]SALES PERTYPE'!$D$8:$BA$8,0)+1),0)</f>
        <v>3599000</v>
      </c>
      <c r="AZ10" s="33" cm="1">
        <f t="array" ref="AZ10">IFERROR(INDEX('[2]Sales per type Agustus'!$D$10:$BA$51,MATCH($C10,'[2]Sales per type Agustus'!$B$10:$B$51,0),MATCH("Y31d ",'[2]Sales per type Agustus'!$D$8:$BA$8,0)+1),0)</f>
        <v>3599000</v>
      </c>
      <c r="BA10" s="33">
        <f t="shared" si="15"/>
        <v>0</v>
      </c>
      <c r="BB10" s="33">
        <f>IFERROR(INDEX('[2]SALES PERTYPE'!$D$10:$BA$52,MATCH($C10,'[2]SALES PERTYPE'!$B$10:$B$52,0),MATCH("V70 FE",'[2]SALES PERTYPE'!$D$8:$BA$8,0)),0)</f>
        <v>0</v>
      </c>
      <c r="BC10" s="33">
        <f>IFERROR(INDEX('[2]Sales per type Agustus'!$D$10:$BA$51,MATCH($C10,'[2]Sales per type Agustus'!$B$10:$B$51,0),MATCH("V70 FE",'[2]Sales per type Agustus'!$D$8:$BA$8,0)),0)</f>
        <v>0</v>
      </c>
      <c r="BD10" s="33">
        <f t="shared" si="16"/>
        <v>0</v>
      </c>
      <c r="BE10" s="33" cm="1">
        <f t="array" ref="BE10">IFERROR(INDEX('[2]SALES PERTYPE'!$D$10:$BA$52,MATCH($C10,'[2]SALES PERTYPE'!$B$10:$B$52,0),MATCH("V70 FE",'[2]SALES PERTYPE'!$D$8:$BA$8,0)+1),0)</f>
        <v>0</v>
      </c>
      <c r="BF10" s="33" cm="1">
        <f t="array" ref="BF10">IFERROR(INDEX('[2]Sales per type Agustus'!$D$10:$BA$51,MATCH($C10,'[2]Sales per type Agustus'!$B$10:$B$51,0),MATCH("V70 FE",'[2]Sales per type Agustus'!$D$8:$BA$8,0)+1),0)</f>
        <v>0</v>
      </c>
      <c r="BG10" s="33">
        <f t="shared" si="17"/>
        <v>0</v>
      </c>
      <c r="BH10" s="33">
        <f>IFERROR(INDEX('[2]SALES PERTYPE'!$D$10:$BA$52,MATCH($C10,'[2]SALES PERTYPE'!$B$10:$B$52,0),MATCH("Y31d",'[2]SALES PERTYPE'!$D$8:$BA$8,0)),0)</f>
        <v>0</v>
      </c>
      <c r="BI10" s="33">
        <f>IFERROR(INDEX('[2]Sales per type Agustus'!$D$10:$BA$51,MATCH($C10,'[2]Sales per type Agustus'!$B$10:$B$51,0),MATCH("Y31d",'[2]Sales per type Agustus'!$D$8:$BA$8,0)),0)</f>
        <v>0</v>
      </c>
      <c r="BJ10" s="33">
        <f t="shared" si="18"/>
        <v>0</v>
      </c>
      <c r="BK10" s="33" cm="1">
        <f t="array" ref="BK10">IFERROR(INDEX('[2]SALES PERTYPE'!$D$10:$BA$52,MATCH($C10,'[2]SALES PERTYPE'!$B$10:$B$52,0),MATCH("Y31d",'[2]SALES PERTYPE'!$D$8:$BA$8,0)+1),0)</f>
        <v>0</v>
      </c>
      <c r="BL10" s="33" cm="1">
        <f t="array" ref="BL10">IFERROR(INDEX('[2]Sales per type Agustus'!$D$10:$BA$51,MATCH($C10,'[2]Sales per type Agustus'!$B$10:$B$51,0),MATCH("Y31d",'[2]Sales per type Agustus'!$D$8:$BA$8,0)+1),0)</f>
        <v>0</v>
      </c>
      <c r="BM10" s="33">
        <f t="shared" si="19"/>
        <v>0</v>
      </c>
      <c r="BN10" s="33">
        <f>IFERROR(INDEX('[2]SALES PERTYPE'!$D$10:$BA$52,MATCH($C10,'[2]SALES PERTYPE'!$B$10:$B$52,0),MATCH("Y500",'[2]SALES PERTYPE'!$D$8:$BA$8,0)),0)</f>
        <v>1</v>
      </c>
      <c r="BO10" s="33">
        <f>IFERROR(INDEX('[2]Sales per type Agustus'!$D$10:$BA$51,MATCH($C10,'[2]Sales per type Agustus'!$B$10:$B$51,0),MATCH("Y500",'[2]Sales per type Agustus'!$D$8:$BA$8,0)),0)</f>
        <v>1</v>
      </c>
      <c r="BP10" s="33">
        <f t="shared" si="20"/>
        <v>0</v>
      </c>
      <c r="BQ10" s="33" cm="1">
        <f t="array" ref="BQ10">IFERROR(INDEX('[2]SALES PERTYPE'!$D$10:$BA$52,MATCH($C10,'[2]SALES PERTYPE'!$B$10:$B$52,0),MATCH("Y500",'[2]SALES PERTYPE'!$D$8:$BA$8,0)+1),0)</f>
        <v>5499000</v>
      </c>
      <c r="BR10" s="33" cm="1">
        <f t="array" ref="BR10">IFERROR(INDEX('[2]Sales per type Agustus'!$D$10:$BA$51,MATCH($C10,'[2]Sales per type Agustus'!$B$10:$B$51,0),MATCH("Y500",'[2]Sales per type Agustus'!$D$8:$BA$8,0)+1),0)</f>
        <v>6299000</v>
      </c>
      <c r="BS10" s="33">
        <f t="shared" si="21"/>
        <v>-800000</v>
      </c>
      <c r="BT10" s="33">
        <f>IFERROR(INDEX('[2]SALES PERTYPE'!$D$10:$BA$52,MATCH($C10,'[2]SALES PERTYPE'!$B$10:$B$52,0),MATCH("IQOO 15R",'[2]SALES PERTYPE'!$D$8:$BA$8,0)),0)</f>
        <v>0</v>
      </c>
      <c r="BU10" s="33">
        <f>IFERROR(INDEX('[2]Sales per type Agustus'!$D$10:$BA$51,MATCH($C10,'[2]Sales per type Agustus'!$B$10:$B$51,0),MATCH("IQOO 15R",'[2]Sales per type Agustus'!$D$8:$BA$8,0)),0)</f>
        <v>0</v>
      </c>
      <c r="BV10" s="33">
        <f t="shared" si="22"/>
        <v>0</v>
      </c>
      <c r="BW10" s="33" cm="1">
        <f t="array" ref="BW10">IFERROR(INDEX('[2]SALES PERTYPE'!$D$10:$BA$52,MATCH($C10,'[2]SALES PERTYPE'!$B$10:$B$52,0),MATCH("IQOO 15R",'[2]SALES PERTYPE'!$D$8:$BA$8,0)+1),0)</f>
        <v>0</v>
      </c>
      <c r="BX10" s="33" cm="1">
        <f t="array" ref="BX10">IFERROR(INDEX('[2]Sales per type Agustus'!$D$10:$BA$51,MATCH($C10,'[2]Sales per type Agustus'!$B$10:$B$51,0),MATCH("IQOO 15R",'[2]Sales per type Agustus'!$D$8:$BA$8,0)+1),0)</f>
        <v>0</v>
      </c>
      <c r="BY10" s="33">
        <f t="shared" si="23"/>
        <v>0</v>
      </c>
      <c r="BZ10" s="33">
        <f>IFERROR(INDEX('[2]SALES PERTYPE'!$D$10:$BA$52,MATCH($C10,'[2]SALES PERTYPE'!$B$10:$B$52,0),MATCH("V60 Lite",'[2]SALES PERTYPE'!$D$8:$BA$8,0)),0)</f>
        <v>1</v>
      </c>
      <c r="CA10" s="33">
        <f>IFERROR(INDEX('[2]Sales per type Agustus'!$D$10:$BA$51,MATCH($C10,'[2]Sales per type Agustus'!$B$10:$B$51,0),MATCH("V60 Lite",'[2]Sales per type Agustus'!$D$8:$BA$8,0)),0)</f>
        <v>0</v>
      </c>
      <c r="CB10" s="33">
        <f t="shared" si="24"/>
        <v>1</v>
      </c>
      <c r="CC10" s="33" cm="1">
        <f t="array" ref="CC10">IFERROR(INDEX('[2]SALES PERTYPE'!$D$10:$BA$52,MATCH($C10,'[2]SALES PERTYPE'!$B$10:$B$52,0),MATCH("V60 Lite",'[2]SALES PERTYPE'!$D$8:$BA$8,0)+1),0)</f>
        <v>5899000</v>
      </c>
      <c r="CD10" s="33" cm="1">
        <f t="array" ref="CD10">IFERROR(INDEX('[2]Sales per type Agustus'!$D$10:$BA$51,MATCH($C10,'[2]Sales per type Agustus'!$B$10:$B$51,0),MATCH("V60 Lite",'[2]Sales per type Agustus'!$D$8:$BA$8,0)+1),0)</f>
        <v>0</v>
      </c>
      <c r="CE10" s="33">
        <f t="shared" si="25"/>
        <v>5899000</v>
      </c>
      <c r="CF10" s="33">
        <f>IFERROR(INDEX('[2]SALES PERTYPE'!$D$10:$BA$52,MATCH($C10,'[2]SALES PERTYPE'!$B$10:$B$52,0),MATCH("X300 Ultra",'[2]SALES PERTYPE'!$D$8:$BA$8,0)),0)</f>
        <v>0</v>
      </c>
      <c r="CG10" s="33">
        <f>IFERROR(INDEX('[2]Sales per type Agustus'!$D$10:$BA$51,MATCH($C10,'[2]Sales per type Agustus'!$B$10:$B$51,0),MATCH("X300 Ultra",'[2]Sales per type Agustus'!$D$8:$BA$8,0)),0)</f>
        <v>0</v>
      </c>
      <c r="CH10" s="33">
        <f t="shared" si="26"/>
        <v>0</v>
      </c>
      <c r="CI10" s="33" cm="1">
        <f t="array" ref="CI10">IFERROR(INDEX('[2]SALES PERTYPE'!$D$10:$BA$52,MATCH($C10,'[2]SALES PERTYPE'!$B$10:$B$52,0),MATCH("X300 Ultra",'[2]SALES PERTYPE'!$D$8:$BA$8,0)+1),0)</f>
        <v>0</v>
      </c>
      <c r="CJ10" s="33" cm="1">
        <f t="array" ref="CJ10">IFERROR(INDEX('[2]Sales per type Agustus'!$D$10:$BA$51,MATCH($C10,'[2]Sales per type Agustus'!$B$10:$B$51,0),MATCH("X300 Ultra",'[2]Sales per type Agustus'!$D$8:$BA$8,0)+1),0)</f>
        <v>0</v>
      </c>
      <c r="CK10" s="33">
        <f t="shared" si="27"/>
        <v>0</v>
      </c>
      <c r="CL10" s="33">
        <f>IFERROR(INDEX('[2]SALES PERTYPE'!$D$10:$BA$52,MATCH($C10,'[2]SALES PERTYPE'!$B$10:$B$52,0),MATCH("IQOO 15",'[2]SALES PERTYPE'!$D$8:$BA$8,0)),0)</f>
        <v>0</v>
      </c>
      <c r="CM10" s="33">
        <f>IFERROR(INDEX('[2]Sales per type Agustus'!$D$10:$BA$51,MATCH($C10,'[2]Sales per type Agustus'!$B$10:$B$51,0),MATCH("IQOO 15",'[2]Sales per type Agustus'!$D$8:$BA$8,0)),0)</f>
        <v>0</v>
      </c>
      <c r="CN10" s="33">
        <f t="shared" si="28"/>
        <v>0</v>
      </c>
      <c r="CO10" s="33" cm="1">
        <f t="array" ref="CO10">IFERROR(INDEX('[2]SALES PERTYPE'!$D$10:$BA$52,MATCH($C10,'[2]SALES PERTYPE'!$B$10:$B$52,0),MATCH("IQOO 15",'[2]SALES PERTYPE'!$D$8:$BA$8,0)+1),0)</f>
        <v>0</v>
      </c>
      <c r="CP10" s="33" cm="1">
        <f t="array" ref="CP10">IFERROR(INDEX('[2]Sales per type Agustus'!$D$10:$BA$51,MATCH($C10,'[2]Sales per type Agustus'!$B$10:$B$51,0),MATCH("IQOO 15",'[2]Sales per type Agustus'!$D$8:$BA$8,0)+1),0)</f>
        <v>0</v>
      </c>
      <c r="CQ10" s="33">
        <f t="shared" si="29"/>
        <v>0</v>
      </c>
      <c r="CR10" s="33">
        <f>IFERROR(INDEX('[2]SALES PERTYPE'!$D$10:$BA$52,MATCH($C10,'[2]SALES PERTYPE'!$B$10:$B$52,0),MATCH("IQOO Z11x",'[2]SALES PERTYPE'!$D$8:$BA$8,0)),0)</f>
        <v>1</v>
      </c>
      <c r="CS10" s="33">
        <f>IFERROR(INDEX('[2]Sales per type Agustus'!$D$10:$BA$51,MATCH($C10,'[2]Sales per type Agustus'!$B$10:$B$51,0),MATCH("IQOO Z11x",'[2]Sales per type Agustus'!$D$8:$BA$8,0)),0)</f>
        <v>0</v>
      </c>
      <c r="CT10" s="33">
        <f t="shared" si="30"/>
        <v>1</v>
      </c>
      <c r="CU10" s="33" cm="1">
        <f t="array" ref="CU10">IFERROR(INDEX('[2]SALES PERTYPE'!$D$10:$BA$52,MATCH($C10,'[2]SALES PERTYPE'!$B$10:$B$52,0),MATCH("IQOO Z11x",'[2]SALES PERTYPE'!$D$8:$BA$8,0)+1),0)</f>
        <v>5699000</v>
      </c>
      <c r="CV10" s="33" cm="1">
        <f t="array" ref="CV10">IFERROR(INDEX('[2]Sales per type Agustus'!$D$10:$BA$51,MATCH($C10,'[2]Sales per type Agustus'!$B$10:$B$51,0),MATCH("IQOO Z11x",'[2]Sales per type Agustus'!$D$8:$BA$8,0)+1),0)</f>
        <v>0</v>
      </c>
      <c r="CW10" s="33">
        <f t="shared" si="31"/>
        <v>5699000</v>
      </c>
      <c r="CX10" s="33">
        <f>IFERROR(INDEX('[2]SALES PERTYPE'!$D$10:$BA$52,MATCH($C10,'[2]SALES PERTYPE'!$B$10:$B$52,0),MATCH("IQOO Z11",'[2]SALES PERTYPE'!$D$8:$BA$8,0)),0)</f>
        <v>0</v>
      </c>
      <c r="CY10" s="33">
        <f>IFERROR(INDEX('[2]Sales per type Agustus'!$D$10:$BA$51,MATCH($C10,'[2]Sales per type Agustus'!$B$10:$B$51,0),MATCH("IQOO Z11",'[2]Sales per type Agustus'!$D$8:$BA$8,0)),0)</f>
        <v>0</v>
      </c>
      <c r="CZ10" s="33">
        <f t="shared" si="32"/>
        <v>0</v>
      </c>
      <c r="DA10" s="33" cm="1">
        <f t="array" ref="DA10">IFERROR(INDEX('[2]SALES PERTYPE'!$D$10:$BA$52,MATCH($C10,'[2]SALES PERTYPE'!$B$10:$B$52,0),MATCH("IQOO Z11",'[2]SALES PERTYPE'!$D$8:$BA$8,0)+1),0)</f>
        <v>0</v>
      </c>
      <c r="DB10" s="33" cm="1">
        <f t="array" ref="DB10">IFERROR(INDEX('[2]Sales per type Agustus'!$D$10:$BA$51,MATCH($C10,'[2]Sales per type Agustus'!$B$10:$B$51,0),MATCH("IQOO Z11",'[2]Sales per type Agustus'!$D$8:$BA$8,0)+1),0)</f>
        <v>0</v>
      </c>
      <c r="DC10" s="33">
        <f t="shared" si="33"/>
        <v>0</v>
      </c>
      <c r="DD10" s="33">
        <f>IFERROR(INDEX('[2]SALES PERTYPE'!$D$10:$BA$52,MATCH($C10,'[2]SALES PERTYPE'!$B$10:$B$52,0),MATCH("WATCH 3",'[2]SALES PERTYPE'!$D$8:$BA$8,0)),0)</f>
        <v>0</v>
      </c>
      <c r="DE10" s="33">
        <f>IFERROR(INDEX('[2]Sales per type Agustus'!$D$10:$BA$51,MATCH($C10,'[2]Sales per type Agustus'!$B$10:$B$51,0),MATCH("WATCH 3",'[2]Sales per type Agustus'!$D$8:$BA$8,0)),0)</f>
        <v>0</v>
      </c>
      <c r="DF10" s="33">
        <f t="shared" si="34"/>
        <v>0</v>
      </c>
      <c r="DG10" s="33" cm="1">
        <f t="array" ref="DG10">IFERROR(INDEX('[2]SALES PERTYPE'!$D$10:$BA$52,MATCH($C10,'[2]SALES PERTYPE'!$B$10:$B$52,0),MATCH("WATCH 3",'[2]SALES PERTYPE'!$D$8:$BA$8,0)+1),0)</f>
        <v>0</v>
      </c>
      <c r="DH10" s="33" cm="1">
        <f t="array" ref="DH10">IFERROR(INDEX('[2]Sales per type Agustus'!$D$10:$BA$51,MATCH($C10,'[2]Sales per type Agustus'!$B$10:$B$51,0),MATCH("WATCH 3",'[2]Sales per type Agustus'!$D$8:$BA$8,0)+1),0)</f>
        <v>0</v>
      </c>
      <c r="DI10" s="33">
        <f t="shared" si="35"/>
        <v>0</v>
      </c>
      <c r="DJ10" s="33">
        <f>IFERROR(INDEX('[2]SALES PERTYPE'!$D$10:$BA$52,MATCH($C10,'[2]SALES PERTYPE'!$B$10:$B$52,0),MATCH("X Fold5",'[2]SALES PERTYPE'!$D$8:$BA$8,0)),0)</f>
        <v>0</v>
      </c>
      <c r="DK10" s="33">
        <f>IFERROR(INDEX('[2]Sales per type Agustus'!$D$10:$BA$51,MATCH($C10,'[2]Sales per type Agustus'!$B$10:$B$51,0),MATCH("X Fold5",'[2]Sales per type Agustus'!$D$8:$BA$8,0)),0)</f>
        <v>0</v>
      </c>
      <c r="DL10" s="33">
        <f t="shared" si="36"/>
        <v>0</v>
      </c>
      <c r="DM10" s="33" cm="1">
        <f t="array" ref="DM10">IFERROR(INDEX('[2]SALES PERTYPE'!$D$10:$BA$52,MATCH($C10,'[2]SALES PERTYPE'!$B$10:$B$52,0),MATCH("X Fold5",'[2]SALES PERTYPE'!$D$8:$BA$8,0)+1),0)</f>
        <v>0</v>
      </c>
      <c r="DN10" s="33" cm="1">
        <f t="array" ref="DN10">IFERROR(INDEX('[2]Sales per type Agustus'!$D$10:$BA$51,MATCH($C10,'[2]Sales per type Agustus'!$B$10:$B$51,0),MATCH("X Fold5",'[2]Sales per type Agustus'!$D$8:$BA$8,0)+1),0)</f>
        <v>0</v>
      </c>
      <c r="DO10" s="33">
        <f t="shared" si="37"/>
        <v>0</v>
      </c>
      <c r="DP10" s="33">
        <f>IFERROR(INDEX('[2]SALES PERTYPE'!$D$10:$BA$52,MATCH($C10,'[2]SALES PERTYPE'!$B$10:$B$52,0),MATCH("X300 PRO",'[2]SALES PERTYPE'!$D$8:$BA$8,0)),0)</f>
        <v>0</v>
      </c>
      <c r="DQ10" s="33">
        <f>IFERROR(INDEX('[2]Sales per type Agustus'!$D$10:$BA$51,MATCH($C10,'[2]Sales per type Agustus'!$B$10:$B$51,0),MATCH("X300 PRO",'[2]Sales per type Agustus'!$D$8:$BA$8,0)),0)</f>
        <v>0</v>
      </c>
      <c r="DR10" s="33">
        <f t="shared" si="38"/>
        <v>0</v>
      </c>
      <c r="DS10" s="33" cm="1">
        <f t="array" ref="DS10">IFERROR(INDEX('[2]SALES PERTYPE'!$D$10:$BA$52,MATCH($C10,'[2]SALES PERTYPE'!$B$10:$B$52,0),MATCH("X300 PRO",'[2]SALES PERTYPE'!$D$8:$BA$8,0)+1),0)</f>
        <v>0</v>
      </c>
      <c r="DT10" s="33" cm="1">
        <f t="array" ref="DT10">IFERROR(INDEX('[2]Sales per type Agustus'!$D$10:$BA$51,MATCH($C10,'[2]Sales per type Agustus'!$B$10:$B$51,0),MATCH("X300 PRO",'[2]Sales per type Agustus'!$D$8:$BA$8,0)+1),0)</f>
        <v>0</v>
      </c>
      <c r="DU10" s="33">
        <f t="shared" si="39"/>
        <v>0</v>
      </c>
      <c r="DV10" s="33">
        <f>IFERROR(INDEX('[2]SALES PERTYPE'!$D$10:$BA$52,MATCH($C10,'[2]SALES PERTYPE'!$B$10:$B$52,0),MATCH("X300",'[2]SALES PERTYPE'!$D$8:$BA$8,0)),0)</f>
        <v>0</v>
      </c>
      <c r="DW10" s="33">
        <f>IFERROR(INDEX('[2]Sales per type Agustus'!$D$10:$BA$51,MATCH($C10,'[2]Sales per type Agustus'!$B$10:$B$51,0),MATCH("X300 ",'[2]Sales per type Agustus'!$D$8:$BA$8,0)),0)</f>
        <v>0</v>
      </c>
      <c r="DX10" s="33">
        <f t="shared" si="40"/>
        <v>0</v>
      </c>
      <c r="DY10" s="33" cm="1">
        <f t="array" ref="DY10">IFERROR(INDEX('[2]SALES PERTYPE'!$D$10:$BA$52,MATCH($C10,'[2]SALES PERTYPE'!$B$10:$B$52,0),MATCH("X300",'[2]SALES PERTYPE'!$D$8:$BA$8,0)+1),0)</f>
        <v>0</v>
      </c>
      <c r="DZ10" s="33" cm="1">
        <f t="array" ref="DZ10">IFERROR(INDEX('[2]Sales per type Agustus'!$D$10:$BA$51,MATCH($C10,'[2]Sales per type Agustus'!$B$10:$B$51,0),MATCH("X300 ",'[2]Sales per type Agustus'!$D$8:$BA$8,0)+1),0)</f>
        <v>0</v>
      </c>
      <c r="EA10" s="33">
        <f t="shared" si="41"/>
        <v>0</v>
      </c>
      <c r="EB10" s="33">
        <f t="shared" si="42"/>
        <v>36</v>
      </c>
      <c r="EC10" s="33">
        <f t="shared" si="42"/>
        <v>38</v>
      </c>
      <c r="ED10" s="33">
        <f t="shared" si="43"/>
        <v>-2</v>
      </c>
      <c r="EE10" s="33">
        <f t="shared" si="44"/>
        <v>108064000</v>
      </c>
      <c r="EF10" s="33">
        <f t="shared" si="44"/>
        <v>98762000</v>
      </c>
      <c r="EG10" s="33">
        <f t="shared" si="45"/>
        <v>9302000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'[2]ACHIEVEMENT STORE'!A11</f>
        <v>7</v>
      </c>
      <c r="B11" s="32" t="str">
        <f>'[2]ACHIEVEMENT STORE'!B11</f>
        <v>601 雅加达西北 JKT BU</v>
      </c>
      <c r="C11" s="31">
        <f>'[2]ACHIEVEMENT STORE'!C11</f>
        <v>6020711</v>
      </c>
      <c r="D11" s="32" t="str">
        <f>'[2]ACHIEVEMENT STORE'!D11</f>
        <v>6020711-EMPORIUM VIVO STORE</v>
      </c>
      <c r="E11" s="32" t="str">
        <f>'[2]ACHIEVEMENT STORE'!E11</f>
        <v>M KHOIRUDIN</v>
      </c>
      <c r="F11" s="33">
        <f>IFERROR(INDEX('[2]SALES PERTYPE'!$D$10:$BA$52,MATCH($C11,'[2]SALES PERTYPE'!$B$10:$B$52,0),MATCH("Y05",'[2]SALES PERTYPE'!$D$8:$BA$8,0)),0)</f>
        <v>3</v>
      </c>
      <c r="G11" s="33">
        <f>IFERROR(INDEX('[2]Sales per type Agustus'!$D$10:$BA$51,MATCH($C11,'[2]Sales per type Agustus'!$B$10:$B$51,0),MATCH("Y05",'[2]Sales per type Agustus'!$D$8:$BA$8,0)),0)</f>
        <v>4</v>
      </c>
      <c r="H11" s="33">
        <f t="shared" si="0"/>
        <v>-1</v>
      </c>
      <c r="I11" s="33" cm="1">
        <f t="array" ref="I11">IFERROR(INDEX('[2]SALES PERTYPE'!$D$10:$BA$52,MATCH($C11,'[2]SALES PERTYPE'!$B$10:$B$52,0),MATCH("Y05",'[2]SALES PERTYPE'!$D$8:$BA$8,0)+1),0)</f>
        <v>7497000</v>
      </c>
      <c r="J11" s="33" cm="1">
        <f t="array" ref="J11">IFERROR(INDEX('[2]Sales per type Agustus'!$D$10:$BA$51,MATCH($C11,'[2]Sales per type Agustus'!$B$10:$B$51,0),MATCH("Y05",'[2]Sales per type Agustus'!$D$8:$BA$8,0)+1),0)</f>
        <v>9196000</v>
      </c>
      <c r="K11" s="33">
        <f t="shared" si="1"/>
        <v>-1699000</v>
      </c>
      <c r="L11" s="33">
        <f>IFERROR(INDEX('[2]SALES PERTYPE'!$D$10:$BA$52,MATCH($C11,'[2]SALES PERTYPE'!$B$10:$B$52,0),MATCH("Y11d",'[2]SALES PERTYPE'!$D$8:$BA$8,0)),0)</f>
        <v>7</v>
      </c>
      <c r="M11" s="33">
        <f>IFERROR(INDEX('[2]Sales per type Agustus'!$D$10:$BA$51,MATCH($C11,'[2]Sales per type Agustus'!$B$10:$B$51,0),MATCH("Y11d",'[2]Sales per type Agustus'!$D$8:$BA$8,0)),0)</f>
        <v>5</v>
      </c>
      <c r="N11" s="33">
        <f t="shared" si="2"/>
        <v>2</v>
      </c>
      <c r="O11" s="33" cm="1">
        <f t="array" ref="O11">IFERROR(INDEX('[2]SALES PERTYPE'!$D$10:$BA$52,MATCH($C11,'[2]SALES PERTYPE'!$B$10:$B$52,0),MATCH("Y11d",'[2]SALES PERTYPE'!$D$8:$BA$8,0)+1),0)</f>
        <v>18393000</v>
      </c>
      <c r="P11" s="33" cm="1">
        <f t="array" ref="P11">IFERROR(INDEX('[2]Sales per type Agustus'!$D$10:$BA$51,MATCH($C11,'[2]Sales per type Agustus'!$B$10:$B$51,0),MATCH("Y11d",'[2]Sales per type Agustus'!$D$8:$BA$8,0)+1),0)</f>
        <v>11995000</v>
      </c>
      <c r="Q11" s="33">
        <f t="shared" si="3"/>
        <v>6398000</v>
      </c>
      <c r="R11" s="33">
        <f>IFERROR(INDEX('[2]SALES PERTYPE'!$D$10:$BA$52,MATCH($C11,'[2]SALES PERTYPE'!$B$10:$B$52,0),MATCH("Watch GT 2",'[2]SALES PERTYPE'!$D$8:$BA$8,0)),0)</f>
        <v>0</v>
      </c>
      <c r="S11" s="33">
        <f>IFERROR(INDEX('[2]Sales per type Agustus'!$D$10:$BA$51,MATCH($C11,'[2]Sales per type Agustus'!$B$10:$B$51,0),MATCH("Watch GT 2",'[2]Sales per type Agustus'!$D$8:$BA$8,0)),0)</f>
        <v>0</v>
      </c>
      <c r="T11" s="33">
        <f t="shared" si="4"/>
        <v>0</v>
      </c>
      <c r="U11" s="33" cm="1">
        <f t="array" ref="U11">IFERROR(INDEX('[2]SALES PERTYPE'!$D$10:$BA$52,MATCH($C11,'[2]SALES PERTYPE'!$B$10:$B$52,0),MATCH("Watch GT 2",'[2]SALES PERTYPE'!$D$8:$BA$8,0)+1),0)</f>
        <v>0</v>
      </c>
      <c r="V11" s="33" cm="1">
        <f t="array" ref="V11">IFERROR(INDEX('[2]Sales per type Agustus'!$D$10:$BA$51,MATCH($C11,'[2]Sales per type Agustus'!$B$10:$B$51,0),MATCH("Watch GT 2",'[2]Sales per type Agustus'!$D$8:$BA$8,0)+1),0)</f>
        <v>0</v>
      </c>
      <c r="W11" s="33">
        <f t="shared" si="5"/>
        <v>0</v>
      </c>
      <c r="X11" s="33">
        <f>IFERROR(INDEX('[2]SALES PERTYPE'!$D$10:$BA$52,MATCH($C11,'[2]SALES PERTYPE'!$B$10:$B$52,0),MATCH("Y05e",'[2]SALES PERTYPE'!$D$8:$BA$8,0)),0)</f>
        <v>1</v>
      </c>
      <c r="Y11" s="33">
        <f>IFERROR(INDEX('[2]Sales per type Agustus'!$D$10:$BA$51,MATCH($C11,'[2]Sales per type Agustus'!$B$10:$B$51,0),MATCH("Y05e",'[2]Sales per type Agustus'!$D$8:$BA$8,0)),0)</f>
        <v>2</v>
      </c>
      <c r="Z11" s="33">
        <f t="shared" si="6"/>
        <v>-1</v>
      </c>
      <c r="AA11" s="33" cm="1">
        <f t="array" ref="AA11">IFERROR(INDEX('[2]SALES PERTYPE'!$D$10:$BA$52,MATCH($C11,'[2]SALES PERTYPE'!$B$10:$B$52,0),MATCH("Y05e",'[2]SALES PERTYPE'!$D$8:$BA$8,0)+1),0)</f>
        <v>2099000</v>
      </c>
      <c r="AB11" s="33" cm="1">
        <f t="array" ref="AB11">IFERROR(INDEX('[2]Sales per type Agustus'!$D$10:$BA$51,MATCH($C11,'[2]Sales per type Agustus'!$B$10:$B$51,0),MATCH("Y05e",'[2]Sales per type Agustus'!$D$8:$BA$8,0)+1),0)</f>
        <v>4198000</v>
      </c>
      <c r="AC11" s="33">
        <f t="shared" si="7"/>
        <v>-2099000</v>
      </c>
      <c r="AD11" s="33">
        <f>IFERROR(INDEX('[2]SALES PERTYPE'!$D$10:$BA$52,MATCH($C11,'[2]SALES PERTYPE'!$B$10:$B$52,0),MATCH("V70",'[2]SALES PERTYPE'!$D$8:$BA$8,0)),0)</f>
        <v>1</v>
      </c>
      <c r="AE11" s="33">
        <f>IFERROR(INDEX('[2]Sales per type Agustus'!$D$10:$BA$51,MATCH($C11,'[2]Sales per type Agustus'!$B$10:$B$51,0),MATCH("V70",'[2]Sales per type Agustus'!$D$8:$BA$8,0)),0)</f>
        <v>2</v>
      </c>
      <c r="AF11" s="33">
        <f t="shared" si="8"/>
        <v>-1</v>
      </c>
      <c r="AG11" s="33" cm="1">
        <f t="array" ref="AG11">IFERROR(INDEX('[2]SALES PERTYPE'!$D$10:$BA$52,MATCH($C11,'[2]SALES PERTYPE'!$B$10:$B$52,0),MATCH("V70",'[2]SALES PERTYPE'!$D$8:$BA$8,0)+1),0)</f>
        <v>9999000</v>
      </c>
      <c r="AH11" s="33" cm="1">
        <f t="array" ref="AH11">IFERROR(INDEX('[2]Sales per type Agustus'!$D$10:$BA$51,MATCH($C11,'[2]Sales per type Agustus'!$B$10:$B$51,0),MATCH("V70",'[2]Sales per type Agustus'!$D$8:$BA$8,0)+1),0)</f>
        <v>19998000</v>
      </c>
      <c r="AI11" s="33">
        <f t="shared" si="9"/>
        <v>-9999000</v>
      </c>
      <c r="AJ11" s="33">
        <f>IFERROR(INDEX('[2]SALES PERTYPE'!$D$10:$BA$52,MATCH($C11,'[2]SALES PERTYPE'!$B$10:$B$52,0),MATCH("Y31d Pro",'[2]SALES PERTYPE'!$D$8:$BA$8,0)),0)</f>
        <v>5</v>
      </c>
      <c r="AK11" s="33">
        <f>IFERROR(INDEX('[2]Sales per type Agustus'!$D$10:$BA$51,MATCH($C11,'[2]Sales per type Agustus'!$B$10:$B$51,0),MATCH("Y31d Pro",'[2]Sales per type Agustus'!$D$8:$BA$8,0)),0)</f>
        <v>4</v>
      </c>
      <c r="AL11" s="33">
        <f t="shared" si="10"/>
        <v>1</v>
      </c>
      <c r="AM11" s="33" cm="1">
        <f t="array" ref="AM11">IFERROR(INDEX('[2]SALES PERTYPE'!$D$10:$BA$52,MATCH($C11,'[2]SALES PERTYPE'!$B$10:$B$52,0),MATCH("Y31d Pro",'[2]SALES PERTYPE'!$D$8:$BA$8,0)+1),0)</f>
        <v>23495000</v>
      </c>
      <c r="AN11" s="33" cm="1">
        <f t="array" ref="AN11">IFERROR(INDEX('[2]Sales per type Agustus'!$D$10:$BA$51,MATCH($C11,'[2]Sales per type Agustus'!$B$10:$B$51,0),MATCH("Y31d Pro",'[2]Sales per type Agustus'!$D$8:$BA$8,0)+1),0)</f>
        <v>19196000</v>
      </c>
      <c r="AO11" s="33">
        <f t="shared" si="11"/>
        <v>4299000</v>
      </c>
      <c r="AP11" s="33" cm="1">
        <f t="array" ref="AP11">IFERROR(INDEX('[2]SALES PERTYPE'!$D$10:$BA$52,MATCH($C11,'[2]SALES PERTYPE'!$B$10:$B$52,0),$EI$3),0)</f>
        <v>0</v>
      </c>
      <c r="AQ11" s="33" cm="1">
        <f t="array" ref="AQ11">IFERROR(INDEX('[2]Sales per type Agustus'!$D$10:$BA$51,MATCH($C11,'[2]Sales per type Agustus'!$B$10:$B$51,0),$EI$2),0)</f>
        <v>0</v>
      </c>
      <c r="AR11" s="33">
        <f t="shared" si="12"/>
        <v>0</v>
      </c>
      <c r="AS11" s="33" cm="1">
        <f t="array" ref="AS11">IFERROR(INDEX('[2]SALES PERTYPE'!$D$10:$BA$52,MATCH($C11,'[2]SALES PERTYPE'!$B$10:$B$52,0),$EI$3+1),0)</f>
        <v>0</v>
      </c>
      <c r="AT11" s="33" cm="1">
        <f t="array" ref="AT11">IFERROR(INDEX('[2]Sales per type Agustus'!$D$10:$BA$51,MATCH($C11,'[2]Sales per type Agustus'!$B$10:$B$51,0),$EI$2+1),0)</f>
        <v>0</v>
      </c>
      <c r="AU11" s="33">
        <f t="shared" si="13"/>
        <v>0</v>
      </c>
      <c r="AV11" s="33">
        <f>IFERROR(INDEX('[2]SALES PERTYPE'!$D$10:$BA$52,MATCH($C11,'[2]SALES PERTYPE'!$B$10:$B$52,0),MATCH("Y31d ",'[2]SALES PERTYPE'!$D$8:$BA$8,0)),0)</f>
        <v>0</v>
      </c>
      <c r="AW11" s="33">
        <f>IFERROR(INDEX('[2]Sales per type Agustus'!$D$10:$BA$51,MATCH($C11,'[2]Sales per type Agustus'!$B$10:$B$51,0),MATCH("Y31d ",'[2]Sales per type Agustus'!$D$8:$BA$8,0)),0)</f>
        <v>0</v>
      </c>
      <c r="AX11" s="33">
        <f t="shared" si="14"/>
        <v>0</v>
      </c>
      <c r="AY11" s="33" cm="1">
        <f t="array" ref="AY11">IFERROR(INDEX('[2]SALES PERTYPE'!$D$10:$BA$52,MATCH($C11,'[2]SALES PERTYPE'!$B$10:$B$52,0),MATCH("Y31d ",'[2]SALES PERTYPE'!$D$8:$BA$8,0)+1),0)</f>
        <v>0</v>
      </c>
      <c r="AZ11" s="33" cm="1">
        <f t="array" ref="AZ11">IFERROR(INDEX('[2]Sales per type Agustus'!$D$10:$BA$51,MATCH($C11,'[2]Sales per type Agustus'!$B$10:$B$51,0),MATCH("Y31d ",'[2]Sales per type Agustus'!$D$8:$BA$8,0)+1),0)</f>
        <v>0</v>
      </c>
      <c r="BA11" s="33">
        <f t="shared" si="15"/>
        <v>0</v>
      </c>
      <c r="BB11" s="33">
        <f>IFERROR(INDEX('[2]SALES PERTYPE'!$D$10:$BA$52,MATCH($C11,'[2]SALES PERTYPE'!$B$10:$B$52,0),MATCH("V70 FE",'[2]SALES PERTYPE'!$D$8:$BA$8,0)),0)</f>
        <v>1</v>
      </c>
      <c r="BC11" s="33">
        <f>IFERROR(INDEX('[2]Sales per type Agustus'!$D$10:$BA$51,MATCH($C11,'[2]Sales per type Agustus'!$B$10:$B$51,0),MATCH("V70 FE",'[2]Sales per type Agustus'!$D$8:$BA$8,0)),0)</f>
        <v>2</v>
      </c>
      <c r="BD11" s="33">
        <f t="shared" si="16"/>
        <v>-1</v>
      </c>
      <c r="BE11" s="33" cm="1">
        <f t="array" ref="BE11">IFERROR(INDEX('[2]SALES PERTYPE'!$D$10:$BA$52,MATCH($C11,'[2]SALES PERTYPE'!$B$10:$B$52,0),MATCH("V70 FE",'[2]SALES PERTYPE'!$D$8:$BA$8,0)+1),0)</f>
        <v>7999000</v>
      </c>
      <c r="BF11" s="33" cm="1">
        <f t="array" ref="BF11">IFERROR(INDEX('[2]Sales per type Agustus'!$D$10:$BA$51,MATCH($C11,'[2]Sales per type Agustus'!$B$10:$B$51,0),MATCH("V70 FE",'[2]Sales per type Agustus'!$D$8:$BA$8,0)+1),0)</f>
        <v>13498000</v>
      </c>
      <c r="BG11" s="33">
        <f t="shared" si="17"/>
        <v>-5499000</v>
      </c>
      <c r="BH11" s="33">
        <f>IFERROR(INDEX('[2]SALES PERTYPE'!$D$10:$BA$52,MATCH($C11,'[2]SALES PERTYPE'!$B$10:$B$52,0),MATCH("Y31d",'[2]SALES PERTYPE'!$D$8:$BA$8,0)),0)</f>
        <v>0</v>
      </c>
      <c r="BI11" s="33">
        <f>IFERROR(INDEX('[2]Sales per type Agustus'!$D$10:$BA$51,MATCH($C11,'[2]Sales per type Agustus'!$B$10:$B$51,0),MATCH("Y31d",'[2]Sales per type Agustus'!$D$8:$BA$8,0)),0)</f>
        <v>0</v>
      </c>
      <c r="BJ11" s="33">
        <f t="shared" si="18"/>
        <v>0</v>
      </c>
      <c r="BK11" s="33" cm="1">
        <f t="array" ref="BK11">IFERROR(INDEX('[2]SALES PERTYPE'!$D$10:$BA$52,MATCH($C11,'[2]SALES PERTYPE'!$B$10:$B$52,0),MATCH("Y31d",'[2]SALES PERTYPE'!$D$8:$BA$8,0)+1),0)</f>
        <v>0</v>
      </c>
      <c r="BL11" s="33" cm="1">
        <f t="array" ref="BL11">IFERROR(INDEX('[2]Sales per type Agustus'!$D$10:$BA$51,MATCH($C11,'[2]Sales per type Agustus'!$B$10:$B$51,0),MATCH("Y31d",'[2]Sales per type Agustus'!$D$8:$BA$8,0)+1),0)</f>
        <v>0</v>
      </c>
      <c r="BM11" s="33">
        <f t="shared" si="19"/>
        <v>0</v>
      </c>
      <c r="BN11" s="33">
        <f>IFERROR(INDEX('[2]SALES PERTYPE'!$D$10:$BA$52,MATCH($C11,'[2]SALES PERTYPE'!$B$10:$B$52,0),MATCH("Y500",'[2]SALES PERTYPE'!$D$8:$BA$8,0)),0)</f>
        <v>0</v>
      </c>
      <c r="BO11" s="33">
        <f>IFERROR(INDEX('[2]Sales per type Agustus'!$D$10:$BA$51,MATCH($C11,'[2]Sales per type Agustus'!$B$10:$B$51,0),MATCH("Y500",'[2]Sales per type Agustus'!$D$8:$BA$8,0)),0)</f>
        <v>0</v>
      </c>
      <c r="BP11" s="33">
        <f t="shared" si="20"/>
        <v>0</v>
      </c>
      <c r="BQ11" s="33" cm="1">
        <f t="array" ref="BQ11">IFERROR(INDEX('[2]SALES PERTYPE'!$D$10:$BA$52,MATCH($C11,'[2]SALES PERTYPE'!$B$10:$B$52,0),MATCH("Y500",'[2]SALES PERTYPE'!$D$8:$BA$8,0)+1),0)</f>
        <v>0</v>
      </c>
      <c r="BR11" s="33" cm="1">
        <f t="array" ref="BR11">IFERROR(INDEX('[2]Sales per type Agustus'!$D$10:$BA$51,MATCH($C11,'[2]Sales per type Agustus'!$B$10:$B$51,0),MATCH("Y500",'[2]Sales per type Agustus'!$D$8:$BA$8,0)+1),0)</f>
        <v>0</v>
      </c>
      <c r="BS11" s="33">
        <f t="shared" si="21"/>
        <v>0</v>
      </c>
      <c r="BT11" s="33">
        <f>IFERROR(INDEX('[2]SALES PERTYPE'!$D$10:$BA$52,MATCH($C11,'[2]SALES PERTYPE'!$B$10:$B$52,0),MATCH("IQOO 15R",'[2]SALES PERTYPE'!$D$8:$BA$8,0)),0)</f>
        <v>0</v>
      </c>
      <c r="BU11" s="33">
        <f>IFERROR(INDEX('[2]Sales per type Agustus'!$D$10:$BA$51,MATCH($C11,'[2]Sales per type Agustus'!$B$10:$B$51,0),MATCH("IQOO 15R",'[2]Sales per type Agustus'!$D$8:$BA$8,0)),0)</f>
        <v>0</v>
      </c>
      <c r="BV11" s="33">
        <f t="shared" si="22"/>
        <v>0</v>
      </c>
      <c r="BW11" s="33" cm="1">
        <f t="array" ref="BW11">IFERROR(INDEX('[2]SALES PERTYPE'!$D$10:$BA$52,MATCH($C11,'[2]SALES PERTYPE'!$B$10:$B$52,0),MATCH("IQOO 15R",'[2]SALES PERTYPE'!$D$8:$BA$8,0)+1),0)</f>
        <v>0</v>
      </c>
      <c r="BX11" s="33" cm="1">
        <f t="array" ref="BX11">IFERROR(INDEX('[2]Sales per type Agustus'!$D$10:$BA$51,MATCH($C11,'[2]Sales per type Agustus'!$B$10:$B$51,0),MATCH("IQOO 15R",'[2]Sales per type Agustus'!$D$8:$BA$8,0)+1),0)</f>
        <v>0</v>
      </c>
      <c r="BY11" s="33">
        <f t="shared" si="23"/>
        <v>0</v>
      </c>
      <c r="BZ11" s="33">
        <f>IFERROR(INDEX('[2]SALES PERTYPE'!$D$10:$BA$52,MATCH($C11,'[2]SALES PERTYPE'!$B$10:$B$52,0),MATCH("V60 Lite",'[2]SALES PERTYPE'!$D$8:$BA$8,0)),0)</f>
        <v>0</v>
      </c>
      <c r="CA11" s="33">
        <f>IFERROR(INDEX('[2]Sales per type Agustus'!$D$10:$BA$51,MATCH($C11,'[2]Sales per type Agustus'!$B$10:$B$51,0),MATCH("V60 Lite",'[2]Sales per type Agustus'!$D$8:$BA$8,0)),0)</f>
        <v>0</v>
      </c>
      <c r="CB11" s="33">
        <f t="shared" si="24"/>
        <v>0</v>
      </c>
      <c r="CC11" s="33" cm="1">
        <f t="array" ref="CC11">IFERROR(INDEX('[2]SALES PERTYPE'!$D$10:$BA$52,MATCH($C11,'[2]SALES PERTYPE'!$B$10:$B$52,0),MATCH("V60 Lite",'[2]SALES PERTYPE'!$D$8:$BA$8,0)+1),0)</f>
        <v>0</v>
      </c>
      <c r="CD11" s="33" cm="1">
        <f t="array" ref="CD11">IFERROR(INDEX('[2]Sales per type Agustus'!$D$10:$BA$51,MATCH($C11,'[2]Sales per type Agustus'!$B$10:$B$51,0),MATCH("V60 Lite",'[2]Sales per type Agustus'!$D$8:$BA$8,0)+1),0)</f>
        <v>0</v>
      </c>
      <c r="CE11" s="33">
        <f t="shared" si="25"/>
        <v>0</v>
      </c>
      <c r="CF11" s="33">
        <f>IFERROR(INDEX('[2]SALES PERTYPE'!$D$10:$BA$52,MATCH($C11,'[2]SALES PERTYPE'!$B$10:$B$52,0),MATCH("X300 Ultra",'[2]SALES PERTYPE'!$D$8:$BA$8,0)),0)</f>
        <v>1</v>
      </c>
      <c r="CG11" s="33">
        <f>IFERROR(INDEX('[2]Sales per type Agustus'!$D$10:$BA$51,MATCH($C11,'[2]Sales per type Agustus'!$B$10:$B$51,0),MATCH("X300 Ultra",'[2]Sales per type Agustus'!$D$8:$BA$8,0)),0)</f>
        <v>1</v>
      </c>
      <c r="CH11" s="33">
        <f t="shared" si="26"/>
        <v>0</v>
      </c>
      <c r="CI11" s="33" cm="1">
        <f t="array" ref="CI11">IFERROR(INDEX('[2]SALES PERTYPE'!$D$10:$BA$52,MATCH($C11,'[2]SALES PERTYPE'!$B$10:$B$52,0),MATCH("X300 Ultra",'[2]SALES PERTYPE'!$D$8:$BA$8,0)+1),0)</f>
        <v>25999000</v>
      </c>
      <c r="CJ11" s="33" cm="1">
        <f t="array" ref="CJ11">IFERROR(INDEX('[2]Sales per type Agustus'!$D$10:$BA$51,MATCH($C11,'[2]Sales per type Agustus'!$B$10:$B$51,0),MATCH("X300 Ultra",'[2]Sales per type Agustus'!$D$8:$BA$8,0)+1),0)</f>
        <v>29999000</v>
      </c>
      <c r="CK11" s="33">
        <f t="shared" si="27"/>
        <v>-4000000</v>
      </c>
      <c r="CL11" s="33">
        <f>IFERROR(INDEX('[2]SALES PERTYPE'!$D$10:$BA$52,MATCH($C11,'[2]SALES PERTYPE'!$B$10:$B$52,0),MATCH("IQOO 15",'[2]SALES PERTYPE'!$D$8:$BA$8,0)),0)</f>
        <v>0</v>
      </c>
      <c r="CM11" s="33">
        <f>IFERROR(INDEX('[2]Sales per type Agustus'!$D$10:$BA$51,MATCH($C11,'[2]Sales per type Agustus'!$B$10:$B$51,0),MATCH("IQOO 15",'[2]Sales per type Agustus'!$D$8:$BA$8,0)),0)</f>
        <v>0</v>
      </c>
      <c r="CN11" s="33">
        <f t="shared" si="28"/>
        <v>0</v>
      </c>
      <c r="CO11" s="33" cm="1">
        <f t="array" ref="CO11">IFERROR(INDEX('[2]SALES PERTYPE'!$D$10:$BA$52,MATCH($C11,'[2]SALES PERTYPE'!$B$10:$B$52,0),MATCH("IQOO 15",'[2]SALES PERTYPE'!$D$8:$BA$8,0)+1),0)</f>
        <v>0</v>
      </c>
      <c r="CP11" s="33" cm="1">
        <f t="array" ref="CP11">IFERROR(INDEX('[2]Sales per type Agustus'!$D$10:$BA$51,MATCH($C11,'[2]Sales per type Agustus'!$B$10:$B$51,0),MATCH("IQOO 15",'[2]Sales per type Agustus'!$D$8:$BA$8,0)+1),0)</f>
        <v>0</v>
      </c>
      <c r="CQ11" s="33">
        <f t="shared" si="29"/>
        <v>0</v>
      </c>
      <c r="CR11" s="33">
        <f>IFERROR(INDEX('[2]SALES PERTYPE'!$D$10:$BA$52,MATCH($C11,'[2]SALES PERTYPE'!$B$10:$B$52,0),MATCH("IQOO Z11x",'[2]SALES PERTYPE'!$D$8:$BA$8,0)),0)</f>
        <v>1</v>
      </c>
      <c r="CS11" s="33">
        <f>IFERROR(INDEX('[2]Sales per type Agustus'!$D$10:$BA$51,MATCH($C11,'[2]Sales per type Agustus'!$B$10:$B$51,0),MATCH("IQOO Z11x",'[2]Sales per type Agustus'!$D$8:$BA$8,0)),0)</f>
        <v>0</v>
      </c>
      <c r="CT11" s="33">
        <f t="shared" si="30"/>
        <v>1</v>
      </c>
      <c r="CU11" s="33" cm="1">
        <f t="array" ref="CU11">IFERROR(INDEX('[2]SALES PERTYPE'!$D$10:$BA$52,MATCH($C11,'[2]SALES PERTYPE'!$B$10:$B$52,0),MATCH("IQOO Z11x",'[2]SALES PERTYPE'!$D$8:$BA$8,0)+1),0)</f>
        <v>5699000</v>
      </c>
      <c r="CV11" s="33" cm="1">
        <f t="array" ref="CV11">IFERROR(INDEX('[2]Sales per type Agustus'!$D$10:$BA$51,MATCH($C11,'[2]Sales per type Agustus'!$B$10:$B$51,0),MATCH("IQOO Z11x",'[2]Sales per type Agustus'!$D$8:$BA$8,0)+1),0)</f>
        <v>0</v>
      </c>
      <c r="CW11" s="33">
        <f t="shared" si="31"/>
        <v>5699000</v>
      </c>
      <c r="CX11" s="33">
        <f>IFERROR(INDEX('[2]SALES PERTYPE'!$D$10:$BA$52,MATCH($C11,'[2]SALES PERTYPE'!$B$10:$B$52,0),MATCH("IQOO Z11",'[2]SALES PERTYPE'!$D$8:$BA$8,0)),0)</f>
        <v>0</v>
      </c>
      <c r="CY11" s="33">
        <f>IFERROR(INDEX('[2]Sales per type Agustus'!$D$10:$BA$51,MATCH($C11,'[2]Sales per type Agustus'!$B$10:$B$51,0),MATCH("IQOO Z11",'[2]Sales per type Agustus'!$D$8:$BA$8,0)),0)</f>
        <v>1</v>
      </c>
      <c r="CZ11" s="33">
        <f t="shared" si="32"/>
        <v>-1</v>
      </c>
      <c r="DA11" s="33" cm="1">
        <f t="array" ref="DA11">IFERROR(INDEX('[2]SALES PERTYPE'!$D$10:$BA$52,MATCH($C11,'[2]SALES PERTYPE'!$B$10:$B$52,0),MATCH("IQOO Z11",'[2]SALES PERTYPE'!$D$8:$BA$8,0)+1),0)</f>
        <v>0</v>
      </c>
      <c r="DB11" s="33" cm="1">
        <f t="array" ref="DB11">IFERROR(INDEX('[2]Sales per type Agustus'!$D$10:$BA$51,MATCH($C11,'[2]Sales per type Agustus'!$B$10:$B$51,0),MATCH("IQOO Z11",'[2]Sales per type Agustus'!$D$8:$BA$8,0)+1),0)</f>
        <v>6899000</v>
      </c>
      <c r="DC11" s="33">
        <f t="shared" si="33"/>
        <v>-6899000</v>
      </c>
      <c r="DD11" s="33">
        <f>IFERROR(INDEX('[2]SALES PERTYPE'!$D$10:$BA$52,MATCH($C11,'[2]SALES PERTYPE'!$B$10:$B$52,0),MATCH("WATCH 3",'[2]SALES PERTYPE'!$D$8:$BA$8,0)),0)</f>
        <v>0</v>
      </c>
      <c r="DE11" s="33">
        <f>IFERROR(INDEX('[2]Sales per type Agustus'!$D$10:$BA$51,MATCH($C11,'[2]Sales per type Agustus'!$B$10:$B$51,0),MATCH("WATCH 3",'[2]Sales per type Agustus'!$D$8:$BA$8,0)),0)</f>
        <v>0</v>
      </c>
      <c r="DF11" s="33">
        <f t="shared" si="34"/>
        <v>0</v>
      </c>
      <c r="DG11" s="33" cm="1">
        <f t="array" ref="DG11">IFERROR(INDEX('[2]SALES PERTYPE'!$D$10:$BA$52,MATCH($C11,'[2]SALES PERTYPE'!$B$10:$B$52,0),MATCH("WATCH 3",'[2]SALES PERTYPE'!$D$8:$BA$8,0)+1),0)</f>
        <v>0</v>
      </c>
      <c r="DH11" s="33" cm="1">
        <f t="array" ref="DH11">IFERROR(INDEX('[2]Sales per type Agustus'!$D$10:$BA$51,MATCH($C11,'[2]Sales per type Agustus'!$B$10:$B$51,0),MATCH("WATCH 3",'[2]Sales per type Agustus'!$D$8:$BA$8,0)+1),0)</f>
        <v>0</v>
      </c>
      <c r="DI11" s="33">
        <f t="shared" si="35"/>
        <v>0</v>
      </c>
      <c r="DJ11" s="33">
        <f>IFERROR(INDEX('[2]SALES PERTYPE'!$D$10:$BA$52,MATCH($C11,'[2]SALES PERTYPE'!$B$10:$B$52,0),MATCH("X Fold5",'[2]SALES PERTYPE'!$D$8:$BA$8,0)),0)</f>
        <v>0</v>
      </c>
      <c r="DK11" s="33">
        <f>IFERROR(INDEX('[2]Sales per type Agustus'!$D$10:$BA$51,MATCH($C11,'[2]Sales per type Agustus'!$B$10:$B$51,0),MATCH("X Fold5",'[2]Sales per type Agustus'!$D$8:$BA$8,0)),0)</f>
        <v>0</v>
      </c>
      <c r="DL11" s="33">
        <f t="shared" si="36"/>
        <v>0</v>
      </c>
      <c r="DM11" s="33" cm="1">
        <f t="array" ref="DM11">IFERROR(INDEX('[2]SALES PERTYPE'!$D$10:$BA$52,MATCH($C11,'[2]SALES PERTYPE'!$B$10:$B$52,0),MATCH("X Fold5",'[2]SALES PERTYPE'!$D$8:$BA$8,0)+1),0)</f>
        <v>0</v>
      </c>
      <c r="DN11" s="33" cm="1">
        <f t="array" ref="DN11">IFERROR(INDEX('[2]Sales per type Agustus'!$D$10:$BA$51,MATCH($C11,'[2]Sales per type Agustus'!$B$10:$B$51,0),MATCH("X Fold5",'[2]Sales per type Agustus'!$D$8:$BA$8,0)+1),0)</f>
        <v>0</v>
      </c>
      <c r="DO11" s="33">
        <f t="shared" si="37"/>
        <v>0</v>
      </c>
      <c r="DP11" s="33">
        <f>IFERROR(INDEX('[2]SALES PERTYPE'!$D$10:$BA$52,MATCH($C11,'[2]SALES PERTYPE'!$B$10:$B$52,0),MATCH("X300 PRO",'[2]SALES PERTYPE'!$D$8:$BA$8,0)),0)</f>
        <v>0</v>
      </c>
      <c r="DQ11" s="33">
        <f>IFERROR(INDEX('[2]Sales per type Agustus'!$D$10:$BA$51,MATCH($C11,'[2]Sales per type Agustus'!$B$10:$B$51,0),MATCH("X300 PRO",'[2]Sales per type Agustus'!$D$8:$BA$8,0)),0)</f>
        <v>0</v>
      </c>
      <c r="DR11" s="33">
        <f t="shared" si="38"/>
        <v>0</v>
      </c>
      <c r="DS11" s="33" cm="1">
        <f t="array" ref="DS11">IFERROR(INDEX('[2]SALES PERTYPE'!$D$10:$BA$52,MATCH($C11,'[2]SALES PERTYPE'!$B$10:$B$52,0),MATCH("X300 PRO",'[2]SALES PERTYPE'!$D$8:$BA$8,0)+1),0)</f>
        <v>0</v>
      </c>
      <c r="DT11" s="33" cm="1">
        <f t="array" ref="DT11">IFERROR(INDEX('[2]Sales per type Agustus'!$D$10:$BA$51,MATCH($C11,'[2]Sales per type Agustus'!$B$10:$B$51,0),MATCH("X300 PRO",'[2]Sales per type Agustus'!$D$8:$BA$8,0)+1),0)</f>
        <v>0</v>
      </c>
      <c r="DU11" s="33">
        <f t="shared" si="39"/>
        <v>0</v>
      </c>
      <c r="DV11" s="33">
        <f>IFERROR(INDEX('[2]SALES PERTYPE'!$D$10:$BA$52,MATCH($C11,'[2]SALES PERTYPE'!$B$10:$B$52,0),MATCH("X300",'[2]SALES PERTYPE'!$D$8:$BA$8,0)),0)</f>
        <v>0</v>
      </c>
      <c r="DW11" s="33">
        <f>IFERROR(INDEX('[2]Sales per type Agustus'!$D$10:$BA$51,MATCH($C11,'[2]Sales per type Agustus'!$B$10:$B$51,0),MATCH("X300 ",'[2]Sales per type Agustus'!$D$8:$BA$8,0)),0)</f>
        <v>0</v>
      </c>
      <c r="DX11" s="33">
        <f t="shared" si="40"/>
        <v>0</v>
      </c>
      <c r="DY11" s="33" cm="1">
        <f t="array" ref="DY11">IFERROR(INDEX('[2]SALES PERTYPE'!$D$10:$BA$52,MATCH($C11,'[2]SALES PERTYPE'!$B$10:$B$52,0),MATCH("X300",'[2]SALES PERTYPE'!$D$8:$BA$8,0)+1),0)</f>
        <v>0</v>
      </c>
      <c r="DZ11" s="33" cm="1">
        <f t="array" ref="DZ11">IFERROR(INDEX('[2]Sales per type Agustus'!$D$10:$BA$51,MATCH($C11,'[2]Sales per type Agustus'!$B$10:$B$51,0),MATCH("X300 ",'[2]Sales per type Agustus'!$D$8:$BA$8,0)+1),0)</f>
        <v>0</v>
      </c>
      <c r="EA11" s="33">
        <f t="shared" si="41"/>
        <v>0</v>
      </c>
      <c r="EB11" s="33">
        <f t="shared" si="42"/>
        <v>20</v>
      </c>
      <c r="EC11" s="33">
        <f t="shared" si="42"/>
        <v>21</v>
      </c>
      <c r="ED11" s="33">
        <f t="shared" si="43"/>
        <v>-1</v>
      </c>
      <c r="EE11" s="33">
        <f t="shared" si="44"/>
        <v>101180000</v>
      </c>
      <c r="EF11" s="33">
        <f t="shared" si="44"/>
        <v>114979000</v>
      </c>
      <c r="EG11" s="33">
        <f t="shared" si="45"/>
        <v>-13799000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5">
        <f>'[2]ACHIEVEMENT STORE'!A12</f>
        <v>8</v>
      </c>
      <c r="B12" s="216" t="str">
        <f>'[2]ACHIEVEMENT STORE'!B12</f>
        <v>601 雅加达西北 JKT BU</v>
      </c>
      <c r="C12" s="215">
        <f>'[2]ACHIEVEMENT STORE'!C12</f>
        <v>6010711</v>
      </c>
      <c r="D12" s="216" t="str">
        <f>'[2]ACHIEVEMENT STORE'!D12</f>
        <v>6010711-LIPPO MALL PURI 1FK02</v>
      </c>
      <c r="E12" s="216" t="str">
        <f>'[2]ACHIEVEMENT STORE'!E12</f>
        <v>HERRU ILYASA</v>
      </c>
      <c r="F12" s="33">
        <f>IFERROR(INDEX('[2]SALES PERTYPE'!$D$10:$BA$52,MATCH($C12,'[2]SALES PERTYPE'!$B$10:$B$52,0),MATCH("Y05",'[2]SALES PERTYPE'!$D$8:$BA$8,0)),0)</f>
        <v>1</v>
      </c>
      <c r="G12" s="33">
        <f>IFERROR(INDEX('[2]Sales per type Agustus'!$D$10:$BA$51,MATCH($C12,'[2]Sales per type Agustus'!$B$10:$B$51,0),MATCH("Y05",'[2]Sales per type Agustus'!$D$8:$BA$8,0)),0)</f>
        <v>3</v>
      </c>
      <c r="H12" s="33">
        <f t="shared" si="0"/>
        <v>-2</v>
      </c>
      <c r="I12" s="33" cm="1">
        <f t="array" ref="I12">IFERROR(INDEX('[2]SALES PERTYPE'!$D$10:$BA$52,MATCH($C12,'[2]SALES PERTYPE'!$B$10:$B$52,0),MATCH("Y05",'[2]SALES PERTYPE'!$D$8:$BA$8,0)+1),0)</f>
        <v>2299000</v>
      </c>
      <c r="J12" s="33" cm="1">
        <f t="array" ref="J12">IFERROR(INDEX('[2]Sales per type Agustus'!$D$10:$BA$51,MATCH($C12,'[2]Sales per type Agustus'!$B$10:$B$51,0),MATCH("Y05",'[2]Sales per type Agustus'!$D$8:$BA$8,0)+1),0)</f>
        <v>7197000</v>
      </c>
      <c r="K12" s="33">
        <f t="shared" si="1"/>
        <v>-4898000</v>
      </c>
      <c r="L12" s="33">
        <f>IFERROR(INDEX('[2]SALES PERTYPE'!$D$10:$BA$52,MATCH($C12,'[2]SALES PERTYPE'!$B$10:$B$52,0),MATCH("Y11d",'[2]SALES PERTYPE'!$D$8:$BA$8,0)),0)</f>
        <v>0</v>
      </c>
      <c r="M12" s="33">
        <f>IFERROR(INDEX('[2]Sales per type Agustus'!$D$10:$BA$51,MATCH($C12,'[2]Sales per type Agustus'!$B$10:$B$51,0),MATCH("Y11d",'[2]Sales per type Agustus'!$D$8:$BA$8,0)),0)</f>
        <v>3</v>
      </c>
      <c r="N12" s="33">
        <f t="shared" si="2"/>
        <v>-3</v>
      </c>
      <c r="O12" s="33" cm="1">
        <f t="array" ref="O12">IFERROR(INDEX('[2]SALES PERTYPE'!$D$10:$BA$52,MATCH($C12,'[2]SALES PERTYPE'!$B$10:$B$52,0),MATCH("Y11d",'[2]SALES PERTYPE'!$D$8:$BA$8,0)+1),0)</f>
        <v>0</v>
      </c>
      <c r="P12" s="33" cm="1">
        <f t="array" ref="P12">IFERROR(INDEX('[2]Sales per type Agustus'!$D$10:$BA$51,MATCH($C12,'[2]Sales per type Agustus'!$B$10:$B$51,0),MATCH("Y11d",'[2]Sales per type Agustus'!$D$8:$BA$8,0)+1),0)</f>
        <v>7997000</v>
      </c>
      <c r="Q12" s="33">
        <f t="shared" si="3"/>
        <v>-7997000</v>
      </c>
      <c r="R12" s="33">
        <f>IFERROR(INDEX('[2]SALES PERTYPE'!$D$10:$BA$52,MATCH($C12,'[2]SALES PERTYPE'!$B$10:$B$52,0),MATCH("Watch GT 2",'[2]SALES PERTYPE'!$D$8:$BA$8,0)),0)</f>
        <v>0</v>
      </c>
      <c r="S12" s="33">
        <f>IFERROR(INDEX('[2]Sales per type Agustus'!$D$10:$BA$51,MATCH($C12,'[2]Sales per type Agustus'!$B$10:$B$51,0),MATCH("Watch GT 2",'[2]Sales per type Agustus'!$D$8:$BA$8,0)),0)</f>
        <v>0</v>
      </c>
      <c r="T12" s="33">
        <f t="shared" si="4"/>
        <v>0</v>
      </c>
      <c r="U12" s="33" cm="1">
        <f t="array" ref="U12">IFERROR(INDEX('[2]SALES PERTYPE'!$D$10:$BA$52,MATCH($C12,'[2]SALES PERTYPE'!$B$10:$B$52,0),MATCH("Watch GT 2",'[2]SALES PERTYPE'!$D$8:$BA$8,0)+1),0)</f>
        <v>0</v>
      </c>
      <c r="V12" s="33" cm="1">
        <f t="array" ref="V12">IFERROR(INDEX('[2]Sales per type Agustus'!$D$10:$BA$51,MATCH($C12,'[2]Sales per type Agustus'!$B$10:$B$51,0),MATCH("Watch GT 2",'[2]Sales per type Agustus'!$D$8:$BA$8,0)+1),0)</f>
        <v>0</v>
      </c>
      <c r="W12" s="33">
        <f t="shared" si="5"/>
        <v>0</v>
      </c>
      <c r="X12" s="33">
        <f>IFERROR(INDEX('[2]SALES PERTYPE'!$D$10:$BA$52,MATCH($C12,'[2]SALES PERTYPE'!$B$10:$B$52,0),MATCH("Y05e",'[2]SALES PERTYPE'!$D$8:$BA$8,0)),0)</f>
        <v>1</v>
      </c>
      <c r="Y12" s="33">
        <f>IFERROR(INDEX('[2]Sales per type Agustus'!$D$10:$BA$51,MATCH($C12,'[2]Sales per type Agustus'!$B$10:$B$51,0),MATCH("Y05e",'[2]Sales per type Agustus'!$D$8:$BA$8,0)),0)</f>
        <v>1</v>
      </c>
      <c r="Z12" s="33">
        <f t="shared" si="6"/>
        <v>0</v>
      </c>
      <c r="AA12" s="33" cm="1">
        <f t="array" ref="AA12">IFERROR(INDEX('[2]SALES PERTYPE'!$D$10:$BA$52,MATCH($C12,'[2]SALES PERTYPE'!$B$10:$B$52,0),MATCH("Y05e",'[2]SALES PERTYPE'!$D$8:$BA$8,0)+1),0)</f>
        <v>2099000</v>
      </c>
      <c r="AB12" s="33" cm="1">
        <f t="array" ref="AB12">IFERROR(INDEX('[2]Sales per type Agustus'!$D$10:$BA$51,MATCH($C12,'[2]Sales per type Agustus'!$B$10:$B$51,0),MATCH("Y05e",'[2]Sales per type Agustus'!$D$8:$BA$8,0)+1),0)</f>
        <v>2099000</v>
      </c>
      <c r="AC12" s="33">
        <f t="shared" si="7"/>
        <v>0</v>
      </c>
      <c r="AD12" s="33">
        <f>IFERROR(INDEX('[2]SALES PERTYPE'!$D$10:$BA$52,MATCH($C12,'[2]SALES PERTYPE'!$B$10:$B$52,0),MATCH("V70",'[2]SALES PERTYPE'!$D$8:$BA$8,0)),0)</f>
        <v>1</v>
      </c>
      <c r="AE12" s="33">
        <f>IFERROR(INDEX('[2]Sales per type Agustus'!$D$10:$BA$51,MATCH($C12,'[2]Sales per type Agustus'!$B$10:$B$51,0),MATCH("V70",'[2]Sales per type Agustus'!$D$8:$BA$8,0)),0)</f>
        <v>0</v>
      </c>
      <c r="AF12" s="33">
        <f t="shared" si="8"/>
        <v>1</v>
      </c>
      <c r="AG12" s="33" cm="1">
        <f t="array" ref="AG12">IFERROR(INDEX('[2]SALES PERTYPE'!$D$10:$BA$52,MATCH($C12,'[2]SALES PERTYPE'!$B$10:$B$52,0),MATCH("V70",'[2]SALES PERTYPE'!$D$8:$BA$8,0)+1),0)</f>
        <v>9999000</v>
      </c>
      <c r="AH12" s="33" cm="1">
        <f t="array" ref="AH12">IFERROR(INDEX('[2]Sales per type Agustus'!$D$10:$BA$51,MATCH($C12,'[2]Sales per type Agustus'!$B$10:$B$51,0),MATCH("V70",'[2]Sales per type Agustus'!$D$8:$BA$8,0)+1),0)</f>
        <v>0</v>
      </c>
      <c r="AI12" s="33">
        <f t="shared" si="9"/>
        <v>9999000</v>
      </c>
      <c r="AJ12" s="33">
        <f>IFERROR(INDEX('[2]SALES PERTYPE'!$D$10:$BA$52,MATCH($C12,'[2]SALES PERTYPE'!$B$10:$B$52,0),MATCH("Y31d Pro",'[2]SALES PERTYPE'!$D$8:$BA$8,0)),0)</f>
        <v>1</v>
      </c>
      <c r="AK12" s="33">
        <f>IFERROR(INDEX('[2]Sales per type Agustus'!$D$10:$BA$51,MATCH($C12,'[2]Sales per type Agustus'!$B$10:$B$51,0),MATCH("Y31d Pro",'[2]Sales per type Agustus'!$D$8:$BA$8,0)),0)</f>
        <v>2</v>
      </c>
      <c r="AL12" s="33">
        <f t="shared" si="10"/>
        <v>-1</v>
      </c>
      <c r="AM12" s="33" cm="1">
        <f t="array" ref="AM12">IFERROR(INDEX('[2]SALES PERTYPE'!$D$10:$BA$52,MATCH($C12,'[2]SALES PERTYPE'!$B$10:$B$52,0),MATCH("Y31d Pro",'[2]SALES PERTYPE'!$D$8:$BA$8,0)+1),0)</f>
        <v>3899000</v>
      </c>
      <c r="AN12" s="33" cm="1">
        <f t="array" ref="AN12">IFERROR(INDEX('[2]Sales per type Agustus'!$D$10:$BA$51,MATCH($C12,'[2]Sales per type Agustus'!$B$10:$B$51,0),MATCH("Y31d Pro",'[2]Sales per type Agustus'!$D$8:$BA$8,0)+1),0)</f>
        <v>8198000</v>
      </c>
      <c r="AO12" s="33">
        <f t="shared" si="11"/>
        <v>-4299000</v>
      </c>
      <c r="AP12" s="33" cm="1">
        <f t="array" ref="AP12">IFERROR(INDEX('[2]SALES PERTYPE'!$D$10:$BA$52,MATCH($C12,'[2]SALES PERTYPE'!$B$10:$B$52,0),$EI$3),0)</f>
        <v>0</v>
      </c>
      <c r="AQ12" s="33" cm="1">
        <f t="array" ref="AQ12">IFERROR(INDEX('[2]Sales per type Agustus'!$D$10:$BA$51,MATCH($C12,'[2]Sales per type Agustus'!$B$10:$B$51,0),$EI$2),0)</f>
        <v>0</v>
      </c>
      <c r="AR12" s="33">
        <f t="shared" si="12"/>
        <v>0</v>
      </c>
      <c r="AS12" s="33" cm="1">
        <f t="array" ref="AS12">IFERROR(INDEX('[2]SALES PERTYPE'!$D$10:$BA$52,MATCH($C12,'[2]SALES PERTYPE'!$B$10:$B$52,0),$EI$3+1),0)</f>
        <v>0</v>
      </c>
      <c r="AT12" s="33" cm="1">
        <f t="array" ref="AT12">IFERROR(INDEX('[2]Sales per type Agustus'!$D$10:$BA$51,MATCH($C12,'[2]Sales per type Agustus'!$B$10:$B$51,0),$EI$2+1),0)</f>
        <v>0</v>
      </c>
      <c r="AU12" s="33">
        <f t="shared" si="13"/>
        <v>0</v>
      </c>
      <c r="AV12" s="33">
        <f>IFERROR(INDEX('[2]SALES PERTYPE'!$D$10:$BA$52,MATCH($C12,'[2]SALES PERTYPE'!$B$10:$B$52,0),MATCH("Y31d ",'[2]SALES PERTYPE'!$D$8:$BA$8,0)),0)</f>
        <v>0</v>
      </c>
      <c r="AW12" s="33">
        <f>IFERROR(INDEX('[2]Sales per type Agustus'!$D$10:$BA$51,MATCH($C12,'[2]Sales per type Agustus'!$B$10:$B$51,0),MATCH("Y31d ",'[2]Sales per type Agustus'!$D$8:$BA$8,0)),0)</f>
        <v>0</v>
      </c>
      <c r="AX12" s="33">
        <f t="shared" si="14"/>
        <v>0</v>
      </c>
      <c r="AY12" s="33" cm="1">
        <f t="array" ref="AY12">IFERROR(INDEX('[2]SALES PERTYPE'!$D$10:$BA$52,MATCH($C12,'[2]SALES PERTYPE'!$B$10:$B$52,0),MATCH("Y31d ",'[2]SALES PERTYPE'!$D$8:$BA$8,0)+1),0)</f>
        <v>0</v>
      </c>
      <c r="AZ12" s="33" cm="1">
        <f t="array" ref="AZ12">IFERROR(INDEX('[2]Sales per type Agustus'!$D$10:$BA$51,MATCH($C12,'[2]Sales per type Agustus'!$B$10:$B$51,0),MATCH("Y31d ",'[2]Sales per type Agustus'!$D$8:$BA$8,0)+1),0)</f>
        <v>0</v>
      </c>
      <c r="BA12" s="33">
        <f t="shared" si="15"/>
        <v>0</v>
      </c>
      <c r="BB12" s="33">
        <f>IFERROR(INDEX('[2]SALES PERTYPE'!$D$10:$BA$52,MATCH($C12,'[2]SALES PERTYPE'!$B$10:$B$52,0),MATCH("V70 FE",'[2]SALES PERTYPE'!$D$8:$BA$8,0)),0)</f>
        <v>1</v>
      </c>
      <c r="BC12" s="33">
        <f>IFERROR(INDEX('[2]Sales per type Agustus'!$D$10:$BA$51,MATCH($C12,'[2]Sales per type Agustus'!$B$10:$B$51,0),MATCH("V70 FE",'[2]Sales per type Agustus'!$D$8:$BA$8,0)),0)</f>
        <v>0</v>
      </c>
      <c r="BD12" s="33">
        <f t="shared" si="16"/>
        <v>1</v>
      </c>
      <c r="BE12" s="33" cm="1">
        <f t="array" ref="BE12">IFERROR(INDEX('[2]SALES PERTYPE'!$D$10:$BA$52,MATCH($C12,'[2]SALES PERTYPE'!$B$10:$B$52,0),MATCH("V70 FE",'[2]SALES PERTYPE'!$D$8:$BA$8,0)+1),0)</f>
        <v>7999000</v>
      </c>
      <c r="BF12" s="33" cm="1">
        <f t="array" ref="BF12">IFERROR(INDEX('[2]Sales per type Agustus'!$D$10:$BA$51,MATCH($C12,'[2]Sales per type Agustus'!$B$10:$B$51,0),MATCH("V70 FE",'[2]Sales per type Agustus'!$D$8:$BA$8,0)+1),0)</f>
        <v>0</v>
      </c>
      <c r="BG12" s="33">
        <f t="shared" si="17"/>
        <v>7999000</v>
      </c>
      <c r="BH12" s="33">
        <f>IFERROR(INDEX('[2]SALES PERTYPE'!$D$10:$BA$52,MATCH($C12,'[2]SALES PERTYPE'!$B$10:$B$52,0),MATCH("Y31d",'[2]SALES PERTYPE'!$D$8:$BA$8,0)),0)</f>
        <v>0</v>
      </c>
      <c r="BI12" s="33">
        <f>IFERROR(INDEX('[2]Sales per type Agustus'!$D$10:$BA$51,MATCH($C12,'[2]Sales per type Agustus'!$B$10:$B$51,0),MATCH("Y31d",'[2]Sales per type Agustus'!$D$8:$BA$8,0)),0)</f>
        <v>0</v>
      </c>
      <c r="BJ12" s="33">
        <f t="shared" si="18"/>
        <v>0</v>
      </c>
      <c r="BK12" s="33" cm="1">
        <f t="array" ref="BK12">IFERROR(INDEX('[2]SALES PERTYPE'!$D$10:$BA$52,MATCH($C12,'[2]SALES PERTYPE'!$B$10:$B$52,0),MATCH("Y31d",'[2]SALES PERTYPE'!$D$8:$BA$8,0)+1),0)</f>
        <v>0</v>
      </c>
      <c r="BL12" s="33" cm="1">
        <f t="array" ref="BL12">IFERROR(INDEX('[2]Sales per type Agustus'!$D$10:$BA$51,MATCH($C12,'[2]Sales per type Agustus'!$B$10:$B$51,0),MATCH("Y31d",'[2]Sales per type Agustus'!$D$8:$BA$8,0)+1),0)</f>
        <v>0</v>
      </c>
      <c r="BM12" s="33">
        <f t="shared" si="19"/>
        <v>0</v>
      </c>
      <c r="BN12" s="33">
        <f>IFERROR(INDEX('[2]SALES PERTYPE'!$D$10:$BA$52,MATCH($C12,'[2]SALES PERTYPE'!$B$10:$B$52,0),MATCH("Y500",'[2]SALES PERTYPE'!$D$8:$BA$8,0)),0)</f>
        <v>0</v>
      </c>
      <c r="BO12" s="33">
        <f>IFERROR(INDEX('[2]Sales per type Agustus'!$D$10:$BA$51,MATCH($C12,'[2]Sales per type Agustus'!$B$10:$B$51,0),MATCH("Y500",'[2]Sales per type Agustus'!$D$8:$BA$8,0)),0)</f>
        <v>1</v>
      </c>
      <c r="BP12" s="33">
        <f t="shared" si="20"/>
        <v>-1</v>
      </c>
      <c r="BQ12" s="33" cm="1">
        <f t="array" ref="BQ12">IFERROR(INDEX('[2]SALES PERTYPE'!$D$10:$BA$52,MATCH($C12,'[2]SALES PERTYPE'!$B$10:$B$52,0),MATCH("Y500",'[2]SALES PERTYPE'!$D$8:$BA$8,0)+1),0)</f>
        <v>0</v>
      </c>
      <c r="BR12" s="33" cm="1">
        <f t="array" ref="BR12">IFERROR(INDEX('[2]Sales per type Agustus'!$D$10:$BA$51,MATCH($C12,'[2]Sales per type Agustus'!$B$10:$B$51,0),MATCH("Y500",'[2]Sales per type Agustus'!$D$8:$BA$8,0)+1),0)</f>
        <v>5499000</v>
      </c>
      <c r="BS12" s="33">
        <f t="shared" si="21"/>
        <v>-5499000</v>
      </c>
      <c r="BT12" s="33">
        <f>IFERROR(INDEX('[2]SALES PERTYPE'!$D$10:$BA$52,MATCH($C12,'[2]SALES PERTYPE'!$B$10:$B$52,0),MATCH("IQOO 15R",'[2]SALES PERTYPE'!$D$8:$BA$8,0)),0)</f>
        <v>0</v>
      </c>
      <c r="BU12" s="33">
        <f>IFERROR(INDEX('[2]Sales per type Agustus'!$D$10:$BA$51,MATCH($C12,'[2]Sales per type Agustus'!$B$10:$B$51,0),MATCH("IQOO 15R",'[2]Sales per type Agustus'!$D$8:$BA$8,0)),0)</f>
        <v>0</v>
      </c>
      <c r="BV12" s="33">
        <f t="shared" si="22"/>
        <v>0</v>
      </c>
      <c r="BW12" s="33" cm="1">
        <f t="array" ref="BW12">IFERROR(INDEX('[2]SALES PERTYPE'!$D$10:$BA$52,MATCH($C12,'[2]SALES PERTYPE'!$B$10:$B$52,0),MATCH("IQOO 15R",'[2]SALES PERTYPE'!$D$8:$BA$8,0)+1),0)</f>
        <v>0</v>
      </c>
      <c r="BX12" s="33" cm="1">
        <f t="array" ref="BX12">IFERROR(INDEX('[2]Sales per type Agustus'!$D$10:$BA$51,MATCH($C12,'[2]Sales per type Agustus'!$B$10:$B$51,0),MATCH("IQOO 15R",'[2]Sales per type Agustus'!$D$8:$BA$8,0)+1),0)</f>
        <v>0</v>
      </c>
      <c r="BY12" s="33">
        <f t="shared" si="23"/>
        <v>0</v>
      </c>
      <c r="BZ12" s="33">
        <f>IFERROR(INDEX('[2]SALES PERTYPE'!$D$10:$BA$52,MATCH($C12,'[2]SALES PERTYPE'!$B$10:$B$52,0),MATCH("V60 Lite",'[2]SALES PERTYPE'!$D$8:$BA$8,0)),0)</f>
        <v>1</v>
      </c>
      <c r="CA12" s="33">
        <f>IFERROR(INDEX('[2]Sales per type Agustus'!$D$10:$BA$51,MATCH($C12,'[2]Sales per type Agustus'!$B$10:$B$51,0),MATCH("V60 Lite",'[2]Sales per type Agustus'!$D$8:$BA$8,0)),0)</f>
        <v>1</v>
      </c>
      <c r="CB12" s="33">
        <f t="shared" si="24"/>
        <v>0</v>
      </c>
      <c r="CC12" s="33" cm="1">
        <f t="array" ref="CC12">IFERROR(INDEX('[2]SALES PERTYPE'!$D$10:$BA$52,MATCH($C12,'[2]SALES PERTYPE'!$B$10:$B$52,0),MATCH("V60 Lite",'[2]SALES PERTYPE'!$D$8:$BA$8,0)+1),0)</f>
        <v>5899000</v>
      </c>
      <c r="CD12" s="33" cm="1">
        <f t="array" ref="CD12">IFERROR(INDEX('[2]Sales per type Agustus'!$D$10:$BA$51,MATCH($C12,'[2]Sales per type Agustus'!$B$10:$B$51,0),MATCH("V60 Lite",'[2]Sales per type Agustus'!$D$8:$BA$8,0)+1),0)</f>
        <v>6499000</v>
      </c>
      <c r="CE12" s="33">
        <f t="shared" si="25"/>
        <v>-600000</v>
      </c>
      <c r="CF12" s="33">
        <f>IFERROR(INDEX('[2]SALES PERTYPE'!$D$10:$BA$52,MATCH($C12,'[2]SALES PERTYPE'!$B$10:$B$52,0),MATCH("X300 Ultra",'[2]SALES PERTYPE'!$D$8:$BA$8,0)),0)</f>
        <v>0</v>
      </c>
      <c r="CG12" s="33">
        <f>IFERROR(INDEX('[2]Sales per type Agustus'!$D$10:$BA$51,MATCH($C12,'[2]Sales per type Agustus'!$B$10:$B$51,0),MATCH("X300 Ultra",'[2]Sales per type Agustus'!$D$8:$BA$8,0)),0)</f>
        <v>2</v>
      </c>
      <c r="CH12" s="33">
        <f t="shared" si="26"/>
        <v>-2</v>
      </c>
      <c r="CI12" s="33" cm="1">
        <f t="array" ref="CI12">IFERROR(INDEX('[2]SALES PERTYPE'!$D$10:$BA$52,MATCH($C12,'[2]SALES PERTYPE'!$B$10:$B$52,0),MATCH("X300 Ultra",'[2]SALES PERTYPE'!$D$8:$BA$8,0)+1),0)</f>
        <v>0</v>
      </c>
      <c r="CJ12" s="33" cm="1">
        <f t="array" ref="CJ12">IFERROR(INDEX('[2]Sales per type Agustus'!$D$10:$BA$51,MATCH($C12,'[2]Sales per type Agustus'!$B$10:$B$51,0),MATCH("X300 Ultra",'[2]Sales per type Agustus'!$D$8:$BA$8,0)+1),0)</f>
        <v>55998000</v>
      </c>
      <c r="CK12" s="33">
        <f t="shared" si="27"/>
        <v>-55998000</v>
      </c>
      <c r="CL12" s="33">
        <f>IFERROR(INDEX('[2]SALES PERTYPE'!$D$10:$BA$52,MATCH($C12,'[2]SALES PERTYPE'!$B$10:$B$52,0),MATCH("IQOO 15",'[2]SALES PERTYPE'!$D$8:$BA$8,0)),0)</f>
        <v>0</v>
      </c>
      <c r="CM12" s="33">
        <f>IFERROR(INDEX('[2]Sales per type Agustus'!$D$10:$BA$51,MATCH($C12,'[2]Sales per type Agustus'!$B$10:$B$51,0),MATCH("IQOO 15",'[2]Sales per type Agustus'!$D$8:$BA$8,0)),0)</f>
        <v>1</v>
      </c>
      <c r="CN12" s="33">
        <f t="shared" si="28"/>
        <v>-1</v>
      </c>
      <c r="CO12" s="33" cm="1">
        <f t="array" ref="CO12">IFERROR(INDEX('[2]SALES PERTYPE'!$D$10:$BA$52,MATCH($C12,'[2]SALES PERTYPE'!$B$10:$B$52,0),MATCH("IQOO 15",'[2]SALES PERTYPE'!$D$8:$BA$8,0)+1),0)</f>
        <v>0</v>
      </c>
      <c r="CP12" s="33" cm="1">
        <f t="array" ref="CP12">IFERROR(INDEX('[2]Sales per type Agustus'!$D$10:$BA$51,MATCH($C12,'[2]Sales per type Agustus'!$B$10:$B$51,0),MATCH("IQOO 15",'[2]Sales per type Agustus'!$D$8:$BA$8,0)+1),0)</f>
        <v>15999000</v>
      </c>
      <c r="CQ12" s="33">
        <f t="shared" si="29"/>
        <v>-15999000</v>
      </c>
      <c r="CR12" s="33">
        <f>IFERROR(INDEX('[2]SALES PERTYPE'!$D$10:$BA$52,MATCH($C12,'[2]SALES PERTYPE'!$B$10:$B$52,0),MATCH("IQOO Z11x",'[2]SALES PERTYPE'!$D$8:$BA$8,0)),0)</f>
        <v>0</v>
      </c>
      <c r="CS12" s="33">
        <f>IFERROR(INDEX('[2]Sales per type Agustus'!$D$10:$BA$51,MATCH($C12,'[2]Sales per type Agustus'!$B$10:$B$51,0),MATCH("IQOO Z11x",'[2]Sales per type Agustus'!$D$8:$BA$8,0)),0)</f>
        <v>0</v>
      </c>
      <c r="CT12" s="33">
        <f t="shared" si="30"/>
        <v>0</v>
      </c>
      <c r="CU12" s="33" cm="1">
        <f t="array" ref="CU12">IFERROR(INDEX('[2]SALES PERTYPE'!$D$10:$BA$52,MATCH($C12,'[2]SALES PERTYPE'!$B$10:$B$52,0),MATCH("IQOO Z11x",'[2]SALES PERTYPE'!$D$8:$BA$8,0)+1),0)</f>
        <v>0</v>
      </c>
      <c r="CV12" s="33" cm="1">
        <f t="array" ref="CV12">IFERROR(INDEX('[2]Sales per type Agustus'!$D$10:$BA$51,MATCH($C12,'[2]Sales per type Agustus'!$B$10:$B$51,0),MATCH("IQOO Z11x",'[2]Sales per type Agustus'!$D$8:$BA$8,0)+1),0)</f>
        <v>0</v>
      </c>
      <c r="CW12" s="33">
        <f t="shared" si="31"/>
        <v>0</v>
      </c>
      <c r="CX12" s="33">
        <f>IFERROR(INDEX('[2]SALES PERTYPE'!$D$10:$BA$52,MATCH($C12,'[2]SALES PERTYPE'!$B$10:$B$52,0),MATCH("IQOO Z11",'[2]SALES PERTYPE'!$D$8:$BA$8,0)),0)</f>
        <v>0</v>
      </c>
      <c r="CY12" s="33">
        <f>IFERROR(INDEX('[2]Sales per type Agustus'!$D$10:$BA$51,MATCH($C12,'[2]Sales per type Agustus'!$B$10:$B$51,0),MATCH("IQOO Z11",'[2]Sales per type Agustus'!$D$8:$BA$8,0)),0)</f>
        <v>1</v>
      </c>
      <c r="CZ12" s="33">
        <f t="shared" si="32"/>
        <v>-1</v>
      </c>
      <c r="DA12" s="33" cm="1">
        <f t="array" ref="DA12">IFERROR(INDEX('[2]SALES PERTYPE'!$D$10:$BA$52,MATCH($C12,'[2]SALES PERTYPE'!$B$10:$B$52,0),MATCH("IQOO Z11",'[2]SALES PERTYPE'!$D$8:$BA$8,0)+1),0)</f>
        <v>0</v>
      </c>
      <c r="DB12" s="33" cm="1">
        <f t="array" ref="DB12">IFERROR(INDEX('[2]Sales per type Agustus'!$D$10:$BA$51,MATCH($C12,'[2]Sales per type Agustus'!$B$10:$B$51,0),MATCH("IQOO Z11",'[2]Sales per type Agustus'!$D$8:$BA$8,0)+1),0)</f>
        <v>7999000</v>
      </c>
      <c r="DC12" s="33">
        <f t="shared" si="33"/>
        <v>-7999000</v>
      </c>
      <c r="DD12" s="33">
        <f>IFERROR(INDEX('[2]SALES PERTYPE'!$D$10:$BA$52,MATCH($C12,'[2]SALES PERTYPE'!$B$10:$B$52,0),MATCH("WATCH 3",'[2]SALES PERTYPE'!$D$8:$BA$8,0)),0)</f>
        <v>0</v>
      </c>
      <c r="DE12" s="33">
        <f>IFERROR(INDEX('[2]Sales per type Agustus'!$D$10:$BA$51,MATCH($C12,'[2]Sales per type Agustus'!$B$10:$B$51,0),MATCH("WATCH 3",'[2]Sales per type Agustus'!$D$8:$BA$8,0)),0)</f>
        <v>0</v>
      </c>
      <c r="DF12" s="33">
        <f t="shared" si="34"/>
        <v>0</v>
      </c>
      <c r="DG12" s="33" cm="1">
        <f t="array" ref="DG12">IFERROR(INDEX('[2]SALES PERTYPE'!$D$10:$BA$52,MATCH($C12,'[2]SALES PERTYPE'!$B$10:$B$52,0),MATCH("WATCH 3",'[2]SALES PERTYPE'!$D$8:$BA$8,0)+1),0)</f>
        <v>0</v>
      </c>
      <c r="DH12" s="33" cm="1">
        <f t="array" ref="DH12">IFERROR(INDEX('[2]Sales per type Agustus'!$D$10:$BA$51,MATCH($C12,'[2]Sales per type Agustus'!$B$10:$B$51,0),MATCH("WATCH 3",'[2]Sales per type Agustus'!$D$8:$BA$8,0)+1),0)</f>
        <v>0</v>
      </c>
      <c r="DI12" s="33">
        <f t="shared" si="35"/>
        <v>0</v>
      </c>
      <c r="DJ12" s="33">
        <f>IFERROR(INDEX('[2]SALES PERTYPE'!$D$10:$BA$52,MATCH($C12,'[2]SALES PERTYPE'!$B$10:$B$52,0),MATCH("X Fold5",'[2]SALES PERTYPE'!$D$8:$BA$8,0)),0)</f>
        <v>0</v>
      </c>
      <c r="DK12" s="33">
        <f>IFERROR(INDEX('[2]Sales per type Agustus'!$D$10:$BA$51,MATCH($C12,'[2]Sales per type Agustus'!$B$10:$B$51,0),MATCH("X Fold5",'[2]Sales per type Agustus'!$D$8:$BA$8,0)),0)</f>
        <v>0</v>
      </c>
      <c r="DL12" s="33">
        <f t="shared" si="36"/>
        <v>0</v>
      </c>
      <c r="DM12" s="33" cm="1">
        <f t="array" ref="DM12">IFERROR(INDEX('[2]SALES PERTYPE'!$D$10:$BA$52,MATCH($C12,'[2]SALES PERTYPE'!$B$10:$B$52,0),MATCH("X Fold5",'[2]SALES PERTYPE'!$D$8:$BA$8,0)+1),0)</f>
        <v>0</v>
      </c>
      <c r="DN12" s="33" cm="1">
        <f t="array" ref="DN12">IFERROR(INDEX('[2]Sales per type Agustus'!$D$10:$BA$51,MATCH($C12,'[2]Sales per type Agustus'!$B$10:$B$51,0),MATCH("X Fold5",'[2]Sales per type Agustus'!$D$8:$BA$8,0)+1),0)</f>
        <v>0</v>
      </c>
      <c r="DO12" s="33">
        <f t="shared" si="37"/>
        <v>0</v>
      </c>
      <c r="DP12" s="33">
        <f>IFERROR(INDEX('[2]SALES PERTYPE'!$D$10:$BA$52,MATCH($C12,'[2]SALES PERTYPE'!$B$10:$B$52,0),MATCH("X300 PRO",'[2]SALES PERTYPE'!$D$8:$BA$8,0)),0)</f>
        <v>0</v>
      </c>
      <c r="DQ12" s="33">
        <f>IFERROR(INDEX('[2]Sales per type Agustus'!$D$10:$BA$51,MATCH($C12,'[2]Sales per type Agustus'!$B$10:$B$51,0),MATCH("X300 PRO",'[2]Sales per type Agustus'!$D$8:$BA$8,0)),0)</f>
        <v>0</v>
      </c>
      <c r="DR12" s="33">
        <f t="shared" si="38"/>
        <v>0</v>
      </c>
      <c r="DS12" s="33" cm="1">
        <f t="array" ref="DS12">IFERROR(INDEX('[2]SALES PERTYPE'!$D$10:$BA$52,MATCH($C12,'[2]SALES PERTYPE'!$B$10:$B$52,0),MATCH("X300 PRO",'[2]SALES PERTYPE'!$D$8:$BA$8,0)+1),0)</f>
        <v>0</v>
      </c>
      <c r="DT12" s="33" cm="1">
        <f t="array" ref="DT12">IFERROR(INDEX('[2]Sales per type Agustus'!$D$10:$BA$51,MATCH($C12,'[2]Sales per type Agustus'!$B$10:$B$51,0),MATCH("X300 PRO",'[2]Sales per type Agustus'!$D$8:$BA$8,0)+1),0)</f>
        <v>0</v>
      </c>
      <c r="DU12" s="33">
        <f t="shared" si="39"/>
        <v>0</v>
      </c>
      <c r="DV12" s="33">
        <f>IFERROR(INDEX('[2]SALES PERTYPE'!$D$10:$BA$52,MATCH($C12,'[2]SALES PERTYPE'!$B$10:$B$52,0),MATCH("X300",'[2]SALES PERTYPE'!$D$8:$BA$8,0)),0)</f>
        <v>0</v>
      </c>
      <c r="DW12" s="33">
        <f>IFERROR(INDEX('[2]Sales per type Agustus'!$D$10:$BA$51,MATCH($C12,'[2]Sales per type Agustus'!$B$10:$B$51,0),MATCH("X300 ",'[2]Sales per type Agustus'!$D$8:$BA$8,0)),0)</f>
        <v>0</v>
      </c>
      <c r="DX12" s="33">
        <f t="shared" si="40"/>
        <v>0</v>
      </c>
      <c r="DY12" s="33" cm="1">
        <f t="array" ref="DY12">IFERROR(INDEX('[2]SALES PERTYPE'!$D$10:$BA$52,MATCH($C12,'[2]SALES PERTYPE'!$B$10:$B$52,0),MATCH("X300",'[2]SALES PERTYPE'!$D$8:$BA$8,0)+1),0)</f>
        <v>0</v>
      </c>
      <c r="DZ12" s="33" cm="1">
        <f t="array" ref="DZ12">IFERROR(INDEX('[2]Sales per type Agustus'!$D$10:$BA$51,MATCH($C12,'[2]Sales per type Agustus'!$B$10:$B$51,0),MATCH("X300 ",'[2]Sales per type Agustus'!$D$8:$BA$8,0)+1),0)</f>
        <v>0</v>
      </c>
      <c r="EA12" s="33">
        <f t="shared" si="41"/>
        <v>0</v>
      </c>
      <c r="EB12" s="33">
        <f t="shared" si="42"/>
        <v>6</v>
      </c>
      <c r="EC12" s="33">
        <f t="shared" si="42"/>
        <v>15</v>
      </c>
      <c r="ED12" s="33">
        <f t="shared" si="43"/>
        <v>-9</v>
      </c>
      <c r="EE12" s="33">
        <f t="shared" si="44"/>
        <v>32194000</v>
      </c>
      <c r="EF12" s="33">
        <f t="shared" si="44"/>
        <v>117485000</v>
      </c>
      <c r="EG12" s="33">
        <f t="shared" si="45"/>
        <v>-85291000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'[2]ACHIEVEMENT STORE'!A13</f>
        <v>9</v>
      </c>
      <c r="B13" s="32" t="str">
        <f>'[2]ACHIEVEMENT STORE'!B13</f>
        <v>601 雅加达西北 JKT BU</v>
      </c>
      <c r="C13" s="31">
        <f>'[2]ACHIEVEMENT STORE'!C13</f>
        <v>6020706</v>
      </c>
      <c r="D13" s="32" t="str">
        <f>'[2]ACHIEVEMENT STORE'!D13</f>
        <v>6020706-CEMPAKA SHOWROOM 2 (454)</v>
      </c>
      <c r="E13" s="32" t="str">
        <f>'[2]ACHIEVEMENT STORE'!E13</f>
        <v>NOVIA HARYANTI</v>
      </c>
      <c r="F13" s="33">
        <f>IFERROR(INDEX('[2]SALES PERTYPE'!$D$10:$BA$52,MATCH($C13,'[2]SALES PERTYPE'!$B$10:$B$52,0),MATCH("Y05",'[2]SALES PERTYPE'!$D$8:$BA$8,0)),0)</f>
        <v>8</v>
      </c>
      <c r="G13" s="33">
        <f>IFERROR(INDEX('[2]Sales per type Agustus'!$D$10:$BA$51,MATCH($C13,'[2]Sales per type Agustus'!$B$10:$B$51,0),MATCH("Y05",'[2]Sales per type Agustus'!$D$8:$BA$8,0)),0)</f>
        <v>9</v>
      </c>
      <c r="H13" s="33">
        <f t="shared" si="0"/>
        <v>-1</v>
      </c>
      <c r="I13" s="33" cm="1">
        <f t="array" ref="I13">IFERROR(INDEX('[2]SALES PERTYPE'!$D$10:$BA$52,MATCH($C13,'[2]SALES PERTYPE'!$B$10:$B$52,0),MATCH("Y05",'[2]SALES PERTYPE'!$D$8:$BA$8,0)+1),0)</f>
        <v>19592000</v>
      </c>
      <c r="J13" s="33" cm="1">
        <f t="array" ref="J13">IFERROR(INDEX('[2]Sales per type Agustus'!$D$10:$BA$51,MATCH($C13,'[2]Sales per type Agustus'!$B$10:$B$51,0),MATCH("Y05",'[2]Sales per type Agustus'!$D$8:$BA$8,0)+1),0)</f>
        <v>21891000</v>
      </c>
      <c r="K13" s="33">
        <f t="shared" si="1"/>
        <v>-2299000</v>
      </c>
      <c r="L13" s="33">
        <f>IFERROR(INDEX('[2]SALES PERTYPE'!$D$10:$BA$52,MATCH($C13,'[2]SALES PERTYPE'!$B$10:$B$52,0),MATCH("Y11d",'[2]SALES PERTYPE'!$D$8:$BA$8,0)),0)</f>
        <v>11</v>
      </c>
      <c r="M13" s="33">
        <f>IFERROR(INDEX('[2]Sales per type Agustus'!$D$10:$BA$51,MATCH($C13,'[2]Sales per type Agustus'!$B$10:$B$51,0),MATCH("Y11d",'[2]Sales per type Agustus'!$D$8:$BA$8,0)),0)</f>
        <v>4</v>
      </c>
      <c r="N13" s="33">
        <f t="shared" si="2"/>
        <v>7</v>
      </c>
      <c r="O13" s="33" cm="1">
        <f t="array" ref="O13">IFERROR(INDEX('[2]SALES PERTYPE'!$D$10:$BA$52,MATCH($C13,'[2]SALES PERTYPE'!$B$10:$B$52,0),MATCH("Y11d",'[2]SALES PERTYPE'!$D$8:$BA$8,0)+1),0)</f>
        <v>28789000</v>
      </c>
      <c r="P13" s="33" cm="1">
        <f t="array" ref="P13">IFERROR(INDEX('[2]Sales per type Agustus'!$D$10:$BA$51,MATCH($C13,'[2]Sales per type Agustus'!$B$10:$B$51,0),MATCH("Y11d",'[2]Sales per type Agustus'!$D$8:$BA$8,0)+1),0)</f>
        <v>11196000</v>
      </c>
      <c r="Q13" s="33">
        <f t="shared" si="3"/>
        <v>17593000</v>
      </c>
      <c r="R13" s="33">
        <f>IFERROR(INDEX('[2]SALES PERTYPE'!$D$10:$BA$52,MATCH($C13,'[2]SALES PERTYPE'!$B$10:$B$52,0),MATCH("Watch GT 2",'[2]SALES PERTYPE'!$D$8:$BA$8,0)),0)</f>
        <v>0</v>
      </c>
      <c r="S13" s="33">
        <f>IFERROR(INDEX('[2]Sales per type Agustus'!$D$10:$BA$51,MATCH($C13,'[2]Sales per type Agustus'!$B$10:$B$51,0),MATCH("Watch GT 2",'[2]Sales per type Agustus'!$D$8:$BA$8,0)),0)</f>
        <v>0</v>
      </c>
      <c r="T13" s="33">
        <f t="shared" si="4"/>
        <v>0</v>
      </c>
      <c r="U13" s="33" cm="1">
        <f t="array" ref="U13">IFERROR(INDEX('[2]SALES PERTYPE'!$D$10:$BA$52,MATCH($C13,'[2]SALES PERTYPE'!$B$10:$B$52,0),MATCH("Watch GT 2",'[2]SALES PERTYPE'!$D$8:$BA$8,0)+1),0)</f>
        <v>0</v>
      </c>
      <c r="V13" s="33" cm="1">
        <f t="array" ref="V13">IFERROR(INDEX('[2]Sales per type Agustus'!$D$10:$BA$51,MATCH($C13,'[2]Sales per type Agustus'!$B$10:$B$51,0),MATCH("Watch GT 2",'[2]Sales per type Agustus'!$D$8:$BA$8,0)+1),0)</f>
        <v>0</v>
      </c>
      <c r="W13" s="33">
        <f t="shared" si="5"/>
        <v>0</v>
      </c>
      <c r="X13" s="33">
        <f>IFERROR(INDEX('[2]SALES PERTYPE'!$D$10:$BA$52,MATCH($C13,'[2]SALES PERTYPE'!$B$10:$B$52,0),MATCH("Y05e",'[2]SALES PERTYPE'!$D$8:$BA$8,0)),0)</f>
        <v>2</v>
      </c>
      <c r="Y13" s="33">
        <f>IFERROR(INDEX('[2]Sales per type Agustus'!$D$10:$BA$51,MATCH($C13,'[2]Sales per type Agustus'!$B$10:$B$51,0),MATCH("Y05e",'[2]Sales per type Agustus'!$D$8:$BA$8,0)),0)</f>
        <v>1</v>
      </c>
      <c r="Z13" s="33">
        <f t="shared" si="6"/>
        <v>1</v>
      </c>
      <c r="AA13" s="33" cm="1">
        <f t="array" ref="AA13">IFERROR(INDEX('[2]SALES PERTYPE'!$D$10:$BA$52,MATCH($C13,'[2]SALES PERTYPE'!$B$10:$B$52,0),MATCH("Y05e",'[2]SALES PERTYPE'!$D$8:$BA$8,0)+1),0)</f>
        <v>4198000</v>
      </c>
      <c r="AB13" s="33" cm="1">
        <f t="array" ref="AB13">IFERROR(INDEX('[2]Sales per type Agustus'!$D$10:$BA$51,MATCH($C13,'[2]Sales per type Agustus'!$B$10:$B$51,0),MATCH("Y05e",'[2]Sales per type Agustus'!$D$8:$BA$8,0)+1),0)</f>
        <v>2099000</v>
      </c>
      <c r="AC13" s="33">
        <f t="shared" si="7"/>
        <v>2099000</v>
      </c>
      <c r="AD13" s="33">
        <f>IFERROR(INDEX('[2]SALES PERTYPE'!$D$10:$BA$52,MATCH($C13,'[2]SALES PERTYPE'!$B$10:$B$52,0),MATCH("V70",'[2]SALES PERTYPE'!$D$8:$BA$8,0)),0)</f>
        <v>2</v>
      </c>
      <c r="AE13" s="33">
        <f>IFERROR(INDEX('[2]Sales per type Agustus'!$D$10:$BA$51,MATCH($C13,'[2]Sales per type Agustus'!$B$10:$B$51,0),MATCH("V70",'[2]Sales per type Agustus'!$D$8:$BA$8,0)),0)</f>
        <v>0</v>
      </c>
      <c r="AF13" s="33">
        <f t="shared" si="8"/>
        <v>2</v>
      </c>
      <c r="AG13" s="33" cm="1">
        <f t="array" ref="AG13">IFERROR(INDEX('[2]SALES PERTYPE'!$D$10:$BA$52,MATCH($C13,'[2]SALES PERTYPE'!$B$10:$B$52,0),MATCH("V70",'[2]SALES PERTYPE'!$D$8:$BA$8,0)+1),0)</f>
        <v>19998000</v>
      </c>
      <c r="AH13" s="33" cm="1">
        <f t="array" ref="AH13">IFERROR(INDEX('[2]Sales per type Agustus'!$D$10:$BA$51,MATCH($C13,'[2]Sales per type Agustus'!$B$10:$B$51,0),MATCH("V70",'[2]Sales per type Agustus'!$D$8:$BA$8,0)+1),0)</f>
        <v>0</v>
      </c>
      <c r="AI13" s="33">
        <f t="shared" si="9"/>
        <v>19998000</v>
      </c>
      <c r="AJ13" s="33">
        <f>IFERROR(INDEX('[2]SALES PERTYPE'!$D$10:$BA$52,MATCH($C13,'[2]SALES PERTYPE'!$B$10:$B$52,0),MATCH("Y31d Pro",'[2]SALES PERTYPE'!$D$8:$BA$8,0)),0)</f>
        <v>2</v>
      </c>
      <c r="AK13" s="33">
        <f>IFERROR(INDEX('[2]Sales per type Agustus'!$D$10:$BA$51,MATCH($C13,'[2]Sales per type Agustus'!$B$10:$B$51,0),MATCH("Y31d Pro",'[2]Sales per type Agustus'!$D$8:$BA$8,0)),0)</f>
        <v>4</v>
      </c>
      <c r="AL13" s="33">
        <f t="shared" si="10"/>
        <v>-2</v>
      </c>
      <c r="AM13" s="33" cm="1">
        <f t="array" ref="AM13">IFERROR(INDEX('[2]SALES PERTYPE'!$D$10:$BA$52,MATCH($C13,'[2]SALES PERTYPE'!$B$10:$B$52,0),MATCH("Y31d Pro",'[2]SALES PERTYPE'!$D$8:$BA$8,0)+1),0)</f>
        <v>8598000</v>
      </c>
      <c r="AN13" s="33" cm="1">
        <f t="array" ref="AN13">IFERROR(INDEX('[2]Sales per type Agustus'!$D$10:$BA$51,MATCH($C13,'[2]Sales per type Agustus'!$B$10:$B$51,0),MATCH("Y31d Pro",'[2]Sales per type Agustus'!$D$8:$BA$8,0)+1),0)</f>
        <v>18596000</v>
      </c>
      <c r="AO13" s="33">
        <f t="shared" si="11"/>
        <v>-9998000</v>
      </c>
      <c r="AP13" s="33" cm="1">
        <f t="array" ref="AP13">IFERROR(INDEX('[2]SALES PERTYPE'!$D$10:$BA$52,MATCH($C13,'[2]SALES PERTYPE'!$B$10:$B$52,0),$EI$3),0)</f>
        <v>0</v>
      </c>
      <c r="AQ13" s="33" cm="1">
        <f t="array" ref="AQ13">IFERROR(INDEX('[2]Sales per type Agustus'!$D$10:$BA$51,MATCH($C13,'[2]Sales per type Agustus'!$B$10:$B$51,0),$EI$2),0)</f>
        <v>0</v>
      </c>
      <c r="AR13" s="33">
        <f t="shared" si="12"/>
        <v>0</v>
      </c>
      <c r="AS13" s="33" cm="1">
        <f t="array" ref="AS13">IFERROR(INDEX('[2]SALES PERTYPE'!$D$10:$BA$52,MATCH($C13,'[2]SALES PERTYPE'!$B$10:$B$52,0),$EI$3+1),0)</f>
        <v>0</v>
      </c>
      <c r="AT13" s="33" cm="1">
        <f t="array" ref="AT13">IFERROR(INDEX('[2]Sales per type Agustus'!$D$10:$BA$51,MATCH($C13,'[2]Sales per type Agustus'!$B$10:$B$51,0),$EI$2+1),0)</f>
        <v>0</v>
      </c>
      <c r="AU13" s="33">
        <f t="shared" si="13"/>
        <v>0</v>
      </c>
      <c r="AV13" s="33">
        <f>IFERROR(INDEX('[2]SALES PERTYPE'!$D$10:$BA$52,MATCH($C13,'[2]SALES PERTYPE'!$B$10:$B$52,0),MATCH("Y31d ",'[2]SALES PERTYPE'!$D$8:$BA$8,0)),0)</f>
        <v>1</v>
      </c>
      <c r="AW13" s="33">
        <f>IFERROR(INDEX('[2]Sales per type Agustus'!$D$10:$BA$51,MATCH($C13,'[2]Sales per type Agustus'!$B$10:$B$51,0),MATCH("Y31d ",'[2]Sales per type Agustus'!$D$8:$BA$8,0)),0)</f>
        <v>1</v>
      </c>
      <c r="AX13" s="33">
        <f t="shared" si="14"/>
        <v>0</v>
      </c>
      <c r="AY13" s="33" cm="1">
        <f t="array" ref="AY13">IFERROR(INDEX('[2]SALES PERTYPE'!$D$10:$BA$52,MATCH($C13,'[2]SALES PERTYPE'!$B$10:$B$52,0),MATCH("Y31d ",'[2]SALES PERTYPE'!$D$8:$BA$8,0)+1),0)</f>
        <v>3599000</v>
      </c>
      <c r="AZ13" s="33" cm="1">
        <f t="array" ref="AZ13">IFERROR(INDEX('[2]Sales per type Agustus'!$D$10:$BA$51,MATCH($C13,'[2]Sales per type Agustus'!$B$10:$B$51,0),MATCH("Y31d ",'[2]Sales per type Agustus'!$D$8:$BA$8,0)+1),0)</f>
        <v>3599000</v>
      </c>
      <c r="BA13" s="33">
        <f t="shared" si="15"/>
        <v>0</v>
      </c>
      <c r="BB13" s="33">
        <f>IFERROR(INDEX('[2]SALES PERTYPE'!$D$10:$BA$52,MATCH($C13,'[2]SALES PERTYPE'!$B$10:$B$52,0),MATCH("V70 FE",'[2]SALES PERTYPE'!$D$8:$BA$8,0)),0)</f>
        <v>0</v>
      </c>
      <c r="BC13" s="33">
        <f>IFERROR(INDEX('[2]Sales per type Agustus'!$D$10:$BA$51,MATCH($C13,'[2]Sales per type Agustus'!$B$10:$B$51,0),MATCH("V70 FE",'[2]Sales per type Agustus'!$D$8:$BA$8,0)),0)</f>
        <v>0</v>
      </c>
      <c r="BD13" s="33">
        <f t="shared" si="16"/>
        <v>0</v>
      </c>
      <c r="BE13" s="33" cm="1">
        <f t="array" ref="BE13">IFERROR(INDEX('[2]SALES PERTYPE'!$D$10:$BA$52,MATCH($C13,'[2]SALES PERTYPE'!$B$10:$B$52,0),MATCH("V70 FE",'[2]SALES PERTYPE'!$D$8:$BA$8,0)+1),0)</f>
        <v>0</v>
      </c>
      <c r="BF13" s="33" cm="1">
        <f t="array" ref="BF13">IFERROR(INDEX('[2]Sales per type Agustus'!$D$10:$BA$51,MATCH($C13,'[2]Sales per type Agustus'!$B$10:$B$51,0),MATCH("V70 FE",'[2]Sales per type Agustus'!$D$8:$BA$8,0)+1),0)</f>
        <v>0</v>
      </c>
      <c r="BG13" s="33">
        <f t="shared" si="17"/>
        <v>0</v>
      </c>
      <c r="BH13" s="33">
        <f>IFERROR(INDEX('[2]SALES PERTYPE'!$D$10:$BA$52,MATCH($C13,'[2]SALES PERTYPE'!$B$10:$B$52,0),MATCH("Y31d",'[2]SALES PERTYPE'!$D$8:$BA$8,0)),0)</f>
        <v>1</v>
      </c>
      <c r="BI13" s="33">
        <f>IFERROR(INDEX('[2]Sales per type Agustus'!$D$10:$BA$51,MATCH($C13,'[2]Sales per type Agustus'!$B$10:$B$51,0),MATCH("Y31d",'[2]Sales per type Agustus'!$D$8:$BA$8,0)),0)</f>
        <v>0</v>
      </c>
      <c r="BJ13" s="33">
        <f t="shared" si="18"/>
        <v>1</v>
      </c>
      <c r="BK13" s="33" cm="1">
        <f t="array" ref="BK13">IFERROR(INDEX('[2]SALES PERTYPE'!$D$10:$BA$52,MATCH($C13,'[2]SALES PERTYPE'!$B$10:$B$52,0),MATCH("Y31d",'[2]SALES PERTYPE'!$D$8:$BA$8,0)+1),0)</f>
        <v>3599000</v>
      </c>
      <c r="BL13" s="33" cm="1">
        <f t="array" ref="BL13">IFERROR(INDEX('[2]Sales per type Agustus'!$D$10:$BA$51,MATCH($C13,'[2]Sales per type Agustus'!$B$10:$B$51,0),MATCH("Y31d",'[2]Sales per type Agustus'!$D$8:$BA$8,0)+1),0)</f>
        <v>0</v>
      </c>
      <c r="BM13" s="33">
        <f t="shared" si="19"/>
        <v>3599000</v>
      </c>
      <c r="BN13" s="33">
        <f>IFERROR(INDEX('[2]SALES PERTYPE'!$D$10:$BA$52,MATCH($C13,'[2]SALES PERTYPE'!$B$10:$B$52,0),MATCH("Y500",'[2]SALES PERTYPE'!$D$8:$BA$8,0)),0)</f>
        <v>0</v>
      </c>
      <c r="BO13" s="33">
        <f>IFERROR(INDEX('[2]Sales per type Agustus'!$D$10:$BA$51,MATCH($C13,'[2]Sales per type Agustus'!$B$10:$B$51,0),MATCH("Y500",'[2]Sales per type Agustus'!$D$8:$BA$8,0)),0)</f>
        <v>1</v>
      </c>
      <c r="BP13" s="33">
        <f t="shared" si="20"/>
        <v>-1</v>
      </c>
      <c r="BQ13" s="33" cm="1">
        <f t="array" ref="BQ13">IFERROR(INDEX('[2]SALES PERTYPE'!$D$10:$BA$52,MATCH($C13,'[2]SALES PERTYPE'!$B$10:$B$52,0),MATCH("Y500",'[2]SALES PERTYPE'!$D$8:$BA$8,0)+1),0)</f>
        <v>0</v>
      </c>
      <c r="BR13" s="33" cm="1">
        <f t="array" ref="BR13">IFERROR(INDEX('[2]Sales per type Agustus'!$D$10:$BA$51,MATCH($C13,'[2]Sales per type Agustus'!$B$10:$B$51,0),MATCH("Y500",'[2]Sales per type Agustus'!$D$8:$BA$8,0)+1),0)</f>
        <v>6299000</v>
      </c>
      <c r="BS13" s="33">
        <f t="shared" si="21"/>
        <v>-6299000</v>
      </c>
      <c r="BT13" s="33">
        <f>IFERROR(INDEX('[2]SALES PERTYPE'!$D$10:$BA$52,MATCH($C13,'[2]SALES PERTYPE'!$B$10:$B$52,0),MATCH("IQOO 15R",'[2]SALES PERTYPE'!$D$8:$BA$8,0)),0)</f>
        <v>0</v>
      </c>
      <c r="BU13" s="33">
        <f>IFERROR(INDEX('[2]Sales per type Agustus'!$D$10:$BA$51,MATCH($C13,'[2]Sales per type Agustus'!$B$10:$B$51,0),MATCH("IQOO 15R",'[2]Sales per type Agustus'!$D$8:$BA$8,0)),0)</f>
        <v>0</v>
      </c>
      <c r="BV13" s="33">
        <f t="shared" si="22"/>
        <v>0</v>
      </c>
      <c r="BW13" s="33" cm="1">
        <f t="array" ref="BW13">IFERROR(INDEX('[2]SALES PERTYPE'!$D$10:$BA$52,MATCH($C13,'[2]SALES PERTYPE'!$B$10:$B$52,0),MATCH("IQOO 15R",'[2]SALES PERTYPE'!$D$8:$BA$8,0)+1),0)</f>
        <v>0</v>
      </c>
      <c r="BX13" s="33" cm="1">
        <f t="array" ref="BX13">IFERROR(INDEX('[2]Sales per type Agustus'!$D$10:$BA$51,MATCH($C13,'[2]Sales per type Agustus'!$B$10:$B$51,0),MATCH("IQOO 15R",'[2]Sales per type Agustus'!$D$8:$BA$8,0)+1),0)</f>
        <v>0</v>
      </c>
      <c r="BY13" s="33">
        <f t="shared" si="23"/>
        <v>0</v>
      </c>
      <c r="BZ13" s="33">
        <f>IFERROR(INDEX('[2]SALES PERTYPE'!$D$10:$BA$52,MATCH($C13,'[2]SALES PERTYPE'!$B$10:$B$52,0),MATCH("V60 Lite",'[2]SALES PERTYPE'!$D$8:$BA$8,0)),0)</f>
        <v>4</v>
      </c>
      <c r="CA13" s="33">
        <f>IFERROR(INDEX('[2]Sales per type Agustus'!$D$10:$BA$51,MATCH($C13,'[2]Sales per type Agustus'!$B$10:$B$51,0),MATCH("V60 Lite",'[2]Sales per type Agustus'!$D$8:$BA$8,0)),0)</f>
        <v>2</v>
      </c>
      <c r="CB13" s="33">
        <f t="shared" si="24"/>
        <v>2</v>
      </c>
      <c r="CC13" s="33" cm="1">
        <f t="array" ref="CC13">IFERROR(INDEX('[2]SALES PERTYPE'!$D$10:$BA$52,MATCH($C13,'[2]SALES PERTYPE'!$B$10:$B$52,0),MATCH("V60 Lite",'[2]SALES PERTYPE'!$D$8:$BA$8,0)+1),0)</f>
        <v>23596000</v>
      </c>
      <c r="CD13" s="33" cm="1">
        <f t="array" ref="CD13">IFERROR(INDEX('[2]Sales per type Agustus'!$D$10:$BA$51,MATCH($C13,'[2]Sales per type Agustus'!$B$10:$B$51,0),MATCH("V60 Lite",'[2]Sales per type Agustus'!$D$8:$BA$8,0)+1),0)</f>
        <v>11298000</v>
      </c>
      <c r="CE13" s="33">
        <f t="shared" si="25"/>
        <v>12298000</v>
      </c>
      <c r="CF13" s="33">
        <f>IFERROR(INDEX('[2]SALES PERTYPE'!$D$10:$BA$52,MATCH($C13,'[2]SALES PERTYPE'!$B$10:$B$52,0),MATCH("X300 Ultra",'[2]SALES PERTYPE'!$D$8:$BA$8,0)),0)</f>
        <v>0</v>
      </c>
      <c r="CG13" s="33">
        <f>IFERROR(INDEX('[2]Sales per type Agustus'!$D$10:$BA$51,MATCH($C13,'[2]Sales per type Agustus'!$B$10:$B$51,0),MATCH("X300 Ultra",'[2]Sales per type Agustus'!$D$8:$BA$8,0)),0)</f>
        <v>0</v>
      </c>
      <c r="CH13" s="33">
        <f t="shared" si="26"/>
        <v>0</v>
      </c>
      <c r="CI13" s="33" cm="1">
        <f t="array" ref="CI13">IFERROR(INDEX('[2]SALES PERTYPE'!$D$10:$BA$52,MATCH($C13,'[2]SALES PERTYPE'!$B$10:$B$52,0),MATCH("X300 Ultra",'[2]SALES PERTYPE'!$D$8:$BA$8,0)+1),0)</f>
        <v>0</v>
      </c>
      <c r="CJ13" s="33" cm="1">
        <f t="array" ref="CJ13">IFERROR(INDEX('[2]Sales per type Agustus'!$D$10:$BA$51,MATCH($C13,'[2]Sales per type Agustus'!$B$10:$B$51,0),MATCH("X300 Ultra",'[2]Sales per type Agustus'!$D$8:$BA$8,0)+1),0)</f>
        <v>0</v>
      </c>
      <c r="CK13" s="33">
        <f t="shared" si="27"/>
        <v>0</v>
      </c>
      <c r="CL13" s="33">
        <f>IFERROR(INDEX('[2]SALES PERTYPE'!$D$10:$BA$52,MATCH($C13,'[2]SALES PERTYPE'!$B$10:$B$52,0),MATCH("IQOO 15",'[2]SALES PERTYPE'!$D$8:$BA$8,0)),0)</f>
        <v>0</v>
      </c>
      <c r="CM13" s="33">
        <f>IFERROR(INDEX('[2]Sales per type Agustus'!$D$10:$BA$51,MATCH($C13,'[2]Sales per type Agustus'!$B$10:$B$51,0),MATCH("IQOO 15",'[2]Sales per type Agustus'!$D$8:$BA$8,0)),0)</f>
        <v>0</v>
      </c>
      <c r="CN13" s="33">
        <f t="shared" si="28"/>
        <v>0</v>
      </c>
      <c r="CO13" s="33" cm="1">
        <f t="array" ref="CO13">IFERROR(INDEX('[2]SALES PERTYPE'!$D$10:$BA$52,MATCH($C13,'[2]SALES PERTYPE'!$B$10:$B$52,0),MATCH("IQOO 15",'[2]SALES PERTYPE'!$D$8:$BA$8,0)+1),0)</f>
        <v>0</v>
      </c>
      <c r="CP13" s="33" cm="1">
        <f t="array" ref="CP13">IFERROR(INDEX('[2]Sales per type Agustus'!$D$10:$BA$51,MATCH($C13,'[2]Sales per type Agustus'!$B$10:$B$51,0),MATCH("IQOO 15",'[2]Sales per type Agustus'!$D$8:$BA$8,0)+1),0)</f>
        <v>0</v>
      </c>
      <c r="CQ13" s="33">
        <f t="shared" si="29"/>
        <v>0</v>
      </c>
      <c r="CR13" s="33">
        <f>IFERROR(INDEX('[2]SALES PERTYPE'!$D$10:$BA$52,MATCH($C13,'[2]SALES PERTYPE'!$B$10:$B$52,0),MATCH("IQOO Z11x",'[2]SALES PERTYPE'!$D$8:$BA$8,0)),0)</f>
        <v>0</v>
      </c>
      <c r="CS13" s="33">
        <f>IFERROR(INDEX('[2]Sales per type Agustus'!$D$10:$BA$51,MATCH($C13,'[2]Sales per type Agustus'!$B$10:$B$51,0),MATCH("IQOO Z11x",'[2]Sales per type Agustus'!$D$8:$BA$8,0)),0)</f>
        <v>1</v>
      </c>
      <c r="CT13" s="33">
        <f t="shared" si="30"/>
        <v>-1</v>
      </c>
      <c r="CU13" s="33" cm="1">
        <f t="array" ref="CU13">IFERROR(INDEX('[2]SALES PERTYPE'!$D$10:$BA$52,MATCH($C13,'[2]SALES PERTYPE'!$B$10:$B$52,0),MATCH("IQOO Z11x",'[2]SALES PERTYPE'!$D$8:$BA$8,0)+1),0)</f>
        <v>0</v>
      </c>
      <c r="CV13" s="33" cm="1">
        <f t="array" ref="CV13">IFERROR(INDEX('[2]Sales per type Agustus'!$D$10:$BA$51,MATCH($C13,'[2]Sales per type Agustus'!$B$10:$B$51,0),MATCH("IQOO Z11x",'[2]Sales per type Agustus'!$D$8:$BA$8,0)+1),0)</f>
        <v>5699000</v>
      </c>
      <c r="CW13" s="33">
        <f t="shared" si="31"/>
        <v>-5699000</v>
      </c>
      <c r="CX13" s="33">
        <f>IFERROR(INDEX('[2]SALES PERTYPE'!$D$10:$BA$52,MATCH($C13,'[2]SALES PERTYPE'!$B$10:$B$52,0),MATCH("IQOO Z11",'[2]SALES PERTYPE'!$D$8:$BA$8,0)),0)</f>
        <v>0</v>
      </c>
      <c r="CY13" s="33">
        <f>IFERROR(INDEX('[2]Sales per type Agustus'!$D$10:$BA$51,MATCH($C13,'[2]Sales per type Agustus'!$B$10:$B$51,0),MATCH("IQOO Z11",'[2]Sales per type Agustus'!$D$8:$BA$8,0)),0)</f>
        <v>0</v>
      </c>
      <c r="CZ13" s="33">
        <f t="shared" si="32"/>
        <v>0</v>
      </c>
      <c r="DA13" s="33" cm="1">
        <f t="array" ref="DA13">IFERROR(INDEX('[2]SALES PERTYPE'!$D$10:$BA$52,MATCH($C13,'[2]SALES PERTYPE'!$B$10:$B$52,0),MATCH("IQOO Z11",'[2]SALES PERTYPE'!$D$8:$BA$8,0)+1),0)</f>
        <v>0</v>
      </c>
      <c r="DB13" s="33" cm="1">
        <f t="array" ref="DB13">IFERROR(INDEX('[2]Sales per type Agustus'!$D$10:$BA$51,MATCH($C13,'[2]Sales per type Agustus'!$B$10:$B$51,0),MATCH("IQOO Z11",'[2]Sales per type Agustus'!$D$8:$BA$8,0)+1),0)</f>
        <v>0</v>
      </c>
      <c r="DC13" s="33">
        <f t="shared" si="33"/>
        <v>0</v>
      </c>
      <c r="DD13" s="33">
        <f>IFERROR(INDEX('[2]SALES PERTYPE'!$D$10:$BA$52,MATCH($C13,'[2]SALES PERTYPE'!$B$10:$B$52,0),MATCH("WATCH 3",'[2]SALES PERTYPE'!$D$8:$BA$8,0)),0)</f>
        <v>0</v>
      </c>
      <c r="DE13" s="33">
        <f>IFERROR(INDEX('[2]Sales per type Agustus'!$D$10:$BA$51,MATCH($C13,'[2]Sales per type Agustus'!$B$10:$B$51,0),MATCH("WATCH 3",'[2]Sales per type Agustus'!$D$8:$BA$8,0)),0)</f>
        <v>0</v>
      </c>
      <c r="DF13" s="33">
        <f t="shared" si="34"/>
        <v>0</v>
      </c>
      <c r="DG13" s="33" cm="1">
        <f t="array" ref="DG13">IFERROR(INDEX('[2]SALES PERTYPE'!$D$10:$BA$52,MATCH($C13,'[2]SALES PERTYPE'!$B$10:$B$52,0),MATCH("WATCH 3",'[2]SALES PERTYPE'!$D$8:$BA$8,0)+1),0)</f>
        <v>0</v>
      </c>
      <c r="DH13" s="33" cm="1">
        <f t="array" ref="DH13">IFERROR(INDEX('[2]Sales per type Agustus'!$D$10:$BA$51,MATCH($C13,'[2]Sales per type Agustus'!$B$10:$B$51,0),MATCH("WATCH 3",'[2]Sales per type Agustus'!$D$8:$BA$8,0)+1),0)</f>
        <v>0</v>
      </c>
      <c r="DI13" s="33">
        <f t="shared" si="35"/>
        <v>0</v>
      </c>
      <c r="DJ13" s="33">
        <f>IFERROR(INDEX('[2]SALES PERTYPE'!$D$10:$BA$52,MATCH($C13,'[2]SALES PERTYPE'!$B$10:$B$52,0),MATCH("X Fold5",'[2]SALES PERTYPE'!$D$8:$BA$8,0)),0)</f>
        <v>0</v>
      </c>
      <c r="DK13" s="33">
        <f>IFERROR(INDEX('[2]Sales per type Agustus'!$D$10:$BA$51,MATCH($C13,'[2]Sales per type Agustus'!$B$10:$B$51,0),MATCH("X Fold5",'[2]Sales per type Agustus'!$D$8:$BA$8,0)),0)</f>
        <v>0</v>
      </c>
      <c r="DL13" s="33">
        <f t="shared" si="36"/>
        <v>0</v>
      </c>
      <c r="DM13" s="33" cm="1">
        <f t="array" ref="DM13">IFERROR(INDEX('[2]SALES PERTYPE'!$D$10:$BA$52,MATCH($C13,'[2]SALES PERTYPE'!$B$10:$B$52,0),MATCH("X Fold5",'[2]SALES PERTYPE'!$D$8:$BA$8,0)+1),0)</f>
        <v>0</v>
      </c>
      <c r="DN13" s="33" cm="1">
        <f t="array" ref="DN13">IFERROR(INDEX('[2]Sales per type Agustus'!$D$10:$BA$51,MATCH($C13,'[2]Sales per type Agustus'!$B$10:$B$51,0),MATCH("X Fold5",'[2]Sales per type Agustus'!$D$8:$BA$8,0)+1),0)</f>
        <v>0</v>
      </c>
      <c r="DO13" s="33">
        <f t="shared" si="37"/>
        <v>0</v>
      </c>
      <c r="DP13" s="33">
        <f>IFERROR(INDEX('[2]SALES PERTYPE'!$D$10:$BA$52,MATCH($C13,'[2]SALES PERTYPE'!$B$10:$B$52,0),MATCH("X300 PRO",'[2]SALES PERTYPE'!$D$8:$BA$8,0)),0)</f>
        <v>0</v>
      </c>
      <c r="DQ13" s="33">
        <f>IFERROR(INDEX('[2]Sales per type Agustus'!$D$10:$BA$51,MATCH($C13,'[2]Sales per type Agustus'!$B$10:$B$51,0),MATCH("X300 PRO",'[2]Sales per type Agustus'!$D$8:$BA$8,0)),0)</f>
        <v>0</v>
      </c>
      <c r="DR13" s="33">
        <f t="shared" si="38"/>
        <v>0</v>
      </c>
      <c r="DS13" s="33" cm="1">
        <f t="array" ref="DS13">IFERROR(INDEX('[2]SALES PERTYPE'!$D$10:$BA$52,MATCH($C13,'[2]SALES PERTYPE'!$B$10:$B$52,0),MATCH("X300 PRO",'[2]SALES PERTYPE'!$D$8:$BA$8,0)+1),0)</f>
        <v>0</v>
      </c>
      <c r="DT13" s="33" cm="1">
        <f t="array" ref="DT13">IFERROR(INDEX('[2]Sales per type Agustus'!$D$10:$BA$51,MATCH($C13,'[2]Sales per type Agustus'!$B$10:$B$51,0),MATCH("X300 PRO",'[2]Sales per type Agustus'!$D$8:$BA$8,0)+1),0)</f>
        <v>0</v>
      </c>
      <c r="DU13" s="33">
        <f t="shared" si="39"/>
        <v>0</v>
      </c>
      <c r="DV13" s="33">
        <f>IFERROR(INDEX('[2]SALES PERTYPE'!$D$10:$BA$52,MATCH($C13,'[2]SALES PERTYPE'!$B$10:$B$52,0),MATCH("X300",'[2]SALES PERTYPE'!$D$8:$BA$8,0)),0)</f>
        <v>0</v>
      </c>
      <c r="DW13" s="33">
        <f>IFERROR(INDEX('[2]Sales per type Agustus'!$D$10:$BA$51,MATCH($C13,'[2]Sales per type Agustus'!$B$10:$B$51,0),MATCH("X300 ",'[2]Sales per type Agustus'!$D$8:$BA$8,0)),0)</f>
        <v>0</v>
      </c>
      <c r="DX13" s="33">
        <f t="shared" si="40"/>
        <v>0</v>
      </c>
      <c r="DY13" s="33" cm="1">
        <f t="array" ref="DY13">IFERROR(INDEX('[2]SALES PERTYPE'!$D$10:$BA$52,MATCH($C13,'[2]SALES PERTYPE'!$B$10:$B$52,0),MATCH("X300",'[2]SALES PERTYPE'!$D$8:$BA$8,0)+1),0)</f>
        <v>0</v>
      </c>
      <c r="DZ13" s="33" cm="1">
        <f t="array" ref="DZ13">IFERROR(INDEX('[2]Sales per type Agustus'!$D$10:$BA$51,MATCH($C13,'[2]Sales per type Agustus'!$B$10:$B$51,0),MATCH("X300 ",'[2]Sales per type Agustus'!$D$8:$BA$8,0)+1),0)</f>
        <v>0</v>
      </c>
      <c r="EA13" s="33">
        <f t="shared" si="41"/>
        <v>0</v>
      </c>
      <c r="EB13" s="33">
        <f t="shared" si="42"/>
        <v>31</v>
      </c>
      <c r="EC13" s="33">
        <f t="shared" si="42"/>
        <v>23</v>
      </c>
      <c r="ED13" s="33">
        <f t="shared" si="43"/>
        <v>8</v>
      </c>
      <c r="EE13" s="33">
        <f t="shared" si="44"/>
        <v>111969000</v>
      </c>
      <c r="EF13" s="33">
        <f t="shared" si="44"/>
        <v>80677000</v>
      </c>
      <c r="EG13" s="33">
        <f t="shared" si="45"/>
        <v>31292000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5">
        <f>'[2]ACHIEVEMENT STORE'!A14</f>
        <v>10</v>
      </c>
      <c r="B14" s="216" t="str">
        <f>'[2]ACHIEVEMENT STORE'!B14</f>
        <v>601 雅加达西北 JKT BU</v>
      </c>
      <c r="C14" s="215">
        <f>'[2]ACHIEVEMENT STORE'!C14</f>
        <v>6020704</v>
      </c>
      <c r="D14" s="216" t="str">
        <f>'[2]ACHIEVEMENT STORE'!D14</f>
        <v>6020704-CEMPAKA SHOWROOM 14(8TOKO)</v>
      </c>
      <c r="E14" s="216" t="str">
        <f>'[2]ACHIEVEMENT STORE'!E14</f>
        <v>NOVIA HARYANTI</v>
      </c>
      <c r="F14" s="33">
        <f>IFERROR(INDEX('[2]SALES PERTYPE'!$D$10:$BA$52,MATCH($C14,'[2]SALES PERTYPE'!$B$10:$B$52,0),MATCH("Y05",'[2]SALES PERTYPE'!$D$8:$BA$8,0)),0)</f>
        <v>6</v>
      </c>
      <c r="G14" s="33">
        <f>IFERROR(INDEX('[2]Sales per type Agustus'!$D$10:$BA$51,MATCH($C14,'[2]Sales per type Agustus'!$B$10:$B$51,0),MATCH("Y05",'[2]Sales per type Agustus'!$D$8:$BA$8,0)),0)</f>
        <v>1</v>
      </c>
      <c r="H14" s="33">
        <f t="shared" si="0"/>
        <v>5</v>
      </c>
      <c r="I14" s="33" cm="1">
        <f t="array" ref="I14">IFERROR(INDEX('[2]SALES PERTYPE'!$D$10:$BA$52,MATCH($C14,'[2]SALES PERTYPE'!$B$10:$B$52,0),MATCH("Y05",'[2]SALES PERTYPE'!$D$8:$BA$8,0)+1),0)</f>
        <v>15294000</v>
      </c>
      <c r="J14" s="33" cm="1">
        <f t="array" ref="J14">IFERROR(INDEX('[2]Sales per type Agustus'!$D$10:$BA$51,MATCH($C14,'[2]Sales per type Agustus'!$B$10:$B$51,0),MATCH("Y05",'[2]Sales per type Agustus'!$D$8:$BA$8,0)+1),0)</f>
        <v>2299000</v>
      </c>
      <c r="K14" s="33">
        <f t="shared" si="1"/>
        <v>12995000</v>
      </c>
      <c r="L14" s="33">
        <f>IFERROR(INDEX('[2]SALES PERTYPE'!$D$10:$BA$52,MATCH($C14,'[2]SALES PERTYPE'!$B$10:$B$52,0),MATCH("Y11d",'[2]SALES PERTYPE'!$D$8:$BA$8,0)),0)</f>
        <v>2</v>
      </c>
      <c r="M14" s="33">
        <f>IFERROR(INDEX('[2]Sales per type Agustus'!$D$10:$BA$51,MATCH($C14,'[2]Sales per type Agustus'!$B$10:$B$51,0),MATCH("Y11d",'[2]Sales per type Agustus'!$D$8:$BA$8,0)),0)</f>
        <v>3</v>
      </c>
      <c r="N14" s="33">
        <f t="shared" si="2"/>
        <v>-1</v>
      </c>
      <c r="O14" s="33" cm="1">
        <f t="array" ref="O14">IFERROR(INDEX('[2]SALES PERTYPE'!$D$10:$BA$52,MATCH($C14,'[2]SALES PERTYPE'!$B$10:$B$52,0),MATCH("Y11d",'[2]SALES PERTYPE'!$D$8:$BA$8,0)+1),0)</f>
        <v>5198000</v>
      </c>
      <c r="P14" s="33" cm="1">
        <f t="array" ref="P14">IFERROR(INDEX('[2]Sales per type Agustus'!$D$10:$BA$51,MATCH($C14,'[2]Sales per type Agustus'!$B$10:$B$51,0),MATCH("Y11d",'[2]Sales per type Agustus'!$D$8:$BA$8,0)+1),0)</f>
        <v>8397000</v>
      </c>
      <c r="Q14" s="33">
        <f t="shared" si="3"/>
        <v>-3199000</v>
      </c>
      <c r="R14" s="33">
        <f>IFERROR(INDEX('[2]SALES PERTYPE'!$D$10:$BA$52,MATCH($C14,'[2]SALES PERTYPE'!$B$10:$B$52,0),MATCH("Watch GT 2",'[2]SALES PERTYPE'!$D$8:$BA$8,0)),0)</f>
        <v>0</v>
      </c>
      <c r="S14" s="33">
        <f>IFERROR(INDEX('[2]Sales per type Agustus'!$D$10:$BA$51,MATCH($C14,'[2]Sales per type Agustus'!$B$10:$B$51,0),MATCH("Watch GT 2",'[2]Sales per type Agustus'!$D$8:$BA$8,0)),0)</f>
        <v>0</v>
      </c>
      <c r="T14" s="33">
        <f t="shared" si="4"/>
        <v>0</v>
      </c>
      <c r="U14" s="33" cm="1">
        <f t="array" ref="U14">IFERROR(INDEX('[2]SALES PERTYPE'!$D$10:$BA$52,MATCH($C14,'[2]SALES PERTYPE'!$B$10:$B$52,0),MATCH("Watch GT 2",'[2]SALES PERTYPE'!$D$8:$BA$8,0)+1),0)</f>
        <v>0</v>
      </c>
      <c r="V14" s="33" cm="1">
        <f t="array" ref="V14">IFERROR(INDEX('[2]Sales per type Agustus'!$D$10:$BA$51,MATCH($C14,'[2]Sales per type Agustus'!$B$10:$B$51,0),MATCH("Watch GT 2",'[2]Sales per type Agustus'!$D$8:$BA$8,0)+1),0)</f>
        <v>0</v>
      </c>
      <c r="W14" s="33">
        <f t="shared" si="5"/>
        <v>0</v>
      </c>
      <c r="X14" s="33">
        <f>IFERROR(INDEX('[2]SALES PERTYPE'!$D$10:$BA$52,MATCH($C14,'[2]SALES PERTYPE'!$B$10:$B$52,0),MATCH("Y05e",'[2]SALES PERTYPE'!$D$8:$BA$8,0)),0)</f>
        <v>0</v>
      </c>
      <c r="Y14" s="33">
        <f>IFERROR(INDEX('[2]Sales per type Agustus'!$D$10:$BA$51,MATCH($C14,'[2]Sales per type Agustus'!$B$10:$B$51,0),MATCH("Y05e",'[2]Sales per type Agustus'!$D$8:$BA$8,0)),0)</f>
        <v>2</v>
      </c>
      <c r="Z14" s="33">
        <f t="shared" si="6"/>
        <v>-2</v>
      </c>
      <c r="AA14" s="33" cm="1">
        <f t="array" ref="AA14">IFERROR(INDEX('[2]SALES PERTYPE'!$D$10:$BA$52,MATCH($C14,'[2]SALES PERTYPE'!$B$10:$B$52,0),MATCH("Y05e",'[2]SALES PERTYPE'!$D$8:$BA$8,0)+1),0)</f>
        <v>0</v>
      </c>
      <c r="AB14" s="33" cm="1">
        <f t="array" ref="AB14">IFERROR(INDEX('[2]Sales per type Agustus'!$D$10:$BA$51,MATCH($C14,'[2]Sales per type Agustus'!$B$10:$B$51,0),MATCH("Y05e",'[2]Sales per type Agustus'!$D$8:$BA$8,0)+1),0)</f>
        <v>4198000</v>
      </c>
      <c r="AC14" s="33">
        <f t="shared" si="7"/>
        <v>-4198000</v>
      </c>
      <c r="AD14" s="33">
        <f>IFERROR(INDEX('[2]SALES PERTYPE'!$D$10:$BA$52,MATCH($C14,'[2]SALES PERTYPE'!$B$10:$B$52,0),MATCH("V70",'[2]SALES PERTYPE'!$D$8:$BA$8,0)),0)</f>
        <v>0</v>
      </c>
      <c r="AE14" s="33">
        <f>IFERROR(INDEX('[2]Sales per type Agustus'!$D$10:$BA$51,MATCH($C14,'[2]Sales per type Agustus'!$B$10:$B$51,0),MATCH("V70",'[2]Sales per type Agustus'!$D$8:$BA$8,0)),0)</f>
        <v>0</v>
      </c>
      <c r="AF14" s="33">
        <f t="shared" si="8"/>
        <v>0</v>
      </c>
      <c r="AG14" s="33" cm="1">
        <f t="array" ref="AG14">IFERROR(INDEX('[2]SALES PERTYPE'!$D$10:$BA$52,MATCH($C14,'[2]SALES PERTYPE'!$B$10:$B$52,0),MATCH("V70",'[2]SALES PERTYPE'!$D$8:$BA$8,0)+1),0)</f>
        <v>0</v>
      </c>
      <c r="AH14" s="33" cm="1">
        <f t="array" ref="AH14">IFERROR(INDEX('[2]Sales per type Agustus'!$D$10:$BA$51,MATCH($C14,'[2]Sales per type Agustus'!$B$10:$B$51,0),MATCH("V70",'[2]Sales per type Agustus'!$D$8:$BA$8,0)+1),0)</f>
        <v>0</v>
      </c>
      <c r="AI14" s="33">
        <f t="shared" si="9"/>
        <v>0</v>
      </c>
      <c r="AJ14" s="33">
        <f>IFERROR(INDEX('[2]SALES PERTYPE'!$D$10:$BA$52,MATCH($C14,'[2]SALES PERTYPE'!$B$10:$B$52,0),MATCH("Y31d Pro",'[2]SALES PERTYPE'!$D$8:$BA$8,0)),0)</f>
        <v>1</v>
      </c>
      <c r="AK14" s="33">
        <f>IFERROR(INDEX('[2]Sales per type Agustus'!$D$10:$BA$51,MATCH($C14,'[2]Sales per type Agustus'!$B$10:$B$51,0),MATCH("Y31d Pro",'[2]Sales per type Agustus'!$D$8:$BA$8,0)),0)</f>
        <v>2</v>
      </c>
      <c r="AL14" s="33">
        <f t="shared" si="10"/>
        <v>-1</v>
      </c>
      <c r="AM14" s="33" cm="1">
        <f t="array" ref="AM14">IFERROR(INDEX('[2]SALES PERTYPE'!$D$10:$BA$52,MATCH($C14,'[2]SALES PERTYPE'!$B$10:$B$52,0),MATCH("Y31d Pro",'[2]SALES PERTYPE'!$D$8:$BA$8,0)+1),0)</f>
        <v>4299000</v>
      </c>
      <c r="AN14" s="33" cm="1">
        <f t="array" ref="AN14">IFERROR(INDEX('[2]Sales per type Agustus'!$D$10:$BA$51,MATCH($C14,'[2]Sales per type Agustus'!$B$10:$B$51,0),MATCH("Y31d Pro",'[2]Sales per type Agustus'!$D$8:$BA$8,0)+1),0)</f>
        <v>8198000</v>
      </c>
      <c r="AO14" s="33">
        <f t="shared" si="11"/>
        <v>-3899000</v>
      </c>
      <c r="AP14" s="33" cm="1">
        <f t="array" ref="AP14">IFERROR(INDEX('[2]SALES PERTYPE'!$D$10:$BA$52,MATCH($C14,'[2]SALES PERTYPE'!$B$10:$B$52,0),$EI$3),0)</f>
        <v>0</v>
      </c>
      <c r="AQ14" s="33" cm="1">
        <f t="array" ref="AQ14">IFERROR(INDEX('[2]Sales per type Agustus'!$D$10:$BA$51,MATCH($C14,'[2]Sales per type Agustus'!$B$10:$B$51,0),$EI$2),0)</f>
        <v>0</v>
      </c>
      <c r="AR14" s="33">
        <f t="shared" si="12"/>
        <v>0</v>
      </c>
      <c r="AS14" s="33" cm="1">
        <f t="array" ref="AS14">IFERROR(INDEX('[2]SALES PERTYPE'!$D$10:$BA$52,MATCH($C14,'[2]SALES PERTYPE'!$B$10:$B$52,0),$EI$3+1),0)</f>
        <v>0</v>
      </c>
      <c r="AT14" s="33" cm="1">
        <f t="array" ref="AT14">IFERROR(INDEX('[2]Sales per type Agustus'!$D$10:$BA$51,MATCH($C14,'[2]Sales per type Agustus'!$B$10:$B$51,0),$EI$2+1),0)</f>
        <v>0</v>
      </c>
      <c r="AU14" s="33">
        <f t="shared" si="13"/>
        <v>0</v>
      </c>
      <c r="AV14" s="33">
        <f>IFERROR(INDEX('[2]SALES PERTYPE'!$D$10:$BA$52,MATCH($C14,'[2]SALES PERTYPE'!$B$10:$B$52,0),MATCH("Y31d ",'[2]SALES PERTYPE'!$D$8:$BA$8,0)),0)</f>
        <v>0</v>
      </c>
      <c r="AW14" s="33">
        <f>IFERROR(INDEX('[2]Sales per type Agustus'!$D$10:$BA$51,MATCH($C14,'[2]Sales per type Agustus'!$B$10:$B$51,0),MATCH("Y31d ",'[2]Sales per type Agustus'!$D$8:$BA$8,0)),0)</f>
        <v>1</v>
      </c>
      <c r="AX14" s="33">
        <f t="shared" si="14"/>
        <v>-1</v>
      </c>
      <c r="AY14" s="33" cm="1">
        <f t="array" ref="AY14">IFERROR(INDEX('[2]SALES PERTYPE'!$D$10:$BA$52,MATCH($C14,'[2]SALES PERTYPE'!$B$10:$B$52,0),MATCH("Y31d ",'[2]SALES PERTYPE'!$D$8:$BA$8,0)+1),0)</f>
        <v>0</v>
      </c>
      <c r="AZ14" s="33" cm="1">
        <f t="array" ref="AZ14">IFERROR(INDEX('[2]Sales per type Agustus'!$D$10:$BA$51,MATCH($C14,'[2]Sales per type Agustus'!$B$10:$B$51,0),MATCH("Y31d ",'[2]Sales per type Agustus'!$D$8:$BA$8,0)+1),0)</f>
        <v>3599000</v>
      </c>
      <c r="BA14" s="33">
        <f t="shared" si="15"/>
        <v>-3599000</v>
      </c>
      <c r="BB14" s="33">
        <f>IFERROR(INDEX('[2]SALES PERTYPE'!$D$10:$BA$52,MATCH($C14,'[2]SALES PERTYPE'!$B$10:$B$52,0),MATCH("V70 FE",'[2]SALES PERTYPE'!$D$8:$BA$8,0)),0)</f>
        <v>1</v>
      </c>
      <c r="BC14" s="33">
        <f>IFERROR(INDEX('[2]Sales per type Agustus'!$D$10:$BA$51,MATCH($C14,'[2]Sales per type Agustus'!$B$10:$B$51,0),MATCH("V70 FE",'[2]Sales per type Agustus'!$D$8:$BA$8,0)),0)</f>
        <v>0</v>
      </c>
      <c r="BD14" s="33">
        <f t="shared" si="16"/>
        <v>1</v>
      </c>
      <c r="BE14" s="33" cm="1">
        <f t="array" ref="BE14">IFERROR(INDEX('[2]SALES PERTYPE'!$D$10:$BA$52,MATCH($C14,'[2]SALES PERTYPE'!$B$10:$B$52,0),MATCH("V70 FE",'[2]SALES PERTYPE'!$D$8:$BA$8,0)+1),0)</f>
        <v>7999000</v>
      </c>
      <c r="BF14" s="33" cm="1">
        <f t="array" ref="BF14">IFERROR(INDEX('[2]Sales per type Agustus'!$D$10:$BA$51,MATCH($C14,'[2]Sales per type Agustus'!$B$10:$B$51,0),MATCH("V70 FE",'[2]Sales per type Agustus'!$D$8:$BA$8,0)+1),0)</f>
        <v>0</v>
      </c>
      <c r="BG14" s="33">
        <f t="shared" si="17"/>
        <v>7999000</v>
      </c>
      <c r="BH14" s="33">
        <f>IFERROR(INDEX('[2]SALES PERTYPE'!$D$10:$BA$52,MATCH($C14,'[2]SALES PERTYPE'!$B$10:$B$52,0),MATCH("Y31d",'[2]SALES PERTYPE'!$D$8:$BA$8,0)),0)</f>
        <v>1</v>
      </c>
      <c r="BI14" s="33">
        <f>IFERROR(INDEX('[2]Sales per type Agustus'!$D$10:$BA$51,MATCH($C14,'[2]Sales per type Agustus'!$B$10:$B$51,0),MATCH("Y31d",'[2]Sales per type Agustus'!$D$8:$BA$8,0)),0)</f>
        <v>0</v>
      </c>
      <c r="BJ14" s="33">
        <f t="shared" si="18"/>
        <v>1</v>
      </c>
      <c r="BK14" s="33" cm="1">
        <f t="array" ref="BK14">IFERROR(INDEX('[2]SALES PERTYPE'!$D$10:$BA$52,MATCH($C14,'[2]SALES PERTYPE'!$B$10:$B$52,0),MATCH("Y31d",'[2]SALES PERTYPE'!$D$8:$BA$8,0)+1),0)</f>
        <v>3599000</v>
      </c>
      <c r="BL14" s="33" cm="1">
        <f t="array" ref="BL14">IFERROR(INDEX('[2]Sales per type Agustus'!$D$10:$BA$51,MATCH($C14,'[2]Sales per type Agustus'!$B$10:$B$51,0),MATCH("Y31d",'[2]Sales per type Agustus'!$D$8:$BA$8,0)+1),0)</f>
        <v>0</v>
      </c>
      <c r="BM14" s="33">
        <f t="shared" si="19"/>
        <v>3599000</v>
      </c>
      <c r="BN14" s="33">
        <f>IFERROR(INDEX('[2]SALES PERTYPE'!$D$10:$BA$52,MATCH($C14,'[2]SALES PERTYPE'!$B$10:$B$52,0),MATCH("Y500",'[2]SALES PERTYPE'!$D$8:$BA$8,0)),0)</f>
        <v>0</v>
      </c>
      <c r="BO14" s="33">
        <f>IFERROR(INDEX('[2]Sales per type Agustus'!$D$10:$BA$51,MATCH($C14,'[2]Sales per type Agustus'!$B$10:$B$51,0),MATCH("Y500",'[2]Sales per type Agustus'!$D$8:$BA$8,0)),0)</f>
        <v>0</v>
      </c>
      <c r="BP14" s="33">
        <f t="shared" si="20"/>
        <v>0</v>
      </c>
      <c r="BQ14" s="33" cm="1">
        <f t="array" ref="BQ14">IFERROR(INDEX('[2]SALES PERTYPE'!$D$10:$BA$52,MATCH($C14,'[2]SALES PERTYPE'!$B$10:$B$52,0),MATCH("Y500",'[2]SALES PERTYPE'!$D$8:$BA$8,0)+1),0)</f>
        <v>0</v>
      </c>
      <c r="BR14" s="33" cm="1">
        <f t="array" ref="BR14">IFERROR(INDEX('[2]Sales per type Agustus'!$D$10:$BA$51,MATCH($C14,'[2]Sales per type Agustus'!$B$10:$B$51,0),MATCH("Y500",'[2]Sales per type Agustus'!$D$8:$BA$8,0)+1),0)</f>
        <v>0</v>
      </c>
      <c r="BS14" s="33">
        <f t="shared" si="21"/>
        <v>0</v>
      </c>
      <c r="BT14" s="33">
        <f>IFERROR(INDEX('[2]SALES PERTYPE'!$D$10:$BA$52,MATCH($C14,'[2]SALES PERTYPE'!$B$10:$B$52,0),MATCH("IQOO 15R",'[2]SALES PERTYPE'!$D$8:$BA$8,0)),0)</f>
        <v>0</v>
      </c>
      <c r="BU14" s="33">
        <f>IFERROR(INDEX('[2]Sales per type Agustus'!$D$10:$BA$51,MATCH($C14,'[2]Sales per type Agustus'!$B$10:$B$51,0),MATCH("IQOO 15R",'[2]Sales per type Agustus'!$D$8:$BA$8,0)),0)</f>
        <v>0</v>
      </c>
      <c r="BV14" s="33">
        <f t="shared" si="22"/>
        <v>0</v>
      </c>
      <c r="BW14" s="33" cm="1">
        <f t="array" ref="BW14">IFERROR(INDEX('[2]SALES PERTYPE'!$D$10:$BA$52,MATCH($C14,'[2]SALES PERTYPE'!$B$10:$B$52,0),MATCH("IQOO 15R",'[2]SALES PERTYPE'!$D$8:$BA$8,0)+1),0)</f>
        <v>0</v>
      </c>
      <c r="BX14" s="33" cm="1">
        <f t="array" ref="BX14">IFERROR(INDEX('[2]Sales per type Agustus'!$D$10:$BA$51,MATCH($C14,'[2]Sales per type Agustus'!$B$10:$B$51,0),MATCH("IQOO 15R",'[2]Sales per type Agustus'!$D$8:$BA$8,0)+1),0)</f>
        <v>0</v>
      </c>
      <c r="BY14" s="33">
        <f t="shared" si="23"/>
        <v>0</v>
      </c>
      <c r="BZ14" s="33">
        <f>IFERROR(INDEX('[2]SALES PERTYPE'!$D$10:$BA$52,MATCH($C14,'[2]SALES PERTYPE'!$B$10:$B$52,0),MATCH("V60 Lite",'[2]SALES PERTYPE'!$D$8:$BA$8,0)),0)</f>
        <v>0</v>
      </c>
      <c r="CA14" s="33">
        <f>IFERROR(INDEX('[2]Sales per type Agustus'!$D$10:$BA$51,MATCH($C14,'[2]Sales per type Agustus'!$B$10:$B$51,0),MATCH("V60 Lite",'[2]Sales per type Agustus'!$D$8:$BA$8,0)),0)</f>
        <v>1</v>
      </c>
      <c r="CB14" s="33">
        <f t="shared" si="24"/>
        <v>-1</v>
      </c>
      <c r="CC14" s="33" cm="1">
        <f t="array" ref="CC14">IFERROR(INDEX('[2]SALES PERTYPE'!$D$10:$BA$52,MATCH($C14,'[2]SALES PERTYPE'!$B$10:$B$52,0),MATCH("V60 Lite",'[2]SALES PERTYPE'!$D$8:$BA$8,0)+1),0)</f>
        <v>0</v>
      </c>
      <c r="CD14" s="33" cm="1">
        <f t="array" ref="CD14">IFERROR(INDEX('[2]Sales per type Agustus'!$D$10:$BA$51,MATCH($C14,'[2]Sales per type Agustus'!$B$10:$B$51,0),MATCH("V60 Lite",'[2]Sales per type Agustus'!$D$8:$BA$8,0)+1),0)</f>
        <v>5299000</v>
      </c>
      <c r="CE14" s="33">
        <f t="shared" si="25"/>
        <v>-5299000</v>
      </c>
      <c r="CF14" s="33">
        <f>IFERROR(INDEX('[2]SALES PERTYPE'!$D$10:$BA$52,MATCH($C14,'[2]SALES PERTYPE'!$B$10:$B$52,0),MATCH("X300 Ultra",'[2]SALES PERTYPE'!$D$8:$BA$8,0)),0)</f>
        <v>0</v>
      </c>
      <c r="CG14" s="33">
        <f>IFERROR(INDEX('[2]Sales per type Agustus'!$D$10:$BA$51,MATCH($C14,'[2]Sales per type Agustus'!$B$10:$B$51,0),MATCH("X300 Ultra",'[2]Sales per type Agustus'!$D$8:$BA$8,0)),0)</f>
        <v>0</v>
      </c>
      <c r="CH14" s="33">
        <f t="shared" si="26"/>
        <v>0</v>
      </c>
      <c r="CI14" s="33" cm="1">
        <f t="array" ref="CI14">IFERROR(INDEX('[2]SALES PERTYPE'!$D$10:$BA$52,MATCH($C14,'[2]SALES PERTYPE'!$B$10:$B$52,0),MATCH("X300 Ultra",'[2]SALES PERTYPE'!$D$8:$BA$8,0)+1),0)</f>
        <v>0</v>
      </c>
      <c r="CJ14" s="33" cm="1">
        <f t="array" ref="CJ14">IFERROR(INDEX('[2]Sales per type Agustus'!$D$10:$BA$51,MATCH($C14,'[2]Sales per type Agustus'!$B$10:$B$51,0),MATCH("X300 Ultra",'[2]Sales per type Agustus'!$D$8:$BA$8,0)+1),0)</f>
        <v>0</v>
      </c>
      <c r="CK14" s="33">
        <f t="shared" si="27"/>
        <v>0</v>
      </c>
      <c r="CL14" s="33">
        <f>IFERROR(INDEX('[2]SALES PERTYPE'!$D$10:$BA$52,MATCH($C14,'[2]SALES PERTYPE'!$B$10:$B$52,0),MATCH("IQOO 15",'[2]SALES PERTYPE'!$D$8:$BA$8,0)),0)</f>
        <v>0</v>
      </c>
      <c r="CM14" s="33">
        <f>IFERROR(INDEX('[2]Sales per type Agustus'!$D$10:$BA$51,MATCH($C14,'[2]Sales per type Agustus'!$B$10:$B$51,0),MATCH("IQOO 15",'[2]Sales per type Agustus'!$D$8:$BA$8,0)),0)</f>
        <v>0</v>
      </c>
      <c r="CN14" s="33">
        <f t="shared" si="28"/>
        <v>0</v>
      </c>
      <c r="CO14" s="33" cm="1">
        <f t="array" ref="CO14">IFERROR(INDEX('[2]SALES PERTYPE'!$D$10:$BA$52,MATCH($C14,'[2]SALES PERTYPE'!$B$10:$B$52,0),MATCH("IQOO 15",'[2]SALES PERTYPE'!$D$8:$BA$8,0)+1),0)</f>
        <v>0</v>
      </c>
      <c r="CP14" s="33" cm="1">
        <f t="array" ref="CP14">IFERROR(INDEX('[2]Sales per type Agustus'!$D$10:$BA$51,MATCH($C14,'[2]Sales per type Agustus'!$B$10:$B$51,0),MATCH("IQOO 15",'[2]Sales per type Agustus'!$D$8:$BA$8,0)+1),0)</f>
        <v>0</v>
      </c>
      <c r="CQ14" s="33">
        <f t="shared" si="29"/>
        <v>0</v>
      </c>
      <c r="CR14" s="33">
        <f>IFERROR(INDEX('[2]SALES PERTYPE'!$D$10:$BA$52,MATCH($C14,'[2]SALES PERTYPE'!$B$10:$B$52,0),MATCH("IQOO Z11x",'[2]SALES PERTYPE'!$D$8:$BA$8,0)),0)</f>
        <v>0</v>
      </c>
      <c r="CS14" s="33">
        <f>IFERROR(INDEX('[2]Sales per type Agustus'!$D$10:$BA$51,MATCH($C14,'[2]Sales per type Agustus'!$B$10:$B$51,0),MATCH("IQOO Z11x",'[2]Sales per type Agustus'!$D$8:$BA$8,0)),0)</f>
        <v>0</v>
      </c>
      <c r="CT14" s="33">
        <f t="shared" si="30"/>
        <v>0</v>
      </c>
      <c r="CU14" s="33" cm="1">
        <f t="array" ref="CU14">IFERROR(INDEX('[2]SALES PERTYPE'!$D$10:$BA$52,MATCH($C14,'[2]SALES PERTYPE'!$B$10:$B$52,0),MATCH("IQOO Z11x",'[2]SALES PERTYPE'!$D$8:$BA$8,0)+1),0)</f>
        <v>0</v>
      </c>
      <c r="CV14" s="33" cm="1">
        <f t="array" ref="CV14">IFERROR(INDEX('[2]Sales per type Agustus'!$D$10:$BA$51,MATCH($C14,'[2]Sales per type Agustus'!$B$10:$B$51,0),MATCH("IQOO Z11x",'[2]Sales per type Agustus'!$D$8:$BA$8,0)+1),0)</f>
        <v>0</v>
      </c>
      <c r="CW14" s="33">
        <f t="shared" si="31"/>
        <v>0</v>
      </c>
      <c r="CX14" s="33">
        <f>IFERROR(INDEX('[2]SALES PERTYPE'!$D$10:$BA$52,MATCH($C14,'[2]SALES PERTYPE'!$B$10:$B$52,0),MATCH("IQOO Z11",'[2]SALES PERTYPE'!$D$8:$BA$8,0)),0)</f>
        <v>0</v>
      </c>
      <c r="CY14" s="33">
        <f>IFERROR(INDEX('[2]Sales per type Agustus'!$D$10:$BA$51,MATCH($C14,'[2]Sales per type Agustus'!$B$10:$B$51,0),MATCH("IQOO Z11",'[2]Sales per type Agustus'!$D$8:$BA$8,0)),0)</f>
        <v>1</v>
      </c>
      <c r="CZ14" s="33">
        <f t="shared" si="32"/>
        <v>-1</v>
      </c>
      <c r="DA14" s="33" cm="1">
        <f t="array" ref="DA14">IFERROR(INDEX('[2]SALES PERTYPE'!$D$10:$BA$52,MATCH($C14,'[2]SALES PERTYPE'!$B$10:$B$52,0),MATCH("IQOO Z11",'[2]SALES PERTYPE'!$D$8:$BA$8,0)+1),0)</f>
        <v>0</v>
      </c>
      <c r="DB14" s="33" cm="1">
        <f t="array" ref="DB14">IFERROR(INDEX('[2]Sales per type Agustus'!$D$10:$BA$51,MATCH($C14,'[2]Sales per type Agustus'!$B$10:$B$51,0),MATCH("IQOO Z11",'[2]Sales per type Agustus'!$D$8:$BA$8,0)+1),0)</f>
        <v>6899000</v>
      </c>
      <c r="DC14" s="33">
        <f t="shared" si="33"/>
        <v>-6899000</v>
      </c>
      <c r="DD14" s="33">
        <f>IFERROR(INDEX('[2]SALES PERTYPE'!$D$10:$BA$52,MATCH($C14,'[2]SALES PERTYPE'!$B$10:$B$52,0),MATCH("WATCH 3",'[2]SALES PERTYPE'!$D$8:$BA$8,0)),0)</f>
        <v>0</v>
      </c>
      <c r="DE14" s="33">
        <f>IFERROR(INDEX('[2]Sales per type Agustus'!$D$10:$BA$51,MATCH($C14,'[2]Sales per type Agustus'!$B$10:$B$51,0),MATCH("WATCH 3",'[2]Sales per type Agustus'!$D$8:$BA$8,0)),0)</f>
        <v>0</v>
      </c>
      <c r="DF14" s="33">
        <f t="shared" si="34"/>
        <v>0</v>
      </c>
      <c r="DG14" s="33" cm="1">
        <f t="array" ref="DG14">IFERROR(INDEX('[2]SALES PERTYPE'!$D$10:$BA$52,MATCH($C14,'[2]SALES PERTYPE'!$B$10:$B$52,0),MATCH("WATCH 3",'[2]SALES PERTYPE'!$D$8:$BA$8,0)+1),0)</f>
        <v>0</v>
      </c>
      <c r="DH14" s="33" cm="1">
        <f t="array" ref="DH14">IFERROR(INDEX('[2]Sales per type Agustus'!$D$10:$BA$51,MATCH($C14,'[2]Sales per type Agustus'!$B$10:$B$51,0),MATCH("WATCH 3",'[2]Sales per type Agustus'!$D$8:$BA$8,0)+1),0)</f>
        <v>0</v>
      </c>
      <c r="DI14" s="33">
        <f t="shared" si="35"/>
        <v>0</v>
      </c>
      <c r="DJ14" s="33">
        <f>IFERROR(INDEX('[2]SALES PERTYPE'!$D$10:$BA$52,MATCH($C14,'[2]SALES PERTYPE'!$B$10:$B$52,0),MATCH("X Fold5",'[2]SALES PERTYPE'!$D$8:$BA$8,0)),0)</f>
        <v>0</v>
      </c>
      <c r="DK14" s="33">
        <f>IFERROR(INDEX('[2]Sales per type Agustus'!$D$10:$BA$51,MATCH($C14,'[2]Sales per type Agustus'!$B$10:$B$51,0),MATCH("X Fold5",'[2]Sales per type Agustus'!$D$8:$BA$8,0)),0)</f>
        <v>0</v>
      </c>
      <c r="DL14" s="33">
        <f t="shared" si="36"/>
        <v>0</v>
      </c>
      <c r="DM14" s="33" cm="1">
        <f t="array" ref="DM14">IFERROR(INDEX('[2]SALES PERTYPE'!$D$10:$BA$52,MATCH($C14,'[2]SALES PERTYPE'!$B$10:$B$52,0),MATCH("X Fold5",'[2]SALES PERTYPE'!$D$8:$BA$8,0)+1),0)</f>
        <v>0</v>
      </c>
      <c r="DN14" s="33" cm="1">
        <f t="array" ref="DN14">IFERROR(INDEX('[2]Sales per type Agustus'!$D$10:$BA$51,MATCH($C14,'[2]Sales per type Agustus'!$B$10:$B$51,0),MATCH("X Fold5",'[2]Sales per type Agustus'!$D$8:$BA$8,0)+1),0)</f>
        <v>0</v>
      </c>
      <c r="DO14" s="33">
        <f t="shared" si="37"/>
        <v>0</v>
      </c>
      <c r="DP14" s="33">
        <f>IFERROR(INDEX('[2]SALES PERTYPE'!$D$10:$BA$52,MATCH($C14,'[2]SALES PERTYPE'!$B$10:$B$52,0),MATCH("X300 PRO",'[2]SALES PERTYPE'!$D$8:$BA$8,0)),0)</f>
        <v>0</v>
      </c>
      <c r="DQ14" s="33">
        <f>IFERROR(INDEX('[2]Sales per type Agustus'!$D$10:$BA$51,MATCH($C14,'[2]Sales per type Agustus'!$B$10:$B$51,0),MATCH("X300 PRO",'[2]Sales per type Agustus'!$D$8:$BA$8,0)),0)</f>
        <v>0</v>
      </c>
      <c r="DR14" s="33">
        <f t="shared" si="38"/>
        <v>0</v>
      </c>
      <c r="DS14" s="33" cm="1">
        <f t="array" ref="DS14">IFERROR(INDEX('[2]SALES PERTYPE'!$D$10:$BA$52,MATCH($C14,'[2]SALES PERTYPE'!$B$10:$B$52,0),MATCH("X300 PRO",'[2]SALES PERTYPE'!$D$8:$BA$8,0)+1),0)</f>
        <v>0</v>
      </c>
      <c r="DT14" s="33" cm="1">
        <f t="array" ref="DT14">IFERROR(INDEX('[2]Sales per type Agustus'!$D$10:$BA$51,MATCH($C14,'[2]Sales per type Agustus'!$B$10:$B$51,0),MATCH("X300 PRO",'[2]Sales per type Agustus'!$D$8:$BA$8,0)+1),0)</f>
        <v>0</v>
      </c>
      <c r="DU14" s="33">
        <f t="shared" si="39"/>
        <v>0</v>
      </c>
      <c r="DV14" s="33">
        <f>IFERROR(INDEX('[2]SALES PERTYPE'!$D$10:$BA$52,MATCH($C14,'[2]SALES PERTYPE'!$B$10:$B$52,0),MATCH("X300",'[2]SALES PERTYPE'!$D$8:$BA$8,0)),0)</f>
        <v>0</v>
      </c>
      <c r="DW14" s="33">
        <f>IFERROR(INDEX('[2]Sales per type Agustus'!$D$10:$BA$51,MATCH($C14,'[2]Sales per type Agustus'!$B$10:$B$51,0),MATCH("X300 ",'[2]Sales per type Agustus'!$D$8:$BA$8,0)),0)</f>
        <v>0</v>
      </c>
      <c r="DX14" s="33">
        <f t="shared" si="40"/>
        <v>0</v>
      </c>
      <c r="DY14" s="33" cm="1">
        <f t="array" ref="DY14">IFERROR(INDEX('[2]SALES PERTYPE'!$D$10:$BA$52,MATCH($C14,'[2]SALES PERTYPE'!$B$10:$B$52,0),MATCH("X300",'[2]SALES PERTYPE'!$D$8:$BA$8,0)+1),0)</f>
        <v>0</v>
      </c>
      <c r="DZ14" s="33" cm="1">
        <f t="array" ref="DZ14">IFERROR(INDEX('[2]Sales per type Agustus'!$D$10:$BA$51,MATCH($C14,'[2]Sales per type Agustus'!$B$10:$B$51,0),MATCH("X300 ",'[2]Sales per type Agustus'!$D$8:$BA$8,0)+1),0)</f>
        <v>0</v>
      </c>
      <c r="EA14" s="33">
        <f t="shared" si="41"/>
        <v>0</v>
      </c>
      <c r="EB14" s="33">
        <f t="shared" si="42"/>
        <v>11</v>
      </c>
      <c r="EC14" s="33">
        <f t="shared" si="42"/>
        <v>11</v>
      </c>
      <c r="ED14" s="33">
        <f t="shared" si="43"/>
        <v>0</v>
      </c>
      <c r="EE14" s="33">
        <f t="shared" si="44"/>
        <v>36389000</v>
      </c>
      <c r="EF14" s="33">
        <f t="shared" si="44"/>
        <v>38889000</v>
      </c>
      <c r="EG14" s="33">
        <f t="shared" si="45"/>
        <v>-2500000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'[2]ACHIEVEMENT STORE'!A15</f>
        <v>11</v>
      </c>
      <c r="B15" s="32" t="str">
        <f>'[2]ACHIEVEMENT STORE'!B15</f>
        <v>604 雅加达东南 JKT TS</v>
      </c>
      <c r="C15" s="31">
        <f>'[2]ACHIEVEMENT STORE'!C15</f>
        <v>6040701</v>
      </c>
      <c r="D15" s="32" t="str">
        <f>'[2]ACHIEVEMENT STORE'!D15</f>
        <v>6040701-ITC DEPOK VIVO STORE 1</v>
      </c>
      <c r="E15" s="32" t="str">
        <f>'[2]ACHIEVEMENT STORE'!E15</f>
        <v>Erlangga Praditya</v>
      </c>
      <c r="F15" s="33">
        <f>IFERROR(INDEX('[2]SALES PERTYPE'!$D$10:$BA$52,MATCH($C15,'[2]SALES PERTYPE'!$B$10:$B$52,0),MATCH("Y05",'[2]SALES PERTYPE'!$D$8:$BA$8,0)),0)</f>
        <v>3</v>
      </c>
      <c r="G15" s="33">
        <f>IFERROR(INDEX('[2]Sales per type Agustus'!$D$10:$BA$51,MATCH($C15,'[2]Sales per type Agustus'!$B$10:$B$51,0),MATCH("Y05",'[2]Sales per type Agustus'!$D$8:$BA$8,0)),0)</f>
        <v>4</v>
      </c>
      <c r="H15" s="33">
        <f t="shared" si="0"/>
        <v>-1</v>
      </c>
      <c r="I15" s="33" cm="1">
        <f t="array" ref="I15">IFERROR(INDEX('[2]SALES PERTYPE'!$D$10:$BA$52,MATCH($C15,'[2]SALES PERTYPE'!$B$10:$B$52,0),MATCH("Y05",'[2]SALES PERTYPE'!$D$8:$BA$8,0)+1),0)</f>
        <v>7497000</v>
      </c>
      <c r="J15" s="33" cm="1">
        <f t="array" ref="J15">IFERROR(INDEX('[2]Sales per type Agustus'!$D$10:$BA$51,MATCH($C15,'[2]Sales per type Agustus'!$B$10:$B$51,0),MATCH("Y05",'[2]Sales per type Agustus'!$D$8:$BA$8,0)+1),0)</f>
        <v>10396000</v>
      </c>
      <c r="K15" s="33">
        <f t="shared" si="1"/>
        <v>-2899000</v>
      </c>
      <c r="L15" s="33">
        <f>IFERROR(INDEX('[2]SALES PERTYPE'!$D$10:$BA$52,MATCH($C15,'[2]SALES PERTYPE'!$B$10:$B$52,0),MATCH("Y11d",'[2]SALES PERTYPE'!$D$8:$BA$8,0)),0)</f>
        <v>2</v>
      </c>
      <c r="M15" s="33">
        <f>IFERROR(INDEX('[2]Sales per type Agustus'!$D$10:$BA$51,MATCH($C15,'[2]Sales per type Agustus'!$B$10:$B$51,0),MATCH("Y11d",'[2]Sales per type Agustus'!$D$8:$BA$8,0)),0)</f>
        <v>4</v>
      </c>
      <c r="N15" s="33">
        <f t="shared" si="2"/>
        <v>-2</v>
      </c>
      <c r="O15" s="33" cm="1">
        <f t="array" ref="O15">IFERROR(INDEX('[2]SALES PERTYPE'!$D$10:$BA$52,MATCH($C15,'[2]SALES PERTYPE'!$B$10:$B$52,0),MATCH("Y11d",'[2]SALES PERTYPE'!$D$8:$BA$8,0)+1),0)</f>
        <v>5598000</v>
      </c>
      <c r="P15" s="33" cm="1">
        <f t="array" ref="P15">IFERROR(INDEX('[2]Sales per type Agustus'!$D$10:$BA$51,MATCH($C15,'[2]Sales per type Agustus'!$B$10:$B$51,0),MATCH("Y11d",'[2]Sales per type Agustus'!$D$8:$BA$8,0)+1),0)</f>
        <v>10396000</v>
      </c>
      <c r="Q15" s="33">
        <f t="shared" si="3"/>
        <v>-4798000</v>
      </c>
      <c r="R15" s="33">
        <f>IFERROR(INDEX('[2]SALES PERTYPE'!$D$10:$BA$52,MATCH($C15,'[2]SALES PERTYPE'!$B$10:$B$52,0),MATCH("Watch GT 2",'[2]SALES PERTYPE'!$D$8:$BA$8,0)),0)</f>
        <v>0</v>
      </c>
      <c r="S15" s="33">
        <f>IFERROR(INDEX('[2]Sales per type Agustus'!$D$10:$BA$51,MATCH($C15,'[2]Sales per type Agustus'!$B$10:$B$51,0),MATCH("Watch GT 2",'[2]Sales per type Agustus'!$D$8:$BA$8,0)),0)</f>
        <v>0</v>
      </c>
      <c r="T15" s="33">
        <f t="shared" si="4"/>
        <v>0</v>
      </c>
      <c r="U15" s="33" cm="1">
        <f t="array" ref="U15">IFERROR(INDEX('[2]SALES PERTYPE'!$D$10:$BA$52,MATCH($C15,'[2]SALES PERTYPE'!$B$10:$B$52,0),MATCH("Watch GT 2",'[2]SALES PERTYPE'!$D$8:$BA$8,0)+1),0)</f>
        <v>0</v>
      </c>
      <c r="V15" s="33" cm="1">
        <f t="array" ref="V15">IFERROR(INDEX('[2]Sales per type Agustus'!$D$10:$BA$51,MATCH($C15,'[2]Sales per type Agustus'!$B$10:$B$51,0),MATCH("Watch GT 2",'[2]Sales per type Agustus'!$D$8:$BA$8,0)+1),0)</f>
        <v>0</v>
      </c>
      <c r="W15" s="33">
        <f t="shared" si="5"/>
        <v>0</v>
      </c>
      <c r="X15" s="33">
        <f>IFERROR(INDEX('[2]SALES PERTYPE'!$D$10:$BA$52,MATCH($C15,'[2]SALES PERTYPE'!$B$10:$B$52,0),MATCH("Y05e",'[2]SALES PERTYPE'!$D$8:$BA$8,0)),0)</f>
        <v>0</v>
      </c>
      <c r="Y15" s="33">
        <f>IFERROR(INDEX('[2]Sales per type Agustus'!$D$10:$BA$51,MATCH($C15,'[2]Sales per type Agustus'!$B$10:$B$51,0),MATCH("Y05e",'[2]Sales per type Agustus'!$D$8:$BA$8,0)),0)</f>
        <v>1</v>
      </c>
      <c r="Z15" s="33">
        <f t="shared" si="6"/>
        <v>-1</v>
      </c>
      <c r="AA15" s="33" cm="1">
        <f t="array" ref="AA15">IFERROR(INDEX('[2]SALES PERTYPE'!$D$10:$BA$52,MATCH($C15,'[2]SALES PERTYPE'!$B$10:$B$52,0),MATCH("Y05e",'[2]SALES PERTYPE'!$D$8:$BA$8,0)+1),0)</f>
        <v>0</v>
      </c>
      <c r="AB15" s="33" cm="1">
        <f t="array" ref="AB15">IFERROR(INDEX('[2]Sales per type Agustus'!$D$10:$BA$51,MATCH($C15,'[2]Sales per type Agustus'!$B$10:$B$51,0),MATCH("Y05e",'[2]Sales per type Agustus'!$D$8:$BA$8,0)+1),0)</f>
        <v>2099000</v>
      </c>
      <c r="AC15" s="33">
        <f t="shared" si="7"/>
        <v>-2099000</v>
      </c>
      <c r="AD15" s="33">
        <f>IFERROR(INDEX('[2]SALES PERTYPE'!$D$10:$BA$52,MATCH($C15,'[2]SALES PERTYPE'!$B$10:$B$52,0),MATCH("V70",'[2]SALES PERTYPE'!$D$8:$BA$8,0)),0)</f>
        <v>2</v>
      </c>
      <c r="AE15" s="33">
        <f>IFERROR(INDEX('[2]Sales per type Agustus'!$D$10:$BA$51,MATCH($C15,'[2]Sales per type Agustus'!$B$10:$B$51,0),MATCH("V70",'[2]Sales per type Agustus'!$D$8:$BA$8,0)),0)</f>
        <v>0</v>
      </c>
      <c r="AF15" s="33">
        <f t="shared" si="8"/>
        <v>2</v>
      </c>
      <c r="AG15" s="33" cm="1">
        <f t="array" ref="AG15">IFERROR(INDEX('[2]SALES PERTYPE'!$D$10:$BA$52,MATCH($C15,'[2]SALES PERTYPE'!$B$10:$B$52,0),MATCH("V70",'[2]SALES PERTYPE'!$D$8:$BA$8,0)+1),0)</f>
        <v>19998000</v>
      </c>
      <c r="AH15" s="33" cm="1">
        <f t="array" ref="AH15">IFERROR(INDEX('[2]Sales per type Agustus'!$D$10:$BA$51,MATCH($C15,'[2]Sales per type Agustus'!$B$10:$B$51,0),MATCH("V70",'[2]Sales per type Agustus'!$D$8:$BA$8,0)+1),0)</f>
        <v>0</v>
      </c>
      <c r="AI15" s="33">
        <f t="shared" si="9"/>
        <v>19998000</v>
      </c>
      <c r="AJ15" s="33">
        <f>IFERROR(INDEX('[2]SALES PERTYPE'!$D$10:$BA$52,MATCH($C15,'[2]SALES PERTYPE'!$B$10:$B$52,0),MATCH("Y31d Pro",'[2]SALES PERTYPE'!$D$8:$BA$8,0)),0)</f>
        <v>0</v>
      </c>
      <c r="AK15" s="33">
        <f>IFERROR(INDEX('[2]Sales per type Agustus'!$D$10:$BA$51,MATCH($C15,'[2]Sales per type Agustus'!$B$10:$B$51,0),MATCH("Y31d Pro",'[2]Sales per type Agustus'!$D$8:$BA$8,0)),0)</f>
        <v>6</v>
      </c>
      <c r="AL15" s="33">
        <f t="shared" si="10"/>
        <v>-6</v>
      </c>
      <c r="AM15" s="33" cm="1">
        <f t="array" ref="AM15">IFERROR(INDEX('[2]SALES PERTYPE'!$D$10:$BA$52,MATCH($C15,'[2]SALES PERTYPE'!$B$10:$B$52,0),MATCH("Y31d Pro",'[2]SALES PERTYPE'!$D$8:$BA$8,0)+1),0)</f>
        <v>0</v>
      </c>
      <c r="AN15" s="33" cm="1">
        <f t="array" ref="AN15">IFERROR(INDEX('[2]Sales per type Agustus'!$D$10:$BA$51,MATCH($C15,'[2]Sales per type Agustus'!$B$10:$B$51,0),MATCH("Y31d Pro",'[2]Sales per type Agustus'!$D$8:$BA$8,0)+1),0)</f>
        <v>27394000</v>
      </c>
      <c r="AO15" s="33">
        <f t="shared" si="11"/>
        <v>-27394000</v>
      </c>
      <c r="AP15" s="33" cm="1">
        <f t="array" ref="AP15">IFERROR(INDEX('[2]SALES PERTYPE'!$D$10:$BA$52,MATCH($C15,'[2]SALES PERTYPE'!$B$10:$B$52,0),$EI$3),0)</f>
        <v>0</v>
      </c>
      <c r="AQ15" s="33" cm="1">
        <f t="array" ref="AQ15">IFERROR(INDEX('[2]Sales per type Agustus'!$D$10:$BA$51,MATCH($C15,'[2]Sales per type Agustus'!$B$10:$B$51,0),$EI$2),0)</f>
        <v>0</v>
      </c>
      <c r="AR15" s="33">
        <f t="shared" si="12"/>
        <v>0</v>
      </c>
      <c r="AS15" s="33" cm="1">
        <f t="array" ref="AS15">IFERROR(INDEX('[2]SALES PERTYPE'!$D$10:$BA$52,MATCH($C15,'[2]SALES PERTYPE'!$B$10:$B$52,0),$EI$3+1),0)</f>
        <v>0</v>
      </c>
      <c r="AT15" s="33" cm="1">
        <f t="array" ref="AT15">IFERROR(INDEX('[2]Sales per type Agustus'!$D$10:$BA$51,MATCH($C15,'[2]Sales per type Agustus'!$B$10:$B$51,0),$EI$2+1),0)</f>
        <v>0</v>
      </c>
      <c r="AU15" s="33">
        <f t="shared" si="13"/>
        <v>0</v>
      </c>
      <c r="AV15" s="33">
        <f>IFERROR(INDEX('[2]SALES PERTYPE'!$D$10:$BA$52,MATCH($C15,'[2]SALES PERTYPE'!$B$10:$B$52,0),MATCH("Y31d ",'[2]SALES PERTYPE'!$D$8:$BA$8,0)),0)</f>
        <v>1</v>
      </c>
      <c r="AW15" s="33">
        <f>IFERROR(INDEX('[2]Sales per type Agustus'!$D$10:$BA$51,MATCH($C15,'[2]Sales per type Agustus'!$B$10:$B$51,0),MATCH("Y31d ",'[2]Sales per type Agustus'!$D$8:$BA$8,0)),0)</f>
        <v>0</v>
      </c>
      <c r="AX15" s="33">
        <f t="shared" si="14"/>
        <v>1</v>
      </c>
      <c r="AY15" s="33" cm="1">
        <f t="array" ref="AY15">IFERROR(INDEX('[2]SALES PERTYPE'!$D$10:$BA$52,MATCH($C15,'[2]SALES PERTYPE'!$B$10:$B$52,0),MATCH("Y31d ",'[2]SALES PERTYPE'!$D$8:$BA$8,0)+1),0)</f>
        <v>3599000</v>
      </c>
      <c r="AZ15" s="33" cm="1">
        <f t="array" ref="AZ15">IFERROR(INDEX('[2]Sales per type Agustus'!$D$10:$BA$51,MATCH($C15,'[2]Sales per type Agustus'!$B$10:$B$51,0),MATCH("Y31d ",'[2]Sales per type Agustus'!$D$8:$BA$8,0)+1),0)</f>
        <v>0</v>
      </c>
      <c r="BA15" s="33">
        <f t="shared" si="15"/>
        <v>3599000</v>
      </c>
      <c r="BB15" s="33">
        <f>IFERROR(INDEX('[2]SALES PERTYPE'!$D$10:$BA$52,MATCH($C15,'[2]SALES PERTYPE'!$B$10:$B$52,0),MATCH("V70 FE",'[2]SALES PERTYPE'!$D$8:$BA$8,0)),0)</f>
        <v>2</v>
      </c>
      <c r="BC15" s="33">
        <f>IFERROR(INDEX('[2]Sales per type Agustus'!$D$10:$BA$51,MATCH($C15,'[2]Sales per type Agustus'!$B$10:$B$51,0),MATCH("V70 FE",'[2]Sales per type Agustus'!$D$8:$BA$8,0)),0)</f>
        <v>3</v>
      </c>
      <c r="BD15" s="33">
        <f t="shared" si="16"/>
        <v>-1</v>
      </c>
      <c r="BE15" s="33" cm="1">
        <f t="array" ref="BE15">IFERROR(INDEX('[2]SALES PERTYPE'!$D$10:$BA$52,MATCH($C15,'[2]SALES PERTYPE'!$B$10:$B$52,0),MATCH("V70 FE",'[2]SALES PERTYPE'!$D$8:$BA$8,0)+1),0)</f>
        <v>15998000</v>
      </c>
      <c r="BF15" s="33" cm="1">
        <f t="array" ref="BF15">IFERROR(INDEX('[2]Sales per type Agustus'!$D$10:$BA$51,MATCH($C15,'[2]Sales per type Agustus'!$B$10:$B$51,0),MATCH("V70 FE",'[2]Sales per type Agustus'!$D$8:$BA$8,0)+1),0)</f>
        <v>21197000</v>
      </c>
      <c r="BG15" s="33">
        <f t="shared" si="17"/>
        <v>-5199000</v>
      </c>
      <c r="BH15" s="33">
        <f>IFERROR(INDEX('[2]SALES PERTYPE'!$D$10:$BA$52,MATCH($C15,'[2]SALES PERTYPE'!$B$10:$B$52,0),MATCH("Y31d",'[2]SALES PERTYPE'!$D$8:$BA$8,0)),0)</f>
        <v>0</v>
      </c>
      <c r="BI15" s="33">
        <f>IFERROR(INDEX('[2]Sales per type Agustus'!$D$10:$BA$51,MATCH($C15,'[2]Sales per type Agustus'!$B$10:$B$51,0),MATCH("Y31d",'[2]Sales per type Agustus'!$D$8:$BA$8,0)),0)</f>
        <v>0</v>
      </c>
      <c r="BJ15" s="33">
        <f t="shared" si="18"/>
        <v>0</v>
      </c>
      <c r="BK15" s="33" cm="1">
        <f t="array" ref="BK15">IFERROR(INDEX('[2]SALES PERTYPE'!$D$10:$BA$52,MATCH($C15,'[2]SALES PERTYPE'!$B$10:$B$52,0),MATCH("Y31d",'[2]SALES PERTYPE'!$D$8:$BA$8,0)+1),0)</f>
        <v>0</v>
      </c>
      <c r="BL15" s="33" cm="1">
        <f t="array" ref="BL15">IFERROR(INDEX('[2]Sales per type Agustus'!$D$10:$BA$51,MATCH($C15,'[2]Sales per type Agustus'!$B$10:$B$51,0),MATCH("Y31d",'[2]Sales per type Agustus'!$D$8:$BA$8,0)+1),0)</f>
        <v>0</v>
      </c>
      <c r="BM15" s="33">
        <f t="shared" si="19"/>
        <v>0</v>
      </c>
      <c r="BN15" s="33">
        <f>IFERROR(INDEX('[2]SALES PERTYPE'!$D$10:$BA$52,MATCH($C15,'[2]SALES PERTYPE'!$B$10:$B$52,0),MATCH("Y500",'[2]SALES PERTYPE'!$D$8:$BA$8,0)),0)</f>
        <v>0</v>
      </c>
      <c r="BO15" s="33">
        <f>IFERROR(INDEX('[2]Sales per type Agustus'!$D$10:$BA$51,MATCH($C15,'[2]Sales per type Agustus'!$B$10:$B$51,0),MATCH("Y500",'[2]Sales per type Agustus'!$D$8:$BA$8,0)),0)</f>
        <v>1</v>
      </c>
      <c r="BP15" s="33">
        <f t="shared" si="20"/>
        <v>-1</v>
      </c>
      <c r="BQ15" s="33" cm="1">
        <f t="array" ref="BQ15">IFERROR(INDEX('[2]SALES PERTYPE'!$D$10:$BA$52,MATCH($C15,'[2]SALES PERTYPE'!$B$10:$B$52,0),MATCH("Y500",'[2]SALES PERTYPE'!$D$8:$BA$8,0)+1),0)</f>
        <v>0</v>
      </c>
      <c r="BR15" s="33" cm="1">
        <f t="array" ref="BR15">IFERROR(INDEX('[2]Sales per type Agustus'!$D$10:$BA$51,MATCH($C15,'[2]Sales per type Agustus'!$B$10:$B$51,0),MATCH("Y500",'[2]Sales per type Agustus'!$D$8:$BA$8,0)+1),0)</f>
        <v>5499000</v>
      </c>
      <c r="BS15" s="33">
        <f t="shared" si="21"/>
        <v>-5499000</v>
      </c>
      <c r="BT15" s="33">
        <f>IFERROR(INDEX('[2]SALES PERTYPE'!$D$10:$BA$52,MATCH($C15,'[2]SALES PERTYPE'!$B$10:$B$52,0),MATCH("IQOO 15R",'[2]SALES PERTYPE'!$D$8:$BA$8,0)),0)</f>
        <v>0</v>
      </c>
      <c r="BU15" s="33">
        <f>IFERROR(INDEX('[2]Sales per type Agustus'!$D$10:$BA$51,MATCH($C15,'[2]Sales per type Agustus'!$B$10:$B$51,0),MATCH("IQOO 15R",'[2]Sales per type Agustus'!$D$8:$BA$8,0)),0)</f>
        <v>0</v>
      </c>
      <c r="BV15" s="33">
        <f t="shared" si="22"/>
        <v>0</v>
      </c>
      <c r="BW15" s="33" cm="1">
        <f t="array" ref="BW15">IFERROR(INDEX('[2]SALES PERTYPE'!$D$10:$BA$52,MATCH($C15,'[2]SALES PERTYPE'!$B$10:$B$52,0),MATCH("IQOO 15R",'[2]SALES PERTYPE'!$D$8:$BA$8,0)+1),0)</f>
        <v>0</v>
      </c>
      <c r="BX15" s="33" cm="1">
        <f t="array" ref="BX15">IFERROR(INDEX('[2]Sales per type Agustus'!$D$10:$BA$51,MATCH($C15,'[2]Sales per type Agustus'!$B$10:$B$51,0),MATCH("IQOO 15R",'[2]Sales per type Agustus'!$D$8:$BA$8,0)+1),0)</f>
        <v>0</v>
      </c>
      <c r="BY15" s="33">
        <f t="shared" si="23"/>
        <v>0</v>
      </c>
      <c r="BZ15" s="33">
        <f>IFERROR(INDEX('[2]SALES PERTYPE'!$D$10:$BA$52,MATCH($C15,'[2]SALES PERTYPE'!$B$10:$B$52,0),MATCH("V60 Lite",'[2]SALES PERTYPE'!$D$8:$BA$8,0)),0)</f>
        <v>0</v>
      </c>
      <c r="CA15" s="33">
        <f>IFERROR(INDEX('[2]Sales per type Agustus'!$D$10:$BA$51,MATCH($C15,'[2]Sales per type Agustus'!$B$10:$B$51,0),MATCH("V60 Lite",'[2]Sales per type Agustus'!$D$8:$BA$8,0)),0)</f>
        <v>0</v>
      </c>
      <c r="CB15" s="33">
        <f t="shared" si="24"/>
        <v>0</v>
      </c>
      <c r="CC15" s="33" cm="1">
        <f t="array" ref="CC15">IFERROR(INDEX('[2]SALES PERTYPE'!$D$10:$BA$52,MATCH($C15,'[2]SALES PERTYPE'!$B$10:$B$52,0),MATCH("V60 Lite",'[2]SALES PERTYPE'!$D$8:$BA$8,0)+1),0)</f>
        <v>0</v>
      </c>
      <c r="CD15" s="33" cm="1">
        <f t="array" ref="CD15">IFERROR(INDEX('[2]Sales per type Agustus'!$D$10:$BA$51,MATCH($C15,'[2]Sales per type Agustus'!$B$10:$B$51,0),MATCH("V60 Lite",'[2]Sales per type Agustus'!$D$8:$BA$8,0)+1),0)</f>
        <v>0</v>
      </c>
      <c r="CE15" s="33">
        <f t="shared" si="25"/>
        <v>0</v>
      </c>
      <c r="CF15" s="33">
        <f>IFERROR(INDEX('[2]SALES PERTYPE'!$D$10:$BA$52,MATCH($C15,'[2]SALES PERTYPE'!$B$10:$B$52,0),MATCH("X300 Ultra",'[2]SALES PERTYPE'!$D$8:$BA$8,0)),0)</f>
        <v>0</v>
      </c>
      <c r="CG15" s="33">
        <f>IFERROR(INDEX('[2]Sales per type Agustus'!$D$10:$BA$51,MATCH($C15,'[2]Sales per type Agustus'!$B$10:$B$51,0),MATCH("X300 Ultra",'[2]Sales per type Agustus'!$D$8:$BA$8,0)),0)</f>
        <v>0</v>
      </c>
      <c r="CH15" s="33">
        <f t="shared" si="26"/>
        <v>0</v>
      </c>
      <c r="CI15" s="33" cm="1">
        <f t="array" ref="CI15">IFERROR(INDEX('[2]SALES PERTYPE'!$D$10:$BA$52,MATCH($C15,'[2]SALES PERTYPE'!$B$10:$B$52,0),MATCH("X300 Ultra",'[2]SALES PERTYPE'!$D$8:$BA$8,0)+1),0)</f>
        <v>0</v>
      </c>
      <c r="CJ15" s="33" cm="1">
        <f t="array" ref="CJ15">IFERROR(INDEX('[2]Sales per type Agustus'!$D$10:$BA$51,MATCH($C15,'[2]Sales per type Agustus'!$B$10:$B$51,0),MATCH("X300 Ultra",'[2]Sales per type Agustus'!$D$8:$BA$8,0)+1),0)</f>
        <v>0</v>
      </c>
      <c r="CK15" s="33">
        <f t="shared" si="27"/>
        <v>0</v>
      </c>
      <c r="CL15" s="33">
        <f>IFERROR(INDEX('[2]SALES PERTYPE'!$D$10:$BA$52,MATCH($C15,'[2]SALES PERTYPE'!$B$10:$B$52,0),MATCH("IQOO 15",'[2]SALES PERTYPE'!$D$8:$BA$8,0)),0)</f>
        <v>0</v>
      </c>
      <c r="CM15" s="33">
        <f>IFERROR(INDEX('[2]Sales per type Agustus'!$D$10:$BA$51,MATCH($C15,'[2]Sales per type Agustus'!$B$10:$B$51,0),MATCH("IQOO 15",'[2]Sales per type Agustus'!$D$8:$BA$8,0)),0)</f>
        <v>0</v>
      </c>
      <c r="CN15" s="33">
        <f t="shared" si="28"/>
        <v>0</v>
      </c>
      <c r="CO15" s="33" cm="1">
        <f t="array" ref="CO15">IFERROR(INDEX('[2]SALES PERTYPE'!$D$10:$BA$52,MATCH($C15,'[2]SALES PERTYPE'!$B$10:$B$52,0),MATCH("IQOO 15",'[2]SALES PERTYPE'!$D$8:$BA$8,0)+1),0)</f>
        <v>0</v>
      </c>
      <c r="CP15" s="33" cm="1">
        <f t="array" ref="CP15">IFERROR(INDEX('[2]Sales per type Agustus'!$D$10:$BA$51,MATCH($C15,'[2]Sales per type Agustus'!$B$10:$B$51,0),MATCH("IQOO 15",'[2]Sales per type Agustus'!$D$8:$BA$8,0)+1),0)</f>
        <v>0</v>
      </c>
      <c r="CQ15" s="33">
        <f t="shared" si="29"/>
        <v>0</v>
      </c>
      <c r="CR15" s="33">
        <f>IFERROR(INDEX('[2]SALES PERTYPE'!$D$10:$BA$52,MATCH($C15,'[2]SALES PERTYPE'!$B$10:$B$52,0),MATCH("IQOO Z11x",'[2]SALES PERTYPE'!$D$8:$BA$8,0)),0)</f>
        <v>0</v>
      </c>
      <c r="CS15" s="33">
        <f>IFERROR(INDEX('[2]Sales per type Agustus'!$D$10:$BA$51,MATCH($C15,'[2]Sales per type Agustus'!$B$10:$B$51,0),MATCH("IQOO Z11x",'[2]Sales per type Agustus'!$D$8:$BA$8,0)),0)</f>
        <v>0</v>
      </c>
      <c r="CT15" s="33">
        <f t="shared" si="30"/>
        <v>0</v>
      </c>
      <c r="CU15" s="33" cm="1">
        <f t="array" ref="CU15">IFERROR(INDEX('[2]SALES PERTYPE'!$D$10:$BA$52,MATCH($C15,'[2]SALES PERTYPE'!$B$10:$B$52,0),MATCH("IQOO Z11x",'[2]SALES PERTYPE'!$D$8:$BA$8,0)+1),0)</f>
        <v>0</v>
      </c>
      <c r="CV15" s="33" cm="1">
        <f t="array" ref="CV15">IFERROR(INDEX('[2]Sales per type Agustus'!$D$10:$BA$51,MATCH($C15,'[2]Sales per type Agustus'!$B$10:$B$51,0),MATCH("IQOO Z11x",'[2]Sales per type Agustus'!$D$8:$BA$8,0)+1),0)</f>
        <v>0</v>
      </c>
      <c r="CW15" s="33">
        <f t="shared" si="31"/>
        <v>0</v>
      </c>
      <c r="CX15" s="33">
        <f>IFERROR(INDEX('[2]SALES PERTYPE'!$D$10:$BA$52,MATCH($C15,'[2]SALES PERTYPE'!$B$10:$B$52,0),MATCH("IQOO Z11",'[2]SALES PERTYPE'!$D$8:$BA$8,0)),0)</f>
        <v>0</v>
      </c>
      <c r="CY15" s="33">
        <f>IFERROR(INDEX('[2]Sales per type Agustus'!$D$10:$BA$51,MATCH($C15,'[2]Sales per type Agustus'!$B$10:$B$51,0),MATCH("IQOO Z11",'[2]Sales per type Agustus'!$D$8:$BA$8,0)),0)</f>
        <v>0</v>
      </c>
      <c r="CZ15" s="33">
        <f t="shared" si="32"/>
        <v>0</v>
      </c>
      <c r="DA15" s="33" cm="1">
        <f t="array" ref="DA15">IFERROR(INDEX('[2]SALES PERTYPE'!$D$10:$BA$52,MATCH($C15,'[2]SALES PERTYPE'!$B$10:$B$52,0),MATCH("IQOO Z11",'[2]SALES PERTYPE'!$D$8:$BA$8,0)+1),0)</f>
        <v>0</v>
      </c>
      <c r="DB15" s="33" cm="1">
        <f t="array" ref="DB15">IFERROR(INDEX('[2]Sales per type Agustus'!$D$10:$BA$51,MATCH($C15,'[2]Sales per type Agustus'!$B$10:$B$51,0),MATCH("IQOO Z11",'[2]Sales per type Agustus'!$D$8:$BA$8,0)+1),0)</f>
        <v>0</v>
      </c>
      <c r="DC15" s="33">
        <f t="shared" si="33"/>
        <v>0</v>
      </c>
      <c r="DD15" s="33">
        <f>IFERROR(INDEX('[2]SALES PERTYPE'!$D$10:$BA$52,MATCH($C15,'[2]SALES PERTYPE'!$B$10:$B$52,0),MATCH("WATCH 3",'[2]SALES PERTYPE'!$D$8:$BA$8,0)),0)</f>
        <v>0</v>
      </c>
      <c r="DE15" s="33">
        <f>IFERROR(INDEX('[2]Sales per type Agustus'!$D$10:$BA$51,MATCH($C15,'[2]Sales per type Agustus'!$B$10:$B$51,0),MATCH("WATCH 3",'[2]Sales per type Agustus'!$D$8:$BA$8,0)),0)</f>
        <v>0</v>
      </c>
      <c r="DF15" s="33">
        <f t="shared" si="34"/>
        <v>0</v>
      </c>
      <c r="DG15" s="33" cm="1">
        <f t="array" ref="DG15">IFERROR(INDEX('[2]SALES PERTYPE'!$D$10:$BA$52,MATCH($C15,'[2]SALES PERTYPE'!$B$10:$B$52,0),MATCH("WATCH 3",'[2]SALES PERTYPE'!$D$8:$BA$8,0)+1),0)</f>
        <v>0</v>
      </c>
      <c r="DH15" s="33" cm="1">
        <f t="array" ref="DH15">IFERROR(INDEX('[2]Sales per type Agustus'!$D$10:$BA$51,MATCH($C15,'[2]Sales per type Agustus'!$B$10:$B$51,0),MATCH("WATCH 3",'[2]Sales per type Agustus'!$D$8:$BA$8,0)+1),0)</f>
        <v>0</v>
      </c>
      <c r="DI15" s="33">
        <f t="shared" si="35"/>
        <v>0</v>
      </c>
      <c r="DJ15" s="33">
        <f>IFERROR(INDEX('[2]SALES PERTYPE'!$D$10:$BA$52,MATCH($C15,'[2]SALES PERTYPE'!$B$10:$B$52,0),MATCH("X Fold5",'[2]SALES PERTYPE'!$D$8:$BA$8,0)),0)</f>
        <v>0</v>
      </c>
      <c r="DK15" s="33">
        <f>IFERROR(INDEX('[2]Sales per type Agustus'!$D$10:$BA$51,MATCH($C15,'[2]Sales per type Agustus'!$B$10:$B$51,0),MATCH("X Fold5",'[2]Sales per type Agustus'!$D$8:$BA$8,0)),0)</f>
        <v>0</v>
      </c>
      <c r="DL15" s="33">
        <f t="shared" si="36"/>
        <v>0</v>
      </c>
      <c r="DM15" s="33" cm="1">
        <f t="array" ref="DM15">IFERROR(INDEX('[2]SALES PERTYPE'!$D$10:$BA$52,MATCH($C15,'[2]SALES PERTYPE'!$B$10:$B$52,0),MATCH("X Fold5",'[2]SALES PERTYPE'!$D$8:$BA$8,0)+1),0)</f>
        <v>0</v>
      </c>
      <c r="DN15" s="33" cm="1">
        <f t="array" ref="DN15">IFERROR(INDEX('[2]Sales per type Agustus'!$D$10:$BA$51,MATCH($C15,'[2]Sales per type Agustus'!$B$10:$B$51,0),MATCH("X Fold5",'[2]Sales per type Agustus'!$D$8:$BA$8,0)+1),0)</f>
        <v>0</v>
      </c>
      <c r="DO15" s="33">
        <f t="shared" si="37"/>
        <v>0</v>
      </c>
      <c r="DP15" s="33">
        <f>IFERROR(INDEX('[2]SALES PERTYPE'!$D$10:$BA$52,MATCH($C15,'[2]SALES PERTYPE'!$B$10:$B$52,0),MATCH("X300 PRO",'[2]SALES PERTYPE'!$D$8:$BA$8,0)),0)</f>
        <v>0</v>
      </c>
      <c r="DQ15" s="33">
        <f>IFERROR(INDEX('[2]Sales per type Agustus'!$D$10:$BA$51,MATCH($C15,'[2]Sales per type Agustus'!$B$10:$B$51,0),MATCH("X300 PRO",'[2]Sales per type Agustus'!$D$8:$BA$8,0)),0)</f>
        <v>0</v>
      </c>
      <c r="DR15" s="33">
        <f t="shared" si="38"/>
        <v>0</v>
      </c>
      <c r="DS15" s="33" cm="1">
        <f t="array" ref="DS15">IFERROR(INDEX('[2]SALES PERTYPE'!$D$10:$BA$52,MATCH($C15,'[2]SALES PERTYPE'!$B$10:$B$52,0),MATCH("X300 PRO",'[2]SALES PERTYPE'!$D$8:$BA$8,0)+1),0)</f>
        <v>0</v>
      </c>
      <c r="DT15" s="33" cm="1">
        <f t="array" ref="DT15">IFERROR(INDEX('[2]Sales per type Agustus'!$D$10:$BA$51,MATCH($C15,'[2]Sales per type Agustus'!$B$10:$B$51,0),MATCH("X300 PRO",'[2]Sales per type Agustus'!$D$8:$BA$8,0)+1),0)</f>
        <v>0</v>
      </c>
      <c r="DU15" s="33">
        <f t="shared" si="39"/>
        <v>0</v>
      </c>
      <c r="DV15" s="33">
        <f>IFERROR(INDEX('[2]SALES PERTYPE'!$D$10:$BA$52,MATCH($C15,'[2]SALES PERTYPE'!$B$10:$B$52,0),MATCH("X300",'[2]SALES PERTYPE'!$D$8:$BA$8,0)),0)</f>
        <v>0</v>
      </c>
      <c r="DW15" s="33">
        <f>IFERROR(INDEX('[2]Sales per type Agustus'!$D$10:$BA$51,MATCH($C15,'[2]Sales per type Agustus'!$B$10:$B$51,0),MATCH("X300 ",'[2]Sales per type Agustus'!$D$8:$BA$8,0)),0)</f>
        <v>0</v>
      </c>
      <c r="DX15" s="33">
        <f t="shared" si="40"/>
        <v>0</v>
      </c>
      <c r="DY15" s="33" cm="1">
        <f t="array" ref="DY15">IFERROR(INDEX('[2]SALES PERTYPE'!$D$10:$BA$52,MATCH($C15,'[2]SALES PERTYPE'!$B$10:$B$52,0),MATCH("X300",'[2]SALES PERTYPE'!$D$8:$BA$8,0)+1),0)</f>
        <v>0</v>
      </c>
      <c r="DZ15" s="33" cm="1">
        <f t="array" ref="DZ15">IFERROR(INDEX('[2]Sales per type Agustus'!$D$10:$BA$51,MATCH($C15,'[2]Sales per type Agustus'!$B$10:$B$51,0),MATCH("X300 ",'[2]Sales per type Agustus'!$D$8:$BA$8,0)+1),0)</f>
        <v>0</v>
      </c>
      <c r="EA15" s="33">
        <f t="shared" si="41"/>
        <v>0</v>
      </c>
      <c r="EB15" s="33">
        <f t="shared" si="42"/>
        <v>10</v>
      </c>
      <c r="EC15" s="33">
        <f t="shared" si="42"/>
        <v>19</v>
      </c>
      <c r="ED15" s="33">
        <f t="shared" si="43"/>
        <v>-9</v>
      </c>
      <c r="EE15" s="33">
        <f t="shared" si="44"/>
        <v>52690000</v>
      </c>
      <c r="EF15" s="33">
        <f t="shared" si="44"/>
        <v>76981000</v>
      </c>
      <c r="EG15" s="33">
        <f t="shared" si="45"/>
        <v>-24291000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5">
        <f>'[2]ACHIEVEMENT STORE'!A16</f>
        <v>12</v>
      </c>
      <c r="B16" s="216" t="str">
        <f>'[2]ACHIEVEMENT STORE'!B16</f>
        <v>604 雅加达东南 JKT TS</v>
      </c>
      <c r="C16" s="215">
        <f>'[2]ACHIEVEMENT STORE'!C16</f>
        <v>6080712</v>
      </c>
      <c r="D16" s="216" t="str">
        <f>'[2]ACHIEVEMENT STORE'!D16</f>
        <v>6080712-ITC DEPOK VIVO STORE 2</v>
      </c>
      <c r="E16" s="216" t="str">
        <f>'[2]ACHIEVEMENT STORE'!E16</f>
        <v>Erlangga Praditya</v>
      </c>
      <c r="F16" s="33">
        <f>IFERROR(INDEX('[2]SALES PERTYPE'!$D$10:$BA$52,MATCH($C16,'[2]SALES PERTYPE'!$B$10:$B$52,0),MATCH("Y05",'[2]SALES PERTYPE'!$D$8:$BA$8,0)),0)</f>
        <v>2</v>
      </c>
      <c r="G16" s="33">
        <f>IFERROR(INDEX('[2]Sales per type Agustus'!$D$10:$BA$51,MATCH($C16,'[2]Sales per type Agustus'!$B$10:$B$51,0),MATCH("Y05",'[2]Sales per type Agustus'!$D$8:$BA$8,0)),0)</f>
        <v>1</v>
      </c>
      <c r="H16" s="33">
        <f t="shared" si="0"/>
        <v>1</v>
      </c>
      <c r="I16" s="33" cm="1">
        <f t="array" ref="I16">IFERROR(INDEX('[2]SALES PERTYPE'!$D$10:$BA$52,MATCH($C16,'[2]SALES PERTYPE'!$B$10:$B$52,0),MATCH("Y05",'[2]SALES PERTYPE'!$D$8:$BA$8,0)+1),0)</f>
        <v>5198000</v>
      </c>
      <c r="J16" s="33" cm="1">
        <f t="array" ref="J16">IFERROR(INDEX('[2]Sales per type Agustus'!$D$10:$BA$51,MATCH($C16,'[2]Sales per type Agustus'!$B$10:$B$51,0),MATCH("Y05",'[2]Sales per type Agustus'!$D$8:$BA$8,0)+1),0)</f>
        <v>2599000</v>
      </c>
      <c r="K16" s="33">
        <f t="shared" si="1"/>
        <v>2599000</v>
      </c>
      <c r="L16" s="33">
        <f>IFERROR(INDEX('[2]SALES PERTYPE'!$D$10:$BA$52,MATCH($C16,'[2]SALES PERTYPE'!$B$10:$B$52,0),MATCH("Y11d",'[2]SALES PERTYPE'!$D$8:$BA$8,0)),0)</f>
        <v>1</v>
      </c>
      <c r="M16" s="33">
        <f>IFERROR(INDEX('[2]Sales per type Agustus'!$D$10:$BA$51,MATCH($C16,'[2]Sales per type Agustus'!$B$10:$B$51,0),MATCH("Y11d",'[2]Sales per type Agustus'!$D$8:$BA$8,0)),0)</f>
        <v>4</v>
      </c>
      <c r="N16" s="33">
        <f t="shared" si="2"/>
        <v>-3</v>
      </c>
      <c r="O16" s="33" cm="1">
        <f t="array" ref="O16">IFERROR(INDEX('[2]SALES PERTYPE'!$D$10:$BA$52,MATCH($C16,'[2]SALES PERTYPE'!$B$10:$B$52,0),MATCH("Y11d",'[2]SALES PERTYPE'!$D$8:$BA$8,0)+1),0)</f>
        <v>2799000</v>
      </c>
      <c r="P16" s="33" cm="1">
        <f t="array" ref="P16">IFERROR(INDEX('[2]Sales per type Agustus'!$D$10:$BA$51,MATCH($C16,'[2]Sales per type Agustus'!$B$10:$B$51,0),MATCH("Y11d",'[2]Sales per type Agustus'!$D$8:$BA$8,0)+1),0)</f>
        <v>10796000</v>
      </c>
      <c r="Q16" s="33">
        <f t="shared" si="3"/>
        <v>-7997000</v>
      </c>
      <c r="R16" s="33">
        <f>IFERROR(INDEX('[2]SALES PERTYPE'!$D$10:$BA$52,MATCH($C16,'[2]SALES PERTYPE'!$B$10:$B$52,0),MATCH("Watch GT 2",'[2]SALES PERTYPE'!$D$8:$BA$8,0)),0)</f>
        <v>0</v>
      </c>
      <c r="S16" s="33">
        <f>IFERROR(INDEX('[2]Sales per type Agustus'!$D$10:$BA$51,MATCH($C16,'[2]Sales per type Agustus'!$B$10:$B$51,0),MATCH("Watch GT 2",'[2]Sales per type Agustus'!$D$8:$BA$8,0)),0)</f>
        <v>0</v>
      </c>
      <c r="T16" s="33">
        <f t="shared" si="4"/>
        <v>0</v>
      </c>
      <c r="U16" s="33" cm="1">
        <f t="array" ref="U16">IFERROR(INDEX('[2]SALES PERTYPE'!$D$10:$BA$52,MATCH($C16,'[2]SALES PERTYPE'!$B$10:$B$52,0),MATCH("Watch GT 2",'[2]SALES PERTYPE'!$D$8:$BA$8,0)+1),0)</f>
        <v>0</v>
      </c>
      <c r="V16" s="33" cm="1">
        <f t="array" ref="V16">IFERROR(INDEX('[2]Sales per type Agustus'!$D$10:$BA$51,MATCH($C16,'[2]Sales per type Agustus'!$B$10:$B$51,0),MATCH("Watch GT 2",'[2]Sales per type Agustus'!$D$8:$BA$8,0)+1),0)</f>
        <v>0</v>
      </c>
      <c r="W16" s="33">
        <f t="shared" si="5"/>
        <v>0</v>
      </c>
      <c r="X16" s="33">
        <f>IFERROR(INDEX('[2]SALES PERTYPE'!$D$10:$BA$52,MATCH($C16,'[2]SALES PERTYPE'!$B$10:$B$52,0),MATCH("Y05e",'[2]SALES PERTYPE'!$D$8:$BA$8,0)),0)</f>
        <v>1</v>
      </c>
      <c r="Y16" s="33">
        <f>IFERROR(INDEX('[2]Sales per type Agustus'!$D$10:$BA$51,MATCH($C16,'[2]Sales per type Agustus'!$B$10:$B$51,0),MATCH("Y05e",'[2]Sales per type Agustus'!$D$8:$BA$8,0)),0)</f>
        <v>1</v>
      </c>
      <c r="Z16" s="33">
        <f t="shared" si="6"/>
        <v>0</v>
      </c>
      <c r="AA16" s="33" cm="1">
        <f t="array" ref="AA16">IFERROR(INDEX('[2]SALES PERTYPE'!$D$10:$BA$52,MATCH($C16,'[2]SALES PERTYPE'!$B$10:$B$52,0),MATCH("Y05e",'[2]SALES PERTYPE'!$D$8:$BA$8,0)+1),0)</f>
        <v>2099000</v>
      </c>
      <c r="AB16" s="33" cm="1">
        <f t="array" ref="AB16">IFERROR(INDEX('[2]Sales per type Agustus'!$D$10:$BA$51,MATCH($C16,'[2]Sales per type Agustus'!$B$10:$B$51,0),MATCH("Y05e",'[2]Sales per type Agustus'!$D$8:$BA$8,0)+1),0)</f>
        <v>2099000</v>
      </c>
      <c r="AC16" s="33">
        <f t="shared" si="7"/>
        <v>0</v>
      </c>
      <c r="AD16" s="33">
        <f>IFERROR(INDEX('[2]SALES PERTYPE'!$D$10:$BA$52,MATCH($C16,'[2]SALES PERTYPE'!$B$10:$B$52,0),MATCH("V70",'[2]SALES PERTYPE'!$D$8:$BA$8,0)),0)</f>
        <v>1</v>
      </c>
      <c r="AE16" s="33">
        <f>IFERROR(INDEX('[2]Sales per type Agustus'!$D$10:$BA$51,MATCH($C16,'[2]Sales per type Agustus'!$B$10:$B$51,0),MATCH("V70",'[2]Sales per type Agustus'!$D$8:$BA$8,0)),0)</f>
        <v>2</v>
      </c>
      <c r="AF16" s="33">
        <f t="shared" si="8"/>
        <v>-1</v>
      </c>
      <c r="AG16" s="33" cm="1">
        <f t="array" ref="AG16">IFERROR(INDEX('[2]SALES PERTYPE'!$D$10:$BA$52,MATCH($C16,'[2]SALES PERTYPE'!$B$10:$B$52,0),MATCH("V70",'[2]SALES PERTYPE'!$D$8:$BA$8,0)+1),0)</f>
        <v>9999000</v>
      </c>
      <c r="AH16" s="33" cm="1">
        <f t="array" ref="AH16">IFERROR(INDEX('[2]Sales per type Agustus'!$D$10:$BA$51,MATCH($C16,'[2]Sales per type Agustus'!$B$10:$B$51,0),MATCH("V70",'[2]Sales per type Agustus'!$D$8:$BA$8,0)+1),0)</f>
        <v>20998000</v>
      </c>
      <c r="AI16" s="33">
        <f t="shared" si="9"/>
        <v>-10999000</v>
      </c>
      <c r="AJ16" s="33">
        <f>IFERROR(INDEX('[2]SALES PERTYPE'!$D$10:$BA$52,MATCH($C16,'[2]SALES PERTYPE'!$B$10:$B$52,0),MATCH("Y31d Pro",'[2]SALES PERTYPE'!$D$8:$BA$8,0)),0)</f>
        <v>3</v>
      </c>
      <c r="AK16" s="33">
        <f>IFERROR(INDEX('[2]Sales per type Agustus'!$D$10:$BA$51,MATCH($C16,'[2]Sales per type Agustus'!$B$10:$B$51,0),MATCH("Y31d Pro",'[2]Sales per type Agustus'!$D$8:$BA$8,0)),0)</f>
        <v>1</v>
      </c>
      <c r="AL16" s="33">
        <f t="shared" si="10"/>
        <v>2</v>
      </c>
      <c r="AM16" s="33" cm="1">
        <f t="array" ref="AM16">IFERROR(INDEX('[2]SALES PERTYPE'!$D$10:$BA$52,MATCH($C16,'[2]SALES PERTYPE'!$B$10:$B$52,0),MATCH("Y31d Pro",'[2]SALES PERTYPE'!$D$8:$BA$8,0)+1),0)</f>
        <v>13697000</v>
      </c>
      <c r="AN16" s="33" cm="1">
        <f t="array" ref="AN16">IFERROR(INDEX('[2]Sales per type Agustus'!$D$10:$BA$51,MATCH($C16,'[2]Sales per type Agustus'!$B$10:$B$51,0),MATCH("Y31d Pro",'[2]Sales per type Agustus'!$D$8:$BA$8,0)+1),0)</f>
        <v>5499000</v>
      </c>
      <c r="AO16" s="33">
        <f t="shared" si="11"/>
        <v>8198000</v>
      </c>
      <c r="AP16" s="33" cm="1">
        <f t="array" ref="AP16">IFERROR(INDEX('[2]SALES PERTYPE'!$D$10:$BA$52,MATCH($C16,'[2]SALES PERTYPE'!$B$10:$B$52,0),$EI$3),0)</f>
        <v>0</v>
      </c>
      <c r="AQ16" s="33" cm="1">
        <f t="array" ref="AQ16">IFERROR(INDEX('[2]Sales per type Agustus'!$D$10:$BA$51,MATCH($C16,'[2]Sales per type Agustus'!$B$10:$B$51,0),$EI$2),0)</f>
        <v>0</v>
      </c>
      <c r="AR16" s="33">
        <f t="shared" si="12"/>
        <v>0</v>
      </c>
      <c r="AS16" s="33" cm="1">
        <f t="array" ref="AS16">IFERROR(INDEX('[2]SALES PERTYPE'!$D$10:$BA$52,MATCH($C16,'[2]SALES PERTYPE'!$B$10:$B$52,0),$EI$3+1),0)</f>
        <v>0</v>
      </c>
      <c r="AT16" s="33" cm="1">
        <f t="array" ref="AT16">IFERROR(INDEX('[2]Sales per type Agustus'!$D$10:$BA$51,MATCH($C16,'[2]Sales per type Agustus'!$B$10:$B$51,0),$EI$2+1),0)</f>
        <v>0</v>
      </c>
      <c r="AU16" s="33">
        <f t="shared" si="13"/>
        <v>0</v>
      </c>
      <c r="AV16" s="33">
        <f>IFERROR(INDEX('[2]SALES PERTYPE'!$D$10:$BA$52,MATCH($C16,'[2]SALES PERTYPE'!$B$10:$B$52,0),MATCH("Y31d ",'[2]SALES PERTYPE'!$D$8:$BA$8,0)),0)</f>
        <v>1</v>
      </c>
      <c r="AW16" s="33">
        <f>IFERROR(INDEX('[2]Sales per type Agustus'!$D$10:$BA$51,MATCH($C16,'[2]Sales per type Agustus'!$B$10:$B$51,0),MATCH("Y31d ",'[2]Sales per type Agustus'!$D$8:$BA$8,0)),0)</f>
        <v>0</v>
      </c>
      <c r="AX16" s="33">
        <f t="shared" si="14"/>
        <v>1</v>
      </c>
      <c r="AY16" s="33" cm="1">
        <f t="array" ref="AY16">IFERROR(INDEX('[2]SALES PERTYPE'!$D$10:$BA$52,MATCH($C16,'[2]SALES PERTYPE'!$B$10:$B$52,0),MATCH("Y31d ",'[2]SALES PERTYPE'!$D$8:$BA$8,0)+1),0)</f>
        <v>3599000</v>
      </c>
      <c r="AZ16" s="33" cm="1">
        <f t="array" ref="AZ16">IFERROR(INDEX('[2]Sales per type Agustus'!$D$10:$BA$51,MATCH($C16,'[2]Sales per type Agustus'!$B$10:$B$51,0),MATCH("Y31d ",'[2]Sales per type Agustus'!$D$8:$BA$8,0)+1),0)</f>
        <v>0</v>
      </c>
      <c r="BA16" s="33">
        <f t="shared" si="15"/>
        <v>3599000</v>
      </c>
      <c r="BB16" s="33">
        <f>IFERROR(INDEX('[2]SALES PERTYPE'!$D$10:$BA$52,MATCH($C16,'[2]SALES PERTYPE'!$B$10:$B$52,0),MATCH("V70 FE",'[2]SALES PERTYPE'!$D$8:$BA$8,0)),0)</f>
        <v>0</v>
      </c>
      <c r="BC16" s="33">
        <f>IFERROR(INDEX('[2]Sales per type Agustus'!$D$10:$BA$51,MATCH($C16,'[2]Sales per type Agustus'!$B$10:$B$51,0),MATCH("V70 FE",'[2]Sales per type Agustus'!$D$8:$BA$8,0)),0)</f>
        <v>0</v>
      </c>
      <c r="BD16" s="33">
        <f t="shared" si="16"/>
        <v>0</v>
      </c>
      <c r="BE16" s="33" cm="1">
        <f t="array" ref="BE16">IFERROR(INDEX('[2]SALES PERTYPE'!$D$10:$BA$52,MATCH($C16,'[2]SALES PERTYPE'!$B$10:$B$52,0),MATCH("V70 FE",'[2]SALES PERTYPE'!$D$8:$BA$8,0)+1),0)</f>
        <v>0</v>
      </c>
      <c r="BF16" s="33" cm="1">
        <f t="array" ref="BF16">IFERROR(INDEX('[2]Sales per type Agustus'!$D$10:$BA$51,MATCH($C16,'[2]Sales per type Agustus'!$B$10:$B$51,0),MATCH("V70 FE",'[2]Sales per type Agustus'!$D$8:$BA$8,0)+1),0)</f>
        <v>0</v>
      </c>
      <c r="BG16" s="33">
        <f t="shared" si="17"/>
        <v>0</v>
      </c>
      <c r="BH16" s="33">
        <f>IFERROR(INDEX('[2]SALES PERTYPE'!$D$10:$BA$52,MATCH($C16,'[2]SALES PERTYPE'!$B$10:$B$52,0),MATCH("Y31d",'[2]SALES PERTYPE'!$D$8:$BA$8,0)),0)</f>
        <v>0</v>
      </c>
      <c r="BI16" s="33">
        <f>IFERROR(INDEX('[2]Sales per type Agustus'!$D$10:$BA$51,MATCH($C16,'[2]Sales per type Agustus'!$B$10:$B$51,0),MATCH("Y31d",'[2]Sales per type Agustus'!$D$8:$BA$8,0)),0)</f>
        <v>0</v>
      </c>
      <c r="BJ16" s="33">
        <f t="shared" si="18"/>
        <v>0</v>
      </c>
      <c r="BK16" s="33" cm="1">
        <f t="array" ref="BK16">IFERROR(INDEX('[2]SALES PERTYPE'!$D$10:$BA$52,MATCH($C16,'[2]SALES PERTYPE'!$B$10:$B$52,0),MATCH("Y31d",'[2]SALES PERTYPE'!$D$8:$BA$8,0)+1),0)</f>
        <v>0</v>
      </c>
      <c r="BL16" s="33" cm="1">
        <f t="array" ref="BL16">IFERROR(INDEX('[2]Sales per type Agustus'!$D$10:$BA$51,MATCH($C16,'[2]Sales per type Agustus'!$B$10:$B$51,0),MATCH("Y31d",'[2]Sales per type Agustus'!$D$8:$BA$8,0)+1),0)</f>
        <v>0</v>
      </c>
      <c r="BM16" s="33">
        <f t="shared" si="19"/>
        <v>0</v>
      </c>
      <c r="BN16" s="33">
        <f>IFERROR(INDEX('[2]SALES PERTYPE'!$D$10:$BA$52,MATCH($C16,'[2]SALES PERTYPE'!$B$10:$B$52,0),MATCH("Y500",'[2]SALES PERTYPE'!$D$8:$BA$8,0)),0)</f>
        <v>2</v>
      </c>
      <c r="BO16" s="33">
        <f>IFERROR(INDEX('[2]Sales per type Agustus'!$D$10:$BA$51,MATCH($C16,'[2]Sales per type Agustus'!$B$10:$B$51,0),MATCH("Y500",'[2]Sales per type Agustus'!$D$8:$BA$8,0)),0)</f>
        <v>2</v>
      </c>
      <c r="BP16" s="33">
        <f t="shared" si="20"/>
        <v>0</v>
      </c>
      <c r="BQ16" s="33" cm="1">
        <f t="array" ref="BQ16">IFERROR(INDEX('[2]SALES PERTYPE'!$D$10:$BA$52,MATCH($C16,'[2]SALES PERTYPE'!$B$10:$B$52,0),MATCH("Y500",'[2]SALES PERTYPE'!$D$8:$BA$8,0)+1),0)</f>
        <v>10998000</v>
      </c>
      <c r="BR16" s="33" cm="1">
        <f t="array" ref="BR16">IFERROR(INDEX('[2]Sales per type Agustus'!$D$10:$BA$51,MATCH($C16,'[2]Sales per type Agustus'!$B$10:$B$51,0),MATCH("Y500",'[2]Sales per type Agustus'!$D$8:$BA$8,0)+1),0)</f>
        <v>11798000</v>
      </c>
      <c r="BS16" s="33">
        <f t="shared" si="21"/>
        <v>-800000</v>
      </c>
      <c r="BT16" s="33">
        <f>IFERROR(INDEX('[2]SALES PERTYPE'!$D$10:$BA$52,MATCH($C16,'[2]SALES PERTYPE'!$B$10:$B$52,0),MATCH("IQOO 15R",'[2]SALES PERTYPE'!$D$8:$BA$8,0)),0)</f>
        <v>0</v>
      </c>
      <c r="BU16" s="33">
        <f>IFERROR(INDEX('[2]Sales per type Agustus'!$D$10:$BA$51,MATCH($C16,'[2]Sales per type Agustus'!$B$10:$B$51,0),MATCH("IQOO 15R",'[2]Sales per type Agustus'!$D$8:$BA$8,0)),0)</f>
        <v>0</v>
      </c>
      <c r="BV16" s="33">
        <f t="shared" si="22"/>
        <v>0</v>
      </c>
      <c r="BW16" s="33" cm="1">
        <f t="array" ref="BW16">IFERROR(INDEX('[2]SALES PERTYPE'!$D$10:$BA$52,MATCH($C16,'[2]SALES PERTYPE'!$B$10:$B$52,0),MATCH("IQOO 15R",'[2]SALES PERTYPE'!$D$8:$BA$8,0)+1),0)</f>
        <v>0</v>
      </c>
      <c r="BX16" s="33" cm="1">
        <f t="array" ref="BX16">IFERROR(INDEX('[2]Sales per type Agustus'!$D$10:$BA$51,MATCH($C16,'[2]Sales per type Agustus'!$B$10:$B$51,0),MATCH("IQOO 15R",'[2]Sales per type Agustus'!$D$8:$BA$8,0)+1),0)</f>
        <v>0</v>
      </c>
      <c r="BY16" s="33">
        <f t="shared" si="23"/>
        <v>0</v>
      </c>
      <c r="BZ16" s="33">
        <f>IFERROR(INDEX('[2]SALES PERTYPE'!$D$10:$BA$52,MATCH($C16,'[2]SALES PERTYPE'!$B$10:$B$52,0),MATCH("V60 Lite",'[2]SALES PERTYPE'!$D$8:$BA$8,0)),0)</f>
        <v>0</v>
      </c>
      <c r="CA16" s="33">
        <f>IFERROR(INDEX('[2]Sales per type Agustus'!$D$10:$BA$51,MATCH($C16,'[2]Sales per type Agustus'!$B$10:$B$51,0),MATCH("V60 Lite",'[2]Sales per type Agustus'!$D$8:$BA$8,0)),0)</f>
        <v>2</v>
      </c>
      <c r="CB16" s="33">
        <f t="shared" si="24"/>
        <v>-2</v>
      </c>
      <c r="CC16" s="33" cm="1">
        <f t="array" ref="CC16">IFERROR(INDEX('[2]SALES PERTYPE'!$D$10:$BA$52,MATCH($C16,'[2]SALES PERTYPE'!$B$10:$B$52,0),MATCH("V60 Lite",'[2]SALES PERTYPE'!$D$8:$BA$8,0)+1),0)</f>
        <v>0</v>
      </c>
      <c r="CD16" s="33" cm="1">
        <f t="array" ref="CD16">IFERROR(INDEX('[2]Sales per type Agustus'!$D$10:$BA$51,MATCH($C16,'[2]Sales per type Agustus'!$B$10:$B$51,0),MATCH("V60 Lite",'[2]Sales per type Agustus'!$D$8:$BA$8,0)+1),0)</f>
        <v>11998000</v>
      </c>
      <c r="CE16" s="33">
        <f t="shared" si="25"/>
        <v>-11998000</v>
      </c>
      <c r="CF16" s="33">
        <f>IFERROR(INDEX('[2]SALES PERTYPE'!$D$10:$BA$52,MATCH($C16,'[2]SALES PERTYPE'!$B$10:$B$52,0),MATCH("X300 Ultra",'[2]SALES PERTYPE'!$D$8:$BA$8,0)),0)</f>
        <v>0</v>
      </c>
      <c r="CG16" s="33">
        <f>IFERROR(INDEX('[2]Sales per type Agustus'!$D$10:$BA$51,MATCH($C16,'[2]Sales per type Agustus'!$B$10:$B$51,0),MATCH("X300 Ultra",'[2]Sales per type Agustus'!$D$8:$BA$8,0)),0)</f>
        <v>0</v>
      </c>
      <c r="CH16" s="33">
        <f t="shared" si="26"/>
        <v>0</v>
      </c>
      <c r="CI16" s="33" cm="1">
        <f t="array" ref="CI16">IFERROR(INDEX('[2]SALES PERTYPE'!$D$10:$BA$52,MATCH($C16,'[2]SALES PERTYPE'!$B$10:$B$52,0),MATCH("X300 Ultra",'[2]SALES PERTYPE'!$D$8:$BA$8,0)+1),0)</f>
        <v>0</v>
      </c>
      <c r="CJ16" s="33" cm="1">
        <f t="array" ref="CJ16">IFERROR(INDEX('[2]Sales per type Agustus'!$D$10:$BA$51,MATCH($C16,'[2]Sales per type Agustus'!$B$10:$B$51,0),MATCH("X300 Ultra",'[2]Sales per type Agustus'!$D$8:$BA$8,0)+1),0)</f>
        <v>0</v>
      </c>
      <c r="CK16" s="33">
        <f t="shared" si="27"/>
        <v>0</v>
      </c>
      <c r="CL16" s="33">
        <f>IFERROR(INDEX('[2]SALES PERTYPE'!$D$10:$BA$52,MATCH($C16,'[2]SALES PERTYPE'!$B$10:$B$52,0),MATCH("IQOO 15",'[2]SALES PERTYPE'!$D$8:$BA$8,0)),0)</f>
        <v>0</v>
      </c>
      <c r="CM16" s="33">
        <f>IFERROR(INDEX('[2]Sales per type Agustus'!$D$10:$BA$51,MATCH($C16,'[2]Sales per type Agustus'!$B$10:$B$51,0),MATCH("IQOO 15",'[2]Sales per type Agustus'!$D$8:$BA$8,0)),0)</f>
        <v>0</v>
      </c>
      <c r="CN16" s="33">
        <f t="shared" si="28"/>
        <v>0</v>
      </c>
      <c r="CO16" s="33" cm="1">
        <f t="array" ref="CO16">IFERROR(INDEX('[2]SALES PERTYPE'!$D$10:$BA$52,MATCH($C16,'[2]SALES PERTYPE'!$B$10:$B$52,0),MATCH("IQOO 15",'[2]SALES PERTYPE'!$D$8:$BA$8,0)+1),0)</f>
        <v>0</v>
      </c>
      <c r="CP16" s="33" cm="1">
        <f t="array" ref="CP16">IFERROR(INDEX('[2]Sales per type Agustus'!$D$10:$BA$51,MATCH($C16,'[2]Sales per type Agustus'!$B$10:$B$51,0),MATCH("IQOO 15",'[2]Sales per type Agustus'!$D$8:$BA$8,0)+1),0)</f>
        <v>0</v>
      </c>
      <c r="CQ16" s="33">
        <f t="shared" si="29"/>
        <v>0</v>
      </c>
      <c r="CR16" s="33">
        <f>IFERROR(INDEX('[2]SALES PERTYPE'!$D$10:$BA$52,MATCH($C16,'[2]SALES PERTYPE'!$B$10:$B$52,0),MATCH("IQOO Z11x",'[2]SALES PERTYPE'!$D$8:$BA$8,0)),0)</f>
        <v>0</v>
      </c>
      <c r="CS16" s="33">
        <f>IFERROR(INDEX('[2]Sales per type Agustus'!$D$10:$BA$51,MATCH($C16,'[2]Sales per type Agustus'!$B$10:$B$51,0),MATCH("IQOO Z11x",'[2]Sales per type Agustus'!$D$8:$BA$8,0)),0)</f>
        <v>1</v>
      </c>
      <c r="CT16" s="33">
        <f t="shared" si="30"/>
        <v>-1</v>
      </c>
      <c r="CU16" s="33" cm="1">
        <f t="array" ref="CU16">IFERROR(INDEX('[2]SALES PERTYPE'!$D$10:$BA$52,MATCH($C16,'[2]SALES PERTYPE'!$B$10:$B$52,0),MATCH("IQOO Z11x",'[2]SALES PERTYPE'!$D$8:$BA$8,0)+1),0)</f>
        <v>0</v>
      </c>
      <c r="CV16" s="33" cm="1">
        <f t="array" ref="CV16">IFERROR(INDEX('[2]Sales per type Agustus'!$D$10:$BA$51,MATCH($C16,'[2]Sales per type Agustus'!$B$10:$B$51,0),MATCH("IQOO Z11x",'[2]Sales per type Agustus'!$D$8:$BA$8,0)+1),0)</f>
        <v>5699000</v>
      </c>
      <c r="CW16" s="33">
        <f t="shared" si="31"/>
        <v>-5699000</v>
      </c>
      <c r="CX16" s="33">
        <f>IFERROR(INDEX('[2]SALES PERTYPE'!$D$10:$BA$52,MATCH($C16,'[2]SALES PERTYPE'!$B$10:$B$52,0),MATCH("IQOO Z11",'[2]SALES PERTYPE'!$D$8:$BA$8,0)),0)</f>
        <v>0</v>
      </c>
      <c r="CY16" s="33">
        <f>IFERROR(INDEX('[2]Sales per type Agustus'!$D$10:$BA$51,MATCH($C16,'[2]Sales per type Agustus'!$B$10:$B$51,0),MATCH("IQOO Z11",'[2]Sales per type Agustus'!$D$8:$BA$8,0)),0)</f>
        <v>1</v>
      </c>
      <c r="CZ16" s="33">
        <f t="shared" si="32"/>
        <v>-1</v>
      </c>
      <c r="DA16" s="33" cm="1">
        <f t="array" ref="DA16">IFERROR(INDEX('[2]SALES PERTYPE'!$D$10:$BA$52,MATCH($C16,'[2]SALES PERTYPE'!$B$10:$B$52,0),MATCH("IQOO Z11",'[2]SALES PERTYPE'!$D$8:$BA$8,0)+1),0)</f>
        <v>0</v>
      </c>
      <c r="DB16" s="33" cm="1">
        <f t="array" ref="DB16">IFERROR(INDEX('[2]Sales per type Agustus'!$D$10:$BA$51,MATCH($C16,'[2]Sales per type Agustus'!$B$10:$B$51,0),MATCH("IQOO Z11",'[2]Sales per type Agustus'!$D$8:$BA$8,0)+1),0)</f>
        <v>8399000</v>
      </c>
      <c r="DC16" s="33">
        <f t="shared" si="33"/>
        <v>-8399000</v>
      </c>
      <c r="DD16" s="33">
        <f>IFERROR(INDEX('[2]SALES PERTYPE'!$D$10:$BA$52,MATCH($C16,'[2]SALES PERTYPE'!$B$10:$B$52,0),MATCH("WATCH 3",'[2]SALES PERTYPE'!$D$8:$BA$8,0)),0)</f>
        <v>0</v>
      </c>
      <c r="DE16" s="33">
        <f>IFERROR(INDEX('[2]Sales per type Agustus'!$D$10:$BA$51,MATCH($C16,'[2]Sales per type Agustus'!$B$10:$B$51,0),MATCH("WATCH 3",'[2]Sales per type Agustus'!$D$8:$BA$8,0)),0)</f>
        <v>0</v>
      </c>
      <c r="DF16" s="33">
        <f t="shared" si="34"/>
        <v>0</v>
      </c>
      <c r="DG16" s="33" cm="1">
        <f t="array" ref="DG16">IFERROR(INDEX('[2]SALES PERTYPE'!$D$10:$BA$52,MATCH($C16,'[2]SALES PERTYPE'!$B$10:$B$52,0),MATCH("WATCH 3",'[2]SALES PERTYPE'!$D$8:$BA$8,0)+1),0)</f>
        <v>0</v>
      </c>
      <c r="DH16" s="33" cm="1">
        <f t="array" ref="DH16">IFERROR(INDEX('[2]Sales per type Agustus'!$D$10:$BA$51,MATCH($C16,'[2]Sales per type Agustus'!$B$10:$B$51,0),MATCH("WATCH 3",'[2]Sales per type Agustus'!$D$8:$BA$8,0)+1),0)</f>
        <v>0</v>
      </c>
      <c r="DI16" s="33">
        <f t="shared" si="35"/>
        <v>0</v>
      </c>
      <c r="DJ16" s="33">
        <f>IFERROR(INDEX('[2]SALES PERTYPE'!$D$10:$BA$52,MATCH($C16,'[2]SALES PERTYPE'!$B$10:$B$52,0),MATCH("X Fold5",'[2]SALES PERTYPE'!$D$8:$BA$8,0)),0)</f>
        <v>0</v>
      </c>
      <c r="DK16" s="33">
        <f>IFERROR(INDEX('[2]Sales per type Agustus'!$D$10:$BA$51,MATCH($C16,'[2]Sales per type Agustus'!$B$10:$B$51,0),MATCH("X Fold5",'[2]Sales per type Agustus'!$D$8:$BA$8,0)),0)</f>
        <v>0</v>
      </c>
      <c r="DL16" s="33">
        <f t="shared" si="36"/>
        <v>0</v>
      </c>
      <c r="DM16" s="33" cm="1">
        <f t="array" ref="DM16">IFERROR(INDEX('[2]SALES PERTYPE'!$D$10:$BA$52,MATCH($C16,'[2]SALES PERTYPE'!$B$10:$B$52,0),MATCH("X Fold5",'[2]SALES PERTYPE'!$D$8:$BA$8,0)+1),0)</f>
        <v>0</v>
      </c>
      <c r="DN16" s="33" cm="1">
        <f t="array" ref="DN16">IFERROR(INDEX('[2]Sales per type Agustus'!$D$10:$BA$51,MATCH($C16,'[2]Sales per type Agustus'!$B$10:$B$51,0),MATCH("X Fold5",'[2]Sales per type Agustus'!$D$8:$BA$8,0)+1),0)</f>
        <v>0</v>
      </c>
      <c r="DO16" s="33">
        <f t="shared" si="37"/>
        <v>0</v>
      </c>
      <c r="DP16" s="33">
        <f>IFERROR(INDEX('[2]SALES PERTYPE'!$D$10:$BA$52,MATCH($C16,'[2]SALES PERTYPE'!$B$10:$B$52,0),MATCH("X300 PRO",'[2]SALES PERTYPE'!$D$8:$BA$8,0)),0)</f>
        <v>0</v>
      </c>
      <c r="DQ16" s="33">
        <f>IFERROR(INDEX('[2]Sales per type Agustus'!$D$10:$BA$51,MATCH($C16,'[2]Sales per type Agustus'!$B$10:$B$51,0),MATCH("X300 PRO",'[2]Sales per type Agustus'!$D$8:$BA$8,0)),0)</f>
        <v>0</v>
      </c>
      <c r="DR16" s="33">
        <f t="shared" si="38"/>
        <v>0</v>
      </c>
      <c r="DS16" s="33" cm="1">
        <f t="array" ref="DS16">IFERROR(INDEX('[2]SALES PERTYPE'!$D$10:$BA$52,MATCH($C16,'[2]SALES PERTYPE'!$B$10:$B$52,0),MATCH("X300 PRO",'[2]SALES PERTYPE'!$D$8:$BA$8,0)+1),0)</f>
        <v>0</v>
      </c>
      <c r="DT16" s="33" cm="1">
        <f t="array" ref="DT16">IFERROR(INDEX('[2]Sales per type Agustus'!$D$10:$BA$51,MATCH($C16,'[2]Sales per type Agustus'!$B$10:$B$51,0),MATCH("X300 PRO",'[2]Sales per type Agustus'!$D$8:$BA$8,0)+1),0)</f>
        <v>0</v>
      </c>
      <c r="DU16" s="33">
        <f t="shared" si="39"/>
        <v>0</v>
      </c>
      <c r="DV16" s="33">
        <f>IFERROR(INDEX('[2]SALES PERTYPE'!$D$10:$BA$52,MATCH($C16,'[2]SALES PERTYPE'!$B$10:$B$52,0),MATCH("X300",'[2]SALES PERTYPE'!$D$8:$BA$8,0)),0)</f>
        <v>0</v>
      </c>
      <c r="DW16" s="33">
        <f>IFERROR(INDEX('[2]Sales per type Agustus'!$D$10:$BA$51,MATCH($C16,'[2]Sales per type Agustus'!$B$10:$B$51,0),MATCH("X300 ",'[2]Sales per type Agustus'!$D$8:$BA$8,0)),0)</f>
        <v>0</v>
      </c>
      <c r="DX16" s="33">
        <f t="shared" si="40"/>
        <v>0</v>
      </c>
      <c r="DY16" s="33" cm="1">
        <f t="array" ref="DY16">IFERROR(INDEX('[2]SALES PERTYPE'!$D$10:$BA$52,MATCH($C16,'[2]SALES PERTYPE'!$B$10:$B$52,0),MATCH("X300",'[2]SALES PERTYPE'!$D$8:$BA$8,0)+1),0)</f>
        <v>0</v>
      </c>
      <c r="DZ16" s="33" cm="1">
        <f t="array" ref="DZ16">IFERROR(INDEX('[2]Sales per type Agustus'!$D$10:$BA$51,MATCH($C16,'[2]Sales per type Agustus'!$B$10:$B$51,0),MATCH("X300 ",'[2]Sales per type Agustus'!$D$8:$BA$8,0)+1),0)</f>
        <v>0</v>
      </c>
      <c r="EA16" s="33">
        <f t="shared" si="41"/>
        <v>0</v>
      </c>
      <c r="EB16" s="33">
        <f t="shared" si="42"/>
        <v>11</v>
      </c>
      <c r="EC16" s="33">
        <f t="shared" si="42"/>
        <v>15</v>
      </c>
      <c r="ED16" s="33">
        <f t="shared" si="43"/>
        <v>-4</v>
      </c>
      <c r="EE16" s="33">
        <f t="shared" si="44"/>
        <v>48389000</v>
      </c>
      <c r="EF16" s="33">
        <f t="shared" si="44"/>
        <v>79885000</v>
      </c>
      <c r="EG16" s="33">
        <f t="shared" si="45"/>
        <v>-31496000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'[2]ACHIEVEMENT STORE'!A17</f>
        <v>13</v>
      </c>
      <c r="B17" s="32" t="str">
        <f>'[2]ACHIEVEMENT STORE'!B17</f>
        <v>604 雅加达东南 JKT TS</v>
      </c>
      <c r="C17" s="31">
        <f>'[2]ACHIEVEMENT STORE'!C17</f>
        <v>6040702</v>
      </c>
      <c r="D17" s="32" t="str">
        <f>'[2]ACHIEVEMENT STORE'!D17</f>
        <v>6040702-TRAN STUDIO MALL 2F059</v>
      </c>
      <c r="E17" s="32" t="str">
        <f>'[2]ACHIEVEMENT STORE'!E17</f>
        <v>Erlangga Praditya</v>
      </c>
      <c r="F17" s="33">
        <f>IFERROR(INDEX('[2]SALES PERTYPE'!$D$10:$BA$52,MATCH($C17,'[2]SALES PERTYPE'!$B$10:$B$52,0),MATCH("Y05",'[2]SALES PERTYPE'!$D$8:$BA$8,0)),0)</f>
        <v>0</v>
      </c>
      <c r="G17" s="33">
        <f>IFERROR(INDEX('[2]Sales per type Agustus'!$D$10:$BA$51,MATCH($C17,'[2]Sales per type Agustus'!$B$10:$B$51,0),MATCH("Y05",'[2]Sales per type Agustus'!$D$8:$BA$8,0)),0)</f>
        <v>2</v>
      </c>
      <c r="H17" s="33">
        <f t="shared" si="0"/>
        <v>-2</v>
      </c>
      <c r="I17" s="33" cm="1">
        <f t="array" ref="I17">IFERROR(INDEX('[2]SALES PERTYPE'!$D$10:$BA$52,MATCH($C17,'[2]SALES PERTYPE'!$B$10:$B$52,0),MATCH("Y05",'[2]SALES PERTYPE'!$D$8:$BA$8,0)+1),0)</f>
        <v>0</v>
      </c>
      <c r="J17" s="33" cm="1">
        <f t="array" ref="J17">IFERROR(INDEX('[2]Sales per type Agustus'!$D$10:$BA$51,MATCH($C17,'[2]Sales per type Agustus'!$B$10:$B$51,0),MATCH("Y05",'[2]Sales per type Agustus'!$D$8:$BA$8,0)+1),0)</f>
        <v>5198000</v>
      </c>
      <c r="K17" s="33">
        <f t="shared" si="1"/>
        <v>-5198000</v>
      </c>
      <c r="L17" s="33">
        <f>IFERROR(INDEX('[2]SALES PERTYPE'!$D$10:$BA$52,MATCH($C17,'[2]SALES PERTYPE'!$B$10:$B$52,0),MATCH("Y11d",'[2]SALES PERTYPE'!$D$8:$BA$8,0)),0)</f>
        <v>3</v>
      </c>
      <c r="M17" s="33">
        <f>IFERROR(INDEX('[2]Sales per type Agustus'!$D$10:$BA$51,MATCH($C17,'[2]Sales per type Agustus'!$B$10:$B$51,0),MATCH("Y11d",'[2]Sales per type Agustus'!$D$8:$BA$8,0)),0)</f>
        <v>0</v>
      </c>
      <c r="N17" s="33">
        <f t="shared" si="2"/>
        <v>3</v>
      </c>
      <c r="O17" s="33" cm="1">
        <f t="array" ref="O17">IFERROR(INDEX('[2]SALES PERTYPE'!$D$10:$BA$52,MATCH($C17,'[2]SALES PERTYPE'!$B$10:$B$52,0),MATCH("Y11d",'[2]SALES PERTYPE'!$D$8:$BA$8,0)+1),0)</f>
        <v>7997000</v>
      </c>
      <c r="P17" s="33" cm="1">
        <f t="array" ref="P17">IFERROR(INDEX('[2]Sales per type Agustus'!$D$10:$BA$51,MATCH($C17,'[2]Sales per type Agustus'!$B$10:$B$51,0),MATCH("Y11d",'[2]Sales per type Agustus'!$D$8:$BA$8,0)+1),0)</f>
        <v>0</v>
      </c>
      <c r="Q17" s="33">
        <f t="shared" si="3"/>
        <v>7997000</v>
      </c>
      <c r="R17" s="33">
        <f>IFERROR(INDEX('[2]SALES PERTYPE'!$D$10:$BA$52,MATCH($C17,'[2]SALES PERTYPE'!$B$10:$B$52,0),MATCH("Watch GT 2",'[2]SALES PERTYPE'!$D$8:$BA$8,0)),0)</f>
        <v>0</v>
      </c>
      <c r="S17" s="33">
        <f>IFERROR(INDEX('[2]Sales per type Agustus'!$D$10:$BA$51,MATCH($C17,'[2]Sales per type Agustus'!$B$10:$B$51,0),MATCH("Watch GT 2",'[2]Sales per type Agustus'!$D$8:$BA$8,0)),0)</f>
        <v>0</v>
      </c>
      <c r="T17" s="33">
        <f t="shared" si="4"/>
        <v>0</v>
      </c>
      <c r="U17" s="33" cm="1">
        <f t="array" ref="U17">IFERROR(INDEX('[2]SALES PERTYPE'!$D$10:$BA$52,MATCH($C17,'[2]SALES PERTYPE'!$B$10:$B$52,0),MATCH("Watch GT 2",'[2]SALES PERTYPE'!$D$8:$BA$8,0)+1),0)</f>
        <v>0</v>
      </c>
      <c r="V17" s="33" cm="1">
        <f t="array" ref="V17">IFERROR(INDEX('[2]Sales per type Agustus'!$D$10:$BA$51,MATCH($C17,'[2]Sales per type Agustus'!$B$10:$B$51,0),MATCH("Watch GT 2",'[2]Sales per type Agustus'!$D$8:$BA$8,0)+1),0)</f>
        <v>0</v>
      </c>
      <c r="W17" s="33">
        <f t="shared" si="5"/>
        <v>0</v>
      </c>
      <c r="X17" s="33">
        <f>IFERROR(INDEX('[2]SALES PERTYPE'!$D$10:$BA$52,MATCH($C17,'[2]SALES PERTYPE'!$B$10:$B$52,0),MATCH("Y05e",'[2]SALES PERTYPE'!$D$8:$BA$8,0)),0)</f>
        <v>1</v>
      </c>
      <c r="Y17" s="33">
        <f>IFERROR(INDEX('[2]Sales per type Agustus'!$D$10:$BA$51,MATCH($C17,'[2]Sales per type Agustus'!$B$10:$B$51,0),MATCH("Y05e",'[2]Sales per type Agustus'!$D$8:$BA$8,0)),0)</f>
        <v>1</v>
      </c>
      <c r="Z17" s="33">
        <f t="shared" si="6"/>
        <v>0</v>
      </c>
      <c r="AA17" s="33" cm="1">
        <f t="array" ref="AA17">IFERROR(INDEX('[2]SALES PERTYPE'!$D$10:$BA$52,MATCH($C17,'[2]SALES PERTYPE'!$B$10:$B$52,0),MATCH("Y05e",'[2]SALES PERTYPE'!$D$8:$BA$8,0)+1),0)</f>
        <v>2099000</v>
      </c>
      <c r="AB17" s="33" cm="1">
        <f t="array" ref="AB17">IFERROR(INDEX('[2]Sales per type Agustus'!$D$10:$BA$51,MATCH($C17,'[2]Sales per type Agustus'!$B$10:$B$51,0),MATCH("Y05e",'[2]Sales per type Agustus'!$D$8:$BA$8,0)+1),0)</f>
        <v>2099000</v>
      </c>
      <c r="AC17" s="33">
        <f t="shared" si="7"/>
        <v>0</v>
      </c>
      <c r="AD17" s="33">
        <f>IFERROR(INDEX('[2]SALES PERTYPE'!$D$10:$BA$52,MATCH($C17,'[2]SALES PERTYPE'!$B$10:$B$52,0),MATCH("V70",'[2]SALES PERTYPE'!$D$8:$BA$8,0)),0)</f>
        <v>0</v>
      </c>
      <c r="AE17" s="33">
        <f>IFERROR(INDEX('[2]Sales per type Agustus'!$D$10:$BA$51,MATCH($C17,'[2]Sales per type Agustus'!$B$10:$B$51,0),MATCH("V70",'[2]Sales per type Agustus'!$D$8:$BA$8,0)),0)</f>
        <v>1</v>
      </c>
      <c r="AF17" s="33">
        <f t="shared" si="8"/>
        <v>-1</v>
      </c>
      <c r="AG17" s="33" cm="1">
        <f t="array" ref="AG17">IFERROR(INDEX('[2]SALES PERTYPE'!$D$10:$BA$52,MATCH($C17,'[2]SALES PERTYPE'!$B$10:$B$52,0),MATCH("V70",'[2]SALES PERTYPE'!$D$8:$BA$8,0)+1),0)</f>
        <v>0</v>
      </c>
      <c r="AH17" s="33" cm="1">
        <f t="array" ref="AH17">IFERROR(INDEX('[2]Sales per type Agustus'!$D$10:$BA$51,MATCH($C17,'[2]Sales per type Agustus'!$B$10:$B$51,0),MATCH("V70",'[2]Sales per type Agustus'!$D$8:$BA$8,0)+1),0)</f>
        <v>10999000</v>
      </c>
      <c r="AI17" s="33">
        <f t="shared" si="9"/>
        <v>-10999000</v>
      </c>
      <c r="AJ17" s="33">
        <f>IFERROR(INDEX('[2]SALES PERTYPE'!$D$10:$BA$52,MATCH($C17,'[2]SALES PERTYPE'!$B$10:$B$52,0),MATCH("Y31d Pro",'[2]SALES PERTYPE'!$D$8:$BA$8,0)),0)</f>
        <v>2</v>
      </c>
      <c r="AK17" s="33">
        <f>IFERROR(INDEX('[2]Sales per type Agustus'!$D$10:$BA$51,MATCH($C17,'[2]Sales per type Agustus'!$B$10:$B$51,0),MATCH("Y31d Pro",'[2]Sales per type Agustus'!$D$8:$BA$8,0)),0)</f>
        <v>0</v>
      </c>
      <c r="AL17" s="33">
        <f t="shared" si="10"/>
        <v>2</v>
      </c>
      <c r="AM17" s="33" cm="1">
        <f t="array" ref="AM17">IFERROR(INDEX('[2]SALES PERTYPE'!$D$10:$BA$52,MATCH($C17,'[2]SALES PERTYPE'!$B$10:$B$52,0),MATCH("Y31d Pro",'[2]SALES PERTYPE'!$D$8:$BA$8,0)+1),0)</f>
        <v>9398000</v>
      </c>
      <c r="AN17" s="33" cm="1">
        <f t="array" ref="AN17">IFERROR(INDEX('[2]Sales per type Agustus'!$D$10:$BA$51,MATCH($C17,'[2]Sales per type Agustus'!$B$10:$B$51,0),MATCH("Y31d Pro",'[2]Sales per type Agustus'!$D$8:$BA$8,0)+1),0)</f>
        <v>0</v>
      </c>
      <c r="AO17" s="33">
        <f t="shared" si="11"/>
        <v>9398000</v>
      </c>
      <c r="AP17" s="33" cm="1">
        <f t="array" ref="AP17">IFERROR(INDEX('[2]SALES PERTYPE'!$D$10:$BA$52,MATCH($C17,'[2]SALES PERTYPE'!$B$10:$B$52,0),$EI$3),0)</f>
        <v>0</v>
      </c>
      <c r="AQ17" s="33" cm="1">
        <f t="array" ref="AQ17">IFERROR(INDEX('[2]Sales per type Agustus'!$D$10:$BA$51,MATCH($C17,'[2]Sales per type Agustus'!$B$10:$B$51,0),$EI$2),0)</f>
        <v>0</v>
      </c>
      <c r="AR17" s="33">
        <f t="shared" si="12"/>
        <v>0</v>
      </c>
      <c r="AS17" s="33" cm="1">
        <f t="array" ref="AS17">IFERROR(INDEX('[2]SALES PERTYPE'!$D$10:$BA$52,MATCH($C17,'[2]SALES PERTYPE'!$B$10:$B$52,0),$EI$3+1),0)</f>
        <v>0</v>
      </c>
      <c r="AT17" s="33" cm="1">
        <f t="array" ref="AT17">IFERROR(INDEX('[2]Sales per type Agustus'!$D$10:$BA$51,MATCH($C17,'[2]Sales per type Agustus'!$B$10:$B$51,0),$EI$2+1),0)</f>
        <v>0</v>
      </c>
      <c r="AU17" s="33">
        <f t="shared" si="13"/>
        <v>0</v>
      </c>
      <c r="AV17" s="33">
        <f>IFERROR(INDEX('[2]SALES PERTYPE'!$D$10:$BA$52,MATCH($C17,'[2]SALES PERTYPE'!$B$10:$B$52,0),MATCH("Y31d ",'[2]SALES PERTYPE'!$D$8:$BA$8,0)),0)</f>
        <v>1</v>
      </c>
      <c r="AW17" s="33">
        <f>IFERROR(INDEX('[2]Sales per type Agustus'!$D$10:$BA$51,MATCH($C17,'[2]Sales per type Agustus'!$B$10:$B$51,0),MATCH("Y31d ",'[2]Sales per type Agustus'!$D$8:$BA$8,0)),0)</f>
        <v>0</v>
      </c>
      <c r="AX17" s="33">
        <f t="shared" si="14"/>
        <v>1</v>
      </c>
      <c r="AY17" s="33" cm="1">
        <f t="array" ref="AY17">IFERROR(INDEX('[2]SALES PERTYPE'!$D$10:$BA$52,MATCH($C17,'[2]SALES PERTYPE'!$B$10:$B$52,0),MATCH("Y31d ",'[2]SALES PERTYPE'!$D$8:$BA$8,0)+1),0)</f>
        <v>3599000</v>
      </c>
      <c r="AZ17" s="33" cm="1">
        <f t="array" ref="AZ17">IFERROR(INDEX('[2]Sales per type Agustus'!$D$10:$BA$51,MATCH($C17,'[2]Sales per type Agustus'!$B$10:$B$51,0),MATCH("Y31d ",'[2]Sales per type Agustus'!$D$8:$BA$8,0)+1),0)</f>
        <v>0</v>
      </c>
      <c r="BA17" s="33">
        <f t="shared" si="15"/>
        <v>3599000</v>
      </c>
      <c r="BB17" s="33">
        <f>IFERROR(INDEX('[2]SALES PERTYPE'!$D$10:$BA$52,MATCH($C17,'[2]SALES PERTYPE'!$B$10:$B$52,0),MATCH("V70 FE",'[2]SALES PERTYPE'!$D$8:$BA$8,0)),0)</f>
        <v>0</v>
      </c>
      <c r="BC17" s="33">
        <f>IFERROR(INDEX('[2]Sales per type Agustus'!$D$10:$BA$51,MATCH($C17,'[2]Sales per type Agustus'!$B$10:$B$51,0),MATCH("V70 FE",'[2]Sales per type Agustus'!$D$8:$BA$8,0)),0)</f>
        <v>1</v>
      </c>
      <c r="BD17" s="33">
        <f t="shared" si="16"/>
        <v>-1</v>
      </c>
      <c r="BE17" s="33" cm="1">
        <f t="array" ref="BE17">IFERROR(INDEX('[2]SALES PERTYPE'!$D$10:$BA$52,MATCH($C17,'[2]SALES PERTYPE'!$B$10:$B$52,0),MATCH("V70 FE",'[2]SALES PERTYPE'!$D$8:$BA$8,0)+1),0)</f>
        <v>0</v>
      </c>
      <c r="BF17" s="33" cm="1">
        <f t="array" ref="BF17">IFERROR(INDEX('[2]Sales per type Agustus'!$D$10:$BA$51,MATCH($C17,'[2]Sales per type Agustus'!$B$10:$B$51,0),MATCH("V70 FE",'[2]Sales per type Agustus'!$D$8:$BA$8,0)+1),0)</f>
        <v>6499000</v>
      </c>
      <c r="BG17" s="33">
        <f t="shared" si="17"/>
        <v>-6499000</v>
      </c>
      <c r="BH17" s="33">
        <f>IFERROR(INDEX('[2]SALES PERTYPE'!$D$10:$BA$52,MATCH($C17,'[2]SALES PERTYPE'!$B$10:$B$52,0),MATCH("Y31d",'[2]SALES PERTYPE'!$D$8:$BA$8,0)),0)</f>
        <v>0</v>
      </c>
      <c r="BI17" s="33">
        <f>IFERROR(INDEX('[2]Sales per type Agustus'!$D$10:$BA$51,MATCH($C17,'[2]Sales per type Agustus'!$B$10:$B$51,0),MATCH("Y31d",'[2]Sales per type Agustus'!$D$8:$BA$8,0)),0)</f>
        <v>0</v>
      </c>
      <c r="BJ17" s="33">
        <f t="shared" si="18"/>
        <v>0</v>
      </c>
      <c r="BK17" s="33" cm="1">
        <f t="array" ref="BK17">IFERROR(INDEX('[2]SALES PERTYPE'!$D$10:$BA$52,MATCH($C17,'[2]SALES PERTYPE'!$B$10:$B$52,0),MATCH("Y31d",'[2]SALES PERTYPE'!$D$8:$BA$8,0)+1),0)</f>
        <v>0</v>
      </c>
      <c r="BL17" s="33" cm="1">
        <f t="array" ref="BL17">IFERROR(INDEX('[2]Sales per type Agustus'!$D$10:$BA$51,MATCH($C17,'[2]Sales per type Agustus'!$B$10:$B$51,0),MATCH("Y31d",'[2]Sales per type Agustus'!$D$8:$BA$8,0)+1),0)</f>
        <v>0</v>
      </c>
      <c r="BM17" s="33">
        <f t="shared" si="19"/>
        <v>0</v>
      </c>
      <c r="BN17" s="33">
        <f>IFERROR(INDEX('[2]SALES PERTYPE'!$D$10:$BA$52,MATCH($C17,'[2]SALES PERTYPE'!$B$10:$B$52,0),MATCH("Y500",'[2]SALES PERTYPE'!$D$8:$BA$8,0)),0)</f>
        <v>0</v>
      </c>
      <c r="BO17" s="33">
        <f>IFERROR(INDEX('[2]Sales per type Agustus'!$D$10:$BA$51,MATCH($C17,'[2]Sales per type Agustus'!$B$10:$B$51,0),MATCH("Y500",'[2]Sales per type Agustus'!$D$8:$BA$8,0)),0)</f>
        <v>2</v>
      </c>
      <c r="BP17" s="33">
        <f t="shared" si="20"/>
        <v>-2</v>
      </c>
      <c r="BQ17" s="33" cm="1">
        <f t="array" ref="BQ17">IFERROR(INDEX('[2]SALES PERTYPE'!$D$10:$BA$52,MATCH($C17,'[2]SALES PERTYPE'!$B$10:$B$52,0),MATCH("Y500",'[2]SALES PERTYPE'!$D$8:$BA$8,0)+1),0)</f>
        <v>0</v>
      </c>
      <c r="BR17" s="33" cm="1">
        <f t="array" ref="BR17">IFERROR(INDEX('[2]Sales per type Agustus'!$D$10:$BA$51,MATCH($C17,'[2]Sales per type Agustus'!$B$10:$B$51,0),MATCH("Y500",'[2]Sales per type Agustus'!$D$8:$BA$8,0)+1),0)</f>
        <v>11798000</v>
      </c>
      <c r="BS17" s="33">
        <f t="shared" si="21"/>
        <v>-11798000</v>
      </c>
      <c r="BT17" s="33">
        <f>IFERROR(INDEX('[2]SALES PERTYPE'!$D$10:$BA$52,MATCH($C17,'[2]SALES PERTYPE'!$B$10:$B$52,0),MATCH("IQOO 15R",'[2]SALES PERTYPE'!$D$8:$BA$8,0)),0)</f>
        <v>0</v>
      </c>
      <c r="BU17" s="33">
        <f>IFERROR(INDEX('[2]Sales per type Agustus'!$D$10:$BA$51,MATCH($C17,'[2]Sales per type Agustus'!$B$10:$B$51,0),MATCH("IQOO 15R",'[2]Sales per type Agustus'!$D$8:$BA$8,0)),0)</f>
        <v>0</v>
      </c>
      <c r="BV17" s="33">
        <f t="shared" si="22"/>
        <v>0</v>
      </c>
      <c r="BW17" s="33" cm="1">
        <f t="array" ref="BW17">IFERROR(INDEX('[2]SALES PERTYPE'!$D$10:$BA$52,MATCH($C17,'[2]SALES PERTYPE'!$B$10:$B$52,0),MATCH("IQOO 15R",'[2]SALES PERTYPE'!$D$8:$BA$8,0)+1),0)</f>
        <v>0</v>
      </c>
      <c r="BX17" s="33" cm="1">
        <f t="array" ref="BX17">IFERROR(INDEX('[2]Sales per type Agustus'!$D$10:$BA$51,MATCH($C17,'[2]Sales per type Agustus'!$B$10:$B$51,0),MATCH("IQOO 15R",'[2]Sales per type Agustus'!$D$8:$BA$8,0)+1),0)</f>
        <v>0</v>
      </c>
      <c r="BY17" s="33">
        <f t="shared" si="23"/>
        <v>0</v>
      </c>
      <c r="BZ17" s="33">
        <f>IFERROR(INDEX('[2]SALES PERTYPE'!$D$10:$BA$52,MATCH($C17,'[2]SALES PERTYPE'!$B$10:$B$52,0),MATCH("V60 Lite",'[2]SALES PERTYPE'!$D$8:$BA$8,0)),0)</f>
        <v>0</v>
      </c>
      <c r="CA17" s="33">
        <f>IFERROR(INDEX('[2]Sales per type Agustus'!$D$10:$BA$51,MATCH($C17,'[2]Sales per type Agustus'!$B$10:$B$51,0),MATCH("V60 Lite",'[2]Sales per type Agustus'!$D$8:$BA$8,0)),0)</f>
        <v>0</v>
      </c>
      <c r="CB17" s="33">
        <f t="shared" si="24"/>
        <v>0</v>
      </c>
      <c r="CC17" s="33" cm="1">
        <f t="array" ref="CC17">IFERROR(INDEX('[2]SALES PERTYPE'!$D$10:$BA$52,MATCH($C17,'[2]SALES PERTYPE'!$B$10:$B$52,0),MATCH("V60 Lite",'[2]SALES PERTYPE'!$D$8:$BA$8,0)+1),0)</f>
        <v>0</v>
      </c>
      <c r="CD17" s="33" cm="1">
        <f t="array" ref="CD17">IFERROR(INDEX('[2]Sales per type Agustus'!$D$10:$BA$51,MATCH($C17,'[2]Sales per type Agustus'!$B$10:$B$51,0),MATCH("V60 Lite",'[2]Sales per type Agustus'!$D$8:$BA$8,0)+1),0)</f>
        <v>0</v>
      </c>
      <c r="CE17" s="33">
        <f t="shared" si="25"/>
        <v>0</v>
      </c>
      <c r="CF17" s="33">
        <f>IFERROR(INDEX('[2]SALES PERTYPE'!$D$10:$BA$52,MATCH($C17,'[2]SALES PERTYPE'!$B$10:$B$52,0),MATCH("X300 Ultra",'[2]SALES PERTYPE'!$D$8:$BA$8,0)),0)</f>
        <v>0</v>
      </c>
      <c r="CG17" s="33">
        <f>IFERROR(INDEX('[2]Sales per type Agustus'!$D$10:$BA$51,MATCH($C17,'[2]Sales per type Agustus'!$B$10:$B$51,0),MATCH("X300 Ultra",'[2]Sales per type Agustus'!$D$8:$BA$8,0)),0)</f>
        <v>0</v>
      </c>
      <c r="CH17" s="33">
        <f t="shared" si="26"/>
        <v>0</v>
      </c>
      <c r="CI17" s="33" cm="1">
        <f t="array" ref="CI17">IFERROR(INDEX('[2]SALES PERTYPE'!$D$10:$BA$52,MATCH($C17,'[2]SALES PERTYPE'!$B$10:$B$52,0),MATCH("X300 Ultra",'[2]SALES PERTYPE'!$D$8:$BA$8,0)+1),0)</f>
        <v>0</v>
      </c>
      <c r="CJ17" s="33" cm="1">
        <f t="array" ref="CJ17">IFERROR(INDEX('[2]Sales per type Agustus'!$D$10:$BA$51,MATCH($C17,'[2]Sales per type Agustus'!$B$10:$B$51,0),MATCH("X300 Ultra",'[2]Sales per type Agustus'!$D$8:$BA$8,0)+1),0)</f>
        <v>0</v>
      </c>
      <c r="CK17" s="33">
        <f t="shared" si="27"/>
        <v>0</v>
      </c>
      <c r="CL17" s="33">
        <f>IFERROR(INDEX('[2]SALES PERTYPE'!$D$10:$BA$52,MATCH($C17,'[2]SALES PERTYPE'!$B$10:$B$52,0),MATCH("IQOO 15",'[2]SALES PERTYPE'!$D$8:$BA$8,0)),0)</f>
        <v>0</v>
      </c>
      <c r="CM17" s="33">
        <f>IFERROR(INDEX('[2]Sales per type Agustus'!$D$10:$BA$51,MATCH($C17,'[2]Sales per type Agustus'!$B$10:$B$51,0),MATCH("IQOO 15",'[2]Sales per type Agustus'!$D$8:$BA$8,0)),0)</f>
        <v>0</v>
      </c>
      <c r="CN17" s="33">
        <f t="shared" si="28"/>
        <v>0</v>
      </c>
      <c r="CO17" s="33" cm="1">
        <f t="array" ref="CO17">IFERROR(INDEX('[2]SALES PERTYPE'!$D$10:$BA$52,MATCH($C17,'[2]SALES PERTYPE'!$B$10:$B$52,0),MATCH("IQOO 15",'[2]SALES PERTYPE'!$D$8:$BA$8,0)+1),0)</f>
        <v>0</v>
      </c>
      <c r="CP17" s="33" cm="1">
        <f t="array" ref="CP17">IFERROR(INDEX('[2]Sales per type Agustus'!$D$10:$BA$51,MATCH($C17,'[2]Sales per type Agustus'!$B$10:$B$51,0),MATCH("IQOO 15",'[2]Sales per type Agustus'!$D$8:$BA$8,0)+1),0)</f>
        <v>0</v>
      </c>
      <c r="CQ17" s="33">
        <f t="shared" si="29"/>
        <v>0</v>
      </c>
      <c r="CR17" s="33">
        <f>IFERROR(INDEX('[2]SALES PERTYPE'!$D$10:$BA$52,MATCH($C17,'[2]SALES PERTYPE'!$B$10:$B$52,0),MATCH("IQOO Z11x",'[2]SALES PERTYPE'!$D$8:$BA$8,0)),0)</f>
        <v>0</v>
      </c>
      <c r="CS17" s="33">
        <f>IFERROR(INDEX('[2]Sales per type Agustus'!$D$10:$BA$51,MATCH($C17,'[2]Sales per type Agustus'!$B$10:$B$51,0),MATCH("IQOO Z11x",'[2]Sales per type Agustus'!$D$8:$BA$8,0)),0)</f>
        <v>0</v>
      </c>
      <c r="CT17" s="33">
        <f t="shared" si="30"/>
        <v>0</v>
      </c>
      <c r="CU17" s="33" cm="1">
        <f t="array" ref="CU17">IFERROR(INDEX('[2]SALES PERTYPE'!$D$10:$BA$52,MATCH($C17,'[2]SALES PERTYPE'!$B$10:$B$52,0),MATCH("IQOO Z11x",'[2]SALES PERTYPE'!$D$8:$BA$8,0)+1),0)</f>
        <v>0</v>
      </c>
      <c r="CV17" s="33" cm="1">
        <f t="array" ref="CV17">IFERROR(INDEX('[2]Sales per type Agustus'!$D$10:$BA$51,MATCH($C17,'[2]Sales per type Agustus'!$B$10:$B$51,0),MATCH("IQOO Z11x",'[2]Sales per type Agustus'!$D$8:$BA$8,0)+1),0)</f>
        <v>0</v>
      </c>
      <c r="CW17" s="33">
        <f t="shared" si="31"/>
        <v>0</v>
      </c>
      <c r="CX17" s="33">
        <f>IFERROR(INDEX('[2]SALES PERTYPE'!$D$10:$BA$52,MATCH($C17,'[2]SALES PERTYPE'!$B$10:$B$52,0),MATCH("IQOO Z11",'[2]SALES PERTYPE'!$D$8:$BA$8,0)),0)</f>
        <v>0</v>
      </c>
      <c r="CY17" s="33">
        <f>IFERROR(INDEX('[2]Sales per type Agustus'!$D$10:$BA$51,MATCH($C17,'[2]Sales per type Agustus'!$B$10:$B$51,0),MATCH("IQOO Z11",'[2]Sales per type Agustus'!$D$8:$BA$8,0)),0)</f>
        <v>1</v>
      </c>
      <c r="CZ17" s="33">
        <f t="shared" si="32"/>
        <v>-1</v>
      </c>
      <c r="DA17" s="33" cm="1">
        <f t="array" ref="DA17">IFERROR(INDEX('[2]SALES PERTYPE'!$D$10:$BA$52,MATCH($C17,'[2]SALES PERTYPE'!$B$10:$B$52,0),MATCH("IQOO Z11",'[2]SALES PERTYPE'!$D$8:$BA$8,0)+1),0)</f>
        <v>0</v>
      </c>
      <c r="DB17" s="33" cm="1">
        <f t="array" ref="DB17">IFERROR(INDEX('[2]Sales per type Agustus'!$D$10:$BA$51,MATCH($C17,'[2]Sales per type Agustus'!$B$10:$B$51,0),MATCH("IQOO Z11",'[2]Sales per type Agustus'!$D$8:$BA$8,0)+1),0)</f>
        <v>6899000</v>
      </c>
      <c r="DC17" s="33">
        <f t="shared" si="33"/>
        <v>-6899000</v>
      </c>
      <c r="DD17" s="33">
        <f>IFERROR(INDEX('[2]SALES PERTYPE'!$D$10:$BA$52,MATCH($C17,'[2]SALES PERTYPE'!$B$10:$B$52,0),MATCH("WATCH 3",'[2]SALES PERTYPE'!$D$8:$BA$8,0)),0)</f>
        <v>0</v>
      </c>
      <c r="DE17" s="33">
        <f>IFERROR(INDEX('[2]Sales per type Agustus'!$D$10:$BA$51,MATCH($C17,'[2]Sales per type Agustus'!$B$10:$B$51,0),MATCH("WATCH 3",'[2]Sales per type Agustus'!$D$8:$BA$8,0)),0)</f>
        <v>0</v>
      </c>
      <c r="DF17" s="33">
        <f t="shared" si="34"/>
        <v>0</v>
      </c>
      <c r="DG17" s="33" cm="1">
        <f t="array" ref="DG17">IFERROR(INDEX('[2]SALES PERTYPE'!$D$10:$BA$52,MATCH($C17,'[2]SALES PERTYPE'!$B$10:$B$52,0),MATCH("WATCH 3",'[2]SALES PERTYPE'!$D$8:$BA$8,0)+1),0)</f>
        <v>0</v>
      </c>
      <c r="DH17" s="33" cm="1">
        <f t="array" ref="DH17">IFERROR(INDEX('[2]Sales per type Agustus'!$D$10:$BA$51,MATCH($C17,'[2]Sales per type Agustus'!$B$10:$B$51,0),MATCH("WATCH 3",'[2]Sales per type Agustus'!$D$8:$BA$8,0)+1),0)</f>
        <v>0</v>
      </c>
      <c r="DI17" s="33">
        <f t="shared" si="35"/>
        <v>0</v>
      </c>
      <c r="DJ17" s="33">
        <f>IFERROR(INDEX('[2]SALES PERTYPE'!$D$10:$BA$52,MATCH($C17,'[2]SALES PERTYPE'!$B$10:$B$52,0),MATCH("X Fold5",'[2]SALES PERTYPE'!$D$8:$BA$8,0)),0)</f>
        <v>0</v>
      </c>
      <c r="DK17" s="33">
        <f>IFERROR(INDEX('[2]Sales per type Agustus'!$D$10:$BA$51,MATCH($C17,'[2]Sales per type Agustus'!$B$10:$B$51,0),MATCH("X Fold5",'[2]Sales per type Agustus'!$D$8:$BA$8,0)),0)</f>
        <v>0</v>
      </c>
      <c r="DL17" s="33">
        <f t="shared" si="36"/>
        <v>0</v>
      </c>
      <c r="DM17" s="33" cm="1">
        <f t="array" ref="DM17">IFERROR(INDEX('[2]SALES PERTYPE'!$D$10:$BA$52,MATCH($C17,'[2]SALES PERTYPE'!$B$10:$B$52,0),MATCH("X Fold5",'[2]SALES PERTYPE'!$D$8:$BA$8,0)+1),0)</f>
        <v>0</v>
      </c>
      <c r="DN17" s="33" cm="1">
        <f t="array" ref="DN17">IFERROR(INDEX('[2]Sales per type Agustus'!$D$10:$BA$51,MATCH($C17,'[2]Sales per type Agustus'!$B$10:$B$51,0),MATCH("X Fold5",'[2]Sales per type Agustus'!$D$8:$BA$8,0)+1),0)</f>
        <v>0</v>
      </c>
      <c r="DO17" s="33">
        <f t="shared" si="37"/>
        <v>0</v>
      </c>
      <c r="DP17" s="33">
        <f>IFERROR(INDEX('[2]SALES PERTYPE'!$D$10:$BA$52,MATCH($C17,'[2]SALES PERTYPE'!$B$10:$B$52,0),MATCH("X300 PRO",'[2]SALES PERTYPE'!$D$8:$BA$8,0)),0)</f>
        <v>0</v>
      </c>
      <c r="DQ17" s="33">
        <f>IFERROR(INDEX('[2]Sales per type Agustus'!$D$10:$BA$51,MATCH($C17,'[2]Sales per type Agustus'!$B$10:$B$51,0),MATCH("X300 PRO",'[2]Sales per type Agustus'!$D$8:$BA$8,0)),0)</f>
        <v>0</v>
      </c>
      <c r="DR17" s="33">
        <f t="shared" si="38"/>
        <v>0</v>
      </c>
      <c r="DS17" s="33" cm="1">
        <f t="array" ref="DS17">IFERROR(INDEX('[2]SALES PERTYPE'!$D$10:$BA$52,MATCH($C17,'[2]SALES PERTYPE'!$B$10:$B$52,0),MATCH("X300 PRO",'[2]SALES PERTYPE'!$D$8:$BA$8,0)+1),0)</f>
        <v>0</v>
      </c>
      <c r="DT17" s="33" cm="1">
        <f t="array" ref="DT17">IFERROR(INDEX('[2]Sales per type Agustus'!$D$10:$BA$51,MATCH($C17,'[2]Sales per type Agustus'!$B$10:$B$51,0),MATCH("X300 PRO",'[2]Sales per type Agustus'!$D$8:$BA$8,0)+1),0)</f>
        <v>0</v>
      </c>
      <c r="DU17" s="33">
        <f t="shared" si="39"/>
        <v>0</v>
      </c>
      <c r="DV17" s="33">
        <f>IFERROR(INDEX('[2]SALES PERTYPE'!$D$10:$BA$52,MATCH($C17,'[2]SALES PERTYPE'!$B$10:$B$52,0),MATCH("X300",'[2]SALES PERTYPE'!$D$8:$BA$8,0)),0)</f>
        <v>0</v>
      </c>
      <c r="DW17" s="33">
        <f>IFERROR(INDEX('[2]Sales per type Agustus'!$D$10:$BA$51,MATCH($C17,'[2]Sales per type Agustus'!$B$10:$B$51,0),MATCH("X300 ",'[2]Sales per type Agustus'!$D$8:$BA$8,0)),0)</f>
        <v>0</v>
      </c>
      <c r="DX17" s="33">
        <f t="shared" si="40"/>
        <v>0</v>
      </c>
      <c r="DY17" s="33" cm="1">
        <f t="array" ref="DY17">IFERROR(INDEX('[2]SALES PERTYPE'!$D$10:$BA$52,MATCH($C17,'[2]SALES PERTYPE'!$B$10:$B$52,0),MATCH("X300",'[2]SALES PERTYPE'!$D$8:$BA$8,0)+1),0)</f>
        <v>0</v>
      </c>
      <c r="DZ17" s="33" cm="1">
        <f t="array" ref="DZ17">IFERROR(INDEX('[2]Sales per type Agustus'!$D$10:$BA$51,MATCH($C17,'[2]Sales per type Agustus'!$B$10:$B$51,0),MATCH("X300 ",'[2]Sales per type Agustus'!$D$8:$BA$8,0)+1),0)</f>
        <v>0</v>
      </c>
      <c r="EA17" s="33">
        <f t="shared" si="41"/>
        <v>0</v>
      </c>
      <c r="EB17" s="33">
        <f t="shared" si="42"/>
        <v>7</v>
      </c>
      <c r="EC17" s="33">
        <f t="shared" si="42"/>
        <v>8</v>
      </c>
      <c r="ED17" s="33">
        <f t="shared" si="43"/>
        <v>-1</v>
      </c>
      <c r="EE17" s="33">
        <f t="shared" si="44"/>
        <v>23093000</v>
      </c>
      <c r="EF17" s="33">
        <f t="shared" si="44"/>
        <v>43492000</v>
      </c>
      <c r="EG17" s="33">
        <f t="shared" si="45"/>
        <v>-20399000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5">
        <f>'[2]ACHIEVEMENT STORE'!A18</f>
        <v>14</v>
      </c>
      <c r="B18" s="216" t="str">
        <f>'[2]ACHIEVEMENT STORE'!B18</f>
        <v>604 雅加达东南 JKT TS</v>
      </c>
      <c r="C18" s="215">
        <f>'[2]ACHIEVEMENT STORE'!C18</f>
        <v>6040703</v>
      </c>
      <c r="D18" s="216" t="str">
        <f>'[2]ACHIEVEMENT STORE'!D18</f>
        <v>6040703-SAWANGAN 1F1-0320</v>
      </c>
      <c r="E18" s="216" t="str">
        <f>'[2]ACHIEVEMENT STORE'!E18</f>
        <v>Erlangga Praditya</v>
      </c>
      <c r="F18" s="33">
        <f>IFERROR(INDEX('[2]SALES PERTYPE'!$D$10:$BA$52,MATCH($C18,'[2]SALES PERTYPE'!$B$10:$B$52,0),MATCH("Y05",'[2]SALES PERTYPE'!$D$8:$BA$8,0)),0)</f>
        <v>1</v>
      </c>
      <c r="G18" s="33">
        <f>IFERROR(INDEX('[2]Sales per type Agustus'!$D$10:$BA$51,MATCH($C18,'[2]Sales per type Agustus'!$B$10:$B$51,0),MATCH("Y05",'[2]Sales per type Agustus'!$D$8:$BA$8,0)),0)</f>
        <v>1</v>
      </c>
      <c r="H18" s="33">
        <f t="shared" si="0"/>
        <v>0</v>
      </c>
      <c r="I18" s="33" cm="1">
        <f t="array" ref="I18">IFERROR(INDEX('[2]SALES PERTYPE'!$D$10:$BA$52,MATCH($C18,'[2]SALES PERTYPE'!$B$10:$B$52,0),MATCH("Y05",'[2]SALES PERTYPE'!$D$8:$BA$8,0)+1),0)</f>
        <v>2599000</v>
      </c>
      <c r="J18" s="33" cm="1">
        <f t="array" ref="J18">IFERROR(INDEX('[2]Sales per type Agustus'!$D$10:$BA$51,MATCH($C18,'[2]Sales per type Agustus'!$B$10:$B$51,0),MATCH("Y05",'[2]Sales per type Agustus'!$D$8:$BA$8,0)+1),0)</f>
        <v>2599000</v>
      </c>
      <c r="K18" s="33">
        <f t="shared" si="1"/>
        <v>0</v>
      </c>
      <c r="L18" s="33">
        <f>IFERROR(INDEX('[2]SALES PERTYPE'!$D$10:$BA$52,MATCH($C18,'[2]SALES PERTYPE'!$B$10:$B$52,0),MATCH("Y11d",'[2]SALES PERTYPE'!$D$8:$BA$8,0)),0)</f>
        <v>2</v>
      </c>
      <c r="M18" s="33">
        <f>IFERROR(INDEX('[2]Sales per type Agustus'!$D$10:$BA$51,MATCH($C18,'[2]Sales per type Agustus'!$B$10:$B$51,0),MATCH("Y11d",'[2]Sales per type Agustus'!$D$8:$BA$8,0)),0)</f>
        <v>2</v>
      </c>
      <c r="N18" s="33">
        <f t="shared" si="2"/>
        <v>0</v>
      </c>
      <c r="O18" s="33" cm="1">
        <f t="array" ref="O18">IFERROR(INDEX('[2]SALES PERTYPE'!$D$10:$BA$52,MATCH($C18,'[2]SALES PERTYPE'!$B$10:$B$52,0),MATCH("Y11d",'[2]SALES PERTYPE'!$D$8:$BA$8,0)+1),0)</f>
        <v>4798000</v>
      </c>
      <c r="P18" s="33" cm="1">
        <f t="array" ref="P18">IFERROR(INDEX('[2]Sales per type Agustus'!$D$10:$BA$51,MATCH($C18,'[2]Sales per type Agustus'!$B$10:$B$51,0),MATCH("Y11d",'[2]Sales per type Agustus'!$D$8:$BA$8,0)+1),0)</f>
        <v>5198000</v>
      </c>
      <c r="Q18" s="33">
        <f t="shared" si="3"/>
        <v>-400000</v>
      </c>
      <c r="R18" s="33">
        <f>IFERROR(INDEX('[2]SALES PERTYPE'!$D$10:$BA$52,MATCH($C18,'[2]SALES PERTYPE'!$B$10:$B$52,0),MATCH("Watch GT 2",'[2]SALES PERTYPE'!$D$8:$BA$8,0)),0)</f>
        <v>0</v>
      </c>
      <c r="S18" s="33">
        <f>IFERROR(INDEX('[2]Sales per type Agustus'!$D$10:$BA$51,MATCH($C18,'[2]Sales per type Agustus'!$B$10:$B$51,0),MATCH("Watch GT 2",'[2]Sales per type Agustus'!$D$8:$BA$8,0)),0)</f>
        <v>1</v>
      </c>
      <c r="T18" s="33">
        <f t="shared" si="4"/>
        <v>-1</v>
      </c>
      <c r="U18" s="33" cm="1">
        <f t="array" ref="U18">IFERROR(INDEX('[2]SALES PERTYPE'!$D$10:$BA$52,MATCH($C18,'[2]SALES PERTYPE'!$B$10:$B$52,0),MATCH("Watch GT 2",'[2]SALES PERTYPE'!$D$8:$BA$8,0)+1),0)</f>
        <v>0</v>
      </c>
      <c r="V18" s="33" cm="1">
        <f t="array" ref="V18">IFERROR(INDEX('[2]Sales per type Agustus'!$D$10:$BA$51,MATCH($C18,'[2]Sales per type Agustus'!$B$10:$B$51,0),MATCH("Watch GT 2",'[2]Sales per type Agustus'!$D$8:$BA$8,0)+1),0)</f>
        <v>1799000</v>
      </c>
      <c r="W18" s="33">
        <f t="shared" si="5"/>
        <v>-1799000</v>
      </c>
      <c r="X18" s="33">
        <f>IFERROR(INDEX('[2]SALES PERTYPE'!$D$10:$BA$52,MATCH($C18,'[2]SALES PERTYPE'!$B$10:$B$52,0),MATCH("Y05e",'[2]SALES PERTYPE'!$D$8:$BA$8,0)),0)</f>
        <v>0</v>
      </c>
      <c r="Y18" s="33">
        <f>IFERROR(INDEX('[2]Sales per type Agustus'!$D$10:$BA$51,MATCH($C18,'[2]Sales per type Agustus'!$B$10:$B$51,0),MATCH("Y05e",'[2]Sales per type Agustus'!$D$8:$BA$8,0)),0)</f>
        <v>1</v>
      </c>
      <c r="Z18" s="33">
        <f t="shared" si="6"/>
        <v>-1</v>
      </c>
      <c r="AA18" s="33" cm="1">
        <f t="array" ref="AA18">IFERROR(INDEX('[2]SALES PERTYPE'!$D$10:$BA$52,MATCH($C18,'[2]SALES PERTYPE'!$B$10:$B$52,0),MATCH("Y05e",'[2]SALES PERTYPE'!$D$8:$BA$8,0)+1),0)</f>
        <v>0</v>
      </c>
      <c r="AB18" s="33" cm="1">
        <f t="array" ref="AB18">IFERROR(INDEX('[2]Sales per type Agustus'!$D$10:$BA$51,MATCH($C18,'[2]Sales per type Agustus'!$B$10:$B$51,0),MATCH("Y05e",'[2]Sales per type Agustus'!$D$8:$BA$8,0)+1),0)</f>
        <v>2099000</v>
      </c>
      <c r="AC18" s="33">
        <f t="shared" si="7"/>
        <v>-2099000</v>
      </c>
      <c r="AD18" s="33">
        <f>IFERROR(INDEX('[2]SALES PERTYPE'!$D$10:$BA$52,MATCH($C18,'[2]SALES PERTYPE'!$B$10:$B$52,0),MATCH("V70",'[2]SALES PERTYPE'!$D$8:$BA$8,0)),0)</f>
        <v>0</v>
      </c>
      <c r="AE18" s="33">
        <f>IFERROR(INDEX('[2]Sales per type Agustus'!$D$10:$BA$51,MATCH($C18,'[2]Sales per type Agustus'!$B$10:$B$51,0),MATCH("V70",'[2]Sales per type Agustus'!$D$8:$BA$8,0)),0)</f>
        <v>0</v>
      </c>
      <c r="AF18" s="33">
        <f t="shared" si="8"/>
        <v>0</v>
      </c>
      <c r="AG18" s="33" cm="1">
        <f t="array" ref="AG18">IFERROR(INDEX('[2]SALES PERTYPE'!$D$10:$BA$52,MATCH($C18,'[2]SALES PERTYPE'!$B$10:$B$52,0),MATCH("V70",'[2]SALES PERTYPE'!$D$8:$BA$8,0)+1),0)</f>
        <v>0</v>
      </c>
      <c r="AH18" s="33" cm="1">
        <f t="array" ref="AH18">IFERROR(INDEX('[2]Sales per type Agustus'!$D$10:$BA$51,MATCH($C18,'[2]Sales per type Agustus'!$B$10:$B$51,0),MATCH("V70",'[2]Sales per type Agustus'!$D$8:$BA$8,0)+1),0)</f>
        <v>0</v>
      </c>
      <c r="AI18" s="33">
        <f t="shared" si="9"/>
        <v>0</v>
      </c>
      <c r="AJ18" s="33">
        <f>IFERROR(INDEX('[2]SALES PERTYPE'!$D$10:$BA$52,MATCH($C18,'[2]SALES PERTYPE'!$B$10:$B$52,0),MATCH("Y31d Pro",'[2]SALES PERTYPE'!$D$8:$BA$8,0)),0)</f>
        <v>3</v>
      </c>
      <c r="AK18" s="33">
        <f>IFERROR(INDEX('[2]Sales per type Agustus'!$D$10:$BA$51,MATCH($C18,'[2]Sales per type Agustus'!$B$10:$B$51,0),MATCH("Y31d Pro",'[2]Sales per type Agustus'!$D$8:$BA$8,0)),0)</f>
        <v>1</v>
      </c>
      <c r="AL18" s="33">
        <f t="shared" si="10"/>
        <v>2</v>
      </c>
      <c r="AM18" s="33" cm="1">
        <f t="array" ref="AM18">IFERROR(INDEX('[2]SALES PERTYPE'!$D$10:$BA$52,MATCH($C18,'[2]SALES PERTYPE'!$B$10:$B$52,0),MATCH("Y31d Pro",'[2]SALES PERTYPE'!$D$8:$BA$8,0)+1),0)</f>
        <v>14697000</v>
      </c>
      <c r="AN18" s="33" cm="1">
        <f t="array" ref="AN18">IFERROR(INDEX('[2]Sales per type Agustus'!$D$10:$BA$51,MATCH($C18,'[2]Sales per type Agustus'!$B$10:$B$51,0),MATCH("Y31d Pro",'[2]Sales per type Agustus'!$D$8:$BA$8,0)+1),0)</f>
        <v>3899000</v>
      </c>
      <c r="AO18" s="33">
        <f t="shared" si="11"/>
        <v>10798000</v>
      </c>
      <c r="AP18" s="33" cm="1">
        <f t="array" ref="AP18">IFERROR(INDEX('[2]SALES PERTYPE'!$D$10:$BA$52,MATCH($C18,'[2]SALES PERTYPE'!$B$10:$B$52,0),$EI$3),0)</f>
        <v>0</v>
      </c>
      <c r="AQ18" s="33" cm="1">
        <f t="array" ref="AQ18">IFERROR(INDEX('[2]Sales per type Agustus'!$D$10:$BA$51,MATCH($C18,'[2]Sales per type Agustus'!$B$10:$B$51,0),$EI$2),0)</f>
        <v>0</v>
      </c>
      <c r="AR18" s="33">
        <f t="shared" si="12"/>
        <v>0</v>
      </c>
      <c r="AS18" s="33" cm="1">
        <f t="array" ref="AS18">IFERROR(INDEX('[2]SALES PERTYPE'!$D$10:$BA$52,MATCH($C18,'[2]SALES PERTYPE'!$B$10:$B$52,0),$EI$3+1),0)</f>
        <v>0</v>
      </c>
      <c r="AT18" s="33" cm="1">
        <f t="array" ref="AT18">IFERROR(INDEX('[2]Sales per type Agustus'!$D$10:$BA$51,MATCH($C18,'[2]Sales per type Agustus'!$B$10:$B$51,0),$EI$2+1),0)</f>
        <v>0</v>
      </c>
      <c r="AU18" s="33">
        <f t="shared" si="13"/>
        <v>0</v>
      </c>
      <c r="AV18" s="33">
        <f>IFERROR(INDEX('[2]SALES PERTYPE'!$D$10:$BA$52,MATCH($C18,'[2]SALES PERTYPE'!$B$10:$B$52,0),MATCH("Y31d ",'[2]SALES PERTYPE'!$D$8:$BA$8,0)),0)</f>
        <v>0</v>
      </c>
      <c r="AW18" s="33">
        <f>IFERROR(INDEX('[2]Sales per type Agustus'!$D$10:$BA$51,MATCH($C18,'[2]Sales per type Agustus'!$B$10:$B$51,0),MATCH("Y31d ",'[2]Sales per type Agustus'!$D$8:$BA$8,0)),0)</f>
        <v>0</v>
      </c>
      <c r="AX18" s="33">
        <f t="shared" si="14"/>
        <v>0</v>
      </c>
      <c r="AY18" s="33" cm="1">
        <f t="array" ref="AY18">IFERROR(INDEX('[2]SALES PERTYPE'!$D$10:$BA$52,MATCH($C18,'[2]SALES PERTYPE'!$B$10:$B$52,0),MATCH("Y31d ",'[2]SALES PERTYPE'!$D$8:$BA$8,0)+1),0)</f>
        <v>0</v>
      </c>
      <c r="AZ18" s="33" cm="1">
        <f t="array" ref="AZ18">IFERROR(INDEX('[2]Sales per type Agustus'!$D$10:$BA$51,MATCH($C18,'[2]Sales per type Agustus'!$B$10:$B$51,0),MATCH("Y31d ",'[2]Sales per type Agustus'!$D$8:$BA$8,0)+1),0)</f>
        <v>0</v>
      </c>
      <c r="BA18" s="33">
        <f t="shared" si="15"/>
        <v>0</v>
      </c>
      <c r="BB18" s="33">
        <f>IFERROR(INDEX('[2]SALES PERTYPE'!$D$10:$BA$52,MATCH($C18,'[2]SALES PERTYPE'!$B$10:$B$52,0),MATCH("V70 FE",'[2]SALES PERTYPE'!$D$8:$BA$8,0)),0)</f>
        <v>0</v>
      </c>
      <c r="BC18" s="33">
        <f>IFERROR(INDEX('[2]Sales per type Agustus'!$D$10:$BA$51,MATCH($C18,'[2]Sales per type Agustus'!$B$10:$B$51,0),MATCH("V70 FE",'[2]Sales per type Agustus'!$D$8:$BA$8,0)),0)</f>
        <v>1</v>
      </c>
      <c r="BD18" s="33">
        <f t="shared" si="16"/>
        <v>-1</v>
      </c>
      <c r="BE18" s="33" cm="1">
        <f t="array" ref="BE18">IFERROR(INDEX('[2]SALES PERTYPE'!$D$10:$BA$52,MATCH($C18,'[2]SALES PERTYPE'!$B$10:$B$52,0),MATCH("V70 FE",'[2]SALES PERTYPE'!$D$8:$BA$8,0)+1),0)</f>
        <v>0</v>
      </c>
      <c r="BF18" s="33" cm="1">
        <f t="array" ref="BF18">IFERROR(INDEX('[2]Sales per type Agustus'!$D$10:$BA$51,MATCH($C18,'[2]Sales per type Agustus'!$B$10:$B$51,0),MATCH("V70 FE",'[2]Sales per type Agustus'!$D$8:$BA$8,0)+1),0)</f>
        <v>6999000</v>
      </c>
      <c r="BG18" s="33">
        <f t="shared" si="17"/>
        <v>-6999000</v>
      </c>
      <c r="BH18" s="33">
        <f>IFERROR(INDEX('[2]SALES PERTYPE'!$D$10:$BA$52,MATCH($C18,'[2]SALES PERTYPE'!$B$10:$B$52,0),MATCH("Y31d",'[2]SALES PERTYPE'!$D$8:$BA$8,0)),0)</f>
        <v>0</v>
      </c>
      <c r="BI18" s="33">
        <f>IFERROR(INDEX('[2]Sales per type Agustus'!$D$10:$BA$51,MATCH($C18,'[2]Sales per type Agustus'!$B$10:$B$51,0),MATCH("Y31d",'[2]Sales per type Agustus'!$D$8:$BA$8,0)),0)</f>
        <v>0</v>
      </c>
      <c r="BJ18" s="33">
        <f t="shared" si="18"/>
        <v>0</v>
      </c>
      <c r="BK18" s="33" cm="1">
        <f t="array" ref="BK18">IFERROR(INDEX('[2]SALES PERTYPE'!$D$10:$BA$52,MATCH($C18,'[2]SALES PERTYPE'!$B$10:$B$52,0),MATCH("Y31d",'[2]SALES PERTYPE'!$D$8:$BA$8,0)+1),0)</f>
        <v>0</v>
      </c>
      <c r="BL18" s="33" cm="1">
        <f t="array" ref="BL18">IFERROR(INDEX('[2]Sales per type Agustus'!$D$10:$BA$51,MATCH($C18,'[2]Sales per type Agustus'!$B$10:$B$51,0),MATCH("Y31d",'[2]Sales per type Agustus'!$D$8:$BA$8,0)+1),0)</f>
        <v>0</v>
      </c>
      <c r="BM18" s="33">
        <f t="shared" si="19"/>
        <v>0</v>
      </c>
      <c r="BN18" s="33">
        <f>IFERROR(INDEX('[2]SALES PERTYPE'!$D$10:$BA$52,MATCH($C18,'[2]SALES PERTYPE'!$B$10:$B$52,0),MATCH("Y500",'[2]SALES PERTYPE'!$D$8:$BA$8,0)),0)</f>
        <v>0</v>
      </c>
      <c r="BO18" s="33">
        <f>IFERROR(INDEX('[2]Sales per type Agustus'!$D$10:$BA$51,MATCH($C18,'[2]Sales per type Agustus'!$B$10:$B$51,0),MATCH("Y500",'[2]Sales per type Agustus'!$D$8:$BA$8,0)),0)</f>
        <v>1</v>
      </c>
      <c r="BP18" s="33">
        <f t="shared" si="20"/>
        <v>-1</v>
      </c>
      <c r="BQ18" s="33" cm="1">
        <f t="array" ref="BQ18">IFERROR(INDEX('[2]SALES PERTYPE'!$D$10:$BA$52,MATCH($C18,'[2]SALES PERTYPE'!$B$10:$B$52,0),MATCH("Y500",'[2]SALES PERTYPE'!$D$8:$BA$8,0)+1),0)</f>
        <v>0</v>
      </c>
      <c r="BR18" s="33" cm="1">
        <f t="array" ref="BR18">IFERROR(INDEX('[2]Sales per type Agustus'!$D$10:$BA$51,MATCH($C18,'[2]Sales per type Agustus'!$B$10:$B$51,0),MATCH("Y500",'[2]Sales per type Agustus'!$D$8:$BA$8,0)+1),0)</f>
        <v>6299000</v>
      </c>
      <c r="BS18" s="33">
        <f t="shared" si="21"/>
        <v>-6299000</v>
      </c>
      <c r="BT18" s="33">
        <f>IFERROR(INDEX('[2]SALES PERTYPE'!$D$10:$BA$52,MATCH($C18,'[2]SALES PERTYPE'!$B$10:$B$52,0),MATCH("IQOO 15R",'[2]SALES PERTYPE'!$D$8:$BA$8,0)),0)</f>
        <v>0</v>
      </c>
      <c r="BU18" s="33">
        <f>IFERROR(INDEX('[2]Sales per type Agustus'!$D$10:$BA$51,MATCH($C18,'[2]Sales per type Agustus'!$B$10:$B$51,0),MATCH("IQOO 15R",'[2]Sales per type Agustus'!$D$8:$BA$8,0)),0)</f>
        <v>0</v>
      </c>
      <c r="BV18" s="33">
        <f t="shared" si="22"/>
        <v>0</v>
      </c>
      <c r="BW18" s="33" cm="1">
        <f t="array" ref="BW18">IFERROR(INDEX('[2]SALES PERTYPE'!$D$10:$BA$52,MATCH($C18,'[2]SALES PERTYPE'!$B$10:$B$52,0),MATCH("IQOO 15R",'[2]SALES PERTYPE'!$D$8:$BA$8,0)+1),0)</f>
        <v>0</v>
      </c>
      <c r="BX18" s="33" cm="1">
        <f t="array" ref="BX18">IFERROR(INDEX('[2]Sales per type Agustus'!$D$10:$BA$51,MATCH($C18,'[2]Sales per type Agustus'!$B$10:$B$51,0),MATCH("IQOO 15R",'[2]Sales per type Agustus'!$D$8:$BA$8,0)+1),0)</f>
        <v>0</v>
      </c>
      <c r="BY18" s="33">
        <f t="shared" si="23"/>
        <v>0</v>
      </c>
      <c r="BZ18" s="33">
        <f>IFERROR(INDEX('[2]SALES PERTYPE'!$D$10:$BA$52,MATCH($C18,'[2]SALES PERTYPE'!$B$10:$B$52,0),MATCH("V60 Lite",'[2]SALES PERTYPE'!$D$8:$BA$8,0)),0)</f>
        <v>1</v>
      </c>
      <c r="CA18" s="33">
        <f>IFERROR(INDEX('[2]Sales per type Agustus'!$D$10:$BA$51,MATCH($C18,'[2]Sales per type Agustus'!$B$10:$B$51,0),MATCH("V60 Lite",'[2]Sales per type Agustus'!$D$8:$BA$8,0)),0)</f>
        <v>0</v>
      </c>
      <c r="CB18" s="33">
        <f t="shared" si="24"/>
        <v>1</v>
      </c>
      <c r="CC18" s="33" cm="1">
        <f t="array" ref="CC18">IFERROR(INDEX('[2]SALES PERTYPE'!$D$10:$BA$52,MATCH($C18,'[2]SALES PERTYPE'!$B$10:$B$52,0),MATCH("V60 Lite",'[2]SALES PERTYPE'!$D$8:$BA$8,0)+1),0)</f>
        <v>5899000</v>
      </c>
      <c r="CD18" s="33" cm="1">
        <f t="array" ref="CD18">IFERROR(INDEX('[2]Sales per type Agustus'!$D$10:$BA$51,MATCH($C18,'[2]Sales per type Agustus'!$B$10:$B$51,0),MATCH("V60 Lite",'[2]Sales per type Agustus'!$D$8:$BA$8,0)+1),0)</f>
        <v>0</v>
      </c>
      <c r="CE18" s="33">
        <f t="shared" si="25"/>
        <v>5899000</v>
      </c>
      <c r="CF18" s="33">
        <f>IFERROR(INDEX('[2]SALES PERTYPE'!$D$10:$BA$52,MATCH($C18,'[2]SALES PERTYPE'!$B$10:$B$52,0),MATCH("X300 Ultra",'[2]SALES PERTYPE'!$D$8:$BA$8,0)),0)</f>
        <v>0</v>
      </c>
      <c r="CG18" s="33">
        <f>IFERROR(INDEX('[2]Sales per type Agustus'!$D$10:$BA$51,MATCH($C18,'[2]Sales per type Agustus'!$B$10:$B$51,0),MATCH("X300 Ultra",'[2]Sales per type Agustus'!$D$8:$BA$8,0)),0)</f>
        <v>1</v>
      </c>
      <c r="CH18" s="33">
        <f t="shared" si="26"/>
        <v>-1</v>
      </c>
      <c r="CI18" s="33" cm="1">
        <f t="array" ref="CI18">IFERROR(INDEX('[2]SALES PERTYPE'!$D$10:$BA$52,MATCH($C18,'[2]SALES PERTYPE'!$B$10:$B$52,0),MATCH("X300 Ultra",'[2]SALES PERTYPE'!$D$8:$BA$8,0)+1),0)</f>
        <v>0</v>
      </c>
      <c r="CJ18" s="33" cm="1">
        <f t="array" ref="CJ18">IFERROR(INDEX('[2]Sales per type Agustus'!$D$10:$BA$51,MATCH($C18,'[2]Sales per type Agustus'!$B$10:$B$51,0),MATCH("X300 Ultra",'[2]Sales per type Agustus'!$D$8:$BA$8,0)+1),0)</f>
        <v>25999000</v>
      </c>
      <c r="CK18" s="33">
        <f t="shared" si="27"/>
        <v>-25999000</v>
      </c>
      <c r="CL18" s="33">
        <f>IFERROR(INDEX('[2]SALES PERTYPE'!$D$10:$BA$52,MATCH($C18,'[2]SALES PERTYPE'!$B$10:$B$52,0),MATCH("IQOO 15",'[2]SALES PERTYPE'!$D$8:$BA$8,0)),0)</f>
        <v>0</v>
      </c>
      <c r="CM18" s="33">
        <f>IFERROR(INDEX('[2]Sales per type Agustus'!$D$10:$BA$51,MATCH($C18,'[2]Sales per type Agustus'!$B$10:$B$51,0),MATCH("IQOO 15",'[2]Sales per type Agustus'!$D$8:$BA$8,0)),0)</f>
        <v>0</v>
      </c>
      <c r="CN18" s="33">
        <f t="shared" si="28"/>
        <v>0</v>
      </c>
      <c r="CO18" s="33" cm="1">
        <f t="array" ref="CO18">IFERROR(INDEX('[2]SALES PERTYPE'!$D$10:$BA$52,MATCH($C18,'[2]SALES PERTYPE'!$B$10:$B$52,0),MATCH("IQOO 15",'[2]SALES PERTYPE'!$D$8:$BA$8,0)+1),0)</f>
        <v>0</v>
      </c>
      <c r="CP18" s="33" cm="1">
        <f t="array" ref="CP18">IFERROR(INDEX('[2]Sales per type Agustus'!$D$10:$BA$51,MATCH($C18,'[2]Sales per type Agustus'!$B$10:$B$51,0),MATCH("IQOO 15",'[2]Sales per type Agustus'!$D$8:$BA$8,0)+1),0)</f>
        <v>0</v>
      </c>
      <c r="CQ18" s="33">
        <f t="shared" si="29"/>
        <v>0</v>
      </c>
      <c r="CR18" s="33">
        <f>IFERROR(INDEX('[2]SALES PERTYPE'!$D$10:$BA$52,MATCH($C18,'[2]SALES PERTYPE'!$B$10:$B$52,0),MATCH("IQOO Z11x",'[2]SALES PERTYPE'!$D$8:$BA$8,0)),0)</f>
        <v>0</v>
      </c>
      <c r="CS18" s="33">
        <f>IFERROR(INDEX('[2]Sales per type Agustus'!$D$10:$BA$51,MATCH($C18,'[2]Sales per type Agustus'!$B$10:$B$51,0),MATCH("IQOO Z11x",'[2]Sales per type Agustus'!$D$8:$BA$8,0)),0)</f>
        <v>2</v>
      </c>
      <c r="CT18" s="33">
        <f t="shared" si="30"/>
        <v>-2</v>
      </c>
      <c r="CU18" s="33" cm="1">
        <f t="array" ref="CU18">IFERROR(INDEX('[2]SALES PERTYPE'!$D$10:$BA$52,MATCH($C18,'[2]SALES PERTYPE'!$B$10:$B$52,0),MATCH("IQOO Z11x",'[2]SALES PERTYPE'!$D$8:$BA$8,0)+1),0)</f>
        <v>0</v>
      </c>
      <c r="CV18" s="33" cm="1">
        <f t="array" ref="CV18">IFERROR(INDEX('[2]Sales per type Agustus'!$D$10:$BA$51,MATCH($C18,'[2]Sales per type Agustus'!$B$10:$B$51,0),MATCH("IQOO Z11x",'[2]Sales per type Agustus'!$D$8:$BA$8,0)+1),0)</f>
        <v>11298000</v>
      </c>
      <c r="CW18" s="33">
        <f t="shared" si="31"/>
        <v>-11298000</v>
      </c>
      <c r="CX18" s="33">
        <f>IFERROR(INDEX('[2]SALES PERTYPE'!$D$10:$BA$52,MATCH($C18,'[2]SALES PERTYPE'!$B$10:$B$52,0),MATCH("IQOO Z11",'[2]SALES PERTYPE'!$D$8:$BA$8,0)),0)</f>
        <v>0</v>
      </c>
      <c r="CY18" s="33">
        <f>IFERROR(INDEX('[2]Sales per type Agustus'!$D$10:$BA$51,MATCH($C18,'[2]Sales per type Agustus'!$B$10:$B$51,0),MATCH("IQOO Z11",'[2]Sales per type Agustus'!$D$8:$BA$8,0)),0)</f>
        <v>0</v>
      </c>
      <c r="CZ18" s="33">
        <f t="shared" si="32"/>
        <v>0</v>
      </c>
      <c r="DA18" s="33" cm="1">
        <f t="array" ref="DA18">IFERROR(INDEX('[2]SALES PERTYPE'!$D$10:$BA$52,MATCH($C18,'[2]SALES PERTYPE'!$B$10:$B$52,0),MATCH("IQOO Z11",'[2]SALES PERTYPE'!$D$8:$BA$8,0)+1),0)</f>
        <v>0</v>
      </c>
      <c r="DB18" s="33" cm="1">
        <f t="array" ref="DB18">IFERROR(INDEX('[2]Sales per type Agustus'!$D$10:$BA$51,MATCH($C18,'[2]Sales per type Agustus'!$B$10:$B$51,0),MATCH("IQOO Z11",'[2]Sales per type Agustus'!$D$8:$BA$8,0)+1),0)</f>
        <v>0</v>
      </c>
      <c r="DC18" s="33">
        <f t="shared" si="33"/>
        <v>0</v>
      </c>
      <c r="DD18" s="33">
        <f>IFERROR(INDEX('[2]SALES PERTYPE'!$D$10:$BA$52,MATCH($C18,'[2]SALES PERTYPE'!$B$10:$B$52,0),MATCH("WATCH 3",'[2]SALES PERTYPE'!$D$8:$BA$8,0)),0)</f>
        <v>0</v>
      </c>
      <c r="DE18" s="33">
        <f>IFERROR(INDEX('[2]Sales per type Agustus'!$D$10:$BA$51,MATCH($C18,'[2]Sales per type Agustus'!$B$10:$B$51,0),MATCH("WATCH 3",'[2]Sales per type Agustus'!$D$8:$BA$8,0)),0)</f>
        <v>0</v>
      </c>
      <c r="DF18" s="33">
        <f t="shared" si="34"/>
        <v>0</v>
      </c>
      <c r="DG18" s="33" cm="1">
        <f t="array" ref="DG18">IFERROR(INDEX('[2]SALES PERTYPE'!$D$10:$BA$52,MATCH($C18,'[2]SALES PERTYPE'!$B$10:$B$52,0),MATCH("WATCH 3",'[2]SALES PERTYPE'!$D$8:$BA$8,0)+1),0)</f>
        <v>0</v>
      </c>
      <c r="DH18" s="33" cm="1">
        <f t="array" ref="DH18">IFERROR(INDEX('[2]Sales per type Agustus'!$D$10:$BA$51,MATCH($C18,'[2]Sales per type Agustus'!$B$10:$B$51,0),MATCH("WATCH 3",'[2]Sales per type Agustus'!$D$8:$BA$8,0)+1),0)</f>
        <v>0</v>
      </c>
      <c r="DI18" s="33">
        <f t="shared" si="35"/>
        <v>0</v>
      </c>
      <c r="DJ18" s="33">
        <f>IFERROR(INDEX('[2]SALES PERTYPE'!$D$10:$BA$52,MATCH($C18,'[2]SALES PERTYPE'!$B$10:$B$52,0),MATCH("X Fold5",'[2]SALES PERTYPE'!$D$8:$BA$8,0)),0)</f>
        <v>0</v>
      </c>
      <c r="DK18" s="33">
        <f>IFERROR(INDEX('[2]Sales per type Agustus'!$D$10:$BA$51,MATCH($C18,'[2]Sales per type Agustus'!$B$10:$B$51,0),MATCH("X Fold5",'[2]Sales per type Agustus'!$D$8:$BA$8,0)),0)</f>
        <v>0</v>
      </c>
      <c r="DL18" s="33">
        <f t="shared" si="36"/>
        <v>0</v>
      </c>
      <c r="DM18" s="33" cm="1">
        <f t="array" ref="DM18">IFERROR(INDEX('[2]SALES PERTYPE'!$D$10:$BA$52,MATCH($C18,'[2]SALES PERTYPE'!$B$10:$B$52,0),MATCH("X Fold5",'[2]SALES PERTYPE'!$D$8:$BA$8,0)+1),0)</f>
        <v>0</v>
      </c>
      <c r="DN18" s="33" cm="1">
        <f t="array" ref="DN18">IFERROR(INDEX('[2]Sales per type Agustus'!$D$10:$BA$51,MATCH($C18,'[2]Sales per type Agustus'!$B$10:$B$51,0),MATCH("X Fold5",'[2]Sales per type Agustus'!$D$8:$BA$8,0)+1),0)</f>
        <v>0</v>
      </c>
      <c r="DO18" s="33">
        <f t="shared" si="37"/>
        <v>0</v>
      </c>
      <c r="DP18" s="33">
        <f>IFERROR(INDEX('[2]SALES PERTYPE'!$D$10:$BA$52,MATCH($C18,'[2]SALES PERTYPE'!$B$10:$B$52,0),MATCH("X300 PRO",'[2]SALES PERTYPE'!$D$8:$BA$8,0)),0)</f>
        <v>0</v>
      </c>
      <c r="DQ18" s="33">
        <f>IFERROR(INDEX('[2]Sales per type Agustus'!$D$10:$BA$51,MATCH($C18,'[2]Sales per type Agustus'!$B$10:$B$51,0),MATCH("X300 PRO",'[2]Sales per type Agustus'!$D$8:$BA$8,0)),0)</f>
        <v>0</v>
      </c>
      <c r="DR18" s="33">
        <f t="shared" si="38"/>
        <v>0</v>
      </c>
      <c r="DS18" s="33" cm="1">
        <f t="array" ref="DS18">IFERROR(INDEX('[2]SALES PERTYPE'!$D$10:$BA$52,MATCH($C18,'[2]SALES PERTYPE'!$B$10:$B$52,0),MATCH("X300 PRO",'[2]SALES PERTYPE'!$D$8:$BA$8,0)+1),0)</f>
        <v>0</v>
      </c>
      <c r="DT18" s="33" cm="1">
        <f t="array" ref="DT18">IFERROR(INDEX('[2]Sales per type Agustus'!$D$10:$BA$51,MATCH($C18,'[2]Sales per type Agustus'!$B$10:$B$51,0),MATCH("X300 PRO",'[2]Sales per type Agustus'!$D$8:$BA$8,0)+1),0)</f>
        <v>0</v>
      </c>
      <c r="DU18" s="33">
        <f t="shared" si="39"/>
        <v>0</v>
      </c>
      <c r="DV18" s="33">
        <f>IFERROR(INDEX('[2]SALES PERTYPE'!$D$10:$BA$52,MATCH($C18,'[2]SALES PERTYPE'!$B$10:$B$52,0),MATCH("X300",'[2]SALES PERTYPE'!$D$8:$BA$8,0)),0)</f>
        <v>0</v>
      </c>
      <c r="DW18" s="33">
        <f>IFERROR(INDEX('[2]Sales per type Agustus'!$D$10:$BA$51,MATCH($C18,'[2]Sales per type Agustus'!$B$10:$B$51,0),MATCH("X300 ",'[2]Sales per type Agustus'!$D$8:$BA$8,0)),0)</f>
        <v>0</v>
      </c>
      <c r="DX18" s="33">
        <f t="shared" si="40"/>
        <v>0</v>
      </c>
      <c r="DY18" s="33" cm="1">
        <f t="array" ref="DY18">IFERROR(INDEX('[2]SALES PERTYPE'!$D$10:$BA$52,MATCH($C18,'[2]SALES PERTYPE'!$B$10:$B$52,0),MATCH("X300",'[2]SALES PERTYPE'!$D$8:$BA$8,0)+1),0)</f>
        <v>0</v>
      </c>
      <c r="DZ18" s="33" cm="1">
        <f t="array" ref="DZ18">IFERROR(INDEX('[2]Sales per type Agustus'!$D$10:$BA$51,MATCH($C18,'[2]Sales per type Agustus'!$B$10:$B$51,0),MATCH("X300 ",'[2]Sales per type Agustus'!$D$8:$BA$8,0)+1),0)</f>
        <v>0</v>
      </c>
      <c r="EA18" s="33">
        <f t="shared" si="41"/>
        <v>0</v>
      </c>
      <c r="EB18" s="33">
        <f t="shared" si="42"/>
        <v>7</v>
      </c>
      <c r="EC18" s="33">
        <f t="shared" si="42"/>
        <v>11</v>
      </c>
      <c r="ED18" s="33">
        <f t="shared" si="43"/>
        <v>-4</v>
      </c>
      <c r="EE18" s="33">
        <f t="shared" si="44"/>
        <v>27993000</v>
      </c>
      <c r="EF18" s="33">
        <f t="shared" si="44"/>
        <v>66189000</v>
      </c>
      <c r="EG18" s="33">
        <f t="shared" si="45"/>
        <v>-38196000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'[2]ACHIEVEMENT STORE'!A19</f>
        <v>15</v>
      </c>
      <c r="B19" s="32" t="str">
        <f>'[2]ACHIEVEMENT STORE'!B19</f>
        <v>605 勿加泗 BEKASI</v>
      </c>
      <c r="C19" s="31">
        <f>'[2]ACHIEVEMENT STORE'!C19</f>
        <v>6050701</v>
      </c>
      <c r="D19" s="32" t="str">
        <f>'[2]ACHIEVEMENT STORE'!D19</f>
        <v>6050701-BCP VS X6 DS0824</v>
      </c>
      <c r="E19" s="32" t="str">
        <f>'[2]ACHIEVEMENT STORE'!E19</f>
        <v>M RIZKI</v>
      </c>
      <c r="F19" s="33">
        <f>IFERROR(INDEX('[2]SALES PERTYPE'!$D$10:$BA$52,MATCH($C19,'[2]SALES PERTYPE'!$B$10:$B$52,0),MATCH("Y05",'[2]SALES PERTYPE'!$D$8:$BA$8,0)),0)</f>
        <v>4</v>
      </c>
      <c r="G19" s="33">
        <f>IFERROR(INDEX('[2]Sales per type Agustus'!$D$10:$BA$51,MATCH($C19,'[2]Sales per type Agustus'!$B$10:$B$51,0),MATCH("Y05",'[2]Sales per type Agustus'!$D$8:$BA$8,0)),0)</f>
        <v>0</v>
      </c>
      <c r="H19" s="33">
        <f t="shared" si="0"/>
        <v>4</v>
      </c>
      <c r="I19" s="33" cm="1">
        <f t="array" ref="I19">IFERROR(INDEX('[2]SALES PERTYPE'!$D$10:$BA$52,MATCH($C19,'[2]SALES PERTYPE'!$B$10:$B$52,0),MATCH("Y05",'[2]SALES PERTYPE'!$D$8:$BA$8,0)+1),0)</f>
        <v>9496000</v>
      </c>
      <c r="J19" s="33" cm="1">
        <f t="array" ref="J19">IFERROR(INDEX('[2]Sales per type Agustus'!$D$10:$BA$51,MATCH($C19,'[2]Sales per type Agustus'!$B$10:$B$51,0),MATCH("Y05",'[2]Sales per type Agustus'!$D$8:$BA$8,0)+1),0)</f>
        <v>0</v>
      </c>
      <c r="K19" s="33">
        <f t="shared" si="1"/>
        <v>9496000</v>
      </c>
      <c r="L19" s="33">
        <f>IFERROR(INDEX('[2]SALES PERTYPE'!$D$10:$BA$52,MATCH($C19,'[2]SALES PERTYPE'!$B$10:$B$52,0),MATCH("Y11d",'[2]SALES PERTYPE'!$D$8:$BA$8,0)),0)</f>
        <v>2</v>
      </c>
      <c r="M19" s="33">
        <f>IFERROR(INDEX('[2]Sales per type Agustus'!$D$10:$BA$51,MATCH($C19,'[2]Sales per type Agustus'!$B$10:$B$51,0),MATCH("Y11d",'[2]Sales per type Agustus'!$D$8:$BA$8,0)),0)</f>
        <v>4</v>
      </c>
      <c r="N19" s="33">
        <f t="shared" si="2"/>
        <v>-2</v>
      </c>
      <c r="O19" s="33" cm="1">
        <f t="array" ref="O19">IFERROR(INDEX('[2]SALES PERTYPE'!$D$10:$BA$52,MATCH($C19,'[2]SALES PERTYPE'!$B$10:$B$52,0),MATCH("Y11d",'[2]SALES PERTYPE'!$D$8:$BA$8,0)+1),0)</f>
        <v>5598000</v>
      </c>
      <c r="P19" s="33" cm="1">
        <f t="array" ref="P19">IFERROR(INDEX('[2]Sales per type Agustus'!$D$10:$BA$51,MATCH($C19,'[2]Sales per type Agustus'!$B$10:$B$51,0),MATCH("Y11d",'[2]Sales per type Agustus'!$D$8:$BA$8,0)+1),0)</f>
        <v>11196000</v>
      </c>
      <c r="Q19" s="33">
        <f t="shared" si="3"/>
        <v>-5598000</v>
      </c>
      <c r="R19" s="33">
        <f>IFERROR(INDEX('[2]SALES PERTYPE'!$D$10:$BA$52,MATCH($C19,'[2]SALES PERTYPE'!$B$10:$B$52,0),MATCH("Watch GT 2",'[2]SALES PERTYPE'!$D$8:$BA$8,0)),0)</f>
        <v>0</v>
      </c>
      <c r="S19" s="33">
        <f>IFERROR(INDEX('[2]Sales per type Agustus'!$D$10:$BA$51,MATCH($C19,'[2]Sales per type Agustus'!$B$10:$B$51,0),MATCH("Watch GT 2",'[2]Sales per type Agustus'!$D$8:$BA$8,0)),0)</f>
        <v>0</v>
      </c>
      <c r="T19" s="33">
        <f t="shared" si="4"/>
        <v>0</v>
      </c>
      <c r="U19" s="33" cm="1">
        <f t="array" ref="U19">IFERROR(INDEX('[2]SALES PERTYPE'!$D$10:$BA$52,MATCH($C19,'[2]SALES PERTYPE'!$B$10:$B$52,0),MATCH("Watch GT 2",'[2]SALES PERTYPE'!$D$8:$BA$8,0)+1),0)</f>
        <v>0</v>
      </c>
      <c r="V19" s="33" cm="1">
        <f t="array" ref="V19">IFERROR(INDEX('[2]Sales per type Agustus'!$D$10:$BA$51,MATCH($C19,'[2]Sales per type Agustus'!$B$10:$B$51,0),MATCH("Watch GT 2",'[2]Sales per type Agustus'!$D$8:$BA$8,0)+1),0)</f>
        <v>0</v>
      </c>
      <c r="W19" s="33">
        <f t="shared" si="5"/>
        <v>0</v>
      </c>
      <c r="X19" s="33">
        <f>IFERROR(INDEX('[2]SALES PERTYPE'!$D$10:$BA$52,MATCH($C19,'[2]SALES PERTYPE'!$B$10:$B$52,0),MATCH("Y05e",'[2]SALES PERTYPE'!$D$8:$BA$8,0)),0)</f>
        <v>0</v>
      </c>
      <c r="Y19" s="33">
        <f>IFERROR(INDEX('[2]Sales per type Agustus'!$D$10:$BA$51,MATCH($C19,'[2]Sales per type Agustus'!$B$10:$B$51,0),MATCH("Y05e",'[2]Sales per type Agustus'!$D$8:$BA$8,0)),0)</f>
        <v>1</v>
      </c>
      <c r="Z19" s="33">
        <f t="shared" si="6"/>
        <v>-1</v>
      </c>
      <c r="AA19" s="33" cm="1">
        <f t="array" ref="AA19">IFERROR(INDEX('[2]SALES PERTYPE'!$D$10:$BA$52,MATCH($C19,'[2]SALES PERTYPE'!$B$10:$B$52,0),MATCH("Y05e",'[2]SALES PERTYPE'!$D$8:$BA$8,0)+1),0)</f>
        <v>0</v>
      </c>
      <c r="AB19" s="33" cm="1">
        <f t="array" ref="AB19">IFERROR(INDEX('[2]Sales per type Agustus'!$D$10:$BA$51,MATCH($C19,'[2]Sales per type Agustus'!$B$10:$B$51,0),MATCH("Y05e",'[2]Sales per type Agustus'!$D$8:$BA$8,0)+1),0)</f>
        <v>2099000</v>
      </c>
      <c r="AC19" s="33">
        <f t="shared" si="7"/>
        <v>-2099000</v>
      </c>
      <c r="AD19" s="33">
        <f>IFERROR(INDEX('[2]SALES PERTYPE'!$D$10:$BA$52,MATCH($C19,'[2]SALES PERTYPE'!$B$10:$B$52,0),MATCH("V70",'[2]SALES PERTYPE'!$D$8:$BA$8,0)),0)</f>
        <v>3</v>
      </c>
      <c r="AE19" s="33">
        <f>IFERROR(INDEX('[2]Sales per type Agustus'!$D$10:$BA$51,MATCH($C19,'[2]Sales per type Agustus'!$B$10:$B$51,0),MATCH("V70",'[2]Sales per type Agustus'!$D$8:$BA$8,0)),0)</f>
        <v>1</v>
      </c>
      <c r="AF19" s="33">
        <f t="shared" si="8"/>
        <v>2</v>
      </c>
      <c r="AG19" s="33" cm="1">
        <f t="array" ref="AG19">IFERROR(INDEX('[2]SALES PERTYPE'!$D$10:$BA$52,MATCH($C19,'[2]SALES PERTYPE'!$B$10:$B$52,0),MATCH("V70",'[2]SALES PERTYPE'!$D$8:$BA$8,0)+1),0)</f>
        <v>29997000</v>
      </c>
      <c r="AH19" s="33" cm="1">
        <f t="array" ref="AH19">IFERROR(INDEX('[2]Sales per type Agustus'!$D$10:$BA$51,MATCH($C19,'[2]Sales per type Agustus'!$B$10:$B$51,0),MATCH("V70",'[2]Sales per type Agustus'!$D$8:$BA$8,0)+1),0)</f>
        <v>9999000</v>
      </c>
      <c r="AI19" s="33">
        <f t="shared" si="9"/>
        <v>19998000</v>
      </c>
      <c r="AJ19" s="33">
        <f>IFERROR(INDEX('[2]SALES PERTYPE'!$D$10:$BA$52,MATCH($C19,'[2]SALES PERTYPE'!$B$10:$B$52,0),MATCH("Y31d Pro",'[2]SALES PERTYPE'!$D$8:$BA$8,0)),0)</f>
        <v>2</v>
      </c>
      <c r="AK19" s="33">
        <f>IFERROR(INDEX('[2]Sales per type Agustus'!$D$10:$BA$51,MATCH($C19,'[2]Sales per type Agustus'!$B$10:$B$51,0),MATCH("Y31d Pro",'[2]Sales per type Agustus'!$D$8:$BA$8,0)),0)</f>
        <v>1</v>
      </c>
      <c r="AL19" s="33">
        <f t="shared" si="10"/>
        <v>1</v>
      </c>
      <c r="AM19" s="33" cm="1">
        <f t="array" ref="AM19">IFERROR(INDEX('[2]SALES PERTYPE'!$D$10:$BA$52,MATCH($C19,'[2]SALES PERTYPE'!$B$10:$B$52,0),MATCH("Y31d Pro",'[2]SALES PERTYPE'!$D$8:$BA$8,0)+1),0)</f>
        <v>8598000</v>
      </c>
      <c r="AN19" s="33" cm="1">
        <f t="array" ref="AN19">IFERROR(INDEX('[2]Sales per type Agustus'!$D$10:$BA$51,MATCH($C19,'[2]Sales per type Agustus'!$B$10:$B$51,0),MATCH("Y31d Pro",'[2]Sales per type Agustus'!$D$8:$BA$8,0)+1),0)</f>
        <v>4299000</v>
      </c>
      <c r="AO19" s="33">
        <f t="shared" si="11"/>
        <v>4299000</v>
      </c>
      <c r="AP19" s="33" cm="1">
        <f t="array" ref="AP19">IFERROR(INDEX('[2]SALES PERTYPE'!$D$10:$BA$52,MATCH($C19,'[2]SALES PERTYPE'!$B$10:$B$52,0),$EI$3),0)</f>
        <v>0</v>
      </c>
      <c r="AQ19" s="33" cm="1">
        <f t="array" ref="AQ19">IFERROR(INDEX('[2]Sales per type Agustus'!$D$10:$BA$51,MATCH($C19,'[2]Sales per type Agustus'!$B$10:$B$51,0),$EI$2),0)</f>
        <v>0</v>
      </c>
      <c r="AR19" s="33">
        <f t="shared" si="12"/>
        <v>0</v>
      </c>
      <c r="AS19" s="33" cm="1">
        <f t="array" ref="AS19">IFERROR(INDEX('[2]SALES PERTYPE'!$D$10:$BA$52,MATCH($C19,'[2]SALES PERTYPE'!$B$10:$B$52,0),$EI$3+1),0)</f>
        <v>0</v>
      </c>
      <c r="AT19" s="33" cm="1">
        <f t="array" ref="AT19">IFERROR(INDEX('[2]Sales per type Agustus'!$D$10:$BA$51,MATCH($C19,'[2]Sales per type Agustus'!$B$10:$B$51,0),$EI$2+1),0)</f>
        <v>0</v>
      </c>
      <c r="AU19" s="33">
        <f t="shared" si="13"/>
        <v>0</v>
      </c>
      <c r="AV19" s="33">
        <f>IFERROR(INDEX('[2]SALES PERTYPE'!$D$10:$BA$52,MATCH($C19,'[2]SALES PERTYPE'!$B$10:$B$52,0),MATCH("Y31d ",'[2]SALES PERTYPE'!$D$8:$BA$8,0)),0)</f>
        <v>1</v>
      </c>
      <c r="AW19" s="33">
        <f>IFERROR(INDEX('[2]Sales per type Agustus'!$D$10:$BA$51,MATCH($C19,'[2]Sales per type Agustus'!$B$10:$B$51,0),MATCH("Y31d ",'[2]Sales per type Agustus'!$D$8:$BA$8,0)),0)</f>
        <v>0</v>
      </c>
      <c r="AX19" s="33">
        <f t="shared" si="14"/>
        <v>1</v>
      </c>
      <c r="AY19" s="33" cm="1">
        <f t="array" ref="AY19">IFERROR(INDEX('[2]SALES PERTYPE'!$D$10:$BA$52,MATCH($C19,'[2]SALES PERTYPE'!$B$10:$B$52,0),MATCH("Y31d ",'[2]SALES PERTYPE'!$D$8:$BA$8,0)+1),0)</f>
        <v>3599000</v>
      </c>
      <c r="AZ19" s="33" cm="1">
        <f t="array" ref="AZ19">IFERROR(INDEX('[2]Sales per type Agustus'!$D$10:$BA$51,MATCH($C19,'[2]Sales per type Agustus'!$B$10:$B$51,0),MATCH("Y31d ",'[2]Sales per type Agustus'!$D$8:$BA$8,0)+1),0)</f>
        <v>0</v>
      </c>
      <c r="BA19" s="33">
        <f t="shared" si="15"/>
        <v>3599000</v>
      </c>
      <c r="BB19" s="33">
        <f>IFERROR(INDEX('[2]SALES PERTYPE'!$D$10:$BA$52,MATCH($C19,'[2]SALES PERTYPE'!$B$10:$B$52,0),MATCH("V70 FE",'[2]SALES PERTYPE'!$D$8:$BA$8,0)),0)</f>
        <v>1</v>
      </c>
      <c r="BC19" s="33">
        <f>IFERROR(INDEX('[2]Sales per type Agustus'!$D$10:$BA$51,MATCH($C19,'[2]Sales per type Agustus'!$B$10:$B$51,0),MATCH("V70 FE",'[2]Sales per type Agustus'!$D$8:$BA$8,0)),0)</f>
        <v>1</v>
      </c>
      <c r="BD19" s="33">
        <f t="shared" si="16"/>
        <v>0</v>
      </c>
      <c r="BE19" s="33" cm="1">
        <f t="array" ref="BE19">IFERROR(INDEX('[2]SALES PERTYPE'!$D$10:$BA$52,MATCH($C19,'[2]SALES PERTYPE'!$B$10:$B$52,0),MATCH("V70 FE",'[2]SALES PERTYPE'!$D$8:$BA$8,0)+1),0)</f>
        <v>7999000</v>
      </c>
      <c r="BF19" s="33" cm="1">
        <f t="array" ref="BF19">IFERROR(INDEX('[2]Sales per type Agustus'!$D$10:$BA$51,MATCH($C19,'[2]Sales per type Agustus'!$B$10:$B$51,0),MATCH("V70 FE",'[2]Sales per type Agustus'!$D$8:$BA$8,0)+1),0)</f>
        <v>6499000</v>
      </c>
      <c r="BG19" s="33">
        <f t="shared" si="17"/>
        <v>1500000</v>
      </c>
      <c r="BH19" s="33">
        <f>IFERROR(INDEX('[2]SALES PERTYPE'!$D$10:$BA$52,MATCH($C19,'[2]SALES PERTYPE'!$B$10:$B$52,0),MATCH("Y31d",'[2]SALES PERTYPE'!$D$8:$BA$8,0)),0)</f>
        <v>1</v>
      </c>
      <c r="BI19" s="33">
        <f>IFERROR(INDEX('[2]Sales per type Agustus'!$D$10:$BA$51,MATCH($C19,'[2]Sales per type Agustus'!$B$10:$B$51,0),MATCH("Y31d",'[2]Sales per type Agustus'!$D$8:$BA$8,0)),0)</f>
        <v>0</v>
      </c>
      <c r="BJ19" s="33">
        <f t="shared" si="18"/>
        <v>1</v>
      </c>
      <c r="BK19" s="33" cm="1">
        <f t="array" ref="BK19">IFERROR(INDEX('[2]SALES PERTYPE'!$D$10:$BA$52,MATCH($C19,'[2]SALES PERTYPE'!$B$10:$B$52,0),MATCH("Y31d",'[2]SALES PERTYPE'!$D$8:$BA$8,0)+1),0)</f>
        <v>3599000</v>
      </c>
      <c r="BL19" s="33" cm="1">
        <f t="array" ref="BL19">IFERROR(INDEX('[2]Sales per type Agustus'!$D$10:$BA$51,MATCH($C19,'[2]Sales per type Agustus'!$B$10:$B$51,0),MATCH("Y31d",'[2]Sales per type Agustus'!$D$8:$BA$8,0)+1),0)</f>
        <v>0</v>
      </c>
      <c r="BM19" s="33">
        <f t="shared" si="19"/>
        <v>3599000</v>
      </c>
      <c r="BN19" s="33">
        <f>IFERROR(INDEX('[2]SALES PERTYPE'!$D$10:$BA$52,MATCH($C19,'[2]SALES PERTYPE'!$B$10:$B$52,0),MATCH("Y500",'[2]SALES PERTYPE'!$D$8:$BA$8,0)),0)</f>
        <v>0</v>
      </c>
      <c r="BO19" s="33">
        <f>IFERROR(INDEX('[2]Sales per type Agustus'!$D$10:$BA$51,MATCH($C19,'[2]Sales per type Agustus'!$B$10:$B$51,0),MATCH("Y500",'[2]Sales per type Agustus'!$D$8:$BA$8,0)),0)</f>
        <v>0</v>
      </c>
      <c r="BP19" s="33">
        <f t="shared" si="20"/>
        <v>0</v>
      </c>
      <c r="BQ19" s="33" cm="1">
        <f t="array" ref="BQ19">IFERROR(INDEX('[2]SALES PERTYPE'!$D$10:$BA$52,MATCH($C19,'[2]SALES PERTYPE'!$B$10:$B$52,0),MATCH("Y500",'[2]SALES PERTYPE'!$D$8:$BA$8,0)+1),0)</f>
        <v>0</v>
      </c>
      <c r="BR19" s="33" cm="1">
        <f t="array" ref="BR19">IFERROR(INDEX('[2]Sales per type Agustus'!$D$10:$BA$51,MATCH($C19,'[2]Sales per type Agustus'!$B$10:$B$51,0),MATCH("Y500",'[2]Sales per type Agustus'!$D$8:$BA$8,0)+1),0)</f>
        <v>0</v>
      </c>
      <c r="BS19" s="33">
        <f t="shared" si="21"/>
        <v>0</v>
      </c>
      <c r="BT19" s="33">
        <f>IFERROR(INDEX('[2]SALES PERTYPE'!$D$10:$BA$52,MATCH($C19,'[2]SALES PERTYPE'!$B$10:$B$52,0),MATCH("IQOO 15R",'[2]SALES PERTYPE'!$D$8:$BA$8,0)),0)</f>
        <v>0</v>
      </c>
      <c r="BU19" s="33">
        <f>IFERROR(INDEX('[2]Sales per type Agustus'!$D$10:$BA$51,MATCH($C19,'[2]Sales per type Agustus'!$B$10:$B$51,0),MATCH("IQOO 15R",'[2]Sales per type Agustus'!$D$8:$BA$8,0)),0)</f>
        <v>0</v>
      </c>
      <c r="BV19" s="33">
        <f t="shared" si="22"/>
        <v>0</v>
      </c>
      <c r="BW19" s="33" cm="1">
        <f t="array" ref="BW19">IFERROR(INDEX('[2]SALES PERTYPE'!$D$10:$BA$52,MATCH($C19,'[2]SALES PERTYPE'!$B$10:$B$52,0),MATCH("IQOO 15R",'[2]SALES PERTYPE'!$D$8:$BA$8,0)+1),0)</f>
        <v>0</v>
      </c>
      <c r="BX19" s="33" cm="1">
        <f t="array" ref="BX19">IFERROR(INDEX('[2]Sales per type Agustus'!$D$10:$BA$51,MATCH($C19,'[2]Sales per type Agustus'!$B$10:$B$51,0),MATCH("IQOO 15R",'[2]Sales per type Agustus'!$D$8:$BA$8,0)+1),0)</f>
        <v>0</v>
      </c>
      <c r="BY19" s="33">
        <f t="shared" si="23"/>
        <v>0</v>
      </c>
      <c r="BZ19" s="33">
        <f>IFERROR(INDEX('[2]SALES PERTYPE'!$D$10:$BA$52,MATCH($C19,'[2]SALES PERTYPE'!$B$10:$B$52,0),MATCH("V60 Lite",'[2]SALES PERTYPE'!$D$8:$BA$8,0)),0)</f>
        <v>1</v>
      </c>
      <c r="CA19" s="33">
        <f>IFERROR(INDEX('[2]Sales per type Agustus'!$D$10:$BA$51,MATCH($C19,'[2]Sales per type Agustus'!$B$10:$B$51,0),MATCH("V60 Lite",'[2]Sales per type Agustus'!$D$8:$BA$8,0)),0)</f>
        <v>1</v>
      </c>
      <c r="CB19" s="33">
        <f t="shared" si="24"/>
        <v>0</v>
      </c>
      <c r="CC19" s="33" cm="1">
        <f t="array" ref="CC19">IFERROR(INDEX('[2]SALES PERTYPE'!$D$10:$BA$52,MATCH($C19,'[2]SALES PERTYPE'!$B$10:$B$52,0),MATCH("V60 Lite",'[2]SALES PERTYPE'!$D$8:$BA$8,0)+1),0)</f>
        <v>5899000</v>
      </c>
      <c r="CD19" s="33" cm="1">
        <f t="array" ref="CD19">IFERROR(INDEX('[2]Sales per type Agustus'!$D$10:$BA$51,MATCH($C19,'[2]Sales per type Agustus'!$B$10:$B$51,0),MATCH("V60 Lite",'[2]Sales per type Agustus'!$D$8:$BA$8,0)+1),0)</f>
        <v>5299000</v>
      </c>
      <c r="CE19" s="33">
        <f t="shared" si="25"/>
        <v>600000</v>
      </c>
      <c r="CF19" s="33">
        <f>IFERROR(INDEX('[2]SALES PERTYPE'!$D$10:$BA$52,MATCH($C19,'[2]SALES PERTYPE'!$B$10:$B$52,0),MATCH("X300 Ultra",'[2]SALES PERTYPE'!$D$8:$BA$8,0)),0)</f>
        <v>0</v>
      </c>
      <c r="CG19" s="33">
        <f>IFERROR(INDEX('[2]Sales per type Agustus'!$D$10:$BA$51,MATCH($C19,'[2]Sales per type Agustus'!$B$10:$B$51,0),MATCH("X300 Ultra",'[2]Sales per type Agustus'!$D$8:$BA$8,0)),0)</f>
        <v>0</v>
      </c>
      <c r="CH19" s="33">
        <f t="shared" si="26"/>
        <v>0</v>
      </c>
      <c r="CI19" s="33" cm="1">
        <f t="array" ref="CI19">IFERROR(INDEX('[2]SALES PERTYPE'!$D$10:$BA$52,MATCH($C19,'[2]SALES PERTYPE'!$B$10:$B$52,0),MATCH("X300 Ultra",'[2]SALES PERTYPE'!$D$8:$BA$8,0)+1),0)</f>
        <v>0</v>
      </c>
      <c r="CJ19" s="33" cm="1">
        <f t="array" ref="CJ19">IFERROR(INDEX('[2]Sales per type Agustus'!$D$10:$BA$51,MATCH($C19,'[2]Sales per type Agustus'!$B$10:$B$51,0),MATCH("X300 Ultra",'[2]Sales per type Agustus'!$D$8:$BA$8,0)+1),0)</f>
        <v>0</v>
      </c>
      <c r="CK19" s="33">
        <f t="shared" si="27"/>
        <v>0</v>
      </c>
      <c r="CL19" s="33">
        <f>IFERROR(INDEX('[2]SALES PERTYPE'!$D$10:$BA$52,MATCH($C19,'[2]SALES PERTYPE'!$B$10:$B$52,0),MATCH("IQOO 15",'[2]SALES PERTYPE'!$D$8:$BA$8,0)),0)</f>
        <v>0</v>
      </c>
      <c r="CM19" s="33">
        <f>IFERROR(INDEX('[2]Sales per type Agustus'!$D$10:$BA$51,MATCH($C19,'[2]Sales per type Agustus'!$B$10:$B$51,0),MATCH("IQOO 15",'[2]Sales per type Agustus'!$D$8:$BA$8,0)),0)</f>
        <v>0</v>
      </c>
      <c r="CN19" s="33">
        <f t="shared" si="28"/>
        <v>0</v>
      </c>
      <c r="CO19" s="33" cm="1">
        <f t="array" ref="CO19">IFERROR(INDEX('[2]SALES PERTYPE'!$D$10:$BA$52,MATCH($C19,'[2]SALES PERTYPE'!$B$10:$B$52,0),MATCH("IQOO 15",'[2]SALES PERTYPE'!$D$8:$BA$8,0)+1),0)</f>
        <v>0</v>
      </c>
      <c r="CP19" s="33" cm="1">
        <f t="array" ref="CP19">IFERROR(INDEX('[2]Sales per type Agustus'!$D$10:$BA$51,MATCH($C19,'[2]Sales per type Agustus'!$B$10:$B$51,0),MATCH("IQOO 15",'[2]Sales per type Agustus'!$D$8:$BA$8,0)+1),0)</f>
        <v>0</v>
      </c>
      <c r="CQ19" s="33">
        <f t="shared" si="29"/>
        <v>0</v>
      </c>
      <c r="CR19" s="33">
        <f>IFERROR(INDEX('[2]SALES PERTYPE'!$D$10:$BA$52,MATCH($C19,'[2]SALES PERTYPE'!$B$10:$B$52,0),MATCH("IQOO Z11x",'[2]SALES PERTYPE'!$D$8:$BA$8,0)),0)</f>
        <v>0</v>
      </c>
      <c r="CS19" s="33">
        <f>IFERROR(INDEX('[2]Sales per type Agustus'!$D$10:$BA$51,MATCH($C19,'[2]Sales per type Agustus'!$B$10:$B$51,0),MATCH("IQOO Z11x",'[2]Sales per type Agustus'!$D$8:$BA$8,0)),0)</f>
        <v>0</v>
      </c>
      <c r="CT19" s="33">
        <f t="shared" si="30"/>
        <v>0</v>
      </c>
      <c r="CU19" s="33" cm="1">
        <f t="array" ref="CU19">IFERROR(INDEX('[2]SALES PERTYPE'!$D$10:$BA$52,MATCH($C19,'[2]SALES PERTYPE'!$B$10:$B$52,0),MATCH("IQOO Z11x",'[2]SALES PERTYPE'!$D$8:$BA$8,0)+1),0)</f>
        <v>0</v>
      </c>
      <c r="CV19" s="33" cm="1">
        <f t="array" ref="CV19">IFERROR(INDEX('[2]Sales per type Agustus'!$D$10:$BA$51,MATCH($C19,'[2]Sales per type Agustus'!$B$10:$B$51,0),MATCH("IQOO Z11x",'[2]Sales per type Agustus'!$D$8:$BA$8,0)+1),0)</f>
        <v>0</v>
      </c>
      <c r="CW19" s="33">
        <f t="shared" si="31"/>
        <v>0</v>
      </c>
      <c r="CX19" s="33">
        <f>IFERROR(INDEX('[2]SALES PERTYPE'!$D$10:$BA$52,MATCH($C19,'[2]SALES PERTYPE'!$B$10:$B$52,0),MATCH("IQOO Z11",'[2]SALES PERTYPE'!$D$8:$BA$8,0)),0)</f>
        <v>1</v>
      </c>
      <c r="CY19" s="33">
        <f>IFERROR(INDEX('[2]Sales per type Agustus'!$D$10:$BA$51,MATCH($C19,'[2]Sales per type Agustus'!$B$10:$B$51,0),MATCH("IQOO Z11",'[2]Sales per type Agustus'!$D$8:$BA$8,0)),0)</f>
        <v>2</v>
      </c>
      <c r="CZ19" s="33">
        <f t="shared" si="32"/>
        <v>-1</v>
      </c>
      <c r="DA19" s="33" cm="1">
        <f t="array" ref="DA19">IFERROR(INDEX('[2]SALES PERTYPE'!$D$10:$BA$52,MATCH($C19,'[2]SALES PERTYPE'!$B$10:$B$52,0),MATCH("IQOO Z11",'[2]SALES PERTYPE'!$D$8:$BA$8,0)+1),0)</f>
        <v>6899000</v>
      </c>
      <c r="DB19" s="33" cm="1">
        <f t="array" ref="DB19">IFERROR(INDEX('[2]Sales per type Agustus'!$D$10:$BA$51,MATCH($C19,'[2]Sales per type Agustus'!$B$10:$B$51,0),MATCH("IQOO Z11",'[2]Sales per type Agustus'!$D$8:$BA$8,0)+1),0)</f>
        <v>13798000</v>
      </c>
      <c r="DC19" s="33">
        <f t="shared" si="33"/>
        <v>-6899000</v>
      </c>
      <c r="DD19" s="33">
        <f>IFERROR(INDEX('[2]SALES PERTYPE'!$D$10:$BA$52,MATCH($C19,'[2]SALES PERTYPE'!$B$10:$B$52,0),MATCH("WATCH 3",'[2]SALES PERTYPE'!$D$8:$BA$8,0)),0)</f>
        <v>0</v>
      </c>
      <c r="DE19" s="33">
        <f>IFERROR(INDEX('[2]Sales per type Agustus'!$D$10:$BA$51,MATCH($C19,'[2]Sales per type Agustus'!$B$10:$B$51,0),MATCH("WATCH 3",'[2]Sales per type Agustus'!$D$8:$BA$8,0)),0)</f>
        <v>0</v>
      </c>
      <c r="DF19" s="33">
        <f t="shared" si="34"/>
        <v>0</v>
      </c>
      <c r="DG19" s="33" cm="1">
        <f t="array" ref="DG19">IFERROR(INDEX('[2]SALES PERTYPE'!$D$10:$BA$52,MATCH($C19,'[2]SALES PERTYPE'!$B$10:$B$52,0),MATCH("WATCH 3",'[2]SALES PERTYPE'!$D$8:$BA$8,0)+1),0)</f>
        <v>0</v>
      </c>
      <c r="DH19" s="33" cm="1">
        <f t="array" ref="DH19">IFERROR(INDEX('[2]Sales per type Agustus'!$D$10:$BA$51,MATCH($C19,'[2]Sales per type Agustus'!$B$10:$B$51,0),MATCH("WATCH 3",'[2]Sales per type Agustus'!$D$8:$BA$8,0)+1),0)</f>
        <v>0</v>
      </c>
      <c r="DI19" s="33">
        <f t="shared" si="35"/>
        <v>0</v>
      </c>
      <c r="DJ19" s="33">
        <f>IFERROR(INDEX('[2]SALES PERTYPE'!$D$10:$BA$52,MATCH($C19,'[2]SALES PERTYPE'!$B$10:$B$52,0),MATCH("X Fold5",'[2]SALES PERTYPE'!$D$8:$BA$8,0)),0)</f>
        <v>0</v>
      </c>
      <c r="DK19" s="33">
        <f>IFERROR(INDEX('[2]Sales per type Agustus'!$D$10:$BA$51,MATCH($C19,'[2]Sales per type Agustus'!$B$10:$B$51,0),MATCH("X Fold5",'[2]Sales per type Agustus'!$D$8:$BA$8,0)),0)</f>
        <v>0</v>
      </c>
      <c r="DL19" s="33">
        <f t="shared" si="36"/>
        <v>0</v>
      </c>
      <c r="DM19" s="33" cm="1">
        <f t="array" ref="DM19">IFERROR(INDEX('[2]SALES PERTYPE'!$D$10:$BA$52,MATCH($C19,'[2]SALES PERTYPE'!$B$10:$B$52,0),MATCH("X Fold5",'[2]SALES PERTYPE'!$D$8:$BA$8,0)+1),0)</f>
        <v>0</v>
      </c>
      <c r="DN19" s="33" cm="1">
        <f t="array" ref="DN19">IFERROR(INDEX('[2]Sales per type Agustus'!$D$10:$BA$51,MATCH($C19,'[2]Sales per type Agustus'!$B$10:$B$51,0),MATCH("X Fold5",'[2]Sales per type Agustus'!$D$8:$BA$8,0)+1),0)</f>
        <v>0</v>
      </c>
      <c r="DO19" s="33">
        <f t="shared" si="37"/>
        <v>0</v>
      </c>
      <c r="DP19" s="33">
        <f>IFERROR(INDEX('[2]SALES PERTYPE'!$D$10:$BA$52,MATCH($C19,'[2]SALES PERTYPE'!$B$10:$B$52,0),MATCH("X300 PRO",'[2]SALES PERTYPE'!$D$8:$BA$8,0)),0)</f>
        <v>0</v>
      </c>
      <c r="DQ19" s="33">
        <f>IFERROR(INDEX('[2]Sales per type Agustus'!$D$10:$BA$51,MATCH($C19,'[2]Sales per type Agustus'!$B$10:$B$51,0),MATCH("X300 PRO",'[2]Sales per type Agustus'!$D$8:$BA$8,0)),0)</f>
        <v>0</v>
      </c>
      <c r="DR19" s="33">
        <f t="shared" si="38"/>
        <v>0</v>
      </c>
      <c r="DS19" s="33" cm="1">
        <f t="array" ref="DS19">IFERROR(INDEX('[2]SALES PERTYPE'!$D$10:$BA$52,MATCH($C19,'[2]SALES PERTYPE'!$B$10:$B$52,0),MATCH("X300 PRO",'[2]SALES PERTYPE'!$D$8:$BA$8,0)+1),0)</f>
        <v>0</v>
      </c>
      <c r="DT19" s="33" cm="1">
        <f t="array" ref="DT19">IFERROR(INDEX('[2]Sales per type Agustus'!$D$10:$BA$51,MATCH($C19,'[2]Sales per type Agustus'!$B$10:$B$51,0),MATCH("X300 PRO",'[2]Sales per type Agustus'!$D$8:$BA$8,0)+1),0)</f>
        <v>0</v>
      </c>
      <c r="DU19" s="33">
        <f t="shared" si="39"/>
        <v>0</v>
      </c>
      <c r="DV19" s="33">
        <f>IFERROR(INDEX('[2]SALES PERTYPE'!$D$10:$BA$52,MATCH($C19,'[2]SALES PERTYPE'!$B$10:$B$52,0),MATCH("X300",'[2]SALES PERTYPE'!$D$8:$BA$8,0)),0)</f>
        <v>0</v>
      </c>
      <c r="DW19" s="33">
        <f>IFERROR(INDEX('[2]Sales per type Agustus'!$D$10:$BA$51,MATCH($C19,'[2]Sales per type Agustus'!$B$10:$B$51,0),MATCH("X300 ",'[2]Sales per type Agustus'!$D$8:$BA$8,0)),0)</f>
        <v>0</v>
      </c>
      <c r="DX19" s="33">
        <f t="shared" si="40"/>
        <v>0</v>
      </c>
      <c r="DY19" s="33" cm="1">
        <f t="array" ref="DY19">IFERROR(INDEX('[2]SALES PERTYPE'!$D$10:$BA$52,MATCH($C19,'[2]SALES PERTYPE'!$B$10:$B$52,0),MATCH("X300",'[2]SALES PERTYPE'!$D$8:$BA$8,0)+1),0)</f>
        <v>0</v>
      </c>
      <c r="DZ19" s="33" cm="1">
        <f t="array" ref="DZ19">IFERROR(INDEX('[2]Sales per type Agustus'!$D$10:$BA$51,MATCH($C19,'[2]Sales per type Agustus'!$B$10:$B$51,0),MATCH("X300 ",'[2]Sales per type Agustus'!$D$8:$BA$8,0)+1),0)</f>
        <v>0</v>
      </c>
      <c r="EA19" s="33">
        <f t="shared" si="41"/>
        <v>0</v>
      </c>
      <c r="EB19" s="33">
        <f t="shared" si="42"/>
        <v>16</v>
      </c>
      <c r="EC19" s="33">
        <f t="shared" si="42"/>
        <v>11</v>
      </c>
      <c r="ED19" s="33">
        <f t="shared" si="43"/>
        <v>5</v>
      </c>
      <c r="EE19" s="33">
        <f t="shared" si="44"/>
        <v>81684000</v>
      </c>
      <c r="EF19" s="33">
        <f t="shared" si="44"/>
        <v>53189000</v>
      </c>
      <c r="EG19" s="33">
        <f t="shared" si="45"/>
        <v>28495000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5">
        <f>'[2]ACHIEVEMENT STORE'!A20</f>
        <v>16</v>
      </c>
      <c r="B20" s="216" t="str">
        <f>'[2]ACHIEVEMENT STORE'!B20</f>
        <v>605 勿加泗 BEKASI</v>
      </c>
      <c r="C20" s="215">
        <f>'[2]ACHIEVEMENT STORE'!C20</f>
        <v>6220701</v>
      </c>
      <c r="D20" s="216" t="str">
        <f>'[2]ACHIEVEMENT STORE'!D20</f>
        <v>6220701-MBH-VIP VIVO STORE-DD284</v>
      </c>
      <c r="E20" s="216" t="str">
        <f>'[2]ACHIEVEMENT STORE'!E20</f>
        <v>M RIZKI</v>
      </c>
      <c r="F20" s="33">
        <f>IFERROR(INDEX('[2]SALES PERTYPE'!$D$10:$BA$52,MATCH($C20,'[2]SALES PERTYPE'!$B$10:$B$52,0),MATCH("Y05",'[2]SALES PERTYPE'!$D$8:$BA$8,0)),0)</f>
        <v>2</v>
      </c>
      <c r="G20" s="33">
        <f>IFERROR(INDEX('[2]Sales per type Agustus'!$D$10:$BA$51,MATCH($C20,'[2]Sales per type Agustus'!$B$10:$B$51,0),MATCH("Y05",'[2]Sales per type Agustus'!$D$8:$BA$8,0)),0)</f>
        <v>4</v>
      </c>
      <c r="H20" s="33">
        <f t="shared" si="0"/>
        <v>-2</v>
      </c>
      <c r="I20" s="33" cm="1">
        <f t="array" ref="I20">IFERROR(INDEX('[2]SALES PERTYPE'!$D$10:$BA$52,MATCH($C20,'[2]SALES PERTYPE'!$B$10:$B$52,0),MATCH("Y05",'[2]SALES PERTYPE'!$D$8:$BA$8,0)+1),0)</f>
        <v>5198000</v>
      </c>
      <c r="J20" s="33" cm="1">
        <f t="array" ref="J20">IFERROR(INDEX('[2]Sales per type Agustus'!$D$10:$BA$51,MATCH($C20,'[2]Sales per type Agustus'!$B$10:$B$51,0),MATCH("Y05",'[2]Sales per type Agustus'!$D$8:$BA$8,0)+1),0)</f>
        <v>9496000</v>
      </c>
      <c r="K20" s="33">
        <f t="shared" si="1"/>
        <v>-4298000</v>
      </c>
      <c r="L20" s="33">
        <f>IFERROR(INDEX('[2]SALES PERTYPE'!$D$10:$BA$52,MATCH($C20,'[2]SALES PERTYPE'!$B$10:$B$52,0),MATCH("Y11d",'[2]SALES PERTYPE'!$D$8:$BA$8,0)),0)</f>
        <v>1</v>
      </c>
      <c r="M20" s="33">
        <f>IFERROR(INDEX('[2]Sales per type Agustus'!$D$10:$BA$51,MATCH($C20,'[2]Sales per type Agustus'!$B$10:$B$51,0),MATCH("Y11d",'[2]Sales per type Agustus'!$D$8:$BA$8,0)),0)</f>
        <v>4</v>
      </c>
      <c r="N20" s="33">
        <f t="shared" si="2"/>
        <v>-3</v>
      </c>
      <c r="O20" s="33" cm="1">
        <f t="array" ref="O20">IFERROR(INDEX('[2]SALES PERTYPE'!$D$10:$BA$52,MATCH($C20,'[2]SALES PERTYPE'!$B$10:$B$52,0),MATCH("Y11d",'[2]SALES PERTYPE'!$D$8:$BA$8,0)+1),0)</f>
        <v>2799000</v>
      </c>
      <c r="P20" s="33" cm="1">
        <f t="array" ref="P20">IFERROR(INDEX('[2]Sales per type Agustus'!$D$10:$BA$51,MATCH($C20,'[2]Sales per type Agustus'!$B$10:$B$51,0),MATCH("Y11d",'[2]Sales per type Agustus'!$D$8:$BA$8,0)+1),0)</f>
        <v>11196000</v>
      </c>
      <c r="Q20" s="33">
        <f t="shared" si="3"/>
        <v>-8397000</v>
      </c>
      <c r="R20" s="33">
        <f>IFERROR(INDEX('[2]SALES PERTYPE'!$D$10:$BA$52,MATCH($C20,'[2]SALES PERTYPE'!$B$10:$B$52,0),MATCH("Watch GT 2",'[2]SALES PERTYPE'!$D$8:$BA$8,0)),0)</f>
        <v>0</v>
      </c>
      <c r="S20" s="33">
        <f>IFERROR(INDEX('[2]Sales per type Agustus'!$D$10:$BA$51,MATCH($C20,'[2]Sales per type Agustus'!$B$10:$B$51,0),MATCH("Watch GT 2",'[2]Sales per type Agustus'!$D$8:$BA$8,0)),0)</f>
        <v>0</v>
      </c>
      <c r="T20" s="33">
        <f t="shared" si="4"/>
        <v>0</v>
      </c>
      <c r="U20" s="33" cm="1">
        <f t="array" ref="U20">IFERROR(INDEX('[2]SALES PERTYPE'!$D$10:$BA$52,MATCH($C20,'[2]SALES PERTYPE'!$B$10:$B$52,0),MATCH("Watch GT 2",'[2]SALES PERTYPE'!$D$8:$BA$8,0)+1),0)</f>
        <v>0</v>
      </c>
      <c r="V20" s="33" cm="1">
        <f t="array" ref="V20">IFERROR(INDEX('[2]Sales per type Agustus'!$D$10:$BA$51,MATCH($C20,'[2]Sales per type Agustus'!$B$10:$B$51,0),MATCH("Watch GT 2",'[2]Sales per type Agustus'!$D$8:$BA$8,0)+1),0)</f>
        <v>0</v>
      </c>
      <c r="W20" s="33">
        <f t="shared" si="5"/>
        <v>0</v>
      </c>
      <c r="X20" s="33">
        <f>IFERROR(INDEX('[2]SALES PERTYPE'!$D$10:$BA$52,MATCH($C20,'[2]SALES PERTYPE'!$B$10:$B$52,0),MATCH("Y05e",'[2]SALES PERTYPE'!$D$8:$BA$8,0)),0)</f>
        <v>1</v>
      </c>
      <c r="Y20" s="33">
        <f>IFERROR(INDEX('[2]Sales per type Agustus'!$D$10:$BA$51,MATCH($C20,'[2]Sales per type Agustus'!$B$10:$B$51,0),MATCH("Y05e",'[2]Sales per type Agustus'!$D$8:$BA$8,0)),0)</f>
        <v>0</v>
      </c>
      <c r="Z20" s="33">
        <f t="shared" si="6"/>
        <v>1</v>
      </c>
      <c r="AA20" s="33" cm="1">
        <f t="array" ref="AA20">IFERROR(INDEX('[2]SALES PERTYPE'!$D$10:$BA$52,MATCH($C20,'[2]SALES PERTYPE'!$B$10:$B$52,0),MATCH("Y05e",'[2]SALES PERTYPE'!$D$8:$BA$8,0)+1),0)</f>
        <v>2099000</v>
      </c>
      <c r="AB20" s="33" cm="1">
        <f t="array" ref="AB20">IFERROR(INDEX('[2]Sales per type Agustus'!$D$10:$BA$51,MATCH($C20,'[2]Sales per type Agustus'!$B$10:$B$51,0),MATCH("Y05e",'[2]Sales per type Agustus'!$D$8:$BA$8,0)+1),0)</f>
        <v>0</v>
      </c>
      <c r="AC20" s="33">
        <f t="shared" si="7"/>
        <v>2099000</v>
      </c>
      <c r="AD20" s="33">
        <f>IFERROR(INDEX('[2]SALES PERTYPE'!$D$10:$BA$52,MATCH($C20,'[2]SALES PERTYPE'!$B$10:$B$52,0),MATCH("V70",'[2]SALES PERTYPE'!$D$8:$BA$8,0)),0)</f>
        <v>0</v>
      </c>
      <c r="AE20" s="33">
        <f>IFERROR(INDEX('[2]Sales per type Agustus'!$D$10:$BA$51,MATCH($C20,'[2]Sales per type Agustus'!$B$10:$B$51,0),MATCH("V70",'[2]Sales per type Agustus'!$D$8:$BA$8,0)),0)</f>
        <v>0</v>
      </c>
      <c r="AF20" s="33">
        <f t="shared" si="8"/>
        <v>0</v>
      </c>
      <c r="AG20" s="33" cm="1">
        <f t="array" ref="AG20">IFERROR(INDEX('[2]SALES PERTYPE'!$D$10:$BA$52,MATCH($C20,'[2]SALES PERTYPE'!$B$10:$B$52,0),MATCH("V70",'[2]SALES PERTYPE'!$D$8:$BA$8,0)+1),0)</f>
        <v>0</v>
      </c>
      <c r="AH20" s="33" cm="1">
        <f t="array" ref="AH20">IFERROR(INDEX('[2]Sales per type Agustus'!$D$10:$BA$51,MATCH($C20,'[2]Sales per type Agustus'!$B$10:$B$51,0),MATCH("V70",'[2]Sales per type Agustus'!$D$8:$BA$8,0)+1),0)</f>
        <v>0</v>
      </c>
      <c r="AI20" s="33">
        <f t="shared" si="9"/>
        <v>0</v>
      </c>
      <c r="AJ20" s="33">
        <f>IFERROR(INDEX('[2]SALES PERTYPE'!$D$10:$BA$52,MATCH($C20,'[2]SALES PERTYPE'!$B$10:$B$52,0),MATCH("Y31d Pro",'[2]SALES PERTYPE'!$D$8:$BA$8,0)),0)</f>
        <v>4</v>
      </c>
      <c r="AK20" s="33">
        <f>IFERROR(INDEX('[2]Sales per type Agustus'!$D$10:$BA$51,MATCH($C20,'[2]Sales per type Agustus'!$B$10:$B$51,0),MATCH("Y31d Pro",'[2]Sales per type Agustus'!$D$8:$BA$8,0)),0)</f>
        <v>1</v>
      </c>
      <c r="AL20" s="33">
        <f t="shared" si="10"/>
        <v>3</v>
      </c>
      <c r="AM20" s="33" cm="1">
        <f t="array" ref="AM20">IFERROR(INDEX('[2]SALES PERTYPE'!$D$10:$BA$52,MATCH($C20,'[2]SALES PERTYPE'!$B$10:$B$52,0),MATCH("Y31d Pro",'[2]SALES PERTYPE'!$D$8:$BA$8,0)+1),0)</f>
        <v>18396000</v>
      </c>
      <c r="AN20" s="33" cm="1">
        <f t="array" ref="AN20">IFERROR(INDEX('[2]Sales per type Agustus'!$D$10:$BA$51,MATCH($C20,'[2]Sales per type Agustus'!$B$10:$B$51,0),MATCH("Y31d Pro",'[2]Sales per type Agustus'!$D$8:$BA$8,0)+1),0)</f>
        <v>4299000</v>
      </c>
      <c r="AO20" s="33">
        <f t="shared" si="11"/>
        <v>14097000</v>
      </c>
      <c r="AP20" s="33" cm="1">
        <f t="array" ref="AP20">IFERROR(INDEX('[2]SALES PERTYPE'!$D$10:$BA$52,MATCH($C20,'[2]SALES PERTYPE'!$B$10:$B$52,0),$EI$3),0)</f>
        <v>0</v>
      </c>
      <c r="AQ20" s="33" cm="1">
        <f t="array" ref="AQ20">IFERROR(INDEX('[2]Sales per type Agustus'!$D$10:$BA$51,MATCH($C20,'[2]Sales per type Agustus'!$B$10:$B$51,0),$EI$2),0)</f>
        <v>0</v>
      </c>
      <c r="AR20" s="33">
        <f t="shared" si="12"/>
        <v>0</v>
      </c>
      <c r="AS20" s="33" cm="1">
        <f t="array" ref="AS20">IFERROR(INDEX('[2]SALES PERTYPE'!$D$10:$BA$52,MATCH($C20,'[2]SALES PERTYPE'!$B$10:$B$52,0),$EI$3+1),0)</f>
        <v>0</v>
      </c>
      <c r="AT20" s="33" cm="1">
        <f t="array" ref="AT20">IFERROR(INDEX('[2]Sales per type Agustus'!$D$10:$BA$51,MATCH($C20,'[2]Sales per type Agustus'!$B$10:$B$51,0),$EI$2+1),0)</f>
        <v>0</v>
      </c>
      <c r="AU20" s="33">
        <f t="shared" si="13"/>
        <v>0</v>
      </c>
      <c r="AV20" s="33">
        <f>IFERROR(INDEX('[2]SALES PERTYPE'!$D$10:$BA$52,MATCH($C20,'[2]SALES PERTYPE'!$B$10:$B$52,0),MATCH("Y31d ",'[2]SALES PERTYPE'!$D$8:$BA$8,0)),0)</f>
        <v>2</v>
      </c>
      <c r="AW20" s="33">
        <f>IFERROR(INDEX('[2]Sales per type Agustus'!$D$10:$BA$51,MATCH($C20,'[2]Sales per type Agustus'!$B$10:$B$51,0),MATCH("Y31d ",'[2]Sales per type Agustus'!$D$8:$BA$8,0)),0)</f>
        <v>0</v>
      </c>
      <c r="AX20" s="33">
        <f t="shared" si="14"/>
        <v>2</v>
      </c>
      <c r="AY20" s="33" cm="1">
        <f t="array" ref="AY20">IFERROR(INDEX('[2]SALES PERTYPE'!$D$10:$BA$52,MATCH($C20,'[2]SALES PERTYPE'!$B$10:$B$52,0),MATCH("Y31d ",'[2]SALES PERTYPE'!$D$8:$BA$8,0)+1),0)</f>
        <v>7198000</v>
      </c>
      <c r="AZ20" s="33" cm="1">
        <f t="array" ref="AZ20">IFERROR(INDEX('[2]Sales per type Agustus'!$D$10:$BA$51,MATCH($C20,'[2]Sales per type Agustus'!$B$10:$B$51,0),MATCH("Y31d ",'[2]Sales per type Agustus'!$D$8:$BA$8,0)+1),0)</f>
        <v>0</v>
      </c>
      <c r="BA20" s="33">
        <f t="shared" si="15"/>
        <v>7198000</v>
      </c>
      <c r="BB20" s="33">
        <f>IFERROR(INDEX('[2]SALES PERTYPE'!$D$10:$BA$52,MATCH($C20,'[2]SALES PERTYPE'!$B$10:$B$52,0),MATCH("V70 FE",'[2]SALES PERTYPE'!$D$8:$BA$8,0)),0)</f>
        <v>0</v>
      </c>
      <c r="BC20" s="33">
        <f>IFERROR(INDEX('[2]Sales per type Agustus'!$D$10:$BA$51,MATCH($C20,'[2]Sales per type Agustus'!$B$10:$B$51,0),MATCH("V70 FE",'[2]Sales per type Agustus'!$D$8:$BA$8,0)),0)</f>
        <v>0</v>
      </c>
      <c r="BD20" s="33">
        <f t="shared" si="16"/>
        <v>0</v>
      </c>
      <c r="BE20" s="33" cm="1">
        <f t="array" ref="BE20">IFERROR(INDEX('[2]SALES PERTYPE'!$D$10:$BA$52,MATCH($C20,'[2]SALES PERTYPE'!$B$10:$B$52,0),MATCH("V70 FE",'[2]SALES PERTYPE'!$D$8:$BA$8,0)+1),0)</f>
        <v>0</v>
      </c>
      <c r="BF20" s="33" cm="1">
        <f t="array" ref="BF20">IFERROR(INDEX('[2]Sales per type Agustus'!$D$10:$BA$51,MATCH($C20,'[2]Sales per type Agustus'!$B$10:$B$51,0),MATCH("V70 FE",'[2]Sales per type Agustus'!$D$8:$BA$8,0)+1),0)</f>
        <v>0</v>
      </c>
      <c r="BG20" s="33">
        <f t="shared" si="17"/>
        <v>0</v>
      </c>
      <c r="BH20" s="33">
        <f>IFERROR(INDEX('[2]SALES PERTYPE'!$D$10:$BA$52,MATCH($C20,'[2]SALES PERTYPE'!$B$10:$B$52,0),MATCH("Y31d",'[2]SALES PERTYPE'!$D$8:$BA$8,0)),0)</f>
        <v>2</v>
      </c>
      <c r="BI20" s="33">
        <f>IFERROR(INDEX('[2]Sales per type Agustus'!$D$10:$BA$51,MATCH($C20,'[2]Sales per type Agustus'!$B$10:$B$51,0),MATCH("Y31d",'[2]Sales per type Agustus'!$D$8:$BA$8,0)),0)</f>
        <v>0</v>
      </c>
      <c r="BJ20" s="33">
        <f t="shared" si="18"/>
        <v>2</v>
      </c>
      <c r="BK20" s="33" cm="1">
        <f t="array" ref="BK20">IFERROR(INDEX('[2]SALES PERTYPE'!$D$10:$BA$52,MATCH($C20,'[2]SALES PERTYPE'!$B$10:$B$52,0),MATCH("Y31d",'[2]SALES PERTYPE'!$D$8:$BA$8,0)+1),0)</f>
        <v>7198000</v>
      </c>
      <c r="BL20" s="33" cm="1">
        <f t="array" ref="BL20">IFERROR(INDEX('[2]Sales per type Agustus'!$D$10:$BA$51,MATCH($C20,'[2]Sales per type Agustus'!$B$10:$B$51,0),MATCH("Y31d",'[2]Sales per type Agustus'!$D$8:$BA$8,0)+1),0)</f>
        <v>0</v>
      </c>
      <c r="BM20" s="33">
        <f t="shared" si="19"/>
        <v>7198000</v>
      </c>
      <c r="BN20" s="33">
        <f>IFERROR(INDEX('[2]SALES PERTYPE'!$D$10:$BA$52,MATCH($C20,'[2]SALES PERTYPE'!$B$10:$B$52,0),MATCH("Y500",'[2]SALES PERTYPE'!$D$8:$BA$8,0)),0)</f>
        <v>1</v>
      </c>
      <c r="BO20" s="33">
        <f>IFERROR(INDEX('[2]Sales per type Agustus'!$D$10:$BA$51,MATCH($C20,'[2]Sales per type Agustus'!$B$10:$B$51,0),MATCH("Y500",'[2]Sales per type Agustus'!$D$8:$BA$8,0)),0)</f>
        <v>1</v>
      </c>
      <c r="BP20" s="33">
        <f t="shared" si="20"/>
        <v>0</v>
      </c>
      <c r="BQ20" s="33" cm="1">
        <f t="array" ref="BQ20">IFERROR(INDEX('[2]SALES PERTYPE'!$D$10:$BA$52,MATCH($C20,'[2]SALES PERTYPE'!$B$10:$B$52,0),MATCH("Y500",'[2]SALES PERTYPE'!$D$8:$BA$8,0)+1),0)</f>
        <v>5499000</v>
      </c>
      <c r="BR20" s="33" cm="1">
        <f t="array" ref="BR20">IFERROR(INDEX('[2]Sales per type Agustus'!$D$10:$BA$51,MATCH($C20,'[2]Sales per type Agustus'!$B$10:$B$51,0),MATCH("Y500",'[2]Sales per type Agustus'!$D$8:$BA$8,0)+1),0)</f>
        <v>6299000</v>
      </c>
      <c r="BS20" s="33">
        <f t="shared" si="21"/>
        <v>-800000</v>
      </c>
      <c r="BT20" s="33">
        <f>IFERROR(INDEX('[2]SALES PERTYPE'!$D$10:$BA$52,MATCH($C20,'[2]SALES PERTYPE'!$B$10:$B$52,0),MATCH("IQOO 15R",'[2]SALES PERTYPE'!$D$8:$BA$8,0)),0)</f>
        <v>0</v>
      </c>
      <c r="BU20" s="33">
        <f>IFERROR(INDEX('[2]Sales per type Agustus'!$D$10:$BA$51,MATCH($C20,'[2]Sales per type Agustus'!$B$10:$B$51,0),MATCH("IQOO 15R",'[2]Sales per type Agustus'!$D$8:$BA$8,0)),0)</f>
        <v>0</v>
      </c>
      <c r="BV20" s="33">
        <f t="shared" si="22"/>
        <v>0</v>
      </c>
      <c r="BW20" s="33" cm="1">
        <f t="array" ref="BW20">IFERROR(INDEX('[2]SALES PERTYPE'!$D$10:$BA$52,MATCH($C20,'[2]SALES PERTYPE'!$B$10:$B$52,0),MATCH("IQOO 15R",'[2]SALES PERTYPE'!$D$8:$BA$8,0)+1),0)</f>
        <v>0</v>
      </c>
      <c r="BX20" s="33" cm="1">
        <f t="array" ref="BX20">IFERROR(INDEX('[2]Sales per type Agustus'!$D$10:$BA$51,MATCH($C20,'[2]Sales per type Agustus'!$B$10:$B$51,0),MATCH("IQOO 15R",'[2]Sales per type Agustus'!$D$8:$BA$8,0)+1),0)</f>
        <v>0</v>
      </c>
      <c r="BY20" s="33">
        <f t="shared" si="23"/>
        <v>0</v>
      </c>
      <c r="BZ20" s="33">
        <f>IFERROR(INDEX('[2]SALES PERTYPE'!$D$10:$BA$52,MATCH($C20,'[2]SALES PERTYPE'!$B$10:$B$52,0),MATCH("V60 Lite",'[2]SALES PERTYPE'!$D$8:$BA$8,0)),0)</f>
        <v>1</v>
      </c>
      <c r="CA20" s="33">
        <f>IFERROR(INDEX('[2]Sales per type Agustus'!$D$10:$BA$51,MATCH($C20,'[2]Sales per type Agustus'!$B$10:$B$51,0),MATCH("V60 Lite",'[2]Sales per type Agustus'!$D$8:$BA$8,0)),0)</f>
        <v>1</v>
      </c>
      <c r="CB20" s="33">
        <f t="shared" si="24"/>
        <v>0</v>
      </c>
      <c r="CC20" s="33" cm="1">
        <f t="array" ref="CC20">IFERROR(INDEX('[2]SALES PERTYPE'!$D$10:$BA$52,MATCH($C20,'[2]SALES PERTYPE'!$B$10:$B$52,0),MATCH("V60 Lite",'[2]SALES PERTYPE'!$D$8:$BA$8,0)+1),0)</f>
        <v>5899000</v>
      </c>
      <c r="CD20" s="33" cm="1">
        <f t="array" ref="CD20">IFERROR(INDEX('[2]Sales per type Agustus'!$D$10:$BA$51,MATCH($C20,'[2]Sales per type Agustus'!$B$10:$B$51,0),MATCH("V60 Lite",'[2]Sales per type Agustus'!$D$8:$BA$8,0)+1),0)</f>
        <v>5999000</v>
      </c>
      <c r="CE20" s="33">
        <f t="shared" si="25"/>
        <v>-100000</v>
      </c>
      <c r="CF20" s="33">
        <f>IFERROR(INDEX('[2]SALES PERTYPE'!$D$10:$BA$52,MATCH($C20,'[2]SALES PERTYPE'!$B$10:$B$52,0),MATCH("X300 Ultra",'[2]SALES PERTYPE'!$D$8:$BA$8,0)),0)</f>
        <v>0</v>
      </c>
      <c r="CG20" s="33">
        <f>IFERROR(INDEX('[2]Sales per type Agustus'!$D$10:$BA$51,MATCH($C20,'[2]Sales per type Agustus'!$B$10:$B$51,0),MATCH("X300 Ultra",'[2]Sales per type Agustus'!$D$8:$BA$8,0)),0)</f>
        <v>0</v>
      </c>
      <c r="CH20" s="33">
        <f t="shared" si="26"/>
        <v>0</v>
      </c>
      <c r="CI20" s="33" cm="1">
        <f t="array" ref="CI20">IFERROR(INDEX('[2]SALES PERTYPE'!$D$10:$BA$52,MATCH($C20,'[2]SALES PERTYPE'!$B$10:$B$52,0),MATCH("X300 Ultra",'[2]SALES PERTYPE'!$D$8:$BA$8,0)+1),0)</f>
        <v>0</v>
      </c>
      <c r="CJ20" s="33" cm="1">
        <f t="array" ref="CJ20">IFERROR(INDEX('[2]Sales per type Agustus'!$D$10:$BA$51,MATCH($C20,'[2]Sales per type Agustus'!$B$10:$B$51,0),MATCH("X300 Ultra",'[2]Sales per type Agustus'!$D$8:$BA$8,0)+1),0)</f>
        <v>0</v>
      </c>
      <c r="CK20" s="33">
        <f t="shared" si="27"/>
        <v>0</v>
      </c>
      <c r="CL20" s="33">
        <f>IFERROR(INDEX('[2]SALES PERTYPE'!$D$10:$BA$52,MATCH($C20,'[2]SALES PERTYPE'!$B$10:$B$52,0),MATCH("IQOO 15",'[2]SALES PERTYPE'!$D$8:$BA$8,0)),0)</f>
        <v>0</v>
      </c>
      <c r="CM20" s="33">
        <f>IFERROR(INDEX('[2]Sales per type Agustus'!$D$10:$BA$51,MATCH($C20,'[2]Sales per type Agustus'!$B$10:$B$51,0),MATCH("IQOO 15",'[2]Sales per type Agustus'!$D$8:$BA$8,0)),0)</f>
        <v>0</v>
      </c>
      <c r="CN20" s="33">
        <f t="shared" si="28"/>
        <v>0</v>
      </c>
      <c r="CO20" s="33" cm="1">
        <f t="array" ref="CO20">IFERROR(INDEX('[2]SALES PERTYPE'!$D$10:$BA$52,MATCH($C20,'[2]SALES PERTYPE'!$B$10:$B$52,0),MATCH("IQOO 15",'[2]SALES PERTYPE'!$D$8:$BA$8,0)+1),0)</f>
        <v>0</v>
      </c>
      <c r="CP20" s="33" cm="1">
        <f t="array" ref="CP20">IFERROR(INDEX('[2]Sales per type Agustus'!$D$10:$BA$51,MATCH($C20,'[2]Sales per type Agustus'!$B$10:$B$51,0),MATCH("IQOO 15",'[2]Sales per type Agustus'!$D$8:$BA$8,0)+1),0)</f>
        <v>0</v>
      </c>
      <c r="CQ20" s="33">
        <f t="shared" si="29"/>
        <v>0</v>
      </c>
      <c r="CR20" s="33">
        <f>IFERROR(INDEX('[2]SALES PERTYPE'!$D$10:$BA$52,MATCH($C20,'[2]SALES PERTYPE'!$B$10:$B$52,0),MATCH("IQOO Z11x",'[2]SALES PERTYPE'!$D$8:$BA$8,0)),0)</f>
        <v>0</v>
      </c>
      <c r="CS20" s="33">
        <f>IFERROR(INDEX('[2]Sales per type Agustus'!$D$10:$BA$51,MATCH($C20,'[2]Sales per type Agustus'!$B$10:$B$51,0),MATCH("IQOO Z11x",'[2]Sales per type Agustus'!$D$8:$BA$8,0)),0)</f>
        <v>1</v>
      </c>
      <c r="CT20" s="33">
        <f t="shared" si="30"/>
        <v>-1</v>
      </c>
      <c r="CU20" s="33" cm="1">
        <f t="array" ref="CU20">IFERROR(INDEX('[2]SALES PERTYPE'!$D$10:$BA$52,MATCH($C20,'[2]SALES PERTYPE'!$B$10:$B$52,0),MATCH("IQOO Z11x",'[2]SALES PERTYPE'!$D$8:$BA$8,0)+1),0)</f>
        <v>0</v>
      </c>
      <c r="CV20" s="33" cm="1">
        <f t="array" ref="CV20">IFERROR(INDEX('[2]Sales per type Agustus'!$D$10:$BA$51,MATCH($C20,'[2]Sales per type Agustus'!$B$10:$B$51,0),MATCH("IQOO Z11x",'[2]Sales per type Agustus'!$D$8:$BA$8,0)+1),0)</f>
        <v>5699000</v>
      </c>
      <c r="CW20" s="33">
        <f t="shared" si="31"/>
        <v>-5699000</v>
      </c>
      <c r="CX20" s="33">
        <f>IFERROR(INDEX('[2]SALES PERTYPE'!$D$10:$BA$52,MATCH($C20,'[2]SALES PERTYPE'!$B$10:$B$52,0),MATCH("IQOO Z11",'[2]SALES PERTYPE'!$D$8:$BA$8,0)),0)</f>
        <v>1</v>
      </c>
      <c r="CY20" s="33">
        <f>IFERROR(INDEX('[2]Sales per type Agustus'!$D$10:$BA$51,MATCH($C20,'[2]Sales per type Agustus'!$B$10:$B$51,0),MATCH("IQOO Z11",'[2]Sales per type Agustus'!$D$8:$BA$8,0)),0)</f>
        <v>0</v>
      </c>
      <c r="CZ20" s="33">
        <f t="shared" si="32"/>
        <v>1</v>
      </c>
      <c r="DA20" s="33" cm="1">
        <f t="array" ref="DA20">IFERROR(INDEX('[2]SALES PERTYPE'!$D$10:$BA$52,MATCH($C20,'[2]SALES PERTYPE'!$B$10:$B$52,0),MATCH("IQOO Z11",'[2]SALES PERTYPE'!$D$8:$BA$8,0)+1),0)</f>
        <v>6899000</v>
      </c>
      <c r="DB20" s="33" cm="1">
        <f t="array" ref="DB20">IFERROR(INDEX('[2]Sales per type Agustus'!$D$10:$BA$51,MATCH($C20,'[2]Sales per type Agustus'!$B$10:$B$51,0),MATCH("IQOO Z11",'[2]Sales per type Agustus'!$D$8:$BA$8,0)+1),0)</f>
        <v>0</v>
      </c>
      <c r="DC20" s="33">
        <f t="shared" si="33"/>
        <v>6899000</v>
      </c>
      <c r="DD20" s="33">
        <f>IFERROR(INDEX('[2]SALES PERTYPE'!$D$10:$BA$52,MATCH($C20,'[2]SALES PERTYPE'!$B$10:$B$52,0),MATCH("WATCH 3",'[2]SALES PERTYPE'!$D$8:$BA$8,0)),0)</f>
        <v>0</v>
      </c>
      <c r="DE20" s="33">
        <f>IFERROR(INDEX('[2]Sales per type Agustus'!$D$10:$BA$51,MATCH($C20,'[2]Sales per type Agustus'!$B$10:$B$51,0),MATCH("WATCH 3",'[2]Sales per type Agustus'!$D$8:$BA$8,0)),0)</f>
        <v>0</v>
      </c>
      <c r="DF20" s="33">
        <f t="shared" si="34"/>
        <v>0</v>
      </c>
      <c r="DG20" s="33" cm="1">
        <f t="array" ref="DG20">IFERROR(INDEX('[2]SALES PERTYPE'!$D$10:$BA$52,MATCH($C20,'[2]SALES PERTYPE'!$B$10:$B$52,0),MATCH("WATCH 3",'[2]SALES PERTYPE'!$D$8:$BA$8,0)+1),0)</f>
        <v>0</v>
      </c>
      <c r="DH20" s="33" cm="1">
        <f t="array" ref="DH20">IFERROR(INDEX('[2]Sales per type Agustus'!$D$10:$BA$51,MATCH($C20,'[2]Sales per type Agustus'!$B$10:$B$51,0),MATCH("WATCH 3",'[2]Sales per type Agustus'!$D$8:$BA$8,0)+1),0)</f>
        <v>0</v>
      </c>
      <c r="DI20" s="33">
        <f t="shared" si="35"/>
        <v>0</v>
      </c>
      <c r="DJ20" s="33">
        <f>IFERROR(INDEX('[2]SALES PERTYPE'!$D$10:$BA$52,MATCH($C20,'[2]SALES PERTYPE'!$B$10:$B$52,0),MATCH("X Fold5",'[2]SALES PERTYPE'!$D$8:$BA$8,0)),0)</f>
        <v>0</v>
      </c>
      <c r="DK20" s="33">
        <f>IFERROR(INDEX('[2]Sales per type Agustus'!$D$10:$BA$51,MATCH($C20,'[2]Sales per type Agustus'!$B$10:$B$51,0),MATCH("X Fold5",'[2]Sales per type Agustus'!$D$8:$BA$8,0)),0)</f>
        <v>0</v>
      </c>
      <c r="DL20" s="33">
        <f t="shared" si="36"/>
        <v>0</v>
      </c>
      <c r="DM20" s="33" cm="1">
        <f t="array" ref="DM20">IFERROR(INDEX('[2]SALES PERTYPE'!$D$10:$BA$52,MATCH($C20,'[2]SALES PERTYPE'!$B$10:$B$52,0),MATCH("X Fold5",'[2]SALES PERTYPE'!$D$8:$BA$8,0)+1),0)</f>
        <v>0</v>
      </c>
      <c r="DN20" s="33" cm="1">
        <f t="array" ref="DN20">IFERROR(INDEX('[2]Sales per type Agustus'!$D$10:$BA$51,MATCH($C20,'[2]Sales per type Agustus'!$B$10:$B$51,0),MATCH("X Fold5",'[2]Sales per type Agustus'!$D$8:$BA$8,0)+1),0)</f>
        <v>0</v>
      </c>
      <c r="DO20" s="33">
        <f t="shared" si="37"/>
        <v>0</v>
      </c>
      <c r="DP20" s="33">
        <f>IFERROR(INDEX('[2]SALES PERTYPE'!$D$10:$BA$52,MATCH($C20,'[2]SALES PERTYPE'!$B$10:$B$52,0),MATCH("X300 PRO",'[2]SALES PERTYPE'!$D$8:$BA$8,0)),0)</f>
        <v>0</v>
      </c>
      <c r="DQ20" s="33">
        <f>IFERROR(INDEX('[2]Sales per type Agustus'!$D$10:$BA$51,MATCH($C20,'[2]Sales per type Agustus'!$B$10:$B$51,0),MATCH("X300 PRO",'[2]Sales per type Agustus'!$D$8:$BA$8,0)),0)</f>
        <v>0</v>
      </c>
      <c r="DR20" s="33">
        <f t="shared" si="38"/>
        <v>0</v>
      </c>
      <c r="DS20" s="33" cm="1">
        <f t="array" ref="DS20">IFERROR(INDEX('[2]SALES PERTYPE'!$D$10:$BA$52,MATCH($C20,'[2]SALES PERTYPE'!$B$10:$B$52,0),MATCH("X300 PRO",'[2]SALES PERTYPE'!$D$8:$BA$8,0)+1),0)</f>
        <v>0</v>
      </c>
      <c r="DT20" s="33" cm="1">
        <f t="array" ref="DT20">IFERROR(INDEX('[2]Sales per type Agustus'!$D$10:$BA$51,MATCH($C20,'[2]Sales per type Agustus'!$B$10:$B$51,0),MATCH("X300 PRO",'[2]Sales per type Agustus'!$D$8:$BA$8,0)+1),0)</f>
        <v>0</v>
      </c>
      <c r="DU20" s="33">
        <f t="shared" si="39"/>
        <v>0</v>
      </c>
      <c r="DV20" s="33">
        <f>IFERROR(INDEX('[2]SALES PERTYPE'!$D$10:$BA$52,MATCH($C20,'[2]SALES PERTYPE'!$B$10:$B$52,0),MATCH("X300",'[2]SALES PERTYPE'!$D$8:$BA$8,0)),0)</f>
        <v>0</v>
      </c>
      <c r="DW20" s="33">
        <f>IFERROR(INDEX('[2]Sales per type Agustus'!$D$10:$BA$51,MATCH($C20,'[2]Sales per type Agustus'!$B$10:$B$51,0),MATCH("X300 ",'[2]Sales per type Agustus'!$D$8:$BA$8,0)),0)</f>
        <v>0</v>
      </c>
      <c r="DX20" s="33">
        <f t="shared" si="40"/>
        <v>0</v>
      </c>
      <c r="DY20" s="33" cm="1">
        <f t="array" ref="DY20">IFERROR(INDEX('[2]SALES PERTYPE'!$D$10:$BA$52,MATCH($C20,'[2]SALES PERTYPE'!$B$10:$B$52,0),MATCH("X300",'[2]SALES PERTYPE'!$D$8:$BA$8,0)+1),0)</f>
        <v>0</v>
      </c>
      <c r="DZ20" s="33" cm="1">
        <f t="array" ref="DZ20">IFERROR(INDEX('[2]Sales per type Agustus'!$D$10:$BA$51,MATCH($C20,'[2]Sales per type Agustus'!$B$10:$B$51,0),MATCH("X300 ",'[2]Sales per type Agustus'!$D$8:$BA$8,0)+1),0)</f>
        <v>0</v>
      </c>
      <c r="EA20" s="33">
        <f t="shared" si="41"/>
        <v>0</v>
      </c>
      <c r="EB20" s="33">
        <f t="shared" si="42"/>
        <v>15</v>
      </c>
      <c r="EC20" s="33">
        <f t="shared" si="42"/>
        <v>12</v>
      </c>
      <c r="ED20" s="33">
        <f t="shared" si="43"/>
        <v>3</v>
      </c>
      <c r="EE20" s="33">
        <f t="shared" si="44"/>
        <v>61185000</v>
      </c>
      <c r="EF20" s="33">
        <f t="shared" si="44"/>
        <v>42988000</v>
      </c>
      <c r="EG20" s="33">
        <f t="shared" si="45"/>
        <v>18197000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'[2]ACHIEVEMENT STORE'!A21</f>
        <v>17</v>
      </c>
      <c r="B21" s="32" t="str">
        <f>'[2]ACHIEVEMENT STORE'!B21</f>
        <v>605 勿加泗 BEKASI</v>
      </c>
      <c r="C21" s="31">
        <f>'[2]ACHIEVEMENT STORE'!C21</f>
        <v>6050705</v>
      </c>
      <c r="D21" s="32" t="str">
        <f>'[2]ACHIEVEMENT STORE'!D21</f>
        <v>6050705-MBH 2F009</v>
      </c>
      <c r="E21" s="32" t="str">
        <f>'[2]ACHIEVEMENT STORE'!E21</f>
        <v>M RIZKI</v>
      </c>
      <c r="F21" s="33">
        <f>IFERROR(INDEX('[2]SALES PERTYPE'!$D$10:$BA$52,MATCH($C21,'[2]SALES PERTYPE'!$B$10:$B$52,0),MATCH("Y05",'[2]SALES PERTYPE'!$D$8:$BA$8,0)),0)</f>
        <v>1</v>
      </c>
      <c r="G21" s="33">
        <f>IFERROR(INDEX('[2]Sales per type Agustus'!$D$10:$BA$51,MATCH($C21,'[2]Sales per type Agustus'!$B$10:$B$51,0),MATCH("Y05",'[2]Sales per type Agustus'!$D$8:$BA$8,0)),0)</f>
        <v>0</v>
      </c>
      <c r="H21" s="33">
        <f t="shared" si="0"/>
        <v>1</v>
      </c>
      <c r="I21" s="33" cm="1">
        <f t="array" ref="I21">IFERROR(INDEX('[2]SALES PERTYPE'!$D$10:$BA$52,MATCH($C21,'[2]SALES PERTYPE'!$B$10:$B$52,0),MATCH("Y05",'[2]SALES PERTYPE'!$D$8:$BA$8,0)+1),0)</f>
        <v>2599000</v>
      </c>
      <c r="J21" s="33" cm="1">
        <f t="array" ref="J21">IFERROR(INDEX('[2]Sales per type Agustus'!$D$10:$BA$51,MATCH($C21,'[2]Sales per type Agustus'!$B$10:$B$51,0),MATCH("Y05",'[2]Sales per type Agustus'!$D$8:$BA$8,0)+1),0)</f>
        <v>0</v>
      </c>
      <c r="K21" s="33">
        <f t="shared" si="1"/>
        <v>2599000</v>
      </c>
      <c r="L21" s="33">
        <f>IFERROR(INDEX('[2]SALES PERTYPE'!$D$10:$BA$52,MATCH($C21,'[2]SALES PERTYPE'!$B$10:$B$52,0),MATCH("Y11d",'[2]SALES PERTYPE'!$D$8:$BA$8,0)),0)</f>
        <v>4</v>
      </c>
      <c r="M21" s="33">
        <f>IFERROR(INDEX('[2]Sales per type Agustus'!$D$10:$BA$51,MATCH($C21,'[2]Sales per type Agustus'!$B$10:$B$51,0),MATCH("Y11d",'[2]Sales per type Agustus'!$D$8:$BA$8,0)),0)</f>
        <v>3</v>
      </c>
      <c r="N21" s="33">
        <f t="shared" si="2"/>
        <v>1</v>
      </c>
      <c r="O21" s="33" cm="1">
        <f t="array" ref="O21">IFERROR(INDEX('[2]SALES PERTYPE'!$D$10:$BA$52,MATCH($C21,'[2]SALES PERTYPE'!$B$10:$B$52,0),MATCH("Y11d",'[2]SALES PERTYPE'!$D$8:$BA$8,0)+1),0)</f>
        <v>10396000</v>
      </c>
      <c r="P21" s="33" cm="1">
        <f t="array" ref="P21">IFERROR(INDEX('[2]Sales per type Agustus'!$D$10:$BA$51,MATCH($C21,'[2]Sales per type Agustus'!$B$10:$B$51,0),MATCH("Y11d",'[2]Sales per type Agustus'!$D$8:$BA$8,0)+1),0)</f>
        <v>7597000</v>
      </c>
      <c r="Q21" s="33">
        <f t="shared" si="3"/>
        <v>2799000</v>
      </c>
      <c r="R21" s="33">
        <f>IFERROR(INDEX('[2]SALES PERTYPE'!$D$10:$BA$52,MATCH($C21,'[2]SALES PERTYPE'!$B$10:$B$52,0),MATCH("Watch GT 2",'[2]SALES PERTYPE'!$D$8:$BA$8,0)),0)</f>
        <v>0</v>
      </c>
      <c r="S21" s="33">
        <f>IFERROR(INDEX('[2]Sales per type Agustus'!$D$10:$BA$51,MATCH($C21,'[2]Sales per type Agustus'!$B$10:$B$51,0),MATCH("Watch GT 2",'[2]Sales per type Agustus'!$D$8:$BA$8,0)),0)</f>
        <v>0</v>
      </c>
      <c r="T21" s="33">
        <f t="shared" si="4"/>
        <v>0</v>
      </c>
      <c r="U21" s="33" cm="1">
        <f t="array" ref="U21">IFERROR(INDEX('[2]SALES PERTYPE'!$D$10:$BA$52,MATCH($C21,'[2]SALES PERTYPE'!$B$10:$B$52,0),MATCH("Watch GT 2",'[2]SALES PERTYPE'!$D$8:$BA$8,0)+1),0)</f>
        <v>0</v>
      </c>
      <c r="V21" s="33" cm="1">
        <f t="array" ref="V21">IFERROR(INDEX('[2]Sales per type Agustus'!$D$10:$BA$51,MATCH($C21,'[2]Sales per type Agustus'!$B$10:$B$51,0),MATCH("Watch GT 2",'[2]Sales per type Agustus'!$D$8:$BA$8,0)+1),0)</f>
        <v>0</v>
      </c>
      <c r="W21" s="33">
        <f t="shared" si="5"/>
        <v>0</v>
      </c>
      <c r="X21" s="33">
        <f>IFERROR(INDEX('[2]SALES PERTYPE'!$D$10:$BA$52,MATCH($C21,'[2]SALES PERTYPE'!$B$10:$B$52,0),MATCH("Y05e",'[2]SALES PERTYPE'!$D$8:$BA$8,0)),0)</f>
        <v>0</v>
      </c>
      <c r="Y21" s="33">
        <f>IFERROR(INDEX('[2]Sales per type Agustus'!$D$10:$BA$51,MATCH($C21,'[2]Sales per type Agustus'!$B$10:$B$51,0),MATCH("Y05e",'[2]Sales per type Agustus'!$D$8:$BA$8,0)),0)</f>
        <v>1</v>
      </c>
      <c r="Z21" s="33">
        <f t="shared" si="6"/>
        <v>-1</v>
      </c>
      <c r="AA21" s="33" cm="1">
        <f t="array" ref="AA21">IFERROR(INDEX('[2]SALES PERTYPE'!$D$10:$BA$52,MATCH($C21,'[2]SALES PERTYPE'!$B$10:$B$52,0),MATCH("Y05e",'[2]SALES PERTYPE'!$D$8:$BA$8,0)+1),0)</f>
        <v>0</v>
      </c>
      <c r="AB21" s="33" cm="1">
        <f t="array" ref="AB21">IFERROR(INDEX('[2]Sales per type Agustus'!$D$10:$BA$51,MATCH($C21,'[2]Sales per type Agustus'!$B$10:$B$51,0),MATCH("Y05e",'[2]Sales per type Agustus'!$D$8:$BA$8,0)+1),0)</f>
        <v>2099000</v>
      </c>
      <c r="AC21" s="33">
        <f t="shared" si="7"/>
        <v>-2099000</v>
      </c>
      <c r="AD21" s="33">
        <f>IFERROR(INDEX('[2]SALES PERTYPE'!$D$10:$BA$52,MATCH($C21,'[2]SALES PERTYPE'!$B$10:$B$52,0),MATCH("V70",'[2]SALES PERTYPE'!$D$8:$BA$8,0)),0)</f>
        <v>0</v>
      </c>
      <c r="AE21" s="33">
        <f>IFERROR(INDEX('[2]Sales per type Agustus'!$D$10:$BA$51,MATCH($C21,'[2]Sales per type Agustus'!$B$10:$B$51,0),MATCH("V70",'[2]Sales per type Agustus'!$D$8:$BA$8,0)),0)</f>
        <v>0</v>
      </c>
      <c r="AF21" s="33">
        <f t="shared" si="8"/>
        <v>0</v>
      </c>
      <c r="AG21" s="33" cm="1">
        <f t="array" ref="AG21">IFERROR(INDEX('[2]SALES PERTYPE'!$D$10:$BA$52,MATCH($C21,'[2]SALES PERTYPE'!$B$10:$B$52,0),MATCH("V70",'[2]SALES PERTYPE'!$D$8:$BA$8,0)+1),0)</f>
        <v>0</v>
      </c>
      <c r="AH21" s="33" cm="1">
        <f t="array" ref="AH21">IFERROR(INDEX('[2]Sales per type Agustus'!$D$10:$BA$51,MATCH($C21,'[2]Sales per type Agustus'!$B$10:$B$51,0),MATCH("V70",'[2]Sales per type Agustus'!$D$8:$BA$8,0)+1),0)</f>
        <v>0</v>
      </c>
      <c r="AI21" s="33">
        <f t="shared" si="9"/>
        <v>0</v>
      </c>
      <c r="AJ21" s="33">
        <f>IFERROR(INDEX('[2]SALES PERTYPE'!$D$10:$BA$52,MATCH($C21,'[2]SALES PERTYPE'!$B$10:$B$52,0),MATCH("Y31d Pro",'[2]SALES PERTYPE'!$D$8:$BA$8,0)),0)</f>
        <v>2</v>
      </c>
      <c r="AK21" s="33">
        <f>IFERROR(INDEX('[2]Sales per type Agustus'!$D$10:$BA$51,MATCH($C21,'[2]Sales per type Agustus'!$B$10:$B$51,0),MATCH("Y31d Pro",'[2]Sales per type Agustus'!$D$8:$BA$8,0)),0)</f>
        <v>3</v>
      </c>
      <c r="AL21" s="33">
        <f t="shared" si="10"/>
        <v>-1</v>
      </c>
      <c r="AM21" s="33" cm="1">
        <f t="array" ref="AM21">IFERROR(INDEX('[2]SALES PERTYPE'!$D$10:$BA$52,MATCH($C21,'[2]SALES PERTYPE'!$B$10:$B$52,0),MATCH("Y31d Pro",'[2]SALES PERTYPE'!$D$8:$BA$8,0)+1),0)</f>
        <v>10398000</v>
      </c>
      <c r="AN21" s="33" cm="1">
        <f t="array" ref="AN21">IFERROR(INDEX('[2]Sales per type Agustus'!$D$10:$BA$51,MATCH($C21,'[2]Sales per type Agustus'!$B$10:$B$51,0),MATCH("Y31d Pro",'[2]Sales per type Agustus'!$D$8:$BA$8,0)+1),0)</f>
        <v>13697000</v>
      </c>
      <c r="AO21" s="33">
        <f t="shared" si="11"/>
        <v>-3299000</v>
      </c>
      <c r="AP21" s="33" cm="1">
        <f t="array" ref="AP21">IFERROR(INDEX('[2]SALES PERTYPE'!$D$10:$BA$52,MATCH($C21,'[2]SALES PERTYPE'!$B$10:$B$52,0),$EI$3),0)</f>
        <v>0</v>
      </c>
      <c r="AQ21" s="33" cm="1">
        <f t="array" ref="AQ21">IFERROR(INDEX('[2]Sales per type Agustus'!$D$10:$BA$51,MATCH($C21,'[2]Sales per type Agustus'!$B$10:$B$51,0),$EI$2),0)</f>
        <v>0</v>
      </c>
      <c r="AR21" s="33">
        <f t="shared" si="12"/>
        <v>0</v>
      </c>
      <c r="AS21" s="33" cm="1">
        <f t="array" ref="AS21">IFERROR(INDEX('[2]SALES PERTYPE'!$D$10:$BA$52,MATCH($C21,'[2]SALES PERTYPE'!$B$10:$B$52,0),$EI$3+1),0)</f>
        <v>0</v>
      </c>
      <c r="AT21" s="33" cm="1">
        <f t="array" ref="AT21">IFERROR(INDEX('[2]Sales per type Agustus'!$D$10:$BA$51,MATCH($C21,'[2]Sales per type Agustus'!$B$10:$B$51,0),$EI$2+1),0)</f>
        <v>0</v>
      </c>
      <c r="AU21" s="33">
        <f t="shared" si="13"/>
        <v>0</v>
      </c>
      <c r="AV21" s="33">
        <f>IFERROR(INDEX('[2]SALES PERTYPE'!$D$10:$BA$52,MATCH($C21,'[2]SALES PERTYPE'!$B$10:$B$52,0),MATCH("Y31d ",'[2]SALES PERTYPE'!$D$8:$BA$8,0)),0)</f>
        <v>0</v>
      </c>
      <c r="AW21" s="33">
        <f>IFERROR(INDEX('[2]Sales per type Agustus'!$D$10:$BA$51,MATCH($C21,'[2]Sales per type Agustus'!$B$10:$B$51,0),MATCH("Y31d ",'[2]Sales per type Agustus'!$D$8:$BA$8,0)),0)</f>
        <v>0</v>
      </c>
      <c r="AX21" s="33">
        <f t="shared" si="14"/>
        <v>0</v>
      </c>
      <c r="AY21" s="33" cm="1">
        <f t="array" ref="AY21">IFERROR(INDEX('[2]SALES PERTYPE'!$D$10:$BA$52,MATCH($C21,'[2]SALES PERTYPE'!$B$10:$B$52,0),MATCH("Y31d ",'[2]SALES PERTYPE'!$D$8:$BA$8,0)+1),0)</f>
        <v>0</v>
      </c>
      <c r="AZ21" s="33" cm="1">
        <f t="array" ref="AZ21">IFERROR(INDEX('[2]Sales per type Agustus'!$D$10:$BA$51,MATCH($C21,'[2]Sales per type Agustus'!$B$10:$B$51,0),MATCH("Y31d ",'[2]Sales per type Agustus'!$D$8:$BA$8,0)+1),0)</f>
        <v>0</v>
      </c>
      <c r="BA21" s="33">
        <f t="shared" si="15"/>
        <v>0</v>
      </c>
      <c r="BB21" s="33">
        <f>IFERROR(INDEX('[2]SALES PERTYPE'!$D$10:$BA$52,MATCH($C21,'[2]SALES PERTYPE'!$B$10:$B$52,0),MATCH("V70 FE",'[2]SALES PERTYPE'!$D$8:$BA$8,0)),0)</f>
        <v>1</v>
      </c>
      <c r="BC21" s="33">
        <f>IFERROR(INDEX('[2]Sales per type Agustus'!$D$10:$BA$51,MATCH($C21,'[2]Sales per type Agustus'!$B$10:$B$51,0),MATCH("V70 FE",'[2]Sales per type Agustus'!$D$8:$BA$8,0)),0)</f>
        <v>0</v>
      </c>
      <c r="BD21" s="33">
        <f t="shared" si="16"/>
        <v>1</v>
      </c>
      <c r="BE21" s="33" cm="1">
        <f t="array" ref="BE21">IFERROR(INDEX('[2]SALES PERTYPE'!$D$10:$BA$52,MATCH($C21,'[2]SALES PERTYPE'!$B$10:$B$52,0),MATCH("V70 FE",'[2]SALES PERTYPE'!$D$8:$BA$8,0)+1),0)</f>
        <v>7999000</v>
      </c>
      <c r="BF21" s="33" cm="1">
        <f t="array" ref="BF21">IFERROR(INDEX('[2]Sales per type Agustus'!$D$10:$BA$51,MATCH($C21,'[2]Sales per type Agustus'!$B$10:$B$51,0),MATCH("V70 FE",'[2]Sales per type Agustus'!$D$8:$BA$8,0)+1),0)</f>
        <v>0</v>
      </c>
      <c r="BG21" s="33">
        <f t="shared" si="17"/>
        <v>7999000</v>
      </c>
      <c r="BH21" s="33">
        <f>IFERROR(INDEX('[2]SALES PERTYPE'!$D$10:$BA$52,MATCH($C21,'[2]SALES PERTYPE'!$B$10:$B$52,0),MATCH("Y31d",'[2]SALES PERTYPE'!$D$8:$BA$8,0)),0)</f>
        <v>0</v>
      </c>
      <c r="BI21" s="33">
        <f>IFERROR(INDEX('[2]Sales per type Agustus'!$D$10:$BA$51,MATCH($C21,'[2]Sales per type Agustus'!$B$10:$B$51,0),MATCH("Y31d",'[2]Sales per type Agustus'!$D$8:$BA$8,0)),0)</f>
        <v>0</v>
      </c>
      <c r="BJ21" s="33">
        <f t="shared" si="18"/>
        <v>0</v>
      </c>
      <c r="BK21" s="33" cm="1">
        <f t="array" ref="BK21">IFERROR(INDEX('[2]SALES PERTYPE'!$D$10:$BA$52,MATCH($C21,'[2]SALES PERTYPE'!$B$10:$B$52,0),MATCH("Y31d",'[2]SALES PERTYPE'!$D$8:$BA$8,0)+1),0)</f>
        <v>0</v>
      </c>
      <c r="BL21" s="33" cm="1">
        <f t="array" ref="BL21">IFERROR(INDEX('[2]Sales per type Agustus'!$D$10:$BA$51,MATCH($C21,'[2]Sales per type Agustus'!$B$10:$B$51,0),MATCH("Y31d",'[2]Sales per type Agustus'!$D$8:$BA$8,0)+1),0)</f>
        <v>0</v>
      </c>
      <c r="BM21" s="33">
        <f t="shared" si="19"/>
        <v>0</v>
      </c>
      <c r="BN21" s="33">
        <f>IFERROR(INDEX('[2]SALES PERTYPE'!$D$10:$BA$52,MATCH($C21,'[2]SALES PERTYPE'!$B$10:$B$52,0),MATCH("Y500",'[2]SALES PERTYPE'!$D$8:$BA$8,0)),0)</f>
        <v>0</v>
      </c>
      <c r="BO21" s="33">
        <f>IFERROR(INDEX('[2]Sales per type Agustus'!$D$10:$BA$51,MATCH($C21,'[2]Sales per type Agustus'!$B$10:$B$51,0),MATCH("Y500",'[2]Sales per type Agustus'!$D$8:$BA$8,0)),0)</f>
        <v>0</v>
      </c>
      <c r="BP21" s="33">
        <f t="shared" si="20"/>
        <v>0</v>
      </c>
      <c r="BQ21" s="33" cm="1">
        <f t="array" ref="BQ21">IFERROR(INDEX('[2]SALES PERTYPE'!$D$10:$BA$52,MATCH($C21,'[2]SALES PERTYPE'!$B$10:$B$52,0),MATCH("Y500",'[2]SALES PERTYPE'!$D$8:$BA$8,0)+1),0)</f>
        <v>0</v>
      </c>
      <c r="BR21" s="33" cm="1">
        <f t="array" ref="BR21">IFERROR(INDEX('[2]Sales per type Agustus'!$D$10:$BA$51,MATCH($C21,'[2]Sales per type Agustus'!$B$10:$B$51,0),MATCH("Y500",'[2]Sales per type Agustus'!$D$8:$BA$8,0)+1),0)</f>
        <v>0</v>
      </c>
      <c r="BS21" s="33">
        <f t="shared" si="21"/>
        <v>0</v>
      </c>
      <c r="BT21" s="33">
        <f>IFERROR(INDEX('[2]SALES PERTYPE'!$D$10:$BA$52,MATCH($C21,'[2]SALES PERTYPE'!$B$10:$B$52,0),MATCH("IQOO 15R",'[2]SALES PERTYPE'!$D$8:$BA$8,0)),0)</f>
        <v>1</v>
      </c>
      <c r="BU21" s="33">
        <f>IFERROR(INDEX('[2]Sales per type Agustus'!$D$10:$BA$51,MATCH($C21,'[2]Sales per type Agustus'!$B$10:$B$51,0),MATCH("IQOO 15R",'[2]Sales per type Agustus'!$D$8:$BA$8,0)),0)</f>
        <v>1</v>
      </c>
      <c r="BV21" s="33">
        <f t="shared" si="22"/>
        <v>0</v>
      </c>
      <c r="BW21" s="33" cm="1">
        <f t="array" ref="BW21">IFERROR(INDEX('[2]SALES PERTYPE'!$D$10:$BA$52,MATCH($C21,'[2]SALES PERTYPE'!$B$10:$B$52,0),MATCH("IQOO 15R",'[2]SALES PERTYPE'!$D$8:$BA$8,0)+1),0)</f>
        <v>11999000</v>
      </c>
      <c r="BX21" s="33" cm="1">
        <f t="array" ref="BX21">IFERROR(INDEX('[2]Sales per type Agustus'!$D$10:$BA$51,MATCH($C21,'[2]Sales per type Agustus'!$B$10:$B$51,0),MATCH("IQOO 15R",'[2]Sales per type Agustus'!$D$8:$BA$8,0)+1),0)</f>
        <v>11999000</v>
      </c>
      <c r="BY21" s="33">
        <f t="shared" si="23"/>
        <v>0</v>
      </c>
      <c r="BZ21" s="33">
        <f>IFERROR(INDEX('[2]SALES PERTYPE'!$D$10:$BA$52,MATCH($C21,'[2]SALES PERTYPE'!$B$10:$B$52,0),MATCH("V60 Lite",'[2]SALES PERTYPE'!$D$8:$BA$8,0)),0)</f>
        <v>0</v>
      </c>
      <c r="CA21" s="33">
        <f>IFERROR(INDEX('[2]Sales per type Agustus'!$D$10:$BA$51,MATCH($C21,'[2]Sales per type Agustus'!$B$10:$B$51,0),MATCH("V60 Lite",'[2]Sales per type Agustus'!$D$8:$BA$8,0)),0)</f>
        <v>0</v>
      </c>
      <c r="CB21" s="33">
        <f t="shared" si="24"/>
        <v>0</v>
      </c>
      <c r="CC21" s="33" cm="1">
        <f t="array" ref="CC21">IFERROR(INDEX('[2]SALES PERTYPE'!$D$10:$BA$52,MATCH($C21,'[2]SALES PERTYPE'!$B$10:$B$52,0),MATCH("V60 Lite",'[2]SALES PERTYPE'!$D$8:$BA$8,0)+1),0)</f>
        <v>0</v>
      </c>
      <c r="CD21" s="33" cm="1">
        <f t="array" ref="CD21">IFERROR(INDEX('[2]Sales per type Agustus'!$D$10:$BA$51,MATCH($C21,'[2]Sales per type Agustus'!$B$10:$B$51,0),MATCH("V60 Lite",'[2]Sales per type Agustus'!$D$8:$BA$8,0)+1),0)</f>
        <v>0</v>
      </c>
      <c r="CE21" s="33">
        <f t="shared" si="25"/>
        <v>0</v>
      </c>
      <c r="CF21" s="33">
        <f>IFERROR(INDEX('[2]SALES PERTYPE'!$D$10:$BA$52,MATCH($C21,'[2]SALES PERTYPE'!$B$10:$B$52,0),MATCH("X300 Ultra",'[2]SALES PERTYPE'!$D$8:$BA$8,0)),0)</f>
        <v>0</v>
      </c>
      <c r="CG21" s="33">
        <f>IFERROR(INDEX('[2]Sales per type Agustus'!$D$10:$BA$51,MATCH($C21,'[2]Sales per type Agustus'!$B$10:$B$51,0),MATCH("X300 Ultra",'[2]Sales per type Agustus'!$D$8:$BA$8,0)),0)</f>
        <v>0</v>
      </c>
      <c r="CH21" s="33">
        <f t="shared" si="26"/>
        <v>0</v>
      </c>
      <c r="CI21" s="33" cm="1">
        <f t="array" ref="CI21">IFERROR(INDEX('[2]SALES PERTYPE'!$D$10:$BA$52,MATCH($C21,'[2]SALES PERTYPE'!$B$10:$B$52,0),MATCH("X300 Ultra",'[2]SALES PERTYPE'!$D$8:$BA$8,0)+1),0)</f>
        <v>0</v>
      </c>
      <c r="CJ21" s="33" cm="1">
        <f t="array" ref="CJ21">IFERROR(INDEX('[2]Sales per type Agustus'!$D$10:$BA$51,MATCH($C21,'[2]Sales per type Agustus'!$B$10:$B$51,0),MATCH("X300 Ultra",'[2]Sales per type Agustus'!$D$8:$BA$8,0)+1),0)</f>
        <v>0</v>
      </c>
      <c r="CK21" s="33">
        <f t="shared" si="27"/>
        <v>0</v>
      </c>
      <c r="CL21" s="33">
        <f>IFERROR(INDEX('[2]SALES PERTYPE'!$D$10:$BA$52,MATCH($C21,'[2]SALES PERTYPE'!$B$10:$B$52,0),MATCH("IQOO 15",'[2]SALES PERTYPE'!$D$8:$BA$8,0)),0)</f>
        <v>0</v>
      </c>
      <c r="CM21" s="33">
        <f>IFERROR(INDEX('[2]Sales per type Agustus'!$D$10:$BA$51,MATCH($C21,'[2]Sales per type Agustus'!$B$10:$B$51,0),MATCH("IQOO 15",'[2]Sales per type Agustus'!$D$8:$BA$8,0)),0)</f>
        <v>0</v>
      </c>
      <c r="CN21" s="33">
        <f t="shared" si="28"/>
        <v>0</v>
      </c>
      <c r="CO21" s="33" cm="1">
        <f t="array" ref="CO21">IFERROR(INDEX('[2]SALES PERTYPE'!$D$10:$BA$52,MATCH($C21,'[2]SALES PERTYPE'!$B$10:$B$52,0),MATCH("IQOO 15",'[2]SALES PERTYPE'!$D$8:$BA$8,0)+1),0)</f>
        <v>0</v>
      </c>
      <c r="CP21" s="33" cm="1">
        <f t="array" ref="CP21">IFERROR(INDEX('[2]Sales per type Agustus'!$D$10:$BA$51,MATCH($C21,'[2]Sales per type Agustus'!$B$10:$B$51,0),MATCH("IQOO 15",'[2]Sales per type Agustus'!$D$8:$BA$8,0)+1),0)</f>
        <v>0</v>
      </c>
      <c r="CQ21" s="33">
        <f t="shared" si="29"/>
        <v>0</v>
      </c>
      <c r="CR21" s="33">
        <f>IFERROR(INDEX('[2]SALES PERTYPE'!$D$10:$BA$52,MATCH($C21,'[2]SALES PERTYPE'!$B$10:$B$52,0),MATCH("IQOO Z11x",'[2]SALES PERTYPE'!$D$8:$BA$8,0)),0)</f>
        <v>0</v>
      </c>
      <c r="CS21" s="33">
        <f>IFERROR(INDEX('[2]Sales per type Agustus'!$D$10:$BA$51,MATCH($C21,'[2]Sales per type Agustus'!$B$10:$B$51,0),MATCH("IQOO Z11x",'[2]Sales per type Agustus'!$D$8:$BA$8,0)),0)</f>
        <v>0</v>
      </c>
      <c r="CT21" s="33">
        <f t="shared" si="30"/>
        <v>0</v>
      </c>
      <c r="CU21" s="33" cm="1">
        <f t="array" ref="CU21">IFERROR(INDEX('[2]SALES PERTYPE'!$D$10:$BA$52,MATCH($C21,'[2]SALES PERTYPE'!$B$10:$B$52,0),MATCH("IQOO Z11x",'[2]SALES PERTYPE'!$D$8:$BA$8,0)+1),0)</f>
        <v>0</v>
      </c>
      <c r="CV21" s="33" cm="1">
        <f t="array" ref="CV21">IFERROR(INDEX('[2]Sales per type Agustus'!$D$10:$BA$51,MATCH($C21,'[2]Sales per type Agustus'!$B$10:$B$51,0),MATCH("IQOO Z11x",'[2]Sales per type Agustus'!$D$8:$BA$8,0)+1),0)</f>
        <v>0</v>
      </c>
      <c r="CW21" s="33">
        <f t="shared" si="31"/>
        <v>0</v>
      </c>
      <c r="CX21" s="33">
        <f>IFERROR(INDEX('[2]SALES PERTYPE'!$D$10:$BA$52,MATCH($C21,'[2]SALES PERTYPE'!$B$10:$B$52,0),MATCH("IQOO Z11",'[2]SALES PERTYPE'!$D$8:$BA$8,0)),0)</f>
        <v>0</v>
      </c>
      <c r="CY21" s="33">
        <f>IFERROR(INDEX('[2]Sales per type Agustus'!$D$10:$BA$51,MATCH($C21,'[2]Sales per type Agustus'!$B$10:$B$51,0),MATCH("IQOO Z11",'[2]Sales per type Agustus'!$D$8:$BA$8,0)),0)</f>
        <v>1</v>
      </c>
      <c r="CZ21" s="33">
        <f t="shared" si="32"/>
        <v>-1</v>
      </c>
      <c r="DA21" s="33" cm="1">
        <f t="array" ref="DA21">IFERROR(INDEX('[2]SALES PERTYPE'!$D$10:$BA$52,MATCH($C21,'[2]SALES PERTYPE'!$B$10:$B$52,0),MATCH("IQOO Z11",'[2]SALES PERTYPE'!$D$8:$BA$8,0)+1),0)</f>
        <v>0</v>
      </c>
      <c r="DB21" s="33" cm="1">
        <f t="array" ref="DB21">IFERROR(INDEX('[2]Sales per type Agustus'!$D$10:$BA$51,MATCH($C21,'[2]Sales per type Agustus'!$B$10:$B$51,0),MATCH("IQOO Z11",'[2]Sales per type Agustus'!$D$8:$BA$8,0)+1),0)</f>
        <v>7999000</v>
      </c>
      <c r="DC21" s="33">
        <f t="shared" si="33"/>
        <v>-7999000</v>
      </c>
      <c r="DD21" s="33">
        <f>IFERROR(INDEX('[2]SALES PERTYPE'!$D$10:$BA$52,MATCH($C21,'[2]SALES PERTYPE'!$B$10:$B$52,0),MATCH("WATCH 3",'[2]SALES PERTYPE'!$D$8:$BA$8,0)),0)</f>
        <v>0</v>
      </c>
      <c r="DE21" s="33">
        <f>IFERROR(INDEX('[2]Sales per type Agustus'!$D$10:$BA$51,MATCH($C21,'[2]Sales per type Agustus'!$B$10:$B$51,0),MATCH("WATCH 3",'[2]Sales per type Agustus'!$D$8:$BA$8,0)),0)</f>
        <v>0</v>
      </c>
      <c r="DF21" s="33">
        <f t="shared" si="34"/>
        <v>0</v>
      </c>
      <c r="DG21" s="33" cm="1">
        <f t="array" ref="DG21">IFERROR(INDEX('[2]SALES PERTYPE'!$D$10:$BA$52,MATCH($C21,'[2]SALES PERTYPE'!$B$10:$B$52,0),MATCH("WATCH 3",'[2]SALES PERTYPE'!$D$8:$BA$8,0)+1),0)</f>
        <v>0</v>
      </c>
      <c r="DH21" s="33" cm="1">
        <f t="array" ref="DH21">IFERROR(INDEX('[2]Sales per type Agustus'!$D$10:$BA$51,MATCH($C21,'[2]Sales per type Agustus'!$B$10:$B$51,0),MATCH("WATCH 3",'[2]Sales per type Agustus'!$D$8:$BA$8,0)+1),0)</f>
        <v>0</v>
      </c>
      <c r="DI21" s="33">
        <f t="shared" si="35"/>
        <v>0</v>
      </c>
      <c r="DJ21" s="33">
        <f>IFERROR(INDEX('[2]SALES PERTYPE'!$D$10:$BA$52,MATCH($C21,'[2]SALES PERTYPE'!$B$10:$B$52,0),MATCH("X Fold5",'[2]SALES PERTYPE'!$D$8:$BA$8,0)),0)</f>
        <v>0</v>
      </c>
      <c r="DK21" s="33">
        <f>IFERROR(INDEX('[2]Sales per type Agustus'!$D$10:$BA$51,MATCH($C21,'[2]Sales per type Agustus'!$B$10:$B$51,0),MATCH("X Fold5",'[2]Sales per type Agustus'!$D$8:$BA$8,0)),0)</f>
        <v>0</v>
      </c>
      <c r="DL21" s="33">
        <f t="shared" si="36"/>
        <v>0</v>
      </c>
      <c r="DM21" s="33" cm="1">
        <f t="array" ref="DM21">IFERROR(INDEX('[2]SALES PERTYPE'!$D$10:$BA$52,MATCH($C21,'[2]SALES PERTYPE'!$B$10:$B$52,0),MATCH("X Fold5",'[2]SALES PERTYPE'!$D$8:$BA$8,0)+1),0)</f>
        <v>0</v>
      </c>
      <c r="DN21" s="33" cm="1">
        <f t="array" ref="DN21">IFERROR(INDEX('[2]Sales per type Agustus'!$D$10:$BA$51,MATCH($C21,'[2]Sales per type Agustus'!$B$10:$B$51,0),MATCH("X Fold5",'[2]Sales per type Agustus'!$D$8:$BA$8,0)+1),0)</f>
        <v>0</v>
      </c>
      <c r="DO21" s="33">
        <f t="shared" si="37"/>
        <v>0</v>
      </c>
      <c r="DP21" s="33">
        <f>IFERROR(INDEX('[2]SALES PERTYPE'!$D$10:$BA$52,MATCH($C21,'[2]SALES PERTYPE'!$B$10:$B$52,0),MATCH("X300 PRO",'[2]SALES PERTYPE'!$D$8:$BA$8,0)),0)</f>
        <v>0</v>
      </c>
      <c r="DQ21" s="33">
        <f>IFERROR(INDEX('[2]Sales per type Agustus'!$D$10:$BA$51,MATCH($C21,'[2]Sales per type Agustus'!$B$10:$B$51,0),MATCH("X300 PRO",'[2]Sales per type Agustus'!$D$8:$BA$8,0)),0)</f>
        <v>0</v>
      </c>
      <c r="DR21" s="33">
        <f t="shared" si="38"/>
        <v>0</v>
      </c>
      <c r="DS21" s="33" cm="1">
        <f t="array" ref="DS21">IFERROR(INDEX('[2]SALES PERTYPE'!$D$10:$BA$52,MATCH($C21,'[2]SALES PERTYPE'!$B$10:$B$52,0),MATCH("X300 PRO",'[2]SALES PERTYPE'!$D$8:$BA$8,0)+1),0)</f>
        <v>0</v>
      </c>
      <c r="DT21" s="33" cm="1">
        <f t="array" ref="DT21">IFERROR(INDEX('[2]Sales per type Agustus'!$D$10:$BA$51,MATCH($C21,'[2]Sales per type Agustus'!$B$10:$B$51,0),MATCH("X300 PRO",'[2]Sales per type Agustus'!$D$8:$BA$8,0)+1),0)</f>
        <v>0</v>
      </c>
      <c r="DU21" s="33">
        <f t="shared" si="39"/>
        <v>0</v>
      </c>
      <c r="DV21" s="33">
        <f>IFERROR(INDEX('[2]SALES PERTYPE'!$D$10:$BA$52,MATCH($C21,'[2]SALES PERTYPE'!$B$10:$B$52,0),MATCH("X300",'[2]SALES PERTYPE'!$D$8:$BA$8,0)),0)</f>
        <v>0</v>
      </c>
      <c r="DW21" s="33">
        <f>IFERROR(INDEX('[2]Sales per type Agustus'!$D$10:$BA$51,MATCH($C21,'[2]Sales per type Agustus'!$B$10:$B$51,0),MATCH("X300 ",'[2]Sales per type Agustus'!$D$8:$BA$8,0)),0)</f>
        <v>0</v>
      </c>
      <c r="DX21" s="33">
        <f t="shared" si="40"/>
        <v>0</v>
      </c>
      <c r="DY21" s="33" cm="1">
        <f t="array" ref="DY21">IFERROR(INDEX('[2]SALES PERTYPE'!$D$10:$BA$52,MATCH($C21,'[2]SALES PERTYPE'!$B$10:$B$52,0),MATCH("X300",'[2]SALES PERTYPE'!$D$8:$BA$8,0)+1),0)</f>
        <v>0</v>
      </c>
      <c r="DZ21" s="33" cm="1">
        <f t="array" ref="DZ21">IFERROR(INDEX('[2]Sales per type Agustus'!$D$10:$BA$51,MATCH($C21,'[2]Sales per type Agustus'!$B$10:$B$51,0),MATCH("X300 ",'[2]Sales per type Agustus'!$D$8:$BA$8,0)+1),0)</f>
        <v>0</v>
      </c>
      <c r="EA21" s="33">
        <f t="shared" si="41"/>
        <v>0</v>
      </c>
      <c r="EB21" s="33">
        <f t="shared" si="42"/>
        <v>9</v>
      </c>
      <c r="EC21" s="33">
        <f t="shared" si="42"/>
        <v>9</v>
      </c>
      <c r="ED21" s="33">
        <f t="shared" si="43"/>
        <v>0</v>
      </c>
      <c r="EE21" s="33">
        <f t="shared" si="44"/>
        <v>43391000</v>
      </c>
      <c r="EF21" s="33">
        <f t="shared" si="44"/>
        <v>43391000</v>
      </c>
      <c r="EG21" s="33">
        <f t="shared" si="45"/>
        <v>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5">
        <f>'[2]ACHIEVEMENT STORE'!A22</f>
        <v>18</v>
      </c>
      <c r="B22" s="216" t="str">
        <f>'[2]ACHIEVEMENT STORE'!B22</f>
        <v>605 勿加泗 BEKASI</v>
      </c>
      <c r="C22" s="215">
        <f>'[2]ACHIEVEMENT STORE'!C22</f>
        <v>6050706</v>
      </c>
      <c r="D22" s="216" t="str">
        <f>'[2]ACHIEVEMENT STORE'!D22</f>
        <v>6050706-AEON MALL DELTAMAS 1F081</v>
      </c>
      <c r="E22" s="216" t="str">
        <f>'[2]ACHIEVEMENT STORE'!E22</f>
        <v>M RIZKI</v>
      </c>
      <c r="F22" s="33">
        <f>IFERROR(INDEX('[2]SALES PERTYPE'!$D$10:$BA$52,MATCH($C22,'[2]SALES PERTYPE'!$B$10:$B$52,0),MATCH("Y05",'[2]SALES PERTYPE'!$D$8:$BA$8,0)),0)</f>
        <v>0</v>
      </c>
      <c r="G22" s="33">
        <f>IFERROR(INDEX('[2]Sales per type Agustus'!$D$10:$BA$51,MATCH($C22,'[2]Sales per type Agustus'!$B$10:$B$51,0),MATCH("Y05",'[2]Sales per type Agustus'!$D$8:$BA$8,0)),0)</f>
        <v>5</v>
      </c>
      <c r="H22" s="33">
        <f t="shared" si="0"/>
        <v>-5</v>
      </c>
      <c r="I22" s="33" cm="1">
        <f t="array" ref="I22">IFERROR(INDEX('[2]SALES PERTYPE'!$D$10:$BA$52,MATCH($C22,'[2]SALES PERTYPE'!$B$10:$B$52,0),MATCH("Y05",'[2]SALES PERTYPE'!$D$8:$BA$8,0)+1),0)</f>
        <v>0</v>
      </c>
      <c r="J22" s="33" cm="1">
        <f t="array" ref="J22">IFERROR(INDEX('[2]Sales per type Agustus'!$D$10:$BA$51,MATCH($C22,'[2]Sales per type Agustus'!$B$10:$B$51,0),MATCH("Y05",'[2]Sales per type Agustus'!$D$8:$BA$8,0)+1),0)</f>
        <v>12695000</v>
      </c>
      <c r="K22" s="33">
        <f t="shared" si="1"/>
        <v>-12695000</v>
      </c>
      <c r="L22" s="33">
        <f>IFERROR(INDEX('[2]SALES PERTYPE'!$D$10:$BA$52,MATCH($C22,'[2]SALES PERTYPE'!$B$10:$B$52,0),MATCH("Y11d",'[2]SALES PERTYPE'!$D$8:$BA$8,0)),0)</f>
        <v>2</v>
      </c>
      <c r="M22" s="33">
        <f>IFERROR(INDEX('[2]Sales per type Agustus'!$D$10:$BA$51,MATCH($C22,'[2]Sales per type Agustus'!$B$10:$B$51,0),MATCH("Y11d",'[2]Sales per type Agustus'!$D$8:$BA$8,0)),0)</f>
        <v>7</v>
      </c>
      <c r="N22" s="33">
        <f t="shared" si="2"/>
        <v>-5</v>
      </c>
      <c r="O22" s="33" cm="1">
        <f t="array" ref="O22">IFERROR(INDEX('[2]SALES PERTYPE'!$D$10:$BA$52,MATCH($C22,'[2]SALES PERTYPE'!$B$10:$B$52,0),MATCH("Y11d",'[2]SALES PERTYPE'!$D$8:$BA$8,0)+1),0)</f>
        <v>5598000</v>
      </c>
      <c r="P22" s="33" cm="1">
        <f t="array" ref="P22">IFERROR(INDEX('[2]Sales per type Agustus'!$D$10:$BA$51,MATCH($C22,'[2]Sales per type Agustus'!$B$10:$B$51,0),MATCH("Y11d",'[2]Sales per type Agustus'!$D$8:$BA$8,0)+1),0)</f>
        <v>18793000</v>
      </c>
      <c r="Q22" s="33">
        <f t="shared" si="3"/>
        <v>-13195000</v>
      </c>
      <c r="R22" s="33">
        <f>IFERROR(INDEX('[2]SALES PERTYPE'!$D$10:$BA$52,MATCH($C22,'[2]SALES PERTYPE'!$B$10:$B$52,0),MATCH("Watch GT 2",'[2]SALES PERTYPE'!$D$8:$BA$8,0)),0)</f>
        <v>0</v>
      </c>
      <c r="S22" s="33">
        <f>IFERROR(INDEX('[2]Sales per type Agustus'!$D$10:$BA$51,MATCH($C22,'[2]Sales per type Agustus'!$B$10:$B$51,0),MATCH("Watch GT 2",'[2]Sales per type Agustus'!$D$8:$BA$8,0)),0)</f>
        <v>0</v>
      </c>
      <c r="T22" s="33">
        <f t="shared" si="4"/>
        <v>0</v>
      </c>
      <c r="U22" s="33" cm="1">
        <f t="array" ref="U22">IFERROR(INDEX('[2]SALES PERTYPE'!$D$10:$BA$52,MATCH($C22,'[2]SALES PERTYPE'!$B$10:$B$52,0),MATCH("Watch GT 2",'[2]SALES PERTYPE'!$D$8:$BA$8,0)+1),0)</f>
        <v>0</v>
      </c>
      <c r="V22" s="33" cm="1">
        <f t="array" ref="V22">IFERROR(INDEX('[2]Sales per type Agustus'!$D$10:$BA$51,MATCH($C22,'[2]Sales per type Agustus'!$B$10:$B$51,0),MATCH("Watch GT 2",'[2]Sales per type Agustus'!$D$8:$BA$8,0)+1),0)</f>
        <v>0</v>
      </c>
      <c r="W22" s="33">
        <f t="shared" si="5"/>
        <v>0</v>
      </c>
      <c r="X22" s="33">
        <f>IFERROR(INDEX('[2]SALES PERTYPE'!$D$10:$BA$52,MATCH($C22,'[2]SALES PERTYPE'!$B$10:$B$52,0),MATCH("Y05e",'[2]SALES PERTYPE'!$D$8:$BA$8,0)),0)</f>
        <v>1</v>
      </c>
      <c r="Y22" s="33">
        <f>IFERROR(INDEX('[2]Sales per type Agustus'!$D$10:$BA$51,MATCH($C22,'[2]Sales per type Agustus'!$B$10:$B$51,0),MATCH("Y05e",'[2]Sales per type Agustus'!$D$8:$BA$8,0)),0)</f>
        <v>0</v>
      </c>
      <c r="Z22" s="33">
        <f t="shared" si="6"/>
        <v>1</v>
      </c>
      <c r="AA22" s="33" cm="1">
        <f t="array" ref="AA22">IFERROR(INDEX('[2]SALES PERTYPE'!$D$10:$BA$52,MATCH($C22,'[2]SALES PERTYPE'!$B$10:$B$52,0),MATCH("Y05e",'[2]SALES PERTYPE'!$D$8:$BA$8,0)+1),0)</f>
        <v>2099000</v>
      </c>
      <c r="AB22" s="33" cm="1">
        <f t="array" ref="AB22">IFERROR(INDEX('[2]Sales per type Agustus'!$D$10:$BA$51,MATCH($C22,'[2]Sales per type Agustus'!$B$10:$B$51,0),MATCH("Y05e",'[2]Sales per type Agustus'!$D$8:$BA$8,0)+1),0)</f>
        <v>0</v>
      </c>
      <c r="AC22" s="33">
        <f t="shared" si="7"/>
        <v>2099000</v>
      </c>
      <c r="AD22" s="33">
        <f>IFERROR(INDEX('[2]SALES PERTYPE'!$D$10:$BA$52,MATCH($C22,'[2]SALES PERTYPE'!$B$10:$B$52,0),MATCH("V70",'[2]SALES PERTYPE'!$D$8:$BA$8,0)),0)</f>
        <v>1</v>
      </c>
      <c r="AE22" s="33">
        <f>IFERROR(INDEX('[2]Sales per type Agustus'!$D$10:$BA$51,MATCH($C22,'[2]Sales per type Agustus'!$B$10:$B$51,0),MATCH("V70",'[2]Sales per type Agustus'!$D$8:$BA$8,0)),0)</f>
        <v>0</v>
      </c>
      <c r="AF22" s="33">
        <f t="shared" si="8"/>
        <v>1</v>
      </c>
      <c r="AG22" s="33" cm="1">
        <f t="array" ref="AG22">IFERROR(INDEX('[2]SALES PERTYPE'!$D$10:$BA$52,MATCH($C22,'[2]SALES PERTYPE'!$B$10:$B$52,0),MATCH("V70",'[2]SALES PERTYPE'!$D$8:$BA$8,0)+1),0)</f>
        <v>9999000</v>
      </c>
      <c r="AH22" s="33" cm="1">
        <f t="array" ref="AH22">IFERROR(INDEX('[2]Sales per type Agustus'!$D$10:$BA$51,MATCH($C22,'[2]Sales per type Agustus'!$B$10:$B$51,0),MATCH("V70",'[2]Sales per type Agustus'!$D$8:$BA$8,0)+1),0)</f>
        <v>0</v>
      </c>
      <c r="AI22" s="33">
        <f t="shared" si="9"/>
        <v>9999000</v>
      </c>
      <c r="AJ22" s="33">
        <f>IFERROR(INDEX('[2]SALES PERTYPE'!$D$10:$BA$52,MATCH($C22,'[2]SALES PERTYPE'!$B$10:$B$52,0),MATCH("Y31d Pro",'[2]SALES PERTYPE'!$D$8:$BA$8,0)),0)</f>
        <v>0</v>
      </c>
      <c r="AK22" s="33">
        <f>IFERROR(INDEX('[2]Sales per type Agustus'!$D$10:$BA$51,MATCH($C22,'[2]Sales per type Agustus'!$B$10:$B$51,0),MATCH("Y31d Pro",'[2]Sales per type Agustus'!$D$8:$BA$8,0)),0)</f>
        <v>0</v>
      </c>
      <c r="AL22" s="33">
        <f t="shared" si="10"/>
        <v>0</v>
      </c>
      <c r="AM22" s="33" cm="1">
        <f t="array" ref="AM22">IFERROR(INDEX('[2]SALES PERTYPE'!$D$10:$BA$52,MATCH($C22,'[2]SALES PERTYPE'!$B$10:$B$52,0),MATCH("Y31d Pro",'[2]SALES PERTYPE'!$D$8:$BA$8,0)+1),0)</f>
        <v>0</v>
      </c>
      <c r="AN22" s="33" cm="1">
        <f t="array" ref="AN22">IFERROR(INDEX('[2]Sales per type Agustus'!$D$10:$BA$51,MATCH($C22,'[2]Sales per type Agustus'!$B$10:$B$51,0),MATCH("Y31d Pro",'[2]Sales per type Agustus'!$D$8:$BA$8,0)+1),0)</f>
        <v>0</v>
      </c>
      <c r="AO22" s="33">
        <f t="shared" si="11"/>
        <v>0</v>
      </c>
      <c r="AP22" s="33" cm="1">
        <f t="array" ref="AP22">IFERROR(INDEX('[2]SALES PERTYPE'!$D$10:$BA$52,MATCH($C22,'[2]SALES PERTYPE'!$B$10:$B$52,0),$EI$3),0)</f>
        <v>0</v>
      </c>
      <c r="AQ22" s="33" cm="1">
        <f t="array" ref="AQ22">IFERROR(INDEX('[2]Sales per type Agustus'!$D$10:$BA$51,MATCH($C22,'[2]Sales per type Agustus'!$B$10:$B$51,0),$EI$2),0)</f>
        <v>0</v>
      </c>
      <c r="AR22" s="33">
        <f t="shared" si="12"/>
        <v>0</v>
      </c>
      <c r="AS22" s="33" cm="1">
        <f t="array" ref="AS22">IFERROR(INDEX('[2]SALES PERTYPE'!$D$10:$BA$52,MATCH($C22,'[2]SALES PERTYPE'!$B$10:$B$52,0),$EI$3+1),0)</f>
        <v>0</v>
      </c>
      <c r="AT22" s="33" cm="1">
        <f t="array" ref="AT22">IFERROR(INDEX('[2]Sales per type Agustus'!$D$10:$BA$51,MATCH($C22,'[2]Sales per type Agustus'!$B$10:$B$51,0),$EI$2+1),0)</f>
        <v>0</v>
      </c>
      <c r="AU22" s="33">
        <f t="shared" si="13"/>
        <v>0</v>
      </c>
      <c r="AV22" s="33">
        <f>IFERROR(INDEX('[2]SALES PERTYPE'!$D$10:$BA$52,MATCH($C22,'[2]SALES PERTYPE'!$B$10:$B$52,0),MATCH("Y31d ",'[2]SALES PERTYPE'!$D$8:$BA$8,0)),0)</f>
        <v>1</v>
      </c>
      <c r="AW22" s="33">
        <f>IFERROR(INDEX('[2]Sales per type Agustus'!$D$10:$BA$51,MATCH($C22,'[2]Sales per type Agustus'!$B$10:$B$51,0),MATCH("Y31d ",'[2]Sales per type Agustus'!$D$8:$BA$8,0)),0)</f>
        <v>0</v>
      </c>
      <c r="AX22" s="33">
        <f t="shared" si="14"/>
        <v>1</v>
      </c>
      <c r="AY22" s="33" cm="1">
        <f t="array" ref="AY22">IFERROR(INDEX('[2]SALES PERTYPE'!$D$10:$BA$52,MATCH($C22,'[2]SALES PERTYPE'!$B$10:$B$52,0),MATCH("Y31d ",'[2]SALES PERTYPE'!$D$8:$BA$8,0)+1),0)</f>
        <v>3599000</v>
      </c>
      <c r="AZ22" s="33" cm="1">
        <f t="array" ref="AZ22">IFERROR(INDEX('[2]Sales per type Agustus'!$D$10:$BA$51,MATCH($C22,'[2]Sales per type Agustus'!$B$10:$B$51,0),MATCH("Y31d ",'[2]Sales per type Agustus'!$D$8:$BA$8,0)+1),0)</f>
        <v>0</v>
      </c>
      <c r="BA22" s="33">
        <f t="shared" si="15"/>
        <v>3599000</v>
      </c>
      <c r="BB22" s="33">
        <f>IFERROR(INDEX('[2]SALES PERTYPE'!$D$10:$BA$52,MATCH($C22,'[2]SALES PERTYPE'!$B$10:$B$52,0),MATCH("V70 FE",'[2]SALES PERTYPE'!$D$8:$BA$8,0)),0)</f>
        <v>1</v>
      </c>
      <c r="BC22" s="33">
        <f>IFERROR(INDEX('[2]Sales per type Agustus'!$D$10:$BA$51,MATCH($C22,'[2]Sales per type Agustus'!$B$10:$B$51,0),MATCH("V70 FE",'[2]Sales per type Agustus'!$D$8:$BA$8,0)),0)</f>
        <v>1</v>
      </c>
      <c r="BD22" s="33">
        <f t="shared" si="16"/>
        <v>0</v>
      </c>
      <c r="BE22" s="33" cm="1">
        <f t="array" ref="BE22">IFERROR(INDEX('[2]SALES PERTYPE'!$D$10:$BA$52,MATCH($C22,'[2]SALES PERTYPE'!$B$10:$B$52,0),MATCH("V70 FE",'[2]SALES PERTYPE'!$D$8:$BA$8,0)+1),0)</f>
        <v>7999000</v>
      </c>
      <c r="BF22" s="33" cm="1">
        <f t="array" ref="BF22">IFERROR(INDEX('[2]Sales per type Agustus'!$D$10:$BA$51,MATCH($C22,'[2]Sales per type Agustus'!$B$10:$B$51,0),MATCH("V70 FE",'[2]Sales per type Agustus'!$D$8:$BA$8,0)+1),0)</f>
        <v>6999000</v>
      </c>
      <c r="BG22" s="33">
        <f t="shared" si="17"/>
        <v>1000000</v>
      </c>
      <c r="BH22" s="33">
        <f>IFERROR(INDEX('[2]SALES PERTYPE'!$D$10:$BA$52,MATCH($C22,'[2]SALES PERTYPE'!$B$10:$B$52,0),MATCH("Y31d",'[2]SALES PERTYPE'!$D$8:$BA$8,0)),0)</f>
        <v>0</v>
      </c>
      <c r="BI22" s="33">
        <f>IFERROR(INDEX('[2]Sales per type Agustus'!$D$10:$BA$51,MATCH($C22,'[2]Sales per type Agustus'!$B$10:$B$51,0),MATCH("Y31d",'[2]Sales per type Agustus'!$D$8:$BA$8,0)),0)</f>
        <v>0</v>
      </c>
      <c r="BJ22" s="33">
        <f t="shared" si="18"/>
        <v>0</v>
      </c>
      <c r="BK22" s="33" cm="1">
        <f t="array" ref="BK22">IFERROR(INDEX('[2]SALES PERTYPE'!$D$10:$BA$52,MATCH($C22,'[2]SALES PERTYPE'!$B$10:$B$52,0),MATCH("Y31d",'[2]SALES PERTYPE'!$D$8:$BA$8,0)+1),0)</f>
        <v>0</v>
      </c>
      <c r="BL22" s="33" cm="1">
        <f t="array" ref="BL22">IFERROR(INDEX('[2]Sales per type Agustus'!$D$10:$BA$51,MATCH($C22,'[2]Sales per type Agustus'!$B$10:$B$51,0),MATCH("Y31d",'[2]Sales per type Agustus'!$D$8:$BA$8,0)+1),0)</f>
        <v>0</v>
      </c>
      <c r="BM22" s="33">
        <f t="shared" si="19"/>
        <v>0</v>
      </c>
      <c r="BN22" s="33">
        <f>IFERROR(INDEX('[2]SALES PERTYPE'!$D$10:$BA$52,MATCH($C22,'[2]SALES PERTYPE'!$B$10:$B$52,0),MATCH("Y500",'[2]SALES PERTYPE'!$D$8:$BA$8,0)),0)</f>
        <v>1</v>
      </c>
      <c r="BO22" s="33">
        <f>IFERROR(INDEX('[2]Sales per type Agustus'!$D$10:$BA$51,MATCH($C22,'[2]Sales per type Agustus'!$B$10:$B$51,0),MATCH("Y500",'[2]Sales per type Agustus'!$D$8:$BA$8,0)),0)</f>
        <v>2</v>
      </c>
      <c r="BP22" s="33">
        <f t="shared" si="20"/>
        <v>-1</v>
      </c>
      <c r="BQ22" s="33" cm="1">
        <f t="array" ref="BQ22">IFERROR(INDEX('[2]SALES PERTYPE'!$D$10:$BA$52,MATCH($C22,'[2]SALES PERTYPE'!$B$10:$B$52,0),MATCH("Y500",'[2]SALES PERTYPE'!$D$8:$BA$8,0)+1),0)</f>
        <v>6299000</v>
      </c>
      <c r="BR22" s="33" cm="1">
        <f t="array" ref="BR22">IFERROR(INDEX('[2]Sales per type Agustus'!$D$10:$BA$51,MATCH($C22,'[2]Sales per type Agustus'!$B$10:$B$51,0),MATCH("Y500",'[2]Sales per type Agustus'!$D$8:$BA$8,0)+1),0)</f>
        <v>11798000</v>
      </c>
      <c r="BS22" s="33">
        <f t="shared" si="21"/>
        <v>-5499000</v>
      </c>
      <c r="BT22" s="33">
        <f>IFERROR(INDEX('[2]SALES PERTYPE'!$D$10:$BA$52,MATCH($C22,'[2]SALES PERTYPE'!$B$10:$B$52,0),MATCH("IQOO 15R",'[2]SALES PERTYPE'!$D$8:$BA$8,0)),0)</f>
        <v>0</v>
      </c>
      <c r="BU22" s="33">
        <f>IFERROR(INDEX('[2]Sales per type Agustus'!$D$10:$BA$51,MATCH($C22,'[2]Sales per type Agustus'!$B$10:$B$51,0),MATCH("IQOO 15R",'[2]Sales per type Agustus'!$D$8:$BA$8,0)),0)</f>
        <v>0</v>
      </c>
      <c r="BV22" s="33">
        <f t="shared" si="22"/>
        <v>0</v>
      </c>
      <c r="BW22" s="33" cm="1">
        <f t="array" ref="BW22">IFERROR(INDEX('[2]SALES PERTYPE'!$D$10:$BA$52,MATCH($C22,'[2]SALES PERTYPE'!$B$10:$B$52,0),MATCH("IQOO 15R",'[2]SALES PERTYPE'!$D$8:$BA$8,0)+1),0)</f>
        <v>0</v>
      </c>
      <c r="BX22" s="33" cm="1">
        <f t="array" ref="BX22">IFERROR(INDEX('[2]Sales per type Agustus'!$D$10:$BA$51,MATCH($C22,'[2]Sales per type Agustus'!$B$10:$B$51,0),MATCH("IQOO 15R",'[2]Sales per type Agustus'!$D$8:$BA$8,0)+1),0)</f>
        <v>0</v>
      </c>
      <c r="BY22" s="33">
        <f t="shared" si="23"/>
        <v>0</v>
      </c>
      <c r="BZ22" s="33">
        <f>IFERROR(INDEX('[2]SALES PERTYPE'!$D$10:$BA$52,MATCH($C22,'[2]SALES PERTYPE'!$B$10:$B$52,0),MATCH("V60 Lite",'[2]SALES PERTYPE'!$D$8:$BA$8,0)),0)</f>
        <v>0</v>
      </c>
      <c r="CA22" s="33">
        <f>IFERROR(INDEX('[2]Sales per type Agustus'!$D$10:$BA$51,MATCH($C22,'[2]Sales per type Agustus'!$B$10:$B$51,0),MATCH("V60 Lite",'[2]Sales per type Agustus'!$D$8:$BA$8,0)),0)</f>
        <v>0</v>
      </c>
      <c r="CB22" s="33">
        <f t="shared" si="24"/>
        <v>0</v>
      </c>
      <c r="CC22" s="33" cm="1">
        <f t="array" ref="CC22">IFERROR(INDEX('[2]SALES PERTYPE'!$D$10:$BA$52,MATCH($C22,'[2]SALES PERTYPE'!$B$10:$B$52,0),MATCH("V60 Lite",'[2]SALES PERTYPE'!$D$8:$BA$8,0)+1),0)</f>
        <v>0</v>
      </c>
      <c r="CD22" s="33" cm="1">
        <f t="array" ref="CD22">IFERROR(INDEX('[2]Sales per type Agustus'!$D$10:$BA$51,MATCH($C22,'[2]Sales per type Agustus'!$B$10:$B$51,0),MATCH("V60 Lite",'[2]Sales per type Agustus'!$D$8:$BA$8,0)+1),0)</f>
        <v>0</v>
      </c>
      <c r="CE22" s="33">
        <f t="shared" si="25"/>
        <v>0</v>
      </c>
      <c r="CF22" s="33">
        <f>IFERROR(INDEX('[2]SALES PERTYPE'!$D$10:$BA$52,MATCH($C22,'[2]SALES PERTYPE'!$B$10:$B$52,0),MATCH("X300 Ultra",'[2]SALES PERTYPE'!$D$8:$BA$8,0)),0)</f>
        <v>0</v>
      </c>
      <c r="CG22" s="33">
        <f>IFERROR(INDEX('[2]Sales per type Agustus'!$D$10:$BA$51,MATCH($C22,'[2]Sales per type Agustus'!$B$10:$B$51,0),MATCH("X300 Ultra",'[2]Sales per type Agustus'!$D$8:$BA$8,0)),0)</f>
        <v>0</v>
      </c>
      <c r="CH22" s="33">
        <f t="shared" si="26"/>
        <v>0</v>
      </c>
      <c r="CI22" s="33" cm="1">
        <f t="array" ref="CI22">IFERROR(INDEX('[2]SALES PERTYPE'!$D$10:$BA$52,MATCH($C22,'[2]SALES PERTYPE'!$B$10:$B$52,0),MATCH("X300 Ultra",'[2]SALES PERTYPE'!$D$8:$BA$8,0)+1),0)</f>
        <v>0</v>
      </c>
      <c r="CJ22" s="33" cm="1">
        <f t="array" ref="CJ22">IFERROR(INDEX('[2]Sales per type Agustus'!$D$10:$BA$51,MATCH($C22,'[2]Sales per type Agustus'!$B$10:$B$51,0),MATCH("X300 Ultra",'[2]Sales per type Agustus'!$D$8:$BA$8,0)+1),0)</f>
        <v>0</v>
      </c>
      <c r="CK22" s="33">
        <f t="shared" si="27"/>
        <v>0</v>
      </c>
      <c r="CL22" s="33">
        <f>IFERROR(INDEX('[2]SALES PERTYPE'!$D$10:$BA$52,MATCH($C22,'[2]SALES PERTYPE'!$B$10:$B$52,0),MATCH("IQOO 15",'[2]SALES PERTYPE'!$D$8:$BA$8,0)),0)</f>
        <v>0</v>
      </c>
      <c r="CM22" s="33">
        <f>IFERROR(INDEX('[2]Sales per type Agustus'!$D$10:$BA$51,MATCH($C22,'[2]Sales per type Agustus'!$B$10:$B$51,0),MATCH("IQOO 15",'[2]Sales per type Agustus'!$D$8:$BA$8,0)),0)</f>
        <v>0</v>
      </c>
      <c r="CN22" s="33">
        <f t="shared" si="28"/>
        <v>0</v>
      </c>
      <c r="CO22" s="33" cm="1">
        <f t="array" ref="CO22">IFERROR(INDEX('[2]SALES PERTYPE'!$D$10:$BA$52,MATCH($C22,'[2]SALES PERTYPE'!$B$10:$B$52,0),MATCH("IQOO 15",'[2]SALES PERTYPE'!$D$8:$BA$8,0)+1),0)</f>
        <v>0</v>
      </c>
      <c r="CP22" s="33" cm="1">
        <f t="array" ref="CP22">IFERROR(INDEX('[2]Sales per type Agustus'!$D$10:$BA$51,MATCH($C22,'[2]Sales per type Agustus'!$B$10:$B$51,0),MATCH("IQOO 15",'[2]Sales per type Agustus'!$D$8:$BA$8,0)+1),0)</f>
        <v>0</v>
      </c>
      <c r="CQ22" s="33">
        <f t="shared" si="29"/>
        <v>0</v>
      </c>
      <c r="CR22" s="33">
        <f>IFERROR(INDEX('[2]SALES PERTYPE'!$D$10:$BA$52,MATCH($C22,'[2]SALES PERTYPE'!$B$10:$B$52,0),MATCH("IQOO Z11x",'[2]SALES PERTYPE'!$D$8:$BA$8,0)),0)</f>
        <v>0</v>
      </c>
      <c r="CS22" s="33">
        <f>IFERROR(INDEX('[2]Sales per type Agustus'!$D$10:$BA$51,MATCH($C22,'[2]Sales per type Agustus'!$B$10:$B$51,0),MATCH("IQOO Z11x",'[2]Sales per type Agustus'!$D$8:$BA$8,0)),0)</f>
        <v>0</v>
      </c>
      <c r="CT22" s="33">
        <f t="shared" si="30"/>
        <v>0</v>
      </c>
      <c r="CU22" s="33" cm="1">
        <f t="array" ref="CU22">IFERROR(INDEX('[2]SALES PERTYPE'!$D$10:$BA$52,MATCH($C22,'[2]SALES PERTYPE'!$B$10:$B$52,0),MATCH("IQOO Z11x",'[2]SALES PERTYPE'!$D$8:$BA$8,0)+1),0)</f>
        <v>0</v>
      </c>
      <c r="CV22" s="33" cm="1">
        <f t="array" ref="CV22">IFERROR(INDEX('[2]Sales per type Agustus'!$D$10:$BA$51,MATCH($C22,'[2]Sales per type Agustus'!$B$10:$B$51,0),MATCH("IQOO Z11x",'[2]Sales per type Agustus'!$D$8:$BA$8,0)+1),0)</f>
        <v>0</v>
      </c>
      <c r="CW22" s="33">
        <f t="shared" si="31"/>
        <v>0</v>
      </c>
      <c r="CX22" s="33">
        <f>IFERROR(INDEX('[2]SALES PERTYPE'!$D$10:$BA$52,MATCH($C22,'[2]SALES PERTYPE'!$B$10:$B$52,0),MATCH("IQOO Z11",'[2]SALES PERTYPE'!$D$8:$BA$8,0)),0)</f>
        <v>0</v>
      </c>
      <c r="CY22" s="33">
        <f>IFERROR(INDEX('[2]Sales per type Agustus'!$D$10:$BA$51,MATCH($C22,'[2]Sales per type Agustus'!$B$10:$B$51,0),MATCH("IQOO Z11",'[2]Sales per type Agustus'!$D$8:$BA$8,0)),0)</f>
        <v>0</v>
      </c>
      <c r="CZ22" s="33">
        <f t="shared" si="32"/>
        <v>0</v>
      </c>
      <c r="DA22" s="33" cm="1">
        <f t="array" ref="DA22">IFERROR(INDEX('[2]SALES PERTYPE'!$D$10:$BA$52,MATCH($C22,'[2]SALES PERTYPE'!$B$10:$B$52,0),MATCH("IQOO Z11",'[2]SALES PERTYPE'!$D$8:$BA$8,0)+1),0)</f>
        <v>0</v>
      </c>
      <c r="DB22" s="33" cm="1">
        <f t="array" ref="DB22">IFERROR(INDEX('[2]Sales per type Agustus'!$D$10:$BA$51,MATCH($C22,'[2]Sales per type Agustus'!$B$10:$B$51,0),MATCH("IQOO Z11",'[2]Sales per type Agustus'!$D$8:$BA$8,0)+1),0)</f>
        <v>0</v>
      </c>
      <c r="DC22" s="33">
        <f t="shared" si="33"/>
        <v>0</v>
      </c>
      <c r="DD22" s="33">
        <f>IFERROR(INDEX('[2]SALES PERTYPE'!$D$10:$BA$52,MATCH($C22,'[2]SALES PERTYPE'!$B$10:$B$52,0),MATCH("WATCH 3",'[2]SALES PERTYPE'!$D$8:$BA$8,0)),0)</f>
        <v>0</v>
      </c>
      <c r="DE22" s="33">
        <f>IFERROR(INDEX('[2]Sales per type Agustus'!$D$10:$BA$51,MATCH($C22,'[2]Sales per type Agustus'!$B$10:$B$51,0),MATCH("WATCH 3",'[2]Sales per type Agustus'!$D$8:$BA$8,0)),0)</f>
        <v>0</v>
      </c>
      <c r="DF22" s="33">
        <f t="shared" si="34"/>
        <v>0</v>
      </c>
      <c r="DG22" s="33" cm="1">
        <f t="array" ref="DG22">IFERROR(INDEX('[2]SALES PERTYPE'!$D$10:$BA$52,MATCH($C22,'[2]SALES PERTYPE'!$B$10:$B$52,0),MATCH("WATCH 3",'[2]SALES PERTYPE'!$D$8:$BA$8,0)+1),0)</f>
        <v>0</v>
      </c>
      <c r="DH22" s="33" cm="1">
        <f t="array" ref="DH22">IFERROR(INDEX('[2]Sales per type Agustus'!$D$10:$BA$51,MATCH($C22,'[2]Sales per type Agustus'!$B$10:$B$51,0),MATCH("WATCH 3",'[2]Sales per type Agustus'!$D$8:$BA$8,0)+1),0)</f>
        <v>0</v>
      </c>
      <c r="DI22" s="33">
        <f t="shared" si="35"/>
        <v>0</v>
      </c>
      <c r="DJ22" s="33">
        <f>IFERROR(INDEX('[2]SALES PERTYPE'!$D$10:$BA$52,MATCH($C22,'[2]SALES PERTYPE'!$B$10:$B$52,0),MATCH("X Fold5",'[2]SALES PERTYPE'!$D$8:$BA$8,0)),0)</f>
        <v>0</v>
      </c>
      <c r="DK22" s="33">
        <f>IFERROR(INDEX('[2]Sales per type Agustus'!$D$10:$BA$51,MATCH($C22,'[2]Sales per type Agustus'!$B$10:$B$51,0),MATCH("X Fold5",'[2]Sales per type Agustus'!$D$8:$BA$8,0)),0)</f>
        <v>0</v>
      </c>
      <c r="DL22" s="33">
        <f t="shared" si="36"/>
        <v>0</v>
      </c>
      <c r="DM22" s="33" cm="1">
        <f t="array" ref="DM22">IFERROR(INDEX('[2]SALES PERTYPE'!$D$10:$BA$52,MATCH($C22,'[2]SALES PERTYPE'!$B$10:$B$52,0),MATCH("X Fold5",'[2]SALES PERTYPE'!$D$8:$BA$8,0)+1),0)</f>
        <v>0</v>
      </c>
      <c r="DN22" s="33" cm="1">
        <f t="array" ref="DN22">IFERROR(INDEX('[2]Sales per type Agustus'!$D$10:$BA$51,MATCH($C22,'[2]Sales per type Agustus'!$B$10:$B$51,0),MATCH("X Fold5",'[2]Sales per type Agustus'!$D$8:$BA$8,0)+1),0)</f>
        <v>0</v>
      </c>
      <c r="DO22" s="33">
        <f t="shared" si="37"/>
        <v>0</v>
      </c>
      <c r="DP22" s="33">
        <f>IFERROR(INDEX('[2]SALES PERTYPE'!$D$10:$BA$52,MATCH($C22,'[2]SALES PERTYPE'!$B$10:$B$52,0),MATCH("X300 PRO",'[2]SALES PERTYPE'!$D$8:$BA$8,0)),0)</f>
        <v>0</v>
      </c>
      <c r="DQ22" s="33">
        <f>IFERROR(INDEX('[2]Sales per type Agustus'!$D$10:$BA$51,MATCH($C22,'[2]Sales per type Agustus'!$B$10:$B$51,0),MATCH("X300 PRO",'[2]Sales per type Agustus'!$D$8:$BA$8,0)),0)</f>
        <v>0</v>
      </c>
      <c r="DR22" s="33">
        <f t="shared" si="38"/>
        <v>0</v>
      </c>
      <c r="DS22" s="33" cm="1">
        <f t="array" ref="DS22">IFERROR(INDEX('[2]SALES PERTYPE'!$D$10:$BA$52,MATCH($C22,'[2]SALES PERTYPE'!$B$10:$B$52,0),MATCH("X300 PRO",'[2]SALES PERTYPE'!$D$8:$BA$8,0)+1),0)</f>
        <v>0</v>
      </c>
      <c r="DT22" s="33" cm="1">
        <f t="array" ref="DT22">IFERROR(INDEX('[2]Sales per type Agustus'!$D$10:$BA$51,MATCH($C22,'[2]Sales per type Agustus'!$B$10:$B$51,0),MATCH("X300 PRO",'[2]Sales per type Agustus'!$D$8:$BA$8,0)+1),0)</f>
        <v>0</v>
      </c>
      <c r="DU22" s="33">
        <f t="shared" si="39"/>
        <v>0</v>
      </c>
      <c r="DV22" s="33">
        <f>IFERROR(INDEX('[2]SALES PERTYPE'!$D$10:$BA$52,MATCH($C22,'[2]SALES PERTYPE'!$B$10:$B$52,0),MATCH("X300",'[2]SALES PERTYPE'!$D$8:$BA$8,0)),0)</f>
        <v>0</v>
      </c>
      <c r="DW22" s="33">
        <f>IFERROR(INDEX('[2]Sales per type Agustus'!$D$10:$BA$51,MATCH($C22,'[2]Sales per type Agustus'!$B$10:$B$51,0),MATCH("X300 ",'[2]Sales per type Agustus'!$D$8:$BA$8,0)),0)</f>
        <v>0</v>
      </c>
      <c r="DX22" s="33">
        <f t="shared" si="40"/>
        <v>0</v>
      </c>
      <c r="DY22" s="33" cm="1">
        <f t="array" ref="DY22">IFERROR(INDEX('[2]SALES PERTYPE'!$D$10:$BA$52,MATCH($C22,'[2]SALES PERTYPE'!$B$10:$B$52,0),MATCH("X300",'[2]SALES PERTYPE'!$D$8:$BA$8,0)+1),0)</f>
        <v>0</v>
      </c>
      <c r="DZ22" s="33" cm="1">
        <f t="array" ref="DZ22">IFERROR(INDEX('[2]Sales per type Agustus'!$D$10:$BA$51,MATCH($C22,'[2]Sales per type Agustus'!$B$10:$B$51,0),MATCH("X300 ",'[2]Sales per type Agustus'!$D$8:$BA$8,0)+1),0)</f>
        <v>0</v>
      </c>
      <c r="EA22" s="33">
        <f t="shared" si="41"/>
        <v>0</v>
      </c>
      <c r="EB22" s="33">
        <f t="shared" si="42"/>
        <v>7</v>
      </c>
      <c r="EC22" s="33">
        <f t="shared" si="42"/>
        <v>15</v>
      </c>
      <c r="ED22" s="33">
        <f t="shared" si="43"/>
        <v>-8</v>
      </c>
      <c r="EE22" s="33">
        <f t="shared" si="44"/>
        <v>35593000</v>
      </c>
      <c r="EF22" s="33">
        <f t="shared" si="44"/>
        <v>50285000</v>
      </c>
      <c r="EG22" s="33">
        <f t="shared" si="45"/>
        <v>-14692000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'[2]ACHIEVEMENT STORE'!A23</f>
        <v>19</v>
      </c>
      <c r="B23" s="32" t="str">
        <f>'[2]ACHIEVEMENT STORE'!B23</f>
        <v>618 茂物 BOGOR</v>
      </c>
      <c r="C23" s="31">
        <f>'[2]ACHIEVEMENT STORE'!C23</f>
        <v>6180706</v>
      </c>
      <c r="D23" s="32" t="str">
        <f>'[2]ACHIEVEMENT STORE'!D23</f>
        <v>6180706-MALL CCM VIVO STORE</v>
      </c>
      <c r="E23" s="32" t="str">
        <f>'[2]ACHIEVEMENT STORE'!E23</f>
        <v>DANDI SURYA</v>
      </c>
      <c r="F23" s="33">
        <f>IFERROR(INDEX('[2]SALES PERTYPE'!$D$10:$BA$52,MATCH($C23,'[2]SALES PERTYPE'!$B$10:$B$52,0),MATCH("Y05",'[2]SALES PERTYPE'!$D$8:$BA$8,0)),0)</f>
        <v>6</v>
      </c>
      <c r="G23" s="33">
        <f>IFERROR(INDEX('[2]Sales per type Agustus'!$D$10:$BA$51,MATCH($C23,'[2]Sales per type Agustus'!$B$10:$B$51,0),MATCH("Y05",'[2]Sales per type Agustus'!$D$8:$BA$8,0)),0)</f>
        <v>4</v>
      </c>
      <c r="H23" s="33">
        <f t="shared" si="0"/>
        <v>2</v>
      </c>
      <c r="I23" s="33" cm="1">
        <f t="array" ref="I23">IFERROR(INDEX('[2]SALES PERTYPE'!$D$10:$BA$52,MATCH($C23,'[2]SALES PERTYPE'!$B$10:$B$52,0),MATCH("Y05",'[2]SALES PERTYPE'!$D$8:$BA$8,0)+1),0)</f>
        <v>14394000</v>
      </c>
      <c r="J23" s="33" cm="1">
        <f t="array" ref="J23">IFERROR(INDEX('[2]Sales per type Agustus'!$D$10:$BA$51,MATCH($C23,'[2]Sales per type Agustus'!$B$10:$B$51,0),MATCH("Y05",'[2]Sales per type Agustus'!$D$8:$BA$8,0)+1),0)</f>
        <v>9496000</v>
      </c>
      <c r="K23" s="33">
        <f t="shared" si="1"/>
        <v>4898000</v>
      </c>
      <c r="L23" s="33">
        <f>IFERROR(INDEX('[2]SALES PERTYPE'!$D$10:$BA$52,MATCH($C23,'[2]SALES PERTYPE'!$B$10:$B$52,0),MATCH("Y11d",'[2]SALES PERTYPE'!$D$8:$BA$8,0)),0)</f>
        <v>7</v>
      </c>
      <c r="M23" s="33">
        <f>IFERROR(INDEX('[2]Sales per type Agustus'!$D$10:$BA$51,MATCH($C23,'[2]Sales per type Agustus'!$B$10:$B$51,0),MATCH("Y11d",'[2]Sales per type Agustus'!$D$8:$BA$8,0)),0)</f>
        <v>5</v>
      </c>
      <c r="N23" s="33">
        <f t="shared" si="2"/>
        <v>2</v>
      </c>
      <c r="O23" s="33" cm="1">
        <f t="array" ref="O23">IFERROR(INDEX('[2]SALES PERTYPE'!$D$10:$BA$52,MATCH($C23,'[2]SALES PERTYPE'!$B$10:$B$52,0),MATCH("Y11d",'[2]SALES PERTYPE'!$D$8:$BA$8,0)+1),0)</f>
        <v>19193000</v>
      </c>
      <c r="P23" s="33" cm="1">
        <f t="array" ref="P23">IFERROR(INDEX('[2]Sales per type Agustus'!$D$10:$BA$51,MATCH($C23,'[2]Sales per type Agustus'!$B$10:$B$51,0),MATCH("Y11d",'[2]Sales per type Agustus'!$D$8:$BA$8,0)+1),0)</f>
        <v>13195000</v>
      </c>
      <c r="Q23" s="33">
        <f t="shared" si="3"/>
        <v>5998000</v>
      </c>
      <c r="R23" s="33">
        <f>IFERROR(INDEX('[2]SALES PERTYPE'!$D$10:$BA$52,MATCH($C23,'[2]SALES PERTYPE'!$B$10:$B$52,0),MATCH("Watch GT 2",'[2]SALES PERTYPE'!$D$8:$BA$8,0)),0)</f>
        <v>0</v>
      </c>
      <c r="S23" s="33">
        <f>IFERROR(INDEX('[2]Sales per type Agustus'!$D$10:$BA$51,MATCH($C23,'[2]Sales per type Agustus'!$B$10:$B$51,0),MATCH("Watch GT 2",'[2]Sales per type Agustus'!$D$8:$BA$8,0)),0)</f>
        <v>0</v>
      </c>
      <c r="T23" s="33">
        <f t="shared" si="4"/>
        <v>0</v>
      </c>
      <c r="U23" s="33" cm="1">
        <f t="array" ref="U23">IFERROR(INDEX('[2]SALES PERTYPE'!$D$10:$BA$52,MATCH($C23,'[2]SALES PERTYPE'!$B$10:$B$52,0),MATCH("Watch GT 2",'[2]SALES PERTYPE'!$D$8:$BA$8,0)+1),0)</f>
        <v>0</v>
      </c>
      <c r="V23" s="33" cm="1">
        <f t="array" ref="V23">IFERROR(INDEX('[2]Sales per type Agustus'!$D$10:$BA$51,MATCH($C23,'[2]Sales per type Agustus'!$B$10:$B$51,0),MATCH("Watch GT 2",'[2]Sales per type Agustus'!$D$8:$BA$8,0)+1),0)</f>
        <v>0</v>
      </c>
      <c r="W23" s="33">
        <f t="shared" si="5"/>
        <v>0</v>
      </c>
      <c r="X23" s="33">
        <f>IFERROR(INDEX('[2]SALES PERTYPE'!$D$10:$BA$52,MATCH($C23,'[2]SALES PERTYPE'!$B$10:$B$52,0),MATCH("Y05e",'[2]SALES PERTYPE'!$D$8:$BA$8,0)),0)</f>
        <v>2</v>
      </c>
      <c r="Y23" s="33">
        <f>IFERROR(INDEX('[2]Sales per type Agustus'!$D$10:$BA$51,MATCH($C23,'[2]Sales per type Agustus'!$B$10:$B$51,0),MATCH("Y05e",'[2]Sales per type Agustus'!$D$8:$BA$8,0)),0)</f>
        <v>9</v>
      </c>
      <c r="Z23" s="33">
        <f t="shared" si="6"/>
        <v>-7</v>
      </c>
      <c r="AA23" s="33" cm="1">
        <f t="array" ref="AA23">IFERROR(INDEX('[2]SALES PERTYPE'!$D$10:$BA$52,MATCH($C23,'[2]SALES PERTYPE'!$B$10:$B$52,0),MATCH("Y05e",'[2]SALES PERTYPE'!$D$8:$BA$8,0)+1),0)</f>
        <v>4198000</v>
      </c>
      <c r="AB23" s="33" cm="1">
        <f t="array" ref="AB23">IFERROR(INDEX('[2]Sales per type Agustus'!$D$10:$BA$51,MATCH($C23,'[2]Sales per type Agustus'!$B$10:$B$51,0),MATCH("Y05e",'[2]Sales per type Agustus'!$D$8:$BA$8,0)+1),0)</f>
        <v>18891000</v>
      </c>
      <c r="AC23" s="33">
        <f t="shared" si="7"/>
        <v>-14693000</v>
      </c>
      <c r="AD23" s="33">
        <f>IFERROR(INDEX('[2]SALES PERTYPE'!$D$10:$BA$52,MATCH($C23,'[2]SALES PERTYPE'!$B$10:$B$52,0),MATCH("V70",'[2]SALES PERTYPE'!$D$8:$BA$8,0)),0)</f>
        <v>0</v>
      </c>
      <c r="AE23" s="33">
        <f>IFERROR(INDEX('[2]Sales per type Agustus'!$D$10:$BA$51,MATCH($C23,'[2]Sales per type Agustus'!$B$10:$B$51,0),MATCH("V70",'[2]Sales per type Agustus'!$D$8:$BA$8,0)),0)</f>
        <v>2</v>
      </c>
      <c r="AF23" s="33">
        <f t="shared" si="8"/>
        <v>-2</v>
      </c>
      <c r="AG23" s="33" cm="1">
        <f t="array" ref="AG23">IFERROR(INDEX('[2]SALES PERTYPE'!$D$10:$BA$52,MATCH($C23,'[2]SALES PERTYPE'!$B$10:$B$52,0),MATCH("V70",'[2]SALES PERTYPE'!$D$8:$BA$8,0)+1),0)</f>
        <v>0</v>
      </c>
      <c r="AH23" s="33" cm="1">
        <f t="array" ref="AH23">IFERROR(INDEX('[2]Sales per type Agustus'!$D$10:$BA$51,MATCH($C23,'[2]Sales per type Agustus'!$B$10:$B$51,0),MATCH("V70",'[2]Sales per type Agustus'!$D$8:$BA$8,0)+1),0)</f>
        <v>19998000</v>
      </c>
      <c r="AI23" s="33">
        <f t="shared" si="9"/>
        <v>-19998000</v>
      </c>
      <c r="AJ23" s="33">
        <f>IFERROR(INDEX('[2]SALES PERTYPE'!$D$10:$BA$52,MATCH($C23,'[2]SALES PERTYPE'!$B$10:$B$52,0),MATCH("Y31d Pro",'[2]SALES PERTYPE'!$D$8:$BA$8,0)),0)</f>
        <v>4</v>
      </c>
      <c r="AK23" s="33">
        <f>IFERROR(INDEX('[2]Sales per type Agustus'!$D$10:$BA$51,MATCH($C23,'[2]Sales per type Agustus'!$B$10:$B$51,0),MATCH("Y31d Pro",'[2]Sales per type Agustus'!$D$8:$BA$8,0)),0)</f>
        <v>1</v>
      </c>
      <c r="AL23" s="33">
        <f t="shared" si="10"/>
        <v>3</v>
      </c>
      <c r="AM23" s="33" cm="1">
        <f t="array" ref="AM23">IFERROR(INDEX('[2]SALES PERTYPE'!$D$10:$BA$52,MATCH($C23,'[2]SALES PERTYPE'!$B$10:$B$52,0),MATCH("Y31d Pro",'[2]SALES PERTYPE'!$D$8:$BA$8,0)+1),0)</f>
        <v>18996000</v>
      </c>
      <c r="AN23" s="33" cm="1">
        <f t="array" ref="AN23">IFERROR(INDEX('[2]Sales per type Agustus'!$D$10:$BA$51,MATCH($C23,'[2]Sales per type Agustus'!$B$10:$B$51,0),MATCH("Y31d Pro",'[2]Sales per type Agustus'!$D$8:$BA$8,0)+1),0)</f>
        <v>3899000</v>
      </c>
      <c r="AO23" s="33">
        <f t="shared" si="11"/>
        <v>15097000</v>
      </c>
      <c r="AP23" s="33" cm="1">
        <f t="array" ref="AP23">IFERROR(INDEX('[2]SALES PERTYPE'!$D$10:$BA$52,MATCH($C23,'[2]SALES PERTYPE'!$B$10:$B$52,0),$EI$3),0)</f>
        <v>0</v>
      </c>
      <c r="AQ23" s="33" cm="1">
        <f t="array" ref="AQ23">IFERROR(INDEX('[2]Sales per type Agustus'!$D$10:$BA$51,MATCH($C23,'[2]Sales per type Agustus'!$B$10:$B$51,0),$EI$2),0)</f>
        <v>0</v>
      </c>
      <c r="AR23" s="33">
        <f t="shared" si="12"/>
        <v>0</v>
      </c>
      <c r="AS23" s="33" cm="1">
        <f t="array" ref="AS23">IFERROR(INDEX('[2]SALES PERTYPE'!$D$10:$BA$52,MATCH($C23,'[2]SALES PERTYPE'!$B$10:$B$52,0),$EI$3+1),0)</f>
        <v>0</v>
      </c>
      <c r="AT23" s="33" cm="1">
        <f t="array" ref="AT23">IFERROR(INDEX('[2]Sales per type Agustus'!$D$10:$BA$51,MATCH($C23,'[2]Sales per type Agustus'!$B$10:$B$51,0),$EI$2+1),0)</f>
        <v>0</v>
      </c>
      <c r="AU23" s="33">
        <f t="shared" si="13"/>
        <v>0</v>
      </c>
      <c r="AV23" s="33">
        <f>IFERROR(INDEX('[2]SALES PERTYPE'!$D$10:$BA$52,MATCH($C23,'[2]SALES PERTYPE'!$B$10:$B$52,0),MATCH("Y31d ",'[2]SALES PERTYPE'!$D$8:$BA$8,0)),0)</f>
        <v>1</v>
      </c>
      <c r="AW23" s="33">
        <f>IFERROR(INDEX('[2]Sales per type Agustus'!$D$10:$BA$51,MATCH($C23,'[2]Sales per type Agustus'!$B$10:$B$51,0),MATCH("Y31d ",'[2]Sales per type Agustus'!$D$8:$BA$8,0)),0)</f>
        <v>0</v>
      </c>
      <c r="AX23" s="33">
        <f t="shared" si="14"/>
        <v>1</v>
      </c>
      <c r="AY23" s="33" cm="1">
        <f t="array" ref="AY23">IFERROR(INDEX('[2]SALES PERTYPE'!$D$10:$BA$52,MATCH($C23,'[2]SALES PERTYPE'!$B$10:$B$52,0),MATCH("Y31d ",'[2]SALES PERTYPE'!$D$8:$BA$8,0)+1),0)</f>
        <v>3599000</v>
      </c>
      <c r="AZ23" s="33" cm="1">
        <f t="array" ref="AZ23">IFERROR(INDEX('[2]Sales per type Agustus'!$D$10:$BA$51,MATCH($C23,'[2]Sales per type Agustus'!$B$10:$B$51,0),MATCH("Y31d ",'[2]Sales per type Agustus'!$D$8:$BA$8,0)+1),0)</f>
        <v>0</v>
      </c>
      <c r="BA23" s="33">
        <f t="shared" si="15"/>
        <v>3599000</v>
      </c>
      <c r="BB23" s="33">
        <f>IFERROR(INDEX('[2]SALES PERTYPE'!$D$10:$BA$52,MATCH($C23,'[2]SALES PERTYPE'!$B$10:$B$52,0),MATCH("V70 FE",'[2]SALES PERTYPE'!$D$8:$BA$8,0)),0)</f>
        <v>0</v>
      </c>
      <c r="BC23" s="33">
        <f>IFERROR(INDEX('[2]Sales per type Agustus'!$D$10:$BA$51,MATCH($C23,'[2]Sales per type Agustus'!$B$10:$B$51,0),MATCH("V70 FE",'[2]Sales per type Agustus'!$D$8:$BA$8,0)),0)</f>
        <v>2</v>
      </c>
      <c r="BD23" s="33">
        <f t="shared" si="16"/>
        <v>-2</v>
      </c>
      <c r="BE23" s="33" cm="1">
        <f t="array" ref="BE23">IFERROR(INDEX('[2]SALES PERTYPE'!$D$10:$BA$52,MATCH($C23,'[2]SALES PERTYPE'!$B$10:$B$52,0),MATCH("V70 FE",'[2]SALES PERTYPE'!$D$8:$BA$8,0)+1),0)</f>
        <v>0</v>
      </c>
      <c r="BF23" s="33" cm="1">
        <f t="array" ref="BF23">IFERROR(INDEX('[2]Sales per type Agustus'!$D$10:$BA$51,MATCH($C23,'[2]Sales per type Agustus'!$B$10:$B$51,0),MATCH("V70 FE",'[2]Sales per type Agustus'!$D$8:$BA$8,0)+1),0)</f>
        <v>15998000</v>
      </c>
      <c r="BG23" s="33">
        <f t="shared" si="17"/>
        <v>-15998000</v>
      </c>
      <c r="BH23" s="33">
        <f>IFERROR(INDEX('[2]SALES PERTYPE'!$D$10:$BA$52,MATCH($C23,'[2]SALES PERTYPE'!$B$10:$B$52,0),MATCH("Y31d",'[2]SALES PERTYPE'!$D$8:$BA$8,0)),0)</f>
        <v>0</v>
      </c>
      <c r="BI23" s="33">
        <f>IFERROR(INDEX('[2]Sales per type Agustus'!$D$10:$BA$51,MATCH($C23,'[2]Sales per type Agustus'!$B$10:$B$51,0),MATCH("Y31d",'[2]Sales per type Agustus'!$D$8:$BA$8,0)),0)</f>
        <v>0</v>
      </c>
      <c r="BJ23" s="33">
        <f t="shared" si="18"/>
        <v>0</v>
      </c>
      <c r="BK23" s="33" cm="1">
        <f t="array" ref="BK23">IFERROR(INDEX('[2]SALES PERTYPE'!$D$10:$BA$52,MATCH($C23,'[2]SALES PERTYPE'!$B$10:$B$52,0),MATCH("Y31d",'[2]SALES PERTYPE'!$D$8:$BA$8,0)+1),0)</f>
        <v>0</v>
      </c>
      <c r="BL23" s="33" cm="1">
        <f t="array" ref="BL23">IFERROR(INDEX('[2]Sales per type Agustus'!$D$10:$BA$51,MATCH($C23,'[2]Sales per type Agustus'!$B$10:$B$51,0),MATCH("Y31d",'[2]Sales per type Agustus'!$D$8:$BA$8,0)+1),0)</f>
        <v>0</v>
      </c>
      <c r="BM23" s="33">
        <f t="shared" si="19"/>
        <v>0</v>
      </c>
      <c r="BN23" s="33">
        <f>IFERROR(INDEX('[2]SALES PERTYPE'!$D$10:$BA$52,MATCH($C23,'[2]SALES PERTYPE'!$B$10:$B$52,0),MATCH("Y500",'[2]SALES PERTYPE'!$D$8:$BA$8,0)),0)</f>
        <v>0</v>
      </c>
      <c r="BO23" s="33">
        <f>IFERROR(INDEX('[2]Sales per type Agustus'!$D$10:$BA$51,MATCH($C23,'[2]Sales per type Agustus'!$B$10:$B$51,0),MATCH("Y500",'[2]Sales per type Agustus'!$D$8:$BA$8,0)),0)</f>
        <v>1</v>
      </c>
      <c r="BP23" s="33">
        <f t="shared" si="20"/>
        <v>-1</v>
      </c>
      <c r="BQ23" s="33" cm="1">
        <f t="array" ref="BQ23">IFERROR(INDEX('[2]SALES PERTYPE'!$D$10:$BA$52,MATCH($C23,'[2]SALES PERTYPE'!$B$10:$B$52,0),MATCH("Y500",'[2]SALES PERTYPE'!$D$8:$BA$8,0)+1),0)</f>
        <v>0</v>
      </c>
      <c r="BR23" s="33" cm="1">
        <f t="array" ref="BR23">IFERROR(INDEX('[2]Sales per type Agustus'!$D$10:$BA$51,MATCH($C23,'[2]Sales per type Agustus'!$B$10:$B$51,0),MATCH("Y500",'[2]Sales per type Agustus'!$D$8:$BA$8,0)+1),0)</f>
        <v>6299000</v>
      </c>
      <c r="BS23" s="33">
        <f t="shared" si="21"/>
        <v>-6299000</v>
      </c>
      <c r="BT23" s="33">
        <f>IFERROR(INDEX('[2]SALES PERTYPE'!$D$10:$BA$52,MATCH($C23,'[2]SALES PERTYPE'!$B$10:$B$52,0),MATCH("IQOO 15R",'[2]SALES PERTYPE'!$D$8:$BA$8,0)),0)</f>
        <v>0</v>
      </c>
      <c r="BU23" s="33">
        <f>IFERROR(INDEX('[2]Sales per type Agustus'!$D$10:$BA$51,MATCH($C23,'[2]Sales per type Agustus'!$B$10:$B$51,0),MATCH("IQOO 15R",'[2]Sales per type Agustus'!$D$8:$BA$8,0)),0)</f>
        <v>0</v>
      </c>
      <c r="BV23" s="33">
        <f t="shared" si="22"/>
        <v>0</v>
      </c>
      <c r="BW23" s="33" cm="1">
        <f t="array" ref="BW23">IFERROR(INDEX('[2]SALES PERTYPE'!$D$10:$BA$52,MATCH($C23,'[2]SALES PERTYPE'!$B$10:$B$52,0),MATCH("IQOO 15R",'[2]SALES PERTYPE'!$D$8:$BA$8,0)+1),0)</f>
        <v>0</v>
      </c>
      <c r="BX23" s="33" cm="1">
        <f t="array" ref="BX23">IFERROR(INDEX('[2]Sales per type Agustus'!$D$10:$BA$51,MATCH($C23,'[2]Sales per type Agustus'!$B$10:$B$51,0),MATCH("IQOO 15R",'[2]Sales per type Agustus'!$D$8:$BA$8,0)+1),0)</f>
        <v>0</v>
      </c>
      <c r="BY23" s="33">
        <f t="shared" si="23"/>
        <v>0</v>
      </c>
      <c r="BZ23" s="33">
        <f>IFERROR(INDEX('[2]SALES PERTYPE'!$D$10:$BA$52,MATCH($C23,'[2]SALES PERTYPE'!$B$10:$B$52,0),MATCH("V60 Lite",'[2]SALES PERTYPE'!$D$8:$BA$8,0)),0)</f>
        <v>1</v>
      </c>
      <c r="CA23" s="33">
        <f>IFERROR(INDEX('[2]Sales per type Agustus'!$D$10:$BA$51,MATCH($C23,'[2]Sales per type Agustus'!$B$10:$B$51,0),MATCH("V60 Lite",'[2]Sales per type Agustus'!$D$8:$BA$8,0)),0)</f>
        <v>2</v>
      </c>
      <c r="CB23" s="33">
        <f t="shared" si="24"/>
        <v>-1</v>
      </c>
      <c r="CC23" s="33" cm="1">
        <f t="array" ref="CC23">IFERROR(INDEX('[2]SALES PERTYPE'!$D$10:$BA$52,MATCH($C23,'[2]SALES PERTYPE'!$B$10:$B$52,0),MATCH("V60 Lite",'[2]SALES PERTYPE'!$D$8:$BA$8,0)+1),0)</f>
        <v>5899000</v>
      </c>
      <c r="CD23" s="33" cm="1">
        <f t="array" ref="CD23">IFERROR(INDEX('[2]Sales per type Agustus'!$D$10:$BA$51,MATCH($C23,'[2]Sales per type Agustus'!$B$10:$B$51,0),MATCH("V60 Lite",'[2]Sales per type Agustus'!$D$8:$BA$8,0)+1),0)</f>
        <v>10598000</v>
      </c>
      <c r="CE23" s="33">
        <f t="shared" si="25"/>
        <v>-4699000</v>
      </c>
      <c r="CF23" s="33">
        <f>IFERROR(INDEX('[2]SALES PERTYPE'!$D$10:$BA$52,MATCH($C23,'[2]SALES PERTYPE'!$B$10:$B$52,0),MATCH("X300 Ultra",'[2]SALES PERTYPE'!$D$8:$BA$8,0)),0)</f>
        <v>0</v>
      </c>
      <c r="CG23" s="33">
        <f>IFERROR(INDEX('[2]Sales per type Agustus'!$D$10:$BA$51,MATCH($C23,'[2]Sales per type Agustus'!$B$10:$B$51,0),MATCH("X300 Ultra",'[2]Sales per type Agustus'!$D$8:$BA$8,0)),0)</f>
        <v>0</v>
      </c>
      <c r="CH23" s="33">
        <f t="shared" si="26"/>
        <v>0</v>
      </c>
      <c r="CI23" s="33" cm="1">
        <f t="array" ref="CI23">IFERROR(INDEX('[2]SALES PERTYPE'!$D$10:$BA$52,MATCH($C23,'[2]SALES PERTYPE'!$B$10:$B$52,0),MATCH("X300 Ultra",'[2]SALES PERTYPE'!$D$8:$BA$8,0)+1),0)</f>
        <v>0</v>
      </c>
      <c r="CJ23" s="33" cm="1">
        <f t="array" ref="CJ23">IFERROR(INDEX('[2]Sales per type Agustus'!$D$10:$BA$51,MATCH($C23,'[2]Sales per type Agustus'!$B$10:$B$51,0),MATCH("X300 Ultra",'[2]Sales per type Agustus'!$D$8:$BA$8,0)+1),0)</f>
        <v>0</v>
      </c>
      <c r="CK23" s="33">
        <f t="shared" si="27"/>
        <v>0</v>
      </c>
      <c r="CL23" s="33">
        <f>IFERROR(INDEX('[2]SALES PERTYPE'!$D$10:$BA$52,MATCH($C23,'[2]SALES PERTYPE'!$B$10:$B$52,0),MATCH("IQOO 15",'[2]SALES PERTYPE'!$D$8:$BA$8,0)),0)</f>
        <v>0</v>
      </c>
      <c r="CM23" s="33">
        <f>IFERROR(INDEX('[2]Sales per type Agustus'!$D$10:$BA$51,MATCH($C23,'[2]Sales per type Agustus'!$B$10:$B$51,0),MATCH("IQOO 15",'[2]Sales per type Agustus'!$D$8:$BA$8,0)),0)</f>
        <v>0</v>
      </c>
      <c r="CN23" s="33">
        <f t="shared" si="28"/>
        <v>0</v>
      </c>
      <c r="CO23" s="33" cm="1">
        <f t="array" ref="CO23">IFERROR(INDEX('[2]SALES PERTYPE'!$D$10:$BA$52,MATCH($C23,'[2]SALES PERTYPE'!$B$10:$B$52,0),MATCH("IQOO 15",'[2]SALES PERTYPE'!$D$8:$BA$8,0)+1),0)</f>
        <v>0</v>
      </c>
      <c r="CP23" s="33" cm="1">
        <f t="array" ref="CP23">IFERROR(INDEX('[2]Sales per type Agustus'!$D$10:$BA$51,MATCH($C23,'[2]Sales per type Agustus'!$B$10:$B$51,0),MATCH("IQOO 15",'[2]Sales per type Agustus'!$D$8:$BA$8,0)+1),0)</f>
        <v>0</v>
      </c>
      <c r="CQ23" s="33">
        <f t="shared" si="29"/>
        <v>0</v>
      </c>
      <c r="CR23" s="33">
        <f>IFERROR(INDEX('[2]SALES PERTYPE'!$D$10:$BA$52,MATCH($C23,'[2]SALES PERTYPE'!$B$10:$B$52,0),MATCH("IQOO Z11x",'[2]SALES PERTYPE'!$D$8:$BA$8,0)),0)</f>
        <v>0</v>
      </c>
      <c r="CS23" s="33">
        <f>IFERROR(INDEX('[2]Sales per type Agustus'!$D$10:$BA$51,MATCH($C23,'[2]Sales per type Agustus'!$B$10:$B$51,0),MATCH("IQOO Z11x",'[2]Sales per type Agustus'!$D$8:$BA$8,0)),0)</f>
        <v>0</v>
      </c>
      <c r="CT23" s="33">
        <f t="shared" si="30"/>
        <v>0</v>
      </c>
      <c r="CU23" s="33" cm="1">
        <f t="array" ref="CU23">IFERROR(INDEX('[2]SALES PERTYPE'!$D$10:$BA$52,MATCH($C23,'[2]SALES PERTYPE'!$B$10:$B$52,0),MATCH("IQOO Z11x",'[2]SALES PERTYPE'!$D$8:$BA$8,0)+1),0)</f>
        <v>0</v>
      </c>
      <c r="CV23" s="33" cm="1">
        <f t="array" ref="CV23">IFERROR(INDEX('[2]Sales per type Agustus'!$D$10:$BA$51,MATCH($C23,'[2]Sales per type Agustus'!$B$10:$B$51,0),MATCH("IQOO Z11x",'[2]Sales per type Agustus'!$D$8:$BA$8,0)+1),0)</f>
        <v>0</v>
      </c>
      <c r="CW23" s="33">
        <f t="shared" si="31"/>
        <v>0</v>
      </c>
      <c r="CX23" s="33">
        <f>IFERROR(INDEX('[2]SALES PERTYPE'!$D$10:$BA$52,MATCH($C23,'[2]SALES PERTYPE'!$B$10:$B$52,0),MATCH("IQOO Z11",'[2]SALES PERTYPE'!$D$8:$BA$8,0)),0)</f>
        <v>1</v>
      </c>
      <c r="CY23" s="33">
        <f>IFERROR(INDEX('[2]Sales per type Agustus'!$D$10:$BA$51,MATCH($C23,'[2]Sales per type Agustus'!$B$10:$B$51,0),MATCH("IQOO Z11",'[2]Sales per type Agustus'!$D$8:$BA$8,0)),0)</f>
        <v>1</v>
      </c>
      <c r="CZ23" s="33">
        <f t="shared" si="32"/>
        <v>0</v>
      </c>
      <c r="DA23" s="33" cm="1">
        <f t="array" ref="DA23">IFERROR(INDEX('[2]SALES PERTYPE'!$D$10:$BA$52,MATCH($C23,'[2]SALES PERTYPE'!$B$10:$B$52,0),MATCH("IQOO Z11",'[2]SALES PERTYPE'!$D$8:$BA$8,0)+1),0)</f>
        <v>8399000</v>
      </c>
      <c r="DB23" s="33" cm="1">
        <f t="array" ref="DB23">IFERROR(INDEX('[2]Sales per type Agustus'!$D$10:$BA$51,MATCH($C23,'[2]Sales per type Agustus'!$B$10:$B$51,0),MATCH("IQOO Z11",'[2]Sales per type Agustus'!$D$8:$BA$8,0)+1),0)</f>
        <v>6899000</v>
      </c>
      <c r="DC23" s="33">
        <f t="shared" si="33"/>
        <v>1500000</v>
      </c>
      <c r="DD23" s="33">
        <f>IFERROR(INDEX('[2]SALES PERTYPE'!$D$10:$BA$52,MATCH($C23,'[2]SALES PERTYPE'!$B$10:$B$52,0),MATCH("WATCH 3",'[2]SALES PERTYPE'!$D$8:$BA$8,0)),0)</f>
        <v>0</v>
      </c>
      <c r="DE23" s="33">
        <f>IFERROR(INDEX('[2]Sales per type Agustus'!$D$10:$BA$51,MATCH($C23,'[2]Sales per type Agustus'!$B$10:$B$51,0),MATCH("WATCH 3",'[2]Sales per type Agustus'!$D$8:$BA$8,0)),0)</f>
        <v>0</v>
      </c>
      <c r="DF23" s="33">
        <f t="shared" si="34"/>
        <v>0</v>
      </c>
      <c r="DG23" s="33" cm="1">
        <f t="array" ref="DG23">IFERROR(INDEX('[2]SALES PERTYPE'!$D$10:$BA$52,MATCH($C23,'[2]SALES PERTYPE'!$B$10:$B$52,0),MATCH("WATCH 3",'[2]SALES PERTYPE'!$D$8:$BA$8,0)+1),0)</f>
        <v>0</v>
      </c>
      <c r="DH23" s="33" cm="1">
        <f t="array" ref="DH23">IFERROR(INDEX('[2]Sales per type Agustus'!$D$10:$BA$51,MATCH($C23,'[2]Sales per type Agustus'!$B$10:$B$51,0),MATCH("WATCH 3",'[2]Sales per type Agustus'!$D$8:$BA$8,0)+1),0)</f>
        <v>0</v>
      </c>
      <c r="DI23" s="33">
        <f t="shared" si="35"/>
        <v>0</v>
      </c>
      <c r="DJ23" s="33">
        <f>IFERROR(INDEX('[2]SALES PERTYPE'!$D$10:$BA$52,MATCH($C23,'[2]SALES PERTYPE'!$B$10:$B$52,0),MATCH("X Fold5",'[2]SALES PERTYPE'!$D$8:$BA$8,0)),0)</f>
        <v>0</v>
      </c>
      <c r="DK23" s="33">
        <f>IFERROR(INDEX('[2]Sales per type Agustus'!$D$10:$BA$51,MATCH($C23,'[2]Sales per type Agustus'!$B$10:$B$51,0),MATCH("X Fold5",'[2]Sales per type Agustus'!$D$8:$BA$8,0)),0)</f>
        <v>0</v>
      </c>
      <c r="DL23" s="33">
        <f t="shared" si="36"/>
        <v>0</v>
      </c>
      <c r="DM23" s="33" cm="1">
        <f t="array" ref="DM23">IFERROR(INDEX('[2]SALES PERTYPE'!$D$10:$BA$52,MATCH($C23,'[2]SALES PERTYPE'!$B$10:$B$52,0),MATCH("X Fold5",'[2]SALES PERTYPE'!$D$8:$BA$8,0)+1),0)</f>
        <v>0</v>
      </c>
      <c r="DN23" s="33" cm="1">
        <f t="array" ref="DN23">IFERROR(INDEX('[2]Sales per type Agustus'!$D$10:$BA$51,MATCH($C23,'[2]Sales per type Agustus'!$B$10:$B$51,0),MATCH("X Fold5",'[2]Sales per type Agustus'!$D$8:$BA$8,0)+1),0)</f>
        <v>0</v>
      </c>
      <c r="DO23" s="33">
        <f t="shared" si="37"/>
        <v>0</v>
      </c>
      <c r="DP23" s="33">
        <f>IFERROR(INDEX('[2]SALES PERTYPE'!$D$10:$BA$52,MATCH($C23,'[2]SALES PERTYPE'!$B$10:$B$52,0),MATCH("X300 PRO",'[2]SALES PERTYPE'!$D$8:$BA$8,0)),0)</f>
        <v>0</v>
      </c>
      <c r="DQ23" s="33">
        <f>IFERROR(INDEX('[2]Sales per type Agustus'!$D$10:$BA$51,MATCH($C23,'[2]Sales per type Agustus'!$B$10:$B$51,0),MATCH("X300 PRO",'[2]Sales per type Agustus'!$D$8:$BA$8,0)),0)</f>
        <v>0</v>
      </c>
      <c r="DR23" s="33">
        <f t="shared" si="38"/>
        <v>0</v>
      </c>
      <c r="DS23" s="33" cm="1">
        <f t="array" ref="DS23">IFERROR(INDEX('[2]SALES PERTYPE'!$D$10:$BA$52,MATCH($C23,'[2]SALES PERTYPE'!$B$10:$B$52,0),MATCH("X300 PRO",'[2]SALES PERTYPE'!$D$8:$BA$8,0)+1),0)</f>
        <v>0</v>
      </c>
      <c r="DT23" s="33" cm="1">
        <f t="array" ref="DT23">IFERROR(INDEX('[2]Sales per type Agustus'!$D$10:$BA$51,MATCH($C23,'[2]Sales per type Agustus'!$B$10:$B$51,0),MATCH("X300 PRO",'[2]Sales per type Agustus'!$D$8:$BA$8,0)+1),0)</f>
        <v>0</v>
      </c>
      <c r="DU23" s="33">
        <f t="shared" si="39"/>
        <v>0</v>
      </c>
      <c r="DV23" s="33">
        <f>IFERROR(INDEX('[2]SALES PERTYPE'!$D$10:$BA$52,MATCH($C23,'[2]SALES PERTYPE'!$B$10:$B$52,0),MATCH("X300",'[2]SALES PERTYPE'!$D$8:$BA$8,0)),0)</f>
        <v>0</v>
      </c>
      <c r="DW23" s="33">
        <f>IFERROR(INDEX('[2]Sales per type Agustus'!$D$10:$BA$51,MATCH($C23,'[2]Sales per type Agustus'!$B$10:$B$51,0),MATCH("X300 ",'[2]Sales per type Agustus'!$D$8:$BA$8,0)),0)</f>
        <v>0</v>
      </c>
      <c r="DX23" s="33">
        <f t="shared" si="40"/>
        <v>0</v>
      </c>
      <c r="DY23" s="33" cm="1">
        <f t="array" ref="DY23">IFERROR(INDEX('[2]SALES PERTYPE'!$D$10:$BA$52,MATCH($C23,'[2]SALES PERTYPE'!$B$10:$B$52,0),MATCH("X300",'[2]SALES PERTYPE'!$D$8:$BA$8,0)+1),0)</f>
        <v>0</v>
      </c>
      <c r="DZ23" s="33" cm="1">
        <f t="array" ref="DZ23">IFERROR(INDEX('[2]Sales per type Agustus'!$D$10:$BA$51,MATCH($C23,'[2]Sales per type Agustus'!$B$10:$B$51,0),MATCH("X300 ",'[2]Sales per type Agustus'!$D$8:$BA$8,0)+1),0)</f>
        <v>0</v>
      </c>
      <c r="EA23" s="33">
        <f t="shared" si="41"/>
        <v>0</v>
      </c>
      <c r="EB23" s="33">
        <f t="shared" si="42"/>
        <v>22</v>
      </c>
      <c r="EC23" s="33">
        <f t="shared" si="42"/>
        <v>27</v>
      </c>
      <c r="ED23" s="33">
        <f t="shared" si="43"/>
        <v>-5</v>
      </c>
      <c r="EE23" s="33">
        <f t="shared" si="44"/>
        <v>74678000</v>
      </c>
      <c r="EF23" s="33">
        <f t="shared" si="44"/>
        <v>105273000</v>
      </c>
      <c r="EG23" s="33">
        <f t="shared" si="45"/>
        <v>-30595000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5">
        <f>'[2]ACHIEVEMENT STORE'!A24</f>
        <v>20</v>
      </c>
      <c r="B24" s="216" t="str">
        <f>'[2]ACHIEVEMENT STORE'!B24</f>
        <v>618 茂物 BOGOR</v>
      </c>
      <c r="C24" s="215">
        <f>'[2]ACHIEVEMENT STORE'!C24</f>
        <v>6180707</v>
      </c>
      <c r="D24" s="216" t="str">
        <f>'[2]ACHIEVEMENT STORE'!D24</f>
        <v>6180707-BTM SC VIVO STORE</v>
      </c>
      <c r="E24" s="216" t="str">
        <f>'[2]ACHIEVEMENT STORE'!E24</f>
        <v>DANDI SURYA</v>
      </c>
      <c r="F24" s="33">
        <f>IFERROR(INDEX('[2]SALES PERTYPE'!$D$10:$BA$52,MATCH($C24,'[2]SALES PERTYPE'!$B$10:$B$52,0),MATCH("Y05",'[2]SALES PERTYPE'!$D$8:$BA$8,0)),0)</f>
        <v>1</v>
      </c>
      <c r="G24" s="33">
        <f>IFERROR(INDEX('[2]Sales per type Agustus'!$D$10:$BA$51,MATCH($C24,'[2]Sales per type Agustus'!$B$10:$B$51,0),MATCH("Y05",'[2]Sales per type Agustus'!$D$8:$BA$8,0)),0)</f>
        <v>0</v>
      </c>
      <c r="H24" s="33">
        <f t="shared" si="0"/>
        <v>1</v>
      </c>
      <c r="I24" s="33" cm="1">
        <f t="array" ref="I24">IFERROR(INDEX('[2]SALES PERTYPE'!$D$10:$BA$52,MATCH($C24,'[2]SALES PERTYPE'!$B$10:$B$52,0),MATCH("Y05",'[2]SALES PERTYPE'!$D$8:$BA$8,0)+1),0)</f>
        <v>2299000</v>
      </c>
      <c r="J24" s="33" cm="1">
        <f t="array" ref="J24">IFERROR(INDEX('[2]Sales per type Agustus'!$D$10:$BA$51,MATCH($C24,'[2]Sales per type Agustus'!$B$10:$B$51,0),MATCH("Y05",'[2]Sales per type Agustus'!$D$8:$BA$8,0)+1),0)</f>
        <v>0</v>
      </c>
      <c r="K24" s="33">
        <f t="shared" si="1"/>
        <v>2299000</v>
      </c>
      <c r="L24" s="33">
        <f>IFERROR(INDEX('[2]SALES PERTYPE'!$D$10:$BA$52,MATCH($C24,'[2]SALES PERTYPE'!$B$10:$B$52,0),MATCH("Y11d",'[2]SALES PERTYPE'!$D$8:$BA$8,0)),0)</f>
        <v>1</v>
      </c>
      <c r="M24" s="33">
        <f>IFERROR(INDEX('[2]Sales per type Agustus'!$D$10:$BA$51,MATCH($C24,'[2]Sales per type Agustus'!$B$10:$B$51,0),MATCH("Y11d",'[2]Sales per type Agustus'!$D$8:$BA$8,0)),0)</f>
        <v>2</v>
      </c>
      <c r="N24" s="33">
        <f t="shared" si="2"/>
        <v>-1</v>
      </c>
      <c r="O24" s="33" cm="1">
        <f t="array" ref="O24">IFERROR(INDEX('[2]SALES PERTYPE'!$D$10:$BA$52,MATCH($C24,'[2]SALES PERTYPE'!$B$10:$B$52,0),MATCH("Y11d",'[2]SALES PERTYPE'!$D$8:$BA$8,0)+1),0)</f>
        <v>2799000</v>
      </c>
      <c r="P24" s="33" cm="1">
        <f t="array" ref="P24">IFERROR(INDEX('[2]Sales per type Agustus'!$D$10:$BA$51,MATCH($C24,'[2]Sales per type Agustus'!$B$10:$B$51,0),MATCH("Y11d",'[2]Sales per type Agustus'!$D$8:$BA$8,0)+1),0)</f>
        <v>5598000</v>
      </c>
      <c r="Q24" s="33">
        <f t="shared" si="3"/>
        <v>-2799000</v>
      </c>
      <c r="R24" s="33">
        <f>IFERROR(INDEX('[2]SALES PERTYPE'!$D$10:$BA$52,MATCH($C24,'[2]SALES PERTYPE'!$B$10:$B$52,0),MATCH("Watch GT 2",'[2]SALES PERTYPE'!$D$8:$BA$8,0)),0)</f>
        <v>0</v>
      </c>
      <c r="S24" s="33">
        <f>IFERROR(INDEX('[2]Sales per type Agustus'!$D$10:$BA$51,MATCH($C24,'[2]Sales per type Agustus'!$B$10:$B$51,0),MATCH("Watch GT 2",'[2]Sales per type Agustus'!$D$8:$BA$8,0)),0)</f>
        <v>0</v>
      </c>
      <c r="T24" s="33">
        <f t="shared" si="4"/>
        <v>0</v>
      </c>
      <c r="U24" s="33" cm="1">
        <f t="array" ref="U24">IFERROR(INDEX('[2]SALES PERTYPE'!$D$10:$BA$52,MATCH($C24,'[2]SALES PERTYPE'!$B$10:$B$52,0),MATCH("Watch GT 2",'[2]SALES PERTYPE'!$D$8:$BA$8,0)+1),0)</f>
        <v>0</v>
      </c>
      <c r="V24" s="33" cm="1">
        <f t="array" ref="V24">IFERROR(INDEX('[2]Sales per type Agustus'!$D$10:$BA$51,MATCH($C24,'[2]Sales per type Agustus'!$B$10:$B$51,0),MATCH("Watch GT 2",'[2]Sales per type Agustus'!$D$8:$BA$8,0)+1),0)</f>
        <v>0</v>
      </c>
      <c r="W24" s="33">
        <f t="shared" si="5"/>
        <v>0</v>
      </c>
      <c r="X24" s="33">
        <f>IFERROR(INDEX('[2]SALES PERTYPE'!$D$10:$BA$52,MATCH($C24,'[2]SALES PERTYPE'!$B$10:$B$52,0),MATCH("Y05e",'[2]SALES PERTYPE'!$D$8:$BA$8,0)),0)</f>
        <v>0</v>
      </c>
      <c r="Y24" s="33">
        <f>IFERROR(INDEX('[2]Sales per type Agustus'!$D$10:$BA$51,MATCH($C24,'[2]Sales per type Agustus'!$B$10:$B$51,0),MATCH("Y05e",'[2]Sales per type Agustus'!$D$8:$BA$8,0)),0)</f>
        <v>0</v>
      </c>
      <c r="Z24" s="33">
        <f t="shared" si="6"/>
        <v>0</v>
      </c>
      <c r="AA24" s="33" cm="1">
        <f t="array" ref="AA24">IFERROR(INDEX('[2]SALES PERTYPE'!$D$10:$BA$52,MATCH($C24,'[2]SALES PERTYPE'!$B$10:$B$52,0),MATCH("Y05e",'[2]SALES PERTYPE'!$D$8:$BA$8,0)+1),0)</f>
        <v>0</v>
      </c>
      <c r="AB24" s="33" cm="1">
        <f t="array" ref="AB24">IFERROR(INDEX('[2]Sales per type Agustus'!$D$10:$BA$51,MATCH($C24,'[2]Sales per type Agustus'!$B$10:$B$51,0),MATCH("Y05e",'[2]Sales per type Agustus'!$D$8:$BA$8,0)+1),0)</f>
        <v>0</v>
      </c>
      <c r="AC24" s="33">
        <f t="shared" si="7"/>
        <v>0</v>
      </c>
      <c r="AD24" s="33">
        <f>IFERROR(INDEX('[2]SALES PERTYPE'!$D$10:$BA$52,MATCH($C24,'[2]SALES PERTYPE'!$B$10:$B$52,0),MATCH("V70",'[2]SALES PERTYPE'!$D$8:$BA$8,0)),0)</f>
        <v>0</v>
      </c>
      <c r="AE24" s="33">
        <f>IFERROR(INDEX('[2]Sales per type Agustus'!$D$10:$BA$51,MATCH($C24,'[2]Sales per type Agustus'!$B$10:$B$51,0),MATCH("V70",'[2]Sales per type Agustus'!$D$8:$BA$8,0)),0)</f>
        <v>0</v>
      </c>
      <c r="AF24" s="33">
        <f t="shared" si="8"/>
        <v>0</v>
      </c>
      <c r="AG24" s="33" cm="1">
        <f t="array" ref="AG24">IFERROR(INDEX('[2]SALES PERTYPE'!$D$10:$BA$52,MATCH($C24,'[2]SALES PERTYPE'!$B$10:$B$52,0),MATCH("V70",'[2]SALES PERTYPE'!$D$8:$BA$8,0)+1),0)</f>
        <v>0</v>
      </c>
      <c r="AH24" s="33" cm="1">
        <f t="array" ref="AH24">IFERROR(INDEX('[2]Sales per type Agustus'!$D$10:$BA$51,MATCH($C24,'[2]Sales per type Agustus'!$B$10:$B$51,0),MATCH("V70",'[2]Sales per type Agustus'!$D$8:$BA$8,0)+1),0)</f>
        <v>0</v>
      </c>
      <c r="AI24" s="33">
        <f t="shared" si="9"/>
        <v>0</v>
      </c>
      <c r="AJ24" s="33">
        <f>IFERROR(INDEX('[2]SALES PERTYPE'!$D$10:$BA$52,MATCH($C24,'[2]SALES PERTYPE'!$B$10:$B$52,0),MATCH("Y31d Pro",'[2]SALES PERTYPE'!$D$8:$BA$8,0)),0)</f>
        <v>1</v>
      </c>
      <c r="AK24" s="33">
        <f>IFERROR(INDEX('[2]Sales per type Agustus'!$D$10:$BA$51,MATCH($C24,'[2]Sales per type Agustus'!$B$10:$B$51,0),MATCH("Y31d Pro",'[2]Sales per type Agustus'!$D$8:$BA$8,0)),0)</f>
        <v>1</v>
      </c>
      <c r="AL24" s="33">
        <f t="shared" si="10"/>
        <v>0</v>
      </c>
      <c r="AM24" s="33" cm="1">
        <f t="array" ref="AM24">IFERROR(INDEX('[2]SALES PERTYPE'!$D$10:$BA$52,MATCH($C24,'[2]SALES PERTYPE'!$B$10:$B$52,0),MATCH("Y31d Pro",'[2]SALES PERTYPE'!$D$8:$BA$8,0)+1),0)</f>
        <v>4299000</v>
      </c>
      <c r="AN24" s="33" cm="1">
        <f t="array" ref="AN24">IFERROR(INDEX('[2]Sales per type Agustus'!$D$10:$BA$51,MATCH($C24,'[2]Sales per type Agustus'!$B$10:$B$51,0),MATCH("Y31d Pro",'[2]Sales per type Agustus'!$D$8:$BA$8,0)+1),0)</f>
        <v>4899000</v>
      </c>
      <c r="AO24" s="33">
        <f t="shared" si="11"/>
        <v>-600000</v>
      </c>
      <c r="AP24" s="33" cm="1">
        <f t="array" ref="AP24">IFERROR(INDEX('[2]SALES PERTYPE'!$D$10:$BA$52,MATCH($C24,'[2]SALES PERTYPE'!$B$10:$B$52,0),$EI$3),0)</f>
        <v>0</v>
      </c>
      <c r="AQ24" s="33" cm="1">
        <f t="array" ref="AQ24">IFERROR(INDEX('[2]Sales per type Agustus'!$D$10:$BA$51,MATCH($C24,'[2]Sales per type Agustus'!$B$10:$B$51,0),$EI$2),0)</f>
        <v>0</v>
      </c>
      <c r="AR24" s="33">
        <f t="shared" si="12"/>
        <v>0</v>
      </c>
      <c r="AS24" s="33" cm="1">
        <f t="array" ref="AS24">IFERROR(INDEX('[2]SALES PERTYPE'!$D$10:$BA$52,MATCH($C24,'[2]SALES PERTYPE'!$B$10:$B$52,0),$EI$3+1),0)</f>
        <v>0</v>
      </c>
      <c r="AT24" s="33" cm="1">
        <f t="array" ref="AT24">IFERROR(INDEX('[2]Sales per type Agustus'!$D$10:$BA$51,MATCH($C24,'[2]Sales per type Agustus'!$B$10:$B$51,0),$EI$2+1),0)</f>
        <v>0</v>
      </c>
      <c r="AU24" s="33">
        <f t="shared" si="13"/>
        <v>0</v>
      </c>
      <c r="AV24" s="33">
        <f>IFERROR(INDEX('[2]SALES PERTYPE'!$D$10:$BA$52,MATCH($C24,'[2]SALES PERTYPE'!$B$10:$B$52,0),MATCH("Y31d ",'[2]SALES PERTYPE'!$D$8:$BA$8,0)),0)</f>
        <v>0</v>
      </c>
      <c r="AW24" s="33">
        <f>IFERROR(INDEX('[2]Sales per type Agustus'!$D$10:$BA$51,MATCH($C24,'[2]Sales per type Agustus'!$B$10:$B$51,0),MATCH("Y31d ",'[2]Sales per type Agustus'!$D$8:$BA$8,0)),0)</f>
        <v>0</v>
      </c>
      <c r="AX24" s="33">
        <f t="shared" si="14"/>
        <v>0</v>
      </c>
      <c r="AY24" s="33" cm="1">
        <f t="array" ref="AY24">IFERROR(INDEX('[2]SALES PERTYPE'!$D$10:$BA$52,MATCH($C24,'[2]SALES PERTYPE'!$B$10:$B$52,0),MATCH("Y31d ",'[2]SALES PERTYPE'!$D$8:$BA$8,0)+1),0)</f>
        <v>0</v>
      </c>
      <c r="AZ24" s="33" cm="1">
        <f t="array" ref="AZ24">IFERROR(INDEX('[2]Sales per type Agustus'!$D$10:$BA$51,MATCH($C24,'[2]Sales per type Agustus'!$B$10:$B$51,0),MATCH("Y31d ",'[2]Sales per type Agustus'!$D$8:$BA$8,0)+1),0)</f>
        <v>0</v>
      </c>
      <c r="BA24" s="33">
        <f t="shared" si="15"/>
        <v>0</v>
      </c>
      <c r="BB24" s="33">
        <f>IFERROR(INDEX('[2]SALES PERTYPE'!$D$10:$BA$52,MATCH($C24,'[2]SALES PERTYPE'!$B$10:$B$52,0),MATCH("V70 FE",'[2]SALES PERTYPE'!$D$8:$BA$8,0)),0)</f>
        <v>0</v>
      </c>
      <c r="BC24" s="33">
        <f>IFERROR(INDEX('[2]Sales per type Agustus'!$D$10:$BA$51,MATCH($C24,'[2]Sales per type Agustus'!$B$10:$B$51,0),MATCH("V70 FE",'[2]Sales per type Agustus'!$D$8:$BA$8,0)),0)</f>
        <v>0</v>
      </c>
      <c r="BD24" s="33">
        <f t="shared" si="16"/>
        <v>0</v>
      </c>
      <c r="BE24" s="33" cm="1">
        <f t="array" ref="BE24">IFERROR(INDEX('[2]SALES PERTYPE'!$D$10:$BA$52,MATCH($C24,'[2]SALES PERTYPE'!$B$10:$B$52,0),MATCH("V70 FE",'[2]SALES PERTYPE'!$D$8:$BA$8,0)+1),0)</f>
        <v>0</v>
      </c>
      <c r="BF24" s="33" cm="1">
        <f t="array" ref="BF24">IFERROR(INDEX('[2]Sales per type Agustus'!$D$10:$BA$51,MATCH($C24,'[2]Sales per type Agustus'!$B$10:$B$51,0),MATCH("V70 FE",'[2]Sales per type Agustus'!$D$8:$BA$8,0)+1),0)</f>
        <v>0</v>
      </c>
      <c r="BG24" s="33">
        <f t="shared" si="17"/>
        <v>0</v>
      </c>
      <c r="BH24" s="33">
        <f>IFERROR(INDEX('[2]SALES PERTYPE'!$D$10:$BA$52,MATCH($C24,'[2]SALES PERTYPE'!$B$10:$B$52,0),MATCH("Y31d",'[2]SALES PERTYPE'!$D$8:$BA$8,0)),0)</f>
        <v>0</v>
      </c>
      <c r="BI24" s="33">
        <f>IFERROR(INDEX('[2]Sales per type Agustus'!$D$10:$BA$51,MATCH($C24,'[2]Sales per type Agustus'!$B$10:$B$51,0),MATCH("Y31d",'[2]Sales per type Agustus'!$D$8:$BA$8,0)),0)</f>
        <v>0</v>
      </c>
      <c r="BJ24" s="33">
        <f t="shared" si="18"/>
        <v>0</v>
      </c>
      <c r="BK24" s="33" cm="1">
        <f t="array" ref="BK24">IFERROR(INDEX('[2]SALES PERTYPE'!$D$10:$BA$52,MATCH($C24,'[2]SALES PERTYPE'!$B$10:$B$52,0),MATCH("Y31d",'[2]SALES PERTYPE'!$D$8:$BA$8,0)+1),0)</f>
        <v>0</v>
      </c>
      <c r="BL24" s="33" cm="1">
        <f t="array" ref="BL24">IFERROR(INDEX('[2]Sales per type Agustus'!$D$10:$BA$51,MATCH($C24,'[2]Sales per type Agustus'!$B$10:$B$51,0),MATCH("Y31d",'[2]Sales per type Agustus'!$D$8:$BA$8,0)+1),0)</f>
        <v>0</v>
      </c>
      <c r="BM24" s="33">
        <f t="shared" si="19"/>
        <v>0</v>
      </c>
      <c r="BN24" s="33">
        <f>IFERROR(INDEX('[2]SALES PERTYPE'!$D$10:$BA$52,MATCH($C24,'[2]SALES PERTYPE'!$B$10:$B$52,0),MATCH("Y500",'[2]SALES PERTYPE'!$D$8:$BA$8,0)),0)</f>
        <v>0</v>
      </c>
      <c r="BO24" s="33">
        <f>IFERROR(INDEX('[2]Sales per type Agustus'!$D$10:$BA$51,MATCH($C24,'[2]Sales per type Agustus'!$B$10:$B$51,0),MATCH("Y500",'[2]Sales per type Agustus'!$D$8:$BA$8,0)),0)</f>
        <v>0</v>
      </c>
      <c r="BP24" s="33">
        <f t="shared" si="20"/>
        <v>0</v>
      </c>
      <c r="BQ24" s="33" cm="1">
        <f t="array" ref="BQ24">IFERROR(INDEX('[2]SALES PERTYPE'!$D$10:$BA$52,MATCH($C24,'[2]SALES PERTYPE'!$B$10:$B$52,0),MATCH("Y500",'[2]SALES PERTYPE'!$D$8:$BA$8,0)+1),0)</f>
        <v>0</v>
      </c>
      <c r="BR24" s="33" cm="1">
        <f t="array" ref="BR24">IFERROR(INDEX('[2]Sales per type Agustus'!$D$10:$BA$51,MATCH($C24,'[2]Sales per type Agustus'!$B$10:$B$51,0),MATCH("Y500",'[2]Sales per type Agustus'!$D$8:$BA$8,0)+1),0)</f>
        <v>0</v>
      </c>
      <c r="BS24" s="33">
        <f t="shared" si="21"/>
        <v>0</v>
      </c>
      <c r="BT24" s="33">
        <f>IFERROR(INDEX('[2]SALES PERTYPE'!$D$10:$BA$52,MATCH($C24,'[2]SALES PERTYPE'!$B$10:$B$52,0),MATCH("IQOO 15R",'[2]SALES PERTYPE'!$D$8:$BA$8,0)),0)</f>
        <v>0</v>
      </c>
      <c r="BU24" s="33">
        <f>IFERROR(INDEX('[2]Sales per type Agustus'!$D$10:$BA$51,MATCH($C24,'[2]Sales per type Agustus'!$B$10:$B$51,0),MATCH("IQOO 15R",'[2]Sales per type Agustus'!$D$8:$BA$8,0)),0)</f>
        <v>0</v>
      </c>
      <c r="BV24" s="33">
        <f t="shared" si="22"/>
        <v>0</v>
      </c>
      <c r="BW24" s="33" cm="1">
        <f t="array" ref="BW24">IFERROR(INDEX('[2]SALES PERTYPE'!$D$10:$BA$52,MATCH($C24,'[2]SALES PERTYPE'!$B$10:$B$52,0),MATCH("IQOO 15R",'[2]SALES PERTYPE'!$D$8:$BA$8,0)+1),0)</f>
        <v>0</v>
      </c>
      <c r="BX24" s="33" cm="1">
        <f t="array" ref="BX24">IFERROR(INDEX('[2]Sales per type Agustus'!$D$10:$BA$51,MATCH($C24,'[2]Sales per type Agustus'!$B$10:$B$51,0),MATCH("IQOO 15R",'[2]Sales per type Agustus'!$D$8:$BA$8,0)+1),0)</f>
        <v>0</v>
      </c>
      <c r="BY24" s="33">
        <f t="shared" si="23"/>
        <v>0</v>
      </c>
      <c r="BZ24" s="33">
        <f>IFERROR(INDEX('[2]SALES PERTYPE'!$D$10:$BA$52,MATCH($C24,'[2]SALES PERTYPE'!$B$10:$B$52,0),MATCH("V60 Lite",'[2]SALES PERTYPE'!$D$8:$BA$8,0)),0)</f>
        <v>0</v>
      </c>
      <c r="CA24" s="33">
        <f>IFERROR(INDEX('[2]Sales per type Agustus'!$D$10:$BA$51,MATCH($C24,'[2]Sales per type Agustus'!$B$10:$B$51,0),MATCH("V60 Lite",'[2]Sales per type Agustus'!$D$8:$BA$8,0)),0)</f>
        <v>0</v>
      </c>
      <c r="CB24" s="33">
        <f t="shared" si="24"/>
        <v>0</v>
      </c>
      <c r="CC24" s="33" cm="1">
        <f t="array" ref="CC24">IFERROR(INDEX('[2]SALES PERTYPE'!$D$10:$BA$52,MATCH($C24,'[2]SALES PERTYPE'!$B$10:$B$52,0),MATCH("V60 Lite",'[2]SALES PERTYPE'!$D$8:$BA$8,0)+1),0)</f>
        <v>0</v>
      </c>
      <c r="CD24" s="33" cm="1">
        <f t="array" ref="CD24">IFERROR(INDEX('[2]Sales per type Agustus'!$D$10:$BA$51,MATCH($C24,'[2]Sales per type Agustus'!$B$10:$B$51,0),MATCH("V60 Lite",'[2]Sales per type Agustus'!$D$8:$BA$8,0)+1),0)</f>
        <v>0</v>
      </c>
      <c r="CE24" s="33">
        <f t="shared" si="25"/>
        <v>0</v>
      </c>
      <c r="CF24" s="33">
        <f>IFERROR(INDEX('[2]SALES PERTYPE'!$D$10:$BA$52,MATCH($C24,'[2]SALES PERTYPE'!$B$10:$B$52,0),MATCH("X300 Ultra",'[2]SALES PERTYPE'!$D$8:$BA$8,0)),0)</f>
        <v>0</v>
      </c>
      <c r="CG24" s="33">
        <f>IFERROR(INDEX('[2]Sales per type Agustus'!$D$10:$BA$51,MATCH($C24,'[2]Sales per type Agustus'!$B$10:$B$51,0),MATCH("X300 Ultra",'[2]Sales per type Agustus'!$D$8:$BA$8,0)),0)</f>
        <v>0</v>
      </c>
      <c r="CH24" s="33">
        <f t="shared" si="26"/>
        <v>0</v>
      </c>
      <c r="CI24" s="33" cm="1">
        <f t="array" ref="CI24">IFERROR(INDEX('[2]SALES PERTYPE'!$D$10:$BA$52,MATCH($C24,'[2]SALES PERTYPE'!$B$10:$B$52,0),MATCH("X300 Ultra",'[2]SALES PERTYPE'!$D$8:$BA$8,0)+1),0)</f>
        <v>0</v>
      </c>
      <c r="CJ24" s="33" cm="1">
        <f t="array" ref="CJ24">IFERROR(INDEX('[2]Sales per type Agustus'!$D$10:$BA$51,MATCH($C24,'[2]Sales per type Agustus'!$B$10:$B$51,0),MATCH("X300 Ultra",'[2]Sales per type Agustus'!$D$8:$BA$8,0)+1),0)</f>
        <v>0</v>
      </c>
      <c r="CK24" s="33">
        <f t="shared" si="27"/>
        <v>0</v>
      </c>
      <c r="CL24" s="33">
        <f>IFERROR(INDEX('[2]SALES PERTYPE'!$D$10:$BA$52,MATCH($C24,'[2]SALES PERTYPE'!$B$10:$B$52,0),MATCH("IQOO 15",'[2]SALES PERTYPE'!$D$8:$BA$8,0)),0)</f>
        <v>0</v>
      </c>
      <c r="CM24" s="33">
        <f>IFERROR(INDEX('[2]Sales per type Agustus'!$D$10:$BA$51,MATCH($C24,'[2]Sales per type Agustus'!$B$10:$B$51,0),MATCH("IQOO 15",'[2]Sales per type Agustus'!$D$8:$BA$8,0)),0)</f>
        <v>0</v>
      </c>
      <c r="CN24" s="33">
        <f t="shared" si="28"/>
        <v>0</v>
      </c>
      <c r="CO24" s="33" cm="1">
        <f t="array" ref="CO24">IFERROR(INDEX('[2]SALES PERTYPE'!$D$10:$BA$52,MATCH($C24,'[2]SALES PERTYPE'!$B$10:$B$52,0),MATCH("IQOO 15",'[2]SALES PERTYPE'!$D$8:$BA$8,0)+1),0)</f>
        <v>0</v>
      </c>
      <c r="CP24" s="33" cm="1">
        <f t="array" ref="CP24">IFERROR(INDEX('[2]Sales per type Agustus'!$D$10:$BA$51,MATCH($C24,'[2]Sales per type Agustus'!$B$10:$B$51,0),MATCH("IQOO 15",'[2]Sales per type Agustus'!$D$8:$BA$8,0)+1),0)</f>
        <v>0</v>
      </c>
      <c r="CQ24" s="33">
        <f t="shared" si="29"/>
        <v>0</v>
      </c>
      <c r="CR24" s="33">
        <f>IFERROR(INDEX('[2]SALES PERTYPE'!$D$10:$BA$52,MATCH($C24,'[2]SALES PERTYPE'!$B$10:$B$52,0),MATCH("IQOO Z11x",'[2]SALES PERTYPE'!$D$8:$BA$8,0)),0)</f>
        <v>0</v>
      </c>
      <c r="CS24" s="33">
        <f>IFERROR(INDEX('[2]Sales per type Agustus'!$D$10:$BA$51,MATCH($C24,'[2]Sales per type Agustus'!$B$10:$B$51,0),MATCH("IQOO Z11x",'[2]Sales per type Agustus'!$D$8:$BA$8,0)),0)</f>
        <v>0</v>
      </c>
      <c r="CT24" s="33">
        <f t="shared" si="30"/>
        <v>0</v>
      </c>
      <c r="CU24" s="33" cm="1">
        <f t="array" ref="CU24">IFERROR(INDEX('[2]SALES PERTYPE'!$D$10:$BA$52,MATCH($C24,'[2]SALES PERTYPE'!$B$10:$B$52,0),MATCH("IQOO Z11x",'[2]SALES PERTYPE'!$D$8:$BA$8,0)+1),0)</f>
        <v>0</v>
      </c>
      <c r="CV24" s="33" cm="1">
        <f t="array" ref="CV24">IFERROR(INDEX('[2]Sales per type Agustus'!$D$10:$BA$51,MATCH($C24,'[2]Sales per type Agustus'!$B$10:$B$51,0),MATCH("IQOO Z11x",'[2]Sales per type Agustus'!$D$8:$BA$8,0)+1),0)</f>
        <v>0</v>
      </c>
      <c r="CW24" s="33">
        <f t="shared" si="31"/>
        <v>0</v>
      </c>
      <c r="CX24" s="33">
        <f>IFERROR(INDEX('[2]SALES PERTYPE'!$D$10:$BA$52,MATCH($C24,'[2]SALES PERTYPE'!$B$10:$B$52,0),MATCH("IQOO Z11",'[2]SALES PERTYPE'!$D$8:$BA$8,0)),0)</f>
        <v>0</v>
      </c>
      <c r="CY24" s="33">
        <f>IFERROR(INDEX('[2]Sales per type Agustus'!$D$10:$BA$51,MATCH($C24,'[2]Sales per type Agustus'!$B$10:$B$51,0),MATCH("IQOO Z11",'[2]Sales per type Agustus'!$D$8:$BA$8,0)),0)</f>
        <v>0</v>
      </c>
      <c r="CZ24" s="33">
        <f t="shared" si="32"/>
        <v>0</v>
      </c>
      <c r="DA24" s="33" cm="1">
        <f t="array" ref="DA24">IFERROR(INDEX('[2]SALES PERTYPE'!$D$10:$BA$52,MATCH($C24,'[2]SALES PERTYPE'!$B$10:$B$52,0),MATCH("IQOO Z11",'[2]SALES PERTYPE'!$D$8:$BA$8,0)+1),0)</f>
        <v>0</v>
      </c>
      <c r="DB24" s="33" cm="1">
        <f t="array" ref="DB24">IFERROR(INDEX('[2]Sales per type Agustus'!$D$10:$BA$51,MATCH($C24,'[2]Sales per type Agustus'!$B$10:$B$51,0),MATCH("IQOO Z11",'[2]Sales per type Agustus'!$D$8:$BA$8,0)+1),0)</f>
        <v>0</v>
      </c>
      <c r="DC24" s="33">
        <f t="shared" si="33"/>
        <v>0</v>
      </c>
      <c r="DD24" s="33">
        <f>IFERROR(INDEX('[2]SALES PERTYPE'!$D$10:$BA$52,MATCH($C24,'[2]SALES PERTYPE'!$B$10:$B$52,0),MATCH("WATCH 3",'[2]SALES PERTYPE'!$D$8:$BA$8,0)),0)</f>
        <v>0</v>
      </c>
      <c r="DE24" s="33">
        <f>IFERROR(INDEX('[2]Sales per type Agustus'!$D$10:$BA$51,MATCH($C24,'[2]Sales per type Agustus'!$B$10:$B$51,0),MATCH("WATCH 3",'[2]Sales per type Agustus'!$D$8:$BA$8,0)),0)</f>
        <v>0</v>
      </c>
      <c r="DF24" s="33">
        <f t="shared" si="34"/>
        <v>0</v>
      </c>
      <c r="DG24" s="33" cm="1">
        <f t="array" ref="DG24">IFERROR(INDEX('[2]SALES PERTYPE'!$D$10:$BA$52,MATCH($C24,'[2]SALES PERTYPE'!$B$10:$B$52,0),MATCH("WATCH 3",'[2]SALES PERTYPE'!$D$8:$BA$8,0)+1),0)</f>
        <v>0</v>
      </c>
      <c r="DH24" s="33" cm="1">
        <f t="array" ref="DH24">IFERROR(INDEX('[2]Sales per type Agustus'!$D$10:$BA$51,MATCH($C24,'[2]Sales per type Agustus'!$B$10:$B$51,0),MATCH("WATCH 3",'[2]Sales per type Agustus'!$D$8:$BA$8,0)+1),0)</f>
        <v>0</v>
      </c>
      <c r="DI24" s="33">
        <f t="shared" si="35"/>
        <v>0</v>
      </c>
      <c r="DJ24" s="33">
        <f>IFERROR(INDEX('[2]SALES PERTYPE'!$D$10:$BA$52,MATCH($C24,'[2]SALES PERTYPE'!$B$10:$B$52,0),MATCH("X Fold5",'[2]SALES PERTYPE'!$D$8:$BA$8,0)),0)</f>
        <v>0</v>
      </c>
      <c r="DK24" s="33">
        <f>IFERROR(INDEX('[2]Sales per type Agustus'!$D$10:$BA$51,MATCH($C24,'[2]Sales per type Agustus'!$B$10:$B$51,0),MATCH("X Fold5",'[2]Sales per type Agustus'!$D$8:$BA$8,0)),0)</f>
        <v>0</v>
      </c>
      <c r="DL24" s="33">
        <f t="shared" si="36"/>
        <v>0</v>
      </c>
      <c r="DM24" s="33" cm="1">
        <f t="array" ref="DM24">IFERROR(INDEX('[2]SALES PERTYPE'!$D$10:$BA$52,MATCH($C24,'[2]SALES PERTYPE'!$B$10:$B$52,0),MATCH("X Fold5",'[2]SALES PERTYPE'!$D$8:$BA$8,0)+1),0)</f>
        <v>0</v>
      </c>
      <c r="DN24" s="33" cm="1">
        <f t="array" ref="DN24">IFERROR(INDEX('[2]Sales per type Agustus'!$D$10:$BA$51,MATCH($C24,'[2]Sales per type Agustus'!$B$10:$B$51,0),MATCH("X Fold5",'[2]Sales per type Agustus'!$D$8:$BA$8,0)+1),0)</f>
        <v>0</v>
      </c>
      <c r="DO24" s="33">
        <f t="shared" si="37"/>
        <v>0</v>
      </c>
      <c r="DP24" s="33">
        <f>IFERROR(INDEX('[2]SALES PERTYPE'!$D$10:$BA$52,MATCH($C24,'[2]SALES PERTYPE'!$B$10:$B$52,0),MATCH("X300 PRO",'[2]SALES PERTYPE'!$D$8:$BA$8,0)),0)</f>
        <v>0</v>
      </c>
      <c r="DQ24" s="33">
        <f>IFERROR(INDEX('[2]Sales per type Agustus'!$D$10:$BA$51,MATCH($C24,'[2]Sales per type Agustus'!$B$10:$B$51,0),MATCH("X300 PRO",'[2]Sales per type Agustus'!$D$8:$BA$8,0)),0)</f>
        <v>0</v>
      </c>
      <c r="DR24" s="33">
        <f t="shared" si="38"/>
        <v>0</v>
      </c>
      <c r="DS24" s="33" cm="1">
        <f t="array" ref="DS24">IFERROR(INDEX('[2]SALES PERTYPE'!$D$10:$BA$52,MATCH($C24,'[2]SALES PERTYPE'!$B$10:$B$52,0),MATCH("X300 PRO",'[2]SALES PERTYPE'!$D$8:$BA$8,0)+1),0)</f>
        <v>0</v>
      </c>
      <c r="DT24" s="33" cm="1">
        <f t="array" ref="DT24">IFERROR(INDEX('[2]Sales per type Agustus'!$D$10:$BA$51,MATCH($C24,'[2]Sales per type Agustus'!$B$10:$B$51,0),MATCH("X300 PRO",'[2]Sales per type Agustus'!$D$8:$BA$8,0)+1),0)</f>
        <v>0</v>
      </c>
      <c r="DU24" s="33">
        <f t="shared" si="39"/>
        <v>0</v>
      </c>
      <c r="DV24" s="33">
        <f>IFERROR(INDEX('[2]SALES PERTYPE'!$D$10:$BA$52,MATCH($C24,'[2]SALES PERTYPE'!$B$10:$B$52,0),MATCH("X300",'[2]SALES PERTYPE'!$D$8:$BA$8,0)),0)</f>
        <v>0</v>
      </c>
      <c r="DW24" s="33">
        <f>IFERROR(INDEX('[2]Sales per type Agustus'!$D$10:$BA$51,MATCH($C24,'[2]Sales per type Agustus'!$B$10:$B$51,0),MATCH("X300 ",'[2]Sales per type Agustus'!$D$8:$BA$8,0)),0)</f>
        <v>0</v>
      </c>
      <c r="DX24" s="33">
        <f t="shared" si="40"/>
        <v>0</v>
      </c>
      <c r="DY24" s="33" cm="1">
        <f t="array" ref="DY24">IFERROR(INDEX('[2]SALES PERTYPE'!$D$10:$BA$52,MATCH($C24,'[2]SALES PERTYPE'!$B$10:$B$52,0),MATCH("X300",'[2]SALES PERTYPE'!$D$8:$BA$8,0)+1),0)</f>
        <v>0</v>
      </c>
      <c r="DZ24" s="33" cm="1">
        <f t="array" ref="DZ24">IFERROR(INDEX('[2]Sales per type Agustus'!$D$10:$BA$51,MATCH($C24,'[2]Sales per type Agustus'!$B$10:$B$51,0),MATCH("X300 ",'[2]Sales per type Agustus'!$D$8:$BA$8,0)+1),0)</f>
        <v>0</v>
      </c>
      <c r="EA24" s="33">
        <f t="shared" si="41"/>
        <v>0</v>
      </c>
      <c r="EB24" s="33">
        <f t="shared" si="42"/>
        <v>3</v>
      </c>
      <c r="EC24" s="33">
        <f t="shared" si="42"/>
        <v>3</v>
      </c>
      <c r="ED24" s="33">
        <f t="shared" si="43"/>
        <v>0</v>
      </c>
      <c r="EE24" s="33">
        <f t="shared" si="44"/>
        <v>9397000</v>
      </c>
      <c r="EF24" s="33">
        <f t="shared" si="44"/>
        <v>10497000</v>
      </c>
      <c r="EG24" s="33">
        <f t="shared" si="45"/>
        <v>-1100000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'[2]ACHIEVEMENT STORE'!A25</f>
        <v>21</v>
      </c>
      <c r="B25" s="32" t="str">
        <f>'[2]ACHIEVEMENT STORE'!B25</f>
        <v>624-万丹BANTEN</v>
      </c>
      <c r="C25" s="31">
        <f>'[2]ACHIEVEMENT STORE'!C25</f>
        <v>6170707</v>
      </c>
      <c r="D25" s="32" t="str">
        <f>'[2]ACHIEVEMENT STORE'!D25</f>
        <v>6170707-TANGCITY LG BLOK D NO. 01D</v>
      </c>
      <c r="E25" s="32" t="str">
        <f>'[2]ACHIEVEMENT STORE'!E25</f>
        <v>ARIES FITRIYANTO</v>
      </c>
      <c r="F25" s="33">
        <f>IFERROR(INDEX('[2]SALES PERTYPE'!$D$10:$BA$52,MATCH($C25,'[2]SALES PERTYPE'!$B$10:$B$52,0),MATCH("Y05",'[2]SALES PERTYPE'!$D$8:$BA$8,0)),0)</f>
        <v>10</v>
      </c>
      <c r="G25" s="33">
        <f>IFERROR(INDEX('[2]Sales per type Agustus'!$D$10:$BA$51,MATCH($C25,'[2]Sales per type Agustus'!$B$10:$B$51,0),MATCH("Y05",'[2]Sales per type Agustus'!$D$8:$BA$8,0)),0)</f>
        <v>6</v>
      </c>
      <c r="H25" s="33">
        <f t="shared" si="0"/>
        <v>4</v>
      </c>
      <c r="I25" s="33" cm="1">
        <f t="array" ref="I25">IFERROR(INDEX('[2]SALES PERTYPE'!$D$10:$BA$52,MATCH($C25,'[2]SALES PERTYPE'!$B$10:$B$52,0),MATCH("Y05",'[2]SALES PERTYPE'!$D$8:$BA$8,0)+1),0)</f>
        <v>24490000</v>
      </c>
      <c r="J25" s="33" cm="1">
        <f t="array" ref="J25">IFERROR(INDEX('[2]Sales per type Agustus'!$D$10:$BA$51,MATCH($C25,'[2]Sales per type Agustus'!$B$10:$B$51,0),MATCH("Y05",'[2]Sales per type Agustus'!$D$8:$BA$8,0)+1),0)</f>
        <v>14694000</v>
      </c>
      <c r="K25" s="33">
        <f t="shared" si="1"/>
        <v>9796000</v>
      </c>
      <c r="L25" s="33">
        <f>IFERROR(INDEX('[2]SALES PERTYPE'!$D$10:$BA$52,MATCH($C25,'[2]SALES PERTYPE'!$B$10:$B$52,0),MATCH("Y11d",'[2]SALES PERTYPE'!$D$8:$BA$8,0)),0)</f>
        <v>5</v>
      </c>
      <c r="M25" s="33">
        <f>IFERROR(INDEX('[2]Sales per type Agustus'!$D$10:$BA$51,MATCH($C25,'[2]Sales per type Agustus'!$B$10:$B$51,0),MATCH("Y11d",'[2]Sales per type Agustus'!$D$8:$BA$8,0)),0)</f>
        <v>8</v>
      </c>
      <c r="N25" s="33">
        <f t="shared" si="2"/>
        <v>-3</v>
      </c>
      <c r="O25" s="33" cm="1">
        <f t="array" ref="O25">IFERROR(INDEX('[2]SALES PERTYPE'!$D$10:$BA$52,MATCH($C25,'[2]SALES PERTYPE'!$B$10:$B$52,0),MATCH("Y11d",'[2]SALES PERTYPE'!$D$8:$BA$8,0)+1),0)</f>
        <v>13195000</v>
      </c>
      <c r="P25" s="33" cm="1">
        <f t="array" ref="P25">IFERROR(INDEX('[2]Sales per type Agustus'!$D$10:$BA$51,MATCH($C25,'[2]Sales per type Agustus'!$B$10:$B$51,0),MATCH("Y11d",'[2]Sales per type Agustus'!$D$8:$BA$8,0)+1),0)</f>
        <v>21192000</v>
      </c>
      <c r="Q25" s="33">
        <f t="shared" si="3"/>
        <v>-7997000</v>
      </c>
      <c r="R25" s="33">
        <f>IFERROR(INDEX('[2]SALES PERTYPE'!$D$10:$BA$52,MATCH($C25,'[2]SALES PERTYPE'!$B$10:$B$52,0),MATCH("Watch GT 2",'[2]SALES PERTYPE'!$D$8:$BA$8,0)),0)</f>
        <v>0</v>
      </c>
      <c r="S25" s="33">
        <f>IFERROR(INDEX('[2]Sales per type Agustus'!$D$10:$BA$51,MATCH($C25,'[2]Sales per type Agustus'!$B$10:$B$51,0),MATCH("Watch GT 2",'[2]Sales per type Agustus'!$D$8:$BA$8,0)),0)</f>
        <v>0</v>
      </c>
      <c r="T25" s="33">
        <f t="shared" si="4"/>
        <v>0</v>
      </c>
      <c r="U25" s="33" cm="1">
        <f t="array" ref="U25">IFERROR(INDEX('[2]SALES PERTYPE'!$D$10:$BA$52,MATCH($C25,'[2]SALES PERTYPE'!$B$10:$B$52,0),MATCH("Watch GT 2",'[2]SALES PERTYPE'!$D$8:$BA$8,0)+1),0)</f>
        <v>0</v>
      </c>
      <c r="V25" s="33" cm="1">
        <f t="array" ref="V25">IFERROR(INDEX('[2]Sales per type Agustus'!$D$10:$BA$51,MATCH($C25,'[2]Sales per type Agustus'!$B$10:$B$51,0),MATCH("Watch GT 2",'[2]Sales per type Agustus'!$D$8:$BA$8,0)+1),0)</f>
        <v>0</v>
      </c>
      <c r="W25" s="33">
        <f t="shared" si="5"/>
        <v>0</v>
      </c>
      <c r="X25" s="33">
        <f>IFERROR(INDEX('[2]SALES PERTYPE'!$D$10:$BA$52,MATCH($C25,'[2]SALES PERTYPE'!$B$10:$B$52,0),MATCH("Y05e",'[2]SALES PERTYPE'!$D$8:$BA$8,0)),0)</f>
        <v>3</v>
      </c>
      <c r="Y25" s="33">
        <f>IFERROR(INDEX('[2]Sales per type Agustus'!$D$10:$BA$51,MATCH($C25,'[2]Sales per type Agustus'!$B$10:$B$51,0),MATCH("Y05e",'[2]Sales per type Agustus'!$D$8:$BA$8,0)),0)</f>
        <v>0</v>
      </c>
      <c r="Z25" s="33">
        <f t="shared" si="6"/>
        <v>3</v>
      </c>
      <c r="AA25" s="33" cm="1">
        <f t="array" ref="AA25">IFERROR(INDEX('[2]SALES PERTYPE'!$D$10:$BA$52,MATCH($C25,'[2]SALES PERTYPE'!$B$10:$B$52,0),MATCH("Y05e",'[2]SALES PERTYPE'!$D$8:$BA$8,0)+1),0)</f>
        <v>6297000</v>
      </c>
      <c r="AB25" s="33" cm="1">
        <f t="array" ref="AB25">IFERROR(INDEX('[2]Sales per type Agustus'!$D$10:$BA$51,MATCH($C25,'[2]Sales per type Agustus'!$B$10:$B$51,0),MATCH("Y05e",'[2]Sales per type Agustus'!$D$8:$BA$8,0)+1),0)</f>
        <v>0</v>
      </c>
      <c r="AC25" s="33">
        <f t="shared" si="7"/>
        <v>6297000</v>
      </c>
      <c r="AD25" s="33">
        <f>IFERROR(INDEX('[2]SALES PERTYPE'!$D$10:$BA$52,MATCH($C25,'[2]SALES PERTYPE'!$B$10:$B$52,0),MATCH("V70",'[2]SALES PERTYPE'!$D$8:$BA$8,0)),0)</f>
        <v>1</v>
      </c>
      <c r="AE25" s="33">
        <f>IFERROR(INDEX('[2]Sales per type Agustus'!$D$10:$BA$51,MATCH($C25,'[2]Sales per type Agustus'!$B$10:$B$51,0),MATCH("V70",'[2]Sales per type Agustus'!$D$8:$BA$8,0)),0)</f>
        <v>0</v>
      </c>
      <c r="AF25" s="33">
        <f t="shared" si="8"/>
        <v>1</v>
      </c>
      <c r="AG25" s="33" cm="1">
        <f t="array" ref="AG25">IFERROR(INDEX('[2]SALES PERTYPE'!$D$10:$BA$52,MATCH($C25,'[2]SALES PERTYPE'!$B$10:$B$52,0),MATCH("V70",'[2]SALES PERTYPE'!$D$8:$BA$8,0)+1),0)</f>
        <v>9999000</v>
      </c>
      <c r="AH25" s="33" cm="1">
        <f t="array" ref="AH25">IFERROR(INDEX('[2]Sales per type Agustus'!$D$10:$BA$51,MATCH($C25,'[2]Sales per type Agustus'!$B$10:$B$51,0),MATCH("V70",'[2]Sales per type Agustus'!$D$8:$BA$8,0)+1),0)</f>
        <v>0</v>
      </c>
      <c r="AI25" s="33">
        <f t="shared" si="9"/>
        <v>9999000</v>
      </c>
      <c r="AJ25" s="33">
        <f>IFERROR(INDEX('[2]SALES PERTYPE'!$D$10:$BA$52,MATCH($C25,'[2]SALES PERTYPE'!$B$10:$B$52,0),MATCH("Y31d Pro",'[2]SALES PERTYPE'!$D$8:$BA$8,0)),0)</f>
        <v>1</v>
      </c>
      <c r="AK25" s="33">
        <f>IFERROR(INDEX('[2]Sales per type Agustus'!$D$10:$BA$51,MATCH($C25,'[2]Sales per type Agustus'!$B$10:$B$51,0),MATCH("Y31d Pro",'[2]Sales per type Agustus'!$D$8:$BA$8,0)),0)</f>
        <v>0</v>
      </c>
      <c r="AL25" s="33">
        <f t="shared" si="10"/>
        <v>1</v>
      </c>
      <c r="AM25" s="33" cm="1">
        <f t="array" ref="AM25">IFERROR(INDEX('[2]SALES PERTYPE'!$D$10:$BA$52,MATCH($C25,'[2]SALES PERTYPE'!$B$10:$B$52,0),MATCH("Y31d Pro",'[2]SALES PERTYPE'!$D$8:$BA$8,0)+1),0)</f>
        <v>3899000</v>
      </c>
      <c r="AN25" s="33" cm="1">
        <f t="array" ref="AN25">IFERROR(INDEX('[2]Sales per type Agustus'!$D$10:$BA$51,MATCH($C25,'[2]Sales per type Agustus'!$B$10:$B$51,0),MATCH("Y31d Pro",'[2]Sales per type Agustus'!$D$8:$BA$8,0)+1),0)</f>
        <v>0</v>
      </c>
      <c r="AO25" s="33">
        <f t="shared" si="11"/>
        <v>3899000</v>
      </c>
      <c r="AP25" s="33" cm="1">
        <f t="array" ref="AP25">IFERROR(INDEX('[2]SALES PERTYPE'!$D$10:$BA$52,MATCH($C25,'[2]SALES PERTYPE'!$B$10:$B$52,0),$EI$3),0)</f>
        <v>0</v>
      </c>
      <c r="AQ25" s="33" cm="1">
        <f t="array" ref="AQ25">IFERROR(INDEX('[2]Sales per type Agustus'!$D$10:$BA$51,MATCH($C25,'[2]Sales per type Agustus'!$B$10:$B$51,0),$EI$2),0)</f>
        <v>0</v>
      </c>
      <c r="AR25" s="33">
        <f t="shared" si="12"/>
        <v>0</v>
      </c>
      <c r="AS25" s="33" cm="1">
        <f t="array" ref="AS25">IFERROR(INDEX('[2]SALES PERTYPE'!$D$10:$BA$52,MATCH($C25,'[2]SALES PERTYPE'!$B$10:$B$52,0),$EI$3+1),0)</f>
        <v>0</v>
      </c>
      <c r="AT25" s="33" cm="1">
        <f t="array" ref="AT25">IFERROR(INDEX('[2]Sales per type Agustus'!$D$10:$BA$51,MATCH($C25,'[2]Sales per type Agustus'!$B$10:$B$51,0),$EI$2+1),0)</f>
        <v>0</v>
      </c>
      <c r="AU25" s="33">
        <f t="shared" si="13"/>
        <v>0</v>
      </c>
      <c r="AV25" s="33">
        <f>IFERROR(INDEX('[2]SALES PERTYPE'!$D$10:$BA$52,MATCH($C25,'[2]SALES PERTYPE'!$B$10:$B$52,0),MATCH("Y31d ",'[2]SALES PERTYPE'!$D$8:$BA$8,0)),0)</f>
        <v>0</v>
      </c>
      <c r="AW25" s="33">
        <f>IFERROR(INDEX('[2]Sales per type Agustus'!$D$10:$BA$51,MATCH($C25,'[2]Sales per type Agustus'!$B$10:$B$51,0),MATCH("Y31d ",'[2]Sales per type Agustus'!$D$8:$BA$8,0)),0)</f>
        <v>0</v>
      </c>
      <c r="AX25" s="33">
        <f t="shared" si="14"/>
        <v>0</v>
      </c>
      <c r="AY25" s="33" cm="1">
        <f t="array" ref="AY25">IFERROR(INDEX('[2]SALES PERTYPE'!$D$10:$BA$52,MATCH($C25,'[2]SALES PERTYPE'!$B$10:$B$52,0),MATCH("Y31d ",'[2]SALES PERTYPE'!$D$8:$BA$8,0)+1),0)</f>
        <v>0</v>
      </c>
      <c r="AZ25" s="33" cm="1">
        <f t="array" ref="AZ25">IFERROR(INDEX('[2]Sales per type Agustus'!$D$10:$BA$51,MATCH($C25,'[2]Sales per type Agustus'!$B$10:$B$51,0),MATCH("Y31d ",'[2]Sales per type Agustus'!$D$8:$BA$8,0)+1),0)</f>
        <v>0</v>
      </c>
      <c r="BA25" s="33">
        <f t="shared" si="15"/>
        <v>0</v>
      </c>
      <c r="BB25" s="33">
        <f>IFERROR(INDEX('[2]SALES PERTYPE'!$D$10:$BA$52,MATCH($C25,'[2]SALES PERTYPE'!$B$10:$B$52,0),MATCH("V70 FE",'[2]SALES PERTYPE'!$D$8:$BA$8,0)),0)</f>
        <v>0</v>
      </c>
      <c r="BC25" s="33">
        <f>IFERROR(INDEX('[2]Sales per type Agustus'!$D$10:$BA$51,MATCH($C25,'[2]Sales per type Agustus'!$B$10:$B$51,0),MATCH("V70 FE",'[2]Sales per type Agustus'!$D$8:$BA$8,0)),0)</f>
        <v>0</v>
      </c>
      <c r="BD25" s="33">
        <f t="shared" si="16"/>
        <v>0</v>
      </c>
      <c r="BE25" s="33" cm="1">
        <f t="array" ref="BE25">IFERROR(INDEX('[2]SALES PERTYPE'!$D$10:$BA$52,MATCH($C25,'[2]SALES PERTYPE'!$B$10:$B$52,0),MATCH("V70 FE",'[2]SALES PERTYPE'!$D$8:$BA$8,0)+1),0)</f>
        <v>0</v>
      </c>
      <c r="BF25" s="33" cm="1">
        <f t="array" ref="BF25">IFERROR(INDEX('[2]Sales per type Agustus'!$D$10:$BA$51,MATCH($C25,'[2]Sales per type Agustus'!$B$10:$B$51,0),MATCH("V70 FE",'[2]Sales per type Agustus'!$D$8:$BA$8,0)+1),0)</f>
        <v>0</v>
      </c>
      <c r="BG25" s="33">
        <f t="shared" si="17"/>
        <v>0</v>
      </c>
      <c r="BH25" s="33">
        <f>IFERROR(INDEX('[2]SALES PERTYPE'!$D$10:$BA$52,MATCH($C25,'[2]SALES PERTYPE'!$B$10:$B$52,0),MATCH("Y31d",'[2]SALES PERTYPE'!$D$8:$BA$8,0)),0)</f>
        <v>0</v>
      </c>
      <c r="BI25" s="33">
        <f>IFERROR(INDEX('[2]Sales per type Agustus'!$D$10:$BA$51,MATCH($C25,'[2]Sales per type Agustus'!$B$10:$B$51,0),MATCH("Y31d",'[2]Sales per type Agustus'!$D$8:$BA$8,0)),0)</f>
        <v>0</v>
      </c>
      <c r="BJ25" s="33">
        <f t="shared" si="18"/>
        <v>0</v>
      </c>
      <c r="BK25" s="33" cm="1">
        <f t="array" ref="BK25">IFERROR(INDEX('[2]SALES PERTYPE'!$D$10:$BA$52,MATCH($C25,'[2]SALES PERTYPE'!$B$10:$B$52,0),MATCH("Y31d",'[2]SALES PERTYPE'!$D$8:$BA$8,0)+1),0)</f>
        <v>0</v>
      </c>
      <c r="BL25" s="33" cm="1">
        <f t="array" ref="BL25">IFERROR(INDEX('[2]Sales per type Agustus'!$D$10:$BA$51,MATCH($C25,'[2]Sales per type Agustus'!$B$10:$B$51,0),MATCH("Y31d",'[2]Sales per type Agustus'!$D$8:$BA$8,0)+1),0)</f>
        <v>0</v>
      </c>
      <c r="BM25" s="33">
        <f t="shared" si="19"/>
        <v>0</v>
      </c>
      <c r="BN25" s="33">
        <f>IFERROR(INDEX('[2]SALES PERTYPE'!$D$10:$BA$52,MATCH($C25,'[2]SALES PERTYPE'!$B$10:$B$52,0),MATCH("Y500",'[2]SALES PERTYPE'!$D$8:$BA$8,0)),0)</f>
        <v>0</v>
      </c>
      <c r="BO25" s="33">
        <f>IFERROR(INDEX('[2]Sales per type Agustus'!$D$10:$BA$51,MATCH($C25,'[2]Sales per type Agustus'!$B$10:$B$51,0),MATCH("Y500",'[2]Sales per type Agustus'!$D$8:$BA$8,0)),0)</f>
        <v>1</v>
      </c>
      <c r="BP25" s="33">
        <f t="shared" si="20"/>
        <v>-1</v>
      </c>
      <c r="BQ25" s="33" cm="1">
        <f t="array" ref="BQ25">IFERROR(INDEX('[2]SALES PERTYPE'!$D$10:$BA$52,MATCH($C25,'[2]SALES PERTYPE'!$B$10:$B$52,0),MATCH("Y500",'[2]SALES PERTYPE'!$D$8:$BA$8,0)+1),0)</f>
        <v>0</v>
      </c>
      <c r="BR25" s="33" cm="1">
        <f t="array" ref="BR25">IFERROR(INDEX('[2]Sales per type Agustus'!$D$10:$BA$51,MATCH($C25,'[2]Sales per type Agustus'!$B$10:$B$51,0),MATCH("Y500",'[2]Sales per type Agustus'!$D$8:$BA$8,0)+1),0)</f>
        <v>5499000</v>
      </c>
      <c r="BS25" s="33">
        <f t="shared" si="21"/>
        <v>-5499000</v>
      </c>
      <c r="BT25" s="33">
        <f>IFERROR(INDEX('[2]SALES PERTYPE'!$D$10:$BA$52,MATCH($C25,'[2]SALES PERTYPE'!$B$10:$B$52,0),MATCH("IQOO 15R",'[2]SALES PERTYPE'!$D$8:$BA$8,0)),0)</f>
        <v>0</v>
      </c>
      <c r="BU25" s="33">
        <f>IFERROR(INDEX('[2]Sales per type Agustus'!$D$10:$BA$51,MATCH($C25,'[2]Sales per type Agustus'!$B$10:$B$51,0),MATCH("IQOO 15R",'[2]Sales per type Agustus'!$D$8:$BA$8,0)),0)</f>
        <v>0</v>
      </c>
      <c r="BV25" s="33">
        <f t="shared" si="22"/>
        <v>0</v>
      </c>
      <c r="BW25" s="33" cm="1">
        <f t="array" ref="BW25">IFERROR(INDEX('[2]SALES PERTYPE'!$D$10:$BA$52,MATCH($C25,'[2]SALES PERTYPE'!$B$10:$B$52,0),MATCH("IQOO 15R",'[2]SALES PERTYPE'!$D$8:$BA$8,0)+1),0)</f>
        <v>0</v>
      </c>
      <c r="BX25" s="33" cm="1">
        <f t="array" ref="BX25">IFERROR(INDEX('[2]Sales per type Agustus'!$D$10:$BA$51,MATCH($C25,'[2]Sales per type Agustus'!$B$10:$B$51,0),MATCH("IQOO 15R",'[2]Sales per type Agustus'!$D$8:$BA$8,0)+1),0)</f>
        <v>0</v>
      </c>
      <c r="BY25" s="33">
        <f t="shared" si="23"/>
        <v>0</v>
      </c>
      <c r="BZ25" s="33">
        <f>IFERROR(INDEX('[2]SALES PERTYPE'!$D$10:$BA$52,MATCH($C25,'[2]SALES PERTYPE'!$B$10:$B$52,0),MATCH("V60 Lite",'[2]SALES PERTYPE'!$D$8:$BA$8,0)),0)</f>
        <v>3</v>
      </c>
      <c r="CA25" s="33">
        <f>IFERROR(INDEX('[2]Sales per type Agustus'!$D$10:$BA$51,MATCH($C25,'[2]Sales per type Agustus'!$B$10:$B$51,0),MATCH("V60 Lite",'[2]Sales per type Agustus'!$D$8:$BA$8,0)),0)</f>
        <v>1</v>
      </c>
      <c r="CB25" s="33">
        <f t="shared" si="24"/>
        <v>2</v>
      </c>
      <c r="CC25" s="33" cm="1">
        <f t="array" ref="CC25">IFERROR(INDEX('[2]SALES PERTYPE'!$D$10:$BA$52,MATCH($C25,'[2]SALES PERTYPE'!$B$10:$B$52,0),MATCH("V60 Lite",'[2]SALES PERTYPE'!$D$8:$BA$8,0)+1),0)</f>
        <v>17697000</v>
      </c>
      <c r="CD25" s="33" cm="1">
        <f t="array" ref="CD25">IFERROR(INDEX('[2]Sales per type Agustus'!$D$10:$BA$51,MATCH($C25,'[2]Sales per type Agustus'!$B$10:$B$51,0),MATCH("V60 Lite",'[2]Sales per type Agustus'!$D$8:$BA$8,0)+1),0)</f>
        <v>5299000</v>
      </c>
      <c r="CE25" s="33">
        <f t="shared" si="25"/>
        <v>12398000</v>
      </c>
      <c r="CF25" s="33">
        <f>IFERROR(INDEX('[2]SALES PERTYPE'!$D$10:$BA$52,MATCH($C25,'[2]SALES PERTYPE'!$B$10:$B$52,0),MATCH("X300 Ultra",'[2]SALES PERTYPE'!$D$8:$BA$8,0)),0)</f>
        <v>0</v>
      </c>
      <c r="CG25" s="33">
        <f>IFERROR(INDEX('[2]Sales per type Agustus'!$D$10:$BA$51,MATCH($C25,'[2]Sales per type Agustus'!$B$10:$B$51,0),MATCH("X300 Ultra",'[2]Sales per type Agustus'!$D$8:$BA$8,0)),0)</f>
        <v>0</v>
      </c>
      <c r="CH25" s="33">
        <f t="shared" si="26"/>
        <v>0</v>
      </c>
      <c r="CI25" s="33" cm="1">
        <f t="array" ref="CI25">IFERROR(INDEX('[2]SALES PERTYPE'!$D$10:$BA$52,MATCH($C25,'[2]SALES PERTYPE'!$B$10:$B$52,0),MATCH("X300 Ultra",'[2]SALES PERTYPE'!$D$8:$BA$8,0)+1),0)</f>
        <v>0</v>
      </c>
      <c r="CJ25" s="33" cm="1">
        <f t="array" ref="CJ25">IFERROR(INDEX('[2]Sales per type Agustus'!$D$10:$BA$51,MATCH($C25,'[2]Sales per type Agustus'!$B$10:$B$51,0),MATCH("X300 Ultra",'[2]Sales per type Agustus'!$D$8:$BA$8,0)+1),0)</f>
        <v>0</v>
      </c>
      <c r="CK25" s="33">
        <f t="shared" si="27"/>
        <v>0</v>
      </c>
      <c r="CL25" s="33">
        <f>IFERROR(INDEX('[2]SALES PERTYPE'!$D$10:$BA$52,MATCH($C25,'[2]SALES PERTYPE'!$B$10:$B$52,0),MATCH("IQOO 15",'[2]SALES PERTYPE'!$D$8:$BA$8,0)),0)</f>
        <v>0</v>
      </c>
      <c r="CM25" s="33">
        <f>IFERROR(INDEX('[2]Sales per type Agustus'!$D$10:$BA$51,MATCH($C25,'[2]Sales per type Agustus'!$B$10:$B$51,0),MATCH("IQOO 15",'[2]Sales per type Agustus'!$D$8:$BA$8,0)),0)</f>
        <v>0</v>
      </c>
      <c r="CN25" s="33">
        <f t="shared" si="28"/>
        <v>0</v>
      </c>
      <c r="CO25" s="33" cm="1">
        <f t="array" ref="CO25">IFERROR(INDEX('[2]SALES PERTYPE'!$D$10:$BA$52,MATCH($C25,'[2]SALES PERTYPE'!$B$10:$B$52,0),MATCH("IQOO 15",'[2]SALES PERTYPE'!$D$8:$BA$8,0)+1),0)</f>
        <v>0</v>
      </c>
      <c r="CP25" s="33" cm="1">
        <f t="array" ref="CP25">IFERROR(INDEX('[2]Sales per type Agustus'!$D$10:$BA$51,MATCH($C25,'[2]Sales per type Agustus'!$B$10:$B$51,0),MATCH("IQOO 15",'[2]Sales per type Agustus'!$D$8:$BA$8,0)+1),0)</f>
        <v>0</v>
      </c>
      <c r="CQ25" s="33">
        <f t="shared" si="29"/>
        <v>0</v>
      </c>
      <c r="CR25" s="33">
        <f>IFERROR(INDEX('[2]SALES PERTYPE'!$D$10:$BA$52,MATCH($C25,'[2]SALES PERTYPE'!$B$10:$B$52,0),MATCH("IQOO Z11x",'[2]SALES PERTYPE'!$D$8:$BA$8,0)),0)</f>
        <v>0</v>
      </c>
      <c r="CS25" s="33">
        <f>IFERROR(INDEX('[2]Sales per type Agustus'!$D$10:$BA$51,MATCH($C25,'[2]Sales per type Agustus'!$B$10:$B$51,0),MATCH("IQOO Z11x",'[2]Sales per type Agustus'!$D$8:$BA$8,0)),0)</f>
        <v>0</v>
      </c>
      <c r="CT25" s="33">
        <f t="shared" si="30"/>
        <v>0</v>
      </c>
      <c r="CU25" s="33" cm="1">
        <f t="array" ref="CU25">IFERROR(INDEX('[2]SALES PERTYPE'!$D$10:$BA$52,MATCH($C25,'[2]SALES PERTYPE'!$B$10:$B$52,0),MATCH("IQOO Z11x",'[2]SALES PERTYPE'!$D$8:$BA$8,0)+1),0)</f>
        <v>0</v>
      </c>
      <c r="CV25" s="33" cm="1">
        <f t="array" ref="CV25">IFERROR(INDEX('[2]Sales per type Agustus'!$D$10:$BA$51,MATCH($C25,'[2]Sales per type Agustus'!$B$10:$B$51,0),MATCH("IQOO Z11x",'[2]Sales per type Agustus'!$D$8:$BA$8,0)+1),0)</f>
        <v>0</v>
      </c>
      <c r="CW25" s="33">
        <f t="shared" si="31"/>
        <v>0</v>
      </c>
      <c r="CX25" s="33">
        <f>IFERROR(INDEX('[2]SALES PERTYPE'!$D$10:$BA$52,MATCH($C25,'[2]SALES PERTYPE'!$B$10:$B$52,0),MATCH("IQOO Z11",'[2]SALES PERTYPE'!$D$8:$BA$8,0)),0)</f>
        <v>0</v>
      </c>
      <c r="CY25" s="33">
        <f>IFERROR(INDEX('[2]Sales per type Agustus'!$D$10:$BA$51,MATCH($C25,'[2]Sales per type Agustus'!$B$10:$B$51,0),MATCH("IQOO Z11",'[2]Sales per type Agustus'!$D$8:$BA$8,0)),0)</f>
        <v>0</v>
      </c>
      <c r="CZ25" s="33">
        <f t="shared" si="32"/>
        <v>0</v>
      </c>
      <c r="DA25" s="33" cm="1">
        <f t="array" ref="DA25">IFERROR(INDEX('[2]SALES PERTYPE'!$D$10:$BA$52,MATCH($C25,'[2]SALES PERTYPE'!$B$10:$B$52,0),MATCH("IQOO Z11",'[2]SALES PERTYPE'!$D$8:$BA$8,0)+1),0)</f>
        <v>0</v>
      </c>
      <c r="DB25" s="33" cm="1">
        <f t="array" ref="DB25">IFERROR(INDEX('[2]Sales per type Agustus'!$D$10:$BA$51,MATCH($C25,'[2]Sales per type Agustus'!$B$10:$B$51,0),MATCH("IQOO Z11",'[2]Sales per type Agustus'!$D$8:$BA$8,0)+1),0)</f>
        <v>0</v>
      </c>
      <c r="DC25" s="33">
        <f t="shared" si="33"/>
        <v>0</v>
      </c>
      <c r="DD25" s="33">
        <f>IFERROR(INDEX('[2]SALES PERTYPE'!$D$10:$BA$52,MATCH($C25,'[2]SALES PERTYPE'!$B$10:$B$52,0),MATCH("WATCH 3",'[2]SALES PERTYPE'!$D$8:$BA$8,0)),0)</f>
        <v>0</v>
      </c>
      <c r="DE25" s="33">
        <f>IFERROR(INDEX('[2]Sales per type Agustus'!$D$10:$BA$51,MATCH($C25,'[2]Sales per type Agustus'!$B$10:$B$51,0),MATCH("WATCH 3",'[2]Sales per type Agustus'!$D$8:$BA$8,0)),0)</f>
        <v>0</v>
      </c>
      <c r="DF25" s="33">
        <f t="shared" si="34"/>
        <v>0</v>
      </c>
      <c r="DG25" s="33" cm="1">
        <f t="array" ref="DG25">IFERROR(INDEX('[2]SALES PERTYPE'!$D$10:$BA$52,MATCH($C25,'[2]SALES PERTYPE'!$B$10:$B$52,0),MATCH("WATCH 3",'[2]SALES PERTYPE'!$D$8:$BA$8,0)+1),0)</f>
        <v>0</v>
      </c>
      <c r="DH25" s="33" cm="1">
        <f t="array" ref="DH25">IFERROR(INDEX('[2]Sales per type Agustus'!$D$10:$BA$51,MATCH($C25,'[2]Sales per type Agustus'!$B$10:$B$51,0),MATCH("WATCH 3",'[2]Sales per type Agustus'!$D$8:$BA$8,0)+1),0)</f>
        <v>0</v>
      </c>
      <c r="DI25" s="33">
        <f t="shared" si="35"/>
        <v>0</v>
      </c>
      <c r="DJ25" s="33">
        <f>IFERROR(INDEX('[2]SALES PERTYPE'!$D$10:$BA$52,MATCH($C25,'[2]SALES PERTYPE'!$B$10:$B$52,0),MATCH("X Fold5",'[2]SALES PERTYPE'!$D$8:$BA$8,0)),0)</f>
        <v>0</v>
      </c>
      <c r="DK25" s="33">
        <f>IFERROR(INDEX('[2]Sales per type Agustus'!$D$10:$BA$51,MATCH($C25,'[2]Sales per type Agustus'!$B$10:$B$51,0),MATCH("X Fold5",'[2]Sales per type Agustus'!$D$8:$BA$8,0)),0)</f>
        <v>0</v>
      </c>
      <c r="DL25" s="33">
        <f t="shared" si="36"/>
        <v>0</v>
      </c>
      <c r="DM25" s="33" cm="1">
        <f t="array" ref="DM25">IFERROR(INDEX('[2]SALES PERTYPE'!$D$10:$BA$52,MATCH($C25,'[2]SALES PERTYPE'!$B$10:$B$52,0),MATCH("X Fold5",'[2]SALES PERTYPE'!$D$8:$BA$8,0)+1),0)</f>
        <v>0</v>
      </c>
      <c r="DN25" s="33" cm="1">
        <f t="array" ref="DN25">IFERROR(INDEX('[2]Sales per type Agustus'!$D$10:$BA$51,MATCH($C25,'[2]Sales per type Agustus'!$B$10:$B$51,0),MATCH("X Fold5",'[2]Sales per type Agustus'!$D$8:$BA$8,0)+1),0)</f>
        <v>0</v>
      </c>
      <c r="DO25" s="33">
        <f t="shared" si="37"/>
        <v>0</v>
      </c>
      <c r="DP25" s="33">
        <f>IFERROR(INDEX('[2]SALES PERTYPE'!$D$10:$BA$52,MATCH($C25,'[2]SALES PERTYPE'!$B$10:$B$52,0),MATCH("X300 PRO",'[2]SALES PERTYPE'!$D$8:$BA$8,0)),0)</f>
        <v>0</v>
      </c>
      <c r="DQ25" s="33">
        <f>IFERROR(INDEX('[2]Sales per type Agustus'!$D$10:$BA$51,MATCH($C25,'[2]Sales per type Agustus'!$B$10:$B$51,0),MATCH("X300 PRO",'[2]Sales per type Agustus'!$D$8:$BA$8,0)),0)</f>
        <v>0</v>
      </c>
      <c r="DR25" s="33">
        <f t="shared" si="38"/>
        <v>0</v>
      </c>
      <c r="DS25" s="33" cm="1">
        <f t="array" ref="DS25">IFERROR(INDEX('[2]SALES PERTYPE'!$D$10:$BA$52,MATCH($C25,'[2]SALES PERTYPE'!$B$10:$B$52,0),MATCH("X300 PRO",'[2]SALES PERTYPE'!$D$8:$BA$8,0)+1),0)</f>
        <v>0</v>
      </c>
      <c r="DT25" s="33" cm="1">
        <f t="array" ref="DT25">IFERROR(INDEX('[2]Sales per type Agustus'!$D$10:$BA$51,MATCH($C25,'[2]Sales per type Agustus'!$B$10:$B$51,0),MATCH("X300 PRO",'[2]Sales per type Agustus'!$D$8:$BA$8,0)+1),0)</f>
        <v>0</v>
      </c>
      <c r="DU25" s="33">
        <f t="shared" si="39"/>
        <v>0</v>
      </c>
      <c r="DV25" s="33">
        <f>IFERROR(INDEX('[2]SALES PERTYPE'!$D$10:$BA$52,MATCH($C25,'[2]SALES PERTYPE'!$B$10:$B$52,0),MATCH("X300",'[2]SALES PERTYPE'!$D$8:$BA$8,0)),0)</f>
        <v>0</v>
      </c>
      <c r="DW25" s="33">
        <f>IFERROR(INDEX('[2]Sales per type Agustus'!$D$10:$BA$51,MATCH($C25,'[2]Sales per type Agustus'!$B$10:$B$51,0),MATCH("X300 ",'[2]Sales per type Agustus'!$D$8:$BA$8,0)),0)</f>
        <v>0</v>
      </c>
      <c r="DX25" s="33">
        <f t="shared" si="40"/>
        <v>0</v>
      </c>
      <c r="DY25" s="33" cm="1">
        <f t="array" ref="DY25">IFERROR(INDEX('[2]SALES PERTYPE'!$D$10:$BA$52,MATCH($C25,'[2]SALES PERTYPE'!$B$10:$B$52,0),MATCH("X300",'[2]SALES PERTYPE'!$D$8:$BA$8,0)+1),0)</f>
        <v>0</v>
      </c>
      <c r="DZ25" s="33" cm="1">
        <f t="array" ref="DZ25">IFERROR(INDEX('[2]Sales per type Agustus'!$D$10:$BA$51,MATCH($C25,'[2]Sales per type Agustus'!$B$10:$B$51,0),MATCH("X300 ",'[2]Sales per type Agustus'!$D$8:$BA$8,0)+1),0)</f>
        <v>0</v>
      </c>
      <c r="EA25" s="33">
        <f t="shared" si="41"/>
        <v>0</v>
      </c>
      <c r="EB25" s="33">
        <f t="shared" si="42"/>
        <v>23</v>
      </c>
      <c r="EC25" s="33">
        <f t="shared" si="42"/>
        <v>16</v>
      </c>
      <c r="ED25" s="33">
        <f t="shared" si="43"/>
        <v>7</v>
      </c>
      <c r="EE25" s="33">
        <f t="shared" si="44"/>
        <v>75577000</v>
      </c>
      <c r="EF25" s="33">
        <f t="shared" si="44"/>
        <v>46684000</v>
      </c>
      <c r="EG25" s="33">
        <f t="shared" si="45"/>
        <v>28893000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5">
        <f>'[2]ACHIEVEMENT STORE'!A26</f>
        <v>22</v>
      </c>
      <c r="B26" s="216" t="str">
        <f>'[2]ACHIEVEMENT STORE'!B26</f>
        <v>624-万丹BANTEN</v>
      </c>
      <c r="C26" s="215">
        <f>'[2]ACHIEVEMENT STORE'!C26</f>
        <v>6240702</v>
      </c>
      <c r="D26" s="216" t="str">
        <f>'[2]ACHIEVEMENT STORE'!D26</f>
        <v>6240702-TANGCITY LG BLOK B NO. 01B</v>
      </c>
      <c r="E26" s="216" t="str">
        <f>'[2]ACHIEVEMENT STORE'!E26</f>
        <v>ARIES FITRIYANTO</v>
      </c>
      <c r="F26" s="33">
        <f>IFERROR(INDEX('[2]SALES PERTYPE'!$D$10:$BA$52,MATCH($C26,'[2]SALES PERTYPE'!$B$10:$B$52,0),MATCH("Y05",'[2]SALES PERTYPE'!$D$8:$BA$8,0)),0)</f>
        <v>6</v>
      </c>
      <c r="G26" s="33">
        <f>IFERROR(INDEX('[2]Sales per type Agustus'!$D$10:$BA$51,MATCH($C26,'[2]Sales per type Agustus'!$B$10:$B$51,0),MATCH("Y05",'[2]Sales per type Agustus'!$D$8:$BA$8,0)),0)</f>
        <v>3</v>
      </c>
      <c r="H26" s="33">
        <f t="shared" si="0"/>
        <v>3</v>
      </c>
      <c r="I26" s="33" cm="1">
        <f t="array" ref="I26">IFERROR(INDEX('[2]SALES PERTYPE'!$D$10:$BA$52,MATCH($C26,'[2]SALES PERTYPE'!$B$10:$B$52,0),MATCH("Y05",'[2]SALES PERTYPE'!$D$8:$BA$8,0)+1),0)</f>
        <v>14694000</v>
      </c>
      <c r="J26" s="33" cm="1">
        <f t="array" ref="J26">IFERROR(INDEX('[2]Sales per type Agustus'!$D$10:$BA$51,MATCH($C26,'[2]Sales per type Agustus'!$B$10:$B$51,0),MATCH("Y05",'[2]Sales per type Agustus'!$D$8:$BA$8,0)+1),0)</f>
        <v>7497000</v>
      </c>
      <c r="K26" s="33">
        <f t="shared" si="1"/>
        <v>7197000</v>
      </c>
      <c r="L26" s="33">
        <f>IFERROR(INDEX('[2]SALES PERTYPE'!$D$10:$BA$52,MATCH($C26,'[2]SALES PERTYPE'!$B$10:$B$52,0),MATCH("Y11d",'[2]SALES PERTYPE'!$D$8:$BA$8,0)),0)</f>
        <v>7</v>
      </c>
      <c r="M26" s="33">
        <f>IFERROR(INDEX('[2]Sales per type Agustus'!$D$10:$BA$51,MATCH($C26,'[2]Sales per type Agustus'!$B$10:$B$51,0),MATCH("Y11d",'[2]Sales per type Agustus'!$D$8:$BA$8,0)),0)</f>
        <v>6</v>
      </c>
      <c r="N26" s="33">
        <f t="shared" si="2"/>
        <v>1</v>
      </c>
      <c r="O26" s="33" cm="1">
        <f t="array" ref="O26">IFERROR(INDEX('[2]SALES PERTYPE'!$D$10:$BA$52,MATCH($C26,'[2]SALES PERTYPE'!$B$10:$B$52,0),MATCH("Y11d",'[2]SALES PERTYPE'!$D$8:$BA$8,0)+1),0)</f>
        <v>18393000</v>
      </c>
      <c r="P26" s="33" cm="1">
        <f t="array" ref="P26">IFERROR(INDEX('[2]Sales per type Agustus'!$D$10:$BA$51,MATCH($C26,'[2]Sales per type Agustus'!$B$10:$B$51,0),MATCH("Y11d",'[2]Sales per type Agustus'!$D$8:$BA$8,0)+1),0)</f>
        <v>15194000</v>
      </c>
      <c r="Q26" s="33">
        <f t="shared" si="3"/>
        <v>3199000</v>
      </c>
      <c r="R26" s="33">
        <f>IFERROR(INDEX('[2]SALES PERTYPE'!$D$10:$BA$52,MATCH($C26,'[2]SALES PERTYPE'!$B$10:$B$52,0),MATCH("Watch GT 2",'[2]SALES PERTYPE'!$D$8:$BA$8,0)),0)</f>
        <v>0</v>
      </c>
      <c r="S26" s="33">
        <f>IFERROR(INDEX('[2]Sales per type Agustus'!$D$10:$BA$51,MATCH($C26,'[2]Sales per type Agustus'!$B$10:$B$51,0),MATCH("Watch GT 2",'[2]Sales per type Agustus'!$D$8:$BA$8,0)),0)</f>
        <v>0</v>
      </c>
      <c r="T26" s="33">
        <f t="shared" si="4"/>
        <v>0</v>
      </c>
      <c r="U26" s="33" cm="1">
        <f t="array" ref="U26">IFERROR(INDEX('[2]SALES PERTYPE'!$D$10:$BA$52,MATCH($C26,'[2]SALES PERTYPE'!$B$10:$B$52,0),MATCH("Watch GT 2",'[2]SALES PERTYPE'!$D$8:$BA$8,0)+1),0)</f>
        <v>0</v>
      </c>
      <c r="V26" s="33" cm="1">
        <f t="array" ref="V26">IFERROR(INDEX('[2]Sales per type Agustus'!$D$10:$BA$51,MATCH($C26,'[2]Sales per type Agustus'!$B$10:$B$51,0),MATCH("Watch GT 2",'[2]Sales per type Agustus'!$D$8:$BA$8,0)+1),0)</f>
        <v>0</v>
      </c>
      <c r="W26" s="33">
        <f t="shared" si="5"/>
        <v>0</v>
      </c>
      <c r="X26" s="33">
        <f>IFERROR(INDEX('[2]SALES PERTYPE'!$D$10:$BA$52,MATCH($C26,'[2]SALES PERTYPE'!$B$10:$B$52,0),MATCH("Y05e",'[2]SALES PERTYPE'!$D$8:$BA$8,0)),0)</f>
        <v>0</v>
      </c>
      <c r="Y26" s="33">
        <f>IFERROR(INDEX('[2]Sales per type Agustus'!$D$10:$BA$51,MATCH($C26,'[2]Sales per type Agustus'!$B$10:$B$51,0),MATCH("Y05e",'[2]Sales per type Agustus'!$D$8:$BA$8,0)),0)</f>
        <v>3</v>
      </c>
      <c r="Z26" s="33">
        <f t="shared" si="6"/>
        <v>-3</v>
      </c>
      <c r="AA26" s="33" cm="1">
        <f t="array" ref="AA26">IFERROR(INDEX('[2]SALES PERTYPE'!$D$10:$BA$52,MATCH($C26,'[2]SALES PERTYPE'!$B$10:$B$52,0),MATCH("Y05e",'[2]SALES PERTYPE'!$D$8:$BA$8,0)+1),0)</f>
        <v>0</v>
      </c>
      <c r="AB26" s="33" cm="1">
        <f t="array" ref="AB26">IFERROR(INDEX('[2]Sales per type Agustus'!$D$10:$BA$51,MATCH($C26,'[2]Sales per type Agustus'!$B$10:$B$51,0),MATCH("Y05e",'[2]Sales per type Agustus'!$D$8:$BA$8,0)+1),0)</f>
        <v>6297000</v>
      </c>
      <c r="AC26" s="33">
        <f t="shared" si="7"/>
        <v>-6297000</v>
      </c>
      <c r="AD26" s="33">
        <f>IFERROR(INDEX('[2]SALES PERTYPE'!$D$10:$BA$52,MATCH($C26,'[2]SALES PERTYPE'!$B$10:$B$52,0),MATCH("V70",'[2]SALES PERTYPE'!$D$8:$BA$8,0)),0)</f>
        <v>3</v>
      </c>
      <c r="AE26" s="33">
        <f>IFERROR(INDEX('[2]Sales per type Agustus'!$D$10:$BA$51,MATCH($C26,'[2]Sales per type Agustus'!$B$10:$B$51,0),MATCH("V70",'[2]Sales per type Agustus'!$D$8:$BA$8,0)),0)</f>
        <v>2</v>
      </c>
      <c r="AF26" s="33">
        <f t="shared" si="8"/>
        <v>1</v>
      </c>
      <c r="AG26" s="33" cm="1">
        <f t="array" ref="AG26">IFERROR(INDEX('[2]SALES PERTYPE'!$D$10:$BA$52,MATCH($C26,'[2]SALES PERTYPE'!$B$10:$B$52,0),MATCH("V70",'[2]SALES PERTYPE'!$D$8:$BA$8,0)+1),0)</f>
        <v>29997000</v>
      </c>
      <c r="AH26" s="33" cm="1">
        <f t="array" ref="AH26">IFERROR(INDEX('[2]Sales per type Agustus'!$D$10:$BA$51,MATCH($C26,'[2]Sales per type Agustus'!$B$10:$B$51,0),MATCH("V70",'[2]Sales per type Agustus'!$D$8:$BA$8,0)+1),0)</f>
        <v>18998000</v>
      </c>
      <c r="AI26" s="33">
        <f t="shared" si="9"/>
        <v>10999000</v>
      </c>
      <c r="AJ26" s="33">
        <f>IFERROR(INDEX('[2]SALES PERTYPE'!$D$10:$BA$52,MATCH($C26,'[2]SALES PERTYPE'!$B$10:$B$52,0),MATCH("Y31d Pro",'[2]SALES PERTYPE'!$D$8:$BA$8,0)),0)</f>
        <v>4</v>
      </c>
      <c r="AK26" s="33">
        <f>IFERROR(INDEX('[2]Sales per type Agustus'!$D$10:$BA$51,MATCH($C26,'[2]Sales per type Agustus'!$B$10:$B$51,0),MATCH("Y31d Pro",'[2]Sales per type Agustus'!$D$8:$BA$8,0)),0)</f>
        <v>2</v>
      </c>
      <c r="AL26" s="33">
        <f t="shared" si="10"/>
        <v>2</v>
      </c>
      <c r="AM26" s="33" cm="1">
        <f t="array" ref="AM26">IFERROR(INDEX('[2]SALES PERTYPE'!$D$10:$BA$52,MATCH($C26,'[2]SALES PERTYPE'!$B$10:$B$52,0),MATCH("Y31d Pro",'[2]SALES PERTYPE'!$D$8:$BA$8,0)+1),0)</f>
        <v>17996000</v>
      </c>
      <c r="AN26" s="33" cm="1">
        <f t="array" ref="AN26">IFERROR(INDEX('[2]Sales per type Agustus'!$D$10:$BA$51,MATCH($C26,'[2]Sales per type Agustus'!$B$10:$B$51,0),MATCH("Y31d Pro",'[2]Sales per type Agustus'!$D$8:$BA$8,0)+1),0)</f>
        <v>8798000</v>
      </c>
      <c r="AO26" s="33">
        <f t="shared" si="11"/>
        <v>9198000</v>
      </c>
      <c r="AP26" s="33" cm="1">
        <f t="array" ref="AP26">IFERROR(INDEX('[2]SALES PERTYPE'!$D$10:$BA$52,MATCH($C26,'[2]SALES PERTYPE'!$B$10:$B$52,0),$EI$3),0)</f>
        <v>0</v>
      </c>
      <c r="AQ26" s="33" cm="1">
        <f t="array" ref="AQ26">IFERROR(INDEX('[2]Sales per type Agustus'!$D$10:$BA$51,MATCH($C26,'[2]Sales per type Agustus'!$B$10:$B$51,0),$EI$2),0)</f>
        <v>0</v>
      </c>
      <c r="AR26" s="33">
        <f t="shared" si="12"/>
        <v>0</v>
      </c>
      <c r="AS26" s="33" cm="1">
        <f t="array" ref="AS26">IFERROR(INDEX('[2]SALES PERTYPE'!$D$10:$BA$52,MATCH($C26,'[2]SALES PERTYPE'!$B$10:$B$52,0),$EI$3+1),0)</f>
        <v>0</v>
      </c>
      <c r="AT26" s="33" cm="1">
        <f t="array" ref="AT26">IFERROR(INDEX('[2]Sales per type Agustus'!$D$10:$BA$51,MATCH($C26,'[2]Sales per type Agustus'!$B$10:$B$51,0),$EI$2+1),0)</f>
        <v>0</v>
      </c>
      <c r="AU26" s="33">
        <f t="shared" si="13"/>
        <v>0</v>
      </c>
      <c r="AV26" s="33">
        <f>IFERROR(INDEX('[2]SALES PERTYPE'!$D$10:$BA$52,MATCH($C26,'[2]SALES PERTYPE'!$B$10:$B$52,0),MATCH("Y31d ",'[2]SALES PERTYPE'!$D$8:$BA$8,0)),0)</f>
        <v>0</v>
      </c>
      <c r="AW26" s="33">
        <f>IFERROR(INDEX('[2]Sales per type Agustus'!$D$10:$BA$51,MATCH($C26,'[2]Sales per type Agustus'!$B$10:$B$51,0),MATCH("Y31d ",'[2]Sales per type Agustus'!$D$8:$BA$8,0)),0)</f>
        <v>0</v>
      </c>
      <c r="AX26" s="33">
        <f t="shared" si="14"/>
        <v>0</v>
      </c>
      <c r="AY26" s="33" cm="1">
        <f t="array" ref="AY26">IFERROR(INDEX('[2]SALES PERTYPE'!$D$10:$BA$52,MATCH($C26,'[2]SALES PERTYPE'!$B$10:$B$52,0),MATCH("Y31d ",'[2]SALES PERTYPE'!$D$8:$BA$8,0)+1),0)</f>
        <v>0</v>
      </c>
      <c r="AZ26" s="33" cm="1">
        <f t="array" ref="AZ26">IFERROR(INDEX('[2]Sales per type Agustus'!$D$10:$BA$51,MATCH($C26,'[2]Sales per type Agustus'!$B$10:$B$51,0),MATCH("Y31d ",'[2]Sales per type Agustus'!$D$8:$BA$8,0)+1),0)</f>
        <v>0</v>
      </c>
      <c r="BA26" s="33">
        <f t="shared" si="15"/>
        <v>0</v>
      </c>
      <c r="BB26" s="33">
        <f>IFERROR(INDEX('[2]SALES PERTYPE'!$D$10:$BA$52,MATCH($C26,'[2]SALES PERTYPE'!$B$10:$B$52,0),MATCH("V70 FE",'[2]SALES PERTYPE'!$D$8:$BA$8,0)),0)</f>
        <v>1</v>
      </c>
      <c r="BC26" s="33">
        <f>IFERROR(INDEX('[2]Sales per type Agustus'!$D$10:$BA$51,MATCH($C26,'[2]Sales per type Agustus'!$B$10:$B$51,0),MATCH("V70 FE",'[2]Sales per type Agustus'!$D$8:$BA$8,0)),0)</f>
        <v>0</v>
      </c>
      <c r="BD26" s="33">
        <f t="shared" si="16"/>
        <v>1</v>
      </c>
      <c r="BE26" s="33" cm="1">
        <f t="array" ref="BE26">IFERROR(INDEX('[2]SALES PERTYPE'!$D$10:$BA$52,MATCH($C26,'[2]SALES PERTYPE'!$B$10:$B$52,0),MATCH("V70 FE",'[2]SALES PERTYPE'!$D$8:$BA$8,0)+1),0)</f>
        <v>7999000</v>
      </c>
      <c r="BF26" s="33" cm="1">
        <f t="array" ref="BF26">IFERROR(INDEX('[2]Sales per type Agustus'!$D$10:$BA$51,MATCH($C26,'[2]Sales per type Agustus'!$B$10:$B$51,0),MATCH("V70 FE",'[2]Sales per type Agustus'!$D$8:$BA$8,0)+1),0)</f>
        <v>0</v>
      </c>
      <c r="BG26" s="33">
        <f t="shared" si="17"/>
        <v>7999000</v>
      </c>
      <c r="BH26" s="33">
        <f>IFERROR(INDEX('[2]SALES PERTYPE'!$D$10:$BA$52,MATCH($C26,'[2]SALES PERTYPE'!$B$10:$B$52,0),MATCH("Y31d",'[2]SALES PERTYPE'!$D$8:$BA$8,0)),0)</f>
        <v>0</v>
      </c>
      <c r="BI26" s="33">
        <f>IFERROR(INDEX('[2]Sales per type Agustus'!$D$10:$BA$51,MATCH($C26,'[2]Sales per type Agustus'!$B$10:$B$51,0),MATCH("Y31d",'[2]Sales per type Agustus'!$D$8:$BA$8,0)),0)</f>
        <v>0</v>
      </c>
      <c r="BJ26" s="33">
        <f t="shared" si="18"/>
        <v>0</v>
      </c>
      <c r="BK26" s="33" cm="1">
        <f t="array" ref="BK26">IFERROR(INDEX('[2]SALES PERTYPE'!$D$10:$BA$52,MATCH($C26,'[2]SALES PERTYPE'!$B$10:$B$52,0),MATCH("Y31d",'[2]SALES PERTYPE'!$D$8:$BA$8,0)+1),0)</f>
        <v>0</v>
      </c>
      <c r="BL26" s="33" cm="1">
        <f t="array" ref="BL26">IFERROR(INDEX('[2]Sales per type Agustus'!$D$10:$BA$51,MATCH($C26,'[2]Sales per type Agustus'!$B$10:$B$51,0),MATCH("Y31d",'[2]Sales per type Agustus'!$D$8:$BA$8,0)+1),0)</f>
        <v>0</v>
      </c>
      <c r="BM26" s="33">
        <f t="shared" si="19"/>
        <v>0</v>
      </c>
      <c r="BN26" s="33">
        <f>IFERROR(INDEX('[2]SALES PERTYPE'!$D$10:$BA$52,MATCH($C26,'[2]SALES PERTYPE'!$B$10:$B$52,0),MATCH("Y500",'[2]SALES PERTYPE'!$D$8:$BA$8,0)),0)</f>
        <v>0</v>
      </c>
      <c r="BO26" s="33">
        <f>IFERROR(INDEX('[2]Sales per type Agustus'!$D$10:$BA$51,MATCH($C26,'[2]Sales per type Agustus'!$B$10:$B$51,0),MATCH("Y500",'[2]Sales per type Agustus'!$D$8:$BA$8,0)),0)</f>
        <v>1</v>
      </c>
      <c r="BP26" s="33">
        <f t="shared" si="20"/>
        <v>-1</v>
      </c>
      <c r="BQ26" s="33" cm="1">
        <f t="array" ref="BQ26">IFERROR(INDEX('[2]SALES PERTYPE'!$D$10:$BA$52,MATCH($C26,'[2]SALES PERTYPE'!$B$10:$B$52,0),MATCH("Y500",'[2]SALES PERTYPE'!$D$8:$BA$8,0)+1),0)</f>
        <v>0</v>
      </c>
      <c r="BR26" s="33" cm="1">
        <f t="array" ref="BR26">IFERROR(INDEX('[2]Sales per type Agustus'!$D$10:$BA$51,MATCH($C26,'[2]Sales per type Agustus'!$B$10:$B$51,0),MATCH("Y500",'[2]Sales per type Agustus'!$D$8:$BA$8,0)+1),0)</f>
        <v>5499000</v>
      </c>
      <c r="BS26" s="33">
        <f t="shared" si="21"/>
        <v>-5499000</v>
      </c>
      <c r="BT26" s="33">
        <f>IFERROR(INDEX('[2]SALES PERTYPE'!$D$10:$BA$52,MATCH($C26,'[2]SALES PERTYPE'!$B$10:$B$52,0),MATCH("IQOO 15R",'[2]SALES PERTYPE'!$D$8:$BA$8,0)),0)</f>
        <v>0</v>
      </c>
      <c r="BU26" s="33">
        <f>IFERROR(INDEX('[2]Sales per type Agustus'!$D$10:$BA$51,MATCH($C26,'[2]Sales per type Agustus'!$B$10:$B$51,0),MATCH("IQOO 15R",'[2]Sales per type Agustus'!$D$8:$BA$8,0)),0)</f>
        <v>0</v>
      </c>
      <c r="BV26" s="33">
        <f t="shared" si="22"/>
        <v>0</v>
      </c>
      <c r="BW26" s="33" cm="1">
        <f t="array" ref="BW26">IFERROR(INDEX('[2]SALES PERTYPE'!$D$10:$BA$52,MATCH($C26,'[2]SALES PERTYPE'!$B$10:$B$52,0),MATCH("IQOO 15R",'[2]SALES PERTYPE'!$D$8:$BA$8,0)+1),0)</f>
        <v>0</v>
      </c>
      <c r="BX26" s="33" cm="1">
        <f t="array" ref="BX26">IFERROR(INDEX('[2]Sales per type Agustus'!$D$10:$BA$51,MATCH($C26,'[2]Sales per type Agustus'!$B$10:$B$51,0),MATCH("IQOO 15R",'[2]Sales per type Agustus'!$D$8:$BA$8,0)+1),0)</f>
        <v>0</v>
      </c>
      <c r="BY26" s="33">
        <f t="shared" si="23"/>
        <v>0</v>
      </c>
      <c r="BZ26" s="33">
        <f>IFERROR(INDEX('[2]SALES PERTYPE'!$D$10:$BA$52,MATCH($C26,'[2]SALES PERTYPE'!$B$10:$B$52,0),MATCH("V60 Lite",'[2]SALES PERTYPE'!$D$8:$BA$8,0)),0)</f>
        <v>3</v>
      </c>
      <c r="CA26" s="33">
        <f>IFERROR(INDEX('[2]Sales per type Agustus'!$D$10:$BA$51,MATCH($C26,'[2]Sales per type Agustus'!$B$10:$B$51,0),MATCH("V60 Lite",'[2]Sales per type Agustus'!$D$8:$BA$8,0)),0)</f>
        <v>3</v>
      </c>
      <c r="CB26" s="33">
        <f t="shared" si="24"/>
        <v>0</v>
      </c>
      <c r="CC26" s="33" cm="1">
        <f t="array" ref="CC26">IFERROR(INDEX('[2]SALES PERTYPE'!$D$10:$BA$52,MATCH($C26,'[2]SALES PERTYPE'!$B$10:$B$52,0),MATCH("V60 Lite",'[2]SALES PERTYPE'!$D$8:$BA$8,0)+1),0)</f>
        <v>17697000</v>
      </c>
      <c r="CD26" s="33" cm="1">
        <f t="array" ref="CD26">IFERROR(INDEX('[2]Sales per type Agustus'!$D$10:$BA$51,MATCH($C26,'[2]Sales per type Agustus'!$B$10:$B$51,0),MATCH("V60 Lite",'[2]Sales per type Agustus'!$D$8:$BA$8,0)+1),0)</f>
        <v>16497000</v>
      </c>
      <c r="CE26" s="33">
        <f t="shared" si="25"/>
        <v>1200000</v>
      </c>
      <c r="CF26" s="33">
        <f>IFERROR(INDEX('[2]SALES PERTYPE'!$D$10:$BA$52,MATCH($C26,'[2]SALES PERTYPE'!$B$10:$B$52,0),MATCH("X300 Ultra",'[2]SALES PERTYPE'!$D$8:$BA$8,0)),0)</f>
        <v>0</v>
      </c>
      <c r="CG26" s="33">
        <f>IFERROR(INDEX('[2]Sales per type Agustus'!$D$10:$BA$51,MATCH($C26,'[2]Sales per type Agustus'!$B$10:$B$51,0),MATCH("X300 Ultra",'[2]Sales per type Agustus'!$D$8:$BA$8,0)),0)</f>
        <v>0</v>
      </c>
      <c r="CH26" s="33">
        <f t="shared" si="26"/>
        <v>0</v>
      </c>
      <c r="CI26" s="33" cm="1">
        <f t="array" ref="CI26">IFERROR(INDEX('[2]SALES PERTYPE'!$D$10:$BA$52,MATCH($C26,'[2]SALES PERTYPE'!$B$10:$B$52,0),MATCH("X300 Ultra",'[2]SALES PERTYPE'!$D$8:$BA$8,0)+1),0)</f>
        <v>0</v>
      </c>
      <c r="CJ26" s="33" cm="1">
        <f t="array" ref="CJ26">IFERROR(INDEX('[2]Sales per type Agustus'!$D$10:$BA$51,MATCH($C26,'[2]Sales per type Agustus'!$B$10:$B$51,0),MATCH("X300 Ultra",'[2]Sales per type Agustus'!$D$8:$BA$8,0)+1),0)</f>
        <v>0</v>
      </c>
      <c r="CK26" s="33">
        <f t="shared" si="27"/>
        <v>0</v>
      </c>
      <c r="CL26" s="33">
        <f>IFERROR(INDEX('[2]SALES PERTYPE'!$D$10:$BA$52,MATCH($C26,'[2]SALES PERTYPE'!$B$10:$B$52,0),MATCH("IQOO 15",'[2]SALES PERTYPE'!$D$8:$BA$8,0)),0)</f>
        <v>0</v>
      </c>
      <c r="CM26" s="33">
        <f>IFERROR(INDEX('[2]Sales per type Agustus'!$D$10:$BA$51,MATCH($C26,'[2]Sales per type Agustus'!$B$10:$B$51,0),MATCH("IQOO 15",'[2]Sales per type Agustus'!$D$8:$BA$8,0)),0)</f>
        <v>0</v>
      </c>
      <c r="CN26" s="33">
        <f t="shared" si="28"/>
        <v>0</v>
      </c>
      <c r="CO26" s="33" cm="1">
        <f t="array" ref="CO26">IFERROR(INDEX('[2]SALES PERTYPE'!$D$10:$BA$52,MATCH($C26,'[2]SALES PERTYPE'!$B$10:$B$52,0),MATCH("IQOO 15",'[2]SALES PERTYPE'!$D$8:$BA$8,0)+1),0)</f>
        <v>0</v>
      </c>
      <c r="CP26" s="33" cm="1">
        <f t="array" ref="CP26">IFERROR(INDEX('[2]Sales per type Agustus'!$D$10:$BA$51,MATCH($C26,'[2]Sales per type Agustus'!$B$10:$B$51,0),MATCH("IQOO 15",'[2]Sales per type Agustus'!$D$8:$BA$8,0)+1),0)</f>
        <v>0</v>
      </c>
      <c r="CQ26" s="33">
        <f t="shared" si="29"/>
        <v>0</v>
      </c>
      <c r="CR26" s="33">
        <f>IFERROR(INDEX('[2]SALES PERTYPE'!$D$10:$BA$52,MATCH($C26,'[2]SALES PERTYPE'!$B$10:$B$52,0),MATCH("IQOO Z11x",'[2]SALES PERTYPE'!$D$8:$BA$8,0)),0)</f>
        <v>0</v>
      </c>
      <c r="CS26" s="33">
        <f>IFERROR(INDEX('[2]Sales per type Agustus'!$D$10:$BA$51,MATCH($C26,'[2]Sales per type Agustus'!$B$10:$B$51,0),MATCH("IQOO Z11x",'[2]Sales per type Agustus'!$D$8:$BA$8,0)),0)</f>
        <v>0</v>
      </c>
      <c r="CT26" s="33">
        <f t="shared" si="30"/>
        <v>0</v>
      </c>
      <c r="CU26" s="33" cm="1">
        <f t="array" ref="CU26">IFERROR(INDEX('[2]SALES PERTYPE'!$D$10:$BA$52,MATCH($C26,'[2]SALES PERTYPE'!$B$10:$B$52,0),MATCH("IQOO Z11x",'[2]SALES PERTYPE'!$D$8:$BA$8,0)+1),0)</f>
        <v>0</v>
      </c>
      <c r="CV26" s="33" cm="1">
        <f t="array" ref="CV26">IFERROR(INDEX('[2]Sales per type Agustus'!$D$10:$BA$51,MATCH($C26,'[2]Sales per type Agustus'!$B$10:$B$51,0),MATCH("IQOO Z11x",'[2]Sales per type Agustus'!$D$8:$BA$8,0)+1),0)</f>
        <v>0</v>
      </c>
      <c r="CW26" s="33">
        <f t="shared" si="31"/>
        <v>0</v>
      </c>
      <c r="CX26" s="33">
        <f>IFERROR(INDEX('[2]SALES PERTYPE'!$D$10:$BA$52,MATCH($C26,'[2]SALES PERTYPE'!$B$10:$B$52,0),MATCH("IQOO Z11",'[2]SALES PERTYPE'!$D$8:$BA$8,0)),0)</f>
        <v>0</v>
      </c>
      <c r="CY26" s="33">
        <f>IFERROR(INDEX('[2]Sales per type Agustus'!$D$10:$BA$51,MATCH($C26,'[2]Sales per type Agustus'!$B$10:$B$51,0),MATCH("IQOO Z11",'[2]Sales per type Agustus'!$D$8:$BA$8,0)),0)</f>
        <v>0</v>
      </c>
      <c r="CZ26" s="33">
        <f t="shared" si="32"/>
        <v>0</v>
      </c>
      <c r="DA26" s="33" cm="1">
        <f t="array" ref="DA26">IFERROR(INDEX('[2]SALES PERTYPE'!$D$10:$BA$52,MATCH($C26,'[2]SALES PERTYPE'!$B$10:$B$52,0),MATCH("IQOO Z11",'[2]SALES PERTYPE'!$D$8:$BA$8,0)+1),0)</f>
        <v>0</v>
      </c>
      <c r="DB26" s="33" cm="1">
        <f t="array" ref="DB26">IFERROR(INDEX('[2]Sales per type Agustus'!$D$10:$BA$51,MATCH($C26,'[2]Sales per type Agustus'!$B$10:$B$51,0),MATCH("IQOO Z11",'[2]Sales per type Agustus'!$D$8:$BA$8,0)+1),0)</f>
        <v>0</v>
      </c>
      <c r="DC26" s="33">
        <f t="shared" si="33"/>
        <v>0</v>
      </c>
      <c r="DD26" s="33">
        <f>IFERROR(INDEX('[2]SALES PERTYPE'!$D$10:$BA$52,MATCH($C26,'[2]SALES PERTYPE'!$B$10:$B$52,0),MATCH("WATCH 3",'[2]SALES PERTYPE'!$D$8:$BA$8,0)),0)</f>
        <v>0</v>
      </c>
      <c r="DE26" s="33">
        <f>IFERROR(INDEX('[2]Sales per type Agustus'!$D$10:$BA$51,MATCH($C26,'[2]Sales per type Agustus'!$B$10:$B$51,0),MATCH("WATCH 3",'[2]Sales per type Agustus'!$D$8:$BA$8,0)),0)</f>
        <v>0</v>
      </c>
      <c r="DF26" s="33">
        <f t="shared" si="34"/>
        <v>0</v>
      </c>
      <c r="DG26" s="33" cm="1">
        <f t="array" ref="DG26">IFERROR(INDEX('[2]SALES PERTYPE'!$D$10:$BA$52,MATCH($C26,'[2]SALES PERTYPE'!$B$10:$B$52,0),MATCH("WATCH 3",'[2]SALES PERTYPE'!$D$8:$BA$8,0)+1),0)</f>
        <v>0</v>
      </c>
      <c r="DH26" s="33" cm="1">
        <f t="array" ref="DH26">IFERROR(INDEX('[2]Sales per type Agustus'!$D$10:$BA$51,MATCH($C26,'[2]Sales per type Agustus'!$B$10:$B$51,0),MATCH("WATCH 3",'[2]Sales per type Agustus'!$D$8:$BA$8,0)+1),0)</f>
        <v>0</v>
      </c>
      <c r="DI26" s="33">
        <f t="shared" si="35"/>
        <v>0</v>
      </c>
      <c r="DJ26" s="33">
        <f>IFERROR(INDEX('[2]SALES PERTYPE'!$D$10:$BA$52,MATCH($C26,'[2]SALES PERTYPE'!$B$10:$B$52,0),MATCH("X Fold5",'[2]SALES PERTYPE'!$D$8:$BA$8,0)),0)</f>
        <v>0</v>
      </c>
      <c r="DK26" s="33">
        <f>IFERROR(INDEX('[2]Sales per type Agustus'!$D$10:$BA$51,MATCH($C26,'[2]Sales per type Agustus'!$B$10:$B$51,0),MATCH("X Fold5",'[2]Sales per type Agustus'!$D$8:$BA$8,0)),0)</f>
        <v>0</v>
      </c>
      <c r="DL26" s="33">
        <f t="shared" si="36"/>
        <v>0</v>
      </c>
      <c r="DM26" s="33" cm="1">
        <f t="array" ref="DM26">IFERROR(INDEX('[2]SALES PERTYPE'!$D$10:$BA$52,MATCH($C26,'[2]SALES PERTYPE'!$B$10:$B$52,0),MATCH("X Fold5",'[2]SALES PERTYPE'!$D$8:$BA$8,0)+1),0)</f>
        <v>0</v>
      </c>
      <c r="DN26" s="33" cm="1">
        <f t="array" ref="DN26">IFERROR(INDEX('[2]Sales per type Agustus'!$D$10:$BA$51,MATCH($C26,'[2]Sales per type Agustus'!$B$10:$B$51,0),MATCH("X Fold5",'[2]Sales per type Agustus'!$D$8:$BA$8,0)+1),0)</f>
        <v>0</v>
      </c>
      <c r="DO26" s="33">
        <f t="shared" si="37"/>
        <v>0</v>
      </c>
      <c r="DP26" s="33">
        <f>IFERROR(INDEX('[2]SALES PERTYPE'!$D$10:$BA$52,MATCH($C26,'[2]SALES PERTYPE'!$B$10:$B$52,0),MATCH("X300 PRO",'[2]SALES PERTYPE'!$D$8:$BA$8,0)),0)</f>
        <v>0</v>
      </c>
      <c r="DQ26" s="33">
        <f>IFERROR(INDEX('[2]Sales per type Agustus'!$D$10:$BA$51,MATCH($C26,'[2]Sales per type Agustus'!$B$10:$B$51,0),MATCH("X300 PRO",'[2]Sales per type Agustus'!$D$8:$BA$8,0)),0)</f>
        <v>0</v>
      </c>
      <c r="DR26" s="33">
        <f t="shared" si="38"/>
        <v>0</v>
      </c>
      <c r="DS26" s="33" cm="1">
        <f t="array" ref="DS26">IFERROR(INDEX('[2]SALES PERTYPE'!$D$10:$BA$52,MATCH($C26,'[2]SALES PERTYPE'!$B$10:$B$52,0),MATCH("X300 PRO",'[2]SALES PERTYPE'!$D$8:$BA$8,0)+1),0)</f>
        <v>0</v>
      </c>
      <c r="DT26" s="33" cm="1">
        <f t="array" ref="DT26">IFERROR(INDEX('[2]Sales per type Agustus'!$D$10:$BA$51,MATCH($C26,'[2]Sales per type Agustus'!$B$10:$B$51,0),MATCH("X300 PRO",'[2]Sales per type Agustus'!$D$8:$BA$8,0)+1),0)</f>
        <v>0</v>
      </c>
      <c r="DU26" s="33">
        <f t="shared" si="39"/>
        <v>0</v>
      </c>
      <c r="DV26" s="33">
        <f>IFERROR(INDEX('[2]SALES PERTYPE'!$D$10:$BA$52,MATCH($C26,'[2]SALES PERTYPE'!$B$10:$B$52,0),MATCH("X300",'[2]SALES PERTYPE'!$D$8:$BA$8,0)),0)</f>
        <v>0</v>
      </c>
      <c r="DW26" s="33">
        <f>IFERROR(INDEX('[2]Sales per type Agustus'!$D$10:$BA$51,MATCH($C26,'[2]Sales per type Agustus'!$B$10:$B$51,0),MATCH("X300 ",'[2]Sales per type Agustus'!$D$8:$BA$8,0)),0)</f>
        <v>0</v>
      </c>
      <c r="DX26" s="33">
        <f t="shared" si="40"/>
        <v>0</v>
      </c>
      <c r="DY26" s="33" cm="1">
        <f t="array" ref="DY26">IFERROR(INDEX('[2]SALES PERTYPE'!$D$10:$BA$52,MATCH($C26,'[2]SALES PERTYPE'!$B$10:$B$52,0),MATCH("X300",'[2]SALES PERTYPE'!$D$8:$BA$8,0)+1),0)</f>
        <v>0</v>
      </c>
      <c r="DZ26" s="33" cm="1">
        <f t="array" ref="DZ26">IFERROR(INDEX('[2]Sales per type Agustus'!$D$10:$BA$51,MATCH($C26,'[2]Sales per type Agustus'!$B$10:$B$51,0),MATCH("X300 ",'[2]Sales per type Agustus'!$D$8:$BA$8,0)+1),0)</f>
        <v>0</v>
      </c>
      <c r="EA26" s="33">
        <f t="shared" si="41"/>
        <v>0</v>
      </c>
      <c r="EB26" s="33">
        <f t="shared" si="42"/>
        <v>24</v>
      </c>
      <c r="EC26" s="33">
        <f t="shared" si="42"/>
        <v>20</v>
      </c>
      <c r="ED26" s="33">
        <f t="shared" si="43"/>
        <v>4</v>
      </c>
      <c r="EE26" s="33">
        <f t="shared" si="44"/>
        <v>106776000</v>
      </c>
      <c r="EF26" s="33">
        <f t="shared" si="44"/>
        <v>78780000</v>
      </c>
      <c r="EG26" s="33">
        <f t="shared" si="45"/>
        <v>27996000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'[2]ACHIEVEMENT STORE'!A27</f>
        <v>23</v>
      </c>
      <c r="B27" s="32" t="str">
        <f>'[2]ACHIEVEMENT STORE'!B27</f>
        <v>624-万丹BANTEN</v>
      </c>
      <c r="C27" s="31">
        <f>'[2]ACHIEVEMENT STORE'!C27</f>
        <v>6240704</v>
      </c>
      <c r="D27" s="32" t="str">
        <f>'[2]ACHIEVEMENT STORE'!D27</f>
        <v>6240704-TANGCITY LG017</v>
      </c>
      <c r="E27" s="32" t="str">
        <f>'[2]ACHIEVEMENT STORE'!E27</f>
        <v>ARIES FITRIYANTO</v>
      </c>
      <c r="F27" s="33">
        <f>IFERROR(INDEX('[2]SALES PERTYPE'!$D$10:$BA$52,MATCH($C27,'[2]SALES PERTYPE'!$B$10:$B$52,0),MATCH("Y05",'[2]SALES PERTYPE'!$D$8:$BA$8,0)),0)</f>
        <v>1</v>
      </c>
      <c r="G27" s="33">
        <f>IFERROR(INDEX('[2]Sales per type Agustus'!$D$10:$BA$51,MATCH($C27,'[2]Sales per type Agustus'!$B$10:$B$51,0),MATCH("Y05",'[2]Sales per type Agustus'!$D$8:$BA$8,0)),0)</f>
        <v>0</v>
      </c>
      <c r="H27" s="33">
        <f t="shared" si="0"/>
        <v>1</v>
      </c>
      <c r="I27" s="33" cm="1">
        <f t="array" ref="I27">IFERROR(INDEX('[2]SALES PERTYPE'!$D$10:$BA$52,MATCH($C27,'[2]SALES PERTYPE'!$B$10:$B$52,0),MATCH("Y05",'[2]SALES PERTYPE'!$D$8:$BA$8,0)+1),0)</f>
        <v>2599000</v>
      </c>
      <c r="J27" s="33" cm="1">
        <f t="array" ref="J27">IFERROR(INDEX('[2]Sales per type Agustus'!$D$10:$BA$51,MATCH($C27,'[2]Sales per type Agustus'!$B$10:$B$51,0),MATCH("Y05",'[2]Sales per type Agustus'!$D$8:$BA$8,0)+1),0)</f>
        <v>0</v>
      </c>
      <c r="K27" s="33">
        <f t="shared" si="1"/>
        <v>2599000</v>
      </c>
      <c r="L27" s="33">
        <f>IFERROR(INDEX('[2]SALES PERTYPE'!$D$10:$BA$52,MATCH($C27,'[2]SALES PERTYPE'!$B$10:$B$52,0),MATCH("Y11d",'[2]SALES PERTYPE'!$D$8:$BA$8,0)),0)</f>
        <v>0</v>
      </c>
      <c r="M27" s="33">
        <f>IFERROR(INDEX('[2]Sales per type Agustus'!$D$10:$BA$51,MATCH($C27,'[2]Sales per type Agustus'!$B$10:$B$51,0),MATCH("Y11d",'[2]Sales per type Agustus'!$D$8:$BA$8,0)),0)</f>
        <v>0</v>
      </c>
      <c r="N27" s="33">
        <f t="shared" si="2"/>
        <v>0</v>
      </c>
      <c r="O27" s="33" cm="1">
        <f t="array" ref="O27">IFERROR(INDEX('[2]SALES PERTYPE'!$D$10:$BA$52,MATCH($C27,'[2]SALES PERTYPE'!$B$10:$B$52,0),MATCH("Y11d",'[2]SALES PERTYPE'!$D$8:$BA$8,0)+1),0)</f>
        <v>0</v>
      </c>
      <c r="P27" s="33" cm="1">
        <f t="array" ref="P27">IFERROR(INDEX('[2]Sales per type Agustus'!$D$10:$BA$51,MATCH($C27,'[2]Sales per type Agustus'!$B$10:$B$51,0),MATCH("Y11d",'[2]Sales per type Agustus'!$D$8:$BA$8,0)+1),0)</f>
        <v>0</v>
      </c>
      <c r="Q27" s="33">
        <f t="shared" si="3"/>
        <v>0</v>
      </c>
      <c r="R27" s="33">
        <f>IFERROR(INDEX('[2]SALES PERTYPE'!$D$10:$BA$52,MATCH($C27,'[2]SALES PERTYPE'!$B$10:$B$52,0),MATCH("Watch GT 2",'[2]SALES PERTYPE'!$D$8:$BA$8,0)),0)</f>
        <v>0</v>
      </c>
      <c r="S27" s="33">
        <f>IFERROR(INDEX('[2]Sales per type Agustus'!$D$10:$BA$51,MATCH($C27,'[2]Sales per type Agustus'!$B$10:$B$51,0),MATCH("Watch GT 2",'[2]Sales per type Agustus'!$D$8:$BA$8,0)),0)</f>
        <v>0</v>
      </c>
      <c r="T27" s="33">
        <f t="shared" si="4"/>
        <v>0</v>
      </c>
      <c r="U27" s="33" cm="1">
        <f t="array" ref="U27">IFERROR(INDEX('[2]SALES PERTYPE'!$D$10:$BA$52,MATCH($C27,'[2]SALES PERTYPE'!$B$10:$B$52,0),MATCH("Watch GT 2",'[2]SALES PERTYPE'!$D$8:$BA$8,0)+1),0)</f>
        <v>0</v>
      </c>
      <c r="V27" s="33" cm="1">
        <f t="array" ref="V27">IFERROR(INDEX('[2]Sales per type Agustus'!$D$10:$BA$51,MATCH($C27,'[2]Sales per type Agustus'!$B$10:$B$51,0),MATCH("Watch GT 2",'[2]Sales per type Agustus'!$D$8:$BA$8,0)+1),0)</f>
        <v>0</v>
      </c>
      <c r="W27" s="33">
        <f t="shared" si="5"/>
        <v>0</v>
      </c>
      <c r="X27" s="33">
        <f>IFERROR(INDEX('[2]SALES PERTYPE'!$D$10:$BA$52,MATCH($C27,'[2]SALES PERTYPE'!$B$10:$B$52,0),MATCH("Y05e",'[2]SALES PERTYPE'!$D$8:$BA$8,0)),0)</f>
        <v>0</v>
      </c>
      <c r="Y27" s="33">
        <f>IFERROR(INDEX('[2]Sales per type Agustus'!$D$10:$BA$51,MATCH($C27,'[2]Sales per type Agustus'!$B$10:$B$51,0),MATCH("Y05e",'[2]Sales per type Agustus'!$D$8:$BA$8,0)),0)</f>
        <v>3</v>
      </c>
      <c r="Z27" s="33">
        <f t="shared" si="6"/>
        <v>-3</v>
      </c>
      <c r="AA27" s="33" cm="1">
        <f t="array" ref="AA27">IFERROR(INDEX('[2]SALES PERTYPE'!$D$10:$BA$52,MATCH($C27,'[2]SALES PERTYPE'!$B$10:$B$52,0),MATCH("Y05e",'[2]SALES PERTYPE'!$D$8:$BA$8,0)+1),0)</f>
        <v>0</v>
      </c>
      <c r="AB27" s="33" cm="1">
        <f t="array" ref="AB27">IFERROR(INDEX('[2]Sales per type Agustus'!$D$10:$BA$51,MATCH($C27,'[2]Sales per type Agustus'!$B$10:$B$51,0),MATCH("Y05e",'[2]Sales per type Agustus'!$D$8:$BA$8,0)+1),0)</f>
        <v>6297000</v>
      </c>
      <c r="AC27" s="33">
        <f t="shared" si="7"/>
        <v>-6297000</v>
      </c>
      <c r="AD27" s="33">
        <f>IFERROR(INDEX('[2]SALES PERTYPE'!$D$10:$BA$52,MATCH($C27,'[2]SALES PERTYPE'!$B$10:$B$52,0),MATCH("V70",'[2]SALES PERTYPE'!$D$8:$BA$8,0)),0)</f>
        <v>0</v>
      </c>
      <c r="AE27" s="33">
        <f>IFERROR(INDEX('[2]Sales per type Agustus'!$D$10:$BA$51,MATCH($C27,'[2]Sales per type Agustus'!$B$10:$B$51,0),MATCH("V70",'[2]Sales per type Agustus'!$D$8:$BA$8,0)),0)</f>
        <v>0</v>
      </c>
      <c r="AF27" s="33">
        <f t="shared" si="8"/>
        <v>0</v>
      </c>
      <c r="AG27" s="33" cm="1">
        <f t="array" ref="AG27">IFERROR(INDEX('[2]SALES PERTYPE'!$D$10:$BA$52,MATCH($C27,'[2]SALES PERTYPE'!$B$10:$B$52,0),MATCH("V70",'[2]SALES PERTYPE'!$D$8:$BA$8,0)+1),0)</f>
        <v>0</v>
      </c>
      <c r="AH27" s="33" cm="1">
        <f t="array" ref="AH27">IFERROR(INDEX('[2]Sales per type Agustus'!$D$10:$BA$51,MATCH($C27,'[2]Sales per type Agustus'!$B$10:$B$51,0),MATCH("V70",'[2]Sales per type Agustus'!$D$8:$BA$8,0)+1),0)</f>
        <v>0</v>
      </c>
      <c r="AI27" s="33">
        <f t="shared" si="9"/>
        <v>0</v>
      </c>
      <c r="AJ27" s="33">
        <f>IFERROR(INDEX('[2]SALES PERTYPE'!$D$10:$BA$52,MATCH($C27,'[2]SALES PERTYPE'!$B$10:$B$52,0),MATCH("Y31d Pro",'[2]SALES PERTYPE'!$D$8:$BA$8,0)),0)</f>
        <v>0</v>
      </c>
      <c r="AK27" s="33">
        <f>IFERROR(INDEX('[2]Sales per type Agustus'!$D$10:$BA$51,MATCH($C27,'[2]Sales per type Agustus'!$B$10:$B$51,0),MATCH("Y31d Pro",'[2]Sales per type Agustus'!$D$8:$BA$8,0)),0)</f>
        <v>0</v>
      </c>
      <c r="AL27" s="33">
        <f t="shared" si="10"/>
        <v>0</v>
      </c>
      <c r="AM27" s="33" cm="1">
        <f t="array" ref="AM27">IFERROR(INDEX('[2]SALES PERTYPE'!$D$10:$BA$52,MATCH($C27,'[2]SALES PERTYPE'!$B$10:$B$52,0),MATCH("Y31d Pro",'[2]SALES PERTYPE'!$D$8:$BA$8,0)+1),0)</f>
        <v>0</v>
      </c>
      <c r="AN27" s="33" cm="1">
        <f t="array" ref="AN27">IFERROR(INDEX('[2]Sales per type Agustus'!$D$10:$BA$51,MATCH($C27,'[2]Sales per type Agustus'!$B$10:$B$51,0),MATCH("Y31d Pro",'[2]Sales per type Agustus'!$D$8:$BA$8,0)+1),0)</f>
        <v>0</v>
      </c>
      <c r="AO27" s="33">
        <f t="shared" si="11"/>
        <v>0</v>
      </c>
      <c r="AP27" s="33" cm="1">
        <f t="array" ref="AP27">IFERROR(INDEX('[2]SALES PERTYPE'!$D$10:$BA$52,MATCH($C27,'[2]SALES PERTYPE'!$B$10:$B$52,0),$EI$3),0)</f>
        <v>0</v>
      </c>
      <c r="AQ27" s="33" cm="1">
        <f t="array" ref="AQ27">IFERROR(INDEX('[2]Sales per type Agustus'!$D$10:$BA$51,MATCH($C27,'[2]Sales per type Agustus'!$B$10:$B$51,0),$EI$2),0)</f>
        <v>0</v>
      </c>
      <c r="AR27" s="33">
        <f t="shared" si="12"/>
        <v>0</v>
      </c>
      <c r="AS27" s="33" cm="1">
        <f t="array" ref="AS27">IFERROR(INDEX('[2]SALES PERTYPE'!$D$10:$BA$52,MATCH($C27,'[2]SALES PERTYPE'!$B$10:$B$52,0),$EI$3+1),0)</f>
        <v>0</v>
      </c>
      <c r="AT27" s="33" cm="1">
        <f t="array" ref="AT27">IFERROR(INDEX('[2]Sales per type Agustus'!$D$10:$BA$51,MATCH($C27,'[2]Sales per type Agustus'!$B$10:$B$51,0),$EI$2+1),0)</f>
        <v>0</v>
      </c>
      <c r="AU27" s="33">
        <f t="shared" si="13"/>
        <v>0</v>
      </c>
      <c r="AV27" s="33">
        <f>IFERROR(INDEX('[2]SALES PERTYPE'!$D$10:$BA$52,MATCH($C27,'[2]SALES PERTYPE'!$B$10:$B$52,0),MATCH("Y31d ",'[2]SALES PERTYPE'!$D$8:$BA$8,0)),0)</f>
        <v>0</v>
      </c>
      <c r="AW27" s="33">
        <f>IFERROR(INDEX('[2]Sales per type Agustus'!$D$10:$BA$51,MATCH($C27,'[2]Sales per type Agustus'!$B$10:$B$51,0),MATCH("Y31d ",'[2]Sales per type Agustus'!$D$8:$BA$8,0)),0)</f>
        <v>0</v>
      </c>
      <c r="AX27" s="33">
        <f t="shared" si="14"/>
        <v>0</v>
      </c>
      <c r="AY27" s="33" cm="1">
        <f t="array" ref="AY27">IFERROR(INDEX('[2]SALES PERTYPE'!$D$10:$BA$52,MATCH($C27,'[2]SALES PERTYPE'!$B$10:$B$52,0),MATCH("Y31d ",'[2]SALES PERTYPE'!$D$8:$BA$8,0)+1),0)</f>
        <v>0</v>
      </c>
      <c r="AZ27" s="33" cm="1">
        <f t="array" ref="AZ27">IFERROR(INDEX('[2]Sales per type Agustus'!$D$10:$BA$51,MATCH($C27,'[2]Sales per type Agustus'!$B$10:$B$51,0),MATCH("Y31d ",'[2]Sales per type Agustus'!$D$8:$BA$8,0)+1),0)</f>
        <v>0</v>
      </c>
      <c r="BA27" s="33">
        <f t="shared" si="15"/>
        <v>0</v>
      </c>
      <c r="BB27" s="33">
        <f>IFERROR(INDEX('[2]SALES PERTYPE'!$D$10:$BA$52,MATCH($C27,'[2]SALES PERTYPE'!$B$10:$B$52,0),MATCH("V70 FE",'[2]SALES PERTYPE'!$D$8:$BA$8,0)),0)</f>
        <v>0</v>
      </c>
      <c r="BC27" s="33">
        <f>IFERROR(INDEX('[2]Sales per type Agustus'!$D$10:$BA$51,MATCH($C27,'[2]Sales per type Agustus'!$B$10:$B$51,0),MATCH("V70 FE",'[2]Sales per type Agustus'!$D$8:$BA$8,0)),0)</f>
        <v>0</v>
      </c>
      <c r="BD27" s="33">
        <f t="shared" si="16"/>
        <v>0</v>
      </c>
      <c r="BE27" s="33" cm="1">
        <f t="array" ref="BE27">IFERROR(INDEX('[2]SALES PERTYPE'!$D$10:$BA$52,MATCH($C27,'[2]SALES PERTYPE'!$B$10:$B$52,0),MATCH("V70 FE",'[2]SALES PERTYPE'!$D$8:$BA$8,0)+1),0)</f>
        <v>0</v>
      </c>
      <c r="BF27" s="33" cm="1">
        <f t="array" ref="BF27">IFERROR(INDEX('[2]Sales per type Agustus'!$D$10:$BA$51,MATCH($C27,'[2]Sales per type Agustus'!$B$10:$B$51,0),MATCH("V70 FE",'[2]Sales per type Agustus'!$D$8:$BA$8,0)+1),0)</f>
        <v>0</v>
      </c>
      <c r="BG27" s="33">
        <f t="shared" si="17"/>
        <v>0</v>
      </c>
      <c r="BH27" s="33">
        <f>IFERROR(INDEX('[2]SALES PERTYPE'!$D$10:$BA$52,MATCH($C27,'[2]SALES PERTYPE'!$B$10:$B$52,0),MATCH("Y31d",'[2]SALES PERTYPE'!$D$8:$BA$8,0)),0)</f>
        <v>0</v>
      </c>
      <c r="BI27" s="33">
        <f>IFERROR(INDEX('[2]Sales per type Agustus'!$D$10:$BA$51,MATCH($C27,'[2]Sales per type Agustus'!$B$10:$B$51,0),MATCH("Y31d",'[2]Sales per type Agustus'!$D$8:$BA$8,0)),0)</f>
        <v>0</v>
      </c>
      <c r="BJ27" s="33">
        <f t="shared" si="18"/>
        <v>0</v>
      </c>
      <c r="BK27" s="33" cm="1">
        <f t="array" ref="BK27">IFERROR(INDEX('[2]SALES PERTYPE'!$D$10:$BA$52,MATCH($C27,'[2]SALES PERTYPE'!$B$10:$B$52,0),MATCH("Y31d",'[2]SALES PERTYPE'!$D$8:$BA$8,0)+1),0)</f>
        <v>0</v>
      </c>
      <c r="BL27" s="33" cm="1">
        <f t="array" ref="BL27">IFERROR(INDEX('[2]Sales per type Agustus'!$D$10:$BA$51,MATCH($C27,'[2]Sales per type Agustus'!$B$10:$B$51,0),MATCH("Y31d",'[2]Sales per type Agustus'!$D$8:$BA$8,0)+1),0)</f>
        <v>0</v>
      </c>
      <c r="BM27" s="33">
        <f t="shared" si="19"/>
        <v>0</v>
      </c>
      <c r="BN27" s="33">
        <f>IFERROR(INDEX('[2]SALES PERTYPE'!$D$10:$BA$52,MATCH($C27,'[2]SALES PERTYPE'!$B$10:$B$52,0),MATCH("Y500",'[2]SALES PERTYPE'!$D$8:$BA$8,0)),0)</f>
        <v>0</v>
      </c>
      <c r="BO27" s="33">
        <f>IFERROR(INDEX('[2]Sales per type Agustus'!$D$10:$BA$51,MATCH($C27,'[2]Sales per type Agustus'!$B$10:$B$51,0),MATCH("Y500",'[2]Sales per type Agustus'!$D$8:$BA$8,0)),0)</f>
        <v>0</v>
      </c>
      <c r="BP27" s="33">
        <f t="shared" si="20"/>
        <v>0</v>
      </c>
      <c r="BQ27" s="33" cm="1">
        <f t="array" ref="BQ27">IFERROR(INDEX('[2]SALES PERTYPE'!$D$10:$BA$52,MATCH($C27,'[2]SALES PERTYPE'!$B$10:$B$52,0),MATCH("Y500",'[2]SALES PERTYPE'!$D$8:$BA$8,0)+1),0)</f>
        <v>0</v>
      </c>
      <c r="BR27" s="33" cm="1">
        <f t="array" ref="BR27">IFERROR(INDEX('[2]Sales per type Agustus'!$D$10:$BA$51,MATCH($C27,'[2]Sales per type Agustus'!$B$10:$B$51,0),MATCH("Y500",'[2]Sales per type Agustus'!$D$8:$BA$8,0)+1),0)</f>
        <v>0</v>
      </c>
      <c r="BS27" s="33">
        <f t="shared" si="21"/>
        <v>0</v>
      </c>
      <c r="BT27" s="33">
        <f>IFERROR(INDEX('[2]SALES PERTYPE'!$D$10:$BA$52,MATCH($C27,'[2]SALES PERTYPE'!$B$10:$B$52,0),MATCH("IQOO 15R",'[2]SALES PERTYPE'!$D$8:$BA$8,0)),0)</f>
        <v>0</v>
      </c>
      <c r="BU27" s="33">
        <f>IFERROR(INDEX('[2]Sales per type Agustus'!$D$10:$BA$51,MATCH($C27,'[2]Sales per type Agustus'!$B$10:$B$51,0),MATCH("IQOO 15R",'[2]Sales per type Agustus'!$D$8:$BA$8,0)),0)</f>
        <v>0</v>
      </c>
      <c r="BV27" s="33">
        <f t="shared" si="22"/>
        <v>0</v>
      </c>
      <c r="BW27" s="33" cm="1">
        <f t="array" ref="BW27">IFERROR(INDEX('[2]SALES PERTYPE'!$D$10:$BA$52,MATCH($C27,'[2]SALES PERTYPE'!$B$10:$B$52,0),MATCH("IQOO 15R",'[2]SALES PERTYPE'!$D$8:$BA$8,0)+1),0)</f>
        <v>0</v>
      </c>
      <c r="BX27" s="33" cm="1">
        <f t="array" ref="BX27">IFERROR(INDEX('[2]Sales per type Agustus'!$D$10:$BA$51,MATCH($C27,'[2]Sales per type Agustus'!$B$10:$B$51,0),MATCH("IQOO 15R",'[2]Sales per type Agustus'!$D$8:$BA$8,0)+1),0)</f>
        <v>0</v>
      </c>
      <c r="BY27" s="33">
        <f t="shared" si="23"/>
        <v>0</v>
      </c>
      <c r="BZ27" s="33">
        <f>IFERROR(INDEX('[2]SALES PERTYPE'!$D$10:$BA$52,MATCH($C27,'[2]SALES PERTYPE'!$B$10:$B$52,0),MATCH("V60 Lite",'[2]SALES PERTYPE'!$D$8:$BA$8,0)),0)</f>
        <v>0</v>
      </c>
      <c r="CA27" s="33">
        <f>IFERROR(INDEX('[2]Sales per type Agustus'!$D$10:$BA$51,MATCH($C27,'[2]Sales per type Agustus'!$B$10:$B$51,0),MATCH("V60 Lite",'[2]Sales per type Agustus'!$D$8:$BA$8,0)),0)</f>
        <v>0</v>
      </c>
      <c r="CB27" s="33">
        <f t="shared" si="24"/>
        <v>0</v>
      </c>
      <c r="CC27" s="33" cm="1">
        <f t="array" ref="CC27">IFERROR(INDEX('[2]SALES PERTYPE'!$D$10:$BA$52,MATCH($C27,'[2]SALES PERTYPE'!$B$10:$B$52,0),MATCH("V60 Lite",'[2]SALES PERTYPE'!$D$8:$BA$8,0)+1),0)</f>
        <v>0</v>
      </c>
      <c r="CD27" s="33" cm="1">
        <f t="array" ref="CD27">IFERROR(INDEX('[2]Sales per type Agustus'!$D$10:$BA$51,MATCH($C27,'[2]Sales per type Agustus'!$B$10:$B$51,0),MATCH("V60 Lite",'[2]Sales per type Agustus'!$D$8:$BA$8,0)+1),0)</f>
        <v>0</v>
      </c>
      <c r="CE27" s="33">
        <f t="shared" si="25"/>
        <v>0</v>
      </c>
      <c r="CF27" s="33">
        <f>IFERROR(INDEX('[2]SALES PERTYPE'!$D$10:$BA$52,MATCH($C27,'[2]SALES PERTYPE'!$B$10:$B$52,0),MATCH("X300 Ultra",'[2]SALES PERTYPE'!$D$8:$BA$8,0)),0)</f>
        <v>0</v>
      </c>
      <c r="CG27" s="33">
        <f>IFERROR(INDEX('[2]Sales per type Agustus'!$D$10:$BA$51,MATCH($C27,'[2]Sales per type Agustus'!$B$10:$B$51,0),MATCH("X300 Ultra",'[2]Sales per type Agustus'!$D$8:$BA$8,0)),0)</f>
        <v>0</v>
      </c>
      <c r="CH27" s="33">
        <f t="shared" si="26"/>
        <v>0</v>
      </c>
      <c r="CI27" s="33" cm="1">
        <f t="array" ref="CI27">IFERROR(INDEX('[2]SALES PERTYPE'!$D$10:$BA$52,MATCH($C27,'[2]SALES PERTYPE'!$B$10:$B$52,0),MATCH("X300 Ultra",'[2]SALES PERTYPE'!$D$8:$BA$8,0)+1),0)</f>
        <v>0</v>
      </c>
      <c r="CJ27" s="33" cm="1">
        <f t="array" ref="CJ27">IFERROR(INDEX('[2]Sales per type Agustus'!$D$10:$BA$51,MATCH($C27,'[2]Sales per type Agustus'!$B$10:$B$51,0),MATCH("X300 Ultra",'[2]Sales per type Agustus'!$D$8:$BA$8,0)+1),0)</f>
        <v>0</v>
      </c>
      <c r="CK27" s="33">
        <f t="shared" si="27"/>
        <v>0</v>
      </c>
      <c r="CL27" s="33">
        <f>IFERROR(INDEX('[2]SALES PERTYPE'!$D$10:$BA$52,MATCH($C27,'[2]SALES PERTYPE'!$B$10:$B$52,0),MATCH("IQOO 15",'[2]SALES PERTYPE'!$D$8:$BA$8,0)),0)</f>
        <v>0</v>
      </c>
      <c r="CM27" s="33">
        <f>IFERROR(INDEX('[2]Sales per type Agustus'!$D$10:$BA$51,MATCH($C27,'[2]Sales per type Agustus'!$B$10:$B$51,0),MATCH("IQOO 15",'[2]Sales per type Agustus'!$D$8:$BA$8,0)),0)</f>
        <v>0</v>
      </c>
      <c r="CN27" s="33">
        <f t="shared" si="28"/>
        <v>0</v>
      </c>
      <c r="CO27" s="33" cm="1">
        <f t="array" ref="CO27">IFERROR(INDEX('[2]SALES PERTYPE'!$D$10:$BA$52,MATCH($C27,'[2]SALES PERTYPE'!$B$10:$B$52,0),MATCH("IQOO 15",'[2]SALES PERTYPE'!$D$8:$BA$8,0)+1),0)</f>
        <v>0</v>
      </c>
      <c r="CP27" s="33" cm="1">
        <f t="array" ref="CP27">IFERROR(INDEX('[2]Sales per type Agustus'!$D$10:$BA$51,MATCH($C27,'[2]Sales per type Agustus'!$B$10:$B$51,0),MATCH("IQOO 15",'[2]Sales per type Agustus'!$D$8:$BA$8,0)+1),0)</f>
        <v>0</v>
      </c>
      <c r="CQ27" s="33">
        <f t="shared" si="29"/>
        <v>0</v>
      </c>
      <c r="CR27" s="33">
        <f>IFERROR(INDEX('[2]SALES PERTYPE'!$D$10:$BA$52,MATCH($C27,'[2]SALES PERTYPE'!$B$10:$B$52,0),MATCH("IQOO Z11x",'[2]SALES PERTYPE'!$D$8:$BA$8,0)),0)</f>
        <v>0</v>
      </c>
      <c r="CS27" s="33">
        <f>IFERROR(INDEX('[2]Sales per type Agustus'!$D$10:$BA$51,MATCH($C27,'[2]Sales per type Agustus'!$B$10:$B$51,0),MATCH("IQOO Z11x",'[2]Sales per type Agustus'!$D$8:$BA$8,0)),0)</f>
        <v>0</v>
      </c>
      <c r="CT27" s="33">
        <f t="shared" si="30"/>
        <v>0</v>
      </c>
      <c r="CU27" s="33" cm="1">
        <f t="array" ref="CU27">IFERROR(INDEX('[2]SALES PERTYPE'!$D$10:$BA$52,MATCH($C27,'[2]SALES PERTYPE'!$B$10:$B$52,0),MATCH("IQOO Z11x",'[2]SALES PERTYPE'!$D$8:$BA$8,0)+1),0)</f>
        <v>0</v>
      </c>
      <c r="CV27" s="33" cm="1">
        <f t="array" ref="CV27">IFERROR(INDEX('[2]Sales per type Agustus'!$D$10:$BA$51,MATCH($C27,'[2]Sales per type Agustus'!$B$10:$B$51,0),MATCH("IQOO Z11x",'[2]Sales per type Agustus'!$D$8:$BA$8,0)+1),0)</f>
        <v>0</v>
      </c>
      <c r="CW27" s="33">
        <f t="shared" si="31"/>
        <v>0</v>
      </c>
      <c r="CX27" s="33">
        <f>IFERROR(INDEX('[2]SALES PERTYPE'!$D$10:$BA$52,MATCH($C27,'[2]SALES PERTYPE'!$B$10:$B$52,0),MATCH("IQOO Z11",'[2]SALES PERTYPE'!$D$8:$BA$8,0)),0)</f>
        <v>1</v>
      </c>
      <c r="CY27" s="33">
        <f>IFERROR(INDEX('[2]Sales per type Agustus'!$D$10:$BA$51,MATCH($C27,'[2]Sales per type Agustus'!$B$10:$B$51,0),MATCH("IQOO Z11",'[2]Sales per type Agustus'!$D$8:$BA$8,0)),0)</f>
        <v>0</v>
      </c>
      <c r="CZ27" s="33">
        <f t="shared" si="32"/>
        <v>1</v>
      </c>
      <c r="DA27" s="33" cm="1">
        <f t="array" ref="DA27">IFERROR(INDEX('[2]SALES PERTYPE'!$D$10:$BA$52,MATCH($C27,'[2]SALES PERTYPE'!$B$10:$B$52,0),MATCH("IQOO Z11",'[2]SALES PERTYPE'!$D$8:$BA$8,0)+1),0)</f>
        <v>6899000</v>
      </c>
      <c r="DB27" s="33" cm="1">
        <f t="array" ref="DB27">IFERROR(INDEX('[2]Sales per type Agustus'!$D$10:$BA$51,MATCH($C27,'[2]Sales per type Agustus'!$B$10:$B$51,0),MATCH("IQOO Z11",'[2]Sales per type Agustus'!$D$8:$BA$8,0)+1),0)</f>
        <v>0</v>
      </c>
      <c r="DC27" s="33">
        <f t="shared" si="33"/>
        <v>6899000</v>
      </c>
      <c r="DD27" s="33">
        <f>IFERROR(INDEX('[2]SALES PERTYPE'!$D$10:$BA$52,MATCH($C27,'[2]SALES PERTYPE'!$B$10:$B$52,0),MATCH("WATCH 3",'[2]SALES PERTYPE'!$D$8:$BA$8,0)),0)</f>
        <v>0</v>
      </c>
      <c r="DE27" s="33">
        <f>IFERROR(INDEX('[2]Sales per type Agustus'!$D$10:$BA$51,MATCH($C27,'[2]Sales per type Agustus'!$B$10:$B$51,0),MATCH("WATCH 3",'[2]Sales per type Agustus'!$D$8:$BA$8,0)),0)</f>
        <v>0</v>
      </c>
      <c r="DF27" s="33">
        <f t="shared" si="34"/>
        <v>0</v>
      </c>
      <c r="DG27" s="33" cm="1">
        <f t="array" ref="DG27">IFERROR(INDEX('[2]SALES PERTYPE'!$D$10:$BA$52,MATCH($C27,'[2]SALES PERTYPE'!$B$10:$B$52,0),MATCH("WATCH 3",'[2]SALES PERTYPE'!$D$8:$BA$8,0)+1),0)</f>
        <v>0</v>
      </c>
      <c r="DH27" s="33" cm="1">
        <f t="array" ref="DH27">IFERROR(INDEX('[2]Sales per type Agustus'!$D$10:$BA$51,MATCH($C27,'[2]Sales per type Agustus'!$B$10:$B$51,0),MATCH("WATCH 3",'[2]Sales per type Agustus'!$D$8:$BA$8,0)+1),0)</f>
        <v>0</v>
      </c>
      <c r="DI27" s="33">
        <f t="shared" si="35"/>
        <v>0</v>
      </c>
      <c r="DJ27" s="33">
        <f>IFERROR(INDEX('[2]SALES PERTYPE'!$D$10:$BA$52,MATCH($C27,'[2]SALES PERTYPE'!$B$10:$B$52,0),MATCH("X Fold5",'[2]SALES PERTYPE'!$D$8:$BA$8,0)),0)</f>
        <v>0</v>
      </c>
      <c r="DK27" s="33">
        <f>IFERROR(INDEX('[2]Sales per type Agustus'!$D$10:$BA$51,MATCH($C27,'[2]Sales per type Agustus'!$B$10:$B$51,0),MATCH("X Fold5",'[2]Sales per type Agustus'!$D$8:$BA$8,0)),0)</f>
        <v>0</v>
      </c>
      <c r="DL27" s="33">
        <f t="shared" si="36"/>
        <v>0</v>
      </c>
      <c r="DM27" s="33" cm="1">
        <f t="array" ref="DM27">IFERROR(INDEX('[2]SALES PERTYPE'!$D$10:$BA$52,MATCH($C27,'[2]SALES PERTYPE'!$B$10:$B$52,0),MATCH("X Fold5",'[2]SALES PERTYPE'!$D$8:$BA$8,0)+1),0)</f>
        <v>0</v>
      </c>
      <c r="DN27" s="33" cm="1">
        <f t="array" ref="DN27">IFERROR(INDEX('[2]Sales per type Agustus'!$D$10:$BA$51,MATCH($C27,'[2]Sales per type Agustus'!$B$10:$B$51,0),MATCH("X Fold5",'[2]Sales per type Agustus'!$D$8:$BA$8,0)+1),0)</f>
        <v>0</v>
      </c>
      <c r="DO27" s="33">
        <f t="shared" si="37"/>
        <v>0</v>
      </c>
      <c r="DP27" s="33">
        <f>IFERROR(INDEX('[2]SALES PERTYPE'!$D$10:$BA$52,MATCH($C27,'[2]SALES PERTYPE'!$B$10:$B$52,0),MATCH("X300 PRO",'[2]SALES PERTYPE'!$D$8:$BA$8,0)),0)</f>
        <v>0</v>
      </c>
      <c r="DQ27" s="33">
        <f>IFERROR(INDEX('[2]Sales per type Agustus'!$D$10:$BA$51,MATCH($C27,'[2]Sales per type Agustus'!$B$10:$B$51,0),MATCH("X300 PRO",'[2]Sales per type Agustus'!$D$8:$BA$8,0)),0)</f>
        <v>0</v>
      </c>
      <c r="DR27" s="33">
        <f t="shared" si="38"/>
        <v>0</v>
      </c>
      <c r="DS27" s="33" cm="1">
        <f t="array" ref="DS27">IFERROR(INDEX('[2]SALES PERTYPE'!$D$10:$BA$52,MATCH($C27,'[2]SALES PERTYPE'!$B$10:$B$52,0),MATCH("X300 PRO",'[2]SALES PERTYPE'!$D$8:$BA$8,0)+1),0)</f>
        <v>0</v>
      </c>
      <c r="DT27" s="33" cm="1">
        <f t="array" ref="DT27">IFERROR(INDEX('[2]Sales per type Agustus'!$D$10:$BA$51,MATCH($C27,'[2]Sales per type Agustus'!$B$10:$B$51,0),MATCH("X300 PRO",'[2]Sales per type Agustus'!$D$8:$BA$8,0)+1),0)</f>
        <v>0</v>
      </c>
      <c r="DU27" s="33">
        <f t="shared" si="39"/>
        <v>0</v>
      </c>
      <c r="DV27" s="33">
        <f>IFERROR(INDEX('[2]SALES PERTYPE'!$D$10:$BA$52,MATCH($C27,'[2]SALES PERTYPE'!$B$10:$B$52,0),MATCH("X300",'[2]SALES PERTYPE'!$D$8:$BA$8,0)),0)</f>
        <v>0</v>
      </c>
      <c r="DW27" s="33">
        <f>IFERROR(INDEX('[2]Sales per type Agustus'!$D$10:$BA$51,MATCH($C27,'[2]Sales per type Agustus'!$B$10:$B$51,0),MATCH("X300 ",'[2]Sales per type Agustus'!$D$8:$BA$8,0)),0)</f>
        <v>0</v>
      </c>
      <c r="DX27" s="33">
        <f t="shared" si="40"/>
        <v>0</v>
      </c>
      <c r="DY27" s="33" cm="1">
        <f t="array" ref="DY27">IFERROR(INDEX('[2]SALES PERTYPE'!$D$10:$BA$52,MATCH($C27,'[2]SALES PERTYPE'!$B$10:$B$52,0),MATCH("X300",'[2]SALES PERTYPE'!$D$8:$BA$8,0)+1),0)</f>
        <v>0</v>
      </c>
      <c r="DZ27" s="33" cm="1">
        <f t="array" ref="DZ27">IFERROR(INDEX('[2]Sales per type Agustus'!$D$10:$BA$51,MATCH($C27,'[2]Sales per type Agustus'!$B$10:$B$51,0),MATCH("X300 ",'[2]Sales per type Agustus'!$D$8:$BA$8,0)+1),0)</f>
        <v>0</v>
      </c>
      <c r="EA27" s="33">
        <f t="shared" si="41"/>
        <v>0</v>
      </c>
      <c r="EB27" s="33">
        <f t="shared" si="42"/>
        <v>2</v>
      </c>
      <c r="EC27" s="33">
        <f t="shared" si="42"/>
        <v>3</v>
      </c>
      <c r="ED27" s="33">
        <f t="shared" si="43"/>
        <v>-1</v>
      </c>
      <c r="EE27" s="33">
        <f t="shared" si="44"/>
        <v>9498000</v>
      </c>
      <c r="EF27" s="33">
        <f t="shared" si="44"/>
        <v>6297000</v>
      </c>
      <c r="EG27" s="33">
        <f t="shared" si="45"/>
        <v>3201000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5">
        <f>'[2]ACHIEVEMENT STORE'!A28</f>
        <v>24</v>
      </c>
      <c r="B28" s="216" t="str">
        <f>'[2]ACHIEVEMENT STORE'!B28</f>
        <v>624-万丹BANTEN</v>
      </c>
      <c r="C28" s="215">
        <f>'[2]ACHIEVEMENT STORE'!C28</f>
        <v>6240701</v>
      </c>
      <c r="D28" s="216" t="str">
        <f>'[2]ACHIEVEMENT STORE'!D28</f>
        <v>6240701-TANGCITY LG BLOK A-B NO. 12</v>
      </c>
      <c r="E28" s="216" t="str">
        <f>'[2]ACHIEVEMENT STORE'!E28</f>
        <v>DHANI EKO NUGROHO</v>
      </c>
      <c r="F28" s="33">
        <f>IFERROR(INDEX('[2]SALES PERTYPE'!$D$10:$BA$52,MATCH($C28,'[2]SALES PERTYPE'!$B$10:$B$52,0),MATCH("Y05",'[2]SALES PERTYPE'!$D$8:$BA$8,0)),0)</f>
        <v>4</v>
      </c>
      <c r="G28" s="33">
        <f>IFERROR(INDEX('[2]Sales per type Agustus'!$D$10:$BA$51,MATCH($C28,'[2]Sales per type Agustus'!$B$10:$B$51,0),MATCH("Y05",'[2]Sales per type Agustus'!$D$8:$BA$8,0)),0)</f>
        <v>5</v>
      </c>
      <c r="H28" s="33">
        <f t="shared" si="0"/>
        <v>-1</v>
      </c>
      <c r="I28" s="33" cm="1">
        <f t="array" ref="I28">IFERROR(INDEX('[2]SALES PERTYPE'!$D$10:$BA$52,MATCH($C28,'[2]SALES PERTYPE'!$B$10:$B$52,0),MATCH("Y05",'[2]SALES PERTYPE'!$D$8:$BA$8,0)+1),0)</f>
        <v>9796000</v>
      </c>
      <c r="J28" s="33" cm="1">
        <f t="array" ref="J28">IFERROR(INDEX('[2]Sales per type Agustus'!$D$10:$BA$51,MATCH($C28,'[2]Sales per type Agustus'!$B$10:$B$51,0),MATCH("Y05",'[2]Sales per type Agustus'!$D$8:$BA$8,0)+1),0)</f>
        <v>12695000</v>
      </c>
      <c r="K28" s="33">
        <f t="shared" si="1"/>
        <v>-2899000</v>
      </c>
      <c r="L28" s="33">
        <f>IFERROR(INDEX('[2]SALES PERTYPE'!$D$10:$BA$52,MATCH($C28,'[2]SALES PERTYPE'!$B$10:$B$52,0),MATCH("Y11d",'[2]SALES PERTYPE'!$D$8:$BA$8,0)),0)</f>
        <v>5</v>
      </c>
      <c r="M28" s="33">
        <f>IFERROR(INDEX('[2]Sales per type Agustus'!$D$10:$BA$51,MATCH($C28,'[2]Sales per type Agustus'!$B$10:$B$51,0),MATCH("Y11d",'[2]Sales per type Agustus'!$D$8:$BA$8,0)),0)</f>
        <v>12</v>
      </c>
      <c r="N28" s="33">
        <f t="shared" si="2"/>
        <v>-7</v>
      </c>
      <c r="O28" s="33" cm="1">
        <f t="array" ref="O28">IFERROR(INDEX('[2]SALES PERTYPE'!$D$10:$BA$52,MATCH($C28,'[2]SALES PERTYPE'!$B$10:$B$52,0),MATCH("Y11d",'[2]SALES PERTYPE'!$D$8:$BA$8,0)+1),0)</f>
        <v>13595000</v>
      </c>
      <c r="P28" s="33" cm="1">
        <f t="array" ref="P28">IFERROR(INDEX('[2]Sales per type Agustus'!$D$10:$BA$51,MATCH($C28,'[2]Sales per type Agustus'!$B$10:$B$51,0),MATCH("Y11d",'[2]Sales per type Agustus'!$D$8:$BA$8,0)+1),0)</f>
        <v>31588000</v>
      </c>
      <c r="Q28" s="33">
        <f t="shared" si="3"/>
        <v>-17993000</v>
      </c>
      <c r="R28" s="33">
        <f>IFERROR(INDEX('[2]SALES PERTYPE'!$D$10:$BA$52,MATCH($C28,'[2]SALES PERTYPE'!$B$10:$B$52,0),MATCH("Watch GT 2",'[2]SALES PERTYPE'!$D$8:$BA$8,0)),0)</f>
        <v>0</v>
      </c>
      <c r="S28" s="33">
        <f>IFERROR(INDEX('[2]Sales per type Agustus'!$D$10:$BA$51,MATCH($C28,'[2]Sales per type Agustus'!$B$10:$B$51,0),MATCH("Watch GT 2",'[2]Sales per type Agustus'!$D$8:$BA$8,0)),0)</f>
        <v>0</v>
      </c>
      <c r="T28" s="33">
        <f t="shared" si="4"/>
        <v>0</v>
      </c>
      <c r="U28" s="33" cm="1">
        <f t="array" ref="U28">IFERROR(INDEX('[2]SALES PERTYPE'!$D$10:$BA$52,MATCH($C28,'[2]SALES PERTYPE'!$B$10:$B$52,0),MATCH("Watch GT 2",'[2]SALES PERTYPE'!$D$8:$BA$8,0)+1),0)</f>
        <v>0</v>
      </c>
      <c r="V28" s="33" cm="1">
        <f t="array" ref="V28">IFERROR(INDEX('[2]Sales per type Agustus'!$D$10:$BA$51,MATCH($C28,'[2]Sales per type Agustus'!$B$10:$B$51,0),MATCH("Watch GT 2",'[2]Sales per type Agustus'!$D$8:$BA$8,0)+1),0)</f>
        <v>0</v>
      </c>
      <c r="W28" s="33">
        <f t="shared" si="5"/>
        <v>0</v>
      </c>
      <c r="X28" s="33">
        <f>IFERROR(INDEX('[2]SALES PERTYPE'!$D$10:$BA$52,MATCH($C28,'[2]SALES PERTYPE'!$B$10:$B$52,0),MATCH("Y05e",'[2]SALES PERTYPE'!$D$8:$BA$8,0)),0)</f>
        <v>5</v>
      </c>
      <c r="Y28" s="33">
        <f>IFERROR(INDEX('[2]Sales per type Agustus'!$D$10:$BA$51,MATCH($C28,'[2]Sales per type Agustus'!$B$10:$B$51,0),MATCH("Y05e",'[2]Sales per type Agustus'!$D$8:$BA$8,0)),0)</f>
        <v>3</v>
      </c>
      <c r="Z28" s="33">
        <f t="shared" si="6"/>
        <v>2</v>
      </c>
      <c r="AA28" s="33" cm="1">
        <f t="array" ref="AA28">IFERROR(INDEX('[2]SALES PERTYPE'!$D$10:$BA$52,MATCH($C28,'[2]SALES PERTYPE'!$B$10:$B$52,0),MATCH("Y05e",'[2]SALES PERTYPE'!$D$8:$BA$8,0)+1),0)</f>
        <v>10495000</v>
      </c>
      <c r="AB28" s="33" cm="1">
        <f t="array" ref="AB28">IFERROR(INDEX('[2]Sales per type Agustus'!$D$10:$BA$51,MATCH($C28,'[2]Sales per type Agustus'!$B$10:$B$51,0),MATCH("Y05e",'[2]Sales per type Agustus'!$D$8:$BA$8,0)+1),0)</f>
        <v>6297000</v>
      </c>
      <c r="AC28" s="33">
        <f t="shared" si="7"/>
        <v>4198000</v>
      </c>
      <c r="AD28" s="33">
        <f>IFERROR(INDEX('[2]SALES PERTYPE'!$D$10:$BA$52,MATCH($C28,'[2]SALES PERTYPE'!$B$10:$B$52,0),MATCH("V70",'[2]SALES PERTYPE'!$D$8:$BA$8,0)),0)</f>
        <v>1</v>
      </c>
      <c r="AE28" s="33">
        <f>IFERROR(INDEX('[2]Sales per type Agustus'!$D$10:$BA$51,MATCH($C28,'[2]Sales per type Agustus'!$B$10:$B$51,0),MATCH("V70",'[2]Sales per type Agustus'!$D$8:$BA$8,0)),0)</f>
        <v>0</v>
      </c>
      <c r="AF28" s="33">
        <f t="shared" si="8"/>
        <v>1</v>
      </c>
      <c r="AG28" s="33" cm="1">
        <f t="array" ref="AG28">IFERROR(INDEX('[2]SALES PERTYPE'!$D$10:$BA$52,MATCH($C28,'[2]SALES PERTYPE'!$B$10:$B$52,0),MATCH("V70",'[2]SALES PERTYPE'!$D$8:$BA$8,0)+1),0)</f>
        <v>9999000</v>
      </c>
      <c r="AH28" s="33" cm="1">
        <f t="array" ref="AH28">IFERROR(INDEX('[2]Sales per type Agustus'!$D$10:$BA$51,MATCH($C28,'[2]Sales per type Agustus'!$B$10:$B$51,0),MATCH("V70",'[2]Sales per type Agustus'!$D$8:$BA$8,0)+1),0)</f>
        <v>0</v>
      </c>
      <c r="AI28" s="33">
        <f t="shared" si="9"/>
        <v>9999000</v>
      </c>
      <c r="AJ28" s="33">
        <f>IFERROR(INDEX('[2]SALES PERTYPE'!$D$10:$BA$52,MATCH($C28,'[2]SALES PERTYPE'!$B$10:$B$52,0),MATCH("Y31d Pro",'[2]SALES PERTYPE'!$D$8:$BA$8,0)),0)</f>
        <v>2</v>
      </c>
      <c r="AK28" s="33">
        <f>IFERROR(INDEX('[2]Sales per type Agustus'!$D$10:$BA$51,MATCH($C28,'[2]Sales per type Agustus'!$B$10:$B$51,0),MATCH("Y31d Pro",'[2]Sales per type Agustus'!$D$8:$BA$8,0)),0)</f>
        <v>4</v>
      </c>
      <c r="AL28" s="33">
        <f t="shared" si="10"/>
        <v>-2</v>
      </c>
      <c r="AM28" s="33" cm="1">
        <f t="array" ref="AM28">IFERROR(INDEX('[2]SALES PERTYPE'!$D$10:$BA$52,MATCH($C28,'[2]SALES PERTYPE'!$B$10:$B$52,0),MATCH("Y31d Pro",'[2]SALES PERTYPE'!$D$8:$BA$8,0)+1),0)</f>
        <v>8198000</v>
      </c>
      <c r="AN28" s="33" cm="1">
        <f t="array" ref="AN28">IFERROR(INDEX('[2]Sales per type Agustus'!$D$10:$BA$51,MATCH($C28,'[2]Sales per type Agustus'!$B$10:$B$51,0),MATCH("Y31d Pro",'[2]Sales per type Agustus'!$D$8:$BA$8,0)+1),0)</f>
        <v>18596000</v>
      </c>
      <c r="AO28" s="33">
        <f t="shared" si="11"/>
        <v>-10398000</v>
      </c>
      <c r="AP28" s="33" cm="1">
        <f t="array" ref="AP28">IFERROR(INDEX('[2]SALES PERTYPE'!$D$10:$BA$52,MATCH($C28,'[2]SALES PERTYPE'!$B$10:$B$52,0),$EI$3),0)</f>
        <v>0</v>
      </c>
      <c r="AQ28" s="33" cm="1">
        <f t="array" ref="AQ28">IFERROR(INDEX('[2]Sales per type Agustus'!$D$10:$BA$51,MATCH($C28,'[2]Sales per type Agustus'!$B$10:$B$51,0),$EI$2),0)</f>
        <v>0</v>
      </c>
      <c r="AR28" s="33">
        <f t="shared" si="12"/>
        <v>0</v>
      </c>
      <c r="AS28" s="33" cm="1">
        <f t="array" ref="AS28">IFERROR(INDEX('[2]SALES PERTYPE'!$D$10:$BA$52,MATCH($C28,'[2]SALES PERTYPE'!$B$10:$B$52,0),$EI$3+1),0)</f>
        <v>0</v>
      </c>
      <c r="AT28" s="33" cm="1">
        <f t="array" ref="AT28">IFERROR(INDEX('[2]Sales per type Agustus'!$D$10:$BA$51,MATCH($C28,'[2]Sales per type Agustus'!$B$10:$B$51,0),$EI$2+1),0)</f>
        <v>0</v>
      </c>
      <c r="AU28" s="33">
        <f t="shared" si="13"/>
        <v>0</v>
      </c>
      <c r="AV28" s="33">
        <f>IFERROR(INDEX('[2]SALES PERTYPE'!$D$10:$BA$52,MATCH($C28,'[2]SALES PERTYPE'!$B$10:$B$52,0),MATCH("Y31d ",'[2]SALES PERTYPE'!$D$8:$BA$8,0)),0)</f>
        <v>2</v>
      </c>
      <c r="AW28" s="33">
        <f>IFERROR(INDEX('[2]Sales per type Agustus'!$D$10:$BA$51,MATCH($C28,'[2]Sales per type Agustus'!$B$10:$B$51,0),MATCH("Y31d ",'[2]Sales per type Agustus'!$D$8:$BA$8,0)),0)</f>
        <v>1</v>
      </c>
      <c r="AX28" s="33">
        <f t="shared" si="14"/>
        <v>1</v>
      </c>
      <c r="AY28" s="33" cm="1">
        <f t="array" ref="AY28">IFERROR(INDEX('[2]SALES PERTYPE'!$D$10:$BA$52,MATCH($C28,'[2]SALES PERTYPE'!$B$10:$B$52,0),MATCH("Y31d ",'[2]SALES PERTYPE'!$D$8:$BA$8,0)+1),0)</f>
        <v>7198000</v>
      </c>
      <c r="AZ28" s="33" cm="1">
        <f t="array" ref="AZ28">IFERROR(INDEX('[2]Sales per type Agustus'!$D$10:$BA$51,MATCH($C28,'[2]Sales per type Agustus'!$B$10:$B$51,0),MATCH("Y31d ",'[2]Sales per type Agustus'!$D$8:$BA$8,0)+1),0)</f>
        <v>3599000</v>
      </c>
      <c r="BA28" s="33">
        <f t="shared" si="15"/>
        <v>3599000</v>
      </c>
      <c r="BB28" s="33">
        <f>IFERROR(INDEX('[2]SALES PERTYPE'!$D$10:$BA$52,MATCH($C28,'[2]SALES PERTYPE'!$B$10:$B$52,0),MATCH("V70 FE",'[2]SALES PERTYPE'!$D$8:$BA$8,0)),0)</f>
        <v>0</v>
      </c>
      <c r="BC28" s="33">
        <f>IFERROR(INDEX('[2]Sales per type Agustus'!$D$10:$BA$51,MATCH($C28,'[2]Sales per type Agustus'!$B$10:$B$51,0),MATCH("V70 FE",'[2]Sales per type Agustus'!$D$8:$BA$8,0)),0)</f>
        <v>1</v>
      </c>
      <c r="BD28" s="33">
        <f t="shared" si="16"/>
        <v>-1</v>
      </c>
      <c r="BE28" s="33" cm="1">
        <f t="array" ref="BE28">IFERROR(INDEX('[2]SALES PERTYPE'!$D$10:$BA$52,MATCH($C28,'[2]SALES PERTYPE'!$B$10:$B$52,0),MATCH("V70 FE",'[2]SALES PERTYPE'!$D$8:$BA$8,0)+1),0)</f>
        <v>0</v>
      </c>
      <c r="BF28" s="33" cm="1">
        <f t="array" ref="BF28">IFERROR(INDEX('[2]Sales per type Agustus'!$D$10:$BA$51,MATCH($C28,'[2]Sales per type Agustus'!$B$10:$B$51,0),MATCH("V70 FE",'[2]Sales per type Agustus'!$D$8:$BA$8,0)+1),0)</f>
        <v>6499000</v>
      </c>
      <c r="BG28" s="33">
        <f t="shared" si="17"/>
        <v>-6499000</v>
      </c>
      <c r="BH28" s="33">
        <f>IFERROR(INDEX('[2]SALES PERTYPE'!$D$10:$BA$52,MATCH($C28,'[2]SALES PERTYPE'!$B$10:$B$52,0),MATCH("Y31d",'[2]SALES PERTYPE'!$D$8:$BA$8,0)),0)</f>
        <v>0</v>
      </c>
      <c r="BI28" s="33">
        <f>IFERROR(INDEX('[2]Sales per type Agustus'!$D$10:$BA$51,MATCH($C28,'[2]Sales per type Agustus'!$B$10:$B$51,0),MATCH("Y31d",'[2]Sales per type Agustus'!$D$8:$BA$8,0)),0)</f>
        <v>0</v>
      </c>
      <c r="BJ28" s="33">
        <f t="shared" si="18"/>
        <v>0</v>
      </c>
      <c r="BK28" s="33" cm="1">
        <f t="array" ref="BK28">IFERROR(INDEX('[2]SALES PERTYPE'!$D$10:$BA$52,MATCH($C28,'[2]SALES PERTYPE'!$B$10:$B$52,0),MATCH("Y31d",'[2]SALES PERTYPE'!$D$8:$BA$8,0)+1),0)</f>
        <v>0</v>
      </c>
      <c r="BL28" s="33" cm="1">
        <f t="array" ref="BL28">IFERROR(INDEX('[2]Sales per type Agustus'!$D$10:$BA$51,MATCH($C28,'[2]Sales per type Agustus'!$B$10:$B$51,0),MATCH("Y31d",'[2]Sales per type Agustus'!$D$8:$BA$8,0)+1),0)</f>
        <v>0</v>
      </c>
      <c r="BM28" s="33">
        <f t="shared" si="19"/>
        <v>0</v>
      </c>
      <c r="BN28" s="33">
        <f>IFERROR(INDEX('[2]SALES PERTYPE'!$D$10:$BA$52,MATCH($C28,'[2]SALES PERTYPE'!$B$10:$B$52,0),MATCH("Y500",'[2]SALES PERTYPE'!$D$8:$BA$8,0)),0)</f>
        <v>0</v>
      </c>
      <c r="BO28" s="33">
        <f>IFERROR(INDEX('[2]Sales per type Agustus'!$D$10:$BA$51,MATCH($C28,'[2]Sales per type Agustus'!$B$10:$B$51,0),MATCH("Y500",'[2]Sales per type Agustus'!$D$8:$BA$8,0)),0)</f>
        <v>1</v>
      </c>
      <c r="BP28" s="33">
        <f t="shared" si="20"/>
        <v>-1</v>
      </c>
      <c r="BQ28" s="33" cm="1">
        <f t="array" ref="BQ28">IFERROR(INDEX('[2]SALES PERTYPE'!$D$10:$BA$52,MATCH($C28,'[2]SALES PERTYPE'!$B$10:$B$52,0),MATCH("Y500",'[2]SALES PERTYPE'!$D$8:$BA$8,0)+1),0)</f>
        <v>0</v>
      </c>
      <c r="BR28" s="33" cm="1">
        <f t="array" ref="BR28">IFERROR(INDEX('[2]Sales per type Agustus'!$D$10:$BA$51,MATCH($C28,'[2]Sales per type Agustus'!$B$10:$B$51,0),MATCH("Y500",'[2]Sales per type Agustus'!$D$8:$BA$8,0)+1),0)</f>
        <v>6299000</v>
      </c>
      <c r="BS28" s="33">
        <f t="shared" si="21"/>
        <v>-6299000</v>
      </c>
      <c r="BT28" s="33">
        <f>IFERROR(INDEX('[2]SALES PERTYPE'!$D$10:$BA$52,MATCH($C28,'[2]SALES PERTYPE'!$B$10:$B$52,0),MATCH("IQOO 15R",'[2]SALES PERTYPE'!$D$8:$BA$8,0)),0)</f>
        <v>0</v>
      </c>
      <c r="BU28" s="33">
        <f>IFERROR(INDEX('[2]Sales per type Agustus'!$D$10:$BA$51,MATCH($C28,'[2]Sales per type Agustus'!$B$10:$B$51,0),MATCH("IQOO 15R",'[2]Sales per type Agustus'!$D$8:$BA$8,0)),0)</f>
        <v>0</v>
      </c>
      <c r="BV28" s="33">
        <f t="shared" si="22"/>
        <v>0</v>
      </c>
      <c r="BW28" s="33" cm="1">
        <f t="array" ref="BW28">IFERROR(INDEX('[2]SALES PERTYPE'!$D$10:$BA$52,MATCH($C28,'[2]SALES PERTYPE'!$B$10:$B$52,0),MATCH("IQOO 15R",'[2]SALES PERTYPE'!$D$8:$BA$8,0)+1),0)</f>
        <v>0</v>
      </c>
      <c r="BX28" s="33" cm="1">
        <f t="array" ref="BX28">IFERROR(INDEX('[2]Sales per type Agustus'!$D$10:$BA$51,MATCH($C28,'[2]Sales per type Agustus'!$B$10:$B$51,0),MATCH("IQOO 15R",'[2]Sales per type Agustus'!$D$8:$BA$8,0)+1),0)</f>
        <v>0</v>
      </c>
      <c r="BY28" s="33">
        <f t="shared" si="23"/>
        <v>0</v>
      </c>
      <c r="BZ28" s="33">
        <f>IFERROR(INDEX('[2]SALES PERTYPE'!$D$10:$BA$52,MATCH($C28,'[2]SALES PERTYPE'!$B$10:$B$52,0),MATCH("V60 Lite",'[2]SALES PERTYPE'!$D$8:$BA$8,0)),0)</f>
        <v>2</v>
      </c>
      <c r="CA28" s="33">
        <f>IFERROR(INDEX('[2]Sales per type Agustus'!$D$10:$BA$51,MATCH($C28,'[2]Sales per type Agustus'!$B$10:$B$51,0),MATCH("V60 Lite",'[2]Sales per type Agustus'!$D$8:$BA$8,0)),0)</f>
        <v>0</v>
      </c>
      <c r="CB28" s="33">
        <f t="shared" si="24"/>
        <v>2</v>
      </c>
      <c r="CC28" s="33" cm="1">
        <f t="array" ref="CC28">IFERROR(INDEX('[2]SALES PERTYPE'!$D$10:$BA$52,MATCH($C28,'[2]SALES PERTYPE'!$B$10:$B$52,0),MATCH("V60 Lite",'[2]SALES PERTYPE'!$D$8:$BA$8,0)+1),0)</f>
        <v>11798000</v>
      </c>
      <c r="CD28" s="33" cm="1">
        <f t="array" ref="CD28">IFERROR(INDEX('[2]Sales per type Agustus'!$D$10:$BA$51,MATCH($C28,'[2]Sales per type Agustus'!$B$10:$B$51,0),MATCH("V60 Lite",'[2]Sales per type Agustus'!$D$8:$BA$8,0)+1),0)</f>
        <v>0</v>
      </c>
      <c r="CE28" s="33">
        <f t="shared" si="25"/>
        <v>11798000</v>
      </c>
      <c r="CF28" s="33">
        <f>IFERROR(INDEX('[2]SALES PERTYPE'!$D$10:$BA$52,MATCH($C28,'[2]SALES PERTYPE'!$B$10:$B$52,0),MATCH("X300 Ultra",'[2]SALES PERTYPE'!$D$8:$BA$8,0)),0)</f>
        <v>0</v>
      </c>
      <c r="CG28" s="33">
        <f>IFERROR(INDEX('[2]Sales per type Agustus'!$D$10:$BA$51,MATCH($C28,'[2]Sales per type Agustus'!$B$10:$B$51,0),MATCH("X300 Ultra",'[2]Sales per type Agustus'!$D$8:$BA$8,0)),0)</f>
        <v>0</v>
      </c>
      <c r="CH28" s="33">
        <f t="shared" si="26"/>
        <v>0</v>
      </c>
      <c r="CI28" s="33" cm="1">
        <f t="array" ref="CI28">IFERROR(INDEX('[2]SALES PERTYPE'!$D$10:$BA$52,MATCH($C28,'[2]SALES PERTYPE'!$B$10:$B$52,0),MATCH("X300 Ultra",'[2]SALES PERTYPE'!$D$8:$BA$8,0)+1),0)</f>
        <v>0</v>
      </c>
      <c r="CJ28" s="33" cm="1">
        <f t="array" ref="CJ28">IFERROR(INDEX('[2]Sales per type Agustus'!$D$10:$BA$51,MATCH($C28,'[2]Sales per type Agustus'!$B$10:$B$51,0),MATCH("X300 Ultra",'[2]Sales per type Agustus'!$D$8:$BA$8,0)+1),0)</f>
        <v>0</v>
      </c>
      <c r="CK28" s="33">
        <f t="shared" si="27"/>
        <v>0</v>
      </c>
      <c r="CL28" s="33">
        <f>IFERROR(INDEX('[2]SALES PERTYPE'!$D$10:$BA$52,MATCH($C28,'[2]SALES PERTYPE'!$B$10:$B$52,0),MATCH("IQOO 15",'[2]SALES PERTYPE'!$D$8:$BA$8,0)),0)</f>
        <v>0</v>
      </c>
      <c r="CM28" s="33">
        <f>IFERROR(INDEX('[2]Sales per type Agustus'!$D$10:$BA$51,MATCH($C28,'[2]Sales per type Agustus'!$B$10:$B$51,0),MATCH("IQOO 15",'[2]Sales per type Agustus'!$D$8:$BA$8,0)),0)</f>
        <v>0</v>
      </c>
      <c r="CN28" s="33">
        <f t="shared" si="28"/>
        <v>0</v>
      </c>
      <c r="CO28" s="33" cm="1">
        <f t="array" ref="CO28">IFERROR(INDEX('[2]SALES PERTYPE'!$D$10:$BA$52,MATCH($C28,'[2]SALES PERTYPE'!$B$10:$B$52,0),MATCH("IQOO 15",'[2]SALES PERTYPE'!$D$8:$BA$8,0)+1),0)</f>
        <v>0</v>
      </c>
      <c r="CP28" s="33" cm="1">
        <f t="array" ref="CP28">IFERROR(INDEX('[2]Sales per type Agustus'!$D$10:$BA$51,MATCH($C28,'[2]Sales per type Agustus'!$B$10:$B$51,0),MATCH("IQOO 15",'[2]Sales per type Agustus'!$D$8:$BA$8,0)+1),0)</f>
        <v>0</v>
      </c>
      <c r="CQ28" s="33">
        <f t="shared" si="29"/>
        <v>0</v>
      </c>
      <c r="CR28" s="33">
        <f>IFERROR(INDEX('[2]SALES PERTYPE'!$D$10:$BA$52,MATCH($C28,'[2]SALES PERTYPE'!$B$10:$B$52,0),MATCH("IQOO Z11x",'[2]SALES PERTYPE'!$D$8:$BA$8,0)),0)</f>
        <v>0</v>
      </c>
      <c r="CS28" s="33">
        <f>IFERROR(INDEX('[2]Sales per type Agustus'!$D$10:$BA$51,MATCH($C28,'[2]Sales per type Agustus'!$B$10:$B$51,0),MATCH("IQOO Z11x",'[2]Sales per type Agustus'!$D$8:$BA$8,0)),0)</f>
        <v>0</v>
      </c>
      <c r="CT28" s="33">
        <f t="shared" si="30"/>
        <v>0</v>
      </c>
      <c r="CU28" s="33" cm="1">
        <f t="array" ref="CU28">IFERROR(INDEX('[2]SALES PERTYPE'!$D$10:$BA$52,MATCH($C28,'[2]SALES PERTYPE'!$B$10:$B$52,0),MATCH("IQOO Z11x",'[2]SALES PERTYPE'!$D$8:$BA$8,0)+1),0)</f>
        <v>0</v>
      </c>
      <c r="CV28" s="33" cm="1">
        <f t="array" ref="CV28">IFERROR(INDEX('[2]Sales per type Agustus'!$D$10:$BA$51,MATCH($C28,'[2]Sales per type Agustus'!$B$10:$B$51,0),MATCH("IQOO Z11x",'[2]Sales per type Agustus'!$D$8:$BA$8,0)+1),0)</f>
        <v>0</v>
      </c>
      <c r="CW28" s="33">
        <f t="shared" si="31"/>
        <v>0</v>
      </c>
      <c r="CX28" s="33">
        <f>IFERROR(INDEX('[2]SALES PERTYPE'!$D$10:$BA$52,MATCH($C28,'[2]SALES PERTYPE'!$B$10:$B$52,0),MATCH("IQOO Z11",'[2]SALES PERTYPE'!$D$8:$BA$8,0)),0)</f>
        <v>0</v>
      </c>
      <c r="CY28" s="33">
        <f>IFERROR(INDEX('[2]Sales per type Agustus'!$D$10:$BA$51,MATCH($C28,'[2]Sales per type Agustus'!$B$10:$B$51,0),MATCH("IQOO Z11",'[2]Sales per type Agustus'!$D$8:$BA$8,0)),0)</f>
        <v>0</v>
      </c>
      <c r="CZ28" s="33">
        <f t="shared" si="32"/>
        <v>0</v>
      </c>
      <c r="DA28" s="33" cm="1">
        <f t="array" ref="DA28">IFERROR(INDEX('[2]SALES PERTYPE'!$D$10:$BA$52,MATCH($C28,'[2]SALES PERTYPE'!$B$10:$B$52,0),MATCH("IQOO Z11",'[2]SALES PERTYPE'!$D$8:$BA$8,0)+1),0)</f>
        <v>0</v>
      </c>
      <c r="DB28" s="33" cm="1">
        <f t="array" ref="DB28">IFERROR(INDEX('[2]Sales per type Agustus'!$D$10:$BA$51,MATCH($C28,'[2]Sales per type Agustus'!$B$10:$B$51,0),MATCH("IQOO Z11",'[2]Sales per type Agustus'!$D$8:$BA$8,0)+1),0)</f>
        <v>0</v>
      </c>
      <c r="DC28" s="33">
        <f t="shared" si="33"/>
        <v>0</v>
      </c>
      <c r="DD28" s="33">
        <f>IFERROR(INDEX('[2]SALES PERTYPE'!$D$10:$BA$52,MATCH($C28,'[2]SALES PERTYPE'!$B$10:$B$52,0),MATCH("WATCH 3",'[2]SALES PERTYPE'!$D$8:$BA$8,0)),0)</f>
        <v>0</v>
      </c>
      <c r="DE28" s="33">
        <f>IFERROR(INDEX('[2]Sales per type Agustus'!$D$10:$BA$51,MATCH($C28,'[2]Sales per type Agustus'!$B$10:$B$51,0),MATCH("WATCH 3",'[2]Sales per type Agustus'!$D$8:$BA$8,0)),0)</f>
        <v>0</v>
      </c>
      <c r="DF28" s="33">
        <f t="shared" si="34"/>
        <v>0</v>
      </c>
      <c r="DG28" s="33" cm="1">
        <f t="array" ref="DG28">IFERROR(INDEX('[2]SALES PERTYPE'!$D$10:$BA$52,MATCH($C28,'[2]SALES PERTYPE'!$B$10:$B$52,0),MATCH("WATCH 3",'[2]SALES PERTYPE'!$D$8:$BA$8,0)+1),0)</f>
        <v>0</v>
      </c>
      <c r="DH28" s="33" cm="1">
        <f t="array" ref="DH28">IFERROR(INDEX('[2]Sales per type Agustus'!$D$10:$BA$51,MATCH($C28,'[2]Sales per type Agustus'!$B$10:$B$51,0),MATCH("WATCH 3",'[2]Sales per type Agustus'!$D$8:$BA$8,0)+1),0)</f>
        <v>0</v>
      </c>
      <c r="DI28" s="33">
        <f t="shared" si="35"/>
        <v>0</v>
      </c>
      <c r="DJ28" s="33">
        <f>IFERROR(INDEX('[2]SALES PERTYPE'!$D$10:$BA$52,MATCH($C28,'[2]SALES PERTYPE'!$B$10:$B$52,0),MATCH("X Fold5",'[2]SALES PERTYPE'!$D$8:$BA$8,0)),0)</f>
        <v>0</v>
      </c>
      <c r="DK28" s="33">
        <f>IFERROR(INDEX('[2]Sales per type Agustus'!$D$10:$BA$51,MATCH($C28,'[2]Sales per type Agustus'!$B$10:$B$51,0),MATCH("X Fold5",'[2]Sales per type Agustus'!$D$8:$BA$8,0)),0)</f>
        <v>0</v>
      </c>
      <c r="DL28" s="33">
        <f t="shared" si="36"/>
        <v>0</v>
      </c>
      <c r="DM28" s="33" cm="1">
        <f t="array" ref="DM28">IFERROR(INDEX('[2]SALES PERTYPE'!$D$10:$BA$52,MATCH($C28,'[2]SALES PERTYPE'!$B$10:$B$52,0),MATCH("X Fold5",'[2]SALES PERTYPE'!$D$8:$BA$8,0)+1),0)</f>
        <v>0</v>
      </c>
      <c r="DN28" s="33" cm="1">
        <f t="array" ref="DN28">IFERROR(INDEX('[2]Sales per type Agustus'!$D$10:$BA$51,MATCH($C28,'[2]Sales per type Agustus'!$B$10:$B$51,0),MATCH("X Fold5",'[2]Sales per type Agustus'!$D$8:$BA$8,0)+1),0)</f>
        <v>0</v>
      </c>
      <c r="DO28" s="33">
        <f t="shared" si="37"/>
        <v>0</v>
      </c>
      <c r="DP28" s="33">
        <f>IFERROR(INDEX('[2]SALES PERTYPE'!$D$10:$BA$52,MATCH($C28,'[2]SALES PERTYPE'!$B$10:$B$52,0),MATCH("X300 PRO",'[2]SALES PERTYPE'!$D$8:$BA$8,0)),0)</f>
        <v>0</v>
      </c>
      <c r="DQ28" s="33">
        <f>IFERROR(INDEX('[2]Sales per type Agustus'!$D$10:$BA$51,MATCH($C28,'[2]Sales per type Agustus'!$B$10:$B$51,0),MATCH("X300 PRO",'[2]Sales per type Agustus'!$D$8:$BA$8,0)),0)</f>
        <v>0</v>
      </c>
      <c r="DR28" s="33">
        <f t="shared" si="38"/>
        <v>0</v>
      </c>
      <c r="DS28" s="33" cm="1">
        <f t="array" ref="DS28">IFERROR(INDEX('[2]SALES PERTYPE'!$D$10:$BA$52,MATCH($C28,'[2]SALES PERTYPE'!$B$10:$B$52,0),MATCH("X300 PRO",'[2]SALES PERTYPE'!$D$8:$BA$8,0)+1),0)</f>
        <v>0</v>
      </c>
      <c r="DT28" s="33" cm="1">
        <f t="array" ref="DT28">IFERROR(INDEX('[2]Sales per type Agustus'!$D$10:$BA$51,MATCH($C28,'[2]Sales per type Agustus'!$B$10:$B$51,0),MATCH("X300 PRO",'[2]Sales per type Agustus'!$D$8:$BA$8,0)+1),0)</f>
        <v>0</v>
      </c>
      <c r="DU28" s="33">
        <f t="shared" si="39"/>
        <v>0</v>
      </c>
      <c r="DV28" s="33">
        <f>IFERROR(INDEX('[2]SALES PERTYPE'!$D$10:$BA$52,MATCH($C28,'[2]SALES PERTYPE'!$B$10:$B$52,0),MATCH("X300",'[2]SALES PERTYPE'!$D$8:$BA$8,0)),0)</f>
        <v>0</v>
      </c>
      <c r="DW28" s="33">
        <f>IFERROR(INDEX('[2]Sales per type Agustus'!$D$10:$BA$51,MATCH($C28,'[2]Sales per type Agustus'!$B$10:$B$51,0),MATCH("X300 ",'[2]Sales per type Agustus'!$D$8:$BA$8,0)),0)</f>
        <v>0</v>
      </c>
      <c r="DX28" s="33">
        <f t="shared" si="40"/>
        <v>0</v>
      </c>
      <c r="DY28" s="33" cm="1">
        <f t="array" ref="DY28">IFERROR(INDEX('[2]SALES PERTYPE'!$D$10:$BA$52,MATCH($C28,'[2]SALES PERTYPE'!$B$10:$B$52,0),MATCH("X300",'[2]SALES PERTYPE'!$D$8:$BA$8,0)+1),0)</f>
        <v>0</v>
      </c>
      <c r="DZ28" s="33" cm="1">
        <f t="array" ref="DZ28">IFERROR(INDEX('[2]Sales per type Agustus'!$D$10:$BA$51,MATCH($C28,'[2]Sales per type Agustus'!$B$10:$B$51,0),MATCH("X300 ",'[2]Sales per type Agustus'!$D$8:$BA$8,0)+1),0)</f>
        <v>0</v>
      </c>
      <c r="EA28" s="33">
        <f t="shared" si="41"/>
        <v>0</v>
      </c>
      <c r="EB28" s="33">
        <f t="shared" si="42"/>
        <v>21</v>
      </c>
      <c r="EC28" s="33">
        <f t="shared" si="42"/>
        <v>27</v>
      </c>
      <c r="ED28" s="33">
        <f t="shared" si="43"/>
        <v>-6</v>
      </c>
      <c r="EE28" s="33">
        <f t="shared" si="44"/>
        <v>71079000</v>
      </c>
      <c r="EF28" s="33">
        <f t="shared" si="44"/>
        <v>85573000</v>
      </c>
      <c r="EG28" s="33">
        <f t="shared" si="45"/>
        <v>-14494000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'[2]ACHIEVEMENT STORE'!A29</f>
        <v>25</v>
      </c>
      <c r="B29" s="32" t="str">
        <f>'[2]ACHIEVEMENT STORE'!B29</f>
        <v>624-万丹BANTEN</v>
      </c>
      <c r="C29" s="31">
        <f>'[2]ACHIEVEMENT STORE'!C29</f>
        <v>6170706</v>
      </c>
      <c r="D29" s="32" t="str">
        <f>'[2]ACHIEVEMENT STORE'!D29</f>
        <v>6170706-TANGCITY CHARLES</v>
      </c>
      <c r="E29" s="32" t="str">
        <f>'[2]ACHIEVEMENT STORE'!E29</f>
        <v>DHANI EKO NUGROHO</v>
      </c>
      <c r="F29" s="33">
        <f>IFERROR(INDEX('[2]SALES PERTYPE'!$D$10:$BA$52,MATCH($C29,'[2]SALES PERTYPE'!$B$10:$B$52,0),MATCH("Y05",'[2]SALES PERTYPE'!$D$8:$BA$8,0)),0)</f>
        <v>4</v>
      </c>
      <c r="G29" s="33">
        <f>IFERROR(INDEX('[2]Sales per type Agustus'!$D$10:$BA$51,MATCH($C29,'[2]Sales per type Agustus'!$B$10:$B$51,0),MATCH("Y05",'[2]Sales per type Agustus'!$D$8:$BA$8,0)),0)</f>
        <v>4</v>
      </c>
      <c r="H29" s="33">
        <f t="shared" si="0"/>
        <v>0</v>
      </c>
      <c r="I29" s="33" cm="1">
        <f t="array" ref="I29">IFERROR(INDEX('[2]SALES PERTYPE'!$D$10:$BA$52,MATCH($C29,'[2]SALES PERTYPE'!$B$10:$B$52,0),MATCH("Y05",'[2]SALES PERTYPE'!$D$8:$BA$8,0)+1),0)</f>
        <v>9796000</v>
      </c>
      <c r="J29" s="33" cm="1">
        <f t="array" ref="J29">IFERROR(INDEX('[2]Sales per type Agustus'!$D$10:$BA$51,MATCH($C29,'[2]Sales per type Agustus'!$B$10:$B$51,0),MATCH("Y05",'[2]Sales per type Agustus'!$D$8:$BA$8,0)+1),0)</f>
        <v>9796000</v>
      </c>
      <c r="K29" s="33">
        <f t="shared" si="1"/>
        <v>0</v>
      </c>
      <c r="L29" s="33">
        <f>IFERROR(INDEX('[2]SALES PERTYPE'!$D$10:$BA$52,MATCH($C29,'[2]SALES PERTYPE'!$B$10:$B$52,0),MATCH("Y11d",'[2]SALES PERTYPE'!$D$8:$BA$8,0)),0)</f>
        <v>7</v>
      </c>
      <c r="M29" s="33">
        <f>IFERROR(INDEX('[2]Sales per type Agustus'!$D$10:$BA$51,MATCH($C29,'[2]Sales per type Agustus'!$B$10:$B$51,0),MATCH("Y11d",'[2]Sales per type Agustus'!$D$8:$BA$8,0)),0)</f>
        <v>11</v>
      </c>
      <c r="N29" s="33">
        <f t="shared" si="2"/>
        <v>-4</v>
      </c>
      <c r="O29" s="33" cm="1">
        <f t="array" ref="O29">IFERROR(INDEX('[2]SALES PERTYPE'!$D$10:$BA$52,MATCH($C29,'[2]SALES PERTYPE'!$B$10:$B$52,0),MATCH("Y11d",'[2]SALES PERTYPE'!$D$8:$BA$8,0)+1),0)</f>
        <v>19593000</v>
      </c>
      <c r="P29" s="33" cm="1">
        <f t="array" ref="P29">IFERROR(INDEX('[2]Sales per type Agustus'!$D$10:$BA$51,MATCH($C29,'[2]Sales per type Agustus'!$B$10:$B$51,0),MATCH("Y11d",'[2]Sales per type Agustus'!$D$8:$BA$8,0)+1),0)</f>
        <v>29989000</v>
      </c>
      <c r="Q29" s="33">
        <f t="shared" si="3"/>
        <v>-10396000</v>
      </c>
      <c r="R29" s="33">
        <f>IFERROR(INDEX('[2]SALES PERTYPE'!$D$10:$BA$52,MATCH($C29,'[2]SALES PERTYPE'!$B$10:$B$52,0),MATCH("Watch GT 2",'[2]SALES PERTYPE'!$D$8:$BA$8,0)),0)</f>
        <v>0</v>
      </c>
      <c r="S29" s="33">
        <f>IFERROR(INDEX('[2]Sales per type Agustus'!$D$10:$BA$51,MATCH($C29,'[2]Sales per type Agustus'!$B$10:$B$51,0),MATCH("Watch GT 2",'[2]Sales per type Agustus'!$D$8:$BA$8,0)),0)</f>
        <v>0</v>
      </c>
      <c r="T29" s="33">
        <f t="shared" si="4"/>
        <v>0</v>
      </c>
      <c r="U29" s="33" cm="1">
        <f t="array" ref="U29">IFERROR(INDEX('[2]SALES PERTYPE'!$D$10:$BA$52,MATCH($C29,'[2]SALES PERTYPE'!$B$10:$B$52,0),MATCH("Watch GT 2",'[2]SALES PERTYPE'!$D$8:$BA$8,0)+1),0)</f>
        <v>0</v>
      </c>
      <c r="V29" s="33" cm="1">
        <f t="array" ref="V29">IFERROR(INDEX('[2]Sales per type Agustus'!$D$10:$BA$51,MATCH($C29,'[2]Sales per type Agustus'!$B$10:$B$51,0),MATCH("Watch GT 2",'[2]Sales per type Agustus'!$D$8:$BA$8,0)+1),0)</f>
        <v>0</v>
      </c>
      <c r="W29" s="33">
        <f t="shared" si="5"/>
        <v>0</v>
      </c>
      <c r="X29" s="33">
        <f>IFERROR(INDEX('[2]SALES PERTYPE'!$D$10:$BA$52,MATCH($C29,'[2]SALES PERTYPE'!$B$10:$B$52,0),MATCH("Y05e",'[2]SALES PERTYPE'!$D$8:$BA$8,0)),0)</f>
        <v>1</v>
      </c>
      <c r="Y29" s="33">
        <f>IFERROR(INDEX('[2]Sales per type Agustus'!$D$10:$BA$51,MATCH($C29,'[2]Sales per type Agustus'!$B$10:$B$51,0),MATCH("Y05e",'[2]Sales per type Agustus'!$D$8:$BA$8,0)),0)</f>
        <v>4</v>
      </c>
      <c r="Z29" s="33">
        <f t="shared" si="6"/>
        <v>-3</v>
      </c>
      <c r="AA29" s="33" cm="1">
        <f t="array" ref="AA29">IFERROR(INDEX('[2]SALES PERTYPE'!$D$10:$BA$52,MATCH($C29,'[2]SALES PERTYPE'!$B$10:$B$52,0),MATCH("Y05e",'[2]SALES PERTYPE'!$D$8:$BA$8,0)+1),0)</f>
        <v>2099000</v>
      </c>
      <c r="AB29" s="33" cm="1">
        <f t="array" ref="AB29">IFERROR(INDEX('[2]Sales per type Agustus'!$D$10:$BA$51,MATCH($C29,'[2]Sales per type Agustus'!$B$10:$B$51,0),MATCH("Y05e",'[2]Sales per type Agustus'!$D$8:$BA$8,0)+1),0)</f>
        <v>8396000</v>
      </c>
      <c r="AC29" s="33">
        <f t="shared" si="7"/>
        <v>-6297000</v>
      </c>
      <c r="AD29" s="33">
        <f>IFERROR(INDEX('[2]SALES PERTYPE'!$D$10:$BA$52,MATCH($C29,'[2]SALES PERTYPE'!$B$10:$B$52,0),MATCH("V70",'[2]SALES PERTYPE'!$D$8:$BA$8,0)),0)</f>
        <v>0</v>
      </c>
      <c r="AE29" s="33">
        <f>IFERROR(INDEX('[2]Sales per type Agustus'!$D$10:$BA$51,MATCH($C29,'[2]Sales per type Agustus'!$B$10:$B$51,0),MATCH("V70",'[2]Sales per type Agustus'!$D$8:$BA$8,0)),0)</f>
        <v>0</v>
      </c>
      <c r="AF29" s="33">
        <f t="shared" si="8"/>
        <v>0</v>
      </c>
      <c r="AG29" s="33" cm="1">
        <f t="array" ref="AG29">IFERROR(INDEX('[2]SALES PERTYPE'!$D$10:$BA$52,MATCH($C29,'[2]SALES PERTYPE'!$B$10:$B$52,0),MATCH("V70",'[2]SALES PERTYPE'!$D$8:$BA$8,0)+1),0)</f>
        <v>0</v>
      </c>
      <c r="AH29" s="33" cm="1">
        <f t="array" ref="AH29">IFERROR(INDEX('[2]Sales per type Agustus'!$D$10:$BA$51,MATCH($C29,'[2]Sales per type Agustus'!$B$10:$B$51,0),MATCH("V70",'[2]Sales per type Agustus'!$D$8:$BA$8,0)+1),0)</f>
        <v>0</v>
      </c>
      <c r="AI29" s="33">
        <f t="shared" si="9"/>
        <v>0</v>
      </c>
      <c r="AJ29" s="33">
        <f>IFERROR(INDEX('[2]SALES PERTYPE'!$D$10:$BA$52,MATCH($C29,'[2]SALES PERTYPE'!$B$10:$B$52,0),MATCH("Y31d Pro",'[2]SALES PERTYPE'!$D$8:$BA$8,0)),0)</f>
        <v>3</v>
      </c>
      <c r="AK29" s="33">
        <f>IFERROR(INDEX('[2]Sales per type Agustus'!$D$10:$BA$51,MATCH($C29,'[2]Sales per type Agustus'!$B$10:$B$51,0),MATCH("Y31d Pro",'[2]Sales per type Agustus'!$D$8:$BA$8,0)),0)</f>
        <v>2</v>
      </c>
      <c r="AL29" s="33">
        <f t="shared" si="10"/>
        <v>1</v>
      </c>
      <c r="AM29" s="33" cm="1">
        <f t="array" ref="AM29">IFERROR(INDEX('[2]SALES PERTYPE'!$D$10:$BA$52,MATCH($C29,'[2]SALES PERTYPE'!$B$10:$B$52,0),MATCH("Y31d Pro",'[2]SALES PERTYPE'!$D$8:$BA$8,0)+1),0)</f>
        <v>12497000</v>
      </c>
      <c r="AN29" s="33" cm="1">
        <f t="array" ref="AN29">IFERROR(INDEX('[2]Sales per type Agustus'!$D$10:$BA$51,MATCH($C29,'[2]Sales per type Agustus'!$B$10:$B$51,0),MATCH("Y31d Pro",'[2]Sales per type Agustus'!$D$8:$BA$8,0)+1),0)</f>
        <v>7798000</v>
      </c>
      <c r="AO29" s="33">
        <f t="shared" si="11"/>
        <v>4699000</v>
      </c>
      <c r="AP29" s="33" cm="1">
        <f t="array" ref="AP29">IFERROR(INDEX('[2]SALES PERTYPE'!$D$10:$BA$52,MATCH($C29,'[2]SALES PERTYPE'!$B$10:$B$52,0),$EI$3),0)</f>
        <v>0</v>
      </c>
      <c r="AQ29" s="33" cm="1">
        <f t="array" ref="AQ29">IFERROR(INDEX('[2]Sales per type Agustus'!$D$10:$BA$51,MATCH($C29,'[2]Sales per type Agustus'!$B$10:$B$51,0),$EI$2),0)</f>
        <v>0</v>
      </c>
      <c r="AR29" s="33">
        <f t="shared" si="12"/>
        <v>0</v>
      </c>
      <c r="AS29" s="33" cm="1">
        <f t="array" ref="AS29">IFERROR(INDEX('[2]SALES PERTYPE'!$D$10:$BA$52,MATCH($C29,'[2]SALES PERTYPE'!$B$10:$B$52,0),$EI$3+1),0)</f>
        <v>0</v>
      </c>
      <c r="AT29" s="33" cm="1">
        <f t="array" ref="AT29">IFERROR(INDEX('[2]Sales per type Agustus'!$D$10:$BA$51,MATCH($C29,'[2]Sales per type Agustus'!$B$10:$B$51,0),$EI$2+1),0)</f>
        <v>0</v>
      </c>
      <c r="AU29" s="33">
        <f t="shared" si="13"/>
        <v>0</v>
      </c>
      <c r="AV29" s="33">
        <f>IFERROR(INDEX('[2]SALES PERTYPE'!$D$10:$BA$52,MATCH($C29,'[2]SALES PERTYPE'!$B$10:$B$52,0),MATCH("Y31d ",'[2]SALES PERTYPE'!$D$8:$BA$8,0)),0)</f>
        <v>0</v>
      </c>
      <c r="AW29" s="33">
        <f>IFERROR(INDEX('[2]Sales per type Agustus'!$D$10:$BA$51,MATCH($C29,'[2]Sales per type Agustus'!$B$10:$B$51,0),MATCH("Y31d ",'[2]Sales per type Agustus'!$D$8:$BA$8,0)),0)</f>
        <v>0</v>
      </c>
      <c r="AX29" s="33">
        <f t="shared" si="14"/>
        <v>0</v>
      </c>
      <c r="AY29" s="33" cm="1">
        <f t="array" ref="AY29">IFERROR(INDEX('[2]SALES PERTYPE'!$D$10:$BA$52,MATCH($C29,'[2]SALES PERTYPE'!$B$10:$B$52,0),MATCH("Y31d ",'[2]SALES PERTYPE'!$D$8:$BA$8,0)+1),0)</f>
        <v>0</v>
      </c>
      <c r="AZ29" s="33" cm="1">
        <f t="array" ref="AZ29">IFERROR(INDEX('[2]Sales per type Agustus'!$D$10:$BA$51,MATCH($C29,'[2]Sales per type Agustus'!$B$10:$B$51,0),MATCH("Y31d ",'[2]Sales per type Agustus'!$D$8:$BA$8,0)+1),0)</f>
        <v>0</v>
      </c>
      <c r="BA29" s="33">
        <f t="shared" si="15"/>
        <v>0</v>
      </c>
      <c r="BB29" s="33">
        <f>IFERROR(INDEX('[2]SALES PERTYPE'!$D$10:$BA$52,MATCH($C29,'[2]SALES PERTYPE'!$B$10:$B$52,0),MATCH("V70 FE",'[2]SALES PERTYPE'!$D$8:$BA$8,0)),0)</f>
        <v>0</v>
      </c>
      <c r="BC29" s="33">
        <f>IFERROR(INDEX('[2]Sales per type Agustus'!$D$10:$BA$51,MATCH($C29,'[2]Sales per type Agustus'!$B$10:$B$51,0),MATCH("V70 FE",'[2]Sales per type Agustus'!$D$8:$BA$8,0)),0)</f>
        <v>1</v>
      </c>
      <c r="BD29" s="33">
        <f t="shared" si="16"/>
        <v>-1</v>
      </c>
      <c r="BE29" s="33" cm="1">
        <f t="array" ref="BE29">IFERROR(INDEX('[2]SALES PERTYPE'!$D$10:$BA$52,MATCH($C29,'[2]SALES PERTYPE'!$B$10:$B$52,0),MATCH("V70 FE",'[2]SALES PERTYPE'!$D$8:$BA$8,0)+1),0)</f>
        <v>0</v>
      </c>
      <c r="BF29" s="33" cm="1">
        <f t="array" ref="BF29">IFERROR(INDEX('[2]Sales per type Agustus'!$D$10:$BA$51,MATCH($C29,'[2]Sales per type Agustus'!$B$10:$B$51,0),MATCH("V70 FE",'[2]Sales per type Agustus'!$D$8:$BA$8,0)+1),0)</f>
        <v>7199000</v>
      </c>
      <c r="BG29" s="33">
        <f t="shared" si="17"/>
        <v>-7199000</v>
      </c>
      <c r="BH29" s="33">
        <f>IFERROR(INDEX('[2]SALES PERTYPE'!$D$10:$BA$52,MATCH($C29,'[2]SALES PERTYPE'!$B$10:$B$52,0),MATCH("Y31d",'[2]SALES PERTYPE'!$D$8:$BA$8,0)),0)</f>
        <v>0</v>
      </c>
      <c r="BI29" s="33">
        <f>IFERROR(INDEX('[2]Sales per type Agustus'!$D$10:$BA$51,MATCH($C29,'[2]Sales per type Agustus'!$B$10:$B$51,0),MATCH("Y31d",'[2]Sales per type Agustus'!$D$8:$BA$8,0)),0)</f>
        <v>0</v>
      </c>
      <c r="BJ29" s="33">
        <f t="shared" si="18"/>
        <v>0</v>
      </c>
      <c r="BK29" s="33" cm="1">
        <f t="array" ref="BK29">IFERROR(INDEX('[2]SALES PERTYPE'!$D$10:$BA$52,MATCH($C29,'[2]SALES PERTYPE'!$B$10:$B$52,0),MATCH("Y31d",'[2]SALES PERTYPE'!$D$8:$BA$8,0)+1),0)</f>
        <v>0</v>
      </c>
      <c r="BL29" s="33" cm="1">
        <f t="array" ref="BL29">IFERROR(INDEX('[2]Sales per type Agustus'!$D$10:$BA$51,MATCH($C29,'[2]Sales per type Agustus'!$B$10:$B$51,0),MATCH("Y31d",'[2]Sales per type Agustus'!$D$8:$BA$8,0)+1),0)</f>
        <v>0</v>
      </c>
      <c r="BM29" s="33">
        <f t="shared" si="19"/>
        <v>0</v>
      </c>
      <c r="BN29" s="33">
        <f>IFERROR(INDEX('[2]SALES PERTYPE'!$D$10:$BA$52,MATCH($C29,'[2]SALES PERTYPE'!$B$10:$B$52,0),MATCH("Y500",'[2]SALES PERTYPE'!$D$8:$BA$8,0)),0)</f>
        <v>0</v>
      </c>
      <c r="BO29" s="33">
        <f>IFERROR(INDEX('[2]Sales per type Agustus'!$D$10:$BA$51,MATCH($C29,'[2]Sales per type Agustus'!$B$10:$B$51,0),MATCH("Y500",'[2]Sales per type Agustus'!$D$8:$BA$8,0)),0)</f>
        <v>1</v>
      </c>
      <c r="BP29" s="33">
        <f t="shared" si="20"/>
        <v>-1</v>
      </c>
      <c r="BQ29" s="33" cm="1">
        <f t="array" ref="BQ29">IFERROR(INDEX('[2]SALES PERTYPE'!$D$10:$BA$52,MATCH($C29,'[2]SALES PERTYPE'!$B$10:$B$52,0),MATCH("Y500",'[2]SALES PERTYPE'!$D$8:$BA$8,0)+1),0)</f>
        <v>0</v>
      </c>
      <c r="BR29" s="33" cm="1">
        <f t="array" ref="BR29">IFERROR(INDEX('[2]Sales per type Agustus'!$D$10:$BA$51,MATCH($C29,'[2]Sales per type Agustus'!$B$10:$B$51,0),MATCH("Y500",'[2]Sales per type Agustus'!$D$8:$BA$8,0)+1),0)</f>
        <v>6299000</v>
      </c>
      <c r="BS29" s="33">
        <f t="shared" si="21"/>
        <v>-6299000</v>
      </c>
      <c r="BT29" s="33">
        <f>IFERROR(INDEX('[2]SALES PERTYPE'!$D$10:$BA$52,MATCH($C29,'[2]SALES PERTYPE'!$B$10:$B$52,0),MATCH("IQOO 15R",'[2]SALES PERTYPE'!$D$8:$BA$8,0)),0)</f>
        <v>0</v>
      </c>
      <c r="BU29" s="33">
        <f>IFERROR(INDEX('[2]Sales per type Agustus'!$D$10:$BA$51,MATCH($C29,'[2]Sales per type Agustus'!$B$10:$B$51,0),MATCH("IQOO 15R",'[2]Sales per type Agustus'!$D$8:$BA$8,0)),0)</f>
        <v>0</v>
      </c>
      <c r="BV29" s="33">
        <f t="shared" si="22"/>
        <v>0</v>
      </c>
      <c r="BW29" s="33" cm="1">
        <f t="array" ref="BW29">IFERROR(INDEX('[2]SALES PERTYPE'!$D$10:$BA$52,MATCH($C29,'[2]SALES PERTYPE'!$B$10:$B$52,0),MATCH("IQOO 15R",'[2]SALES PERTYPE'!$D$8:$BA$8,0)+1),0)</f>
        <v>0</v>
      </c>
      <c r="BX29" s="33" cm="1">
        <f t="array" ref="BX29">IFERROR(INDEX('[2]Sales per type Agustus'!$D$10:$BA$51,MATCH($C29,'[2]Sales per type Agustus'!$B$10:$B$51,0),MATCH("IQOO 15R",'[2]Sales per type Agustus'!$D$8:$BA$8,0)+1),0)</f>
        <v>0</v>
      </c>
      <c r="BY29" s="33">
        <f t="shared" si="23"/>
        <v>0</v>
      </c>
      <c r="BZ29" s="33">
        <f>IFERROR(INDEX('[2]SALES PERTYPE'!$D$10:$BA$52,MATCH($C29,'[2]SALES PERTYPE'!$B$10:$B$52,0),MATCH("V60 Lite",'[2]SALES PERTYPE'!$D$8:$BA$8,0)),0)</f>
        <v>2</v>
      </c>
      <c r="CA29" s="33">
        <f>IFERROR(INDEX('[2]Sales per type Agustus'!$D$10:$BA$51,MATCH($C29,'[2]Sales per type Agustus'!$B$10:$B$51,0),MATCH("V60 Lite",'[2]Sales per type Agustus'!$D$8:$BA$8,0)),0)</f>
        <v>1</v>
      </c>
      <c r="CB29" s="33">
        <f t="shared" si="24"/>
        <v>1</v>
      </c>
      <c r="CC29" s="33" cm="1">
        <f t="array" ref="CC29">IFERROR(INDEX('[2]SALES PERTYPE'!$D$10:$BA$52,MATCH($C29,'[2]SALES PERTYPE'!$B$10:$B$52,0),MATCH("V60 Lite",'[2]SALES PERTYPE'!$D$8:$BA$8,0)+1),0)</f>
        <v>11798000</v>
      </c>
      <c r="CD29" s="33" cm="1">
        <f t="array" ref="CD29">IFERROR(INDEX('[2]Sales per type Agustus'!$D$10:$BA$51,MATCH($C29,'[2]Sales per type Agustus'!$B$10:$B$51,0),MATCH("V60 Lite",'[2]Sales per type Agustus'!$D$8:$BA$8,0)+1),0)</f>
        <v>5899000</v>
      </c>
      <c r="CE29" s="33">
        <f t="shared" si="25"/>
        <v>5899000</v>
      </c>
      <c r="CF29" s="33">
        <f>IFERROR(INDEX('[2]SALES PERTYPE'!$D$10:$BA$52,MATCH($C29,'[2]SALES PERTYPE'!$B$10:$B$52,0),MATCH("X300 Ultra",'[2]SALES PERTYPE'!$D$8:$BA$8,0)),0)</f>
        <v>0</v>
      </c>
      <c r="CG29" s="33">
        <f>IFERROR(INDEX('[2]Sales per type Agustus'!$D$10:$BA$51,MATCH($C29,'[2]Sales per type Agustus'!$B$10:$B$51,0),MATCH("X300 Ultra",'[2]Sales per type Agustus'!$D$8:$BA$8,0)),0)</f>
        <v>0</v>
      </c>
      <c r="CH29" s="33">
        <f t="shared" si="26"/>
        <v>0</v>
      </c>
      <c r="CI29" s="33" cm="1">
        <f t="array" ref="CI29">IFERROR(INDEX('[2]SALES PERTYPE'!$D$10:$BA$52,MATCH($C29,'[2]SALES PERTYPE'!$B$10:$B$52,0),MATCH("X300 Ultra",'[2]SALES PERTYPE'!$D$8:$BA$8,0)+1),0)</f>
        <v>0</v>
      </c>
      <c r="CJ29" s="33" cm="1">
        <f t="array" ref="CJ29">IFERROR(INDEX('[2]Sales per type Agustus'!$D$10:$BA$51,MATCH($C29,'[2]Sales per type Agustus'!$B$10:$B$51,0),MATCH("X300 Ultra",'[2]Sales per type Agustus'!$D$8:$BA$8,0)+1),0)</f>
        <v>0</v>
      </c>
      <c r="CK29" s="33">
        <f t="shared" si="27"/>
        <v>0</v>
      </c>
      <c r="CL29" s="33">
        <f>IFERROR(INDEX('[2]SALES PERTYPE'!$D$10:$BA$52,MATCH($C29,'[2]SALES PERTYPE'!$B$10:$B$52,0),MATCH("IQOO 15",'[2]SALES PERTYPE'!$D$8:$BA$8,0)),0)</f>
        <v>0</v>
      </c>
      <c r="CM29" s="33">
        <f>IFERROR(INDEX('[2]Sales per type Agustus'!$D$10:$BA$51,MATCH($C29,'[2]Sales per type Agustus'!$B$10:$B$51,0),MATCH("IQOO 15",'[2]Sales per type Agustus'!$D$8:$BA$8,0)),0)</f>
        <v>0</v>
      </c>
      <c r="CN29" s="33">
        <f t="shared" si="28"/>
        <v>0</v>
      </c>
      <c r="CO29" s="33" cm="1">
        <f t="array" ref="CO29">IFERROR(INDEX('[2]SALES PERTYPE'!$D$10:$BA$52,MATCH($C29,'[2]SALES PERTYPE'!$B$10:$B$52,0),MATCH("IQOO 15",'[2]SALES PERTYPE'!$D$8:$BA$8,0)+1),0)</f>
        <v>0</v>
      </c>
      <c r="CP29" s="33" cm="1">
        <f t="array" ref="CP29">IFERROR(INDEX('[2]Sales per type Agustus'!$D$10:$BA$51,MATCH($C29,'[2]Sales per type Agustus'!$B$10:$B$51,0),MATCH("IQOO 15",'[2]Sales per type Agustus'!$D$8:$BA$8,0)+1),0)</f>
        <v>0</v>
      </c>
      <c r="CQ29" s="33">
        <f t="shared" si="29"/>
        <v>0</v>
      </c>
      <c r="CR29" s="33">
        <f>IFERROR(INDEX('[2]SALES PERTYPE'!$D$10:$BA$52,MATCH($C29,'[2]SALES PERTYPE'!$B$10:$B$52,0),MATCH("IQOO Z11x",'[2]SALES PERTYPE'!$D$8:$BA$8,0)),0)</f>
        <v>0</v>
      </c>
      <c r="CS29" s="33">
        <f>IFERROR(INDEX('[2]Sales per type Agustus'!$D$10:$BA$51,MATCH($C29,'[2]Sales per type Agustus'!$B$10:$B$51,0),MATCH("IQOO Z11x",'[2]Sales per type Agustus'!$D$8:$BA$8,0)),0)</f>
        <v>0</v>
      </c>
      <c r="CT29" s="33">
        <f t="shared" si="30"/>
        <v>0</v>
      </c>
      <c r="CU29" s="33" cm="1">
        <f t="array" ref="CU29">IFERROR(INDEX('[2]SALES PERTYPE'!$D$10:$BA$52,MATCH($C29,'[2]SALES PERTYPE'!$B$10:$B$52,0),MATCH("IQOO Z11x",'[2]SALES PERTYPE'!$D$8:$BA$8,0)+1),0)</f>
        <v>0</v>
      </c>
      <c r="CV29" s="33" cm="1">
        <f t="array" ref="CV29">IFERROR(INDEX('[2]Sales per type Agustus'!$D$10:$BA$51,MATCH($C29,'[2]Sales per type Agustus'!$B$10:$B$51,0),MATCH("IQOO Z11x",'[2]Sales per type Agustus'!$D$8:$BA$8,0)+1),0)</f>
        <v>0</v>
      </c>
      <c r="CW29" s="33">
        <f t="shared" si="31"/>
        <v>0</v>
      </c>
      <c r="CX29" s="33">
        <f>IFERROR(INDEX('[2]SALES PERTYPE'!$D$10:$BA$52,MATCH($C29,'[2]SALES PERTYPE'!$B$10:$B$52,0),MATCH("IQOO Z11",'[2]SALES PERTYPE'!$D$8:$BA$8,0)),0)</f>
        <v>0</v>
      </c>
      <c r="CY29" s="33">
        <f>IFERROR(INDEX('[2]Sales per type Agustus'!$D$10:$BA$51,MATCH($C29,'[2]Sales per type Agustus'!$B$10:$B$51,0),MATCH("IQOO Z11",'[2]Sales per type Agustus'!$D$8:$BA$8,0)),0)</f>
        <v>0</v>
      </c>
      <c r="CZ29" s="33">
        <f t="shared" si="32"/>
        <v>0</v>
      </c>
      <c r="DA29" s="33" cm="1">
        <f t="array" ref="DA29">IFERROR(INDEX('[2]SALES PERTYPE'!$D$10:$BA$52,MATCH($C29,'[2]SALES PERTYPE'!$B$10:$B$52,0),MATCH("IQOO Z11",'[2]SALES PERTYPE'!$D$8:$BA$8,0)+1),0)</f>
        <v>0</v>
      </c>
      <c r="DB29" s="33" cm="1">
        <f t="array" ref="DB29">IFERROR(INDEX('[2]Sales per type Agustus'!$D$10:$BA$51,MATCH($C29,'[2]Sales per type Agustus'!$B$10:$B$51,0),MATCH("IQOO Z11",'[2]Sales per type Agustus'!$D$8:$BA$8,0)+1),0)</f>
        <v>0</v>
      </c>
      <c r="DC29" s="33">
        <f t="shared" si="33"/>
        <v>0</v>
      </c>
      <c r="DD29" s="33">
        <f>IFERROR(INDEX('[2]SALES PERTYPE'!$D$10:$BA$52,MATCH($C29,'[2]SALES PERTYPE'!$B$10:$B$52,0),MATCH("WATCH 3",'[2]SALES PERTYPE'!$D$8:$BA$8,0)),0)</f>
        <v>0</v>
      </c>
      <c r="DE29" s="33">
        <f>IFERROR(INDEX('[2]Sales per type Agustus'!$D$10:$BA$51,MATCH($C29,'[2]Sales per type Agustus'!$B$10:$B$51,0),MATCH("WATCH 3",'[2]Sales per type Agustus'!$D$8:$BA$8,0)),0)</f>
        <v>0</v>
      </c>
      <c r="DF29" s="33">
        <f t="shared" si="34"/>
        <v>0</v>
      </c>
      <c r="DG29" s="33" cm="1">
        <f t="array" ref="DG29">IFERROR(INDEX('[2]SALES PERTYPE'!$D$10:$BA$52,MATCH($C29,'[2]SALES PERTYPE'!$B$10:$B$52,0),MATCH("WATCH 3",'[2]SALES PERTYPE'!$D$8:$BA$8,0)+1),0)</f>
        <v>0</v>
      </c>
      <c r="DH29" s="33" cm="1">
        <f t="array" ref="DH29">IFERROR(INDEX('[2]Sales per type Agustus'!$D$10:$BA$51,MATCH($C29,'[2]Sales per type Agustus'!$B$10:$B$51,0),MATCH("WATCH 3",'[2]Sales per type Agustus'!$D$8:$BA$8,0)+1),0)</f>
        <v>0</v>
      </c>
      <c r="DI29" s="33">
        <f t="shared" si="35"/>
        <v>0</v>
      </c>
      <c r="DJ29" s="33">
        <f>IFERROR(INDEX('[2]SALES PERTYPE'!$D$10:$BA$52,MATCH($C29,'[2]SALES PERTYPE'!$B$10:$B$52,0),MATCH("X Fold5",'[2]SALES PERTYPE'!$D$8:$BA$8,0)),0)</f>
        <v>0</v>
      </c>
      <c r="DK29" s="33">
        <f>IFERROR(INDEX('[2]Sales per type Agustus'!$D$10:$BA$51,MATCH($C29,'[2]Sales per type Agustus'!$B$10:$B$51,0),MATCH("X Fold5",'[2]Sales per type Agustus'!$D$8:$BA$8,0)),0)</f>
        <v>0</v>
      </c>
      <c r="DL29" s="33">
        <f t="shared" si="36"/>
        <v>0</v>
      </c>
      <c r="DM29" s="33" cm="1">
        <f t="array" ref="DM29">IFERROR(INDEX('[2]SALES PERTYPE'!$D$10:$BA$52,MATCH($C29,'[2]SALES PERTYPE'!$B$10:$B$52,0),MATCH("X Fold5",'[2]SALES PERTYPE'!$D$8:$BA$8,0)+1),0)</f>
        <v>0</v>
      </c>
      <c r="DN29" s="33" cm="1">
        <f t="array" ref="DN29">IFERROR(INDEX('[2]Sales per type Agustus'!$D$10:$BA$51,MATCH($C29,'[2]Sales per type Agustus'!$B$10:$B$51,0),MATCH("X Fold5",'[2]Sales per type Agustus'!$D$8:$BA$8,0)+1),0)</f>
        <v>0</v>
      </c>
      <c r="DO29" s="33">
        <f t="shared" si="37"/>
        <v>0</v>
      </c>
      <c r="DP29" s="33">
        <f>IFERROR(INDEX('[2]SALES PERTYPE'!$D$10:$BA$52,MATCH($C29,'[2]SALES PERTYPE'!$B$10:$B$52,0),MATCH("X300 PRO",'[2]SALES PERTYPE'!$D$8:$BA$8,0)),0)</f>
        <v>0</v>
      </c>
      <c r="DQ29" s="33">
        <f>IFERROR(INDEX('[2]Sales per type Agustus'!$D$10:$BA$51,MATCH($C29,'[2]Sales per type Agustus'!$B$10:$B$51,0),MATCH("X300 PRO",'[2]Sales per type Agustus'!$D$8:$BA$8,0)),0)</f>
        <v>0</v>
      </c>
      <c r="DR29" s="33">
        <f t="shared" si="38"/>
        <v>0</v>
      </c>
      <c r="DS29" s="33" cm="1">
        <f t="array" ref="DS29">IFERROR(INDEX('[2]SALES PERTYPE'!$D$10:$BA$52,MATCH($C29,'[2]SALES PERTYPE'!$B$10:$B$52,0),MATCH("X300 PRO",'[2]SALES PERTYPE'!$D$8:$BA$8,0)+1),0)</f>
        <v>0</v>
      </c>
      <c r="DT29" s="33" cm="1">
        <f t="array" ref="DT29">IFERROR(INDEX('[2]Sales per type Agustus'!$D$10:$BA$51,MATCH($C29,'[2]Sales per type Agustus'!$B$10:$B$51,0),MATCH("X300 PRO",'[2]Sales per type Agustus'!$D$8:$BA$8,0)+1),0)</f>
        <v>0</v>
      </c>
      <c r="DU29" s="33">
        <f t="shared" si="39"/>
        <v>0</v>
      </c>
      <c r="DV29" s="33">
        <f>IFERROR(INDEX('[2]SALES PERTYPE'!$D$10:$BA$52,MATCH($C29,'[2]SALES PERTYPE'!$B$10:$B$52,0),MATCH("X300",'[2]SALES PERTYPE'!$D$8:$BA$8,0)),0)</f>
        <v>0</v>
      </c>
      <c r="DW29" s="33">
        <f>IFERROR(INDEX('[2]Sales per type Agustus'!$D$10:$BA$51,MATCH($C29,'[2]Sales per type Agustus'!$B$10:$B$51,0),MATCH("X300 ",'[2]Sales per type Agustus'!$D$8:$BA$8,0)),0)</f>
        <v>0</v>
      </c>
      <c r="DX29" s="33">
        <f t="shared" si="40"/>
        <v>0</v>
      </c>
      <c r="DY29" s="33" cm="1">
        <f t="array" ref="DY29">IFERROR(INDEX('[2]SALES PERTYPE'!$D$10:$BA$52,MATCH($C29,'[2]SALES PERTYPE'!$B$10:$B$52,0),MATCH("X300",'[2]SALES PERTYPE'!$D$8:$BA$8,0)+1),0)</f>
        <v>0</v>
      </c>
      <c r="DZ29" s="33" cm="1">
        <f t="array" ref="DZ29">IFERROR(INDEX('[2]Sales per type Agustus'!$D$10:$BA$51,MATCH($C29,'[2]Sales per type Agustus'!$B$10:$B$51,0),MATCH("X300 ",'[2]Sales per type Agustus'!$D$8:$BA$8,0)+1),0)</f>
        <v>0</v>
      </c>
      <c r="EA29" s="33">
        <f t="shared" si="41"/>
        <v>0</v>
      </c>
      <c r="EB29" s="33">
        <f t="shared" si="42"/>
        <v>17</v>
      </c>
      <c r="EC29" s="33">
        <f t="shared" si="42"/>
        <v>24</v>
      </c>
      <c r="ED29" s="33">
        <f t="shared" si="43"/>
        <v>-7</v>
      </c>
      <c r="EE29" s="33">
        <f t="shared" si="44"/>
        <v>55783000</v>
      </c>
      <c r="EF29" s="33">
        <f t="shared" si="44"/>
        <v>75376000</v>
      </c>
      <c r="EG29" s="33">
        <f t="shared" si="45"/>
        <v>-19593000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5">
        <f>'[2]ACHIEVEMENT STORE'!A30</f>
        <v>26</v>
      </c>
      <c r="B30" s="216" t="str">
        <f>'[2]ACHIEVEMENT STORE'!B30</f>
        <v>624-万丹BANTEN</v>
      </c>
      <c r="C30" s="215">
        <f>'[2]ACHIEVEMENT STORE'!C30</f>
        <v>6240703</v>
      </c>
      <c r="D30" s="216" t="str">
        <f>'[2]ACHIEVEMENT STORE'!D30</f>
        <v>6240703-TANGCITY LG009</v>
      </c>
      <c r="E30" s="216" t="str">
        <f>'[2]ACHIEVEMENT STORE'!E30</f>
        <v>DHANI EKO NUGROHO</v>
      </c>
      <c r="F30" s="33">
        <f>IFERROR(INDEX('[2]SALES PERTYPE'!$D$10:$BA$52,MATCH($C30,'[2]SALES PERTYPE'!$B$10:$B$52,0),MATCH("Y05",'[2]SALES PERTYPE'!$D$8:$BA$8,0)),0)</f>
        <v>2</v>
      </c>
      <c r="G30" s="33">
        <f>IFERROR(INDEX('[2]Sales per type Agustus'!$D$10:$BA$51,MATCH($C30,'[2]Sales per type Agustus'!$B$10:$B$51,0),MATCH("Y05",'[2]Sales per type Agustus'!$D$8:$BA$8,0)),0)</f>
        <v>6</v>
      </c>
      <c r="H30" s="33">
        <f t="shared" si="0"/>
        <v>-4</v>
      </c>
      <c r="I30" s="33" cm="1">
        <f t="array" ref="I30">IFERROR(INDEX('[2]SALES PERTYPE'!$D$10:$BA$52,MATCH($C30,'[2]SALES PERTYPE'!$B$10:$B$52,0),MATCH("Y05",'[2]SALES PERTYPE'!$D$8:$BA$8,0)+1),0)</f>
        <v>5198000</v>
      </c>
      <c r="J30" s="33" cm="1">
        <f t="array" ref="J30">IFERROR(INDEX('[2]Sales per type Agustus'!$D$10:$BA$51,MATCH($C30,'[2]Sales per type Agustus'!$B$10:$B$51,0),MATCH("Y05",'[2]Sales per type Agustus'!$D$8:$BA$8,0)+1),0)</f>
        <v>14394000</v>
      </c>
      <c r="K30" s="33">
        <f t="shared" si="1"/>
        <v>-9196000</v>
      </c>
      <c r="L30" s="33">
        <f>IFERROR(INDEX('[2]SALES PERTYPE'!$D$10:$BA$52,MATCH($C30,'[2]SALES PERTYPE'!$B$10:$B$52,0),MATCH("Y11d",'[2]SALES PERTYPE'!$D$8:$BA$8,0)),0)</f>
        <v>3</v>
      </c>
      <c r="M30" s="33">
        <f>IFERROR(INDEX('[2]Sales per type Agustus'!$D$10:$BA$51,MATCH($C30,'[2]Sales per type Agustus'!$B$10:$B$51,0),MATCH("Y11d",'[2]Sales per type Agustus'!$D$8:$BA$8,0)),0)</f>
        <v>3</v>
      </c>
      <c r="N30" s="33">
        <f t="shared" si="2"/>
        <v>0</v>
      </c>
      <c r="O30" s="33" cm="1">
        <f t="array" ref="O30">IFERROR(INDEX('[2]SALES PERTYPE'!$D$10:$BA$52,MATCH($C30,'[2]SALES PERTYPE'!$B$10:$B$52,0),MATCH("Y11d",'[2]SALES PERTYPE'!$D$8:$BA$8,0)+1),0)</f>
        <v>7997000</v>
      </c>
      <c r="P30" s="33" cm="1">
        <f t="array" ref="P30">IFERROR(INDEX('[2]Sales per type Agustus'!$D$10:$BA$51,MATCH($C30,'[2]Sales per type Agustus'!$B$10:$B$51,0),MATCH("Y11d",'[2]Sales per type Agustus'!$D$8:$BA$8,0)+1),0)</f>
        <v>7997000</v>
      </c>
      <c r="Q30" s="33">
        <f t="shared" si="3"/>
        <v>0</v>
      </c>
      <c r="R30" s="33">
        <f>IFERROR(INDEX('[2]SALES PERTYPE'!$D$10:$BA$52,MATCH($C30,'[2]SALES PERTYPE'!$B$10:$B$52,0),MATCH("Watch GT 2",'[2]SALES PERTYPE'!$D$8:$BA$8,0)),0)</f>
        <v>0</v>
      </c>
      <c r="S30" s="33">
        <f>IFERROR(INDEX('[2]Sales per type Agustus'!$D$10:$BA$51,MATCH($C30,'[2]Sales per type Agustus'!$B$10:$B$51,0),MATCH("Watch GT 2",'[2]Sales per type Agustus'!$D$8:$BA$8,0)),0)</f>
        <v>0</v>
      </c>
      <c r="T30" s="33">
        <f t="shared" si="4"/>
        <v>0</v>
      </c>
      <c r="U30" s="33" cm="1">
        <f t="array" ref="U30">IFERROR(INDEX('[2]SALES PERTYPE'!$D$10:$BA$52,MATCH($C30,'[2]SALES PERTYPE'!$B$10:$B$52,0),MATCH("Watch GT 2",'[2]SALES PERTYPE'!$D$8:$BA$8,0)+1),0)</f>
        <v>0</v>
      </c>
      <c r="V30" s="33" cm="1">
        <f t="array" ref="V30">IFERROR(INDEX('[2]Sales per type Agustus'!$D$10:$BA$51,MATCH($C30,'[2]Sales per type Agustus'!$B$10:$B$51,0),MATCH("Watch GT 2",'[2]Sales per type Agustus'!$D$8:$BA$8,0)+1),0)</f>
        <v>0</v>
      </c>
      <c r="W30" s="33">
        <f t="shared" si="5"/>
        <v>0</v>
      </c>
      <c r="X30" s="33">
        <f>IFERROR(INDEX('[2]SALES PERTYPE'!$D$10:$BA$52,MATCH($C30,'[2]SALES PERTYPE'!$B$10:$B$52,0),MATCH("Y05e",'[2]SALES PERTYPE'!$D$8:$BA$8,0)),0)</f>
        <v>2</v>
      </c>
      <c r="Y30" s="33">
        <f>IFERROR(INDEX('[2]Sales per type Agustus'!$D$10:$BA$51,MATCH($C30,'[2]Sales per type Agustus'!$B$10:$B$51,0),MATCH("Y05e",'[2]Sales per type Agustus'!$D$8:$BA$8,0)),0)</f>
        <v>1</v>
      </c>
      <c r="Z30" s="33">
        <f t="shared" si="6"/>
        <v>1</v>
      </c>
      <c r="AA30" s="33" cm="1">
        <f t="array" ref="AA30">IFERROR(INDEX('[2]SALES PERTYPE'!$D$10:$BA$52,MATCH($C30,'[2]SALES PERTYPE'!$B$10:$B$52,0),MATCH("Y05e",'[2]SALES PERTYPE'!$D$8:$BA$8,0)+1),0)</f>
        <v>4198000</v>
      </c>
      <c r="AB30" s="33" cm="1">
        <f t="array" ref="AB30">IFERROR(INDEX('[2]Sales per type Agustus'!$D$10:$BA$51,MATCH($C30,'[2]Sales per type Agustus'!$B$10:$B$51,0),MATCH("Y05e",'[2]Sales per type Agustus'!$D$8:$BA$8,0)+1),0)</f>
        <v>2099000</v>
      </c>
      <c r="AC30" s="33">
        <f t="shared" si="7"/>
        <v>2099000</v>
      </c>
      <c r="AD30" s="33">
        <f>IFERROR(INDEX('[2]SALES PERTYPE'!$D$10:$BA$52,MATCH($C30,'[2]SALES PERTYPE'!$B$10:$B$52,0),MATCH("V70",'[2]SALES PERTYPE'!$D$8:$BA$8,0)),0)</f>
        <v>1</v>
      </c>
      <c r="AE30" s="33">
        <f>IFERROR(INDEX('[2]Sales per type Agustus'!$D$10:$BA$51,MATCH($C30,'[2]Sales per type Agustus'!$B$10:$B$51,0),MATCH("V70",'[2]Sales per type Agustus'!$D$8:$BA$8,0)),0)</f>
        <v>1</v>
      </c>
      <c r="AF30" s="33">
        <f t="shared" si="8"/>
        <v>0</v>
      </c>
      <c r="AG30" s="33" cm="1">
        <f t="array" ref="AG30">IFERROR(INDEX('[2]SALES PERTYPE'!$D$10:$BA$52,MATCH($C30,'[2]SALES PERTYPE'!$B$10:$B$52,0),MATCH("V70",'[2]SALES PERTYPE'!$D$8:$BA$8,0)+1),0)</f>
        <v>9999000</v>
      </c>
      <c r="AH30" s="33" cm="1">
        <f t="array" ref="AH30">IFERROR(INDEX('[2]Sales per type Agustus'!$D$10:$BA$51,MATCH($C30,'[2]Sales per type Agustus'!$B$10:$B$51,0),MATCH("V70",'[2]Sales per type Agustus'!$D$8:$BA$8,0)+1),0)</f>
        <v>9999000</v>
      </c>
      <c r="AI30" s="33">
        <f t="shared" si="9"/>
        <v>0</v>
      </c>
      <c r="AJ30" s="33">
        <f>IFERROR(INDEX('[2]SALES PERTYPE'!$D$10:$BA$52,MATCH($C30,'[2]SALES PERTYPE'!$B$10:$B$52,0),MATCH("Y31d Pro",'[2]SALES PERTYPE'!$D$8:$BA$8,0)),0)</f>
        <v>1</v>
      </c>
      <c r="AK30" s="33">
        <f>IFERROR(INDEX('[2]Sales per type Agustus'!$D$10:$BA$51,MATCH($C30,'[2]Sales per type Agustus'!$B$10:$B$51,0),MATCH("Y31d Pro",'[2]Sales per type Agustus'!$D$8:$BA$8,0)),0)</f>
        <v>5</v>
      </c>
      <c r="AL30" s="33">
        <f t="shared" si="10"/>
        <v>-4</v>
      </c>
      <c r="AM30" s="33" cm="1">
        <f t="array" ref="AM30">IFERROR(INDEX('[2]SALES PERTYPE'!$D$10:$BA$52,MATCH($C30,'[2]SALES PERTYPE'!$B$10:$B$52,0),MATCH("Y31d Pro",'[2]SALES PERTYPE'!$D$8:$BA$8,0)+1),0)</f>
        <v>4299000</v>
      </c>
      <c r="AN30" s="33" cm="1">
        <f t="array" ref="AN30">IFERROR(INDEX('[2]Sales per type Agustus'!$D$10:$BA$51,MATCH($C30,'[2]Sales per type Agustus'!$B$10:$B$51,0),MATCH("Y31d Pro",'[2]Sales per type Agustus'!$D$8:$BA$8,0)+1),0)</f>
        <v>20295000</v>
      </c>
      <c r="AO30" s="33">
        <f t="shared" si="11"/>
        <v>-15996000</v>
      </c>
      <c r="AP30" s="33" cm="1">
        <f t="array" ref="AP30">IFERROR(INDEX('[2]SALES PERTYPE'!$D$10:$BA$52,MATCH($C30,'[2]SALES PERTYPE'!$B$10:$B$52,0),$EI$3),0)</f>
        <v>0</v>
      </c>
      <c r="AQ30" s="33" cm="1">
        <f t="array" ref="AQ30">IFERROR(INDEX('[2]Sales per type Agustus'!$D$10:$BA$51,MATCH($C30,'[2]Sales per type Agustus'!$B$10:$B$51,0),$EI$2),0)</f>
        <v>0</v>
      </c>
      <c r="AR30" s="33">
        <f t="shared" si="12"/>
        <v>0</v>
      </c>
      <c r="AS30" s="33" cm="1">
        <f t="array" ref="AS30">IFERROR(INDEX('[2]SALES PERTYPE'!$D$10:$BA$52,MATCH($C30,'[2]SALES PERTYPE'!$B$10:$B$52,0),$EI$3+1),0)</f>
        <v>0</v>
      </c>
      <c r="AT30" s="33" cm="1">
        <f t="array" ref="AT30">IFERROR(INDEX('[2]Sales per type Agustus'!$D$10:$BA$51,MATCH($C30,'[2]Sales per type Agustus'!$B$10:$B$51,0),$EI$2+1),0)</f>
        <v>0</v>
      </c>
      <c r="AU30" s="33">
        <f t="shared" si="13"/>
        <v>0</v>
      </c>
      <c r="AV30" s="33">
        <f>IFERROR(INDEX('[2]SALES PERTYPE'!$D$10:$BA$52,MATCH($C30,'[2]SALES PERTYPE'!$B$10:$B$52,0),MATCH("Y31d ",'[2]SALES PERTYPE'!$D$8:$BA$8,0)),0)</f>
        <v>2</v>
      </c>
      <c r="AW30" s="33">
        <f>IFERROR(INDEX('[2]Sales per type Agustus'!$D$10:$BA$51,MATCH($C30,'[2]Sales per type Agustus'!$B$10:$B$51,0),MATCH("Y31d ",'[2]Sales per type Agustus'!$D$8:$BA$8,0)),0)</f>
        <v>0</v>
      </c>
      <c r="AX30" s="33">
        <f t="shared" si="14"/>
        <v>2</v>
      </c>
      <c r="AY30" s="33" cm="1">
        <f t="array" ref="AY30">IFERROR(INDEX('[2]SALES PERTYPE'!$D$10:$BA$52,MATCH($C30,'[2]SALES PERTYPE'!$B$10:$B$52,0),MATCH("Y31d ",'[2]SALES PERTYPE'!$D$8:$BA$8,0)+1),0)</f>
        <v>7198000</v>
      </c>
      <c r="AZ30" s="33" cm="1">
        <f t="array" ref="AZ30">IFERROR(INDEX('[2]Sales per type Agustus'!$D$10:$BA$51,MATCH($C30,'[2]Sales per type Agustus'!$B$10:$B$51,0),MATCH("Y31d ",'[2]Sales per type Agustus'!$D$8:$BA$8,0)+1),0)</f>
        <v>0</v>
      </c>
      <c r="BA30" s="33">
        <f t="shared" si="15"/>
        <v>7198000</v>
      </c>
      <c r="BB30" s="33">
        <f>IFERROR(INDEX('[2]SALES PERTYPE'!$D$10:$BA$52,MATCH($C30,'[2]SALES PERTYPE'!$B$10:$B$52,0),MATCH("V70 FE",'[2]SALES PERTYPE'!$D$8:$BA$8,0)),0)</f>
        <v>0</v>
      </c>
      <c r="BC30" s="33">
        <f>IFERROR(INDEX('[2]Sales per type Agustus'!$D$10:$BA$51,MATCH($C30,'[2]Sales per type Agustus'!$B$10:$B$51,0),MATCH("V70 FE",'[2]Sales per type Agustus'!$D$8:$BA$8,0)),0)</f>
        <v>0</v>
      </c>
      <c r="BD30" s="33">
        <f t="shared" si="16"/>
        <v>0</v>
      </c>
      <c r="BE30" s="33" cm="1">
        <f t="array" ref="BE30">IFERROR(INDEX('[2]SALES PERTYPE'!$D$10:$BA$52,MATCH($C30,'[2]SALES PERTYPE'!$B$10:$B$52,0),MATCH("V70 FE",'[2]SALES PERTYPE'!$D$8:$BA$8,0)+1),0)</f>
        <v>0</v>
      </c>
      <c r="BF30" s="33" cm="1">
        <f t="array" ref="BF30">IFERROR(INDEX('[2]Sales per type Agustus'!$D$10:$BA$51,MATCH($C30,'[2]Sales per type Agustus'!$B$10:$B$51,0),MATCH("V70 FE",'[2]Sales per type Agustus'!$D$8:$BA$8,0)+1),0)</f>
        <v>0</v>
      </c>
      <c r="BG30" s="33">
        <f t="shared" si="17"/>
        <v>0</v>
      </c>
      <c r="BH30" s="33">
        <f>IFERROR(INDEX('[2]SALES PERTYPE'!$D$10:$BA$52,MATCH($C30,'[2]SALES PERTYPE'!$B$10:$B$52,0),MATCH("Y31d",'[2]SALES PERTYPE'!$D$8:$BA$8,0)),0)</f>
        <v>2</v>
      </c>
      <c r="BI30" s="33">
        <f>IFERROR(INDEX('[2]Sales per type Agustus'!$D$10:$BA$51,MATCH($C30,'[2]Sales per type Agustus'!$B$10:$B$51,0),MATCH("Y31d",'[2]Sales per type Agustus'!$D$8:$BA$8,0)),0)</f>
        <v>1</v>
      </c>
      <c r="BJ30" s="33">
        <f t="shared" si="18"/>
        <v>1</v>
      </c>
      <c r="BK30" s="33" cm="1">
        <f t="array" ref="BK30">IFERROR(INDEX('[2]SALES PERTYPE'!$D$10:$BA$52,MATCH($C30,'[2]SALES PERTYPE'!$B$10:$B$52,0),MATCH("Y31d",'[2]SALES PERTYPE'!$D$8:$BA$8,0)+1),0)</f>
        <v>7198000</v>
      </c>
      <c r="BL30" s="33" cm="1">
        <f t="array" ref="BL30">IFERROR(INDEX('[2]Sales per type Agustus'!$D$10:$BA$51,MATCH($C30,'[2]Sales per type Agustus'!$B$10:$B$51,0),MATCH("Y31d",'[2]Sales per type Agustus'!$D$8:$BA$8,0)+1),0)</f>
        <v>3599000</v>
      </c>
      <c r="BM30" s="33">
        <f t="shared" si="19"/>
        <v>3599000</v>
      </c>
      <c r="BN30" s="33">
        <f>IFERROR(INDEX('[2]SALES PERTYPE'!$D$10:$BA$52,MATCH($C30,'[2]SALES PERTYPE'!$B$10:$B$52,0),MATCH("Y500",'[2]SALES PERTYPE'!$D$8:$BA$8,0)),0)</f>
        <v>0</v>
      </c>
      <c r="BO30" s="33">
        <f>IFERROR(INDEX('[2]Sales per type Agustus'!$D$10:$BA$51,MATCH($C30,'[2]Sales per type Agustus'!$B$10:$B$51,0),MATCH("Y500",'[2]Sales per type Agustus'!$D$8:$BA$8,0)),0)</f>
        <v>0</v>
      </c>
      <c r="BP30" s="33">
        <f t="shared" si="20"/>
        <v>0</v>
      </c>
      <c r="BQ30" s="33" cm="1">
        <f t="array" ref="BQ30">IFERROR(INDEX('[2]SALES PERTYPE'!$D$10:$BA$52,MATCH($C30,'[2]SALES PERTYPE'!$B$10:$B$52,0),MATCH("Y500",'[2]SALES PERTYPE'!$D$8:$BA$8,0)+1),0)</f>
        <v>0</v>
      </c>
      <c r="BR30" s="33" cm="1">
        <f t="array" ref="BR30">IFERROR(INDEX('[2]Sales per type Agustus'!$D$10:$BA$51,MATCH($C30,'[2]Sales per type Agustus'!$B$10:$B$51,0),MATCH("Y500",'[2]Sales per type Agustus'!$D$8:$BA$8,0)+1),0)</f>
        <v>0</v>
      </c>
      <c r="BS30" s="33">
        <f t="shared" si="21"/>
        <v>0</v>
      </c>
      <c r="BT30" s="33">
        <f>IFERROR(INDEX('[2]SALES PERTYPE'!$D$10:$BA$52,MATCH($C30,'[2]SALES PERTYPE'!$B$10:$B$52,0),MATCH("IQOO 15R",'[2]SALES PERTYPE'!$D$8:$BA$8,0)),0)</f>
        <v>0</v>
      </c>
      <c r="BU30" s="33">
        <f>IFERROR(INDEX('[2]Sales per type Agustus'!$D$10:$BA$51,MATCH($C30,'[2]Sales per type Agustus'!$B$10:$B$51,0),MATCH("IQOO 15R",'[2]Sales per type Agustus'!$D$8:$BA$8,0)),0)</f>
        <v>0</v>
      </c>
      <c r="BV30" s="33">
        <f t="shared" si="22"/>
        <v>0</v>
      </c>
      <c r="BW30" s="33" cm="1">
        <f t="array" ref="BW30">IFERROR(INDEX('[2]SALES PERTYPE'!$D$10:$BA$52,MATCH($C30,'[2]SALES PERTYPE'!$B$10:$B$52,0),MATCH("IQOO 15R",'[2]SALES PERTYPE'!$D$8:$BA$8,0)+1),0)</f>
        <v>0</v>
      </c>
      <c r="BX30" s="33" cm="1">
        <f t="array" ref="BX30">IFERROR(INDEX('[2]Sales per type Agustus'!$D$10:$BA$51,MATCH($C30,'[2]Sales per type Agustus'!$B$10:$B$51,0),MATCH("IQOO 15R",'[2]Sales per type Agustus'!$D$8:$BA$8,0)+1),0)</f>
        <v>0</v>
      </c>
      <c r="BY30" s="33">
        <f t="shared" si="23"/>
        <v>0</v>
      </c>
      <c r="BZ30" s="33">
        <f>IFERROR(INDEX('[2]SALES PERTYPE'!$D$10:$BA$52,MATCH($C30,'[2]SALES PERTYPE'!$B$10:$B$52,0),MATCH("V60 Lite",'[2]SALES PERTYPE'!$D$8:$BA$8,0)),0)</f>
        <v>1</v>
      </c>
      <c r="CA30" s="33">
        <f>IFERROR(INDEX('[2]Sales per type Agustus'!$D$10:$BA$51,MATCH($C30,'[2]Sales per type Agustus'!$B$10:$B$51,0),MATCH("V60 Lite",'[2]Sales per type Agustus'!$D$8:$BA$8,0)),0)</f>
        <v>2</v>
      </c>
      <c r="CB30" s="33">
        <f t="shared" si="24"/>
        <v>-1</v>
      </c>
      <c r="CC30" s="33" cm="1">
        <f t="array" ref="CC30">IFERROR(INDEX('[2]SALES PERTYPE'!$D$10:$BA$52,MATCH($C30,'[2]SALES PERTYPE'!$B$10:$B$52,0),MATCH("V60 Lite",'[2]SALES PERTYPE'!$D$8:$BA$8,0)+1),0)</f>
        <v>5899000</v>
      </c>
      <c r="CD30" s="33" cm="1">
        <f t="array" ref="CD30">IFERROR(INDEX('[2]Sales per type Agustus'!$D$10:$BA$51,MATCH($C30,'[2]Sales per type Agustus'!$B$10:$B$51,0),MATCH("V60 Lite",'[2]Sales per type Agustus'!$D$8:$BA$8,0)+1),0)</f>
        <v>11798000</v>
      </c>
      <c r="CE30" s="33">
        <f t="shared" si="25"/>
        <v>-5899000</v>
      </c>
      <c r="CF30" s="33">
        <f>IFERROR(INDEX('[2]SALES PERTYPE'!$D$10:$BA$52,MATCH($C30,'[2]SALES PERTYPE'!$B$10:$B$52,0),MATCH("X300 Ultra",'[2]SALES PERTYPE'!$D$8:$BA$8,0)),0)</f>
        <v>0</v>
      </c>
      <c r="CG30" s="33">
        <f>IFERROR(INDEX('[2]Sales per type Agustus'!$D$10:$BA$51,MATCH($C30,'[2]Sales per type Agustus'!$B$10:$B$51,0),MATCH("X300 Ultra",'[2]Sales per type Agustus'!$D$8:$BA$8,0)),0)</f>
        <v>1</v>
      </c>
      <c r="CH30" s="33">
        <f t="shared" si="26"/>
        <v>-1</v>
      </c>
      <c r="CI30" s="33" cm="1">
        <f t="array" ref="CI30">IFERROR(INDEX('[2]SALES PERTYPE'!$D$10:$BA$52,MATCH($C30,'[2]SALES PERTYPE'!$B$10:$B$52,0),MATCH("X300 Ultra",'[2]SALES PERTYPE'!$D$8:$BA$8,0)+1),0)</f>
        <v>0</v>
      </c>
      <c r="CJ30" s="33" cm="1">
        <f t="array" ref="CJ30">IFERROR(INDEX('[2]Sales per type Agustus'!$D$10:$BA$51,MATCH($C30,'[2]Sales per type Agustus'!$B$10:$B$51,0),MATCH("X300 Ultra",'[2]Sales per type Agustus'!$D$8:$BA$8,0)+1),0)</f>
        <v>25999000</v>
      </c>
      <c r="CK30" s="33">
        <f t="shared" si="27"/>
        <v>-25999000</v>
      </c>
      <c r="CL30" s="33">
        <f>IFERROR(INDEX('[2]SALES PERTYPE'!$D$10:$BA$52,MATCH($C30,'[2]SALES PERTYPE'!$B$10:$B$52,0),MATCH("IQOO 15",'[2]SALES PERTYPE'!$D$8:$BA$8,0)),0)</f>
        <v>0</v>
      </c>
      <c r="CM30" s="33">
        <f>IFERROR(INDEX('[2]Sales per type Agustus'!$D$10:$BA$51,MATCH($C30,'[2]Sales per type Agustus'!$B$10:$B$51,0),MATCH("IQOO 15",'[2]Sales per type Agustus'!$D$8:$BA$8,0)),0)</f>
        <v>0</v>
      </c>
      <c r="CN30" s="33">
        <f t="shared" si="28"/>
        <v>0</v>
      </c>
      <c r="CO30" s="33" cm="1">
        <f t="array" ref="CO30">IFERROR(INDEX('[2]SALES PERTYPE'!$D$10:$BA$52,MATCH($C30,'[2]SALES PERTYPE'!$B$10:$B$52,0),MATCH("IQOO 15",'[2]SALES PERTYPE'!$D$8:$BA$8,0)+1),0)</f>
        <v>0</v>
      </c>
      <c r="CP30" s="33" cm="1">
        <f t="array" ref="CP30">IFERROR(INDEX('[2]Sales per type Agustus'!$D$10:$BA$51,MATCH($C30,'[2]Sales per type Agustus'!$B$10:$B$51,0),MATCH("IQOO 15",'[2]Sales per type Agustus'!$D$8:$BA$8,0)+1),0)</f>
        <v>0</v>
      </c>
      <c r="CQ30" s="33">
        <f t="shared" si="29"/>
        <v>0</v>
      </c>
      <c r="CR30" s="33">
        <f>IFERROR(INDEX('[2]SALES PERTYPE'!$D$10:$BA$52,MATCH($C30,'[2]SALES PERTYPE'!$B$10:$B$52,0),MATCH("IQOO Z11x",'[2]SALES PERTYPE'!$D$8:$BA$8,0)),0)</f>
        <v>1</v>
      </c>
      <c r="CS30" s="33">
        <f>IFERROR(INDEX('[2]Sales per type Agustus'!$D$10:$BA$51,MATCH($C30,'[2]Sales per type Agustus'!$B$10:$B$51,0),MATCH("IQOO Z11x",'[2]Sales per type Agustus'!$D$8:$BA$8,0)),0)</f>
        <v>0</v>
      </c>
      <c r="CT30" s="33">
        <f t="shared" si="30"/>
        <v>1</v>
      </c>
      <c r="CU30" s="33" cm="1">
        <f t="array" ref="CU30">IFERROR(INDEX('[2]SALES PERTYPE'!$D$10:$BA$52,MATCH($C30,'[2]SALES PERTYPE'!$B$10:$B$52,0),MATCH("IQOO Z11x",'[2]SALES PERTYPE'!$D$8:$BA$8,0)+1),0)</f>
        <v>5699000</v>
      </c>
      <c r="CV30" s="33" cm="1">
        <f t="array" ref="CV30">IFERROR(INDEX('[2]Sales per type Agustus'!$D$10:$BA$51,MATCH($C30,'[2]Sales per type Agustus'!$B$10:$B$51,0),MATCH("IQOO Z11x",'[2]Sales per type Agustus'!$D$8:$BA$8,0)+1),0)</f>
        <v>0</v>
      </c>
      <c r="CW30" s="33">
        <f t="shared" si="31"/>
        <v>5699000</v>
      </c>
      <c r="CX30" s="33">
        <f>IFERROR(INDEX('[2]SALES PERTYPE'!$D$10:$BA$52,MATCH($C30,'[2]SALES PERTYPE'!$B$10:$B$52,0),MATCH("IQOO Z11",'[2]SALES PERTYPE'!$D$8:$BA$8,0)),0)</f>
        <v>0</v>
      </c>
      <c r="CY30" s="33">
        <f>IFERROR(INDEX('[2]Sales per type Agustus'!$D$10:$BA$51,MATCH($C30,'[2]Sales per type Agustus'!$B$10:$B$51,0),MATCH("IQOO Z11",'[2]Sales per type Agustus'!$D$8:$BA$8,0)),0)</f>
        <v>1</v>
      </c>
      <c r="CZ30" s="33">
        <f t="shared" si="32"/>
        <v>-1</v>
      </c>
      <c r="DA30" s="33" cm="1">
        <f t="array" ref="DA30">IFERROR(INDEX('[2]SALES PERTYPE'!$D$10:$BA$52,MATCH($C30,'[2]SALES PERTYPE'!$B$10:$B$52,0),MATCH("IQOO Z11",'[2]SALES PERTYPE'!$D$8:$BA$8,0)+1),0)</f>
        <v>0</v>
      </c>
      <c r="DB30" s="33" cm="1">
        <f t="array" ref="DB30">IFERROR(INDEX('[2]Sales per type Agustus'!$D$10:$BA$51,MATCH($C30,'[2]Sales per type Agustus'!$B$10:$B$51,0),MATCH("IQOO Z11",'[2]Sales per type Agustus'!$D$8:$BA$8,0)+1),0)</f>
        <v>7999000</v>
      </c>
      <c r="DC30" s="33">
        <f t="shared" si="33"/>
        <v>-7999000</v>
      </c>
      <c r="DD30" s="33">
        <f>IFERROR(INDEX('[2]SALES PERTYPE'!$D$10:$BA$52,MATCH($C30,'[2]SALES PERTYPE'!$B$10:$B$52,0),MATCH("WATCH 3",'[2]SALES PERTYPE'!$D$8:$BA$8,0)),0)</f>
        <v>0</v>
      </c>
      <c r="DE30" s="33">
        <f>IFERROR(INDEX('[2]Sales per type Agustus'!$D$10:$BA$51,MATCH($C30,'[2]Sales per type Agustus'!$B$10:$B$51,0),MATCH("WATCH 3",'[2]Sales per type Agustus'!$D$8:$BA$8,0)),0)</f>
        <v>0</v>
      </c>
      <c r="DF30" s="33">
        <f t="shared" si="34"/>
        <v>0</v>
      </c>
      <c r="DG30" s="33" cm="1">
        <f t="array" ref="DG30">IFERROR(INDEX('[2]SALES PERTYPE'!$D$10:$BA$52,MATCH($C30,'[2]SALES PERTYPE'!$B$10:$B$52,0),MATCH("WATCH 3",'[2]SALES PERTYPE'!$D$8:$BA$8,0)+1),0)</f>
        <v>0</v>
      </c>
      <c r="DH30" s="33" cm="1">
        <f t="array" ref="DH30">IFERROR(INDEX('[2]Sales per type Agustus'!$D$10:$BA$51,MATCH($C30,'[2]Sales per type Agustus'!$B$10:$B$51,0),MATCH("WATCH 3",'[2]Sales per type Agustus'!$D$8:$BA$8,0)+1),0)</f>
        <v>0</v>
      </c>
      <c r="DI30" s="33">
        <f t="shared" si="35"/>
        <v>0</v>
      </c>
      <c r="DJ30" s="33">
        <f>IFERROR(INDEX('[2]SALES PERTYPE'!$D$10:$BA$52,MATCH($C30,'[2]SALES PERTYPE'!$B$10:$B$52,0),MATCH("X Fold5",'[2]SALES PERTYPE'!$D$8:$BA$8,0)),0)</f>
        <v>0</v>
      </c>
      <c r="DK30" s="33">
        <f>IFERROR(INDEX('[2]Sales per type Agustus'!$D$10:$BA$51,MATCH($C30,'[2]Sales per type Agustus'!$B$10:$B$51,0),MATCH("X Fold5",'[2]Sales per type Agustus'!$D$8:$BA$8,0)),0)</f>
        <v>0</v>
      </c>
      <c r="DL30" s="33">
        <f t="shared" si="36"/>
        <v>0</v>
      </c>
      <c r="DM30" s="33" cm="1">
        <f t="array" ref="DM30">IFERROR(INDEX('[2]SALES PERTYPE'!$D$10:$BA$52,MATCH($C30,'[2]SALES PERTYPE'!$B$10:$B$52,0),MATCH("X Fold5",'[2]SALES PERTYPE'!$D$8:$BA$8,0)+1),0)</f>
        <v>0</v>
      </c>
      <c r="DN30" s="33" cm="1">
        <f t="array" ref="DN30">IFERROR(INDEX('[2]Sales per type Agustus'!$D$10:$BA$51,MATCH($C30,'[2]Sales per type Agustus'!$B$10:$B$51,0),MATCH("X Fold5",'[2]Sales per type Agustus'!$D$8:$BA$8,0)+1),0)</f>
        <v>0</v>
      </c>
      <c r="DO30" s="33">
        <f t="shared" si="37"/>
        <v>0</v>
      </c>
      <c r="DP30" s="33">
        <f>IFERROR(INDEX('[2]SALES PERTYPE'!$D$10:$BA$52,MATCH($C30,'[2]SALES PERTYPE'!$B$10:$B$52,0),MATCH("X300 PRO",'[2]SALES PERTYPE'!$D$8:$BA$8,0)),0)</f>
        <v>0</v>
      </c>
      <c r="DQ30" s="33">
        <f>IFERROR(INDEX('[2]Sales per type Agustus'!$D$10:$BA$51,MATCH($C30,'[2]Sales per type Agustus'!$B$10:$B$51,0),MATCH("X300 PRO",'[2]Sales per type Agustus'!$D$8:$BA$8,0)),0)</f>
        <v>0</v>
      </c>
      <c r="DR30" s="33">
        <f t="shared" si="38"/>
        <v>0</v>
      </c>
      <c r="DS30" s="33" cm="1">
        <f t="array" ref="DS30">IFERROR(INDEX('[2]SALES PERTYPE'!$D$10:$BA$52,MATCH($C30,'[2]SALES PERTYPE'!$B$10:$B$52,0),MATCH("X300 PRO",'[2]SALES PERTYPE'!$D$8:$BA$8,0)+1),0)</f>
        <v>0</v>
      </c>
      <c r="DT30" s="33" cm="1">
        <f t="array" ref="DT30">IFERROR(INDEX('[2]Sales per type Agustus'!$D$10:$BA$51,MATCH($C30,'[2]Sales per type Agustus'!$B$10:$B$51,0),MATCH("X300 PRO",'[2]Sales per type Agustus'!$D$8:$BA$8,0)+1),0)</f>
        <v>0</v>
      </c>
      <c r="DU30" s="33">
        <f t="shared" si="39"/>
        <v>0</v>
      </c>
      <c r="DV30" s="33">
        <f>IFERROR(INDEX('[2]SALES PERTYPE'!$D$10:$BA$52,MATCH($C30,'[2]SALES PERTYPE'!$B$10:$B$52,0),MATCH("X300",'[2]SALES PERTYPE'!$D$8:$BA$8,0)),0)</f>
        <v>0</v>
      </c>
      <c r="DW30" s="33">
        <f>IFERROR(INDEX('[2]Sales per type Agustus'!$D$10:$BA$51,MATCH($C30,'[2]Sales per type Agustus'!$B$10:$B$51,0),MATCH("X300 ",'[2]Sales per type Agustus'!$D$8:$BA$8,0)),0)</f>
        <v>0</v>
      </c>
      <c r="DX30" s="33">
        <f t="shared" si="40"/>
        <v>0</v>
      </c>
      <c r="DY30" s="33" cm="1">
        <f t="array" ref="DY30">IFERROR(INDEX('[2]SALES PERTYPE'!$D$10:$BA$52,MATCH($C30,'[2]SALES PERTYPE'!$B$10:$B$52,0),MATCH("X300",'[2]SALES PERTYPE'!$D$8:$BA$8,0)+1),0)</f>
        <v>0</v>
      </c>
      <c r="DZ30" s="33" cm="1">
        <f t="array" ref="DZ30">IFERROR(INDEX('[2]Sales per type Agustus'!$D$10:$BA$51,MATCH($C30,'[2]Sales per type Agustus'!$B$10:$B$51,0),MATCH("X300 ",'[2]Sales per type Agustus'!$D$8:$BA$8,0)+1),0)</f>
        <v>0</v>
      </c>
      <c r="EA30" s="33">
        <f t="shared" si="41"/>
        <v>0</v>
      </c>
      <c r="EB30" s="33">
        <f t="shared" si="42"/>
        <v>15</v>
      </c>
      <c r="EC30" s="33">
        <f t="shared" si="42"/>
        <v>21</v>
      </c>
      <c r="ED30" s="33">
        <f t="shared" si="43"/>
        <v>-6</v>
      </c>
      <c r="EE30" s="33">
        <f t="shared" si="44"/>
        <v>57685000</v>
      </c>
      <c r="EF30" s="33">
        <f t="shared" si="44"/>
        <v>104179000</v>
      </c>
      <c r="EG30" s="33">
        <f t="shared" si="45"/>
        <v>-46494000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'[2]ACHIEVEMENT STORE'!A31</f>
        <v>27</v>
      </c>
      <c r="B31" s="32" t="str">
        <f>'[2]ACHIEVEMENT STORE'!B31</f>
        <v>624-万丹BANTEN</v>
      </c>
      <c r="C31" s="31">
        <f>'[2]ACHIEVEMENT STORE'!C31</f>
        <v>6170703</v>
      </c>
      <c r="D31" s="32" t="str">
        <f>'[2]ACHIEVEMENT STORE'!D31</f>
        <v>6170703-BNT-CCM VIVO STORE</v>
      </c>
      <c r="E31" s="32" t="str">
        <f>'[2]ACHIEVEMENT STORE'!E31</f>
        <v>DWI IRAWAN ( PIC )</v>
      </c>
      <c r="F31" s="33">
        <f>IFERROR(INDEX('[2]SALES PERTYPE'!$D$10:$BA$52,MATCH($C31,'[2]SALES PERTYPE'!$B$10:$B$52,0),MATCH("Y05",'[2]SALES PERTYPE'!$D$8:$BA$8,0)),0)</f>
        <v>0</v>
      </c>
      <c r="G31" s="33">
        <f>IFERROR(INDEX('[2]Sales per type Agustus'!$D$10:$BA$51,MATCH($C31,'[2]Sales per type Agustus'!$B$10:$B$51,0),MATCH("Y05",'[2]Sales per type Agustus'!$D$8:$BA$8,0)),0)</f>
        <v>0</v>
      </c>
      <c r="H31" s="33">
        <f t="shared" si="0"/>
        <v>0</v>
      </c>
      <c r="I31" s="33" cm="1">
        <f t="array" ref="I31">IFERROR(INDEX('[2]SALES PERTYPE'!$D$10:$BA$52,MATCH($C31,'[2]SALES PERTYPE'!$B$10:$B$52,0),MATCH("Y05",'[2]SALES PERTYPE'!$D$8:$BA$8,0)+1),0)</f>
        <v>0</v>
      </c>
      <c r="J31" s="33" cm="1">
        <f t="array" ref="J31">IFERROR(INDEX('[2]Sales per type Agustus'!$D$10:$BA$51,MATCH($C31,'[2]Sales per type Agustus'!$B$10:$B$51,0),MATCH("Y05",'[2]Sales per type Agustus'!$D$8:$BA$8,0)+1),0)</f>
        <v>0</v>
      </c>
      <c r="K31" s="33">
        <f t="shared" si="1"/>
        <v>0</v>
      </c>
      <c r="L31" s="33">
        <f>IFERROR(INDEX('[2]SALES PERTYPE'!$D$10:$BA$52,MATCH($C31,'[2]SALES PERTYPE'!$B$10:$B$52,0),MATCH("Y11d",'[2]SALES PERTYPE'!$D$8:$BA$8,0)),0)</f>
        <v>0</v>
      </c>
      <c r="M31" s="33">
        <f>IFERROR(INDEX('[2]Sales per type Agustus'!$D$10:$BA$51,MATCH($C31,'[2]Sales per type Agustus'!$B$10:$B$51,0),MATCH("Y11d",'[2]Sales per type Agustus'!$D$8:$BA$8,0)),0)</f>
        <v>1</v>
      </c>
      <c r="N31" s="33">
        <f t="shared" si="2"/>
        <v>-1</v>
      </c>
      <c r="O31" s="33" cm="1">
        <f t="array" ref="O31">IFERROR(INDEX('[2]SALES PERTYPE'!$D$10:$BA$52,MATCH($C31,'[2]SALES PERTYPE'!$B$10:$B$52,0),MATCH("Y11d",'[2]SALES PERTYPE'!$D$8:$BA$8,0)+1),0)</f>
        <v>0</v>
      </c>
      <c r="P31" s="33" cm="1">
        <f t="array" ref="P31">IFERROR(INDEX('[2]Sales per type Agustus'!$D$10:$BA$51,MATCH($C31,'[2]Sales per type Agustus'!$B$10:$B$51,0),MATCH("Y11d",'[2]Sales per type Agustus'!$D$8:$BA$8,0)+1),0)</f>
        <v>2399000</v>
      </c>
      <c r="Q31" s="33">
        <f t="shared" si="3"/>
        <v>-2399000</v>
      </c>
      <c r="R31" s="33">
        <f>IFERROR(INDEX('[2]SALES PERTYPE'!$D$10:$BA$52,MATCH($C31,'[2]SALES PERTYPE'!$B$10:$B$52,0),MATCH("Watch GT 2",'[2]SALES PERTYPE'!$D$8:$BA$8,0)),0)</f>
        <v>0</v>
      </c>
      <c r="S31" s="33">
        <f>IFERROR(INDEX('[2]Sales per type Agustus'!$D$10:$BA$51,MATCH($C31,'[2]Sales per type Agustus'!$B$10:$B$51,0),MATCH("Watch GT 2",'[2]Sales per type Agustus'!$D$8:$BA$8,0)),0)</f>
        <v>0</v>
      </c>
      <c r="T31" s="33">
        <f t="shared" si="4"/>
        <v>0</v>
      </c>
      <c r="U31" s="33" cm="1">
        <f t="array" ref="U31">IFERROR(INDEX('[2]SALES PERTYPE'!$D$10:$BA$52,MATCH($C31,'[2]SALES PERTYPE'!$B$10:$B$52,0),MATCH("Watch GT 2",'[2]SALES PERTYPE'!$D$8:$BA$8,0)+1),0)</f>
        <v>0</v>
      </c>
      <c r="V31" s="33" cm="1">
        <f t="array" ref="V31">IFERROR(INDEX('[2]Sales per type Agustus'!$D$10:$BA$51,MATCH($C31,'[2]Sales per type Agustus'!$B$10:$B$51,0),MATCH("Watch GT 2",'[2]Sales per type Agustus'!$D$8:$BA$8,0)+1),0)</f>
        <v>0</v>
      </c>
      <c r="W31" s="33">
        <f t="shared" si="5"/>
        <v>0</v>
      </c>
      <c r="X31" s="33">
        <f>IFERROR(INDEX('[2]SALES PERTYPE'!$D$10:$BA$52,MATCH($C31,'[2]SALES PERTYPE'!$B$10:$B$52,0),MATCH("Y05e",'[2]SALES PERTYPE'!$D$8:$BA$8,0)),0)</f>
        <v>1</v>
      </c>
      <c r="Y31" s="33">
        <f>IFERROR(INDEX('[2]Sales per type Agustus'!$D$10:$BA$51,MATCH($C31,'[2]Sales per type Agustus'!$B$10:$B$51,0),MATCH("Y05e",'[2]Sales per type Agustus'!$D$8:$BA$8,0)),0)</f>
        <v>0</v>
      </c>
      <c r="Z31" s="33">
        <f t="shared" si="6"/>
        <v>1</v>
      </c>
      <c r="AA31" s="33" cm="1">
        <f t="array" ref="AA31">IFERROR(INDEX('[2]SALES PERTYPE'!$D$10:$BA$52,MATCH($C31,'[2]SALES PERTYPE'!$B$10:$B$52,0),MATCH("Y05e",'[2]SALES PERTYPE'!$D$8:$BA$8,0)+1),0)</f>
        <v>2099000</v>
      </c>
      <c r="AB31" s="33" cm="1">
        <f t="array" ref="AB31">IFERROR(INDEX('[2]Sales per type Agustus'!$D$10:$BA$51,MATCH($C31,'[2]Sales per type Agustus'!$B$10:$B$51,0),MATCH("Y05e",'[2]Sales per type Agustus'!$D$8:$BA$8,0)+1),0)</f>
        <v>0</v>
      </c>
      <c r="AC31" s="33">
        <f t="shared" si="7"/>
        <v>2099000</v>
      </c>
      <c r="AD31" s="33">
        <f>IFERROR(INDEX('[2]SALES PERTYPE'!$D$10:$BA$52,MATCH($C31,'[2]SALES PERTYPE'!$B$10:$B$52,0),MATCH("V70",'[2]SALES PERTYPE'!$D$8:$BA$8,0)),0)</f>
        <v>0</v>
      </c>
      <c r="AE31" s="33">
        <f>IFERROR(INDEX('[2]Sales per type Agustus'!$D$10:$BA$51,MATCH($C31,'[2]Sales per type Agustus'!$B$10:$B$51,0),MATCH("V70",'[2]Sales per type Agustus'!$D$8:$BA$8,0)),0)</f>
        <v>1</v>
      </c>
      <c r="AF31" s="33">
        <f t="shared" si="8"/>
        <v>-1</v>
      </c>
      <c r="AG31" s="33" cm="1">
        <f t="array" ref="AG31">IFERROR(INDEX('[2]SALES PERTYPE'!$D$10:$BA$52,MATCH($C31,'[2]SALES PERTYPE'!$B$10:$B$52,0),MATCH("V70",'[2]SALES PERTYPE'!$D$8:$BA$8,0)+1),0)</f>
        <v>0</v>
      </c>
      <c r="AH31" s="33" cm="1">
        <f t="array" ref="AH31">IFERROR(INDEX('[2]Sales per type Agustus'!$D$10:$BA$51,MATCH($C31,'[2]Sales per type Agustus'!$B$10:$B$51,0),MATCH("V70",'[2]Sales per type Agustus'!$D$8:$BA$8,0)+1),0)</f>
        <v>9999000</v>
      </c>
      <c r="AI31" s="33">
        <f t="shared" si="9"/>
        <v>-9999000</v>
      </c>
      <c r="AJ31" s="33">
        <f>IFERROR(INDEX('[2]SALES PERTYPE'!$D$10:$BA$52,MATCH($C31,'[2]SALES PERTYPE'!$B$10:$B$52,0),MATCH("Y31d Pro",'[2]SALES PERTYPE'!$D$8:$BA$8,0)),0)</f>
        <v>0</v>
      </c>
      <c r="AK31" s="33">
        <f>IFERROR(INDEX('[2]Sales per type Agustus'!$D$10:$BA$51,MATCH($C31,'[2]Sales per type Agustus'!$B$10:$B$51,0),MATCH("Y31d Pro",'[2]Sales per type Agustus'!$D$8:$BA$8,0)),0)</f>
        <v>0</v>
      </c>
      <c r="AL31" s="33">
        <f t="shared" si="10"/>
        <v>0</v>
      </c>
      <c r="AM31" s="33" cm="1">
        <f t="array" ref="AM31">IFERROR(INDEX('[2]SALES PERTYPE'!$D$10:$BA$52,MATCH($C31,'[2]SALES PERTYPE'!$B$10:$B$52,0),MATCH("Y31d Pro",'[2]SALES PERTYPE'!$D$8:$BA$8,0)+1),0)</f>
        <v>0</v>
      </c>
      <c r="AN31" s="33" cm="1">
        <f t="array" ref="AN31">IFERROR(INDEX('[2]Sales per type Agustus'!$D$10:$BA$51,MATCH($C31,'[2]Sales per type Agustus'!$B$10:$B$51,0),MATCH("Y31d Pro",'[2]Sales per type Agustus'!$D$8:$BA$8,0)+1),0)</f>
        <v>0</v>
      </c>
      <c r="AO31" s="33">
        <f t="shared" si="11"/>
        <v>0</v>
      </c>
      <c r="AP31" s="33" cm="1">
        <f t="array" ref="AP31">IFERROR(INDEX('[2]SALES PERTYPE'!$D$10:$BA$52,MATCH($C31,'[2]SALES PERTYPE'!$B$10:$B$52,0),$EI$3),0)</f>
        <v>0</v>
      </c>
      <c r="AQ31" s="33" cm="1">
        <f t="array" ref="AQ31">IFERROR(INDEX('[2]Sales per type Agustus'!$D$10:$BA$51,MATCH($C31,'[2]Sales per type Agustus'!$B$10:$B$51,0),$EI$2),0)</f>
        <v>0</v>
      </c>
      <c r="AR31" s="33">
        <f t="shared" si="12"/>
        <v>0</v>
      </c>
      <c r="AS31" s="33" cm="1">
        <f t="array" ref="AS31">IFERROR(INDEX('[2]SALES PERTYPE'!$D$10:$BA$52,MATCH($C31,'[2]SALES PERTYPE'!$B$10:$B$52,0),$EI$3+1),0)</f>
        <v>0</v>
      </c>
      <c r="AT31" s="33" cm="1">
        <f t="array" ref="AT31">IFERROR(INDEX('[2]Sales per type Agustus'!$D$10:$BA$51,MATCH($C31,'[2]Sales per type Agustus'!$B$10:$B$51,0),$EI$2+1),0)</f>
        <v>0</v>
      </c>
      <c r="AU31" s="33">
        <f t="shared" si="13"/>
        <v>0</v>
      </c>
      <c r="AV31" s="33">
        <f>IFERROR(INDEX('[2]SALES PERTYPE'!$D$10:$BA$52,MATCH($C31,'[2]SALES PERTYPE'!$B$10:$B$52,0),MATCH("Y31d ",'[2]SALES PERTYPE'!$D$8:$BA$8,0)),0)</f>
        <v>0</v>
      </c>
      <c r="AW31" s="33">
        <f>IFERROR(INDEX('[2]Sales per type Agustus'!$D$10:$BA$51,MATCH($C31,'[2]Sales per type Agustus'!$B$10:$B$51,0),MATCH("Y31d ",'[2]Sales per type Agustus'!$D$8:$BA$8,0)),0)</f>
        <v>0</v>
      </c>
      <c r="AX31" s="33">
        <f t="shared" si="14"/>
        <v>0</v>
      </c>
      <c r="AY31" s="33" cm="1">
        <f t="array" ref="AY31">IFERROR(INDEX('[2]SALES PERTYPE'!$D$10:$BA$52,MATCH($C31,'[2]SALES PERTYPE'!$B$10:$B$52,0),MATCH("Y31d ",'[2]SALES PERTYPE'!$D$8:$BA$8,0)+1),0)</f>
        <v>0</v>
      </c>
      <c r="AZ31" s="33" cm="1">
        <f t="array" ref="AZ31">IFERROR(INDEX('[2]Sales per type Agustus'!$D$10:$BA$51,MATCH($C31,'[2]Sales per type Agustus'!$B$10:$B$51,0),MATCH("Y31d ",'[2]Sales per type Agustus'!$D$8:$BA$8,0)+1),0)</f>
        <v>0</v>
      </c>
      <c r="BA31" s="33">
        <f t="shared" si="15"/>
        <v>0</v>
      </c>
      <c r="BB31" s="33">
        <f>IFERROR(INDEX('[2]SALES PERTYPE'!$D$10:$BA$52,MATCH($C31,'[2]SALES PERTYPE'!$B$10:$B$52,0),MATCH("V70 FE",'[2]SALES PERTYPE'!$D$8:$BA$8,0)),0)</f>
        <v>0</v>
      </c>
      <c r="BC31" s="33">
        <f>IFERROR(INDEX('[2]Sales per type Agustus'!$D$10:$BA$51,MATCH($C31,'[2]Sales per type Agustus'!$B$10:$B$51,0),MATCH("V70 FE",'[2]Sales per type Agustus'!$D$8:$BA$8,0)),0)</f>
        <v>1</v>
      </c>
      <c r="BD31" s="33">
        <f t="shared" si="16"/>
        <v>-1</v>
      </c>
      <c r="BE31" s="33" cm="1">
        <f t="array" ref="BE31">IFERROR(INDEX('[2]SALES PERTYPE'!$D$10:$BA$52,MATCH($C31,'[2]SALES PERTYPE'!$B$10:$B$52,0),MATCH("V70 FE",'[2]SALES PERTYPE'!$D$8:$BA$8,0)+1),0)</f>
        <v>0</v>
      </c>
      <c r="BF31" s="33" cm="1">
        <f t="array" ref="BF31">IFERROR(INDEX('[2]Sales per type Agustus'!$D$10:$BA$51,MATCH($C31,'[2]Sales per type Agustus'!$B$10:$B$51,0),MATCH("V70 FE",'[2]Sales per type Agustus'!$D$8:$BA$8,0)+1),0)</f>
        <v>6999000</v>
      </c>
      <c r="BG31" s="33">
        <f t="shared" si="17"/>
        <v>-6999000</v>
      </c>
      <c r="BH31" s="33">
        <f>IFERROR(INDEX('[2]SALES PERTYPE'!$D$10:$BA$52,MATCH($C31,'[2]SALES PERTYPE'!$B$10:$B$52,0),MATCH("Y31d",'[2]SALES PERTYPE'!$D$8:$BA$8,0)),0)</f>
        <v>0</v>
      </c>
      <c r="BI31" s="33">
        <f>IFERROR(INDEX('[2]Sales per type Agustus'!$D$10:$BA$51,MATCH($C31,'[2]Sales per type Agustus'!$B$10:$B$51,0),MATCH("Y31d",'[2]Sales per type Agustus'!$D$8:$BA$8,0)),0)</f>
        <v>0</v>
      </c>
      <c r="BJ31" s="33">
        <f t="shared" si="18"/>
        <v>0</v>
      </c>
      <c r="BK31" s="33" cm="1">
        <f t="array" ref="BK31">IFERROR(INDEX('[2]SALES PERTYPE'!$D$10:$BA$52,MATCH($C31,'[2]SALES PERTYPE'!$B$10:$B$52,0),MATCH("Y31d",'[2]SALES PERTYPE'!$D$8:$BA$8,0)+1),0)</f>
        <v>0</v>
      </c>
      <c r="BL31" s="33" cm="1">
        <f t="array" ref="BL31">IFERROR(INDEX('[2]Sales per type Agustus'!$D$10:$BA$51,MATCH($C31,'[2]Sales per type Agustus'!$B$10:$B$51,0),MATCH("Y31d",'[2]Sales per type Agustus'!$D$8:$BA$8,0)+1),0)</f>
        <v>0</v>
      </c>
      <c r="BM31" s="33">
        <f t="shared" si="19"/>
        <v>0</v>
      </c>
      <c r="BN31" s="33">
        <f>IFERROR(INDEX('[2]SALES PERTYPE'!$D$10:$BA$52,MATCH($C31,'[2]SALES PERTYPE'!$B$10:$B$52,0),MATCH("Y500",'[2]SALES PERTYPE'!$D$8:$BA$8,0)),0)</f>
        <v>0</v>
      </c>
      <c r="BO31" s="33">
        <f>IFERROR(INDEX('[2]Sales per type Agustus'!$D$10:$BA$51,MATCH($C31,'[2]Sales per type Agustus'!$B$10:$B$51,0),MATCH("Y500",'[2]Sales per type Agustus'!$D$8:$BA$8,0)),0)</f>
        <v>1</v>
      </c>
      <c r="BP31" s="33">
        <f t="shared" si="20"/>
        <v>-1</v>
      </c>
      <c r="BQ31" s="33" cm="1">
        <f t="array" ref="BQ31">IFERROR(INDEX('[2]SALES PERTYPE'!$D$10:$BA$52,MATCH($C31,'[2]SALES PERTYPE'!$B$10:$B$52,0),MATCH("Y500",'[2]SALES PERTYPE'!$D$8:$BA$8,0)+1),0)</f>
        <v>0</v>
      </c>
      <c r="BR31" s="33" cm="1">
        <f t="array" ref="BR31">IFERROR(INDEX('[2]Sales per type Agustus'!$D$10:$BA$51,MATCH($C31,'[2]Sales per type Agustus'!$B$10:$B$51,0),MATCH("Y500",'[2]Sales per type Agustus'!$D$8:$BA$8,0)+1),0)</f>
        <v>5499000</v>
      </c>
      <c r="BS31" s="33">
        <f t="shared" si="21"/>
        <v>-5499000</v>
      </c>
      <c r="BT31" s="33">
        <f>IFERROR(INDEX('[2]SALES PERTYPE'!$D$10:$BA$52,MATCH($C31,'[2]SALES PERTYPE'!$B$10:$B$52,0),MATCH("IQOO 15R",'[2]SALES PERTYPE'!$D$8:$BA$8,0)),0)</f>
        <v>0</v>
      </c>
      <c r="BU31" s="33">
        <f>IFERROR(INDEX('[2]Sales per type Agustus'!$D$10:$BA$51,MATCH($C31,'[2]Sales per type Agustus'!$B$10:$B$51,0),MATCH("IQOO 15R",'[2]Sales per type Agustus'!$D$8:$BA$8,0)),0)</f>
        <v>0</v>
      </c>
      <c r="BV31" s="33">
        <f t="shared" si="22"/>
        <v>0</v>
      </c>
      <c r="BW31" s="33" cm="1">
        <f t="array" ref="BW31">IFERROR(INDEX('[2]SALES PERTYPE'!$D$10:$BA$52,MATCH($C31,'[2]SALES PERTYPE'!$B$10:$B$52,0),MATCH("IQOO 15R",'[2]SALES PERTYPE'!$D$8:$BA$8,0)+1),0)</f>
        <v>0</v>
      </c>
      <c r="BX31" s="33" cm="1">
        <f t="array" ref="BX31">IFERROR(INDEX('[2]Sales per type Agustus'!$D$10:$BA$51,MATCH($C31,'[2]Sales per type Agustus'!$B$10:$B$51,0),MATCH("IQOO 15R",'[2]Sales per type Agustus'!$D$8:$BA$8,0)+1),0)</f>
        <v>0</v>
      </c>
      <c r="BY31" s="33">
        <f t="shared" si="23"/>
        <v>0</v>
      </c>
      <c r="BZ31" s="33">
        <f>IFERROR(INDEX('[2]SALES PERTYPE'!$D$10:$BA$52,MATCH($C31,'[2]SALES PERTYPE'!$B$10:$B$52,0),MATCH("V60 Lite",'[2]SALES PERTYPE'!$D$8:$BA$8,0)),0)</f>
        <v>0</v>
      </c>
      <c r="CA31" s="33">
        <f>IFERROR(INDEX('[2]Sales per type Agustus'!$D$10:$BA$51,MATCH($C31,'[2]Sales per type Agustus'!$B$10:$B$51,0),MATCH("V60 Lite",'[2]Sales per type Agustus'!$D$8:$BA$8,0)),0)</f>
        <v>0</v>
      </c>
      <c r="CB31" s="33">
        <f t="shared" si="24"/>
        <v>0</v>
      </c>
      <c r="CC31" s="33" cm="1">
        <f t="array" ref="CC31">IFERROR(INDEX('[2]SALES PERTYPE'!$D$10:$BA$52,MATCH($C31,'[2]SALES PERTYPE'!$B$10:$B$52,0),MATCH("V60 Lite",'[2]SALES PERTYPE'!$D$8:$BA$8,0)+1),0)</f>
        <v>0</v>
      </c>
      <c r="CD31" s="33" cm="1">
        <f t="array" ref="CD31">IFERROR(INDEX('[2]Sales per type Agustus'!$D$10:$BA$51,MATCH($C31,'[2]Sales per type Agustus'!$B$10:$B$51,0),MATCH("V60 Lite",'[2]Sales per type Agustus'!$D$8:$BA$8,0)+1),0)</f>
        <v>0</v>
      </c>
      <c r="CE31" s="33">
        <f t="shared" si="25"/>
        <v>0</v>
      </c>
      <c r="CF31" s="33">
        <f>IFERROR(INDEX('[2]SALES PERTYPE'!$D$10:$BA$52,MATCH($C31,'[2]SALES PERTYPE'!$B$10:$B$52,0),MATCH("X300 Ultra",'[2]SALES PERTYPE'!$D$8:$BA$8,0)),0)</f>
        <v>1</v>
      </c>
      <c r="CG31" s="33">
        <f>IFERROR(INDEX('[2]Sales per type Agustus'!$D$10:$BA$51,MATCH($C31,'[2]Sales per type Agustus'!$B$10:$B$51,0),MATCH("X300 Ultra",'[2]Sales per type Agustus'!$D$8:$BA$8,0)),0)</f>
        <v>0</v>
      </c>
      <c r="CH31" s="33">
        <f t="shared" si="26"/>
        <v>1</v>
      </c>
      <c r="CI31" s="33" cm="1">
        <f t="array" ref="CI31">IFERROR(INDEX('[2]SALES PERTYPE'!$D$10:$BA$52,MATCH($C31,'[2]SALES PERTYPE'!$B$10:$B$52,0),MATCH("X300 Ultra",'[2]SALES PERTYPE'!$D$8:$BA$8,0)+1),0)</f>
        <v>25999000</v>
      </c>
      <c r="CJ31" s="33" cm="1">
        <f t="array" ref="CJ31">IFERROR(INDEX('[2]Sales per type Agustus'!$D$10:$BA$51,MATCH($C31,'[2]Sales per type Agustus'!$B$10:$B$51,0),MATCH("X300 Ultra",'[2]Sales per type Agustus'!$D$8:$BA$8,0)+1),0)</f>
        <v>0</v>
      </c>
      <c r="CK31" s="33">
        <f t="shared" si="27"/>
        <v>25999000</v>
      </c>
      <c r="CL31" s="33">
        <f>IFERROR(INDEX('[2]SALES PERTYPE'!$D$10:$BA$52,MATCH($C31,'[2]SALES PERTYPE'!$B$10:$B$52,0),MATCH("IQOO 15",'[2]SALES PERTYPE'!$D$8:$BA$8,0)),0)</f>
        <v>0</v>
      </c>
      <c r="CM31" s="33">
        <f>IFERROR(INDEX('[2]Sales per type Agustus'!$D$10:$BA$51,MATCH($C31,'[2]Sales per type Agustus'!$B$10:$B$51,0),MATCH("IQOO 15",'[2]Sales per type Agustus'!$D$8:$BA$8,0)),0)</f>
        <v>0</v>
      </c>
      <c r="CN31" s="33">
        <f t="shared" si="28"/>
        <v>0</v>
      </c>
      <c r="CO31" s="33" cm="1">
        <f t="array" ref="CO31">IFERROR(INDEX('[2]SALES PERTYPE'!$D$10:$BA$52,MATCH($C31,'[2]SALES PERTYPE'!$B$10:$B$52,0),MATCH("IQOO 15",'[2]SALES PERTYPE'!$D$8:$BA$8,0)+1),0)</f>
        <v>0</v>
      </c>
      <c r="CP31" s="33" cm="1">
        <f t="array" ref="CP31">IFERROR(INDEX('[2]Sales per type Agustus'!$D$10:$BA$51,MATCH($C31,'[2]Sales per type Agustus'!$B$10:$B$51,0),MATCH("IQOO 15",'[2]Sales per type Agustus'!$D$8:$BA$8,0)+1),0)</f>
        <v>0</v>
      </c>
      <c r="CQ31" s="33">
        <f t="shared" si="29"/>
        <v>0</v>
      </c>
      <c r="CR31" s="33">
        <f>IFERROR(INDEX('[2]SALES PERTYPE'!$D$10:$BA$52,MATCH($C31,'[2]SALES PERTYPE'!$B$10:$B$52,0),MATCH("IQOO Z11x",'[2]SALES PERTYPE'!$D$8:$BA$8,0)),0)</f>
        <v>0</v>
      </c>
      <c r="CS31" s="33">
        <f>IFERROR(INDEX('[2]Sales per type Agustus'!$D$10:$BA$51,MATCH($C31,'[2]Sales per type Agustus'!$B$10:$B$51,0),MATCH("IQOO Z11x",'[2]Sales per type Agustus'!$D$8:$BA$8,0)),0)</f>
        <v>0</v>
      </c>
      <c r="CT31" s="33">
        <f t="shared" si="30"/>
        <v>0</v>
      </c>
      <c r="CU31" s="33" cm="1">
        <f t="array" ref="CU31">IFERROR(INDEX('[2]SALES PERTYPE'!$D$10:$BA$52,MATCH($C31,'[2]SALES PERTYPE'!$B$10:$B$52,0),MATCH("IQOO Z11x",'[2]SALES PERTYPE'!$D$8:$BA$8,0)+1),0)</f>
        <v>0</v>
      </c>
      <c r="CV31" s="33" cm="1">
        <f t="array" ref="CV31">IFERROR(INDEX('[2]Sales per type Agustus'!$D$10:$BA$51,MATCH($C31,'[2]Sales per type Agustus'!$B$10:$B$51,0),MATCH("IQOO Z11x",'[2]Sales per type Agustus'!$D$8:$BA$8,0)+1),0)</f>
        <v>0</v>
      </c>
      <c r="CW31" s="33">
        <f t="shared" si="31"/>
        <v>0</v>
      </c>
      <c r="CX31" s="33">
        <f>IFERROR(INDEX('[2]SALES PERTYPE'!$D$10:$BA$52,MATCH($C31,'[2]SALES PERTYPE'!$B$10:$B$52,0),MATCH("IQOO Z11",'[2]SALES PERTYPE'!$D$8:$BA$8,0)),0)</f>
        <v>0</v>
      </c>
      <c r="CY31" s="33">
        <f>IFERROR(INDEX('[2]Sales per type Agustus'!$D$10:$BA$51,MATCH($C31,'[2]Sales per type Agustus'!$B$10:$B$51,0),MATCH("IQOO Z11",'[2]Sales per type Agustus'!$D$8:$BA$8,0)),0)</f>
        <v>1</v>
      </c>
      <c r="CZ31" s="33">
        <f t="shared" si="32"/>
        <v>-1</v>
      </c>
      <c r="DA31" s="33" cm="1">
        <f t="array" ref="DA31">IFERROR(INDEX('[2]SALES PERTYPE'!$D$10:$BA$52,MATCH($C31,'[2]SALES PERTYPE'!$B$10:$B$52,0),MATCH("IQOO Z11",'[2]SALES PERTYPE'!$D$8:$BA$8,0)+1),0)</f>
        <v>0</v>
      </c>
      <c r="DB31" s="33" cm="1">
        <f t="array" ref="DB31">IFERROR(INDEX('[2]Sales per type Agustus'!$D$10:$BA$51,MATCH($C31,'[2]Sales per type Agustus'!$B$10:$B$51,0),MATCH("IQOO Z11",'[2]Sales per type Agustus'!$D$8:$BA$8,0)+1),0)</f>
        <v>6899000</v>
      </c>
      <c r="DC31" s="33">
        <f t="shared" si="33"/>
        <v>-6899000</v>
      </c>
      <c r="DD31" s="33">
        <f>IFERROR(INDEX('[2]SALES PERTYPE'!$D$10:$BA$52,MATCH($C31,'[2]SALES PERTYPE'!$B$10:$B$52,0),MATCH("WATCH 3",'[2]SALES PERTYPE'!$D$8:$BA$8,0)),0)</f>
        <v>0</v>
      </c>
      <c r="DE31" s="33">
        <f>IFERROR(INDEX('[2]Sales per type Agustus'!$D$10:$BA$51,MATCH($C31,'[2]Sales per type Agustus'!$B$10:$B$51,0),MATCH("WATCH 3",'[2]Sales per type Agustus'!$D$8:$BA$8,0)),0)</f>
        <v>0</v>
      </c>
      <c r="DF31" s="33">
        <f t="shared" si="34"/>
        <v>0</v>
      </c>
      <c r="DG31" s="33" cm="1">
        <f t="array" ref="DG31">IFERROR(INDEX('[2]SALES PERTYPE'!$D$10:$BA$52,MATCH($C31,'[2]SALES PERTYPE'!$B$10:$B$52,0),MATCH("WATCH 3",'[2]SALES PERTYPE'!$D$8:$BA$8,0)+1),0)</f>
        <v>0</v>
      </c>
      <c r="DH31" s="33" cm="1">
        <f t="array" ref="DH31">IFERROR(INDEX('[2]Sales per type Agustus'!$D$10:$BA$51,MATCH($C31,'[2]Sales per type Agustus'!$B$10:$B$51,0),MATCH("WATCH 3",'[2]Sales per type Agustus'!$D$8:$BA$8,0)+1),0)</f>
        <v>0</v>
      </c>
      <c r="DI31" s="33">
        <f t="shared" si="35"/>
        <v>0</v>
      </c>
      <c r="DJ31" s="33">
        <f>IFERROR(INDEX('[2]SALES PERTYPE'!$D$10:$BA$52,MATCH($C31,'[2]SALES PERTYPE'!$B$10:$B$52,0),MATCH("X Fold5",'[2]SALES PERTYPE'!$D$8:$BA$8,0)),0)</f>
        <v>0</v>
      </c>
      <c r="DK31" s="33">
        <f>IFERROR(INDEX('[2]Sales per type Agustus'!$D$10:$BA$51,MATCH($C31,'[2]Sales per type Agustus'!$B$10:$B$51,0),MATCH("X Fold5",'[2]Sales per type Agustus'!$D$8:$BA$8,0)),0)</f>
        <v>0</v>
      </c>
      <c r="DL31" s="33">
        <f t="shared" si="36"/>
        <v>0</v>
      </c>
      <c r="DM31" s="33" cm="1">
        <f t="array" ref="DM31">IFERROR(INDEX('[2]SALES PERTYPE'!$D$10:$BA$52,MATCH($C31,'[2]SALES PERTYPE'!$B$10:$B$52,0),MATCH("X Fold5",'[2]SALES PERTYPE'!$D$8:$BA$8,0)+1),0)</f>
        <v>0</v>
      </c>
      <c r="DN31" s="33" cm="1">
        <f t="array" ref="DN31">IFERROR(INDEX('[2]Sales per type Agustus'!$D$10:$BA$51,MATCH($C31,'[2]Sales per type Agustus'!$B$10:$B$51,0),MATCH("X Fold5",'[2]Sales per type Agustus'!$D$8:$BA$8,0)+1),0)</f>
        <v>0</v>
      </c>
      <c r="DO31" s="33">
        <f t="shared" si="37"/>
        <v>0</v>
      </c>
      <c r="DP31" s="33">
        <f>IFERROR(INDEX('[2]SALES PERTYPE'!$D$10:$BA$52,MATCH($C31,'[2]SALES PERTYPE'!$B$10:$B$52,0),MATCH("X300 PRO",'[2]SALES PERTYPE'!$D$8:$BA$8,0)),0)</f>
        <v>0</v>
      </c>
      <c r="DQ31" s="33">
        <f>IFERROR(INDEX('[2]Sales per type Agustus'!$D$10:$BA$51,MATCH($C31,'[2]Sales per type Agustus'!$B$10:$B$51,0),MATCH("X300 PRO",'[2]Sales per type Agustus'!$D$8:$BA$8,0)),0)</f>
        <v>0</v>
      </c>
      <c r="DR31" s="33">
        <f t="shared" si="38"/>
        <v>0</v>
      </c>
      <c r="DS31" s="33" cm="1">
        <f t="array" ref="DS31">IFERROR(INDEX('[2]SALES PERTYPE'!$D$10:$BA$52,MATCH($C31,'[2]SALES PERTYPE'!$B$10:$B$52,0),MATCH("X300 PRO",'[2]SALES PERTYPE'!$D$8:$BA$8,0)+1),0)</f>
        <v>0</v>
      </c>
      <c r="DT31" s="33" cm="1">
        <f t="array" ref="DT31">IFERROR(INDEX('[2]Sales per type Agustus'!$D$10:$BA$51,MATCH($C31,'[2]Sales per type Agustus'!$B$10:$B$51,0),MATCH("X300 PRO",'[2]Sales per type Agustus'!$D$8:$BA$8,0)+1),0)</f>
        <v>0</v>
      </c>
      <c r="DU31" s="33">
        <f t="shared" si="39"/>
        <v>0</v>
      </c>
      <c r="DV31" s="33">
        <f>IFERROR(INDEX('[2]SALES PERTYPE'!$D$10:$BA$52,MATCH($C31,'[2]SALES PERTYPE'!$B$10:$B$52,0),MATCH("X300",'[2]SALES PERTYPE'!$D$8:$BA$8,0)),0)</f>
        <v>0</v>
      </c>
      <c r="DW31" s="33">
        <f>IFERROR(INDEX('[2]Sales per type Agustus'!$D$10:$BA$51,MATCH($C31,'[2]Sales per type Agustus'!$B$10:$B$51,0),MATCH("X300 ",'[2]Sales per type Agustus'!$D$8:$BA$8,0)),0)</f>
        <v>0</v>
      </c>
      <c r="DX31" s="33">
        <f t="shared" si="40"/>
        <v>0</v>
      </c>
      <c r="DY31" s="33" cm="1">
        <f t="array" ref="DY31">IFERROR(INDEX('[2]SALES PERTYPE'!$D$10:$BA$52,MATCH($C31,'[2]SALES PERTYPE'!$B$10:$B$52,0),MATCH("X300",'[2]SALES PERTYPE'!$D$8:$BA$8,0)+1),0)</f>
        <v>0</v>
      </c>
      <c r="DZ31" s="33" cm="1">
        <f t="array" ref="DZ31">IFERROR(INDEX('[2]Sales per type Agustus'!$D$10:$BA$51,MATCH($C31,'[2]Sales per type Agustus'!$B$10:$B$51,0),MATCH("X300 ",'[2]Sales per type Agustus'!$D$8:$BA$8,0)+1),0)</f>
        <v>0</v>
      </c>
      <c r="EA31" s="33">
        <f t="shared" si="41"/>
        <v>0</v>
      </c>
      <c r="EB31" s="33">
        <f t="shared" si="42"/>
        <v>2</v>
      </c>
      <c r="EC31" s="33">
        <f t="shared" si="42"/>
        <v>5</v>
      </c>
      <c r="ED31" s="33">
        <f t="shared" si="43"/>
        <v>-3</v>
      </c>
      <c r="EE31" s="33">
        <f t="shared" si="44"/>
        <v>28098000</v>
      </c>
      <c r="EF31" s="33">
        <f t="shared" si="44"/>
        <v>31795000</v>
      </c>
      <c r="EG31" s="33">
        <f t="shared" si="45"/>
        <v>-3697000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5">
        <f>'[2]ACHIEVEMENT STORE'!A32</f>
        <v>28</v>
      </c>
      <c r="B32" s="216" t="str">
        <f>'[2]ACHIEVEMENT STORE'!B32</f>
        <v>624-万丹BANTEN</v>
      </c>
      <c r="C32" s="215">
        <f>'[2]ACHIEVEMENT STORE'!C32</f>
        <v>6240705</v>
      </c>
      <c r="D32" s="216" t="str">
        <f>'[2]ACHIEVEMENT STORE'!D32</f>
        <v>6240705-CIPUTRA 2FC15</v>
      </c>
      <c r="E32" s="216" t="str">
        <f>'[2]ACHIEVEMENT STORE'!E32</f>
        <v>DHANI EKO NUGROHO</v>
      </c>
      <c r="F32" s="33">
        <f>IFERROR(INDEX('[2]SALES PERTYPE'!$D$10:$BA$52,MATCH($C32,'[2]SALES PERTYPE'!$B$10:$B$52,0),MATCH("Y05",'[2]SALES PERTYPE'!$D$8:$BA$8,0)),0)</f>
        <v>1</v>
      </c>
      <c r="G32" s="33">
        <f>IFERROR(INDEX('[2]Sales per type Agustus'!$D$10:$BA$51,MATCH($C32,'[2]Sales per type Agustus'!$B$10:$B$51,0),MATCH("Y05",'[2]Sales per type Agustus'!$D$8:$BA$8,0)),0)</f>
        <v>1</v>
      </c>
      <c r="H32" s="33">
        <f t="shared" si="0"/>
        <v>0</v>
      </c>
      <c r="I32" s="33" cm="1">
        <f t="array" ref="I32">IFERROR(INDEX('[2]SALES PERTYPE'!$D$10:$BA$52,MATCH($C32,'[2]SALES PERTYPE'!$B$10:$B$52,0),MATCH("Y05",'[2]SALES PERTYPE'!$D$8:$BA$8,0)+1),0)</f>
        <v>2599000</v>
      </c>
      <c r="J32" s="33" cm="1">
        <f t="array" ref="J32">IFERROR(INDEX('[2]Sales per type Agustus'!$D$10:$BA$51,MATCH($C32,'[2]Sales per type Agustus'!$B$10:$B$51,0),MATCH("Y05",'[2]Sales per type Agustus'!$D$8:$BA$8,0)+1),0)</f>
        <v>2599000</v>
      </c>
      <c r="K32" s="33">
        <f t="shared" si="1"/>
        <v>0</v>
      </c>
      <c r="L32" s="33">
        <f>IFERROR(INDEX('[2]SALES PERTYPE'!$D$10:$BA$52,MATCH($C32,'[2]SALES PERTYPE'!$B$10:$B$52,0),MATCH("Y11d",'[2]SALES PERTYPE'!$D$8:$BA$8,0)),0)</f>
        <v>1</v>
      </c>
      <c r="M32" s="33">
        <f>IFERROR(INDEX('[2]Sales per type Agustus'!$D$10:$BA$51,MATCH($C32,'[2]Sales per type Agustus'!$B$10:$B$51,0),MATCH("Y11d",'[2]Sales per type Agustus'!$D$8:$BA$8,0)),0)</f>
        <v>2</v>
      </c>
      <c r="N32" s="33">
        <f t="shared" si="2"/>
        <v>-1</v>
      </c>
      <c r="O32" s="33" cm="1">
        <f t="array" ref="O32">IFERROR(INDEX('[2]SALES PERTYPE'!$D$10:$BA$52,MATCH($C32,'[2]SALES PERTYPE'!$B$10:$B$52,0),MATCH("Y11d",'[2]SALES PERTYPE'!$D$8:$BA$8,0)+1),0)</f>
        <v>2799000</v>
      </c>
      <c r="P32" s="33" cm="1">
        <f t="array" ref="P32">IFERROR(INDEX('[2]Sales per type Agustus'!$D$10:$BA$51,MATCH($C32,'[2]Sales per type Agustus'!$B$10:$B$51,0),MATCH("Y11d",'[2]Sales per type Agustus'!$D$8:$BA$8,0)+1),0)</f>
        <v>5598000</v>
      </c>
      <c r="Q32" s="33">
        <f t="shared" si="3"/>
        <v>-2799000</v>
      </c>
      <c r="R32" s="33">
        <f>IFERROR(INDEX('[2]SALES PERTYPE'!$D$10:$BA$52,MATCH($C32,'[2]SALES PERTYPE'!$B$10:$B$52,0),MATCH("Watch GT 2",'[2]SALES PERTYPE'!$D$8:$BA$8,0)),0)</f>
        <v>0</v>
      </c>
      <c r="S32" s="33">
        <f>IFERROR(INDEX('[2]Sales per type Agustus'!$D$10:$BA$51,MATCH($C32,'[2]Sales per type Agustus'!$B$10:$B$51,0),MATCH("Watch GT 2",'[2]Sales per type Agustus'!$D$8:$BA$8,0)),0)</f>
        <v>0</v>
      </c>
      <c r="T32" s="33">
        <f t="shared" si="4"/>
        <v>0</v>
      </c>
      <c r="U32" s="33" cm="1">
        <f t="array" ref="U32">IFERROR(INDEX('[2]SALES PERTYPE'!$D$10:$BA$52,MATCH($C32,'[2]SALES PERTYPE'!$B$10:$B$52,0),MATCH("Watch GT 2",'[2]SALES PERTYPE'!$D$8:$BA$8,0)+1),0)</f>
        <v>0</v>
      </c>
      <c r="V32" s="33" cm="1">
        <f t="array" ref="V32">IFERROR(INDEX('[2]Sales per type Agustus'!$D$10:$BA$51,MATCH($C32,'[2]Sales per type Agustus'!$B$10:$B$51,0),MATCH("Watch GT 2",'[2]Sales per type Agustus'!$D$8:$BA$8,0)+1),0)</f>
        <v>0</v>
      </c>
      <c r="W32" s="33">
        <f t="shared" si="5"/>
        <v>0</v>
      </c>
      <c r="X32" s="33">
        <f>IFERROR(INDEX('[2]SALES PERTYPE'!$D$10:$BA$52,MATCH($C32,'[2]SALES PERTYPE'!$B$10:$B$52,0),MATCH("Y05e",'[2]SALES PERTYPE'!$D$8:$BA$8,0)),0)</f>
        <v>1</v>
      </c>
      <c r="Y32" s="33">
        <f>IFERROR(INDEX('[2]Sales per type Agustus'!$D$10:$BA$51,MATCH($C32,'[2]Sales per type Agustus'!$B$10:$B$51,0),MATCH("Y05e",'[2]Sales per type Agustus'!$D$8:$BA$8,0)),0)</f>
        <v>0</v>
      </c>
      <c r="Z32" s="33">
        <f t="shared" si="6"/>
        <v>1</v>
      </c>
      <c r="AA32" s="33" cm="1">
        <f t="array" ref="AA32">IFERROR(INDEX('[2]SALES PERTYPE'!$D$10:$BA$52,MATCH($C32,'[2]SALES PERTYPE'!$B$10:$B$52,0),MATCH("Y05e",'[2]SALES PERTYPE'!$D$8:$BA$8,0)+1),0)</f>
        <v>2099000</v>
      </c>
      <c r="AB32" s="33" cm="1">
        <f t="array" ref="AB32">IFERROR(INDEX('[2]Sales per type Agustus'!$D$10:$BA$51,MATCH($C32,'[2]Sales per type Agustus'!$B$10:$B$51,0),MATCH("Y05e",'[2]Sales per type Agustus'!$D$8:$BA$8,0)+1),0)</f>
        <v>0</v>
      </c>
      <c r="AC32" s="33">
        <f t="shared" si="7"/>
        <v>2099000</v>
      </c>
      <c r="AD32" s="33">
        <f>IFERROR(INDEX('[2]SALES PERTYPE'!$D$10:$BA$52,MATCH($C32,'[2]SALES PERTYPE'!$B$10:$B$52,0),MATCH("V70",'[2]SALES PERTYPE'!$D$8:$BA$8,0)),0)</f>
        <v>1</v>
      </c>
      <c r="AE32" s="33">
        <f>IFERROR(INDEX('[2]Sales per type Agustus'!$D$10:$BA$51,MATCH($C32,'[2]Sales per type Agustus'!$B$10:$B$51,0),MATCH("V70",'[2]Sales per type Agustus'!$D$8:$BA$8,0)),0)</f>
        <v>0</v>
      </c>
      <c r="AF32" s="33">
        <f t="shared" si="8"/>
        <v>1</v>
      </c>
      <c r="AG32" s="33" cm="1">
        <f t="array" ref="AG32">IFERROR(INDEX('[2]SALES PERTYPE'!$D$10:$BA$52,MATCH($C32,'[2]SALES PERTYPE'!$B$10:$B$52,0),MATCH("V70",'[2]SALES PERTYPE'!$D$8:$BA$8,0)+1),0)</f>
        <v>9999000</v>
      </c>
      <c r="AH32" s="33" cm="1">
        <f t="array" ref="AH32">IFERROR(INDEX('[2]Sales per type Agustus'!$D$10:$BA$51,MATCH($C32,'[2]Sales per type Agustus'!$B$10:$B$51,0),MATCH("V70",'[2]Sales per type Agustus'!$D$8:$BA$8,0)+1),0)</f>
        <v>0</v>
      </c>
      <c r="AI32" s="33">
        <f t="shared" si="9"/>
        <v>9999000</v>
      </c>
      <c r="AJ32" s="33">
        <f>IFERROR(INDEX('[2]SALES PERTYPE'!$D$10:$BA$52,MATCH($C32,'[2]SALES PERTYPE'!$B$10:$B$52,0),MATCH("Y31d Pro",'[2]SALES PERTYPE'!$D$8:$BA$8,0)),0)</f>
        <v>2</v>
      </c>
      <c r="AK32" s="33">
        <f>IFERROR(INDEX('[2]Sales per type Agustus'!$D$10:$BA$51,MATCH($C32,'[2]Sales per type Agustus'!$B$10:$B$51,0),MATCH("Y31d Pro",'[2]Sales per type Agustus'!$D$8:$BA$8,0)),0)</f>
        <v>0</v>
      </c>
      <c r="AL32" s="33">
        <f t="shared" si="10"/>
        <v>2</v>
      </c>
      <c r="AM32" s="33" cm="1">
        <f t="array" ref="AM32">IFERROR(INDEX('[2]SALES PERTYPE'!$D$10:$BA$52,MATCH($C32,'[2]SALES PERTYPE'!$B$10:$B$52,0),MATCH("Y31d Pro",'[2]SALES PERTYPE'!$D$8:$BA$8,0)+1),0)</f>
        <v>7798000</v>
      </c>
      <c r="AN32" s="33" cm="1">
        <f t="array" ref="AN32">IFERROR(INDEX('[2]Sales per type Agustus'!$D$10:$BA$51,MATCH($C32,'[2]Sales per type Agustus'!$B$10:$B$51,0),MATCH("Y31d Pro",'[2]Sales per type Agustus'!$D$8:$BA$8,0)+1),0)</f>
        <v>0</v>
      </c>
      <c r="AO32" s="33">
        <f t="shared" si="11"/>
        <v>7798000</v>
      </c>
      <c r="AP32" s="33" cm="1">
        <f t="array" ref="AP32">IFERROR(INDEX('[2]SALES PERTYPE'!$D$10:$BA$52,MATCH($C32,'[2]SALES PERTYPE'!$B$10:$B$52,0),$EI$3),0)</f>
        <v>0</v>
      </c>
      <c r="AQ32" s="33" cm="1">
        <f t="array" ref="AQ32">IFERROR(INDEX('[2]Sales per type Agustus'!$D$10:$BA$51,MATCH($C32,'[2]Sales per type Agustus'!$B$10:$B$51,0),$EI$2),0)</f>
        <v>0</v>
      </c>
      <c r="AR32" s="33">
        <f t="shared" si="12"/>
        <v>0</v>
      </c>
      <c r="AS32" s="33" cm="1">
        <f t="array" ref="AS32">IFERROR(INDEX('[2]SALES PERTYPE'!$D$10:$BA$52,MATCH($C32,'[2]SALES PERTYPE'!$B$10:$B$52,0),$EI$3+1),0)</f>
        <v>0</v>
      </c>
      <c r="AT32" s="33" cm="1">
        <f t="array" ref="AT32">IFERROR(INDEX('[2]Sales per type Agustus'!$D$10:$BA$51,MATCH($C32,'[2]Sales per type Agustus'!$B$10:$B$51,0),$EI$2+1),0)</f>
        <v>0</v>
      </c>
      <c r="AU32" s="33">
        <f t="shared" si="13"/>
        <v>0</v>
      </c>
      <c r="AV32" s="33">
        <f>IFERROR(INDEX('[2]SALES PERTYPE'!$D$10:$BA$52,MATCH($C32,'[2]SALES PERTYPE'!$B$10:$B$52,0),MATCH("Y31d ",'[2]SALES PERTYPE'!$D$8:$BA$8,0)),0)</f>
        <v>0</v>
      </c>
      <c r="AW32" s="33">
        <f>IFERROR(INDEX('[2]Sales per type Agustus'!$D$10:$BA$51,MATCH($C32,'[2]Sales per type Agustus'!$B$10:$B$51,0),MATCH("Y31d ",'[2]Sales per type Agustus'!$D$8:$BA$8,0)),0)</f>
        <v>0</v>
      </c>
      <c r="AX32" s="33">
        <f t="shared" si="14"/>
        <v>0</v>
      </c>
      <c r="AY32" s="33" cm="1">
        <f t="array" ref="AY32">IFERROR(INDEX('[2]SALES PERTYPE'!$D$10:$BA$52,MATCH($C32,'[2]SALES PERTYPE'!$B$10:$B$52,0),MATCH("Y31d ",'[2]SALES PERTYPE'!$D$8:$BA$8,0)+1),0)</f>
        <v>0</v>
      </c>
      <c r="AZ32" s="33" cm="1">
        <f t="array" ref="AZ32">IFERROR(INDEX('[2]Sales per type Agustus'!$D$10:$BA$51,MATCH($C32,'[2]Sales per type Agustus'!$B$10:$B$51,0),MATCH("Y31d ",'[2]Sales per type Agustus'!$D$8:$BA$8,0)+1),0)</f>
        <v>0</v>
      </c>
      <c r="BA32" s="33">
        <f t="shared" si="15"/>
        <v>0</v>
      </c>
      <c r="BB32" s="33">
        <f>IFERROR(INDEX('[2]SALES PERTYPE'!$D$10:$BA$52,MATCH($C32,'[2]SALES PERTYPE'!$B$10:$B$52,0),MATCH("V70 FE",'[2]SALES PERTYPE'!$D$8:$BA$8,0)),0)</f>
        <v>0</v>
      </c>
      <c r="BC32" s="33">
        <f>IFERROR(INDEX('[2]Sales per type Agustus'!$D$10:$BA$51,MATCH($C32,'[2]Sales per type Agustus'!$B$10:$B$51,0),MATCH("V70 FE",'[2]Sales per type Agustus'!$D$8:$BA$8,0)),0)</f>
        <v>1</v>
      </c>
      <c r="BD32" s="33">
        <f t="shared" si="16"/>
        <v>-1</v>
      </c>
      <c r="BE32" s="33" cm="1">
        <f t="array" ref="BE32">IFERROR(INDEX('[2]SALES PERTYPE'!$D$10:$BA$52,MATCH($C32,'[2]SALES PERTYPE'!$B$10:$B$52,0),MATCH("V70 FE",'[2]SALES PERTYPE'!$D$8:$BA$8,0)+1),0)</f>
        <v>0</v>
      </c>
      <c r="BF32" s="33" cm="1">
        <f t="array" ref="BF32">IFERROR(INDEX('[2]Sales per type Agustus'!$D$10:$BA$51,MATCH($C32,'[2]Sales per type Agustus'!$B$10:$B$51,0),MATCH("V70 FE",'[2]Sales per type Agustus'!$D$8:$BA$8,0)+1),0)</f>
        <v>6499000</v>
      </c>
      <c r="BG32" s="33">
        <f t="shared" si="17"/>
        <v>-6499000</v>
      </c>
      <c r="BH32" s="33">
        <f>IFERROR(INDEX('[2]SALES PERTYPE'!$D$10:$BA$52,MATCH($C32,'[2]SALES PERTYPE'!$B$10:$B$52,0),MATCH("Y31d",'[2]SALES PERTYPE'!$D$8:$BA$8,0)),0)</f>
        <v>0</v>
      </c>
      <c r="BI32" s="33">
        <f>IFERROR(INDEX('[2]Sales per type Agustus'!$D$10:$BA$51,MATCH($C32,'[2]Sales per type Agustus'!$B$10:$B$51,0),MATCH("Y31d",'[2]Sales per type Agustus'!$D$8:$BA$8,0)),0)</f>
        <v>0</v>
      </c>
      <c r="BJ32" s="33">
        <f t="shared" si="18"/>
        <v>0</v>
      </c>
      <c r="BK32" s="33" cm="1">
        <f t="array" ref="BK32">IFERROR(INDEX('[2]SALES PERTYPE'!$D$10:$BA$52,MATCH($C32,'[2]SALES PERTYPE'!$B$10:$B$52,0),MATCH("Y31d",'[2]SALES PERTYPE'!$D$8:$BA$8,0)+1),0)</f>
        <v>0</v>
      </c>
      <c r="BL32" s="33" cm="1">
        <f t="array" ref="BL32">IFERROR(INDEX('[2]Sales per type Agustus'!$D$10:$BA$51,MATCH($C32,'[2]Sales per type Agustus'!$B$10:$B$51,0),MATCH("Y31d",'[2]Sales per type Agustus'!$D$8:$BA$8,0)+1),0)</f>
        <v>0</v>
      </c>
      <c r="BM32" s="33">
        <f t="shared" si="19"/>
        <v>0</v>
      </c>
      <c r="BN32" s="33">
        <f>IFERROR(INDEX('[2]SALES PERTYPE'!$D$10:$BA$52,MATCH($C32,'[2]SALES PERTYPE'!$B$10:$B$52,0),MATCH("Y500",'[2]SALES PERTYPE'!$D$8:$BA$8,0)),0)</f>
        <v>0</v>
      </c>
      <c r="BO32" s="33">
        <f>IFERROR(INDEX('[2]Sales per type Agustus'!$D$10:$BA$51,MATCH($C32,'[2]Sales per type Agustus'!$B$10:$B$51,0),MATCH("Y500",'[2]Sales per type Agustus'!$D$8:$BA$8,0)),0)</f>
        <v>1</v>
      </c>
      <c r="BP32" s="33">
        <f t="shared" si="20"/>
        <v>-1</v>
      </c>
      <c r="BQ32" s="33" cm="1">
        <f t="array" ref="BQ32">IFERROR(INDEX('[2]SALES PERTYPE'!$D$10:$BA$52,MATCH($C32,'[2]SALES PERTYPE'!$B$10:$B$52,0),MATCH("Y500",'[2]SALES PERTYPE'!$D$8:$BA$8,0)+1),0)</f>
        <v>0</v>
      </c>
      <c r="BR32" s="33" cm="1">
        <f t="array" ref="BR32">IFERROR(INDEX('[2]Sales per type Agustus'!$D$10:$BA$51,MATCH($C32,'[2]Sales per type Agustus'!$B$10:$B$51,0),MATCH("Y500",'[2]Sales per type Agustus'!$D$8:$BA$8,0)+1),0)</f>
        <v>5499000</v>
      </c>
      <c r="BS32" s="33">
        <f t="shared" si="21"/>
        <v>-5499000</v>
      </c>
      <c r="BT32" s="33">
        <f>IFERROR(INDEX('[2]SALES PERTYPE'!$D$10:$BA$52,MATCH($C32,'[2]SALES PERTYPE'!$B$10:$B$52,0),MATCH("IQOO 15R",'[2]SALES PERTYPE'!$D$8:$BA$8,0)),0)</f>
        <v>0</v>
      </c>
      <c r="BU32" s="33">
        <f>IFERROR(INDEX('[2]Sales per type Agustus'!$D$10:$BA$51,MATCH($C32,'[2]Sales per type Agustus'!$B$10:$B$51,0),MATCH("IQOO 15R",'[2]Sales per type Agustus'!$D$8:$BA$8,0)),0)</f>
        <v>0</v>
      </c>
      <c r="BV32" s="33">
        <f t="shared" si="22"/>
        <v>0</v>
      </c>
      <c r="BW32" s="33" cm="1">
        <f t="array" ref="BW32">IFERROR(INDEX('[2]SALES PERTYPE'!$D$10:$BA$52,MATCH($C32,'[2]SALES PERTYPE'!$B$10:$B$52,0),MATCH("IQOO 15R",'[2]SALES PERTYPE'!$D$8:$BA$8,0)+1),0)</f>
        <v>0</v>
      </c>
      <c r="BX32" s="33" cm="1">
        <f t="array" ref="BX32">IFERROR(INDEX('[2]Sales per type Agustus'!$D$10:$BA$51,MATCH($C32,'[2]Sales per type Agustus'!$B$10:$B$51,0),MATCH("IQOO 15R",'[2]Sales per type Agustus'!$D$8:$BA$8,0)+1),0)</f>
        <v>0</v>
      </c>
      <c r="BY32" s="33">
        <f t="shared" si="23"/>
        <v>0</v>
      </c>
      <c r="BZ32" s="33">
        <f>IFERROR(INDEX('[2]SALES PERTYPE'!$D$10:$BA$52,MATCH($C32,'[2]SALES PERTYPE'!$B$10:$B$52,0),MATCH("V60 Lite",'[2]SALES PERTYPE'!$D$8:$BA$8,0)),0)</f>
        <v>0</v>
      </c>
      <c r="CA32" s="33">
        <f>IFERROR(INDEX('[2]Sales per type Agustus'!$D$10:$BA$51,MATCH($C32,'[2]Sales per type Agustus'!$B$10:$B$51,0),MATCH("V60 Lite",'[2]Sales per type Agustus'!$D$8:$BA$8,0)),0)</f>
        <v>0</v>
      </c>
      <c r="CB32" s="33">
        <f t="shared" si="24"/>
        <v>0</v>
      </c>
      <c r="CC32" s="33" cm="1">
        <f t="array" ref="CC32">IFERROR(INDEX('[2]SALES PERTYPE'!$D$10:$BA$52,MATCH($C32,'[2]SALES PERTYPE'!$B$10:$B$52,0),MATCH("V60 Lite",'[2]SALES PERTYPE'!$D$8:$BA$8,0)+1),0)</f>
        <v>0</v>
      </c>
      <c r="CD32" s="33" cm="1">
        <f t="array" ref="CD32">IFERROR(INDEX('[2]Sales per type Agustus'!$D$10:$BA$51,MATCH($C32,'[2]Sales per type Agustus'!$B$10:$B$51,0),MATCH("V60 Lite",'[2]Sales per type Agustus'!$D$8:$BA$8,0)+1),0)</f>
        <v>0</v>
      </c>
      <c r="CE32" s="33">
        <f t="shared" si="25"/>
        <v>0</v>
      </c>
      <c r="CF32" s="33">
        <f>IFERROR(INDEX('[2]SALES PERTYPE'!$D$10:$BA$52,MATCH($C32,'[2]SALES PERTYPE'!$B$10:$B$52,0),MATCH("X300 Ultra",'[2]SALES PERTYPE'!$D$8:$BA$8,0)),0)</f>
        <v>0</v>
      </c>
      <c r="CG32" s="33">
        <f>IFERROR(INDEX('[2]Sales per type Agustus'!$D$10:$BA$51,MATCH($C32,'[2]Sales per type Agustus'!$B$10:$B$51,0),MATCH("X300 Ultra",'[2]Sales per type Agustus'!$D$8:$BA$8,0)),0)</f>
        <v>0</v>
      </c>
      <c r="CH32" s="33">
        <f t="shared" si="26"/>
        <v>0</v>
      </c>
      <c r="CI32" s="33" cm="1">
        <f t="array" ref="CI32">IFERROR(INDEX('[2]SALES PERTYPE'!$D$10:$BA$52,MATCH($C32,'[2]SALES PERTYPE'!$B$10:$B$52,0),MATCH("X300 Ultra",'[2]SALES PERTYPE'!$D$8:$BA$8,0)+1),0)</f>
        <v>0</v>
      </c>
      <c r="CJ32" s="33" cm="1">
        <f t="array" ref="CJ32">IFERROR(INDEX('[2]Sales per type Agustus'!$D$10:$BA$51,MATCH($C32,'[2]Sales per type Agustus'!$B$10:$B$51,0),MATCH("X300 Ultra",'[2]Sales per type Agustus'!$D$8:$BA$8,0)+1),0)</f>
        <v>0</v>
      </c>
      <c r="CK32" s="33">
        <f t="shared" si="27"/>
        <v>0</v>
      </c>
      <c r="CL32" s="33">
        <f>IFERROR(INDEX('[2]SALES PERTYPE'!$D$10:$BA$52,MATCH($C32,'[2]SALES PERTYPE'!$B$10:$B$52,0),MATCH("IQOO 15",'[2]SALES PERTYPE'!$D$8:$BA$8,0)),0)</f>
        <v>0</v>
      </c>
      <c r="CM32" s="33">
        <f>IFERROR(INDEX('[2]Sales per type Agustus'!$D$10:$BA$51,MATCH($C32,'[2]Sales per type Agustus'!$B$10:$B$51,0),MATCH("IQOO 15",'[2]Sales per type Agustus'!$D$8:$BA$8,0)),0)</f>
        <v>0</v>
      </c>
      <c r="CN32" s="33">
        <f t="shared" si="28"/>
        <v>0</v>
      </c>
      <c r="CO32" s="33" cm="1">
        <f t="array" ref="CO32">IFERROR(INDEX('[2]SALES PERTYPE'!$D$10:$BA$52,MATCH($C32,'[2]SALES PERTYPE'!$B$10:$B$52,0),MATCH("IQOO 15",'[2]SALES PERTYPE'!$D$8:$BA$8,0)+1),0)</f>
        <v>0</v>
      </c>
      <c r="CP32" s="33" cm="1">
        <f t="array" ref="CP32">IFERROR(INDEX('[2]Sales per type Agustus'!$D$10:$BA$51,MATCH($C32,'[2]Sales per type Agustus'!$B$10:$B$51,0),MATCH("IQOO 15",'[2]Sales per type Agustus'!$D$8:$BA$8,0)+1),0)</f>
        <v>0</v>
      </c>
      <c r="CQ32" s="33">
        <f t="shared" si="29"/>
        <v>0</v>
      </c>
      <c r="CR32" s="33">
        <f>IFERROR(INDEX('[2]SALES PERTYPE'!$D$10:$BA$52,MATCH($C32,'[2]SALES PERTYPE'!$B$10:$B$52,0),MATCH("IQOO Z11x",'[2]SALES PERTYPE'!$D$8:$BA$8,0)),0)</f>
        <v>0</v>
      </c>
      <c r="CS32" s="33">
        <f>IFERROR(INDEX('[2]Sales per type Agustus'!$D$10:$BA$51,MATCH($C32,'[2]Sales per type Agustus'!$B$10:$B$51,0),MATCH("IQOO Z11x",'[2]Sales per type Agustus'!$D$8:$BA$8,0)),0)</f>
        <v>0</v>
      </c>
      <c r="CT32" s="33">
        <f t="shared" si="30"/>
        <v>0</v>
      </c>
      <c r="CU32" s="33" cm="1">
        <f t="array" ref="CU32">IFERROR(INDEX('[2]SALES PERTYPE'!$D$10:$BA$52,MATCH($C32,'[2]SALES PERTYPE'!$B$10:$B$52,0),MATCH("IQOO Z11x",'[2]SALES PERTYPE'!$D$8:$BA$8,0)+1),0)</f>
        <v>0</v>
      </c>
      <c r="CV32" s="33" cm="1">
        <f t="array" ref="CV32">IFERROR(INDEX('[2]Sales per type Agustus'!$D$10:$BA$51,MATCH($C32,'[2]Sales per type Agustus'!$B$10:$B$51,0),MATCH("IQOO Z11x",'[2]Sales per type Agustus'!$D$8:$BA$8,0)+1),0)</f>
        <v>0</v>
      </c>
      <c r="CW32" s="33">
        <f t="shared" si="31"/>
        <v>0</v>
      </c>
      <c r="CX32" s="33">
        <f>IFERROR(INDEX('[2]SALES PERTYPE'!$D$10:$BA$52,MATCH($C32,'[2]SALES PERTYPE'!$B$10:$B$52,0),MATCH("IQOO Z11",'[2]SALES PERTYPE'!$D$8:$BA$8,0)),0)</f>
        <v>0</v>
      </c>
      <c r="CY32" s="33">
        <f>IFERROR(INDEX('[2]Sales per type Agustus'!$D$10:$BA$51,MATCH($C32,'[2]Sales per type Agustus'!$B$10:$B$51,0),MATCH("IQOO Z11",'[2]Sales per type Agustus'!$D$8:$BA$8,0)),0)</f>
        <v>2</v>
      </c>
      <c r="CZ32" s="33">
        <f t="shared" si="32"/>
        <v>-2</v>
      </c>
      <c r="DA32" s="33" cm="1">
        <f t="array" ref="DA32">IFERROR(INDEX('[2]SALES PERTYPE'!$D$10:$BA$52,MATCH($C32,'[2]SALES PERTYPE'!$B$10:$B$52,0),MATCH("IQOO Z11",'[2]SALES PERTYPE'!$D$8:$BA$8,0)+1),0)</f>
        <v>0</v>
      </c>
      <c r="DB32" s="33" cm="1">
        <f t="array" ref="DB32">IFERROR(INDEX('[2]Sales per type Agustus'!$D$10:$BA$51,MATCH($C32,'[2]Sales per type Agustus'!$B$10:$B$51,0),MATCH("IQOO Z11",'[2]Sales per type Agustus'!$D$8:$BA$8,0)+1),0)</f>
        <v>15298000</v>
      </c>
      <c r="DC32" s="33">
        <f t="shared" si="33"/>
        <v>-15298000</v>
      </c>
      <c r="DD32" s="33">
        <f>IFERROR(INDEX('[2]SALES PERTYPE'!$D$10:$BA$52,MATCH($C32,'[2]SALES PERTYPE'!$B$10:$B$52,0),MATCH("WATCH 3",'[2]SALES PERTYPE'!$D$8:$BA$8,0)),0)</f>
        <v>0</v>
      </c>
      <c r="DE32" s="33">
        <f>IFERROR(INDEX('[2]Sales per type Agustus'!$D$10:$BA$51,MATCH($C32,'[2]Sales per type Agustus'!$B$10:$B$51,0),MATCH("WATCH 3",'[2]Sales per type Agustus'!$D$8:$BA$8,0)),0)</f>
        <v>0</v>
      </c>
      <c r="DF32" s="33">
        <f t="shared" si="34"/>
        <v>0</v>
      </c>
      <c r="DG32" s="33" cm="1">
        <f t="array" ref="DG32">IFERROR(INDEX('[2]SALES PERTYPE'!$D$10:$BA$52,MATCH($C32,'[2]SALES PERTYPE'!$B$10:$B$52,0),MATCH("WATCH 3",'[2]SALES PERTYPE'!$D$8:$BA$8,0)+1),0)</f>
        <v>0</v>
      </c>
      <c r="DH32" s="33" cm="1">
        <f t="array" ref="DH32">IFERROR(INDEX('[2]Sales per type Agustus'!$D$10:$BA$51,MATCH($C32,'[2]Sales per type Agustus'!$B$10:$B$51,0),MATCH("WATCH 3",'[2]Sales per type Agustus'!$D$8:$BA$8,0)+1),0)</f>
        <v>0</v>
      </c>
      <c r="DI32" s="33">
        <f t="shared" si="35"/>
        <v>0</v>
      </c>
      <c r="DJ32" s="33">
        <f>IFERROR(INDEX('[2]SALES PERTYPE'!$D$10:$BA$52,MATCH($C32,'[2]SALES PERTYPE'!$B$10:$B$52,0),MATCH("X Fold5",'[2]SALES PERTYPE'!$D$8:$BA$8,0)),0)</f>
        <v>0</v>
      </c>
      <c r="DK32" s="33">
        <f>IFERROR(INDEX('[2]Sales per type Agustus'!$D$10:$BA$51,MATCH($C32,'[2]Sales per type Agustus'!$B$10:$B$51,0),MATCH("X Fold5",'[2]Sales per type Agustus'!$D$8:$BA$8,0)),0)</f>
        <v>0</v>
      </c>
      <c r="DL32" s="33">
        <f t="shared" si="36"/>
        <v>0</v>
      </c>
      <c r="DM32" s="33" cm="1">
        <f t="array" ref="DM32">IFERROR(INDEX('[2]SALES PERTYPE'!$D$10:$BA$52,MATCH($C32,'[2]SALES PERTYPE'!$B$10:$B$52,0),MATCH("X Fold5",'[2]SALES PERTYPE'!$D$8:$BA$8,0)+1),0)</f>
        <v>0</v>
      </c>
      <c r="DN32" s="33" cm="1">
        <f t="array" ref="DN32">IFERROR(INDEX('[2]Sales per type Agustus'!$D$10:$BA$51,MATCH($C32,'[2]Sales per type Agustus'!$B$10:$B$51,0),MATCH("X Fold5",'[2]Sales per type Agustus'!$D$8:$BA$8,0)+1),0)</f>
        <v>0</v>
      </c>
      <c r="DO32" s="33">
        <f t="shared" si="37"/>
        <v>0</v>
      </c>
      <c r="DP32" s="33">
        <f>IFERROR(INDEX('[2]SALES PERTYPE'!$D$10:$BA$52,MATCH($C32,'[2]SALES PERTYPE'!$B$10:$B$52,0),MATCH("X300 PRO",'[2]SALES PERTYPE'!$D$8:$BA$8,0)),0)</f>
        <v>0</v>
      </c>
      <c r="DQ32" s="33">
        <f>IFERROR(INDEX('[2]Sales per type Agustus'!$D$10:$BA$51,MATCH($C32,'[2]Sales per type Agustus'!$B$10:$B$51,0),MATCH("X300 PRO",'[2]Sales per type Agustus'!$D$8:$BA$8,0)),0)</f>
        <v>0</v>
      </c>
      <c r="DR32" s="33">
        <f t="shared" si="38"/>
        <v>0</v>
      </c>
      <c r="DS32" s="33" cm="1">
        <f t="array" ref="DS32">IFERROR(INDEX('[2]SALES PERTYPE'!$D$10:$BA$52,MATCH($C32,'[2]SALES PERTYPE'!$B$10:$B$52,0),MATCH("X300 PRO",'[2]SALES PERTYPE'!$D$8:$BA$8,0)+1),0)</f>
        <v>0</v>
      </c>
      <c r="DT32" s="33" cm="1">
        <f t="array" ref="DT32">IFERROR(INDEX('[2]Sales per type Agustus'!$D$10:$BA$51,MATCH($C32,'[2]Sales per type Agustus'!$B$10:$B$51,0),MATCH("X300 PRO",'[2]Sales per type Agustus'!$D$8:$BA$8,0)+1),0)</f>
        <v>0</v>
      </c>
      <c r="DU32" s="33">
        <f t="shared" si="39"/>
        <v>0</v>
      </c>
      <c r="DV32" s="33">
        <f>IFERROR(INDEX('[2]SALES PERTYPE'!$D$10:$BA$52,MATCH($C32,'[2]SALES PERTYPE'!$B$10:$B$52,0),MATCH("X300",'[2]SALES PERTYPE'!$D$8:$BA$8,0)),0)</f>
        <v>0</v>
      </c>
      <c r="DW32" s="33">
        <f>IFERROR(INDEX('[2]Sales per type Agustus'!$D$10:$BA$51,MATCH($C32,'[2]Sales per type Agustus'!$B$10:$B$51,0),MATCH("X300 ",'[2]Sales per type Agustus'!$D$8:$BA$8,0)),0)</f>
        <v>0</v>
      </c>
      <c r="DX32" s="33">
        <f t="shared" si="40"/>
        <v>0</v>
      </c>
      <c r="DY32" s="33" cm="1">
        <f t="array" ref="DY32">IFERROR(INDEX('[2]SALES PERTYPE'!$D$10:$BA$52,MATCH($C32,'[2]SALES PERTYPE'!$B$10:$B$52,0),MATCH("X300",'[2]SALES PERTYPE'!$D$8:$BA$8,0)+1),0)</f>
        <v>0</v>
      </c>
      <c r="DZ32" s="33" cm="1">
        <f t="array" ref="DZ32">IFERROR(INDEX('[2]Sales per type Agustus'!$D$10:$BA$51,MATCH($C32,'[2]Sales per type Agustus'!$B$10:$B$51,0),MATCH("X300 ",'[2]Sales per type Agustus'!$D$8:$BA$8,0)+1),0)</f>
        <v>0</v>
      </c>
      <c r="EA32" s="33">
        <f t="shared" si="41"/>
        <v>0</v>
      </c>
      <c r="EB32" s="33">
        <f t="shared" si="42"/>
        <v>6</v>
      </c>
      <c r="EC32" s="33">
        <f t="shared" si="42"/>
        <v>7</v>
      </c>
      <c r="ED32" s="33">
        <f t="shared" si="43"/>
        <v>-1</v>
      </c>
      <c r="EE32" s="33">
        <f t="shared" si="44"/>
        <v>25294000</v>
      </c>
      <c r="EF32" s="33">
        <f t="shared" si="44"/>
        <v>35493000</v>
      </c>
      <c r="EG32" s="33">
        <f t="shared" si="45"/>
        <v>-10199000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'[2]ACHIEVEMENT STORE'!A33</f>
        <v>29</v>
      </c>
      <c r="B33" s="32" t="str">
        <f>'[2]ACHIEVEMENT STORE'!B33</f>
        <v>624-万丹BANTEN</v>
      </c>
      <c r="C33" s="31">
        <f>'[2]ACHIEVEMENT STORE'!C33</f>
        <v>6240709</v>
      </c>
      <c r="D33" s="32" t="str">
        <f>'[2]ACHIEVEMENT STORE'!D33</f>
        <v>6240709-ITC BSD 1F49-50</v>
      </c>
      <c r="E33" s="32" t="str">
        <f>'[2]ACHIEVEMENT STORE'!E33</f>
        <v>ARIES FITRIYANTO</v>
      </c>
      <c r="F33" s="33">
        <f>IFERROR(INDEX('[2]SALES PERTYPE'!$D$10:$BA$52,MATCH($C33,'[2]SALES PERTYPE'!$B$10:$B$52,0),MATCH("Y05",'[2]SALES PERTYPE'!$D$8:$BA$8,0)),0)</f>
        <v>0</v>
      </c>
      <c r="G33" s="33">
        <f>IFERROR(INDEX('[2]Sales per type Agustus'!$D$10:$BA$51,MATCH($C33,'[2]Sales per type Agustus'!$B$10:$B$51,0),MATCH("Y05",'[2]Sales per type Agustus'!$D$8:$BA$8,0)),0)</f>
        <v>1</v>
      </c>
      <c r="H33" s="33">
        <f t="shared" si="0"/>
        <v>-1</v>
      </c>
      <c r="I33" s="33" cm="1">
        <f t="array" ref="I33">IFERROR(INDEX('[2]SALES PERTYPE'!$D$10:$BA$52,MATCH($C33,'[2]SALES PERTYPE'!$B$10:$B$52,0),MATCH("Y05",'[2]SALES PERTYPE'!$D$8:$BA$8,0)+1),0)</f>
        <v>0</v>
      </c>
      <c r="J33" s="33" cm="1">
        <f t="array" ref="J33">IFERROR(INDEX('[2]Sales per type Agustus'!$D$10:$BA$51,MATCH($C33,'[2]Sales per type Agustus'!$B$10:$B$51,0),MATCH("Y05",'[2]Sales per type Agustus'!$D$8:$BA$8,0)+1),0)</f>
        <v>2299000</v>
      </c>
      <c r="K33" s="33">
        <f t="shared" si="1"/>
        <v>-2299000</v>
      </c>
      <c r="L33" s="33">
        <f>IFERROR(INDEX('[2]SALES PERTYPE'!$D$10:$BA$52,MATCH($C33,'[2]SALES PERTYPE'!$B$10:$B$52,0),MATCH("Y11d",'[2]SALES PERTYPE'!$D$8:$BA$8,0)),0)</f>
        <v>0</v>
      </c>
      <c r="M33" s="33">
        <f>IFERROR(INDEX('[2]Sales per type Agustus'!$D$10:$BA$51,MATCH($C33,'[2]Sales per type Agustus'!$B$10:$B$51,0),MATCH("Y11d",'[2]Sales per type Agustus'!$D$8:$BA$8,0)),0)</f>
        <v>1</v>
      </c>
      <c r="N33" s="33">
        <f t="shared" si="2"/>
        <v>-1</v>
      </c>
      <c r="O33" s="33" cm="1">
        <f t="array" ref="O33">IFERROR(INDEX('[2]SALES PERTYPE'!$D$10:$BA$52,MATCH($C33,'[2]SALES PERTYPE'!$B$10:$B$52,0),MATCH("Y11d",'[2]SALES PERTYPE'!$D$8:$BA$8,0)+1),0)</f>
        <v>0</v>
      </c>
      <c r="P33" s="33" cm="1">
        <f t="array" ref="P33">IFERROR(INDEX('[2]Sales per type Agustus'!$D$10:$BA$51,MATCH($C33,'[2]Sales per type Agustus'!$B$10:$B$51,0),MATCH("Y11d",'[2]Sales per type Agustus'!$D$8:$BA$8,0)+1),0)</f>
        <v>2399000</v>
      </c>
      <c r="Q33" s="33">
        <f t="shared" si="3"/>
        <v>-2399000</v>
      </c>
      <c r="R33" s="33">
        <f>IFERROR(INDEX('[2]SALES PERTYPE'!$D$10:$BA$52,MATCH($C33,'[2]SALES PERTYPE'!$B$10:$B$52,0),MATCH("Watch GT 2",'[2]SALES PERTYPE'!$D$8:$BA$8,0)),0)</f>
        <v>0</v>
      </c>
      <c r="S33" s="33">
        <f>IFERROR(INDEX('[2]Sales per type Agustus'!$D$10:$BA$51,MATCH($C33,'[2]Sales per type Agustus'!$B$10:$B$51,0),MATCH("Watch GT 2",'[2]Sales per type Agustus'!$D$8:$BA$8,0)),0)</f>
        <v>0</v>
      </c>
      <c r="T33" s="33">
        <f t="shared" si="4"/>
        <v>0</v>
      </c>
      <c r="U33" s="33" cm="1">
        <f t="array" ref="U33">IFERROR(INDEX('[2]SALES PERTYPE'!$D$10:$BA$52,MATCH($C33,'[2]SALES PERTYPE'!$B$10:$B$52,0),MATCH("Watch GT 2",'[2]SALES PERTYPE'!$D$8:$BA$8,0)+1),0)</f>
        <v>0</v>
      </c>
      <c r="V33" s="33" cm="1">
        <f t="array" ref="V33">IFERROR(INDEX('[2]Sales per type Agustus'!$D$10:$BA$51,MATCH($C33,'[2]Sales per type Agustus'!$B$10:$B$51,0),MATCH("Watch GT 2",'[2]Sales per type Agustus'!$D$8:$BA$8,0)+1),0)</f>
        <v>0</v>
      </c>
      <c r="W33" s="33">
        <f t="shared" si="5"/>
        <v>0</v>
      </c>
      <c r="X33" s="33">
        <f>IFERROR(INDEX('[2]SALES PERTYPE'!$D$10:$BA$52,MATCH($C33,'[2]SALES PERTYPE'!$B$10:$B$52,0),MATCH("Y05e",'[2]SALES PERTYPE'!$D$8:$BA$8,0)),0)</f>
        <v>1</v>
      </c>
      <c r="Y33" s="33">
        <f>IFERROR(INDEX('[2]Sales per type Agustus'!$D$10:$BA$51,MATCH($C33,'[2]Sales per type Agustus'!$B$10:$B$51,0),MATCH("Y05e",'[2]Sales per type Agustus'!$D$8:$BA$8,0)),0)</f>
        <v>0</v>
      </c>
      <c r="Z33" s="33">
        <f t="shared" si="6"/>
        <v>1</v>
      </c>
      <c r="AA33" s="33" cm="1">
        <f t="array" ref="AA33">IFERROR(INDEX('[2]SALES PERTYPE'!$D$10:$BA$52,MATCH($C33,'[2]SALES PERTYPE'!$B$10:$B$52,0),MATCH("Y05e",'[2]SALES PERTYPE'!$D$8:$BA$8,0)+1),0)</f>
        <v>2099000</v>
      </c>
      <c r="AB33" s="33" cm="1">
        <f t="array" ref="AB33">IFERROR(INDEX('[2]Sales per type Agustus'!$D$10:$BA$51,MATCH($C33,'[2]Sales per type Agustus'!$B$10:$B$51,0),MATCH("Y05e",'[2]Sales per type Agustus'!$D$8:$BA$8,0)+1),0)</f>
        <v>0</v>
      </c>
      <c r="AC33" s="33">
        <f t="shared" si="7"/>
        <v>2099000</v>
      </c>
      <c r="AD33" s="33">
        <f>IFERROR(INDEX('[2]SALES PERTYPE'!$D$10:$BA$52,MATCH($C33,'[2]SALES PERTYPE'!$B$10:$B$52,0),MATCH("V70",'[2]SALES PERTYPE'!$D$8:$BA$8,0)),0)</f>
        <v>1</v>
      </c>
      <c r="AE33" s="33">
        <f>IFERROR(INDEX('[2]Sales per type Agustus'!$D$10:$BA$51,MATCH($C33,'[2]Sales per type Agustus'!$B$10:$B$51,0),MATCH("V70",'[2]Sales per type Agustus'!$D$8:$BA$8,0)),0)</f>
        <v>0</v>
      </c>
      <c r="AF33" s="33">
        <f t="shared" si="8"/>
        <v>1</v>
      </c>
      <c r="AG33" s="33" cm="1">
        <f t="array" ref="AG33">IFERROR(INDEX('[2]SALES PERTYPE'!$D$10:$BA$52,MATCH($C33,'[2]SALES PERTYPE'!$B$10:$B$52,0),MATCH("V70",'[2]SALES PERTYPE'!$D$8:$BA$8,0)+1),0)</f>
        <v>9999000</v>
      </c>
      <c r="AH33" s="33" cm="1">
        <f t="array" ref="AH33">IFERROR(INDEX('[2]Sales per type Agustus'!$D$10:$BA$51,MATCH($C33,'[2]Sales per type Agustus'!$B$10:$B$51,0),MATCH("V70",'[2]Sales per type Agustus'!$D$8:$BA$8,0)+1),0)</f>
        <v>0</v>
      </c>
      <c r="AI33" s="33">
        <f t="shared" si="9"/>
        <v>9999000</v>
      </c>
      <c r="AJ33" s="33">
        <f>IFERROR(INDEX('[2]SALES PERTYPE'!$D$10:$BA$52,MATCH($C33,'[2]SALES PERTYPE'!$B$10:$B$52,0),MATCH("Y31d Pro",'[2]SALES PERTYPE'!$D$8:$BA$8,0)),0)</f>
        <v>0</v>
      </c>
      <c r="AK33" s="33">
        <f>IFERROR(INDEX('[2]Sales per type Agustus'!$D$10:$BA$51,MATCH($C33,'[2]Sales per type Agustus'!$B$10:$B$51,0),MATCH("Y31d Pro",'[2]Sales per type Agustus'!$D$8:$BA$8,0)),0)</f>
        <v>2</v>
      </c>
      <c r="AL33" s="33">
        <f t="shared" si="10"/>
        <v>-2</v>
      </c>
      <c r="AM33" s="33" cm="1">
        <f t="array" ref="AM33">IFERROR(INDEX('[2]SALES PERTYPE'!$D$10:$BA$52,MATCH($C33,'[2]SALES PERTYPE'!$B$10:$B$52,0),MATCH("Y31d Pro",'[2]SALES PERTYPE'!$D$8:$BA$8,0)+1),0)</f>
        <v>0</v>
      </c>
      <c r="AN33" s="33" cm="1">
        <f t="array" ref="AN33">IFERROR(INDEX('[2]Sales per type Agustus'!$D$10:$BA$51,MATCH($C33,'[2]Sales per type Agustus'!$B$10:$B$51,0),MATCH("Y31d Pro",'[2]Sales per type Agustus'!$D$8:$BA$8,0)+1),0)</f>
        <v>8198000</v>
      </c>
      <c r="AO33" s="33">
        <f t="shared" si="11"/>
        <v>-8198000</v>
      </c>
      <c r="AP33" s="33" cm="1">
        <f t="array" ref="AP33">IFERROR(INDEX('[2]SALES PERTYPE'!$D$10:$BA$52,MATCH($C33,'[2]SALES PERTYPE'!$B$10:$B$52,0),$EI$3),0)</f>
        <v>0</v>
      </c>
      <c r="AQ33" s="33" cm="1">
        <f t="array" ref="AQ33">IFERROR(INDEX('[2]Sales per type Agustus'!$D$10:$BA$51,MATCH($C33,'[2]Sales per type Agustus'!$B$10:$B$51,0),$EI$2),0)</f>
        <v>0</v>
      </c>
      <c r="AR33" s="33">
        <f t="shared" si="12"/>
        <v>0</v>
      </c>
      <c r="AS33" s="33" cm="1">
        <f t="array" ref="AS33">IFERROR(INDEX('[2]SALES PERTYPE'!$D$10:$BA$52,MATCH($C33,'[2]SALES PERTYPE'!$B$10:$B$52,0),$EI$3+1),0)</f>
        <v>0</v>
      </c>
      <c r="AT33" s="33" cm="1">
        <f t="array" ref="AT33">IFERROR(INDEX('[2]Sales per type Agustus'!$D$10:$BA$51,MATCH($C33,'[2]Sales per type Agustus'!$B$10:$B$51,0),$EI$2+1),0)</f>
        <v>0</v>
      </c>
      <c r="AU33" s="33">
        <f t="shared" si="13"/>
        <v>0</v>
      </c>
      <c r="AV33" s="33">
        <f>IFERROR(INDEX('[2]SALES PERTYPE'!$D$10:$BA$52,MATCH($C33,'[2]SALES PERTYPE'!$B$10:$B$52,0),MATCH("Y31d ",'[2]SALES PERTYPE'!$D$8:$BA$8,0)),0)</f>
        <v>1</v>
      </c>
      <c r="AW33" s="33">
        <f>IFERROR(INDEX('[2]Sales per type Agustus'!$D$10:$BA$51,MATCH($C33,'[2]Sales per type Agustus'!$B$10:$B$51,0),MATCH("Y31d ",'[2]Sales per type Agustus'!$D$8:$BA$8,0)),0)</f>
        <v>0</v>
      </c>
      <c r="AX33" s="33">
        <f t="shared" si="14"/>
        <v>1</v>
      </c>
      <c r="AY33" s="33" cm="1">
        <f t="array" ref="AY33">IFERROR(INDEX('[2]SALES PERTYPE'!$D$10:$BA$52,MATCH($C33,'[2]SALES PERTYPE'!$B$10:$B$52,0),MATCH("Y31d ",'[2]SALES PERTYPE'!$D$8:$BA$8,0)+1),0)</f>
        <v>3599000</v>
      </c>
      <c r="AZ33" s="33" cm="1">
        <f t="array" ref="AZ33">IFERROR(INDEX('[2]Sales per type Agustus'!$D$10:$BA$51,MATCH($C33,'[2]Sales per type Agustus'!$B$10:$B$51,0),MATCH("Y31d ",'[2]Sales per type Agustus'!$D$8:$BA$8,0)+1),0)</f>
        <v>0</v>
      </c>
      <c r="BA33" s="33">
        <f t="shared" si="15"/>
        <v>3599000</v>
      </c>
      <c r="BB33" s="33">
        <f>IFERROR(INDEX('[2]SALES PERTYPE'!$D$10:$BA$52,MATCH($C33,'[2]SALES PERTYPE'!$B$10:$B$52,0),MATCH("V70 FE",'[2]SALES PERTYPE'!$D$8:$BA$8,0)),0)</f>
        <v>0</v>
      </c>
      <c r="BC33" s="33">
        <f>IFERROR(INDEX('[2]Sales per type Agustus'!$D$10:$BA$51,MATCH($C33,'[2]Sales per type Agustus'!$B$10:$B$51,0),MATCH("V70 FE",'[2]Sales per type Agustus'!$D$8:$BA$8,0)),0)</f>
        <v>1</v>
      </c>
      <c r="BD33" s="33">
        <f t="shared" si="16"/>
        <v>-1</v>
      </c>
      <c r="BE33" s="33" cm="1">
        <f t="array" ref="BE33">IFERROR(INDEX('[2]SALES PERTYPE'!$D$10:$BA$52,MATCH($C33,'[2]SALES PERTYPE'!$B$10:$B$52,0),MATCH("V70 FE",'[2]SALES PERTYPE'!$D$8:$BA$8,0)+1),0)</f>
        <v>0</v>
      </c>
      <c r="BF33" s="33" cm="1">
        <f t="array" ref="BF33">IFERROR(INDEX('[2]Sales per type Agustus'!$D$10:$BA$51,MATCH($C33,'[2]Sales per type Agustus'!$B$10:$B$51,0),MATCH("V70 FE",'[2]Sales per type Agustus'!$D$8:$BA$8,0)+1),0)</f>
        <v>6499000</v>
      </c>
      <c r="BG33" s="33">
        <f t="shared" si="17"/>
        <v>-6499000</v>
      </c>
      <c r="BH33" s="33">
        <f>IFERROR(INDEX('[2]SALES PERTYPE'!$D$10:$BA$52,MATCH($C33,'[2]SALES PERTYPE'!$B$10:$B$52,0),MATCH("Y31d",'[2]SALES PERTYPE'!$D$8:$BA$8,0)),0)</f>
        <v>0</v>
      </c>
      <c r="BI33" s="33">
        <f>IFERROR(INDEX('[2]Sales per type Agustus'!$D$10:$BA$51,MATCH($C33,'[2]Sales per type Agustus'!$B$10:$B$51,0),MATCH("Y31d",'[2]Sales per type Agustus'!$D$8:$BA$8,0)),0)</f>
        <v>0</v>
      </c>
      <c r="BJ33" s="33">
        <f t="shared" si="18"/>
        <v>0</v>
      </c>
      <c r="BK33" s="33" cm="1">
        <f t="array" ref="BK33">IFERROR(INDEX('[2]SALES PERTYPE'!$D$10:$BA$52,MATCH($C33,'[2]SALES PERTYPE'!$B$10:$B$52,0),MATCH("Y31d",'[2]SALES PERTYPE'!$D$8:$BA$8,0)+1),0)</f>
        <v>0</v>
      </c>
      <c r="BL33" s="33" cm="1">
        <f t="array" ref="BL33">IFERROR(INDEX('[2]Sales per type Agustus'!$D$10:$BA$51,MATCH($C33,'[2]Sales per type Agustus'!$B$10:$B$51,0),MATCH("Y31d",'[2]Sales per type Agustus'!$D$8:$BA$8,0)+1),0)</f>
        <v>0</v>
      </c>
      <c r="BM33" s="33">
        <f t="shared" si="19"/>
        <v>0</v>
      </c>
      <c r="BN33" s="33">
        <f>IFERROR(INDEX('[2]SALES PERTYPE'!$D$10:$BA$52,MATCH($C33,'[2]SALES PERTYPE'!$B$10:$B$52,0),MATCH("Y500",'[2]SALES PERTYPE'!$D$8:$BA$8,0)),0)</f>
        <v>0</v>
      </c>
      <c r="BO33" s="33">
        <f>IFERROR(INDEX('[2]Sales per type Agustus'!$D$10:$BA$51,MATCH($C33,'[2]Sales per type Agustus'!$B$10:$B$51,0),MATCH("Y500",'[2]Sales per type Agustus'!$D$8:$BA$8,0)),0)</f>
        <v>1</v>
      </c>
      <c r="BP33" s="33">
        <f t="shared" si="20"/>
        <v>-1</v>
      </c>
      <c r="BQ33" s="33" cm="1">
        <f t="array" ref="BQ33">IFERROR(INDEX('[2]SALES PERTYPE'!$D$10:$BA$52,MATCH($C33,'[2]SALES PERTYPE'!$B$10:$B$52,0),MATCH("Y500",'[2]SALES PERTYPE'!$D$8:$BA$8,0)+1),0)</f>
        <v>0</v>
      </c>
      <c r="BR33" s="33" cm="1">
        <f t="array" ref="BR33">IFERROR(INDEX('[2]Sales per type Agustus'!$D$10:$BA$51,MATCH($C33,'[2]Sales per type Agustus'!$B$10:$B$51,0),MATCH("Y500",'[2]Sales per type Agustus'!$D$8:$BA$8,0)+1),0)</f>
        <v>5499000</v>
      </c>
      <c r="BS33" s="33">
        <f t="shared" si="21"/>
        <v>-5499000</v>
      </c>
      <c r="BT33" s="33">
        <f>IFERROR(INDEX('[2]SALES PERTYPE'!$D$10:$BA$52,MATCH($C33,'[2]SALES PERTYPE'!$B$10:$B$52,0),MATCH("IQOO 15R",'[2]SALES PERTYPE'!$D$8:$BA$8,0)),0)</f>
        <v>0</v>
      </c>
      <c r="BU33" s="33">
        <f>IFERROR(INDEX('[2]Sales per type Agustus'!$D$10:$BA$51,MATCH($C33,'[2]Sales per type Agustus'!$B$10:$B$51,0),MATCH("IQOO 15R",'[2]Sales per type Agustus'!$D$8:$BA$8,0)),0)</f>
        <v>0</v>
      </c>
      <c r="BV33" s="33">
        <f t="shared" si="22"/>
        <v>0</v>
      </c>
      <c r="BW33" s="33" cm="1">
        <f t="array" ref="BW33">IFERROR(INDEX('[2]SALES PERTYPE'!$D$10:$BA$52,MATCH($C33,'[2]SALES PERTYPE'!$B$10:$B$52,0),MATCH("IQOO 15R",'[2]SALES PERTYPE'!$D$8:$BA$8,0)+1),0)</f>
        <v>0</v>
      </c>
      <c r="BX33" s="33" cm="1">
        <f t="array" ref="BX33">IFERROR(INDEX('[2]Sales per type Agustus'!$D$10:$BA$51,MATCH($C33,'[2]Sales per type Agustus'!$B$10:$B$51,0),MATCH("IQOO 15R",'[2]Sales per type Agustus'!$D$8:$BA$8,0)+1),0)</f>
        <v>0</v>
      </c>
      <c r="BY33" s="33">
        <f t="shared" si="23"/>
        <v>0</v>
      </c>
      <c r="BZ33" s="33">
        <f>IFERROR(INDEX('[2]SALES PERTYPE'!$D$10:$BA$52,MATCH($C33,'[2]SALES PERTYPE'!$B$10:$B$52,0),MATCH("V60 Lite",'[2]SALES PERTYPE'!$D$8:$BA$8,0)),0)</f>
        <v>0</v>
      </c>
      <c r="CA33" s="33">
        <f>IFERROR(INDEX('[2]Sales per type Agustus'!$D$10:$BA$51,MATCH($C33,'[2]Sales per type Agustus'!$B$10:$B$51,0),MATCH("V60 Lite",'[2]Sales per type Agustus'!$D$8:$BA$8,0)),0)</f>
        <v>0</v>
      </c>
      <c r="CB33" s="33">
        <f t="shared" si="24"/>
        <v>0</v>
      </c>
      <c r="CC33" s="33" cm="1">
        <f t="array" ref="CC33">IFERROR(INDEX('[2]SALES PERTYPE'!$D$10:$BA$52,MATCH($C33,'[2]SALES PERTYPE'!$B$10:$B$52,0),MATCH("V60 Lite",'[2]SALES PERTYPE'!$D$8:$BA$8,0)+1),0)</f>
        <v>0</v>
      </c>
      <c r="CD33" s="33" cm="1">
        <f t="array" ref="CD33">IFERROR(INDEX('[2]Sales per type Agustus'!$D$10:$BA$51,MATCH($C33,'[2]Sales per type Agustus'!$B$10:$B$51,0),MATCH("V60 Lite",'[2]Sales per type Agustus'!$D$8:$BA$8,0)+1),0)</f>
        <v>0</v>
      </c>
      <c r="CE33" s="33">
        <f t="shared" si="25"/>
        <v>0</v>
      </c>
      <c r="CF33" s="33">
        <f>IFERROR(INDEX('[2]SALES PERTYPE'!$D$10:$BA$52,MATCH($C33,'[2]SALES PERTYPE'!$B$10:$B$52,0),MATCH("X300 Ultra",'[2]SALES PERTYPE'!$D$8:$BA$8,0)),0)</f>
        <v>0</v>
      </c>
      <c r="CG33" s="33">
        <f>IFERROR(INDEX('[2]Sales per type Agustus'!$D$10:$BA$51,MATCH($C33,'[2]Sales per type Agustus'!$B$10:$B$51,0),MATCH("X300 Ultra",'[2]Sales per type Agustus'!$D$8:$BA$8,0)),0)</f>
        <v>0</v>
      </c>
      <c r="CH33" s="33">
        <f t="shared" si="26"/>
        <v>0</v>
      </c>
      <c r="CI33" s="33" cm="1">
        <f t="array" ref="CI33">IFERROR(INDEX('[2]SALES PERTYPE'!$D$10:$BA$52,MATCH($C33,'[2]SALES PERTYPE'!$B$10:$B$52,0),MATCH("X300 Ultra",'[2]SALES PERTYPE'!$D$8:$BA$8,0)+1),0)</f>
        <v>0</v>
      </c>
      <c r="CJ33" s="33" cm="1">
        <f t="array" ref="CJ33">IFERROR(INDEX('[2]Sales per type Agustus'!$D$10:$BA$51,MATCH($C33,'[2]Sales per type Agustus'!$B$10:$B$51,0),MATCH("X300 Ultra",'[2]Sales per type Agustus'!$D$8:$BA$8,0)+1),0)</f>
        <v>0</v>
      </c>
      <c r="CK33" s="33">
        <f t="shared" si="27"/>
        <v>0</v>
      </c>
      <c r="CL33" s="33">
        <f>IFERROR(INDEX('[2]SALES PERTYPE'!$D$10:$BA$52,MATCH($C33,'[2]SALES PERTYPE'!$B$10:$B$52,0),MATCH("IQOO 15",'[2]SALES PERTYPE'!$D$8:$BA$8,0)),0)</f>
        <v>0</v>
      </c>
      <c r="CM33" s="33">
        <f>IFERROR(INDEX('[2]Sales per type Agustus'!$D$10:$BA$51,MATCH($C33,'[2]Sales per type Agustus'!$B$10:$B$51,0),MATCH("IQOO 15",'[2]Sales per type Agustus'!$D$8:$BA$8,0)),0)</f>
        <v>0</v>
      </c>
      <c r="CN33" s="33">
        <f t="shared" si="28"/>
        <v>0</v>
      </c>
      <c r="CO33" s="33" cm="1">
        <f t="array" ref="CO33">IFERROR(INDEX('[2]SALES PERTYPE'!$D$10:$BA$52,MATCH($C33,'[2]SALES PERTYPE'!$B$10:$B$52,0),MATCH("IQOO 15",'[2]SALES PERTYPE'!$D$8:$BA$8,0)+1),0)</f>
        <v>0</v>
      </c>
      <c r="CP33" s="33" cm="1">
        <f t="array" ref="CP33">IFERROR(INDEX('[2]Sales per type Agustus'!$D$10:$BA$51,MATCH($C33,'[2]Sales per type Agustus'!$B$10:$B$51,0),MATCH("IQOO 15",'[2]Sales per type Agustus'!$D$8:$BA$8,0)+1),0)</f>
        <v>0</v>
      </c>
      <c r="CQ33" s="33">
        <f t="shared" si="29"/>
        <v>0</v>
      </c>
      <c r="CR33" s="33">
        <f>IFERROR(INDEX('[2]SALES PERTYPE'!$D$10:$BA$52,MATCH($C33,'[2]SALES PERTYPE'!$B$10:$B$52,0),MATCH("IQOO Z11x",'[2]SALES PERTYPE'!$D$8:$BA$8,0)),0)</f>
        <v>0</v>
      </c>
      <c r="CS33" s="33">
        <f>IFERROR(INDEX('[2]Sales per type Agustus'!$D$10:$BA$51,MATCH($C33,'[2]Sales per type Agustus'!$B$10:$B$51,0),MATCH("IQOO Z11x",'[2]Sales per type Agustus'!$D$8:$BA$8,0)),0)</f>
        <v>0</v>
      </c>
      <c r="CT33" s="33">
        <f t="shared" si="30"/>
        <v>0</v>
      </c>
      <c r="CU33" s="33" cm="1">
        <f t="array" ref="CU33">IFERROR(INDEX('[2]SALES PERTYPE'!$D$10:$BA$52,MATCH($C33,'[2]SALES PERTYPE'!$B$10:$B$52,0),MATCH("IQOO Z11x",'[2]SALES PERTYPE'!$D$8:$BA$8,0)+1),0)</f>
        <v>0</v>
      </c>
      <c r="CV33" s="33" cm="1">
        <f t="array" ref="CV33">IFERROR(INDEX('[2]Sales per type Agustus'!$D$10:$BA$51,MATCH($C33,'[2]Sales per type Agustus'!$B$10:$B$51,0),MATCH("IQOO Z11x",'[2]Sales per type Agustus'!$D$8:$BA$8,0)+1),0)</f>
        <v>0</v>
      </c>
      <c r="CW33" s="33">
        <f t="shared" si="31"/>
        <v>0</v>
      </c>
      <c r="CX33" s="33">
        <f>IFERROR(INDEX('[2]SALES PERTYPE'!$D$10:$BA$52,MATCH($C33,'[2]SALES PERTYPE'!$B$10:$B$52,0),MATCH("IQOO Z11",'[2]SALES PERTYPE'!$D$8:$BA$8,0)),0)</f>
        <v>0</v>
      </c>
      <c r="CY33" s="33">
        <f>IFERROR(INDEX('[2]Sales per type Agustus'!$D$10:$BA$51,MATCH($C33,'[2]Sales per type Agustus'!$B$10:$B$51,0),MATCH("IQOO Z11",'[2]Sales per type Agustus'!$D$8:$BA$8,0)),0)</f>
        <v>0</v>
      </c>
      <c r="CZ33" s="33">
        <f t="shared" si="32"/>
        <v>0</v>
      </c>
      <c r="DA33" s="33" cm="1">
        <f t="array" ref="DA33">IFERROR(INDEX('[2]SALES PERTYPE'!$D$10:$BA$52,MATCH($C33,'[2]SALES PERTYPE'!$B$10:$B$52,0),MATCH("IQOO Z11",'[2]SALES PERTYPE'!$D$8:$BA$8,0)+1),0)</f>
        <v>0</v>
      </c>
      <c r="DB33" s="33" cm="1">
        <f t="array" ref="DB33">IFERROR(INDEX('[2]Sales per type Agustus'!$D$10:$BA$51,MATCH($C33,'[2]Sales per type Agustus'!$B$10:$B$51,0),MATCH("IQOO Z11",'[2]Sales per type Agustus'!$D$8:$BA$8,0)+1),0)</f>
        <v>0</v>
      </c>
      <c r="DC33" s="33">
        <f t="shared" si="33"/>
        <v>0</v>
      </c>
      <c r="DD33" s="33">
        <f>IFERROR(INDEX('[2]SALES PERTYPE'!$D$10:$BA$52,MATCH($C33,'[2]SALES PERTYPE'!$B$10:$B$52,0),MATCH("WATCH 3",'[2]SALES PERTYPE'!$D$8:$BA$8,0)),0)</f>
        <v>0</v>
      </c>
      <c r="DE33" s="33">
        <f>IFERROR(INDEX('[2]Sales per type Agustus'!$D$10:$BA$51,MATCH($C33,'[2]Sales per type Agustus'!$B$10:$B$51,0),MATCH("WATCH 3",'[2]Sales per type Agustus'!$D$8:$BA$8,0)),0)</f>
        <v>0</v>
      </c>
      <c r="DF33" s="33">
        <f t="shared" si="34"/>
        <v>0</v>
      </c>
      <c r="DG33" s="33" cm="1">
        <f t="array" ref="DG33">IFERROR(INDEX('[2]SALES PERTYPE'!$D$10:$BA$52,MATCH($C33,'[2]SALES PERTYPE'!$B$10:$B$52,0),MATCH("WATCH 3",'[2]SALES PERTYPE'!$D$8:$BA$8,0)+1),0)</f>
        <v>0</v>
      </c>
      <c r="DH33" s="33" cm="1">
        <f t="array" ref="DH33">IFERROR(INDEX('[2]Sales per type Agustus'!$D$10:$BA$51,MATCH($C33,'[2]Sales per type Agustus'!$B$10:$B$51,0),MATCH("WATCH 3",'[2]Sales per type Agustus'!$D$8:$BA$8,0)+1),0)</f>
        <v>0</v>
      </c>
      <c r="DI33" s="33">
        <f t="shared" si="35"/>
        <v>0</v>
      </c>
      <c r="DJ33" s="33">
        <f>IFERROR(INDEX('[2]SALES PERTYPE'!$D$10:$BA$52,MATCH($C33,'[2]SALES PERTYPE'!$B$10:$B$52,0),MATCH("X Fold5",'[2]SALES PERTYPE'!$D$8:$BA$8,0)),0)</f>
        <v>0</v>
      </c>
      <c r="DK33" s="33">
        <f>IFERROR(INDEX('[2]Sales per type Agustus'!$D$10:$BA$51,MATCH($C33,'[2]Sales per type Agustus'!$B$10:$B$51,0),MATCH("X Fold5",'[2]Sales per type Agustus'!$D$8:$BA$8,0)),0)</f>
        <v>0</v>
      </c>
      <c r="DL33" s="33">
        <f t="shared" si="36"/>
        <v>0</v>
      </c>
      <c r="DM33" s="33" cm="1">
        <f t="array" ref="DM33">IFERROR(INDEX('[2]SALES PERTYPE'!$D$10:$BA$52,MATCH($C33,'[2]SALES PERTYPE'!$B$10:$B$52,0),MATCH("X Fold5",'[2]SALES PERTYPE'!$D$8:$BA$8,0)+1),0)</f>
        <v>0</v>
      </c>
      <c r="DN33" s="33" cm="1">
        <f t="array" ref="DN33">IFERROR(INDEX('[2]Sales per type Agustus'!$D$10:$BA$51,MATCH($C33,'[2]Sales per type Agustus'!$B$10:$B$51,0),MATCH("X Fold5",'[2]Sales per type Agustus'!$D$8:$BA$8,0)+1),0)</f>
        <v>0</v>
      </c>
      <c r="DO33" s="33">
        <f t="shared" si="37"/>
        <v>0</v>
      </c>
      <c r="DP33" s="33">
        <f>IFERROR(INDEX('[2]SALES PERTYPE'!$D$10:$BA$52,MATCH($C33,'[2]SALES PERTYPE'!$B$10:$B$52,0),MATCH("X300 PRO",'[2]SALES PERTYPE'!$D$8:$BA$8,0)),0)</f>
        <v>0</v>
      </c>
      <c r="DQ33" s="33">
        <f>IFERROR(INDEX('[2]Sales per type Agustus'!$D$10:$BA$51,MATCH($C33,'[2]Sales per type Agustus'!$B$10:$B$51,0),MATCH("X300 PRO",'[2]Sales per type Agustus'!$D$8:$BA$8,0)),0)</f>
        <v>0</v>
      </c>
      <c r="DR33" s="33">
        <f t="shared" si="38"/>
        <v>0</v>
      </c>
      <c r="DS33" s="33" cm="1">
        <f t="array" ref="DS33">IFERROR(INDEX('[2]SALES PERTYPE'!$D$10:$BA$52,MATCH($C33,'[2]SALES PERTYPE'!$B$10:$B$52,0),MATCH("X300 PRO",'[2]SALES PERTYPE'!$D$8:$BA$8,0)+1),0)</f>
        <v>0</v>
      </c>
      <c r="DT33" s="33" cm="1">
        <f t="array" ref="DT33">IFERROR(INDEX('[2]Sales per type Agustus'!$D$10:$BA$51,MATCH($C33,'[2]Sales per type Agustus'!$B$10:$B$51,0),MATCH("X300 PRO",'[2]Sales per type Agustus'!$D$8:$BA$8,0)+1),0)</f>
        <v>0</v>
      </c>
      <c r="DU33" s="33">
        <f t="shared" si="39"/>
        <v>0</v>
      </c>
      <c r="DV33" s="33">
        <f>IFERROR(INDEX('[2]SALES PERTYPE'!$D$10:$BA$52,MATCH($C33,'[2]SALES PERTYPE'!$B$10:$B$52,0),MATCH("X300",'[2]SALES PERTYPE'!$D$8:$BA$8,0)),0)</f>
        <v>0</v>
      </c>
      <c r="DW33" s="33">
        <f>IFERROR(INDEX('[2]Sales per type Agustus'!$D$10:$BA$51,MATCH($C33,'[2]Sales per type Agustus'!$B$10:$B$51,0),MATCH("X300 ",'[2]Sales per type Agustus'!$D$8:$BA$8,0)),0)</f>
        <v>0</v>
      </c>
      <c r="DX33" s="33">
        <f t="shared" si="40"/>
        <v>0</v>
      </c>
      <c r="DY33" s="33" cm="1">
        <f t="array" ref="DY33">IFERROR(INDEX('[2]SALES PERTYPE'!$D$10:$BA$52,MATCH($C33,'[2]SALES PERTYPE'!$B$10:$B$52,0),MATCH("X300",'[2]SALES PERTYPE'!$D$8:$BA$8,0)+1),0)</f>
        <v>0</v>
      </c>
      <c r="DZ33" s="33" cm="1">
        <f t="array" ref="DZ33">IFERROR(INDEX('[2]Sales per type Agustus'!$D$10:$BA$51,MATCH($C33,'[2]Sales per type Agustus'!$B$10:$B$51,0),MATCH("X300 ",'[2]Sales per type Agustus'!$D$8:$BA$8,0)+1),0)</f>
        <v>0</v>
      </c>
      <c r="EA33" s="33">
        <f t="shared" si="41"/>
        <v>0</v>
      </c>
      <c r="EB33" s="33">
        <f t="shared" si="42"/>
        <v>3</v>
      </c>
      <c r="EC33" s="33">
        <f t="shared" si="42"/>
        <v>6</v>
      </c>
      <c r="ED33" s="33">
        <f t="shared" si="43"/>
        <v>-3</v>
      </c>
      <c r="EE33" s="33">
        <f t="shared" si="44"/>
        <v>15697000</v>
      </c>
      <c r="EF33" s="33">
        <f t="shared" si="44"/>
        <v>24894000</v>
      </c>
      <c r="EG33" s="33">
        <f t="shared" si="45"/>
        <v>-9197000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5">
        <f>'[2]ACHIEVEMENT STORE'!A34</f>
        <v>30</v>
      </c>
      <c r="B34" s="216" t="str">
        <f>'[2]ACHIEVEMENT STORE'!B34</f>
        <v>624-万丹BANTEN</v>
      </c>
      <c r="C34" s="215">
        <f>'[2]ACHIEVEMENT STORE'!C34</f>
        <v>6240708</v>
      </c>
      <c r="D34" s="216" t="str">
        <f>'[2]ACHIEVEMENT STORE'!D34</f>
        <v>6240708-ITC BSD 1F09-14</v>
      </c>
      <c r="E34" s="216" t="str">
        <f>'[2]ACHIEVEMENT STORE'!E34</f>
        <v>ARIES FITRIYANTO</v>
      </c>
      <c r="F34" s="33">
        <f>IFERROR(INDEX('[2]SALES PERTYPE'!$D$10:$BA$52,MATCH($C34,'[2]SALES PERTYPE'!$B$10:$B$52,0),MATCH("Y05",'[2]SALES PERTYPE'!$D$8:$BA$8,0)),0)</f>
        <v>3</v>
      </c>
      <c r="G34" s="33">
        <f>IFERROR(INDEX('[2]Sales per type Agustus'!$D$10:$BA$51,MATCH($C34,'[2]Sales per type Agustus'!$B$10:$B$51,0),MATCH("Y05",'[2]Sales per type Agustus'!$D$8:$BA$8,0)),0)</f>
        <v>0</v>
      </c>
      <c r="H34" s="33">
        <f t="shared" si="0"/>
        <v>3</v>
      </c>
      <c r="I34" s="33" cm="1">
        <f t="array" ref="I34">IFERROR(INDEX('[2]SALES PERTYPE'!$D$10:$BA$52,MATCH($C34,'[2]SALES PERTYPE'!$B$10:$B$52,0),MATCH("Y05",'[2]SALES PERTYPE'!$D$8:$BA$8,0)+1),0)</f>
        <v>6897000</v>
      </c>
      <c r="J34" s="33" cm="1">
        <f t="array" ref="J34">IFERROR(INDEX('[2]Sales per type Agustus'!$D$10:$BA$51,MATCH($C34,'[2]Sales per type Agustus'!$B$10:$B$51,0),MATCH("Y05",'[2]Sales per type Agustus'!$D$8:$BA$8,0)+1),0)</f>
        <v>0</v>
      </c>
      <c r="K34" s="33">
        <f t="shared" si="1"/>
        <v>6897000</v>
      </c>
      <c r="L34" s="33">
        <f>IFERROR(INDEX('[2]SALES PERTYPE'!$D$10:$BA$52,MATCH($C34,'[2]SALES PERTYPE'!$B$10:$B$52,0),MATCH("Y11d",'[2]SALES PERTYPE'!$D$8:$BA$8,0)),0)</f>
        <v>1</v>
      </c>
      <c r="M34" s="33">
        <f>IFERROR(INDEX('[2]Sales per type Agustus'!$D$10:$BA$51,MATCH($C34,'[2]Sales per type Agustus'!$B$10:$B$51,0),MATCH("Y11d",'[2]Sales per type Agustus'!$D$8:$BA$8,0)),0)</f>
        <v>2</v>
      </c>
      <c r="N34" s="33">
        <f t="shared" si="2"/>
        <v>-1</v>
      </c>
      <c r="O34" s="33" cm="1">
        <f t="array" ref="O34">IFERROR(INDEX('[2]SALES PERTYPE'!$D$10:$BA$52,MATCH($C34,'[2]SALES PERTYPE'!$B$10:$B$52,0),MATCH("Y11d",'[2]SALES PERTYPE'!$D$8:$BA$8,0)+1),0)</f>
        <v>2799000</v>
      </c>
      <c r="P34" s="33" cm="1">
        <f t="array" ref="P34">IFERROR(INDEX('[2]Sales per type Agustus'!$D$10:$BA$51,MATCH($C34,'[2]Sales per type Agustus'!$B$10:$B$51,0),MATCH("Y11d",'[2]Sales per type Agustus'!$D$8:$BA$8,0)+1),0)</f>
        <v>5598000</v>
      </c>
      <c r="Q34" s="33">
        <f t="shared" si="3"/>
        <v>-2799000</v>
      </c>
      <c r="R34" s="33">
        <f>IFERROR(INDEX('[2]SALES PERTYPE'!$D$10:$BA$52,MATCH($C34,'[2]SALES PERTYPE'!$B$10:$B$52,0),MATCH("Watch GT 2",'[2]SALES PERTYPE'!$D$8:$BA$8,0)),0)</f>
        <v>0</v>
      </c>
      <c r="S34" s="33">
        <f>IFERROR(INDEX('[2]Sales per type Agustus'!$D$10:$BA$51,MATCH($C34,'[2]Sales per type Agustus'!$B$10:$B$51,0),MATCH("Watch GT 2",'[2]Sales per type Agustus'!$D$8:$BA$8,0)),0)</f>
        <v>0</v>
      </c>
      <c r="T34" s="33">
        <f t="shared" si="4"/>
        <v>0</v>
      </c>
      <c r="U34" s="33" cm="1">
        <f t="array" ref="U34">IFERROR(INDEX('[2]SALES PERTYPE'!$D$10:$BA$52,MATCH($C34,'[2]SALES PERTYPE'!$B$10:$B$52,0),MATCH("Watch GT 2",'[2]SALES PERTYPE'!$D$8:$BA$8,0)+1),0)</f>
        <v>0</v>
      </c>
      <c r="V34" s="33" cm="1">
        <f t="array" ref="V34">IFERROR(INDEX('[2]Sales per type Agustus'!$D$10:$BA$51,MATCH($C34,'[2]Sales per type Agustus'!$B$10:$B$51,0),MATCH("Watch GT 2",'[2]Sales per type Agustus'!$D$8:$BA$8,0)+1),0)</f>
        <v>0</v>
      </c>
      <c r="W34" s="33">
        <f t="shared" si="5"/>
        <v>0</v>
      </c>
      <c r="X34" s="33">
        <f>IFERROR(INDEX('[2]SALES PERTYPE'!$D$10:$BA$52,MATCH($C34,'[2]SALES PERTYPE'!$B$10:$B$52,0),MATCH("Y05e",'[2]SALES PERTYPE'!$D$8:$BA$8,0)),0)</f>
        <v>0</v>
      </c>
      <c r="Y34" s="33">
        <f>IFERROR(INDEX('[2]Sales per type Agustus'!$D$10:$BA$51,MATCH($C34,'[2]Sales per type Agustus'!$B$10:$B$51,0),MATCH("Y05e",'[2]Sales per type Agustus'!$D$8:$BA$8,0)),0)</f>
        <v>1</v>
      </c>
      <c r="Z34" s="33">
        <f t="shared" si="6"/>
        <v>-1</v>
      </c>
      <c r="AA34" s="33" cm="1">
        <f t="array" ref="AA34">IFERROR(INDEX('[2]SALES PERTYPE'!$D$10:$BA$52,MATCH($C34,'[2]SALES PERTYPE'!$B$10:$B$52,0),MATCH("Y05e",'[2]SALES PERTYPE'!$D$8:$BA$8,0)+1),0)</f>
        <v>0</v>
      </c>
      <c r="AB34" s="33" cm="1">
        <f t="array" ref="AB34">IFERROR(INDEX('[2]Sales per type Agustus'!$D$10:$BA$51,MATCH($C34,'[2]Sales per type Agustus'!$B$10:$B$51,0),MATCH("Y05e",'[2]Sales per type Agustus'!$D$8:$BA$8,0)+1),0)</f>
        <v>2099000</v>
      </c>
      <c r="AC34" s="33">
        <f t="shared" si="7"/>
        <v>-2099000</v>
      </c>
      <c r="AD34" s="33">
        <f>IFERROR(INDEX('[2]SALES PERTYPE'!$D$10:$BA$52,MATCH($C34,'[2]SALES PERTYPE'!$B$10:$B$52,0),MATCH("V70",'[2]SALES PERTYPE'!$D$8:$BA$8,0)),0)</f>
        <v>0</v>
      </c>
      <c r="AE34" s="33">
        <f>IFERROR(INDEX('[2]Sales per type Agustus'!$D$10:$BA$51,MATCH($C34,'[2]Sales per type Agustus'!$B$10:$B$51,0),MATCH("V70",'[2]Sales per type Agustus'!$D$8:$BA$8,0)),0)</f>
        <v>0</v>
      </c>
      <c r="AF34" s="33">
        <f t="shared" si="8"/>
        <v>0</v>
      </c>
      <c r="AG34" s="33" cm="1">
        <f t="array" ref="AG34">IFERROR(INDEX('[2]SALES PERTYPE'!$D$10:$BA$52,MATCH($C34,'[2]SALES PERTYPE'!$B$10:$B$52,0),MATCH("V70",'[2]SALES PERTYPE'!$D$8:$BA$8,0)+1),0)</f>
        <v>0</v>
      </c>
      <c r="AH34" s="33" cm="1">
        <f t="array" ref="AH34">IFERROR(INDEX('[2]Sales per type Agustus'!$D$10:$BA$51,MATCH($C34,'[2]Sales per type Agustus'!$B$10:$B$51,0),MATCH("V70",'[2]Sales per type Agustus'!$D$8:$BA$8,0)+1),0)</f>
        <v>0</v>
      </c>
      <c r="AI34" s="33">
        <f t="shared" si="9"/>
        <v>0</v>
      </c>
      <c r="AJ34" s="33">
        <f>IFERROR(INDEX('[2]SALES PERTYPE'!$D$10:$BA$52,MATCH($C34,'[2]SALES PERTYPE'!$B$10:$B$52,0),MATCH("Y31d Pro",'[2]SALES PERTYPE'!$D$8:$BA$8,0)),0)</f>
        <v>0</v>
      </c>
      <c r="AK34" s="33">
        <f>IFERROR(INDEX('[2]Sales per type Agustus'!$D$10:$BA$51,MATCH($C34,'[2]Sales per type Agustus'!$B$10:$B$51,0),MATCH("Y31d Pro",'[2]Sales per type Agustus'!$D$8:$BA$8,0)),0)</f>
        <v>1</v>
      </c>
      <c r="AL34" s="33">
        <f t="shared" si="10"/>
        <v>-1</v>
      </c>
      <c r="AM34" s="33" cm="1">
        <f t="array" ref="AM34">IFERROR(INDEX('[2]SALES PERTYPE'!$D$10:$BA$52,MATCH($C34,'[2]SALES PERTYPE'!$B$10:$B$52,0),MATCH("Y31d Pro",'[2]SALES PERTYPE'!$D$8:$BA$8,0)+1),0)</f>
        <v>0</v>
      </c>
      <c r="AN34" s="33" cm="1">
        <f t="array" ref="AN34">IFERROR(INDEX('[2]Sales per type Agustus'!$D$10:$BA$51,MATCH($C34,'[2]Sales per type Agustus'!$B$10:$B$51,0),MATCH("Y31d Pro",'[2]Sales per type Agustus'!$D$8:$BA$8,0)+1),0)</f>
        <v>3899000</v>
      </c>
      <c r="AO34" s="33">
        <f t="shared" si="11"/>
        <v>-3899000</v>
      </c>
      <c r="AP34" s="33" cm="1">
        <f t="array" ref="AP34">IFERROR(INDEX('[2]SALES PERTYPE'!$D$10:$BA$52,MATCH($C34,'[2]SALES PERTYPE'!$B$10:$B$52,0),$EI$3),0)</f>
        <v>0</v>
      </c>
      <c r="AQ34" s="33" cm="1">
        <f t="array" ref="AQ34">IFERROR(INDEX('[2]Sales per type Agustus'!$D$10:$BA$51,MATCH($C34,'[2]Sales per type Agustus'!$B$10:$B$51,0),$EI$2),0)</f>
        <v>0</v>
      </c>
      <c r="AR34" s="33">
        <f t="shared" si="12"/>
        <v>0</v>
      </c>
      <c r="AS34" s="33" cm="1">
        <f t="array" ref="AS34">IFERROR(INDEX('[2]SALES PERTYPE'!$D$10:$BA$52,MATCH($C34,'[2]SALES PERTYPE'!$B$10:$B$52,0),$EI$3+1),0)</f>
        <v>0</v>
      </c>
      <c r="AT34" s="33" cm="1">
        <f t="array" ref="AT34">IFERROR(INDEX('[2]Sales per type Agustus'!$D$10:$BA$51,MATCH($C34,'[2]Sales per type Agustus'!$B$10:$B$51,0),$EI$2+1),0)</f>
        <v>0</v>
      </c>
      <c r="AU34" s="33">
        <f t="shared" si="13"/>
        <v>0</v>
      </c>
      <c r="AV34" s="33">
        <f>IFERROR(INDEX('[2]SALES PERTYPE'!$D$10:$BA$52,MATCH($C34,'[2]SALES PERTYPE'!$B$10:$B$52,0),MATCH("Y31d ",'[2]SALES PERTYPE'!$D$8:$BA$8,0)),0)</f>
        <v>0</v>
      </c>
      <c r="AW34" s="33">
        <f>IFERROR(INDEX('[2]Sales per type Agustus'!$D$10:$BA$51,MATCH($C34,'[2]Sales per type Agustus'!$B$10:$B$51,0),MATCH("Y31d ",'[2]Sales per type Agustus'!$D$8:$BA$8,0)),0)</f>
        <v>0</v>
      </c>
      <c r="AX34" s="33">
        <f t="shared" si="14"/>
        <v>0</v>
      </c>
      <c r="AY34" s="33" cm="1">
        <f t="array" ref="AY34">IFERROR(INDEX('[2]SALES PERTYPE'!$D$10:$BA$52,MATCH($C34,'[2]SALES PERTYPE'!$B$10:$B$52,0),MATCH("Y31d ",'[2]SALES PERTYPE'!$D$8:$BA$8,0)+1),0)</f>
        <v>0</v>
      </c>
      <c r="AZ34" s="33" cm="1">
        <f t="array" ref="AZ34">IFERROR(INDEX('[2]Sales per type Agustus'!$D$10:$BA$51,MATCH($C34,'[2]Sales per type Agustus'!$B$10:$B$51,0),MATCH("Y31d ",'[2]Sales per type Agustus'!$D$8:$BA$8,0)+1),0)</f>
        <v>0</v>
      </c>
      <c r="BA34" s="33">
        <f t="shared" si="15"/>
        <v>0</v>
      </c>
      <c r="BB34" s="33">
        <f>IFERROR(INDEX('[2]SALES PERTYPE'!$D$10:$BA$52,MATCH($C34,'[2]SALES PERTYPE'!$B$10:$B$52,0),MATCH("V70 FE",'[2]SALES PERTYPE'!$D$8:$BA$8,0)),0)</f>
        <v>0</v>
      </c>
      <c r="BC34" s="33">
        <f>IFERROR(INDEX('[2]Sales per type Agustus'!$D$10:$BA$51,MATCH($C34,'[2]Sales per type Agustus'!$B$10:$B$51,0),MATCH("V70 FE",'[2]Sales per type Agustus'!$D$8:$BA$8,0)),0)</f>
        <v>1</v>
      </c>
      <c r="BD34" s="33">
        <f t="shared" si="16"/>
        <v>-1</v>
      </c>
      <c r="BE34" s="33" cm="1">
        <f t="array" ref="BE34">IFERROR(INDEX('[2]SALES PERTYPE'!$D$10:$BA$52,MATCH($C34,'[2]SALES PERTYPE'!$B$10:$B$52,0),MATCH("V70 FE",'[2]SALES PERTYPE'!$D$8:$BA$8,0)+1),0)</f>
        <v>0</v>
      </c>
      <c r="BF34" s="33" cm="1">
        <f t="array" ref="BF34">IFERROR(INDEX('[2]Sales per type Agustus'!$D$10:$BA$51,MATCH($C34,'[2]Sales per type Agustus'!$B$10:$B$51,0),MATCH("V70 FE",'[2]Sales per type Agustus'!$D$8:$BA$8,0)+1),0)</f>
        <v>7999000</v>
      </c>
      <c r="BG34" s="33">
        <f t="shared" si="17"/>
        <v>-7999000</v>
      </c>
      <c r="BH34" s="33">
        <f>IFERROR(INDEX('[2]SALES PERTYPE'!$D$10:$BA$52,MATCH($C34,'[2]SALES PERTYPE'!$B$10:$B$52,0),MATCH("Y31d",'[2]SALES PERTYPE'!$D$8:$BA$8,0)),0)</f>
        <v>0</v>
      </c>
      <c r="BI34" s="33">
        <f>IFERROR(INDEX('[2]Sales per type Agustus'!$D$10:$BA$51,MATCH($C34,'[2]Sales per type Agustus'!$B$10:$B$51,0),MATCH("Y31d",'[2]Sales per type Agustus'!$D$8:$BA$8,0)),0)</f>
        <v>0</v>
      </c>
      <c r="BJ34" s="33">
        <f t="shared" si="18"/>
        <v>0</v>
      </c>
      <c r="BK34" s="33" cm="1">
        <f t="array" ref="BK34">IFERROR(INDEX('[2]SALES PERTYPE'!$D$10:$BA$52,MATCH($C34,'[2]SALES PERTYPE'!$B$10:$B$52,0),MATCH("Y31d",'[2]SALES PERTYPE'!$D$8:$BA$8,0)+1),0)</f>
        <v>0</v>
      </c>
      <c r="BL34" s="33" cm="1">
        <f t="array" ref="BL34">IFERROR(INDEX('[2]Sales per type Agustus'!$D$10:$BA$51,MATCH($C34,'[2]Sales per type Agustus'!$B$10:$B$51,0),MATCH("Y31d",'[2]Sales per type Agustus'!$D$8:$BA$8,0)+1),0)</f>
        <v>0</v>
      </c>
      <c r="BM34" s="33">
        <f t="shared" si="19"/>
        <v>0</v>
      </c>
      <c r="BN34" s="33">
        <f>IFERROR(INDEX('[2]SALES PERTYPE'!$D$10:$BA$52,MATCH($C34,'[2]SALES PERTYPE'!$B$10:$B$52,0),MATCH("Y500",'[2]SALES PERTYPE'!$D$8:$BA$8,0)),0)</f>
        <v>0</v>
      </c>
      <c r="BO34" s="33">
        <f>IFERROR(INDEX('[2]Sales per type Agustus'!$D$10:$BA$51,MATCH($C34,'[2]Sales per type Agustus'!$B$10:$B$51,0),MATCH("Y500",'[2]Sales per type Agustus'!$D$8:$BA$8,0)),0)</f>
        <v>0</v>
      </c>
      <c r="BP34" s="33">
        <f t="shared" si="20"/>
        <v>0</v>
      </c>
      <c r="BQ34" s="33" cm="1">
        <f t="array" ref="BQ34">IFERROR(INDEX('[2]SALES PERTYPE'!$D$10:$BA$52,MATCH($C34,'[2]SALES PERTYPE'!$B$10:$B$52,0),MATCH("Y500",'[2]SALES PERTYPE'!$D$8:$BA$8,0)+1),0)</f>
        <v>0</v>
      </c>
      <c r="BR34" s="33" cm="1">
        <f t="array" ref="BR34">IFERROR(INDEX('[2]Sales per type Agustus'!$D$10:$BA$51,MATCH($C34,'[2]Sales per type Agustus'!$B$10:$B$51,0),MATCH("Y500",'[2]Sales per type Agustus'!$D$8:$BA$8,0)+1),0)</f>
        <v>0</v>
      </c>
      <c r="BS34" s="33">
        <f t="shared" si="21"/>
        <v>0</v>
      </c>
      <c r="BT34" s="33">
        <f>IFERROR(INDEX('[2]SALES PERTYPE'!$D$10:$BA$52,MATCH($C34,'[2]SALES PERTYPE'!$B$10:$B$52,0),MATCH("IQOO 15R",'[2]SALES PERTYPE'!$D$8:$BA$8,0)),0)</f>
        <v>0</v>
      </c>
      <c r="BU34" s="33">
        <f>IFERROR(INDEX('[2]Sales per type Agustus'!$D$10:$BA$51,MATCH($C34,'[2]Sales per type Agustus'!$B$10:$B$51,0),MATCH("IQOO 15R",'[2]Sales per type Agustus'!$D$8:$BA$8,0)),0)</f>
        <v>0</v>
      </c>
      <c r="BV34" s="33">
        <f t="shared" si="22"/>
        <v>0</v>
      </c>
      <c r="BW34" s="33" cm="1">
        <f t="array" ref="BW34">IFERROR(INDEX('[2]SALES PERTYPE'!$D$10:$BA$52,MATCH($C34,'[2]SALES PERTYPE'!$B$10:$B$52,0),MATCH("IQOO 15R",'[2]SALES PERTYPE'!$D$8:$BA$8,0)+1),0)</f>
        <v>0</v>
      </c>
      <c r="BX34" s="33" cm="1">
        <f t="array" ref="BX34">IFERROR(INDEX('[2]Sales per type Agustus'!$D$10:$BA$51,MATCH($C34,'[2]Sales per type Agustus'!$B$10:$B$51,0),MATCH("IQOO 15R",'[2]Sales per type Agustus'!$D$8:$BA$8,0)+1),0)</f>
        <v>0</v>
      </c>
      <c r="BY34" s="33">
        <f t="shared" si="23"/>
        <v>0</v>
      </c>
      <c r="BZ34" s="33">
        <f>IFERROR(INDEX('[2]SALES PERTYPE'!$D$10:$BA$52,MATCH($C34,'[2]SALES PERTYPE'!$B$10:$B$52,0),MATCH("V60 Lite",'[2]SALES PERTYPE'!$D$8:$BA$8,0)),0)</f>
        <v>0</v>
      </c>
      <c r="CA34" s="33">
        <f>IFERROR(INDEX('[2]Sales per type Agustus'!$D$10:$BA$51,MATCH($C34,'[2]Sales per type Agustus'!$B$10:$B$51,0),MATCH("V60 Lite",'[2]Sales per type Agustus'!$D$8:$BA$8,0)),0)</f>
        <v>0</v>
      </c>
      <c r="CB34" s="33">
        <f t="shared" si="24"/>
        <v>0</v>
      </c>
      <c r="CC34" s="33" cm="1">
        <f t="array" ref="CC34">IFERROR(INDEX('[2]SALES PERTYPE'!$D$10:$BA$52,MATCH($C34,'[2]SALES PERTYPE'!$B$10:$B$52,0),MATCH("V60 Lite",'[2]SALES PERTYPE'!$D$8:$BA$8,0)+1),0)</f>
        <v>0</v>
      </c>
      <c r="CD34" s="33" cm="1">
        <f t="array" ref="CD34">IFERROR(INDEX('[2]Sales per type Agustus'!$D$10:$BA$51,MATCH($C34,'[2]Sales per type Agustus'!$B$10:$B$51,0),MATCH("V60 Lite",'[2]Sales per type Agustus'!$D$8:$BA$8,0)+1),0)</f>
        <v>0</v>
      </c>
      <c r="CE34" s="33">
        <f t="shared" si="25"/>
        <v>0</v>
      </c>
      <c r="CF34" s="33">
        <f>IFERROR(INDEX('[2]SALES PERTYPE'!$D$10:$BA$52,MATCH($C34,'[2]SALES PERTYPE'!$B$10:$B$52,0),MATCH("X300 Ultra",'[2]SALES PERTYPE'!$D$8:$BA$8,0)),0)</f>
        <v>0</v>
      </c>
      <c r="CG34" s="33">
        <f>IFERROR(INDEX('[2]Sales per type Agustus'!$D$10:$BA$51,MATCH($C34,'[2]Sales per type Agustus'!$B$10:$B$51,0),MATCH("X300 Ultra",'[2]Sales per type Agustus'!$D$8:$BA$8,0)),0)</f>
        <v>0</v>
      </c>
      <c r="CH34" s="33">
        <f t="shared" si="26"/>
        <v>0</v>
      </c>
      <c r="CI34" s="33" cm="1">
        <f t="array" ref="CI34">IFERROR(INDEX('[2]SALES PERTYPE'!$D$10:$BA$52,MATCH($C34,'[2]SALES PERTYPE'!$B$10:$B$52,0),MATCH("X300 Ultra",'[2]SALES PERTYPE'!$D$8:$BA$8,0)+1),0)</f>
        <v>0</v>
      </c>
      <c r="CJ34" s="33" cm="1">
        <f t="array" ref="CJ34">IFERROR(INDEX('[2]Sales per type Agustus'!$D$10:$BA$51,MATCH($C34,'[2]Sales per type Agustus'!$B$10:$B$51,0),MATCH("X300 Ultra",'[2]Sales per type Agustus'!$D$8:$BA$8,0)+1),0)</f>
        <v>0</v>
      </c>
      <c r="CK34" s="33">
        <f t="shared" si="27"/>
        <v>0</v>
      </c>
      <c r="CL34" s="33">
        <f>IFERROR(INDEX('[2]SALES PERTYPE'!$D$10:$BA$52,MATCH($C34,'[2]SALES PERTYPE'!$B$10:$B$52,0),MATCH("IQOO 15",'[2]SALES PERTYPE'!$D$8:$BA$8,0)),0)</f>
        <v>0</v>
      </c>
      <c r="CM34" s="33">
        <f>IFERROR(INDEX('[2]Sales per type Agustus'!$D$10:$BA$51,MATCH($C34,'[2]Sales per type Agustus'!$B$10:$B$51,0),MATCH("IQOO 15",'[2]Sales per type Agustus'!$D$8:$BA$8,0)),0)</f>
        <v>0</v>
      </c>
      <c r="CN34" s="33">
        <f t="shared" si="28"/>
        <v>0</v>
      </c>
      <c r="CO34" s="33" cm="1">
        <f t="array" ref="CO34">IFERROR(INDEX('[2]SALES PERTYPE'!$D$10:$BA$52,MATCH($C34,'[2]SALES PERTYPE'!$B$10:$B$52,0),MATCH("IQOO 15",'[2]SALES PERTYPE'!$D$8:$BA$8,0)+1),0)</f>
        <v>0</v>
      </c>
      <c r="CP34" s="33" cm="1">
        <f t="array" ref="CP34">IFERROR(INDEX('[2]Sales per type Agustus'!$D$10:$BA$51,MATCH($C34,'[2]Sales per type Agustus'!$B$10:$B$51,0),MATCH("IQOO 15",'[2]Sales per type Agustus'!$D$8:$BA$8,0)+1),0)</f>
        <v>0</v>
      </c>
      <c r="CQ34" s="33">
        <f t="shared" si="29"/>
        <v>0</v>
      </c>
      <c r="CR34" s="33">
        <f>IFERROR(INDEX('[2]SALES PERTYPE'!$D$10:$BA$52,MATCH($C34,'[2]SALES PERTYPE'!$B$10:$B$52,0),MATCH("IQOO Z11x",'[2]SALES PERTYPE'!$D$8:$BA$8,0)),0)</f>
        <v>0</v>
      </c>
      <c r="CS34" s="33">
        <f>IFERROR(INDEX('[2]Sales per type Agustus'!$D$10:$BA$51,MATCH($C34,'[2]Sales per type Agustus'!$B$10:$B$51,0),MATCH("IQOO Z11x",'[2]Sales per type Agustus'!$D$8:$BA$8,0)),0)</f>
        <v>0</v>
      </c>
      <c r="CT34" s="33">
        <f t="shared" si="30"/>
        <v>0</v>
      </c>
      <c r="CU34" s="33" cm="1">
        <f t="array" ref="CU34">IFERROR(INDEX('[2]SALES PERTYPE'!$D$10:$BA$52,MATCH($C34,'[2]SALES PERTYPE'!$B$10:$B$52,0),MATCH("IQOO Z11x",'[2]SALES PERTYPE'!$D$8:$BA$8,0)+1),0)</f>
        <v>0</v>
      </c>
      <c r="CV34" s="33" cm="1">
        <f t="array" ref="CV34">IFERROR(INDEX('[2]Sales per type Agustus'!$D$10:$BA$51,MATCH($C34,'[2]Sales per type Agustus'!$B$10:$B$51,0),MATCH("IQOO Z11x",'[2]Sales per type Agustus'!$D$8:$BA$8,0)+1),0)</f>
        <v>0</v>
      </c>
      <c r="CW34" s="33">
        <f t="shared" si="31"/>
        <v>0</v>
      </c>
      <c r="CX34" s="33">
        <f>IFERROR(INDEX('[2]SALES PERTYPE'!$D$10:$BA$52,MATCH($C34,'[2]SALES PERTYPE'!$B$10:$B$52,0),MATCH("IQOO Z11",'[2]SALES PERTYPE'!$D$8:$BA$8,0)),0)</f>
        <v>0</v>
      </c>
      <c r="CY34" s="33">
        <f>IFERROR(INDEX('[2]Sales per type Agustus'!$D$10:$BA$51,MATCH($C34,'[2]Sales per type Agustus'!$B$10:$B$51,0),MATCH("IQOO Z11",'[2]Sales per type Agustus'!$D$8:$BA$8,0)),0)</f>
        <v>0</v>
      </c>
      <c r="CZ34" s="33">
        <f t="shared" si="32"/>
        <v>0</v>
      </c>
      <c r="DA34" s="33" cm="1">
        <f t="array" ref="DA34">IFERROR(INDEX('[2]SALES PERTYPE'!$D$10:$BA$52,MATCH($C34,'[2]SALES PERTYPE'!$B$10:$B$52,0),MATCH("IQOO Z11",'[2]SALES PERTYPE'!$D$8:$BA$8,0)+1),0)</f>
        <v>0</v>
      </c>
      <c r="DB34" s="33" cm="1">
        <f t="array" ref="DB34">IFERROR(INDEX('[2]Sales per type Agustus'!$D$10:$BA$51,MATCH($C34,'[2]Sales per type Agustus'!$B$10:$B$51,0),MATCH("IQOO Z11",'[2]Sales per type Agustus'!$D$8:$BA$8,0)+1),0)</f>
        <v>0</v>
      </c>
      <c r="DC34" s="33">
        <f t="shared" si="33"/>
        <v>0</v>
      </c>
      <c r="DD34" s="33">
        <f>IFERROR(INDEX('[2]SALES PERTYPE'!$D$10:$BA$52,MATCH($C34,'[2]SALES PERTYPE'!$B$10:$B$52,0),MATCH("WATCH 3",'[2]SALES PERTYPE'!$D$8:$BA$8,0)),0)</f>
        <v>0</v>
      </c>
      <c r="DE34" s="33">
        <f>IFERROR(INDEX('[2]Sales per type Agustus'!$D$10:$BA$51,MATCH($C34,'[2]Sales per type Agustus'!$B$10:$B$51,0),MATCH("WATCH 3",'[2]Sales per type Agustus'!$D$8:$BA$8,0)),0)</f>
        <v>0</v>
      </c>
      <c r="DF34" s="33">
        <f t="shared" si="34"/>
        <v>0</v>
      </c>
      <c r="DG34" s="33" cm="1">
        <f t="array" ref="DG34">IFERROR(INDEX('[2]SALES PERTYPE'!$D$10:$BA$52,MATCH($C34,'[2]SALES PERTYPE'!$B$10:$B$52,0),MATCH("WATCH 3",'[2]SALES PERTYPE'!$D$8:$BA$8,0)+1),0)</f>
        <v>0</v>
      </c>
      <c r="DH34" s="33" cm="1">
        <f t="array" ref="DH34">IFERROR(INDEX('[2]Sales per type Agustus'!$D$10:$BA$51,MATCH($C34,'[2]Sales per type Agustus'!$B$10:$B$51,0),MATCH("WATCH 3",'[2]Sales per type Agustus'!$D$8:$BA$8,0)+1),0)</f>
        <v>0</v>
      </c>
      <c r="DI34" s="33">
        <f t="shared" si="35"/>
        <v>0</v>
      </c>
      <c r="DJ34" s="33">
        <f>IFERROR(INDEX('[2]SALES PERTYPE'!$D$10:$BA$52,MATCH($C34,'[2]SALES PERTYPE'!$B$10:$B$52,0),MATCH("X Fold5",'[2]SALES PERTYPE'!$D$8:$BA$8,0)),0)</f>
        <v>0</v>
      </c>
      <c r="DK34" s="33">
        <f>IFERROR(INDEX('[2]Sales per type Agustus'!$D$10:$BA$51,MATCH($C34,'[2]Sales per type Agustus'!$B$10:$B$51,0),MATCH("X Fold5",'[2]Sales per type Agustus'!$D$8:$BA$8,0)),0)</f>
        <v>0</v>
      </c>
      <c r="DL34" s="33">
        <f t="shared" si="36"/>
        <v>0</v>
      </c>
      <c r="DM34" s="33" cm="1">
        <f t="array" ref="DM34">IFERROR(INDEX('[2]SALES PERTYPE'!$D$10:$BA$52,MATCH($C34,'[2]SALES PERTYPE'!$B$10:$B$52,0),MATCH("X Fold5",'[2]SALES PERTYPE'!$D$8:$BA$8,0)+1),0)</f>
        <v>0</v>
      </c>
      <c r="DN34" s="33" cm="1">
        <f t="array" ref="DN34">IFERROR(INDEX('[2]Sales per type Agustus'!$D$10:$BA$51,MATCH($C34,'[2]Sales per type Agustus'!$B$10:$B$51,0),MATCH("X Fold5",'[2]Sales per type Agustus'!$D$8:$BA$8,0)+1),0)</f>
        <v>0</v>
      </c>
      <c r="DO34" s="33">
        <f t="shared" si="37"/>
        <v>0</v>
      </c>
      <c r="DP34" s="33">
        <f>IFERROR(INDEX('[2]SALES PERTYPE'!$D$10:$BA$52,MATCH($C34,'[2]SALES PERTYPE'!$B$10:$B$52,0),MATCH("X300 PRO",'[2]SALES PERTYPE'!$D$8:$BA$8,0)),0)</f>
        <v>0</v>
      </c>
      <c r="DQ34" s="33">
        <f>IFERROR(INDEX('[2]Sales per type Agustus'!$D$10:$BA$51,MATCH($C34,'[2]Sales per type Agustus'!$B$10:$B$51,0),MATCH("X300 PRO",'[2]Sales per type Agustus'!$D$8:$BA$8,0)),0)</f>
        <v>0</v>
      </c>
      <c r="DR34" s="33">
        <f t="shared" si="38"/>
        <v>0</v>
      </c>
      <c r="DS34" s="33" cm="1">
        <f t="array" ref="DS34">IFERROR(INDEX('[2]SALES PERTYPE'!$D$10:$BA$52,MATCH($C34,'[2]SALES PERTYPE'!$B$10:$B$52,0),MATCH("X300 PRO",'[2]SALES PERTYPE'!$D$8:$BA$8,0)+1),0)</f>
        <v>0</v>
      </c>
      <c r="DT34" s="33" cm="1">
        <f t="array" ref="DT34">IFERROR(INDEX('[2]Sales per type Agustus'!$D$10:$BA$51,MATCH($C34,'[2]Sales per type Agustus'!$B$10:$B$51,0),MATCH("X300 PRO",'[2]Sales per type Agustus'!$D$8:$BA$8,0)+1),0)</f>
        <v>0</v>
      </c>
      <c r="DU34" s="33">
        <f t="shared" si="39"/>
        <v>0</v>
      </c>
      <c r="DV34" s="33">
        <f>IFERROR(INDEX('[2]SALES PERTYPE'!$D$10:$BA$52,MATCH($C34,'[2]SALES PERTYPE'!$B$10:$B$52,0),MATCH("X300",'[2]SALES PERTYPE'!$D$8:$BA$8,0)),0)</f>
        <v>0</v>
      </c>
      <c r="DW34" s="33">
        <f>IFERROR(INDEX('[2]Sales per type Agustus'!$D$10:$BA$51,MATCH($C34,'[2]Sales per type Agustus'!$B$10:$B$51,0),MATCH("X300 ",'[2]Sales per type Agustus'!$D$8:$BA$8,0)),0)</f>
        <v>0</v>
      </c>
      <c r="DX34" s="33">
        <f t="shared" si="40"/>
        <v>0</v>
      </c>
      <c r="DY34" s="33" cm="1">
        <f t="array" ref="DY34">IFERROR(INDEX('[2]SALES PERTYPE'!$D$10:$BA$52,MATCH($C34,'[2]SALES PERTYPE'!$B$10:$B$52,0),MATCH("X300",'[2]SALES PERTYPE'!$D$8:$BA$8,0)+1),0)</f>
        <v>0</v>
      </c>
      <c r="DZ34" s="33" cm="1">
        <f t="array" ref="DZ34">IFERROR(INDEX('[2]Sales per type Agustus'!$D$10:$BA$51,MATCH($C34,'[2]Sales per type Agustus'!$B$10:$B$51,0),MATCH("X300 ",'[2]Sales per type Agustus'!$D$8:$BA$8,0)+1),0)</f>
        <v>0</v>
      </c>
      <c r="EA34" s="33">
        <f t="shared" si="41"/>
        <v>0</v>
      </c>
      <c r="EB34" s="33">
        <f t="shared" si="42"/>
        <v>4</v>
      </c>
      <c r="EC34" s="33">
        <f t="shared" si="42"/>
        <v>5</v>
      </c>
      <c r="ED34" s="33">
        <f t="shared" si="43"/>
        <v>-1</v>
      </c>
      <c r="EE34" s="33">
        <f t="shared" si="44"/>
        <v>9696000</v>
      </c>
      <c r="EF34" s="33">
        <f t="shared" si="44"/>
        <v>19595000</v>
      </c>
      <c r="EG34" s="33">
        <f t="shared" si="45"/>
        <v>-9899000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'[2]ACHIEVEMENT STORE'!A35</f>
        <v>31</v>
      </c>
      <c r="B35" s="32" t="str">
        <f>'[2]ACHIEVEMENT STORE'!B35</f>
        <v>624-万丹BANTEN</v>
      </c>
      <c r="C35" s="31">
        <f>'[2]ACHIEVEMENT STORE'!C35</f>
        <v>6240707</v>
      </c>
      <c r="D35" s="32" t="str">
        <f>'[2]ACHIEVEMENT STORE'!D35</f>
        <v>6240707-KARAWACI UGN3A</v>
      </c>
      <c r="E35" s="32" t="str">
        <f>'[2]ACHIEVEMENT STORE'!E35</f>
        <v>ADE RIVALDI L</v>
      </c>
      <c r="F35" s="33">
        <f>IFERROR(INDEX('[2]SALES PERTYPE'!$D$10:$BA$52,MATCH($C35,'[2]SALES PERTYPE'!$B$10:$B$52,0),MATCH("Y05",'[2]SALES PERTYPE'!$D$8:$BA$8,0)),0)</f>
        <v>3</v>
      </c>
      <c r="G35" s="33">
        <f>IFERROR(INDEX('[2]Sales per type Agustus'!$D$10:$BA$51,MATCH($C35,'[2]Sales per type Agustus'!$B$10:$B$51,0),MATCH("Y05",'[2]Sales per type Agustus'!$D$8:$BA$8,0)),0)</f>
        <v>0</v>
      </c>
      <c r="H35" s="33">
        <f t="shared" si="0"/>
        <v>3</v>
      </c>
      <c r="I35" s="33" cm="1">
        <f t="array" ref="I35">IFERROR(INDEX('[2]SALES PERTYPE'!$D$10:$BA$52,MATCH($C35,'[2]SALES PERTYPE'!$B$10:$B$52,0),MATCH("Y05",'[2]SALES PERTYPE'!$D$8:$BA$8,0)+1),0)</f>
        <v>7497000</v>
      </c>
      <c r="J35" s="33" cm="1">
        <f t="array" ref="J35">IFERROR(INDEX('[2]Sales per type Agustus'!$D$10:$BA$51,MATCH($C35,'[2]Sales per type Agustus'!$B$10:$B$51,0),MATCH("Y05",'[2]Sales per type Agustus'!$D$8:$BA$8,0)+1),0)</f>
        <v>0</v>
      </c>
      <c r="K35" s="33">
        <f t="shared" si="1"/>
        <v>7497000</v>
      </c>
      <c r="L35" s="33">
        <f>IFERROR(INDEX('[2]SALES PERTYPE'!$D$10:$BA$52,MATCH($C35,'[2]SALES PERTYPE'!$B$10:$B$52,0),MATCH("Y11d",'[2]SALES PERTYPE'!$D$8:$BA$8,0)),0)</f>
        <v>2</v>
      </c>
      <c r="M35" s="33">
        <f>IFERROR(INDEX('[2]Sales per type Agustus'!$D$10:$BA$51,MATCH($C35,'[2]Sales per type Agustus'!$B$10:$B$51,0),MATCH("Y11d",'[2]Sales per type Agustus'!$D$8:$BA$8,0)),0)</f>
        <v>3</v>
      </c>
      <c r="N35" s="33">
        <f t="shared" si="2"/>
        <v>-1</v>
      </c>
      <c r="O35" s="33" cm="1">
        <f t="array" ref="O35">IFERROR(INDEX('[2]SALES PERTYPE'!$D$10:$BA$52,MATCH($C35,'[2]SALES PERTYPE'!$B$10:$B$52,0),MATCH("Y11d",'[2]SALES PERTYPE'!$D$8:$BA$8,0)+1),0)</f>
        <v>5598000</v>
      </c>
      <c r="P35" s="33" cm="1">
        <f t="array" ref="P35">IFERROR(INDEX('[2]Sales per type Agustus'!$D$10:$BA$51,MATCH($C35,'[2]Sales per type Agustus'!$B$10:$B$51,0),MATCH("Y11d",'[2]Sales per type Agustus'!$D$8:$BA$8,0)+1),0)</f>
        <v>8397000</v>
      </c>
      <c r="Q35" s="33">
        <f t="shared" si="3"/>
        <v>-2799000</v>
      </c>
      <c r="R35" s="33">
        <f>IFERROR(INDEX('[2]SALES PERTYPE'!$D$10:$BA$52,MATCH($C35,'[2]SALES PERTYPE'!$B$10:$B$52,0),MATCH("Watch GT 2",'[2]SALES PERTYPE'!$D$8:$BA$8,0)),0)</f>
        <v>0</v>
      </c>
      <c r="S35" s="33">
        <f>IFERROR(INDEX('[2]Sales per type Agustus'!$D$10:$BA$51,MATCH($C35,'[2]Sales per type Agustus'!$B$10:$B$51,0),MATCH("Watch GT 2",'[2]Sales per type Agustus'!$D$8:$BA$8,0)),0)</f>
        <v>0</v>
      </c>
      <c r="T35" s="33">
        <f t="shared" si="4"/>
        <v>0</v>
      </c>
      <c r="U35" s="33" cm="1">
        <f t="array" ref="U35">IFERROR(INDEX('[2]SALES PERTYPE'!$D$10:$BA$52,MATCH($C35,'[2]SALES PERTYPE'!$B$10:$B$52,0),MATCH("Watch GT 2",'[2]SALES PERTYPE'!$D$8:$BA$8,0)+1),0)</f>
        <v>0</v>
      </c>
      <c r="V35" s="33" cm="1">
        <f t="array" ref="V35">IFERROR(INDEX('[2]Sales per type Agustus'!$D$10:$BA$51,MATCH($C35,'[2]Sales per type Agustus'!$B$10:$B$51,0),MATCH("Watch GT 2",'[2]Sales per type Agustus'!$D$8:$BA$8,0)+1),0)</f>
        <v>0</v>
      </c>
      <c r="W35" s="33">
        <f t="shared" si="5"/>
        <v>0</v>
      </c>
      <c r="X35" s="33">
        <f>IFERROR(INDEX('[2]SALES PERTYPE'!$D$10:$BA$52,MATCH($C35,'[2]SALES PERTYPE'!$B$10:$B$52,0),MATCH("Y05e",'[2]SALES PERTYPE'!$D$8:$BA$8,0)),0)</f>
        <v>0</v>
      </c>
      <c r="Y35" s="33">
        <f>IFERROR(INDEX('[2]Sales per type Agustus'!$D$10:$BA$51,MATCH($C35,'[2]Sales per type Agustus'!$B$10:$B$51,0),MATCH("Y05e",'[2]Sales per type Agustus'!$D$8:$BA$8,0)),0)</f>
        <v>1</v>
      </c>
      <c r="Z35" s="33">
        <f t="shared" si="6"/>
        <v>-1</v>
      </c>
      <c r="AA35" s="33" cm="1">
        <f t="array" ref="AA35">IFERROR(INDEX('[2]SALES PERTYPE'!$D$10:$BA$52,MATCH($C35,'[2]SALES PERTYPE'!$B$10:$B$52,0),MATCH("Y05e",'[2]SALES PERTYPE'!$D$8:$BA$8,0)+1),0)</f>
        <v>0</v>
      </c>
      <c r="AB35" s="33" cm="1">
        <f t="array" ref="AB35">IFERROR(INDEX('[2]Sales per type Agustus'!$D$10:$BA$51,MATCH($C35,'[2]Sales per type Agustus'!$B$10:$B$51,0),MATCH("Y05e",'[2]Sales per type Agustus'!$D$8:$BA$8,0)+1),0)</f>
        <v>2099000</v>
      </c>
      <c r="AC35" s="33">
        <f t="shared" si="7"/>
        <v>-2099000</v>
      </c>
      <c r="AD35" s="33">
        <f>IFERROR(INDEX('[2]SALES PERTYPE'!$D$10:$BA$52,MATCH($C35,'[2]SALES PERTYPE'!$B$10:$B$52,0),MATCH("V70",'[2]SALES PERTYPE'!$D$8:$BA$8,0)),0)</f>
        <v>0</v>
      </c>
      <c r="AE35" s="33">
        <f>IFERROR(INDEX('[2]Sales per type Agustus'!$D$10:$BA$51,MATCH($C35,'[2]Sales per type Agustus'!$B$10:$B$51,0),MATCH("V70",'[2]Sales per type Agustus'!$D$8:$BA$8,0)),0)</f>
        <v>0</v>
      </c>
      <c r="AF35" s="33">
        <f t="shared" si="8"/>
        <v>0</v>
      </c>
      <c r="AG35" s="33" cm="1">
        <f t="array" ref="AG35">IFERROR(INDEX('[2]SALES PERTYPE'!$D$10:$BA$52,MATCH($C35,'[2]SALES PERTYPE'!$B$10:$B$52,0),MATCH("V70",'[2]SALES PERTYPE'!$D$8:$BA$8,0)+1),0)</f>
        <v>0</v>
      </c>
      <c r="AH35" s="33" cm="1">
        <f t="array" ref="AH35">IFERROR(INDEX('[2]Sales per type Agustus'!$D$10:$BA$51,MATCH($C35,'[2]Sales per type Agustus'!$B$10:$B$51,0),MATCH("V70",'[2]Sales per type Agustus'!$D$8:$BA$8,0)+1),0)</f>
        <v>0</v>
      </c>
      <c r="AI35" s="33">
        <f t="shared" si="9"/>
        <v>0</v>
      </c>
      <c r="AJ35" s="33">
        <f>IFERROR(INDEX('[2]SALES PERTYPE'!$D$10:$BA$52,MATCH($C35,'[2]SALES PERTYPE'!$B$10:$B$52,0),MATCH("Y31d Pro",'[2]SALES PERTYPE'!$D$8:$BA$8,0)),0)</f>
        <v>0</v>
      </c>
      <c r="AK35" s="33">
        <f>IFERROR(INDEX('[2]Sales per type Agustus'!$D$10:$BA$51,MATCH($C35,'[2]Sales per type Agustus'!$B$10:$B$51,0),MATCH("Y31d Pro",'[2]Sales per type Agustus'!$D$8:$BA$8,0)),0)</f>
        <v>1</v>
      </c>
      <c r="AL35" s="33">
        <f t="shared" si="10"/>
        <v>-1</v>
      </c>
      <c r="AM35" s="33" cm="1">
        <f t="array" ref="AM35">IFERROR(INDEX('[2]SALES PERTYPE'!$D$10:$BA$52,MATCH($C35,'[2]SALES PERTYPE'!$B$10:$B$52,0),MATCH("Y31d Pro",'[2]SALES PERTYPE'!$D$8:$BA$8,0)+1),0)</f>
        <v>0</v>
      </c>
      <c r="AN35" s="33" cm="1">
        <f t="array" ref="AN35">IFERROR(INDEX('[2]Sales per type Agustus'!$D$10:$BA$51,MATCH($C35,'[2]Sales per type Agustus'!$B$10:$B$51,0),MATCH("Y31d Pro",'[2]Sales per type Agustus'!$D$8:$BA$8,0)+1),0)</f>
        <v>4299000</v>
      </c>
      <c r="AO35" s="33">
        <f t="shared" si="11"/>
        <v>-4299000</v>
      </c>
      <c r="AP35" s="33" cm="1">
        <f t="array" ref="AP35">IFERROR(INDEX('[2]SALES PERTYPE'!$D$10:$BA$52,MATCH($C35,'[2]SALES PERTYPE'!$B$10:$B$52,0),$EI$3),0)</f>
        <v>0</v>
      </c>
      <c r="AQ35" s="33" cm="1">
        <f t="array" ref="AQ35">IFERROR(INDEX('[2]Sales per type Agustus'!$D$10:$BA$51,MATCH($C35,'[2]Sales per type Agustus'!$B$10:$B$51,0),$EI$2),0)</f>
        <v>0</v>
      </c>
      <c r="AR35" s="33">
        <f t="shared" si="12"/>
        <v>0</v>
      </c>
      <c r="AS35" s="33" cm="1">
        <f t="array" ref="AS35">IFERROR(INDEX('[2]SALES PERTYPE'!$D$10:$BA$52,MATCH($C35,'[2]SALES PERTYPE'!$B$10:$B$52,0),$EI$3+1),0)</f>
        <v>0</v>
      </c>
      <c r="AT35" s="33" cm="1">
        <f t="array" ref="AT35">IFERROR(INDEX('[2]Sales per type Agustus'!$D$10:$BA$51,MATCH($C35,'[2]Sales per type Agustus'!$B$10:$B$51,0),$EI$2+1),0)</f>
        <v>0</v>
      </c>
      <c r="AU35" s="33">
        <f t="shared" si="13"/>
        <v>0</v>
      </c>
      <c r="AV35" s="33">
        <f>IFERROR(INDEX('[2]SALES PERTYPE'!$D$10:$BA$52,MATCH($C35,'[2]SALES PERTYPE'!$B$10:$B$52,0),MATCH("Y31d ",'[2]SALES PERTYPE'!$D$8:$BA$8,0)),0)</f>
        <v>0</v>
      </c>
      <c r="AW35" s="33">
        <f>IFERROR(INDEX('[2]Sales per type Agustus'!$D$10:$BA$51,MATCH($C35,'[2]Sales per type Agustus'!$B$10:$B$51,0),MATCH("Y31d ",'[2]Sales per type Agustus'!$D$8:$BA$8,0)),0)</f>
        <v>0</v>
      </c>
      <c r="AX35" s="33">
        <f t="shared" si="14"/>
        <v>0</v>
      </c>
      <c r="AY35" s="33" cm="1">
        <f t="array" ref="AY35">IFERROR(INDEX('[2]SALES PERTYPE'!$D$10:$BA$52,MATCH($C35,'[2]SALES PERTYPE'!$B$10:$B$52,0),MATCH("Y31d ",'[2]SALES PERTYPE'!$D$8:$BA$8,0)+1),0)</f>
        <v>0</v>
      </c>
      <c r="AZ35" s="33" cm="1">
        <f t="array" ref="AZ35">IFERROR(INDEX('[2]Sales per type Agustus'!$D$10:$BA$51,MATCH($C35,'[2]Sales per type Agustus'!$B$10:$B$51,0),MATCH("Y31d ",'[2]Sales per type Agustus'!$D$8:$BA$8,0)+1),0)</f>
        <v>0</v>
      </c>
      <c r="BA35" s="33">
        <f t="shared" si="15"/>
        <v>0</v>
      </c>
      <c r="BB35" s="33">
        <f>IFERROR(INDEX('[2]SALES PERTYPE'!$D$10:$BA$52,MATCH($C35,'[2]SALES PERTYPE'!$B$10:$B$52,0),MATCH("V70 FE",'[2]SALES PERTYPE'!$D$8:$BA$8,0)),0)</f>
        <v>0</v>
      </c>
      <c r="BC35" s="33">
        <f>IFERROR(INDEX('[2]Sales per type Agustus'!$D$10:$BA$51,MATCH($C35,'[2]Sales per type Agustus'!$B$10:$B$51,0),MATCH("V70 FE",'[2]Sales per type Agustus'!$D$8:$BA$8,0)),0)</f>
        <v>0</v>
      </c>
      <c r="BD35" s="33">
        <f t="shared" si="16"/>
        <v>0</v>
      </c>
      <c r="BE35" s="33" cm="1">
        <f t="array" ref="BE35">IFERROR(INDEX('[2]SALES PERTYPE'!$D$10:$BA$52,MATCH($C35,'[2]SALES PERTYPE'!$B$10:$B$52,0),MATCH("V70 FE",'[2]SALES PERTYPE'!$D$8:$BA$8,0)+1),0)</f>
        <v>0</v>
      </c>
      <c r="BF35" s="33" cm="1">
        <f t="array" ref="BF35">IFERROR(INDEX('[2]Sales per type Agustus'!$D$10:$BA$51,MATCH($C35,'[2]Sales per type Agustus'!$B$10:$B$51,0),MATCH("V70 FE",'[2]Sales per type Agustus'!$D$8:$BA$8,0)+1),0)</f>
        <v>0</v>
      </c>
      <c r="BG35" s="33">
        <f t="shared" si="17"/>
        <v>0</v>
      </c>
      <c r="BH35" s="33">
        <f>IFERROR(INDEX('[2]SALES PERTYPE'!$D$10:$BA$52,MATCH($C35,'[2]SALES PERTYPE'!$B$10:$B$52,0),MATCH("Y31d",'[2]SALES PERTYPE'!$D$8:$BA$8,0)),0)</f>
        <v>0</v>
      </c>
      <c r="BI35" s="33">
        <f>IFERROR(INDEX('[2]Sales per type Agustus'!$D$10:$BA$51,MATCH($C35,'[2]Sales per type Agustus'!$B$10:$B$51,0),MATCH("Y31d",'[2]Sales per type Agustus'!$D$8:$BA$8,0)),0)</f>
        <v>0</v>
      </c>
      <c r="BJ35" s="33">
        <f t="shared" si="18"/>
        <v>0</v>
      </c>
      <c r="BK35" s="33" cm="1">
        <f t="array" ref="BK35">IFERROR(INDEX('[2]SALES PERTYPE'!$D$10:$BA$52,MATCH($C35,'[2]SALES PERTYPE'!$B$10:$B$52,0),MATCH("Y31d",'[2]SALES PERTYPE'!$D$8:$BA$8,0)+1),0)</f>
        <v>0</v>
      </c>
      <c r="BL35" s="33" cm="1">
        <f t="array" ref="BL35">IFERROR(INDEX('[2]Sales per type Agustus'!$D$10:$BA$51,MATCH($C35,'[2]Sales per type Agustus'!$B$10:$B$51,0),MATCH("Y31d",'[2]Sales per type Agustus'!$D$8:$BA$8,0)+1),0)</f>
        <v>0</v>
      </c>
      <c r="BM35" s="33">
        <f t="shared" si="19"/>
        <v>0</v>
      </c>
      <c r="BN35" s="33">
        <f>IFERROR(INDEX('[2]SALES PERTYPE'!$D$10:$BA$52,MATCH($C35,'[2]SALES PERTYPE'!$B$10:$B$52,0),MATCH("Y500",'[2]SALES PERTYPE'!$D$8:$BA$8,0)),0)</f>
        <v>1</v>
      </c>
      <c r="BO35" s="33">
        <f>IFERROR(INDEX('[2]Sales per type Agustus'!$D$10:$BA$51,MATCH($C35,'[2]Sales per type Agustus'!$B$10:$B$51,0),MATCH("Y500",'[2]Sales per type Agustus'!$D$8:$BA$8,0)),0)</f>
        <v>0</v>
      </c>
      <c r="BP35" s="33">
        <f t="shared" si="20"/>
        <v>1</v>
      </c>
      <c r="BQ35" s="33" cm="1">
        <f t="array" ref="BQ35">IFERROR(INDEX('[2]SALES PERTYPE'!$D$10:$BA$52,MATCH($C35,'[2]SALES PERTYPE'!$B$10:$B$52,0),MATCH("Y500",'[2]SALES PERTYPE'!$D$8:$BA$8,0)+1),0)</f>
        <v>5499000</v>
      </c>
      <c r="BR35" s="33" cm="1">
        <f t="array" ref="BR35">IFERROR(INDEX('[2]Sales per type Agustus'!$D$10:$BA$51,MATCH($C35,'[2]Sales per type Agustus'!$B$10:$B$51,0),MATCH("Y500",'[2]Sales per type Agustus'!$D$8:$BA$8,0)+1),0)</f>
        <v>0</v>
      </c>
      <c r="BS35" s="33">
        <f t="shared" si="21"/>
        <v>5499000</v>
      </c>
      <c r="BT35" s="33">
        <f>IFERROR(INDEX('[2]SALES PERTYPE'!$D$10:$BA$52,MATCH($C35,'[2]SALES PERTYPE'!$B$10:$B$52,0),MATCH("IQOO 15R",'[2]SALES PERTYPE'!$D$8:$BA$8,0)),0)</f>
        <v>0</v>
      </c>
      <c r="BU35" s="33">
        <f>IFERROR(INDEX('[2]Sales per type Agustus'!$D$10:$BA$51,MATCH($C35,'[2]Sales per type Agustus'!$B$10:$B$51,0),MATCH("IQOO 15R",'[2]Sales per type Agustus'!$D$8:$BA$8,0)),0)</f>
        <v>0</v>
      </c>
      <c r="BV35" s="33">
        <f t="shared" si="22"/>
        <v>0</v>
      </c>
      <c r="BW35" s="33" cm="1">
        <f t="array" ref="BW35">IFERROR(INDEX('[2]SALES PERTYPE'!$D$10:$BA$52,MATCH($C35,'[2]SALES PERTYPE'!$B$10:$B$52,0),MATCH("IQOO 15R",'[2]SALES PERTYPE'!$D$8:$BA$8,0)+1),0)</f>
        <v>0</v>
      </c>
      <c r="BX35" s="33" cm="1">
        <f t="array" ref="BX35">IFERROR(INDEX('[2]Sales per type Agustus'!$D$10:$BA$51,MATCH($C35,'[2]Sales per type Agustus'!$B$10:$B$51,0),MATCH("IQOO 15R",'[2]Sales per type Agustus'!$D$8:$BA$8,0)+1),0)</f>
        <v>0</v>
      </c>
      <c r="BY35" s="33">
        <f t="shared" si="23"/>
        <v>0</v>
      </c>
      <c r="BZ35" s="33">
        <f>IFERROR(INDEX('[2]SALES PERTYPE'!$D$10:$BA$52,MATCH($C35,'[2]SALES PERTYPE'!$B$10:$B$52,0),MATCH("V60 Lite",'[2]SALES PERTYPE'!$D$8:$BA$8,0)),0)</f>
        <v>0</v>
      </c>
      <c r="CA35" s="33">
        <f>IFERROR(INDEX('[2]Sales per type Agustus'!$D$10:$BA$51,MATCH($C35,'[2]Sales per type Agustus'!$B$10:$B$51,0),MATCH("V60 Lite",'[2]Sales per type Agustus'!$D$8:$BA$8,0)),0)</f>
        <v>0</v>
      </c>
      <c r="CB35" s="33">
        <f t="shared" si="24"/>
        <v>0</v>
      </c>
      <c r="CC35" s="33" cm="1">
        <f t="array" ref="CC35">IFERROR(INDEX('[2]SALES PERTYPE'!$D$10:$BA$52,MATCH($C35,'[2]SALES PERTYPE'!$B$10:$B$52,0),MATCH("V60 Lite",'[2]SALES PERTYPE'!$D$8:$BA$8,0)+1),0)</f>
        <v>0</v>
      </c>
      <c r="CD35" s="33" cm="1">
        <f t="array" ref="CD35">IFERROR(INDEX('[2]Sales per type Agustus'!$D$10:$BA$51,MATCH($C35,'[2]Sales per type Agustus'!$B$10:$B$51,0),MATCH("V60 Lite",'[2]Sales per type Agustus'!$D$8:$BA$8,0)+1),0)</f>
        <v>0</v>
      </c>
      <c r="CE35" s="33">
        <f t="shared" si="25"/>
        <v>0</v>
      </c>
      <c r="CF35" s="33">
        <f>IFERROR(INDEX('[2]SALES PERTYPE'!$D$10:$BA$52,MATCH($C35,'[2]SALES PERTYPE'!$B$10:$B$52,0),MATCH("X300 Ultra",'[2]SALES PERTYPE'!$D$8:$BA$8,0)),0)</f>
        <v>0</v>
      </c>
      <c r="CG35" s="33">
        <f>IFERROR(INDEX('[2]Sales per type Agustus'!$D$10:$BA$51,MATCH($C35,'[2]Sales per type Agustus'!$B$10:$B$51,0),MATCH("X300 Ultra",'[2]Sales per type Agustus'!$D$8:$BA$8,0)),0)</f>
        <v>0</v>
      </c>
      <c r="CH35" s="33">
        <f t="shared" si="26"/>
        <v>0</v>
      </c>
      <c r="CI35" s="33" cm="1">
        <f t="array" ref="CI35">IFERROR(INDEX('[2]SALES PERTYPE'!$D$10:$BA$52,MATCH($C35,'[2]SALES PERTYPE'!$B$10:$B$52,0),MATCH("X300 Ultra",'[2]SALES PERTYPE'!$D$8:$BA$8,0)+1),0)</f>
        <v>0</v>
      </c>
      <c r="CJ35" s="33" cm="1">
        <f t="array" ref="CJ35">IFERROR(INDEX('[2]Sales per type Agustus'!$D$10:$BA$51,MATCH($C35,'[2]Sales per type Agustus'!$B$10:$B$51,0),MATCH("X300 Ultra",'[2]Sales per type Agustus'!$D$8:$BA$8,0)+1),0)</f>
        <v>0</v>
      </c>
      <c r="CK35" s="33">
        <f t="shared" si="27"/>
        <v>0</v>
      </c>
      <c r="CL35" s="33">
        <f>IFERROR(INDEX('[2]SALES PERTYPE'!$D$10:$BA$52,MATCH($C35,'[2]SALES PERTYPE'!$B$10:$B$52,0),MATCH("IQOO 15",'[2]SALES PERTYPE'!$D$8:$BA$8,0)),0)</f>
        <v>0</v>
      </c>
      <c r="CM35" s="33">
        <f>IFERROR(INDEX('[2]Sales per type Agustus'!$D$10:$BA$51,MATCH($C35,'[2]Sales per type Agustus'!$B$10:$B$51,0),MATCH("IQOO 15",'[2]Sales per type Agustus'!$D$8:$BA$8,0)),0)</f>
        <v>0</v>
      </c>
      <c r="CN35" s="33">
        <f t="shared" si="28"/>
        <v>0</v>
      </c>
      <c r="CO35" s="33" cm="1">
        <f t="array" ref="CO35">IFERROR(INDEX('[2]SALES PERTYPE'!$D$10:$BA$52,MATCH($C35,'[2]SALES PERTYPE'!$B$10:$B$52,0),MATCH("IQOO 15",'[2]SALES PERTYPE'!$D$8:$BA$8,0)+1),0)</f>
        <v>0</v>
      </c>
      <c r="CP35" s="33" cm="1">
        <f t="array" ref="CP35">IFERROR(INDEX('[2]Sales per type Agustus'!$D$10:$BA$51,MATCH($C35,'[2]Sales per type Agustus'!$B$10:$B$51,0),MATCH("IQOO 15",'[2]Sales per type Agustus'!$D$8:$BA$8,0)+1),0)</f>
        <v>0</v>
      </c>
      <c r="CQ35" s="33">
        <f t="shared" si="29"/>
        <v>0</v>
      </c>
      <c r="CR35" s="33">
        <f>IFERROR(INDEX('[2]SALES PERTYPE'!$D$10:$BA$52,MATCH($C35,'[2]SALES PERTYPE'!$B$10:$B$52,0),MATCH("IQOO Z11x",'[2]SALES PERTYPE'!$D$8:$BA$8,0)),0)</f>
        <v>0</v>
      </c>
      <c r="CS35" s="33">
        <f>IFERROR(INDEX('[2]Sales per type Agustus'!$D$10:$BA$51,MATCH($C35,'[2]Sales per type Agustus'!$B$10:$B$51,0),MATCH("IQOO Z11x",'[2]Sales per type Agustus'!$D$8:$BA$8,0)),0)</f>
        <v>0</v>
      </c>
      <c r="CT35" s="33">
        <f t="shared" si="30"/>
        <v>0</v>
      </c>
      <c r="CU35" s="33" cm="1">
        <f t="array" ref="CU35">IFERROR(INDEX('[2]SALES PERTYPE'!$D$10:$BA$52,MATCH($C35,'[2]SALES PERTYPE'!$B$10:$B$52,0),MATCH("IQOO Z11x",'[2]SALES PERTYPE'!$D$8:$BA$8,0)+1),0)</f>
        <v>0</v>
      </c>
      <c r="CV35" s="33" cm="1">
        <f t="array" ref="CV35">IFERROR(INDEX('[2]Sales per type Agustus'!$D$10:$BA$51,MATCH($C35,'[2]Sales per type Agustus'!$B$10:$B$51,0),MATCH("IQOO Z11x",'[2]Sales per type Agustus'!$D$8:$BA$8,0)+1),0)</f>
        <v>0</v>
      </c>
      <c r="CW35" s="33">
        <f t="shared" si="31"/>
        <v>0</v>
      </c>
      <c r="CX35" s="33">
        <f>IFERROR(INDEX('[2]SALES PERTYPE'!$D$10:$BA$52,MATCH($C35,'[2]SALES PERTYPE'!$B$10:$B$52,0),MATCH("IQOO Z11",'[2]SALES PERTYPE'!$D$8:$BA$8,0)),0)</f>
        <v>0</v>
      </c>
      <c r="CY35" s="33">
        <f>IFERROR(INDEX('[2]Sales per type Agustus'!$D$10:$BA$51,MATCH($C35,'[2]Sales per type Agustus'!$B$10:$B$51,0),MATCH("IQOO Z11",'[2]Sales per type Agustus'!$D$8:$BA$8,0)),0)</f>
        <v>0</v>
      </c>
      <c r="CZ35" s="33">
        <f t="shared" si="32"/>
        <v>0</v>
      </c>
      <c r="DA35" s="33" cm="1">
        <f t="array" ref="DA35">IFERROR(INDEX('[2]SALES PERTYPE'!$D$10:$BA$52,MATCH($C35,'[2]SALES PERTYPE'!$B$10:$B$52,0),MATCH("IQOO Z11",'[2]SALES PERTYPE'!$D$8:$BA$8,0)+1),0)</f>
        <v>0</v>
      </c>
      <c r="DB35" s="33" cm="1">
        <f t="array" ref="DB35">IFERROR(INDEX('[2]Sales per type Agustus'!$D$10:$BA$51,MATCH($C35,'[2]Sales per type Agustus'!$B$10:$B$51,0),MATCH("IQOO Z11",'[2]Sales per type Agustus'!$D$8:$BA$8,0)+1),0)</f>
        <v>0</v>
      </c>
      <c r="DC35" s="33">
        <f t="shared" si="33"/>
        <v>0</v>
      </c>
      <c r="DD35" s="33">
        <f>IFERROR(INDEX('[2]SALES PERTYPE'!$D$10:$BA$52,MATCH($C35,'[2]SALES PERTYPE'!$B$10:$B$52,0),MATCH("WATCH 3",'[2]SALES PERTYPE'!$D$8:$BA$8,0)),0)</f>
        <v>0</v>
      </c>
      <c r="DE35" s="33">
        <f>IFERROR(INDEX('[2]Sales per type Agustus'!$D$10:$BA$51,MATCH($C35,'[2]Sales per type Agustus'!$B$10:$B$51,0),MATCH("WATCH 3",'[2]Sales per type Agustus'!$D$8:$BA$8,0)),0)</f>
        <v>0</v>
      </c>
      <c r="DF35" s="33">
        <f t="shared" si="34"/>
        <v>0</v>
      </c>
      <c r="DG35" s="33" cm="1">
        <f t="array" ref="DG35">IFERROR(INDEX('[2]SALES PERTYPE'!$D$10:$BA$52,MATCH($C35,'[2]SALES PERTYPE'!$B$10:$B$52,0),MATCH("WATCH 3",'[2]SALES PERTYPE'!$D$8:$BA$8,0)+1),0)</f>
        <v>0</v>
      </c>
      <c r="DH35" s="33" cm="1">
        <f t="array" ref="DH35">IFERROR(INDEX('[2]Sales per type Agustus'!$D$10:$BA$51,MATCH($C35,'[2]Sales per type Agustus'!$B$10:$B$51,0),MATCH("WATCH 3",'[2]Sales per type Agustus'!$D$8:$BA$8,0)+1),0)</f>
        <v>0</v>
      </c>
      <c r="DI35" s="33">
        <f t="shared" si="35"/>
        <v>0</v>
      </c>
      <c r="DJ35" s="33">
        <f>IFERROR(INDEX('[2]SALES PERTYPE'!$D$10:$BA$52,MATCH($C35,'[2]SALES PERTYPE'!$B$10:$B$52,0),MATCH("X Fold5",'[2]SALES PERTYPE'!$D$8:$BA$8,0)),0)</f>
        <v>0</v>
      </c>
      <c r="DK35" s="33">
        <f>IFERROR(INDEX('[2]Sales per type Agustus'!$D$10:$BA$51,MATCH($C35,'[2]Sales per type Agustus'!$B$10:$B$51,0),MATCH("X Fold5",'[2]Sales per type Agustus'!$D$8:$BA$8,0)),0)</f>
        <v>0</v>
      </c>
      <c r="DL35" s="33">
        <f t="shared" si="36"/>
        <v>0</v>
      </c>
      <c r="DM35" s="33" cm="1">
        <f t="array" ref="DM35">IFERROR(INDEX('[2]SALES PERTYPE'!$D$10:$BA$52,MATCH($C35,'[2]SALES PERTYPE'!$B$10:$B$52,0),MATCH("X Fold5",'[2]SALES PERTYPE'!$D$8:$BA$8,0)+1),0)</f>
        <v>0</v>
      </c>
      <c r="DN35" s="33" cm="1">
        <f t="array" ref="DN35">IFERROR(INDEX('[2]Sales per type Agustus'!$D$10:$BA$51,MATCH($C35,'[2]Sales per type Agustus'!$B$10:$B$51,0),MATCH("X Fold5",'[2]Sales per type Agustus'!$D$8:$BA$8,0)+1),0)</f>
        <v>0</v>
      </c>
      <c r="DO35" s="33">
        <f t="shared" si="37"/>
        <v>0</v>
      </c>
      <c r="DP35" s="33">
        <f>IFERROR(INDEX('[2]SALES PERTYPE'!$D$10:$BA$52,MATCH($C35,'[2]SALES PERTYPE'!$B$10:$B$52,0),MATCH("X300 PRO",'[2]SALES PERTYPE'!$D$8:$BA$8,0)),0)</f>
        <v>0</v>
      </c>
      <c r="DQ35" s="33">
        <f>IFERROR(INDEX('[2]Sales per type Agustus'!$D$10:$BA$51,MATCH($C35,'[2]Sales per type Agustus'!$B$10:$B$51,0),MATCH("X300 PRO",'[2]Sales per type Agustus'!$D$8:$BA$8,0)),0)</f>
        <v>0</v>
      </c>
      <c r="DR35" s="33">
        <f t="shared" si="38"/>
        <v>0</v>
      </c>
      <c r="DS35" s="33" cm="1">
        <f t="array" ref="DS35">IFERROR(INDEX('[2]SALES PERTYPE'!$D$10:$BA$52,MATCH($C35,'[2]SALES PERTYPE'!$B$10:$B$52,0),MATCH("X300 PRO",'[2]SALES PERTYPE'!$D$8:$BA$8,0)+1),0)</f>
        <v>0</v>
      </c>
      <c r="DT35" s="33" cm="1">
        <f t="array" ref="DT35">IFERROR(INDEX('[2]Sales per type Agustus'!$D$10:$BA$51,MATCH($C35,'[2]Sales per type Agustus'!$B$10:$B$51,0),MATCH("X300 PRO",'[2]Sales per type Agustus'!$D$8:$BA$8,0)+1),0)</f>
        <v>0</v>
      </c>
      <c r="DU35" s="33">
        <f t="shared" si="39"/>
        <v>0</v>
      </c>
      <c r="DV35" s="33">
        <f>IFERROR(INDEX('[2]SALES PERTYPE'!$D$10:$BA$52,MATCH($C35,'[2]SALES PERTYPE'!$B$10:$B$52,0),MATCH("X300",'[2]SALES PERTYPE'!$D$8:$BA$8,0)),0)</f>
        <v>0</v>
      </c>
      <c r="DW35" s="33">
        <f>IFERROR(INDEX('[2]Sales per type Agustus'!$D$10:$BA$51,MATCH($C35,'[2]Sales per type Agustus'!$B$10:$B$51,0),MATCH("X300 ",'[2]Sales per type Agustus'!$D$8:$BA$8,0)),0)</f>
        <v>0</v>
      </c>
      <c r="DX35" s="33">
        <f t="shared" si="40"/>
        <v>0</v>
      </c>
      <c r="DY35" s="33" cm="1">
        <f t="array" ref="DY35">IFERROR(INDEX('[2]SALES PERTYPE'!$D$10:$BA$52,MATCH($C35,'[2]SALES PERTYPE'!$B$10:$B$52,0),MATCH("X300",'[2]SALES PERTYPE'!$D$8:$BA$8,0)+1),0)</f>
        <v>0</v>
      </c>
      <c r="DZ35" s="33" cm="1">
        <f t="array" ref="DZ35">IFERROR(INDEX('[2]Sales per type Agustus'!$D$10:$BA$51,MATCH($C35,'[2]Sales per type Agustus'!$B$10:$B$51,0),MATCH("X300 ",'[2]Sales per type Agustus'!$D$8:$BA$8,0)+1),0)</f>
        <v>0</v>
      </c>
      <c r="EA35" s="33">
        <f t="shared" si="41"/>
        <v>0</v>
      </c>
      <c r="EB35" s="33">
        <f t="shared" si="42"/>
        <v>6</v>
      </c>
      <c r="EC35" s="33">
        <f t="shared" si="42"/>
        <v>5</v>
      </c>
      <c r="ED35" s="33">
        <f t="shared" si="43"/>
        <v>1</v>
      </c>
      <c r="EE35" s="33">
        <f t="shared" si="44"/>
        <v>18594000</v>
      </c>
      <c r="EF35" s="33">
        <f t="shared" si="44"/>
        <v>14795000</v>
      </c>
      <c r="EG35" s="33">
        <f t="shared" si="45"/>
        <v>3799000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5">
        <f>'[2]ACHIEVEMENT STORE'!A36</f>
        <v>32</v>
      </c>
      <c r="B36" s="216" t="str">
        <f>'[2]ACHIEVEMENT STORE'!B36</f>
        <v>624-万丹BANTEN</v>
      </c>
      <c r="C36" s="215">
        <f>'[2]ACHIEVEMENT STORE'!C36</f>
        <v>6240706</v>
      </c>
      <c r="D36" s="216" t="str">
        <f>'[2]ACHIEVEMENT STORE'!D36</f>
        <v>6240706-KARAWACI 1FC3A</v>
      </c>
      <c r="E36" s="216" t="str">
        <f>'[2]ACHIEVEMENT STORE'!E36</f>
        <v>ADE RIVALDI L</v>
      </c>
      <c r="F36" s="33">
        <f>IFERROR(INDEX('[2]SALES PERTYPE'!$D$10:$BA$52,MATCH($C36,'[2]SALES PERTYPE'!$B$10:$B$52,0),MATCH("Y05",'[2]SALES PERTYPE'!$D$8:$BA$8,0)),0)</f>
        <v>2</v>
      </c>
      <c r="G36" s="33">
        <f>IFERROR(INDEX('[2]Sales per type Agustus'!$D$10:$BA$51,MATCH($C36,'[2]Sales per type Agustus'!$B$10:$B$51,0),MATCH("Y05",'[2]Sales per type Agustus'!$D$8:$BA$8,0)),0)</f>
        <v>0</v>
      </c>
      <c r="H36" s="33">
        <f t="shared" si="0"/>
        <v>2</v>
      </c>
      <c r="I36" s="33" cm="1">
        <f t="array" ref="I36">IFERROR(INDEX('[2]SALES PERTYPE'!$D$10:$BA$52,MATCH($C36,'[2]SALES PERTYPE'!$B$10:$B$52,0),MATCH("Y05",'[2]SALES PERTYPE'!$D$8:$BA$8,0)+1),0)</f>
        <v>4898000</v>
      </c>
      <c r="J36" s="33" cm="1">
        <f t="array" ref="J36">IFERROR(INDEX('[2]Sales per type Agustus'!$D$10:$BA$51,MATCH($C36,'[2]Sales per type Agustus'!$B$10:$B$51,0),MATCH("Y05",'[2]Sales per type Agustus'!$D$8:$BA$8,0)+1),0)</f>
        <v>0</v>
      </c>
      <c r="K36" s="33">
        <f t="shared" si="1"/>
        <v>4898000</v>
      </c>
      <c r="L36" s="33">
        <f>IFERROR(INDEX('[2]SALES PERTYPE'!$D$10:$BA$52,MATCH($C36,'[2]SALES PERTYPE'!$B$10:$B$52,0),MATCH("Y11d",'[2]SALES PERTYPE'!$D$8:$BA$8,0)),0)</f>
        <v>0</v>
      </c>
      <c r="M36" s="33">
        <f>IFERROR(INDEX('[2]Sales per type Agustus'!$D$10:$BA$51,MATCH($C36,'[2]Sales per type Agustus'!$B$10:$B$51,0),MATCH("Y11d",'[2]Sales per type Agustus'!$D$8:$BA$8,0)),0)</f>
        <v>2</v>
      </c>
      <c r="N36" s="33">
        <f t="shared" si="2"/>
        <v>-2</v>
      </c>
      <c r="O36" s="33" cm="1">
        <f t="array" ref="O36">IFERROR(INDEX('[2]SALES PERTYPE'!$D$10:$BA$52,MATCH($C36,'[2]SALES PERTYPE'!$B$10:$B$52,0),MATCH("Y11d",'[2]SALES PERTYPE'!$D$8:$BA$8,0)+1),0)</f>
        <v>0</v>
      </c>
      <c r="P36" s="33" cm="1">
        <f t="array" ref="P36">IFERROR(INDEX('[2]Sales per type Agustus'!$D$10:$BA$51,MATCH($C36,'[2]Sales per type Agustus'!$B$10:$B$51,0),MATCH("Y11d",'[2]Sales per type Agustus'!$D$8:$BA$8,0)+1),0)</f>
        <v>5198000</v>
      </c>
      <c r="Q36" s="33">
        <f t="shared" si="3"/>
        <v>-5198000</v>
      </c>
      <c r="R36" s="33">
        <f>IFERROR(INDEX('[2]SALES PERTYPE'!$D$10:$BA$52,MATCH($C36,'[2]SALES PERTYPE'!$B$10:$B$52,0),MATCH("Watch GT 2",'[2]SALES PERTYPE'!$D$8:$BA$8,0)),0)</f>
        <v>0</v>
      </c>
      <c r="S36" s="33">
        <f>IFERROR(INDEX('[2]Sales per type Agustus'!$D$10:$BA$51,MATCH($C36,'[2]Sales per type Agustus'!$B$10:$B$51,0),MATCH("Watch GT 2",'[2]Sales per type Agustus'!$D$8:$BA$8,0)),0)</f>
        <v>0</v>
      </c>
      <c r="T36" s="33">
        <f t="shared" si="4"/>
        <v>0</v>
      </c>
      <c r="U36" s="33" cm="1">
        <f t="array" ref="U36">IFERROR(INDEX('[2]SALES PERTYPE'!$D$10:$BA$52,MATCH($C36,'[2]SALES PERTYPE'!$B$10:$B$52,0),MATCH("Watch GT 2",'[2]SALES PERTYPE'!$D$8:$BA$8,0)+1),0)</f>
        <v>0</v>
      </c>
      <c r="V36" s="33" cm="1">
        <f t="array" ref="V36">IFERROR(INDEX('[2]Sales per type Agustus'!$D$10:$BA$51,MATCH($C36,'[2]Sales per type Agustus'!$B$10:$B$51,0),MATCH("Watch GT 2",'[2]Sales per type Agustus'!$D$8:$BA$8,0)+1),0)</f>
        <v>0</v>
      </c>
      <c r="W36" s="33">
        <f t="shared" si="5"/>
        <v>0</v>
      </c>
      <c r="X36" s="33">
        <f>IFERROR(INDEX('[2]SALES PERTYPE'!$D$10:$BA$52,MATCH($C36,'[2]SALES PERTYPE'!$B$10:$B$52,0),MATCH("Y05e",'[2]SALES PERTYPE'!$D$8:$BA$8,0)),0)</f>
        <v>2</v>
      </c>
      <c r="Y36" s="33">
        <f>IFERROR(INDEX('[2]Sales per type Agustus'!$D$10:$BA$51,MATCH($C36,'[2]Sales per type Agustus'!$B$10:$B$51,0),MATCH("Y05e",'[2]Sales per type Agustus'!$D$8:$BA$8,0)),0)</f>
        <v>1</v>
      </c>
      <c r="Z36" s="33">
        <f t="shared" si="6"/>
        <v>1</v>
      </c>
      <c r="AA36" s="33" cm="1">
        <f t="array" ref="AA36">IFERROR(INDEX('[2]SALES PERTYPE'!$D$10:$BA$52,MATCH($C36,'[2]SALES PERTYPE'!$B$10:$B$52,0),MATCH("Y05e",'[2]SALES PERTYPE'!$D$8:$BA$8,0)+1),0)</f>
        <v>4198000</v>
      </c>
      <c r="AB36" s="33" cm="1">
        <f t="array" ref="AB36">IFERROR(INDEX('[2]Sales per type Agustus'!$D$10:$BA$51,MATCH($C36,'[2]Sales per type Agustus'!$B$10:$B$51,0),MATCH("Y05e",'[2]Sales per type Agustus'!$D$8:$BA$8,0)+1),0)</f>
        <v>2099000</v>
      </c>
      <c r="AC36" s="33">
        <f t="shared" si="7"/>
        <v>2099000</v>
      </c>
      <c r="AD36" s="33">
        <f>IFERROR(INDEX('[2]SALES PERTYPE'!$D$10:$BA$52,MATCH($C36,'[2]SALES PERTYPE'!$B$10:$B$52,0),MATCH("V70",'[2]SALES PERTYPE'!$D$8:$BA$8,0)),0)</f>
        <v>1</v>
      </c>
      <c r="AE36" s="33">
        <f>IFERROR(INDEX('[2]Sales per type Agustus'!$D$10:$BA$51,MATCH($C36,'[2]Sales per type Agustus'!$B$10:$B$51,0),MATCH("V70",'[2]Sales per type Agustus'!$D$8:$BA$8,0)),0)</f>
        <v>0</v>
      </c>
      <c r="AF36" s="33">
        <f t="shared" si="8"/>
        <v>1</v>
      </c>
      <c r="AG36" s="33" cm="1">
        <f t="array" ref="AG36">IFERROR(INDEX('[2]SALES PERTYPE'!$D$10:$BA$52,MATCH($C36,'[2]SALES PERTYPE'!$B$10:$B$52,0),MATCH("V70",'[2]SALES PERTYPE'!$D$8:$BA$8,0)+1),0)</f>
        <v>9999000</v>
      </c>
      <c r="AH36" s="33" cm="1">
        <f t="array" ref="AH36">IFERROR(INDEX('[2]Sales per type Agustus'!$D$10:$BA$51,MATCH($C36,'[2]Sales per type Agustus'!$B$10:$B$51,0),MATCH("V70",'[2]Sales per type Agustus'!$D$8:$BA$8,0)+1),0)</f>
        <v>0</v>
      </c>
      <c r="AI36" s="33">
        <f t="shared" si="9"/>
        <v>9999000</v>
      </c>
      <c r="AJ36" s="33">
        <f>IFERROR(INDEX('[2]SALES PERTYPE'!$D$10:$BA$52,MATCH($C36,'[2]SALES PERTYPE'!$B$10:$B$52,0),MATCH("Y31d Pro",'[2]SALES PERTYPE'!$D$8:$BA$8,0)),0)</f>
        <v>1</v>
      </c>
      <c r="AK36" s="33">
        <f>IFERROR(INDEX('[2]Sales per type Agustus'!$D$10:$BA$51,MATCH($C36,'[2]Sales per type Agustus'!$B$10:$B$51,0),MATCH("Y31d Pro",'[2]Sales per type Agustus'!$D$8:$BA$8,0)),0)</f>
        <v>2</v>
      </c>
      <c r="AL36" s="33">
        <f t="shared" si="10"/>
        <v>-1</v>
      </c>
      <c r="AM36" s="33" cm="1">
        <f t="array" ref="AM36">IFERROR(INDEX('[2]SALES PERTYPE'!$D$10:$BA$52,MATCH($C36,'[2]SALES PERTYPE'!$B$10:$B$52,0),MATCH("Y31d Pro",'[2]SALES PERTYPE'!$D$8:$BA$8,0)+1),0)</f>
        <v>4299000</v>
      </c>
      <c r="AN36" s="33" cm="1">
        <f t="array" ref="AN36">IFERROR(INDEX('[2]Sales per type Agustus'!$D$10:$BA$51,MATCH($C36,'[2]Sales per type Agustus'!$B$10:$B$51,0),MATCH("Y31d Pro",'[2]Sales per type Agustus'!$D$8:$BA$8,0)+1),0)</f>
        <v>9398000</v>
      </c>
      <c r="AO36" s="33">
        <f t="shared" si="11"/>
        <v>-5099000</v>
      </c>
      <c r="AP36" s="33" cm="1">
        <f t="array" ref="AP36">IFERROR(INDEX('[2]SALES PERTYPE'!$D$10:$BA$52,MATCH($C36,'[2]SALES PERTYPE'!$B$10:$B$52,0),$EI$3),0)</f>
        <v>0</v>
      </c>
      <c r="AQ36" s="33" cm="1">
        <f t="array" ref="AQ36">IFERROR(INDEX('[2]Sales per type Agustus'!$D$10:$BA$51,MATCH($C36,'[2]Sales per type Agustus'!$B$10:$B$51,0),$EI$2),0)</f>
        <v>0</v>
      </c>
      <c r="AR36" s="33">
        <f t="shared" si="12"/>
        <v>0</v>
      </c>
      <c r="AS36" s="33" cm="1">
        <f t="array" ref="AS36">IFERROR(INDEX('[2]SALES PERTYPE'!$D$10:$BA$52,MATCH($C36,'[2]SALES PERTYPE'!$B$10:$B$52,0),$EI$3+1),0)</f>
        <v>0</v>
      </c>
      <c r="AT36" s="33" cm="1">
        <f t="array" ref="AT36">IFERROR(INDEX('[2]Sales per type Agustus'!$D$10:$BA$51,MATCH($C36,'[2]Sales per type Agustus'!$B$10:$B$51,0),$EI$2+1),0)</f>
        <v>0</v>
      </c>
      <c r="AU36" s="33">
        <f t="shared" si="13"/>
        <v>0</v>
      </c>
      <c r="AV36" s="33">
        <f>IFERROR(INDEX('[2]SALES PERTYPE'!$D$10:$BA$52,MATCH($C36,'[2]SALES PERTYPE'!$B$10:$B$52,0),MATCH("Y31d ",'[2]SALES PERTYPE'!$D$8:$BA$8,0)),0)</f>
        <v>0</v>
      </c>
      <c r="AW36" s="33">
        <f>IFERROR(INDEX('[2]Sales per type Agustus'!$D$10:$BA$51,MATCH($C36,'[2]Sales per type Agustus'!$B$10:$B$51,0),MATCH("Y31d ",'[2]Sales per type Agustus'!$D$8:$BA$8,0)),0)</f>
        <v>0</v>
      </c>
      <c r="AX36" s="33">
        <f t="shared" si="14"/>
        <v>0</v>
      </c>
      <c r="AY36" s="33" cm="1">
        <f t="array" ref="AY36">IFERROR(INDEX('[2]SALES PERTYPE'!$D$10:$BA$52,MATCH($C36,'[2]SALES PERTYPE'!$B$10:$B$52,0),MATCH("Y31d ",'[2]SALES PERTYPE'!$D$8:$BA$8,0)+1),0)</f>
        <v>0</v>
      </c>
      <c r="AZ36" s="33" cm="1">
        <f t="array" ref="AZ36">IFERROR(INDEX('[2]Sales per type Agustus'!$D$10:$BA$51,MATCH($C36,'[2]Sales per type Agustus'!$B$10:$B$51,0),MATCH("Y31d ",'[2]Sales per type Agustus'!$D$8:$BA$8,0)+1),0)</f>
        <v>0</v>
      </c>
      <c r="BA36" s="33">
        <f t="shared" si="15"/>
        <v>0</v>
      </c>
      <c r="BB36" s="33">
        <f>IFERROR(INDEX('[2]SALES PERTYPE'!$D$10:$BA$52,MATCH($C36,'[2]SALES PERTYPE'!$B$10:$B$52,0),MATCH("V70 FE",'[2]SALES PERTYPE'!$D$8:$BA$8,0)),0)</f>
        <v>1</v>
      </c>
      <c r="BC36" s="33">
        <f>IFERROR(INDEX('[2]Sales per type Agustus'!$D$10:$BA$51,MATCH($C36,'[2]Sales per type Agustus'!$B$10:$B$51,0),MATCH("V70 FE",'[2]Sales per type Agustus'!$D$8:$BA$8,0)),0)</f>
        <v>0</v>
      </c>
      <c r="BD36" s="33">
        <f t="shared" si="16"/>
        <v>1</v>
      </c>
      <c r="BE36" s="33" cm="1">
        <f t="array" ref="BE36">IFERROR(INDEX('[2]SALES PERTYPE'!$D$10:$BA$52,MATCH($C36,'[2]SALES PERTYPE'!$B$10:$B$52,0),MATCH("V70 FE",'[2]SALES PERTYPE'!$D$8:$BA$8,0)+1),0)</f>
        <v>7999000</v>
      </c>
      <c r="BF36" s="33" cm="1">
        <f t="array" ref="BF36">IFERROR(INDEX('[2]Sales per type Agustus'!$D$10:$BA$51,MATCH($C36,'[2]Sales per type Agustus'!$B$10:$B$51,0),MATCH("V70 FE",'[2]Sales per type Agustus'!$D$8:$BA$8,0)+1),0)</f>
        <v>0</v>
      </c>
      <c r="BG36" s="33">
        <f t="shared" si="17"/>
        <v>7999000</v>
      </c>
      <c r="BH36" s="33">
        <f>IFERROR(INDEX('[2]SALES PERTYPE'!$D$10:$BA$52,MATCH($C36,'[2]SALES PERTYPE'!$B$10:$B$52,0),MATCH("Y31d",'[2]SALES PERTYPE'!$D$8:$BA$8,0)),0)</f>
        <v>0</v>
      </c>
      <c r="BI36" s="33">
        <f>IFERROR(INDEX('[2]Sales per type Agustus'!$D$10:$BA$51,MATCH($C36,'[2]Sales per type Agustus'!$B$10:$B$51,0),MATCH("Y31d",'[2]Sales per type Agustus'!$D$8:$BA$8,0)),0)</f>
        <v>0</v>
      </c>
      <c r="BJ36" s="33">
        <f t="shared" si="18"/>
        <v>0</v>
      </c>
      <c r="BK36" s="33" cm="1">
        <f t="array" ref="BK36">IFERROR(INDEX('[2]SALES PERTYPE'!$D$10:$BA$52,MATCH($C36,'[2]SALES PERTYPE'!$B$10:$B$52,0),MATCH("Y31d",'[2]SALES PERTYPE'!$D$8:$BA$8,0)+1),0)</f>
        <v>0</v>
      </c>
      <c r="BL36" s="33" cm="1">
        <f t="array" ref="BL36">IFERROR(INDEX('[2]Sales per type Agustus'!$D$10:$BA$51,MATCH($C36,'[2]Sales per type Agustus'!$B$10:$B$51,0),MATCH("Y31d",'[2]Sales per type Agustus'!$D$8:$BA$8,0)+1),0)</f>
        <v>0</v>
      </c>
      <c r="BM36" s="33">
        <f t="shared" si="19"/>
        <v>0</v>
      </c>
      <c r="BN36" s="33">
        <f>IFERROR(INDEX('[2]SALES PERTYPE'!$D$10:$BA$52,MATCH($C36,'[2]SALES PERTYPE'!$B$10:$B$52,0),MATCH("Y500",'[2]SALES PERTYPE'!$D$8:$BA$8,0)),0)</f>
        <v>0</v>
      </c>
      <c r="BO36" s="33">
        <f>IFERROR(INDEX('[2]Sales per type Agustus'!$D$10:$BA$51,MATCH($C36,'[2]Sales per type Agustus'!$B$10:$B$51,0),MATCH("Y500",'[2]Sales per type Agustus'!$D$8:$BA$8,0)),0)</f>
        <v>0</v>
      </c>
      <c r="BP36" s="33">
        <f t="shared" si="20"/>
        <v>0</v>
      </c>
      <c r="BQ36" s="33" cm="1">
        <f t="array" ref="BQ36">IFERROR(INDEX('[2]SALES PERTYPE'!$D$10:$BA$52,MATCH($C36,'[2]SALES PERTYPE'!$B$10:$B$52,0),MATCH("Y500",'[2]SALES PERTYPE'!$D$8:$BA$8,0)+1),0)</f>
        <v>0</v>
      </c>
      <c r="BR36" s="33" cm="1">
        <f t="array" ref="BR36">IFERROR(INDEX('[2]Sales per type Agustus'!$D$10:$BA$51,MATCH($C36,'[2]Sales per type Agustus'!$B$10:$B$51,0),MATCH("Y500",'[2]Sales per type Agustus'!$D$8:$BA$8,0)+1),0)</f>
        <v>0</v>
      </c>
      <c r="BS36" s="33">
        <f t="shared" si="21"/>
        <v>0</v>
      </c>
      <c r="BT36" s="33">
        <f>IFERROR(INDEX('[2]SALES PERTYPE'!$D$10:$BA$52,MATCH($C36,'[2]SALES PERTYPE'!$B$10:$B$52,0),MATCH("IQOO 15R",'[2]SALES PERTYPE'!$D$8:$BA$8,0)),0)</f>
        <v>0</v>
      </c>
      <c r="BU36" s="33">
        <f>IFERROR(INDEX('[2]Sales per type Agustus'!$D$10:$BA$51,MATCH($C36,'[2]Sales per type Agustus'!$B$10:$B$51,0),MATCH("IQOO 15R",'[2]Sales per type Agustus'!$D$8:$BA$8,0)),0)</f>
        <v>0</v>
      </c>
      <c r="BV36" s="33">
        <f t="shared" si="22"/>
        <v>0</v>
      </c>
      <c r="BW36" s="33" cm="1">
        <f t="array" ref="BW36">IFERROR(INDEX('[2]SALES PERTYPE'!$D$10:$BA$52,MATCH($C36,'[2]SALES PERTYPE'!$B$10:$B$52,0),MATCH("IQOO 15R",'[2]SALES PERTYPE'!$D$8:$BA$8,0)+1),0)</f>
        <v>0</v>
      </c>
      <c r="BX36" s="33" cm="1">
        <f t="array" ref="BX36">IFERROR(INDEX('[2]Sales per type Agustus'!$D$10:$BA$51,MATCH($C36,'[2]Sales per type Agustus'!$B$10:$B$51,0),MATCH("IQOO 15R",'[2]Sales per type Agustus'!$D$8:$BA$8,0)+1),0)</f>
        <v>0</v>
      </c>
      <c r="BY36" s="33">
        <f t="shared" si="23"/>
        <v>0</v>
      </c>
      <c r="BZ36" s="33">
        <f>IFERROR(INDEX('[2]SALES PERTYPE'!$D$10:$BA$52,MATCH($C36,'[2]SALES PERTYPE'!$B$10:$B$52,0),MATCH("V60 Lite",'[2]SALES PERTYPE'!$D$8:$BA$8,0)),0)</f>
        <v>1</v>
      </c>
      <c r="CA36" s="33">
        <f>IFERROR(INDEX('[2]Sales per type Agustus'!$D$10:$BA$51,MATCH($C36,'[2]Sales per type Agustus'!$B$10:$B$51,0),MATCH("V60 Lite",'[2]Sales per type Agustus'!$D$8:$BA$8,0)),0)</f>
        <v>1</v>
      </c>
      <c r="CB36" s="33">
        <f t="shared" si="24"/>
        <v>0</v>
      </c>
      <c r="CC36" s="33" cm="1">
        <f t="array" ref="CC36">IFERROR(INDEX('[2]SALES PERTYPE'!$D$10:$BA$52,MATCH($C36,'[2]SALES PERTYPE'!$B$10:$B$52,0),MATCH("V60 Lite",'[2]SALES PERTYPE'!$D$8:$BA$8,0)+1),0)</f>
        <v>6499000</v>
      </c>
      <c r="CD36" s="33" cm="1">
        <f t="array" ref="CD36">IFERROR(INDEX('[2]Sales per type Agustus'!$D$10:$BA$51,MATCH($C36,'[2]Sales per type Agustus'!$B$10:$B$51,0),MATCH("V60 Lite",'[2]Sales per type Agustus'!$D$8:$BA$8,0)+1),0)</f>
        <v>5299000</v>
      </c>
      <c r="CE36" s="33">
        <f t="shared" si="25"/>
        <v>1200000</v>
      </c>
      <c r="CF36" s="33">
        <f>IFERROR(INDEX('[2]SALES PERTYPE'!$D$10:$BA$52,MATCH($C36,'[2]SALES PERTYPE'!$B$10:$B$52,0),MATCH("X300 Ultra",'[2]SALES PERTYPE'!$D$8:$BA$8,0)),0)</f>
        <v>0</v>
      </c>
      <c r="CG36" s="33">
        <f>IFERROR(INDEX('[2]Sales per type Agustus'!$D$10:$BA$51,MATCH($C36,'[2]Sales per type Agustus'!$B$10:$B$51,0),MATCH("X300 Ultra",'[2]Sales per type Agustus'!$D$8:$BA$8,0)),0)</f>
        <v>0</v>
      </c>
      <c r="CH36" s="33">
        <f t="shared" si="26"/>
        <v>0</v>
      </c>
      <c r="CI36" s="33" cm="1">
        <f t="array" ref="CI36">IFERROR(INDEX('[2]SALES PERTYPE'!$D$10:$BA$52,MATCH($C36,'[2]SALES PERTYPE'!$B$10:$B$52,0),MATCH("X300 Ultra",'[2]SALES PERTYPE'!$D$8:$BA$8,0)+1),0)</f>
        <v>0</v>
      </c>
      <c r="CJ36" s="33" cm="1">
        <f t="array" ref="CJ36">IFERROR(INDEX('[2]Sales per type Agustus'!$D$10:$BA$51,MATCH($C36,'[2]Sales per type Agustus'!$B$10:$B$51,0),MATCH("X300 Ultra",'[2]Sales per type Agustus'!$D$8:$BA$8,0)+1),0)</f>
        <v>0</v>
      </c>
      <c r="CK36" s="33">
        <f t="shared" si="27"/>
        <v>0</v>
      </c>
      <c r="CL36" s="33">
        <f>IFERROR(INDEX('[2]SALES PERTYPE'!$D$10:$BA$52,MATCH($C36,'[2]SALES PERTYPE'!$B$10:$B$52,0),MATCH("IQOO 15",'[2]SALES PERTYPE'!$D$8:$BA$8,0)),0)</f>
        <v>0</v>
      </c>
      <c r="CM36" s="33">
        <f>IFERROR(INDEX('[2]Sales per type Agustus'!$D$10:$BA$51,MATCH($C36,'[2]Sales per type Agustus'!$B$10:$B$51,0),MATCH("IQOO 15",'[2]Sales per type Agustus'!$D$8:$BA$8,0)),0)</f>
        <v>0</v>
      </c>
      <c r="CN36" s="33">
        <f t="shared" si="28"/>
        <v>0</v>
      </c>
      <c r="CO36" s="33" cm="1">
        <f t="array" ref="CO36">IFERROR(INDEX('[2]SALES PERTYPE'!$D$10:$BA$52,MATCH($C36,'[2]SALES PERTYPE'!$B$10:$B$52,0),MATCH("IQOO 15",'[2]SALES PERTYPE'!$D$8:$BA$8,0)+1),0)</f>
        <v>0</v>
      </c>
      <c r="CP36" s="33" cm="1">
        <f t="array" ref="CP36">IFERROR(INDEX('[2]Sales per type Agustus'!$D$10:$BA$51,MATCH($C36,'[2]Sales per type Agustus'!$B$10:$B$51,0),MATCH("IQOO 15",'[2]Sales per type Agustus'!$D$8:$BA$8,0)+1),0)</f>
        <v>0</v>
      </c>
      <c r="CQ36" s="33">
        <f t="shared" si="29"/>
        <v>0</v>
      </c>
      <c r="CR36" s="33">
        <f>IFERROR(INDEX('[2]SALES PERTYPE'!$D$10:$BA$52,MATCH($C36,'[2]SALES PERTYPE'!$B$10:$B$52,0),MATCH("IQOO Z11x",'[2]SALES PERTYPE'!$D$8:$BA$8,0)),0)</f>
        <v>0</v>
      </c>
      <c r="CS36" s="33">
        <f>IFERROR(INDEX('[2]Sales per type Agustus'!$D$10:$BA$51,MATCH($C36,'[2]Sales per type Agustus'!$B$10:$B$51,0),MATCH("IQOO Z11x",'[2]Sales per type Agustus'!$D$8:$BA$8,0)),0)</f>
        <v>0</v>
      </c>
      <c r="CT36" s="33">
        <f t="shared" si="30"/>
        <v>0</v>
      </c>
      <c r="CU36" s="33" cm="1">
        <f t="array" ref="CU36">IFERROR(INDEX('[2]SALES PERTYPE'!$D$10:$BA$52,MATCH($C36,'[2]SALES PERTYPE'!$B$10:$B$52,0),MATCH("IQOO Z11x",'[2]SALES PERTYPE'!$D$8:$BA$8,0)+1),0)</f>
        <v>0</v>
      </c>
      <c r="CV36" s="33" cm="1">
        <f t="array" ref="CV36">IFERROR(INDEX('[2]Sales per type Agustus'!$D$10:$BA$51,MATCH($C36,'[2]Sales per type Agustus'!$B$10:$B$51,0),MATCH("IQOO Z11x",'[2]Sales per type Agustus'!$D$8:$BA$8,0)+1),0)</f>
        <v>0</v>
      </c>
      <c r="CW36" s="33">
        <f t="shared" si="31"/>
        <v>0</v>
      </c>
      <c r="CX36" s="33">
        <f>IFERROR(INDEX('[2]SALES PERTYPE'!$D$10:$BA$52,MATCH($C36,'[2]SALES PERTYPE'!$B$10:$B$52,0),MATCH("IQOO Z11",'[2]SALES PERTYPE'!$D$8:$BA$8,0)),0)</f>
        <v>0</v>
      </c>
      <c r="CY36" s="33">
        <f>IFERROR(INDEX('[2]Sales per type Agustus'!$D$10:$BA$51,MATCH($C36,'[2]Sales per type Agustus'!$B$10:$B$51,0),MATCH("IQOO Z11",'[2]Sales per type Agustus'!$D$8:$BA$8,0)),0)</f>
        <v>0</v>
      </c>
      <c r="CZ36" s="33">
        <f t="shared" si="32"/>
        <v>0</v>
      </c>
      <c r="DA36" s="33" cm="1">
        <f t="array" ref="DA36">IFERROR(INDEX('[2]SALES PERTYPE'!$D$10:$BA$52,MATCH($C36,'[2]SALES PERTYPE'!$B$10:$B$52,0),MATCH("IQOO Z11",'[2]SALES PERTYPE'!$D$8:$BA$8,0)+1),0)</f>
        <v>0</v>
      </c>
      <c r="DB36" s="33" cm="1">
        <f t="array" ref="DB36">IFERROR(INDEX('[2]Sales per type Agustus'!$D$10:$BA$51,MATCH($C36,'[2]Sales per type Agustus'!$B$10:$B$51,0),MATCH("IQOO Z11",'[2]Sales per type Agustus'!$D$8:$BA$8,0)+1),0)</f>
        <v>0</v>
      </c>
      <c r="DC36" s="33">
        <f t="shared" si="33"/>
        <v>0</v>
      </c>
      <c r="DD36" s="33">
        <f>IFERROR(INDEX('[2]SALES PERTYPE'!$D$10:$BA$52,MATCH($C36,'[2]SALES PERTYPE'!$B$10:$B$52,0),MATCH("WATCH 3",'[2]SALES PERTYPE'!$D$8:$BA$8,0)),0)</f>
        <v>0</v>
      </c>
      <c r="DE36" s="33">
        <f>IFERROR(INDEX('[2]Sales per type Agustus'!$D$10:$BA$51,MATCH($C36,'[2]Sales per type Agustus'!$B$10:$B$51,0),MATCH("WATCH 3",'[2]Sales per type Agustus'!$D$8:$BA$8,0)),0)</f>
        <v>0</v>
      </c>
      <c r="DF36" s="33">
        <f t="shared" si="34"/>
        <v>0</v>
      </c>
      <c r="DG36" s="33" cm="1">
        <f t="array" ref="DG36">IFERROR(INDEX('[2]SALES PERTYPE'!$D$10:$BA$52,MATCH($C36,'[2]SALES PERTYPE'!$B$10:$B$52,0),MATCH("WATCH 3",'[2]SALES PERTYPE'!$D$8:$BA$8,0)+1),0)</f>
        <v>0</v>
      </c>
      <c r="DH36" s="33" cm="1">
        <f t="array" ref="DH36">IFERROR(INDEX('[2]Sales per type Agustus'!$D$10:$BA$51,MATCH($C36,'[2]Sales per type Agustus'!$B$10:$B$51,0),MATCH("WATCH 3",'[2]Sales per type Agustus'!$D$8:$BA$8,0)+1),0)</f>
        <v>0</v>
      </c>
      <c r="DI36" s="33">
        <f t="shared" si="35"/>
        <v>0</v>
      </c>
      <c r="DJ36" s="33">
        <f>IFERROR(INDEX('[2]SALES PERTYPE'!$D$10:$BA$52,MATCH($C36,'[2]SALES PERTYPE'!$B$10:$B$52,0),MATCH("X Fold5",'[2]SALES PERTYPE'!$D$8:$BA$8,0)),0)</f>
        <v>0</v>
      </c>
      <c r="DK36" s="33">
        <f>IFERROR(INDEX('[2]Sales per type Agustus'!$D$10:$BA$51,MATCH($C36,'[2]Sales per type Agustus'!$B$10:$B$51,0),MATCH("X Fold5",'[2]Sales per type Agustus'!$D$8:$BA$8,0)),0)</f>
        <v>0</v>
      </c>
      <c r="DL36" s="33">
        <f t="shared" si="36"/>
        <v>0</v>
      </c>
      <c r="DM36" s="33" cm="1">
        <f t="array" ref="DM36">IFERROR(INDEX('[2]SALES PERTYPE'!$D$10:$BA$52,MATCH($C36,'[2]SALES PERTYPE'!$B$10:$B$52,0),MATCH("X Fold5",'[2]SALES PERTYPE'!$D$8:$BA$8,0)+1),0)</f>
        <v>0</v>
      </c>
      <c r="DN36" s="33" cm="1">
        <f t="array" ref="DN36">IFERROR(INDEX('[2]Sales per type Agustus'!$D$10:$BA$51,MATCH($C36,'[2]Sales per type Agustus'!$B$10:$B$51,0),MATCH("X Fold5",'[2]Sales per type Agustus'!$D$8:$BA$8,0)+1),0)</f>
        <v>0</v>
      </c>
      <c r="DO36" s="33">
        <f t="shared" si="37"/>
        <v>0</v>
      </c>
      <c r="DP36" s="33">
        <f>IFERROR(INDEX('[2]SALES PERTYPE'!$D$10:$BA$52,MATCH($C36,'[2]SALES PERTYPE'!$B$10:$B$52,0),MATCH("X300 PRO",'[2]SALES PERTYPE'!$D$8:$BA$8,0)),0)</f>
        <v>0</v>
      </c>
      <c r="DQ36" s="33">
        <f>IFERROR(INDEX('[2]Sales per type Agustus'!$D$10:$BA$51,MATCH($C36,'[2]Sales per type Agustus'!$B$10:$B$51,0),MATCH("X300 PRO",'[2]Sales per type Agustus'!$D$8:$BA$8,0)),0)</f>
        <v>0</v>
      </c>
      <c r="DR36" s="33">
        <f t="shared" si="38"/>
        <v>0</v>
      </c>
      <c r="DS36" s="33" cm="1">
        <f t="array" ref="DS36">IFERROR(INDEX('[2]SALES PERTYPE'!$D$10:$BA$52,MATCH($C36,'[2]SALES PERTYPE'!$B$10:$B$52,0),MATCH("X300 PRO",'[2]SALES PERTYPE'!$D$8:$BA$8,0)+1),0)</f>
        <v>0</v>
      </c>
      <c r="DT36" s="33" cm="1">
        <f t="array" ref="DT36">IFERROR(INDEX('[2]Sales per type Agustus'!$D$10:$BA$51,MATCH($C36,'[2]Sales per type Agustus'!$B$10:$B$51,0),MATCH("X300 PRO",'[2]Sales per type Agustus'!$D$8:$BA$8,0)+1),0)</f>
        <v>0</v>
      </c>
      <c r="DU36" s="33">
        <f t="shared" si="39"/>
        <v>0</v>
      </c>
      <c r="DV36" s="33">
        <f>IFERROR(INDEX('[2]SALES PERTYPE'!$D$10:$BA$52,MATCH($C36,'[2]SALES PERTYPE'!$B$10:$B$52,0),MATCH("X300",'[2]SALES PERTYPE'!$D$8:$BA$8,0)),0)</f>
        <v>0</v>
      </c>
      <c r="DW36" s="33">
        <f>IFERROR(INDEX('[2]Sales per type Agustus'!$D$10:$BA$51,MATCH($C36,'[2]Sales per type Agustus'!$B$10:$B$51,0),MATCH("X300 ",'[2]Sales per type Agustus'!$D$8:$BA$8,0)),0)</f>
        <v>0</v>
      </c>
      <c r="DX36" s="33">
        <f t="shared" si="40"/>
        <v>0</v>
      </c>
      <c r="DY36" s="33" cm="1">
        <f t="array" ref="DY36">IFERROR(INDEX('[2]SALES PERTYPE'!$D$10:$BA$52,MATCH($C36,'[2]SALES PERTYPE'!$B$10:$B$52,0),MATCH("X300",'[2]SALES PERTYPE'!$D$8:$BA$8,0)+1),0)</f>
        <v>0</v>
      </c>
      <c r="DZ36" s="33" cm="1">
        <f t="array" ref="DZ36">IFERROR(INDEX('[2]Sales per type Agustus'!$D$10:$BA$51,MATCH($C36,'[2]Sales per type Agustus'!$B$10:$B$51,0),MATCH("X300 ",'[2]Sales per type Agustus'!$D$8:$BA$8,0)+1),0)</f>
        <v>0</v>
      </c>
      <c r="EA36" s="33">
        <f t="shared" si="41"/>
        <v>0</v>
      </c>
      <c r="EB36" s="33">
        <f t="shared" si="42"/>
        <v>8</v>
      </c>
      <c r="EC36" s="33">
        <f t="shared" si="42"/>
        <v>6</v>
      </c>
      <c r="ED36" s="33">
        <f t="shared" si="43"/>
        <v>2</v>
      </c>
      <c r="EE36" s="33">
        <f t="shared" si="44"/>
        <v>37892000</v>
      </c>
      <c r="EF36" s="33">
        <f t="shared" si="44"/>
        <v>21994000</v>
      </c>
      <c r="EG36" s="33">
        <f t="shared" si="45"/>
        <v>15898000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'[2]ACHIEVEMENT STORE'!A37</f>
        <v>33</v>
      </c>
      <c r="B37" s="32" t="str">
        <f>'[2]ACHIEVEMENT STORE'!B37</f>
        <v>619-万隆市区BDG KOTA</v>
      </c>
      <c r="C37" s="31">
        <f>'[2]ACHIEVEMENT STORE'!C37</f>
        <v>6190701</v>
      </c>
      <c r="D37" s="32" t="str">
        <f>'[2]ACHIEVEMENT STORE'!D37</f>
        <v>6190701-BEC VIVO STORE UG</v>
      </c>
      <c r="E37" s="32" t="str">
        <f>'[2]ACHIEVEMENT STORE'!E37</f>
        <v>EKO PURWANTO</v>
      </c>
      <c r="F37" s="33">
        <f>IFERROR(INDEX('[2]SALES PERTYPE'!$D$10:$BA$52,MATCH($C37,'[2]SALES PERTYPE'!$B$10:$B$52,0),MATCH("Y05",'[2]SALES PERTYPE'!$D$8:$BA$8,0)),0)</f>
        <v>3</v>
      </c>
      <c r="G37" s="33">
        <f>IFERROR(INDEX('[2]Sales per type Agustus'!$D$10:$BA$51,MATCH($C37,'[2]Sales per type Agustus'!$B$10:$B$51,0),MATCH("Y05",'[2]Sales per type Agustus'!$D$8:$BA$8,0)),0)</f>
        <v>1</v>
      </c>
      <c r="H37" s="33">
        <f t="shared" si="0"/>
        <v>2</v>
      </c>
      <c r="I37" s="33" cm="1">
        <f t="array" ref="I37">IFERROR(INDEX('[2]SALES PERTYPE'!$D$10:$BA$52,MATCH($C37,'[2]SALES PERTYPE'!$B$10:$B$52,0),MATCH("Y05",'[2]SALES PERTYPE'!$D$8:$BA$8,0)+1),0)</f>
        <v>7797000</v>
      </c>
      <c r="J37" s="33" cm="1">
        <f t="array" ref="J37">IFERROR(INDEX('[2]Sales per type Agustus'!$D$10:$BA$51,MATCH($C37,'[2]Sales per type Agustus'!$B$10:$B$51,0),MATCH("Y05",'[2]Sales per type Agustus'!$D$8:$BA$8,0)+1),0)</f>
        <v>2299000</v>
      </c>
      <c r="K37" s="33">
        <f t="shared" si="1"/>
        <v>5498000</v>
      </c>
      <c r="L37" s="33">
        <f>IFERROR(INDEX('[2]SALES PERTYPE'!$D$10:$BA$52,MATCH($C37,'[2]SALES PERTYPE'!$B$10:$B$52,0),MATCH("Y11d",'[2]SALES PERTYPE'!$D$8:$BA$8,0)),0)</f>
        <v>3</v>
      </c>
      <c r="M37" s="33">
        <f>IFERROR(INDEX('[2]Sales per type Agustus'!$D$10:$BA$51,MATCH($C37,'[2]Sales per type Agustus'!$B$10:$B$51,0),MATCH("Y11d",'[2]Sales per type Agustus'!$D$8:$BA$8,0)),0)</f>
        <v>4</v>
      </c>
      <c r="N37" s="33">
        <f t="shared" si="2"/>
        <v>-1</v>
      </c>
      <c r="O37" s="33" cm="1">
        <f t="array" ref="O37">IFERROR(INDEX('[2]SALES PERTYPE'!$D$10:$BA$52,MATCH($C37,'[2]SALES PERTYPE'!$B$10:$B$52,0),MATCH("Y11d",'[2]SALES PERTYPE'!$D$8:$BA$8,0)+1),0)</f>
        <v>7997000</v>
      </c>
      <c r="P37" s="33" cm="1">
        <f t="array" ref="P37">IFERROR(INDEX('[2]Sales per type Agustus'!$D$10:$BA$51,MATCH($C37,'[2]Sales per type Agustus'!$B$10:$B$51,0),MATCH("Y11d",'[2]Sales per type Agustus'!$D$8:$BA$8,0)+1),0)</f>
        <v>11196000</v>
      </c>
      <c r="Q37" s="33">
        <f t="shared" si="3"/>
        <v>-3199000</v>
      </c>
      <c r="R37" s="33">
        <f>IFERROR(INDEX('[2]SALES PERTYPE'!$D$10:$BA$52,MATCH($C37,'[2]SALES PERTYPE'!$B$10:$B$52,0),MATCH("Watch GT 2",'[2]SALES PERTYPE'!$D$8:$BA$8,0)),0)</f>
        <v>0</v>
      </c>
      <c r="S37" s="33">
        <f>IFERROR(INDEX('[2]Sales per type Agustus'!$D$10:$BA$51,MATCH($C37,'[2]Sales per type Agustus'!$B$10:$B$51,0),MATCH("Watch GT 2",'[2]Sales per type Agustus'!$D$8:$BA$8,0)),0)</f>
        <v>0</v>
      </c>
      <c r="T37" s="33">
        <f t="shared" si="4"/>
        <v>0</v>
      </c>
      <c r="U37" s="33" cm="1">
        <f t="array" ref="U37">IFERROR(INDEX('[2]SALES PERTYPE'!$D$10:$BA$52,MATCH($C37,'[2]SALES PERTYPE'!$B$10:$B$52,0),MATCH("Watch GT 2",'[2]SALES PERTYPE'!$D$8:$BA$8,0)+1),0)</f>
        <v>0</v>
      </c>
      <c r="V37" s="33" cm="1">
        <f t="array" ref="V37">IFERROR(INDEX('[2]Sales per type Agustus'!$D$10:$BA$51,MATCH($C37,'[2]Sales per type Agustus'!$B$10:$B$51,0),MATCH("Watch GT 2",'[2]Sales per type Agustus'!$D$8:$BA$8,0)+1),0)</f>
        <v>0</v>
      </c>
      <c r="W37" s="33">
        <f t="shared" si="5"/>
        <v>0</v>
      </c>
      <c r="X37" s="33">
        <f>IFERROR(INDEX('[2]SALES PERTYPE'!$D$10:$BA$52,MATCH($C37,'[2]SALES PERTYPE'!$B$10:$B$52,0),MATCH("Y05e",'[2]SALES PERTYPE'!$D$8:$BA$8,0)),0)</f>
        <v>1</v>
      </c>
      <c r="Y37" s="33">
        <f>IFERROR(INDEX('[2]Sales per type Agustus'!$D$10:$BA$51,MATCH($C37,'[2]Sales per type Agustus'!$B$10:$B$51,0),MATCH("Y05e",'[2]Sales per type Agustus'!$D$8:$BA$8,0)),0)</f>
        <v>2</v>
      </c>
      <c r="Z37" s="33">
        <f t="shared" si="6"/>
        <v>-1</v>
      </c>
      <c r="AA37" s="33" cm="1">
        <f t="array" ref="AA37">IFERROR(INDEX('[2]SALES PERTYPE'!$D$10:$BA$52,MATCH($C37,'[2]SALES PERTYPE'!$B$10:$B$52,0),MATCH("Y05e",'[2]SALES PERTYPE'!$D$8:$BA$8,0)+1),0)</f>
        <v>2099000</v>
      </c>
      <c r="AB37" s="33" cm="1">
        <f t="array" ref="AB37">IFERROR(INDEX('[2]Sales per type Agustus'!$D$10:$BA$51,MATCH($C37,'[2]Sales per type Agustus'!$B$10:$B$51,0),MATCH("Y05e",'[2]Sales per type Agustus'!$D$8:$BA$8,0)+1),0)</f>
        <v>4198000</v>
      </c>
      <c r="AC37" s="33">
        <f t="shared" si="7"/>
        <v>-2099000</v>
      </c>
      <c r="AD37" s="33">
        <f>IFERROR(INDEX('[2]SALES PERTYPE'!$D$10:$BA$52,MATCH($C37,'[2]SALES PERTYPE'!$B$10:$B$52,0),MATCH("V70",'[2]SALES PERTYPE'!$D$8:$BA$8,0)),0)</f>
        <v>1</v>
      </c>
      <c r="AE37" s="33">
        <f>IFERROR(INDEX('[2]Sales per type Agustus'!$D$10:$BA$51,MATCH($C37,'[2]Sales per type Agustus'!$B$10:$B$51,0),MATCH("V70",'[2]Sales per type Agustus'!$D$8:$BA$8,0)),0)</f>
        <v>0</v>
      </c>
      <c r="AF37" s="33">
        <f t="shared" si="8"/>
        <v>1</v>
      </c>
      <c r="AG37" s="33" cm="1">
        <f t="array" ref="AG37">IFERROR(INDEX('[2]SALES PERTYPE'!$D$10:$BA$52,MATCH($C37,'[2]SALES PERTYPE'!$B$10:$B$52,0),MATCH("V70",'[2]SALES PERTYPE'!$D$8:$BA$8,0)+1),0)</f>
        <v>9999000</v>
      </c>
      <c r="AH37" s="33" cm="1">
        <f t="array" ref="AH37">IFERROR(INDEX('[2]Sales per type Agustus'!$D$10:$BA$51,MATCH($C37,'[2]Sales per type Agustus'!$B$10:$B$51,0),MATCH("V70",'[2]Sales per type Agustus'!$D$8:$BA$8,0)+1),0)</f>
        <v>0</v>
      </c>
      <c r="AI37" s="33">
        <f t="shared" si="9"/>
        <v>9999000</v>
      </c>
      <c r="AJ37" s="33">
        <f>IFERROR(INDEX('[2]SALES PERTYPE'!$D$10:$BA$52,MATCH($C37,'[2]SALES PERTYPE'!$B$10:$B$52,0),MATCH("Y31d Pro",'[2]SALES PERTYPE'!$D$8:$BA$8,0)),0)</f>
        <v>0</v>
      </c>
      <c r="AK37" s="33">
        <f>IFERROR(INDEX('[2]Sales per type Agustus'!$D$10:$BA$51,MATCH($C37,'[2]Sales per type Agustus'!$B$10:$B$51,0),MATCH("Y31d Pro",'[2]Sales per type Agustus'!$D$8:$BA$8,0)),0)</f>
        <v>3</v>
      </c>
      <c r="AL37" s="33">
        <f t="shared" si="10"/>
        <v>-3</v>
      </c>
      <c r="AM37" s="33" cm="1">
        <f t="array" ref="AM37">IFERROR(INDEX('[2]SALES PERTYPE'!$D$10:$BA$52,MATCH($C37,'[2]SALES PERTYPE'!$B$10:$B$52,0),MATCH("Y31d Pro",'[2]SALES PERTYPE'!$D$8:$BA$8,0)+1),0)</f>
        <v>0</v>
      </c>
      <c r="AN37" s="33" cm="1">
        <f t="array" ref="AN37">IFERROR(INDEX('[2]Sales per type Agustus'!$D$10:$BA$51,MATCH($C37,'[2]Sales per type Agustus'!$B$10:$B$51,0),MATCH("Y31d Pro",'[2]Sales per type Agustus'!$D$8:$BA$8,0)+1),0)</f>
        <v>11697000</v>
      </c>
      <c r="AO37" s="33">
        <f t="shared" si="11"/>
        <v>-11697000</v>
      </c>
      <c r="AP37" s="33" cm="1">
        <f t="array" ref="AP37">IFERROR(INDEX('[2]SALES PERTYPE'!$D$10:$BA$52,MATCH($C37,'[2]SALES PERTYPE'!$B$10:$B$52,0),$EI$3),0)</f>
        <v>0</v>
      </c>
      <c r="AQ37" s="33" cm="1">
        <f t="array" ref="AQ37">IFERROR(INDEX('[2]Sales per type Agustus'!$D$10:$BA$51,MATCH($C37,'[2]Sales per type Agustus'!$B$10:$B$51,0),$EI$2),0)</f>
        <v>0</v>
      </c>
      <c r="AR37" s="33">
        <f t="shared" si="12"/>
        <v>0</v>
      </c>
      <c r="AS37" s="33" cm="1">
        <f t="array" ref="AS37">IFERROR(INDEX('[2]SALES PERTYPE'!$D$10:$BA$52,MATCH($C37,'[2]SALES PERTYPE'!$B$10:$B$52,0),$EI$3+1),0)</f>
        <v>0</v>
      </c>
      <c r="AT37" s="33" cm="1">
        <f t="array" ref="AT37">IFERROR(INDEX('[2]Sales per type Agustus'!$D$10:$BA$51,MATCH($C37,'[2]Sales per type Agustus'!$B$10:$B$51,0),$EI$2+1),0)</f>
        <v>0</v>
      </c>
      <c r="AU37" s="33">
        <f t="shared" si="13"/>
        <v>0</v>
      </c>
      <c r="AV37" s="33">
        <f>IFERROR(INDEX('[2]SALES PERTYPE'!$D$10:$BA$52,MATCH($C37,'[2]SALES PERTYPE'!$B$10:$B$52,0),MATCH("Y31d ",'[2]SALES PERTYPE'!$D$8:$BA$8,0)),0)</f>
        <v>0</v>
      </c>
      <c r="AW37" s="33">
        <f>IFERROR(INDEX('[2]Sales per type Agustus'!$D$10:$BA$51,MATCH($C37,'[2]Sales per type Agustus'!$B$10:$B$51,0),MATCH("Y31d ",'[2]Sales per type Agustus'!$D$8:$BA$8,0)),0)</f>
        <v>0</v>
      </c>
      <c r="AX37" s="33">
        <f t="shared" si="14"/>
        <v>0</v>
      </c>
      <c r="AY37" s="33" cm="1">
        <f t="array" ref="AY37">IFERROR(INDEX('[2]SALES PERTYPE'!$D$10:$BA$52,MATCH($C37,'[2]SALES PERTYPE'!$B$10:$B$52,0),MATCH("Y31d ",'[2]SALES PERTYPE'!$D$8:$BA$8,0)+1),0)</f>
        <v>0</v>
      </c>
      <c r="AZ37" s="33" cm="1">
        <f t="array" ref="AZ37">IFERROR(INDEX('[2]Sales per type Agustus'!$D$10:$BA$51,MATCH($C37,'[2]Sales per type Agustus'!$B$10:$B$51,0),MATCH("Y31d ",'[2]Sales per type Agustus'!$D$8:$BA$8,0)+1),0)</f>
        <v>0</v>
      </c>
      <c r="BA37" s="33">
        <f t="shared" si="15"/>
        <v>0</v>
      </c>
      <c r="BB37" s="33">
        <f>IFERROR(INDEX('[2]SALES PERTYPE'!$D$10:$BA$52,MATCH($C37,'[2]SALES PERTYPE'!$B$10:$B$52,0),MATCH("V70 FE",'[2]SALES PERTYPE'!$D$8:$BA$8,0)),0)</f>
        <v>0</v>
      </c>
      <c r="BC37" s="33">
        <f>IFERROR(INDEX('[2]Sales per type Agustus'!$D$10:$BA$51,MATCH($C37,'[2]Sales per type Agustus'!$B$10:$B$51,0),MATCH("V70 FE",'[2]Sales per type Agustus'!$D$8:$BA$8,0)),0)</f>
        <v>0</v>
      </c>
      <c r="BD37" s="33">
        <f t="shared" si="16"/>
        <v>0</v>
      </c>
      <c r="BE37" s="33" cm="1">
        <f t="array" ref="BE37">IFERROR(INDEX('[2]SALES PERTYPE'!$D$10:$BA$52,MATCH($C37,'[2]SALES PERTYPE'!$B$10:$B$52,0),MATCH("V70 FE",'[2]SALES PERTYPE'!$D$8:$BA$8,0)+1),0)</f>
        <v>0</v>
      </c>
      <c r="BF37" s="33" cm="1">
        <f t="array" ref="BF37">IFERROR(INDEX('[2]Sales per type Agustus'!$D$10:$BA$51,MATCH($C37,'[2]Sales per type Agustus'!$B$10:$B$51,0),MATCH("V70 FE",'[2]Sales per type Agustus'!$D$8:$BA$8,0)+1),0)</f>
        <v>0</v>
      </c>
      <c r="BG37" s="33">
        <f t="shared" si="17"/>
        <v>0</v>
      </c>
      <c r="BH37" s="33">
        <f>IFERROR(INDEX('[2]SALES PERTYPE'!$D$10:$BA$52,MATCH($C37,'[2]SALES PERTYPE'!$B$10:$B$52,0),MATCH("Y31d",'[2]SALES PERTYPE'!$D$8:$BA$8,0)),0)</f>
        <v>0</v>
      </c>
      <c r="BI37" s="33">
        <f>IFERROR(INDEX('[2]Sales per type Agustus'!$D$10:$BA$51,MATCH($C37,'[2]Sales per type Agustus'!$B$10:$B$51,0),MATCH("Y31d",'[2]Sales per type Agustus'!$D$8:$BA$8,0)),0)</f>
        <v>0</v>
      </c>
      <c r="BJ37" s="33">
        <f t="shared" si="18"/>
        <v>0</v>
      </c>
      <c r="BK37" s="33" cm="1">
        <f t="array" ref="BK37">IFERROR(INDEX('[2]SALES PERTYPE'!$D$10:$BA$52,MATCH($C37,'[2]SALES PERTYPE'!$B$10:$B$52,0),MATCH("Y31d",'[2]SALES PERTYPE'!$D$8:$BA$8,0)+1),0)</f>
        <v>0</v>
      </c>
      <c r="BL37" s="33" cm="1">
        <f t="array" ref="BL37">IFERROR(INDEX('[2]Sales per type Agustus'!$D$10:$BA$51,MATCH($C37,'[2]Sales per type Agustus'!$B$10:$B$51,0),MATCH("Y31d",'[2]Sales per type Agustus'!$D$8:$BA$8,0)+1),0)</f>
        <v>0</v>
      </c>
      <c r="BM37" s="33">
        <f t="shared" si="19"/>
        <v>0</v>
      </c>
      <c r="BN37" s="33">
        <f>IFERROR(INDEX('[2]SALES PERTYPE'!$D$10:$BA$52,MATCH($C37,'[2]SALES PERTYPE'!$B$10:$B$52,0),MATCH("Y500",'[2]SALES PERTYPE'!$D$8:$BA$8,0)),0)</f>
        <v>0</v>
      </c>
      <c r="BO37" s="33">
        <f>IFERROR(INDEX('[2]Sales per type Agustus'!$D$10:$BA$51,MATCH($C37,'[2]Sales per type Agustus'!$B$10:$B$51,0),MATCH("Y500",'[2]Sales per type Agustus'!$D$8:$BA$8,0)),0)</f>
        <v>0</v>
      </c>
      <c r="BP37" s="33">
        <f t="shared" si="20"/>
        <v>0</v>
      </c>
      <c r="BQ37" s="33" cm="1">
        <f t="array" ref="BQ37">IFERROR(INDEX('[2]SALES PERTYPE'!$D$10:$BA$52,MATCH($C37,'[2]SALES PERTYPE'!$B$10:$B$52,0),MATCH("Y500",'[2]SALES PERTYPE'!$D$8:$BA$8,0)+1),0)</f>
        <v>0</v>
      </c>
      <c r="BR37" s="33" cm="1">
        <f t="array" ref="BR37">IFERROR(INDEX('[2]Sales per type Agustus'!$D$10:$BA$51,MATCH($C37,'[2]Sales per type Agustus'!$B$10:$B$51,0),MATCH("Y500",'[2]Sales per type Agustus'!$D$8:$BA$8,0)+1),0)</f>
        <v>0</v>
      </c>
      <c r="BS37" s="33">
        <f t="shared" si="21"/>
        <v>0</v>
      </c>
      <c r="BT37" s="33">
        <f>IFERROR(INDEX('[2]SALES PERTYPE'!$D$10:$BA$52,MATCH($C37,'[2]SALES PERTYPE'!$B$10:$B$52,0),MATCH("IQOO 15R",'[2]SALES PERTYPE'!$D$8:$BA$8,0)),0)</f>
        <v>0</v>
      </c>
      <c r="BU37" s="33">
        <f>IFERROR(INDEX('[2]Sales per type Agustus'!$D$10:$BA$51,MATCH($C37,'[2]Sales per type Agustus'!$B$10:$B$51,0),MATCH("IQOO 15R",'[2]Sales per type Agustus'!$D$8:$BA$8,0)),0)</f>
        <v>0</v>
      </c>
      <c r="BV37" s="33">
        <f t="shared" si="22"/>
        <v>0</v>
      </c>
      <c r="BW37" s="33" cm="1">
        <f t="array" ref="BW37">IFERROR(INDEX('[2]SALES PERTYPE'!$D$10:$BA$52,MATCH($C37,'[2]SALES PERTYPE'!$B$10:$B$52,0),MATCH("IQOO 15R",'[2]SALES PERTYPE'!$D$8:$BA$8,0)+1),0)</f>
        <v>0</v>
      </c>
      <c r="BX37" s="33" cm="1">
        <f t="array" ref="BX37">IFERROR(INDEX('[2]Sales per type Agustus'!$D$10:$BA$51,MATCH($C37,'[2]Sales per type Agustus'!$B$10:$B$51,0),MATCH("IQOO 15R",'[2]Sales per type Agustus'!$D$8:$BA$8,0)+1),0)</f>
        <v>0</v>
      </c>
      <c r="BY37" s="33">
        <f t="shared" si="23"/>
        <v>0</v>
      </c>
      <c r="BZ37" s="33">
        <f>IFERROR(INDEX('[2]SALES PERTYPE'!$D$10:$BA$52,MATCH($C37,'[2]SALES PERTYPE'!$B$10:$B$52,0),MATCH("V60 Lite",'[2]SALES PERTYPE'!$D$8:$BA$8,0)),0)</f>
        <v>0</v>
      </c>
      <c r="CA37" s="33">
        <f>IFERROR(INDEX('[2]Sales per type Agustus'!$D$10:$BA$51,MATCH($C37,'[2]Sales per type Agustus'!$B$10:$B$51,0),MATCH("V60 Lite",'[2]Sales per type Agustus'!$D$8:$BA$8,0)),0)</f>
        <v>1</v>
      </c>
      <c r="CB37" s="33">
        <f t="shared" si="24"/>
        <v>-1</v>
      </c>
      <c r="CC37" s="33" cm="1">
        <f t="array" ref="CC37">IFERROR(INDEX('[2]SALES PERTYPE'!$D$10:$BA$52,MATCH($C37,'[2]SALES PERTYPE'!$B$10:$B$52,0),MATCH("V60 Lite",'[2]SALES PERTYPE'!$D$8:$BA$8,0)+1),0)</f>
        <v>0</v>
      </c>
      <c r="CD37" s="33" cm="1">
        <f t="array" ref="CD37">IFERROR(INDEX('[2]Sales per type Agustus'!$D$10:$BA$51,MATCH($C37,'[2]Sales per type Agustus'!$B$10:$B$51,0),MATCH("V60 Lite",'[2]Sales per type Agustus'!$D$8:$BA$8,0)+1),0)</f>
        <v>5299000</v>
      </c>
      <c r="CE37" s="33">
        <f t="shared" si="25"/>
        <v>-5299000</v>
      </c>
      <c r="CF37" s="33">
        <f>IFERROR(INDEX('[2]SALES PERTYPE'!$D$10:$BA$52,MATCH($C37,'[2]SALES PERTYPE'!$B$10:$B$52,0),MATCH("X300 Ultra",'[2]SALES PERTYPE'!$D$8:$BA$8,0)),0)</f>
        <v>0</v>
      </c>
      <c r="CG37" s="33">
        <f>IFERROR(INDEX('[2]Sales per type Agustus'!$D$10:$BA$51,MATCH($C37,'[2]Sales per type Agustus'!$B$10:$B$51,0),MATCH("X300 Ultra",'[2]Sales per type Agustus'!$D$8:$BA$8,0)),0)</f>
        <v>0</v>
      </c>
      <c r="CH37" s="33">
        <f t="shared" si="26"/>
        <v>0</v>
      </c>
      <c r="CI37" s="33" cm="1">
        <f t="array" ref="CI37">IFERROR(INDEX('[2]SALES PERTYPE'!$D$10:$BA$52,MATCH($C37,'[2]SALES PERTYPE'!$B$10:$B$52,0),MATCH("X300 Ultra",'[2]SALES PERTYPE'!$D$8:$BA$8,0)+1),0)</f>
        <v>0</v>
      </c>
      <c r="CJ37" s="33" cm="1">
        <f t="array" ref="CJ37">IFERROR(INDEX('[2]Sales per type Agustus'!$D$10:$BA$51,MATCH($C37,'[2]Sales per type Agustus'!$B$10:$B$51,0),MATCH("X300 Ultra",'[2]Sales per type Agustus'!$D$8:$BA$8,0)+1),0)</f>
        <v>0</v>
      </c>
      <c r="CK37" s="33">
        <f t="shared" si="27"/>
        <v>0</v>
      </c>
      <c r="CL37" s="33">
        <f>IFERROR(INDEX('[2]SALES PERTYPE'!$D$10:$BA$52,MATCH($C37,'[2]SALES PERTYPE'!$B$10:$B$52,0),MATCH("IQOO 15",'[2]SALES PERTYPE'!$D$8:$BA$8,0)),0)</f>
        <v>0</v>
      </c>
      <c r="CM37" s="33">
        <f>IFERROR(INDEX('[2]Sales per type Agustus'!$D$10:$BA$51,MATCH($C37,'[2]Sales per type Agustus'!$B$10:$B$51,0),MATCH("IQOO 15",'[2]Sales per type Agustus'!$D$8:$BA$8,0)),0)</f>
        <v>0</v>
      </c>
      <c r="CN37" s="33">
        <f t="shared" si="28"/>
        <v>0</v>
      </c>
      <c r="CO37" s="33" cm="1">
        <f t="array" ref="CO37">IFERROR(INDEX('[2]SALES PERTYPE'!$D$10:$BA$52,MATCH($C37,'[2]SALES PERTYPE'!$B$10:$B$52,0),MATCH("IQOO 15",'[2]SALES PERTYPE'!$D$8:$BA$8,0)+1),0)</f>
        <v>0</v>
      </c>
      <c r="CP37" s="33" cm="1">
        <f t="array" ref="CP37">IFERROR(INDEX('[2]Sales per type Agustus'!$D$10:$BA$51,MATCH($C37,'[2]Sales per type Agustus'!$B$10:$B$51,0),MATCH("IQOO 15",'[2]Sales per type Agustus'!$D$8:$BA$8,0)+1),0)</f>
        <v>0</v>
      </c>
      <c r="CQ37" s="33">
        <f t="shared" si="29"/>
        <v>0</v>
      </c>
      <c r="CR37" s="33">
        <f>IFERROR(INDEX('[2]SALES PERTYPE'!$D$10:$BA$52,MATCH($C37,'[2]SALES PERTYPE'!$B$10:$B$52,0),MATCH("IQOO Z11x",'[2]SALES PERTYPE'!$D$8:$BA$8,0)),0)</f>
        <v>0</v>
      </c>
      <c r="CS37" s="33">
        <f>IFERROR(INDEX('[2]Sales per type Agustus'!$D$10:$BA$51,MATCH($C37,'[2]Sales per type Agustus'!$B$10:$B$51,0),MATCH("IQOO Z11x",'[2]Sales per type Agustus'!$D$8:$BA$8,0)),0)</f>
        <v>0</v>
      </c>
      <c r="CT37" s="33">
        <f t="shared" si="30"/>
        <v>0</v>
      </c>
      <c r="CU37" s="33" cm="1">
        <f t="array" ref="CU37">IFERROR(INDEX('[2]SALES PERTYPE'!$D$10:$BA$52,MATCH($C37,'[2]SALES PERTYPE'!$B$10:$B$52,0),MATCH("IQOO Z11x",'[2]SALES PERTYPE'!$D$8:$BA$8,0)+1),0)</f>
        <v>0</v>
      </c>
      <c r="CV37" s="33" cm="1">
        <f t="array" ref="CV37">IFERROR(INDEX('[2]Sales per type Agustus'!$D$10:$BA$51,MATCH($C37,'[2]Sales per type Agustus'!$B$10:$B$51,0),MATCH("IQOO Z11x",'[2]Sales per type Agustus'!$D$8:$BA$8,0)+1),0)</f>
        <v>0</v>
      </c>
      <c r="CW37" s="33">
        <f t="shared" si="31"/>
        <v>0</v>
      </c>
      <c r="CX37" s="33">
        <f>IFERROR(INDEX('[2]SALES PERTYPE'!$D$10:$BA$52,MATCH($C37,'[2]SALES PERTYPE'!$B$10:$B$52,0),MATCH("IQOO Z11",'[2]SALES PERTYPE'!$D$8:$BA$8,0)),0)</f>
        <v>0</v>
      </c>
      <c r="CY37" s="33">
        <f>IFERROR(INDEX('[2]Sales per type Agustus'!$D$10:$BA$51,MATCH($C37,'[2]Sales per type Agustus'!$B$10:$B$51,0),MATCH("IQOO Z11",'[2]Sales per type Agustus'!$D$8:$BA$8,0)),0)</f>
        <v>0</v>
      </c>
      <c r="CZ37" s="33">
        <f t="shared" si="32"/>
        <v>0</v>
      </c>
      <c r="DA37" s="33" cm="1">
        <f t="array" ref="DA37">IFERROR(INDEX('[2]SALES PERTYPE'!$D$10:$BA$52,MATCH($C37,'[2]SALES PERTYPE'!$B$10:$B$52,0),MATCH("IQOO Z11",'[2]SALES PERTYPE'!$D$8:$BA$8,0)+1),0)</f>
        <v>0</v>
      </c>
      <c r="DB37" s="33" cm="1">
        <f t="array" ref="DB37">IFERROR(INDEX('[2]Sales per type Agustus'!$D$10:$BA$51,MATCH($C37,'[2]Sales per type Agustus'!$B$10:$B$51,0),MATCH("IQOO Z11",'[2]Sales per type Agustus'!$D$8:$BA$8,0)+1),0)</f>
        <v>0</v>
      </c>
      <c r="DC37" s="33">
        <f t="shared" si="33"/>
        <v>0</v>
      </c>
      <c r="DD37" s="33">
        <f>IFERROR(INDEX('[2]SALES PERTYPE'!$D$10:$BA$52,MATCH($C37,'[2]SALES PERTYPE'!$B$10:$B$52,0),MATCH("WATCH 3",'[2]SALES PERTYPE'!$D$8:$BA$8,0)),0)</f>
        <v>0</v>
      </c>
      <c r="DE37" s="33">
        <f>IFERROR(INDEX('[2]Sales per type Agustus'!$D$10:$BA$51,MATCH($C37,'[2]Sales per type Agustus'!$B$10:$B$51,0),MATCH("WATCH 3",'[2]Sales per type Agustus'!$D$8:$BA$8,0)),0)</f>
        <v>0</v>
      </c>
      <c r="DF37" s="33">
        <f t="shared" si="34"/>
        <v>0</v>
      </c>
      <c r="DG37" s="33" cm="1">
        <f t="array" ref="DG37">IFERROR(INDEX('[2]SALES PERTYPE'!$D$10:$BA$52,MATCH($C37,'[2]SALES PERTYPE'!$B$10:$B$52,0),MATCH("WATCH 3",'[2]SALES PERTYPE'!$D$8:$BA$8,0)+1),0)</f>
        <v>0</v>
      </c>
      <c r="DH37" s="33" cm="1">
        <f t="array" ref="DH37">IFERROR(INDEX('[2]Sales per type Agustus'!$D$10:$BA$51,MATCH($C37,'[2]Sales per type Agustus'!$B$10:$B$51,0),MATCH("WATCH 3",'[2]Sales per type Agustus'!$D$8:$BA$8,0)+1),0)</f>
        <v>0</v>
      </c>
      <c r="DI37" s="33">
        <f t="shared" si="35"/>
        <v>0</v>
      </c>
      <c r="DJ37" s="33">
        <f>IFERROR(INDEX('[2]SALES PERTYPE'!$D$10:$BA$52,MATCH($C37,'[2]SALES PERTYPE'!$B$10:$B$52,0),MATCH("X Fold5",'[2]SALES PERTYPE'!$D$8:$BA$8,0)),0)</f>
        <v>0</v>
      </c>
      <c r="DK37" s="33">
        <f>IFERROR(INDEX('[2]Sales per type Agustus'!$D$10:$BA$51,MATCH($C37,'[2]Sales per type Agustus'!$B$10:$B$51,0),MATCH("X Fold5",'[2]Sales per type Agustus'!$D$8:$BA$8,0)),0)</f>
        <v>0</v>
      </c>
      <c r="DL37" s="33">
        <f t="shared" si="36"/>
        <v>0</v>
      </c>
      <c r="DM37" s="33" cm="1">
        <f t="array" ref="DM37">IFERROR(INDEX('[2]SALES PERTYPE'!$D$10:$BA$52,MATCH($C37,'[2]SALES PERTYPE'!$B$10:$B$52,0),MATCH("X Fold5",'[2]SALES PERTYPE'!$D$8:$BA$8,0)+1),0)</f>
        <v>0</v>
      </c>
      <c r="DN37" s="33" cm="1">
        <f t="array" ref="DN37">IFERROR(INDEX('[2]Sales per type Agustus'!$D$10:$BA$51,MATCH($C37,'[2]Sales per type Agustus'!$B$10:$B$51,0),MATCH("X Fold5",'[2]Sales per type Agustus'!$D$8:$BA$8,0)+1),0)</f>
        <v>0</v>
      </c>
      <c r="DO37" s="33">
        <f t="shared" si="37"/>
        <v>0</v>
      </c>
      <c r="DP37" s="33">
        <f>IFERROR(INDEX('[2]SALES PERTYPE'!$D$10:$BA$52,MATCH($C37,'[2]SALES PERTYPE'!$B$10:$B$52,0),MATCH("X300 PRO",'[2]SALES PERTYPE'!$D$8:$BA$8,0)),0)</f>
        <v>0</v>
      </c>
      <c r="DQ37" s="33">
        <f>IFERROR(INDEX('[2]Sales per type Agustus'!$D$10:$BA$51,MATCH($C37,'[2]Sales per type Agustus'!$B$10:$B$51,0),MATCH("X300 PRO",'[2]Sales per type Agustus'!$D$8:$BA$8,0)),0)</f>
        <v>0</v>
      </c>
      <c r="DR37" s="33">
        <f t="shared" si="38"/>
        <v>0</v>
      </c>
      <c r="DS37" s="33" cm="1">
        <f t="array" ref="DS37">IFERROR(INDEX('[2]SALES PERTYPE'!$D$10:$BA$52,MATCH($C37,'[2]SALES PERTYPE'!$B$10:$B$52,0),MATCH("X300 PRO",'[2]SALES PERTYPE'!$D$8:$BA$8,0)+1),0)</f>
        <v>0</v>
      </c>
      <c r="DT37" s="33" cm="1">
        <f t="array" ref="DT37">IFERROR(INDEX('[2]Sales per type Agustus'!$D$10:$BA$51,MATCH($C37,'[2]Sales per type Agustus'!$B$10:$B$51,0),MATCH("X300 PRO",'[2]Sales per type Agustus'!$D$8:$BA$8,0)+1),0)</f>
        <v>0</v>
      </c>
      <c r="DU37" s="33">
        <f t="shared" si="39"/>
        <v>0</v>
      </c>
      <c r="DV37" s="33">
        <f>IFERROR(INDEX('[2]SALES PERTYPE'!$D$10:$BA$52,MATCH($C37,'[2]SALES PERTYPE'!$B$10:$B$52,0),MATCH("X300",'[2]SALES PERTYPE'!$D$8:$BA$8,0)),0)</f>
        <v>0</v>
      </c>
      <c r="DW37" s="33">
        <f>IFERROR(INDEX('[2]Sales per type Agustus'!$D$10:$BA$51,MATCH($C37,'[2]Sales per type Agustus'!$B$10:$B$51,0),MATCH("X300 ",'[2]Sales per type Agustus'!$D$8:$BA$8,0)),0)</f>
        <v>0</v>
      </c>
      <c r="DX37" s="33">
        <f t="shared" si="40"/>
        <v>0</v>
      </c>
      <c r="DY37" s="33" cm="1">
        <f t="array" ref="DY37">IFERROR(INDEX('[2]SALES PERTYPE'!$D$10:$BA$52,MATCH($C37,'[2]SALES PERTYPE'!$B$10:$B$52,0),MATCH("X300",'[2]SALES PERTYPE'!$D$8:$BA$8,0)+1),0)</f>
        <v>0</v>
      </c>
      <c r="DZ37" s="33" cm="1">
        <f t="array" ref="DZ37">IFERROR(INDEX('[2]Sales per type Agustus'!$D$10:$BA$51,MATCH($C37,'[2]Sales per type Agustus'!$B$10:$B$51,0),MATCH("X300 ",'[2]Sales per type Agustus'!$D$8:$BA$8,0)+1),0)</f>
        <v>0</v>
      </c>
      <c r="EA37" s="33">
        <f t="shared" si="41"/>
        <v>0</v>
      </c>
      <c r="EB37" s="33">
        <f t="shared" si="42"/>
        <v>8</v>
      </c>
      <c r="EC37" s="33">
        <f t="shared" si="42"/>
        <v>11</v>
      </c>
      <c r="ED37" s="33">
        <f t="shared" si="43"/>
        <v>-3</v>
      </c>
      <c r="EE37" s="33">
        <f t="shared" si="44"/>
        <v>27892000</v>
      </c>
      <c r="EF37" s="33">
        <f t="shared" si="44"/>
        <v>34689000</v>
      </c>
      <c r="EG37" s="33">
        <f t="shared" si="45"/>
        <v>-6797000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5">
        <f>'[2]ACHIEVEMENT STORE'!A38</f>
        <v>34</v>
      </c>
      <c r="B38" s="216" t="str">
        <f>'[2]ACHIEVEMENT STORE'!B38</f>
        <v>619-万隆市区BDG KOTA</v>
      </c>
      <c r="C38" s="215">
        <f>'[2]ACHIEVEMENT STORE'!C38</f>
        <v>6190706</v>
      </c>
      <c r="D38" s="216" t="str">
        <f>'[2]ACHIEVEMENT STORE'!D38</f>
        <v>6190706-BEC VIVO STORE 4</v>
      </c>
      <c r="E38" s="216" t="str">
        <f>'[2]ACHIEVEMENT STORE'!E38</f>
        <v>EKO PURWANTO</v>
      </c>
      <c r="F38" s="33">
        <f>IFERROR(INDEX('[2]SALES PERTYPE'!$D$10:$BA$52,MATCH($C38,'[2]SALES PERTYPE'!$B$10:$B$52,0),MATCH("Y05",'[2]SALES PERTYPE'!$D$8:$BA$8,0)),0)</f>
        <v>9</v>
      </c>
      <c r="G38" s="33">
        <f>IFERROR(INDEX('[2]Sales per type Agustus'!$D$10:$BA$51,MATCH($C38,'[2]Sales per type Agustus'!$B$10:$B$51,0),MATCH("Y05",'[2]Sales per type Agustus'!$D$8:$BA$8,0)),0)</f>
        <v>4</v>
      </c>
      <c r="H38" s="33">
        <f t="shared" si="0"/>
        <v>5</v>
      </c>
      <c r="I38" s="33" cm="1">
        <f t="array" ref="I38">IFERROR(INDEX('[2]SALES PERTYPE'!$D$10:$BA$52,MATCH($C38,'[2]SALES PERTYPE'!$B$10:$B$52,0),MATCH("Y05",'[2]SALES PERTYPE'!$D$8:$BA$8,0)+1),0)</f>
        <v>21891000</v>
      </c>
      <c r="J38" s="33" cm="1">
        <f t="array" ref="J38">IFERROR(INDEX('[2]Sales per type Agustus'!$D$10:$BA$51,MATCH($C38,'[2]Sales per type Agustus'!$B$10:$B$51,0),MATCH("Y05",'[2]Sales per type Agustus'!$D$8:$BA$8,0)+1),0)</f>
        <v>10096000</v>
      </c>
      <c r="K38" s="33">
        <f t="shared" si="1"/>
        <v>11795000</v>
      </c>
      <c r="L38" s="33">
        <f>IFERROR(INDEX('[2]SALES PERTYPE'!$D$10:$BA$52,MATCH($C38,'[2]SALES PERTYPE'!$B$10:$B$52,0),MATCH("Y11d",'[2]SALES PERTYPE'!$D$8:$BA$8,0)),0)</f>
        <v>10</v>
      </c>
      <c r="M38" s="33">
        <f>IFERROR(INDEX('[2]Sales per type Agustus'!$D$10:$BA$51,MATCH($C38,'[2]Sales per type Agustus'!$B$10:$B$51,0),MATCH("Y11d",'[2]Sales per type Agustus'!$D$8:$BA$8,0)),0)</f>
        <v>9</v>
      </c>
      <c r="N38" s="33">
        <f t="shared" si="2"/>
        <v>1</v>
      </c>
      <c r="O38" s="33" cm="1">
        <f t="array" ref="O38">IFERROR(INDEX('[2]SALES PERTYPE'!$D$10:$BA$52,MATCH($C38,'[2]SALES PERTYPE'!$B$10:$B$52,0),MATCH("Y11d",'[2]SALES PERTYPE'!$D$8:$BA$8,0)+1),0)</f>
        <v>26390000</v>
      </c>
      <c r="P38" s="33" cm="1">
        <f t="array" ref="P38">IFERROR(INDEX('[2]Sales per type Agustus'!$D$10:$BA$51,MATCH($C38,'[2]Sales per type Agustus'!$B$10:$B$51,0),MATCH("Y11d",'[2]Sales per type Agustus'!$D$8:$BA$8,0)+1),0)</f>
        <v>23191000</v>
      </c>
      <c r="Q38" s="33">
        <f t="shared" si="3"/>
        <v>3199000</v>
      </c>
      <c r="R38" s="33">
        <f>IFERROR(INDEX('[2]SALES PERTYPE'!$D$10:$BA$52,MATCH($C38,'[2]SALES PERTYPE'!$B$10:$B$52,0),MATCH("Watch GT 2",'[2]SALES PERTYPE'!$D$8:$BA$8,0)),0)</f>
        <v>0</v>
      </c>
      <c r="S38" s="33">
        <f>IFERROR(INDEX('[2]Sales per type Agustus'!$D$10:$BA$51,MATCH($C38,'[2]Sales per type Agustus'!$B$10:$B$51,0),MATCH("Watch GT 2",'[2]Sales per type Agustus'!$D$8:$BA$8,0)),0)</f>
        <v>0</v>
      </c>
      <c r="T38" s="33">
        <f t="shared" si="4"/>
        <v>0</v>
      </c>
      <c r="U38" s="33" cm="1">
        <f t="array" ref="U38">IFERROR(INDEX('[2]SALES PERTYPE'!$D$10:$BA$52,MATCH($C38,'[2]SALES PERTYPE'!$B$10:$B$52,0),MATCH("Watch GT 2",'[2]SALES PERTYPE'!$D$8:$BA$8,0)+1),0)</f>
        <v>0</v>
      </c>
      <c r="V38" s="33" cm="1">
        <f t="array" ref="V38">IFERROR(INDEX('[2]Sales per type Agustus'!$D$10:$BA$51,MATCH($C38,'[2]Sales per type Agustus'!$B$10:$B$51,0),MATCH("Watch GT 2",'[2]Sales per type Agustus'!$D$8:$BA$8,0)+1),0)</f>
        <v>0</v>
      </c>
      <c r="W38" s="33">
        <f t="shared" si="5"/>
        <v>0</v>
      </c>
      <c r="X38" s="33">
        <f>IFERROR(INDEX('[2]SALES PERTYPE'!$D$10:$BA$52,MATCH($C38,'[2]SALES PERTYPE'!$B$10:$B$52,0),MATCH("Y05e",'[2]SALES PERTYPE'!$D$8:$BA$8,0)),0)</f>
        <v>1</v>
      </c>
      <c r="Y38" s="33">
        <f>IFERROR(INDEX('[2]Sales per type Agustus'!$D$10:$BA$51,MATCH($C38,'[2]Sales per type Agustus'!$B$10:$B$51,0),MATCH("Y05e",'[2]Sales per type Agustus'!$D$8:$BA$8,0)),0)</f>
        <v>2</v>
      </c>
      <c r="Z38" s="33">
        <f t="shared" si="6"/>
        <v>-1</v>
      </c>
      <c r="AA38" s="33" cm="1">
        <f t="array" ref="AA38">IFERROR(INDEX('[2]SALES PERTYPE'!$D$10:$BA$52,MATCH($C38,'[2]SALES PERTYPE'!$B$10:$B$52,0),MATCH("Y05e",'[2]SALES PERTYPE'!$D$8:$BA$8,0)+1),0)</f>
        <v>2099000</v>
      </c>
      <c r="AB38" s="33" cm="1">
        <f t="array" ref="AB38">IFERROR(INDEX('[2]Sales per type Agustus'!$D$10:$BA$51,MATCH($C38,'[2]Sales per type Agustus'!$B$10:$B$51,0),MATCH("Y05e",'[2]Sales per type Agustus'!$D$8:$BA$8,0)+1),0)</f>
        <v>4198000</v>
      </c>
      <c r="AC38" s="33">
        <f t="shared" si="7"/>
        <v>-2099000</v>
      </c>
      <c r="AD38" s="33">
        <f>IFERROR(INDEX('[2]SALES PERTYPE'!$D$10:$BA$52,MATCH($C38,'[2]SALES PERTYPE'!$B$10:$B$52,0),MATCH("V70",'[2]SALES PERTYPE'!$D$8:$BA$8,0)),0)</f>
        <v>0</v>
      </c>
      <c r="AE38" s="33">
        <f>IFERROR(INDEX('[2]Sales per type Agustus'!$D$10:$BA$51,MATCH($C38,'[2]Sales per type Agustus'!$B$10:$B$51,0),MATCH("V70",'[2]Sales per type Agustus'!$D$8:$BA$8,0)),0)</f>
        <v>1</v>
      </c>
      <c r="AF38" s="33">
        <f t="shared" si="8"/>
        <v>-1</v>
      </c>
      <c r="AG38" s="33" cm="1">
        <f t="array" ref="AG38">IFERROR(INDEX('[2]SALES PERTYPE'!$D$10:$BA$52,MATCH($C38,'[2]SALES PERTYPE'!$B$10:$B$52,0),MATCH("V70",'[2]SALES PERTYPE'!$D$8:$BA$8,0)+1),0)</f>
        <v>0</v>
      </c>
      <c r="AH38" s="33" cm="1">
        <f t="array" ref="AH38">IFERROR(INDEX('[2]Sales per type Agustus'!$D$10:$BA$51,MATCH($C38,'[2]Sales per type Agustus'!$B$10:$B$51,0),MATCH("V70",'[2]Sales per type Agustus'!$D$8:$BA$8,0)+1),0)</f>
        <v>9999000</v>
      </c>
      <c r="AI38" s="33">
        <f t="shared" si="9"/>
        <v>-9999000</v>
      </c>
      <c r="AJ38" s="33">
        <f>IFERROR(INDEX('[2]SALES PERTYPE'!$D$10:$BA$52,MATCH($C38,'[2]SALES PERTYPE'!$B$10:$B$52,0),MATCH("Y31d Pro",'[2]SALES PERTYPE'!$D$8:$BA$8,0)),0)</f>
        <v>7</v>
      </c>
      <c r="AK38" s="33">
        <f>IFERROR(INDEX('[2]Sales per type Agustus'!$D$10:$BA$51,MATCH($C38,'[2]Sales per type Agustus'!$B$10:$B$51,0),MATCH("Y31d Pro",'[2]Sales per type Agustus'!$D$8:$BA$8,0)),0)</f>
        <v>7</v>
      </c>
      <c r="AL38" s="33">
        <f t="shared" si="10"/>
        <v>0</v>
      </c>
      <c r="AM38" s="33" cm="1">
        <f t="array" ref="AM38">IFERROR(INDEX('[2]SALES PERTYPE'!$D$10:$BA$52,MATCH($C38,'[2]SALES PERTYPE'!$B$10:$B$52,0),MATCH("Y31d Pro",'[2]SALES PERTYPE'!$D$8:$BA$8,0)+1),0)</f>
        <v>33093000</v>
      </c>
      <c r="AN38" s="33" cm="1">
        <f t="array" ref="AN38">IFERROR(INDEX('[2]Sales per type Agustus'!$D$10:$BA$51,MATCH($C38,'[2]Sales per type Agustus'!$B$10:$B$51,0),MATCH("Y31d Pro",'[2]Sales per type Agustus'!$D$8:$BA$8,0)+1),0)</f>
        <v>30493000</v>
      </c>
      <c r="AO38" s="33">
        <f t="shared" si="11"/>
        <v>2600000</v>
      </c>
      <c r="AP38" s="33" cm="1">
        <f t="array" ref="AP38">IFERROR(INDEX('[2]SALES PERTYPE'!$D$10:$BA$52,MATCH($C38,'[2]SALES PERTYPE'!$B$10:$B$52,0),$EI$3),0)</f>
        <v>0</v>
      </c>
      <c r="AQ38" s="33" cm="1">
        <f t="array" ref="AQ38">IFERROR(INDEX('[2]Sales per type Agustus'!$D$10:$BA$51,MATCH($C38,'[2]Sales per type Agustus'!$B$10:$B$51,0),$EI$2),0)</f>
        <v>0</v>
      </c>
      <c r="AR38" s="33">
        <f t="shared" si="12"/>
        <v>0</v>
      </c>
      <c r="AS38" s="33" cm="1">
        <f t="array" ref="AS38">IFERROR(INDEX('[2]SALES PERTYPE'!$D$10:$BA$52,MATCH($C38,'[2]SALES PERTYPE'!$B$10:$B$52,0),$EI$3+1),0)</f>
        <v>0</v>
      </c>
      <c r="AT38" s="33" cm="1">
        <f t="array" ref="AT38">IFERROR(INDEX('[2]Sales per type Agustus'!$D$10:$BA$51,MATCH($C38,'[2]Sales per type Agustus'!$B$10:$B$51,0),$EI$2+1),0)</f>
        <v>0</v>
      </c>
      <c r="AU38" s="33">
        <f t="shared" si="13"/>
        <v>0</v>
      </c>
      <c r="AV38" s="33">
        <f>IFERROR(INDEX('[2]SALES PERTYPE'!$D$10:$BA$52,MATCH($C38,'[2]SALES PERTYPE'!$B$10:$B$52,0),MATCH("Y31d ",'[2]SALES PERTYPE'!$D$8:$BA$8,0)),0)</f>
        <v>0</v>
      </c>
      <c r="AW38" s="33">
        <f>IFERROR(INDEX('[2]Sales per type Agustus'!$D$10:$BA$51,MATCH($C38,'[2]Sales per type Agustus'!$B$10:$B$51,0),MATCH("Y31d ",'[2]Sales per type Agustus'!$D$8:$BA$8,0)),0)</f>
        <v>0</v>
      </c>
      <c r="AX38" s="33">
        <f t="shared" si="14"/>
        <v>0</v>
      </c>
      <c r="AY38" s="33" cm="1">
        <f t="array" ref="AY38">IFERROR(INDEX('[2]SALES PERTYPE'!$D$10:$BA$52,MATCH($C38,'[2]SALES PERTYPE'!$B$10:$B$52,0),MATCH("Y31d ",'[2]SALES PERTYPE'!$D$8:$BA$8,0)+1),0)</f>
        <v>0</v>
      </c>
      <c r="AZ38" s="33" cm="1">
        <f t="array" ref="AZ38">IFERROR(INDEX('[2]Sales per type Agustus'!$D$10:$BA$51,MATCH($C38,'[2]Sales per type Agustus'!$B$10:$B$51,0),MATCH("Y31d ",'[2]Sales per type Agustus'!$D$8:$BA$8,0)+1),0)</f>
        <v>0</v>
      </c>
      <c r="BA38" s="33">
        <f t="shared" si="15"/>
        <v>0</v>
      </c>
      <c r="BB38" s="33">
        <f>IFERROR(INDEX('[2]SALES PERTYPE'!$D$10:$BA$52,MATCH($C38,'[2]SALES PERTYPE'!$B$10:$B$52,0),MATCH("V70 FE",'[2]SALES PERTYPE'!$D$8:$BA$8,0)),0)</f>
        <v>0</v>
      </c>
      <c r="BC38" s="33">
        <f>IFERROR(INDEX('[2]Sales per type Agustus'!$D$10:$BA$51,MATCH($C38,'[2]Sales per type Agustus'!$B$10:$B$51,0),MATCH("V70 FE",'[2]Sales per type Agustus'!$D$8:$BA$8,0)),0)</f>
        <v>3</v>
      </c>
      <c r="BD38" s="33">
        <f t="shared" si="16"/>
        <v>-3</v>
      </c>
      <c r="BE38" s="33" cm="1">
        <f t="array" ref="BE38">IFERROR(INDEX('[2]SALES PERTYPE'!$D$10:$BA$52,MATCH($C38,'[2]SALES PERTYPE'!$B$10:$B$52,0),MATCH("V70 FE",'[2]SALES PERTYPE'!$D$8:$BA$8,0)+1),0)</f>
        <v>0</v>
      </c>
      <c r="BF38" s="33" cm="1">
        <f t="array" ref="BF38">IFERROR(INDEX('[2]Sales per type Agustus'!$D$10:$BA$51,MATCH($C38,'[2]Sales per type Agustus'!$B$10:$B$51,0),MATCH("V70 FE",'[2]Sales per type Agustus'!$D$8:$BA$8,0)+1),0)</f>
        <v>22397000</v>
      </c>
      <c r="BG38" s="33">
        <f t="shared" si="17"/>
        <v>-22397000</v>
      </c>
      <c r="BH38" s="33">
        <f>IFERROR(INDEX('[2]SALES PERTYPE'!$D$10:$BA$52,MATCH($C38,'[2]SALES PERTYPE'!$B$10:$B$52,0),MATCH("Y31d",'[2]SALES PERTYPE'!$D$8:$BA$8,0)),0)</f>
        <v>0</v>
      </c>
      <c r="BI38" s="33">
        <f>IFERROR(INDEX('[2]Sales per type Agustus'!$D$10:$BA$51,MATCH($C38,'[2]Sales per type Agustus'!$B$10:$B$51,0),MATCH("Y31d",'[2]Sales per type Agustus'!$D$8:$BA$8,0)),0)</f>
        <v>0</v>
      </c>
      <c r="BJ38" s="33">
        <f t="shared" si="18"/>
        <v>0</v>
      </c>
      <c r="BK38" s="33" cm="1">
        <f t="array" ref="BK38">IFERROR(INDEX('[2]SALES PERTYPE'!$D$10:$BA$52,MATCH($C38,'[2]SALES PERTYPE'!$B$10:$B$52,0),MATCH("Y31d",'[2]SALES PERTYPE'!$D$8:$BA$8,0)+1),0)</f>
        <v>0</v>
      </c>
      <c r="BL38" s="33" cm="1">
        <f t="array" ref="BL38">IFERROR(INDEX('[2]Sales per type Agustus'!$D$10:$BA$51,MATCH($C38,'[2]Sales per type Agustus'!$B$10:$B$51,0),MATCH("Y31d",'[2]Sales per type Agustus'!$D$8:$BA$8,0)+1),0)</f>
        <v>0</v>
      </c>
      <c r="BM38" s="33">
        <f t="shared" si="19"/>
        <v>0</v>
      </c>
      <c r="BN38" s="33">
        <f>IFERROR(INDEX('[2]SALES PERTYPE'!$D$10:$BA$52,MATCH($C38,'[2]SALES PERTYPE'!$B$10:$B$52,0),MATCH("Y500",'[2]SALES PERTYPE'!$D$8:$BA$8,0)),0)</f>
        <v>1</v>
      </c>
      <c r="BO38" s="33">
        <f>IFERROR(INDEX('[2]Sales per type Agustus'!$D$10:$BA$51,MATCH($C38,'[2]Sales per type Agustus'!$B$10:$B$51,0),MATCH("Y500",'[2]Sales per type Agustus'!$D$8:$BA$8,0)),0)</f>
        <v>1</v>
      </c>
      <c r="BP38" s="33">
        <f t="shared" si="20"/>
        <v>0</v>
      </c>
      <c r="BQ38" s="33" cm="1">
        <f t="array" ref="BQ38">IFERROR(INDEX('[2]SALES PERTYPE'!$D$10:$BA$52,MATCH($C38,'[2]SALES PERTYPE'!$B$10:$B$52,0),MATCH("Y500",'[2]SALES PERTYPE'!$D$8:$BA$8,0)+1),0)</f>
        <v>5499000</v>
      </c>
      <c r="BR38" s="33" cm="1">
        <f t="array" ref="BR38">IFERROR(INDEX('[2]Sales per type Agustus'!$D$10:$BA$51,MATCH($C38,'[2]Sales per type Agustus'!$B$10:$B$51,0),MATCH("Y500",'[2]Sales per type Agustus'!$D$8:$BA$8,0)+1),0)</f>
        <v>5499000</v>
      </c>
      <c r="BS38" s="33">
        <f t="shared" si="21"/>
        <v>0</v>
      </c>
      <c r="BT38" s="33">
        <f>IFERROR(INDEX('[2]SALES PERTYPE'!$D$10:$BA$52,MATCH($C38,'[2]SALES PERTYPE'!$B$10:$B$52,0),MATCH("IQOO 15R",'[2]SALES PERTYPE'!$D$8:$BA$8,0)),0)</f>
        <v>0</v>
      </c>
      <c r="BU38" s="33">
        <f>IFERROR(INDEX('[2]Sales per type Agustus'!$D$10:$BA$51,MATCH($C38,'[2]Sales per type Agustus'!$B$10:$B$51,0),MATCH("IQOO 15R",'[2]Sales per type Agustus'!$D$8:$BA$8,0)),0)</f>
        <v>0</v>
      </c>
      <c r="BV38" s="33">
        <f t="shared" si="22"/>
        <v>0</v>
      </c>
      <c r="BW38" s="33" cm="1">
        <f t="array" ref="BW38">IFERROR(INDEX('[2]SALES PERTYPE'!$D$10:$BA$52,MATCH($C38,'[2]SALES PERTYPE'!$B$10:$B$52,0),MATCH("IQOO 15R",'[2]SALES PERTYPE'!$D$8:$BA$8,0)+1),0)</f>
        <v>0</v>
      </c>
      <c r="BX38" s="33" cm="1">
        <f t="array" ref="BX38">IFERROR(INDEX('[2]Sales per type Agustus'!$D$10:$BA$51,MATCH($C38,'[2]Sales per type Agustus'!$B$10:$B$51,0),MATCH("IQOO 15R",'[2]Sales per type Agustus'!$D$8:$BA$8,0)+1),0)</f>
        <v>0</v>
      </c>
      <c r="BY38" s="33">
        <f t="shared" si="23"/>
        <v>0</v>
      </c>
      <c r="BZ38" s="33">
        <f>IFERROR(INDEX('[2]SALES PERTYPE'!$D$10:$BA$52,MATCH($C38,'[2]SALES PERTYPE'!$B$10:$B$52,0),MATCH("V60 Lite",'[2]SALES PERTYPE'!$D$8:$BA$8,0)),0)</f>
        <v>1</v>
      </c>
      <c r="CA38" s="33">
        <f>IFERROR(INDEX('[2]Sales per type Agustus'!$D$10:$BA$51,MATCH($C38,'[2]Sales per type Agustus'!$B$10:$B$51,0),MATCH("V60 Lite",'[2]Sales per type Agustus'!$D$8:$BA$8,0)),0)</f>
        <v>1</v>
      </c>
      <c r="CB38" s="33">
        <f t="shared" si="24"/>
        <v>0</v>
      </c>
      <c r="CC38" s="33" cm="1">
        <f t="array" ref="CC38">IFERROR(INDEX('[2]SALES PERTYPE'!$D$10:$BA$52,MATCH($C38,'[2]SALES PERTYPE'!$B$10:$B$52,0),MATCH("V60 Lite",'[2]SALES PERTYPE'!$D$8:$BA$8,0)+1),0)</f>
        <v>5899000</v>
      </c>
      <c r="CD38" s="33" cm="1">
        <f t="array" ref="CD38">IFERROR(INDEX('[2]Sales per type Agustus'!$D$10:$BA$51,MATCH($C38,'[2]Sales per type Agustus'!$B$10:$B$51,0),MATCH("V60 Lite",'[2]Sales per type Agustus'!$D$8:$BA$8,0)+1),0)</f>
        <v>5299000</v>
      </c>
      <c r="CE38" s="33">
        <f t="shared" si="25"/>
        <v>600000</v>
      </c>
      <c r="CF38" s="33">
        <f>IFERROR(INDEX('[2]SALES PERTYPE'!$D$10:$BA$52,MATCH($C38,'[2]SALES PERTYPE'!$B$10:$B$52,0),MATCH("X300 Ultra",'[2]SALES PERTYPE'!$D$8:$BA$8,0)),0)</f>
        <v>0</v>
      </c>
      <c r="CG38" s="33">
        <f>IFERROR(INDEX('[2]Sales per type Agustus'!$D$10:$BA$51,MATCH($C38,'[2]Sales per type Agustus'!$B$10:$B$51,0),MATCH("X300 Ultra",'[2]Sales per type Agustus'!$D$8:$BA$8,0)),0)</f>
        <v>1</v>
      </c>
      <c r="CH38" s="33">
        <f t="shared" si="26"/>
        <v>-1</v>
      </c>
      <c r="CI38" s="33" cm="1">
        <f t="array" ref="CI38">IFERROR(INDEX('[2]SALES PERTYPE'!$D$10:$BA$52,MATCH($C38,'[2]SALES PERTYPE'!$B$10:$B$52,0),MATCH("X300 Ultra",'[2]SALES PERTYPE'!$D$8:$BA$8,0)+1),0)</f>
        <v>0</v>
      </c>
      <c r="CJ38" s="33" cm="1">
        <f t="array" ref="CJ38">IFERROR(INDEX('[2]Sales per type Agustus'!$D$10:$BA$51,MATCH($C38,'[2]Sales per type Agustus'!$B$10:$B$51,0),MATCH("X300 Ultra",'[2]Sales per type Agustus'!$D$8:$BA$8,0)+1),0)</f>
        <v>25999000</v>
      </c>
      <c r="CK38" s="33">
        <f t="shared" si="27"/>
        <v>-25999000</v>
      </c>
      <c r="CL38" s="33">
        <f>IFERROR(INDEX('[2]SALES PERTYPE'!$D$10:$BA$52,MATCH($C38,'[2]SALES PERTYPE'!$B$10:$B$52,0),MATCH("IQOO 15",'[2]SALES PERTYPE'!$D$8:$BA$8,0)),0)</f>
        <v>0</v>
      </c>
      <c r="CM38" s="33">
        <f>IFERROR(INDEX('[2]Sales per type Agustus'!$D$10:$BA$51,MATCH($C38,'[2]Sales per type Agustus'!$B$10:$B$51,0),MATCH("IQOO 15",'[2]Sales per type Agustus'!$D$8:$BA$8,0)),0)</f>
        <v>0</v>
      </c>
      <c r="CN38" s="33">
        <f t="shared" si="28"/>
        <v>0</v>
      </c>
      <c r="CO38" s="33" cm="1">
        <f t="array" ref="CO38">IFERROR(INDEX('[2]SALES PERTYPE'!$D$10:$BA$52,MATCH($C38,'[2]SALES PERTYPE'!$B$10:$B$52,0),MATCH("IQOO 15",'[2]SALES PERTYPE'!$D$8:$BA$8,0)+1),0)</f>
        <v>0</v>
      </c>
      <c r="CP38" s="33" cm="1">
        <f t="array" ref="CP38">IFERROR(INDEX('[2]Sales per type Agustus'!$D$10:$BA$51,MATCH($C38,'[2]Sales per type Agustus'!$B$10:$B$51,0),MATCH("IQOO 15",'[2]Sales per type Agustus'!$D$8:$BA$8,0)+1),0)</f>
        <v>0</v>
      </c>
      <c r="CQ38" s="33">
        <f t="shared" si="29"/>
        <v>0</v>
      </c>
      <c r="CR38" s="33">
        <f>IFERROR(INDEX('[2]SALES PERTYPE'!$D$10:$BA$52,MATCH($C38,'[2]SALES PERTYPE'!$B$10:$B$52,0),MATCH("IQOO Z11x",'[2]SALES PERTYPE'!$D$8:$BA$8,0)),0)</f>
        <v>0</v>
      </c>
      <c r="CS38" s="33">
        <f>IFERROR(INDEX('[2]Sales per type Agustus'!$D$10:$BA$51,MATCH($C38,'[2]Sales per type Agustus'!$B$10:$B$51,0),MATCH("IQOO Z11x",'[2]Sales per type Agustus'!$D$8:$BA$8,0)),0)</f>
        <v>0</v>
      </c>
      <c r="CT38" s="33">
        <f t="shared" si="30"/>
        <v>0</v>
      </c>
      <c r="CU38" s="33" cm="1">
        <f t="array" ref="CU38">IFERROR(INDEX('[2]SALES PERTYPE'!$D$10:$BA$52,MATCH($C38,'[2]SALES PERTYPE'!$B$10:$B$52,0),MATCH("IQOO Z11x",'[2]SALES PERTYPE'!$D$8:$BA$8,0)+1),0)</f>
        <v>0</v>
      </c>
      <c r="CV38" s="33" cm="1">
        <f t="array" ref="CV38">IFERROR(INDEX('[2]Sales per type Agustus'!$D$10:$BA$51,MATCH($C38,'[2]Sales per type Agustus'!$B$10:$B$51,0),MATCH("IQOO Z11x",'[2]Sales per type Agustus'!$D$8:$BA$8,0)+1),0)</f>
        <v>0</v>
      </c>
      <c r="CW38" s="33">
        <f t="shared" si="31"/>
        <v>0</v>
      </c>
      <c r="CX38" s="33">
        <f>IFERROR(INDEX('[2]SALES PERTYPE'!$D$10:$BA$52,MATCH($C38,'[2]SALES PERTYPE'!$B$10:$B$52,0),MATCH("IQOO Z11",'[2]SALES PERTYPE'!$D$8:$BA$8,0)),0)</f>
        <v>1</v>
      </c>
      <c r="CY38" s="33">
        <f>IFERROR(INDEX('[2]Sales per type Agustus'!$D$10:$BA$51,MATCH($C38,'[2]Sales per type Agustus'!$B$10:$B$51,0),MATCH("IQOO Z11",'[2]Sales per type Agustus'!$D$8:$BA$8,0)),0)</f>
        <v>1</v>
      </c>
      <c r="CZ38" s="33">
        <f t="shared" si="32"/>
        <v>0</v>
      </c>
      <c r="DA38" s="33" cm="1">
        <f t="array" ref="DA38">IFERROR(INDEX('[2]SALES PERTYPE'!$D$10:$BA$52,MATCH($C38,'[2]SALES PERTYPE'!$B$10:$B$52,0),MATCH("IQOO Z11",'[2]SALES PERTYPE'!$D$8:$BA$8,0)+1),0)</f>
        <v>6899000</v>
      </c>
      <c r="DB38" s="33" cm="1">
        <f t="array" ref="DB38">IFERROR(INDEX('[2]Sales per type Agustus'!$D$10:$BA$51,MATCH($C38,'[2]Sales per type Agustus'!$B$10:$B$51,0),MATCH("IQOO Z11",'[2]Sales per type Agustus'!$D$8:$BA$8,0)+1),0)</f>
        <v>6899000</v>
      </c>
      <c r="DC38" s="33">
        <f t="shared" si="33"/>
        <v>0</v>
      </c>
      <c r="DD38" s="33">
        <f>IFERROR(INDEX('[2]SALES PERTYPE'!$D$10:$BA$52,MATCH($C38,'[2]SALES PERTYPE'!$B$10:$B$52,0),MATCH("WATCH 3",'[2]SALES PERTYPE'!$D$8:$BA$8,0)),0)</f>
        <v>0</v>
      </c>
      <c r="DE38" s="33">
        <f>IFERROR(INDEX('[2]Sales per type Agustus'!$D$10:$BA$51,MATCH($C38,'[2]Sales per type Agustus'!$B$10:$B$51,0),MATCH("WATCH 3",'[2]Sales per type Agustus'!$D$8:$BA$8,0)),0)</f>
        <v>0</v>
      </c>
      <c r="DF38" s="33">
        <f t="shared" si="34"/>
        <v>0</v>
      </c>
      <c r="DG38" s="33" cm="1">
        <f t="array" ref="DG38">IFERROR(INDEX('[2]SALES PERTYPE'!$D$10:$BA$52,MATCH($C38,'[2]SALES PERTYPE'!$B$10:$B$52,0),MATCH("WATCH 3",'[2]SALES PERTYPE'!$D$8:$BA$8,0)+1),0)</f>
        <v>0</v>
      </c>
      <c r="DH38" s="33" cm="1">
        <f t="array" ref="DH38">IFERROR(INDEX('[2]Sales per type Agustus'!$D$10:$BA$51,MATCH($C38,'[2]Sales per type Agustus'!$B$10:$B$51,0),MATCH("WATCH 3",'[2]Sales per type Agustus'!$D$8:$BA$8,0)+1),0)</f>
        <v>0</v>
      </c>
      <c r="DI38" s="33">
        <f t="shared" si="35"/>
        <v>0</v>
      </c>
      <c r="DJ38" s="33">
        <f>IFERROR(INDEX('[2]SALES PERTYPE'!$D$10:$BA$52,MATCH($C38,'[2]SALES PERTYPE'!$B$10:$B$52,0),MATCH("X Fold5",'[2]SALES PERTYPE'!$D$8:$BA$8,0)),0)</f>
        <v>0</v>
      </c>
      <c r="DK38" s="33">
        <f>IFERROR(INDEX('[2]Sales per type Agustus'!$D$10:$BA$51,MATCH($C38,'[2]Sales per type Agustus'!$B$10:$B$51,0),MATCH("X Fold5",'[2]Sales per type Agustus'!$D$8:$BA$8,0)),0)</f>
        <v>0</v>
      </c>
      <c r="DL38" s="33">
        <f t="shared" si="36"/>
        <v>0</v>
      </c>
      <c r="DM38" s="33" cm="1">
        <f t="array" ref="DM38">IFERROR(INDEX('[2]SALES PERTYPE'!$D$10:$BA$52,MATCH($C38,'[2]SALES PERTYPE'!$B$10:$B$52,0),MATCH("X Fold5",'[2]SALES PERTYPE'!$D$8:$BA$8,0)+1),0)</f>
        <v>0</v>
      </c>
      <c r="DN38" s="33" cm="1">
        <f t="array" ref="DN38">IFERROR(INDEX('[2]Sales per type Agustus'!$D$10:$BA$51,MATCH($C38,'[2]Sales per type Agustus'!$B$10:$B$51,0),MATCH("X Fold5",'[2]Sales per type Agustus'!$D$8:$BA$8,0)+1),0)</f>
        <v>0</v>
      </c>
      <c r="DO38" s="33">
        <f t="shared" si="37"/>
        <v>0</v>
      </c>
      <c r="DP38" s="33">
        <f>IFERROR(INDEX('[2]SALES PERTYPE'!$D$10:$BA$52,MATCH($C38,'[2]SALES PERTYPE'!$B$10:$B$52,0),MATCH("X300 PRO",'[2]SALES PERTYPE'!$D$8:$BA$8,0)),0)</f>
        <v>0</v>
      </c>
      <c r="DQ38" s="33">
        <f>IFERROR(INDEX('[2]Sales per type Agustus'!$D$10:$BA$51,MATCH($C38,'[2]Sales per type Agustus'!$B$10:$B$51,0),MATCH("X300 PRO",'[2]Sales per type Agustus'!$D$8:$BA$8,0)),0)</f>
        <v>0</v>
      </c>
      <c r="DR38" s="33">
        <f t="shared" si="38"/>
        <v>0</v>
      </c>
      <c r="DS38" s="33" cm="1">
        <f t="array" ref="DS38">IFERROR(INDEX('[2]SALES PERTYPE'!$D$10:$BA$52,MATCH($C38,'[2]SALES PERTYPE'!$B$10:$B$52,0),MATCH("X300 PRO",'[2]SALES PERTYPE'!$D$8:$BA$8,0)+1),0)</f>
        <v>0</v>
      </c>
      <c r="DT38" s="33" cm="1">
        <f t="array" ref="DT38">IFERROR(INDEX('[2]Sales per type Agustus'!$D$10:$BA$51,MATCH($C38,'[2]Sales per type Agustus'!$B$10:$B$51,0),MATCH("X300 PRO",'[2]Sales per type Agustus'!$D$8:$BA$8,0)+1),0)</f>
        <v>0</v>
      </c>
      <c r="DU38" s="33">
        <f t="shared" si="39"/>
        <v>0</v>
      </c>
      <c r="DV38" s="33">
        <f>IFERROR(INDEX('[2]SALES PERTYPE'!$D$10:$BA$52,MATCH($C38,'[2]SALES PERTYPE'!$B$10:$B$52,0),MATCH("X300",'[2]SALES PERTYPE'!$D$8:$BA$8,0)),0)</f>
        <v>0</v>
      </c>
      <c r="DW38" s="33">
        <f>IFERROR(INDEX('[2]Sales per type Agustus'!$D$10:$BA$51,MATCH($C38,'[2]Sales per type Agustus'!$B$10:$B$51,0),MATCH("X300 ",'[2]Sales per type Agustus'!$D$8:$BA$8,0)),0)</f>
        <v>0</v>
      </c>
      <c r="DX38" s="33">
        <f t="shared" si="40"/>
        <v>0</v>
      </c>
      <c r="DY38" s="33" cm="1">
        <f t="array" ref="DY38">IFERROR(INDEX('[2]SALES PERTYPE'!$D$10:$BA$52,MATCH($C38,'[2]SALES PERTYPE'!$B$10:$B$52,0),MATCH("X300",'[2]SALES PERTYPE'!$D$8:$BA$8,0)+1),0)</f>
        <v>0</v>
      </c>
      <c r="DZ38" s="33" cm="1">
        <f t="array" ref="DZ38">IFERROR(INDEX('[2]Sales per type Agustus'!$D$10:$BA$51,MATCH($C38,'[2]Sales per type Agustus'!$B$10:$B$51,0),MATCH("X300 ",'[2]Sales per type Agustus'!$D$8:$BA$8,0)+1),0)</f>
        <v>0</v>
      </c>
      <c r="EA38" s="33">
        <f t="shared" si="41"/>
        <v>0</v>
      </c>
      <c r="EB38" s="33">
        <f t="shared" si="42"/>
        <v>30</v>
      </c>
      <c r="EC38" s="33">
        <f t="shared" si="42"/>
        <v>30</v>
      </c>
      <c r="ED38" s="33">
        <f t="shared" si="43"/>
        <v>0</v>
      </c>
      <c r="EE38" s="33">
        <f t="shared" si="44"/>
        <v>101770000</v>
      </c>
      <c r="EF38" s="33">
        <f t="shared" si="44"/>
        <v>144070000</v>
      </c>
      <c r="EG38" s="33">
        <f t="shared" si="45"/>
        <v>-42300000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'[2]ACHIEVEMENT STORE'!A39</f>
        <v>35</v>
      </c>
      <c r="B39" s="32" t="str">
        <f>'[2]ACHIEVEMENT STORE'!B39</f>
        <v>619-万隆市区BDG KOTA</v>
      </c>
      <c r="C39" s="31">
        <f>'[2]ACHIEVEMENT STORE'!C39</f>
        <v>6190705</v>
      </c>
      <c r="D39" s="32" t="str">
        <f>'[2]ACHIEVEMENT STORE'!D39</f>
        <v>6190705-BEC VIVO STORE LG F20</v>
      </c>
      <c r="E39" s="32" t="str">
        <f>'[2]ACHIEVEMENT STORE'!E39</f>
        <v>NENG TOTOH</v>
      </c>
      <c r="F39" s="33">
        <f>IFERROR(INDEX('[2]SALES PERTYPE'!$D$10:$BA$52,MATCH($C39,'[2]SALES PERTYPE'!$B$10:$B$52,0),MATCH("Y05",'[2]SALES PERTYPE'!$D$8:$BA$8,0)),0)</f>
        <v>3</v>
      </c>
      <c r="G39" s="33">
        <f>IFERROR(INDEX('[2]Sales per type Agustus'!$D$10:$BA$51,MATCH($C39,'[2]Sales per type Agustus'!$B$10:$B$51,0),MATCH("Y05",'[2]Sales per type Agustus'!$D$8:$BA$8,0)),0)</f>
        <v>1</v>
      </c>
      <c r="H39" s="33">
        <f t="shared" si="0"/>
        <v>2</v>
      </c>
      <c r="I39" s="33" cm="1">
        <f t="array" ref="I39">IFERROR(INDEX('[2]SALES PERTYPE'!$D$10:$BA$52,MATCH($C39,'[2]SALES PERTYPE'!$B$10:$B$52,0),MATCH("Y05",'[2]SALES PERTYPE'!$D$8:$BA$8,0)+1),0)</f>
        <v>6897000</v>
      </c>
      <c r="J39" s="33" cm="1">
        <f t="array" ref="J39">IFERROR(INDEX('[2]Sales per type Agustus'!$D$10:$BA$51,MATCH($C39,'[2]Sales per type Agustus'!$B$10:$B$51,0),MATCH("Y05",'[2]Sales per type Agustus'!$D$8:$BA$8,0)+1),0)</f>
        <v>2299000</v>
      </c>
      <c r="K39" s="33">
        <f t="shared" si="1"/>
        <v>4598000</v>
      </c>
      <c r="L39" s="33">
        <f>IFERROR(INDEX('[2]SALES PERTYPE'!$D$10:$BA$52,MATCH($C39,'[2]SALES PERTYPE'!$B$10:$B$52,0),MATCH("Y11d",'[2]SALES PERTYPE'!$D$8:$BA$8,0)),0)</f>
        <v>2</v>
      </c>
      <c r="M39" s="33">
        <f>IFERROR(INDEX('[2]Sales per type Agustus'!$D$10:$BA$51,MATCH($C39,'[2]Sales per type Agustus'!$B$10:$B$51,0),MATCH("Y11d",'[2]Sales per type Agustus'!$D$8:$BA$8,0)),0)</f>
        <v>3</v>
      </c>
      <c r="N39" s="33">
        <f t="shared" si="2"/>
        <v>-1</v>
      </c>
      <c r="O39" s="33" cm="1">
        <f t="array" ref="O39">IFERROR(INDEX('[2]SALES PERTYPE'!$D$10:$BA$52,MATCH($C39,'[2]SALES PERTYPE'!$B$10:$B$52,0),MATCH("Y11d",'[2]SALES PERTYPE'!$D$8:$BA$8,0)+1),0)</f>
        <v>4798000</v>
      </c>
      <c r="P39" s="33" cm="1">
        <f t="array" ref="P39">IFERROR(INDEX('[2]Sales per type Agustus'!$D$10:$BA$51,MATCH($C39,'[2]Sales per type Agustus'!$B$10:$B$51,0),MATCH("Y11d",'[2]Sales per type Agustus'!$D$8:$BA$8,0)+1),0)</f>
        <v>7597000</v>
      </c>
      <c r="Q39" s="33">
        <f t="shared" si="3"/>
        <v>-2799000</v>
      </c>
      <c r="R39" s="33">
        <f>IFERROR(INDEX('[2]SALES PERTYPE'!$D$10:$BA$52,MATCH($C39,'[2]SALES PERTYPE'!$B$10:$B$52,0),MATCH("Watch GT 2",'[2]SALES PERTYPE'!$D$8:$BA$8,0)),0)</f>
        <v>0</v>
      </c>
      <c r="S39" s="33">
        <f>IFERROR(INDEX('[2]Sales per type Agustus'!$D$10:$BA$51,MATCH($C39,'[2]Sales per type Agustus'!$B$10:$B$51,0),MATCH("Watch GT 2",'[2]Sales per type Agustus'!$D$8:$BA$8,0)),0)</f>
        <v>0</v>
      </c>
      <c r="T39" s="33">
        <f t="shared" si="4"/>
        <v>0</v>
      </c>
      <c r="U39" s="33" cm="1">
        <f t="array" ref="U39">IFERROR(INDEX('[2]SALES PERTYPE'!$D$10:$BA$52,MATCH($C39,'[2]SALES PERTYPE'!$B$10:$B$52,0),MATCH("Watch GT 2",'[2]SALES PERTYPE'!$D$8:$BA$8,0)+1),0)</f>
        <v>0</v>
      </c>
      <c r="V39" s="33" cm="1">
        <f t="array" ref="V39">IFERROR(INDEX('[2]Sales per type Agustus'!$D$10:$BA$51,MATCH($C39,'[2]Sales per type Agustus'!$B$10:$B$51,0),MATCH("Watch GT 2",'[2]Sales per type Agustus'!$D$8:$BA$8,0)+1),0)</f>
        <v>0</v>
      </c>
      <c r="W39" s="33">
        <f t="shared" si="5"/>
        <v>0</v>
      </c>
      <c r="X39" s="33">
        <f>IFERROR(INDEX('[2]SALES PERTYPE'!$D$10:$BA$52,MATCH($C39,'[2]SALES PERTYPE'!$B$10:$B$52,0),MATCH("Y05e",'[2]SALES PERTYPE'!$D$8:$BA$8,0)),0)</f>
        <v>1</v>
      </c>
      <c r="Y39" s="33">
        <f>IFERROR(INDEX('[2]Sales per type Agustus'!$D$10:$BA$51,MATCH($C39,'[2]Sales per type Agustus'!$B$10:$B$51,0),MATCH("Y05e",'[2]Sales per type Agustus'!$D$8:$BA$8,0)),0)</f>
        <v>1</v>
      </c>
      <c r="Z39" s="33">
        <f t="shared" si="6"/>
        <v>0</v>
      </c>
      <c r="AA39" s="33" cm="1">
        <f t="array" ref="AA39">IFERROR(INDEX('[2]SALES PERTYPE'!$D$10:$BA$52,MATCH($C39,'[2]SALES PERTYPE'!$B$10:$B$52,0),MATCH("Y05e",'[2]SALES PERTYPE'!$D$8:$BA$8,0)+1),0)</f>
        <v>2099000</v>
      </c>
      <c r="AB39" s="33" cm="1">
        <f t="array" ref="AB39">IFERROR(INDEX('[2]Sales per type Agustus'!$D$10:$BA$51,MATCH($C39,'[2]Sales per type Agustus'!$B$10:$B$51,0),MATCH("Y05e",'[2]Sales per type Agustus'!$D$8:$BA$8,0)+1),0)</f>
        <v>2099000</v>
      </c>
      <c r="AC39" s="33">
        <f t="shared" si="7"/>
        <v>0</v>
      </c>
      <c r="AD39" s="33">
        <f>IFERROR(INDEX('[2]SALES PERTYPE'!$D$10:$BA$52,MATCH($C39,'[2]SALES PERTYPE'!$B$10:$B$52,0),MATCH("V70",'[2]SALES PERTYPE'!$D$8:$BA$8,0)),0)</f>
        <v>0</v>
      </c>
      <c r="AE39" s="33">
        <f>IFERROR(INDEX('[2]Sales per type Agustus'!$D$10:$BA$51,MATCH($C39,'[2]Sales per type Agustus'!$B$10:$B$51,0),MATCH("V70",'[2]Sales per type Agustus'!$D$8:$BA$8,0)),0)</f>
        <v>0</v>
      </c>
      <c r="AF39" s="33">
        <f t="shared" si="8"/>
        <v>0</v>
      </c>
      <c r="AG39" s="33" cm="1">
        <f t="array" ref="AG39">IFERROR(INDEX('[2]SALES PERTYPE'!$D$10:$BA$52,MATCH($C39,'[2]SALES PERTYPE'!$B$10:$B$52,0),MATCH("V70",'[2]SALES PERTYPE'!$D$8:$BA$8,0)+1),0)</f>
        <v>0</v>
      </c>
      <c r="AH39" s="33" cm="1">
        <f t="array" ref="AH39">IFERROR(INDEX('[2]Sales per type Agustus'!$D$10:$BA$51,MATCH($C39,'[2]Sales per type Agustus'!$B$10:$B$51,0),MATCH("V70",'[2]Sales per type Agustus'!$D$8:$BA$8,0)+1),0)</f>
        <v>0</v>
      </c>
      <c r="AI39" s="33">
        <f t="shared" si="9"/>
        <v>0</v>
      </c>
      <c r="AJ39" s="33">
        <f>IFERROR(INDEX('[2]SALES PERTYPE'!$D$10:$BA$52,MATCH($C39,'[2]SALES PERTYPE'!$B$10:$B$52,0),MATCH("Y31d Pro",'[2]SALES PERTYPE'!$D$8:$BA$8,0)),0)</f>
        <v>0</v>
      </c>
      <c r="AK39" s="33">
        <f>IFERROR(INDEX('[2]Sales per type Agustus'!$D$10:$BA$51,MATCH($C39,'[2]Sales per type Agustus'!$B$10:$B$51,0),MATCH("Y31d Pro",'[2]Sales per type Agustus'!$D$8:$BA$8,0)),0)</f>
        <v>2</v>
      </c>
      <c r="AL39" s="33">
        <f t="shared" si="10"/>
        <v>-2</v>
      </c>
      <c r="AM39" s="33" cm="1">
        <f t="array" ref="AM39">IFERROR(INDEX('[2]SALES PERTYPE'!$D$10:$BA$52,MATCH($C39,'[2]SALES PERTYPE'!$B$10:$B$52,0),MATCH("Y31d Pro",'[2]SALES PERTYPE'!$D$8:$BA$8,0)+1),0)</f>
        <v>0</v>
      </c>
      <c r="AN39" s="33" cm="1">
        <f t="array" ref="AN39">IFERROR(INDEX('[2]Sales per type Agustus'!$D$10:$BA$51,MATCH($C39,'[2]Sales per type Agustus'!$B$10:$B$51,0),MATCH("Y31d Pro",'[2]Sales per type Agustus'!$D$8:$BA$8,0)+1),0)</f>
        <v>7798000</v>
      </c>
      <c r="AO39" s="33">
        <f t="shared" si="11"/>
        <v>-7798000</v>
      </c>
      <c r="AP39" s="33" cm="1">
        <f t="array" ref="AP39">IFERROR(INDEX('[2]SALES PERTYPE'!$D$10:$BA$52,MATCH($C39,'[2]SALES PERTYPE'!$B$10:$B$52,0),$EI$3),0)</f>
        <v>0</v>
      </c>
      <c r="AQ39" s="33" cm="1">
        <f t="array" ref="AQ39">IFERROR(INDEX('[2]Sales per type Agustus'!$D$10:$BA$51,MATCH($C39,'[2]Sales per type Agustus'!$B$10:$B$51,0),$EI$2),0)</f>
        <v>0</v>
      </c>
      <c r="AR39" s="33">
        <f t="shared" si="12"/>
        <v>0</v>
      </c>
      <c r="AS39" s="33" cm="1">
        <f t="array" ref="AS39">IFERROR(INDEX('[2]SALES PERTYPE'!$D$10:$BA$52,MATCH($C39,'[2]SALES PERTYPE'!$B$10:$B$52,0),$EI$3+1),0)</f>
        <v>0</v>
      </c>
      <c r="AT39" s="33" cm="1">
        <f t="array" ref="AT39">IFERROR(INDEX('[2]Sales per type Agustus'!$D$10:$BA$51,MATCH($C39,'[2]Sales per type Agustus'!$B$10:$B$51,0),$EI$2+1),0)</f>
        <v>0</v>
      </c>
      <c r="AU39" s="33">
        <f t="shared" si="13"/>
        <v>0</v>
      </c>
      <c r="AV39" s="33">
        <f>IFERROR(INDEX('[2]SALES PERTYPE'!$D$10:$BA$52,MATCH($C39,'[2]SALES PERTYPE'!$B$10:$B$52,0),MATCH("Y31d ",'[2]SALES PERTYPE'!$D$8:$BA$8,0)),0)</f>
        <v>0</v>
      </c>
      <c r="AW39" s="33">
        <f>IFERROR(INDEX('[2]Sales per type Agustus'!$D$10:$BA$51,MATCH($C39,'[2]Sales per type Agustus'!$B$10:$B$51,0),MATCH("Y31d ",'[2]Sales per type Agustus'!$D$8:$BA$8,0)),0)</f>
        <v>0</v>
      </c>
      <c r="AX39" s="33">
        <f t="shared" si="14"/>
        <v>0</v>
      </c>
      <c r="AY39" s="33" cm="1">
        <f t="array" ref="AY39">IFERROR(INDEX('[2]SALES PERTYPE'!$D$10:$BA$52,MATCH($C39,'[2]SALES PERTYPE'!$B$10:$B$52,0),MATCH("Y31d ",'[2]SALES PERTYPE'!$D$8:$BA$8,0)+1),0)</f>
        <v>0</v>
      </c>
      <c r="AZ39" s="33" cm="1">
        <f t="array" ref="AZ39">IFERROR(INDEX('[2]Sales per type Agustus'!$D$10:$BA$51,MATCH($C39,'[2]Sales per type Agustus'!$B$10:$B$51,0),MATCH("Y31d ",'[2]Sales per type Agustus'!$D$8:$BA$8,0)+1),0)</f>
        <v>0</v>
      </c>
      <c r="BA39" s="33">
        <f t="shared" si="15"/>
        <v>0</v>
      </c>
      <c r="BB39" s="33">
        <f>IFERROR(INDEX('[2]SALES PERTYPE'!$D$10:$BA$52,MATCH($C39,'[2]SALES PERTYPE'!$B$10:$B$52,0),MATCH("V70 FE",'[2]SALES PERTYPE'!$D$8:$BA$8,0)),0)</f>
        <v>1</v>
      </c>
      <c r="BC39" s="33">
        <f>IFERROR(INDEX('[2]Sales per type Agustus'!$D$10:$BA$51,MATCH($C39,'[2]Sales per type Agustus'!$B$10:$B$51,0),MATCH("V70 FE",'[2]Sales per type Agustus'!$D$8:$BA$8,0)),0)</f>
        <v>0</v>
      </c>
      <c r="BD39" s="33">
        <f t="shared" si="16"/>
        <v>1</v>
      </c>
      <c r="BE39" s="33" cm="1">
        <f t="array" ref="BE39">IFERROR(INDEX('[2]SALES PERTYPE'!$D$10:$BA$52,MATCH($C39,'[2]SALES PERTYPE'!$B$10:$B$52,0),MATCH("V70 FE",'[2]SALES PERTYPE'!$D$8:$BA$8,0)+1),0)</f>
        <v>7999000</v>
      </c>
      <c r="BF39" s="33" cm="1">
        <f t="array" ref="BF39">IFERROR(INDEX('[2]Sales per type Agustus'!$D$10:$BA$51,MATCH($C39,'[2]Sales per type Agustus'!$B$10:$B$51,0),MATCH("V70 FE",'[2]Sales per type Agustus'!$D$8:$BA$8,0)+1),0)</f>
        <v>0</v>
      </c>
      <c r="BG39" s="33">
        <f t="shared" si="17"/>
        <v>7999000</v>
      </c>
      <c r="BH39" s="33">
        <f>IFERROR(INDEX('[2]SALES PERTYPE'!$D$10:$BA$52,MATCH($C39,'[2]SALES PERTYPE'!$B$10:$B$52,0),MATCH("Y31d",'[2]SALES PERTYPE'!$D$8:$BA$8,0)),0)</f>
        <v>1</v>
      </c>
      <c r="BI39" s="33">
        <f>IFERROR(INDEX('[2]Sales per type Agustus'!$D$10:$BA$51,MATCH($C39,'[2]Sales per type Agustus'!$B$10:$B$51,0),MATCH("Y31d",'[2]Sales per type Agustus'!$D$8:$BA$8,0)),0)</f>
        <v>0</v>
      </c>
      <c r="BJ39" s="33">
        <f t="shared" si="18"/>
        <v>1</v>
      </c>
      <c r="BK39" s="33" cm="1">
        <f t="array" ref="BK39">IFERROR(INDEX('[2]SALES PERTYPE'!$D$10:$BA$52,MATCH($C39,'[2]SALES PERTYPE'!$B$10:$B$52,0),MATCH("Y31d",'[2]SALES PERTYPE'!$D$8:$BA$8,0)+1),0)</f>
        <v>3599000</v>
      </c>
      <c r="BL39" s="33" cm="1">
        <f t="array" ref="BL39">IFERROR(INDEX('[2]Sales per type Agustus'!$D$10:$BA$51,MATCH($C39,'[2]Sales per type Agustus'!$B$10:$B$51,0),MATCH("Y31d",'[2]Sales per type Agustus'!$D$8:$BA$8,0)+1),0)</f>
        <v>0</v>
      </c>
      <c r="BM39" s="33">
        <f t="shared" si="19"/>
        <v>3599000</v>
      </c>
      <c r="BN39" s="33">
        <f>IFERROR(INDEX('[2]SALES PERTYPE'!$D$10:$BA$52,MATCH($C39,'[2]SALES PERTYPE'!$B$10:$B$52,0),MATCH("Y500",'[2]SALES PERTYPE'!$D$8:$BA$8,0)),0)</f>
        <v>1</v>
      </c>
      <c r="BO39" s="33">
        <f>IFERROR(INDEX('[2]Sales per type Agustus'!$D$10:$BA$51,MATCH($C39,'[2]Sales per type Agustus'!$B$10:$B$51,0),MATCH("Y500",'[2]Sales per type Agustus'!$D$8:$BA$8,0)),0)</f>
        <v>0</v>
      </c>
      <c r="BP39" s="33">
        <f t="shared" si="20"/>
        <v>1</v>
      </c>
      <c r="BQ39" s="33" cm="1">
        <f t="array" ref="BQ39">IFERROR(INDEX('[2]SALES PERTYPE'!$D$10:$BA$52,MATCH($C39,'[2]SALES PERTYPE'!$B$10:$B$52,0),MATCH("Y500",'[2]SALES PERTYPE'!$D$8:$BA$8,0)+1),0)</f>
        <v>5499000</v>
      </c>
      <c r="BR39" s="33" cm="1">
        <f t="array" ref="BR39">IFERROR(INDEX('[2]Sales per type Agustus'!$D$10:$BA$51,MATCH($C39,'[2]Sales per type Agustus'!$B$10:$B$51,0),MATCH("Y500",'[2]Sales per type Agustus'!$D$8:$BA$8,0)+1),0)</f>
        <v>0</v>
      </c>
      <c r="BS39" s="33">
        <f t="shared" si="21"/>
        <v>5499000</v>
      </c>
      <c r="BT39" s="33">
        <f>IFERROR(INDEX('[2]SALES PERTYPE'!$D$10:$BA$52,MATCH($C39,'[2]SALES PERTYPE'!$B$10:$B$52,0),MATCH("IQOO 15R",'[2]SALES PERTYPE'!$D$8:$BA$8,0)),0)</f>
        <v>0</v>
      </c>
      <c r="BU39" s="33">
        <f>IFERROR(INDEX('[2]Sales per type Agustus'!$D$10:$BA$51,MATCH($C39,'[2]Sales per type Agustus'!$B$10:$B$51,0),MATCH("IQOO 15R",'[2]Sales per type Agustus'!$D$8:$BA$8,0)),0)</f>
        <v>1</v>
      </c>
      <c r="BV39" s="33">
        <f t="shared" si="22"/>
        <v>-1</v>
      </c>
      <c r="BW39" s="33" cm="1">
        <f t="array" ref="BW39">IFERROR(INDEX('[2]SALES PERTYPE'!$D$10:$BA$52,MATCH($C39,'[2]SALES PERTYPE'!$B$10:$B$52,0),MATCH("IQOO 15R",'[2]SALES PERTYPE'!$D$8:$BA$8,0)+1),0)</f>
        <v>0</v>
      </c>
      <c r="BX39" s="33" cm="1">
        <f t="array" ref="BX39">IFERROR(INDEX('[2]Sales per type Agustus'!$D$10:$BA$51,MATCH($C39,'[2]Sales per type Agustus'!$B$10:$B$51,0),MATCH("IQOO 15R",'[2]Sales per type Agustus'!$D$8:$BA$8,0)+1),0)</f>
        <v>11999000</v>
      </c>
      <c r="BY39" s="33">
        <f t="shared" si="23"/>
        <v>-11999000</v>
      </c>
      <c r="BZ39" s="33">
        <f>IFERROR(INDEX('[2]SALES PERTYPE'!$D$10:$BA$52,MATCH($C39,'[2]SALES PERTYPE'!$B$10:$B$52,0),MATCH("V60 Lite",'[2]SALES PERTYPE'!$D$8:$BA$8,0)),0)</f>
        <v>0</v>
      </c>
      <c r="CA39" s="33">
        <f>IFERROR(INDEX('[2]Sales per type Agustus'!$D$10:$BA$51,MATCH($C39,'[2]Sales per type Agustus'!$B$10:$B$51,0),MATCH("V60 Lite",'[2]Sales per type Agustus'!$D$8:$BA$8,0)),0)</f>
        <v>0</v>
      </c>
      <c r="CB39" s="33">
        <f t="shared" si="24"/>
        <v>0</v>
      </c>
      <c r="CC39" s="33" cm="1">
        <f t="array" ref="CC39">IFERROR(INDEX('[2]SALES PERTYPE'!$D$10:$BA$52,MATCH($C39,'[2]SALES PERTYPE'!$B$10:$B$52,0),MATCH("V60 Lite",'[2]SALES PERTYPE'!$D$8:$BA$8,0)+1),0)</f>
        <v>0</v>
      </c>
      <c r="CD39" s="33" cm="1">
        <f t="array" ref="CD39">IFERROR(INDEX('[2]Sales per type Agustus'!$D$10:$BA$51,MATCH($C39,'[2]Sales per type Agustus'!$B$10:$B$51,0),MATCH("V60 Lite",'[2]Sales per type Agustus'!$D$8:$BA$8,0)+1),0)</f>
        <v>0</v>
      </c>
      <c r="CE39" s="33">
        <f t="shared" si="25"/>
        <v>0</v>
      </c>
      <c r="CF39" s="33">
        <f>IFERROR(INDEX('[2]SALES PERTYPE'!$D$10:$BA$52,MATCH($C39,'[2]SALES PERTYPE'!$B$10:$B$52,0),MATCH("X300 Ultra",'[2]SALES PERTYPE'!$D$8:$BA$8,0)),0)</f>
        <v>0</v>
      </c>
      <c r="CG39" s="33">
        <f>IFERROR(INDEX('[2]Sales per type Agustus'!$D$10:$BA$51,MATCH($C39,'[2]Sales per type Agustus'!$B$10:$B$51,0),MATCH("X300 Ultra",'[2]Sales per type Agustus'!$D$8:$BA$8,0)),0)</f>
        <v>0</v>
      </c>
      <c r="CH39" s="33">
        <f t="shared" si="26"/>
        <v>0</v>
      </c>
      <c r="CI39" s="33" cm="1">
        <f t="array" ref="CI39">IFERROR(INDEX('[2]SALES PERTYPE'!$D$10:$BA$52,MATCH($C39,'[2]SALES PERTYPE'!$B$10:$B$52,0),MATCH("X300 Ultra",'[2]SALES PERTYPE'!$D$8:$BA$8,0)+1),0)</f>
        <v>0</v>
      </c>
      <c r="CJ39" s="33" cm="1">
        <f t="array" ref="CJ39">IFERROR(INDEX('[2]Sales per type Agustus'!$D$10:$BA$51,MATCH($C39,'[2]Sales per type Agustus'!$B$10:$B$51,0),MATCH("X300 Ultra",'[2]Sales per type Agustus'!$D$8:$BA$8,0)+1),0)</f>
        <v>0</v>
      </c>
      <c r="CK39" s="33">
        <f t="shared" si="27"/>
        <v>0</v>
      </c>
      <c r="CL39" s="33">
        <f>IFERROR(INDEX('[2]SALES PERTYPE'!$D$10:$BA$52,MATCH($C39,'[2]SALES PERTYPE'!$B$10:$B$52,0),MATCH("IQOO 15",'[2]SALES PERTYPE'!$D$8:$BA$8,0)),0)</f>
        <v>0</v>
      </c>
      <c r="CM39" s="33">
        <f>IFERROR(INDEX('[2]Sales per type Agustus'!$D$10:$BA$51,MATCH($C39,'[2]Sales per type Agustus'!$B$10:$B$51,0),MATCH("IQOO 15",'[2]Sales per type Agustus'!$D$8:$BA$8,0)),0)</f>
        <v>0</v>
      </c>
      <c r="CN39" s="33">
        <f t="shared" si="28"/>
        <v>0</v>
      </c>
      <c r="CO39" s="33" cm="1">
        <f t="array" ref="CO39">IFERROR(INDEX('[2]SALES PERTYPE'!$D$10:$BA$52,MATCH($C39,'[2]SALES PERTYPE'!$B$10:$B$52,0),MATCH("IQOO 15",'[2]SALES PERTYPE'!$D$8:$BA$8,0)+1),0)</f>
        <v>0</v>
      </c>
      <c r="CP39" s="33" cm="1">
        <f t="array" ref="CP39">IFERROR(INDEX('[2]Sales per type Agustus'!$D$10:$BA$51,MATCH($C39,'[2]Sales per type Agustus'!$B$10:$B$51,0),MATCH("IQOO 15",'[2]Sales per type Agustus'!$D$8:$BA$8,0)+1),0)</f>
        <v>0</v>
      </c>
      <c r="CQ39" s="33">
        <f t="shared" si="29"/>
        <v>0</v>
      </c>
      <c r="CR39" s="33">
        <f>IFERROR(INDEX('[2]SALES PERTYPE'!$D$10:$BA$52,MATCH($C39,'[2]SALES PERTYPE'!$B$10:$B$52,0),MATCH("IQOO Z11x",'[2]SALES PERTYPE'!$D$8:$BA$8,0)),0)</f>
        <v>0</v>
      </c>
      <c r="CS39" s="33">
        <f>IFERROR(INDEX('[2]Sales per type Agustus'!$D$10:$BA$51,MATCH($C39,'[2]Sales per type Agustus'!$B$10:$B$51,0),MATCH("IQOO Z11x",'[2]Sales per type Agustus'!$D$8:$BA$8,0)),0)</f>
        <v>0</v>
      </c>
      <c r="CT39" s="33">
        <f t="shared" si="30"/>
        <v>0</v>
      </c>
      <c r="CU39" s="33" cm="1">
        <f t="array" ref="CU39">IFERROR(INDEX('[2]SALES PERTYPE'!$D$10:$BA$52,MATCH($C39,'[2]SALES PERTYPE'!$B$10:$B$52,0),MATCH("IQOO Z11x",'[2]SALES PERTYPE'!$D$8:$BA$8,0)+1),0)</f>
        <v>0</v>
      </c>
      <c r="CV39" s="33" cm="1">
        <f t="array" ref="CV39">IFERROR(INDEX('[2]Sales per type Agustus'!$D$10:$BA$51,MATCH($C39,'[2]Sales per type Agustus'!$B$10:$B$51,0),MATCH("IQOO Z11x",'[2]Sales per type Agustus'!$D$8:$BA$8,0)+1),0)</f>
        <v>0</v>
      </c>
      <c r="CW39" s="33">
        <f t="shared" si="31"/>
        <v>0</v>
      </c>
      <c r="CX39" s="33">
        <f>IFERROR(INDEX('[2]SALES PERTYPE'!$D$10:$BA$52,MATCH($C39,'[2]SALES PERTYPE'!$B$10:$B$52,0),MATCH("IQOO Z11",'[2]SALES PERTYPE'!$D$8:$BA$8,0)),0)</f>
        <v>1</v>
      </c>
      <c r="CY39" s="33">
        <f>IFERROR(INDEX('[2]Sales per type Agustus'!$D$10:$BA$51,MATCH($C39,'[2]Sales per type Agustus'!$B$10:$B$51,0),MATCH("IQOO Z11",'[2]Sales per type Agustus'!$D$8:$BA$8,0)),0)</f>
        <v>0</v>
      </c>
      <c r="CZ39" s="33">
        <f t="shared" si="32"/>
        <v>1</v>
      </c>
      <c r="DA39" s="33" cm="1">
        <f t="array" ref="DA39">IFERROR(INDEX('[2]SALES PERTYPE'!$D$10:$BA$52,MATCH($C39,'[2]SALES PERTYPE'!$B$10:$B$52,0),MATCH("IQOO Z11",'[2]SALES PERTYPE'!$D$8:$BA$8,0)+1),0)</f>
        <v>6899000</v>
      </c>
      <c r="DB39" s="33" cm="1">
        <f t="array" ref="DB39">IFERROR(INDEX('[2]Sales per type Agustus'!$D$10:$BA$51,MATCH($C39,'[2]Sales per type Agustus'!$B$10:$B$51,0),MATCH("IQOO Z11",'[2]Sales per type Agustus'!$D$8:$BA$8,0)+1),0)</f>
        <v>0</v>
      </c>
      <c r="DC39" s="33">
        <f t="shared" si="33"/>
        <v>6899000</v>
      </c>
      <c r="DD39" s="33">
        <f>IFERROR(INDEX('[2]SALES PERTYPE'!$D$10:$BA$52,MATCH($C39,'[2]SALES PERTYPE'!$B$10:$B$52,0),MATCH("WATCH 3",'[2]SALES PERTYPE'!$D$8:$BA$8,0)),0)</f>
        <v>0</v>
      </c>
      <c r="DE39" s="33">
        <f>IFERROR(INDEX('[2]Sales per type Agustus'!$D$10:$BA$51,MATCH($C39,'[2]Sales per type Agustus'!$B$10:$B$51,0),MATCH("WATCH 3",'[2]Sales per type Agustus'!$D$8:$BA$8,0)),0)</f>
        <v>0</v>
      </c>
      <c r="DF39" s="33">
        <f t="shared" si="34"/>
        <v>0</v>
      </c>
      <c r="DG39" s="33" cm="1">
        <f t="array" ref="DG39">IFERROR(INDEX('[2]SALES PERTYPE'!$D$10:$BA$52,MATCH($C39,'[2]SALES PERTYPE'!$B$10:$B$52,0),MATCH("WATCH 3",'[2]SALES PERTYPE'!$D$8:$BA$8,0)+1),0)</f>
        <v>0</v>
      </c>
      <c r="DH39" s="33" cm="1">
        <f t="array" ref="DH39">IFERROR(INDEX('[2]Sales per type Agustus'!$D$10:$BA$51,MATCH($C39,'[2]Sales per type Agustus'!$B$10:$B$51,0),MATCH("WATCH 3",'[2]Sales per type Agustus'!$D$8:$BA$8,0)+1),0)</f>
        <v>0</v>
      </c>
      <c r="DI39" s="33">
        <f t="shared" si="35"/>
        <v>0</v>
      </c>
      <c r="DJ39" s="33">
        <f>IFERROR(INDEX('[2]SALES PERTYPE'!$D$10:$BA$52,MATCH($C39,'[2]SALES PERTYPE'!$B$10:$B$52,0),MATCH("X Fold5",'[2]SALES PERTYPE'!$D$8:$BA$8,0)),0)</f>
        <v>0</v>
      </c>
      <c r="DK39" s="33">
        <f>IFERROR(INDEX('[2]Sales per type Agustus'!$D$10:$BA$51,MATCH($C39,'[2]Sales per type Agustus'!$B$10:$B$51,0),MATCH("X Fold5",'[2]Sales per type Agustus'!$D$8:$BA$8,0)),0)</f>
        <v>0</v>
      </c>
      <c r="DL39" s="33">
        <f t="shared" si="36"/>
        <v>0</v>
      </c>
      <c r="DM39" s="33" cm="1">
        <f t="array" ref="DM39">IFERROR(INDEX('[2]SALES PERTYPE'!$D$10:$BA$52,MATCH($C39,'[2]SALES PERTYPE'!$B$10:$B$52,0),MATCH("X Fold5",'[2]SALES PERTYPE'!$D$8:$BA$8,0)+1),0)</f>
        <v>0</v>
      </c>
      <c r="DN39" s="33" cm="1">
        <f t="array" ref="DN39">IFERROR(INDEX('[2]Sales per type Agustus'!$D$10:$BA$51,MATCH($C39,'[2]Sales per type Agustus'!$B$10:$B$51,0),MATCH("X Fold5",'[2]Sales per type Agustus'!$D$8:$BA$8,0)+1),0)</f>
        <v>0</v>
      </c>
      <c r="DO39" s="33">
        <f t="shared" si="37"/>
        <v>0</v>
      </c>
      <c r="DP39" s="33">
        <f>IFERROR(INDEX('[2]SALES PERTYPE'!$D$10:$BA$52,MATCH($C39,'[2]SALES PERTYPE'!$B$10:$B$52,0),MATCH("X300 PRO",'[2]SALES PERTYPE'!$D$8:$BA$8,0)),0)</f>
        <v>0</v>
      </c>
      <c r="DQ39" s="33">
        <f>IFERROR(INDEX('[2]Sales per type Agustus'!$D$10:$BA$51,MATCH($C39,'[2]Sales per type Agustus'!$B$10:$B$51,0),MATCH("X300 PRO",'[2]Sales per type Agustus'!$D$8:$BA$8,0)),0)</f>
        <v>0</v>
      </c>
      <c r="DR39" s="33">
        <f t="shared" si="38"/>
        <v>0</v>
      </c>
      <c r="DS39" s="33" cm="1">
        <f t="array" ref="DS39">IFERROR(INDEX('[2]SALES PERTYPE'!$D$10:$BA$52,MATCH($C39,'[2]SALES PERTYPE'!$B$10:$B$52,0),MATCH("X300 PRO",'[2]SALES PERTYPE'!$D$8:$BA$8,0)+1),0)</f>
        <v>0</v>
      </c>
      <c r="DT39" s="33" cm="1">
        <f t="array" ref="DT39">IFERROR(INDEX('[2]Sales per type Agustus'!$D$10:$BA$51,MATCH($C39,'[2]Sales per type Agustus'!$B$10:$B$51,0),MATCH("X300 PRO",'[2]Sales per type Agustus'!$D$8:$BA$8,0)+1),0)</f>
        <v>0</v>
      </c>
      <c r="DU39" s="33">
        <f t="shared" si="39"/>
        <v>0</v>
      </c>
      <c r="DV39" s="33">
        <f>IFERROR(INDEX('[2]SALES PERTYPE'!$D$10:$BA$52,MATCH($C39,'[2]SALES PERTYPE'!$B$10:$B$52,0),MATCH("X300",'[2]SALES PERTYPE'!$D$8:$BA$8,0)),0)</f>
        <v>0</v>
      </c>
      <c r="DW39" s="33">
        <f>IFERROR(INDEX('[2]Sales per type Agustus'!$D$10:$BA$51,MATCH($C39,'[2]Sales per type Agustus'!$B$10:$B$51,0),MATCH("X300 ",'[2]Sales per type Agustus'!$D$8:$BA$8,0)),0)</f>
        <v>0</v>
      </c>
      <c r="DX39" s="33">
        <f t="shared" si="40"/>
        <v>0</v>
      </c>
      <c r="DY39" s="33" cm="1">
        <f t="array" ref="DY39">IFERROR(INDEX('[2]SALES PERTYPE'!$D$10:$BA$52,MATCH($C39,'[2]SALES PERTYPE'!$B$10:$B$52,0),MATCH("X300",'[2]SALES PERTYPE'!$D$8:$BA$8,0)+1),0)</f>
        <v>0</v>
      </c>
      <c r="DZ39" s="33" cm="1">
        <f t="array" ref="DZ39">IFERROR(INDEX('[2]Sales per type Agustus'!$D$10:$BA$51,MATCH($C39,'[2]Sales per type Agustus'!$B$10:$B$51,0),MATCH("X300 ",'[2]Sales per type Agustus'!$D$8:$BA$8,0)+1),0)</f>
        <v>0</v>
      </c>
      <c r="EA39" s="33">
        <f t="shared" si="41"/>
        <v>0</v>
      </c>
      <c r="EB39" s="33">
        <f t="shared" si="42"/>
        <v>10</v>
      </c>
      <c r="EC39" s="33">
        <f t="shared" si="42"/>
        <v>8</v>
      </c>
      <c r="ED39" s="33">
        <f t="shared" si="43"/>
        <v>2</v>
      </c>
      <c r="EE39" s="33">
        <f t="shared" si="44"/>
        <v>37790000</v>
      </c>
      <c r="EF39" s="33">
        <f t="shared" si="44"/>
        <v>31792000</v>
      </c>
      <c r="EG39" s="33">
        <f t="shared" si="45"/>
        <v>5998000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5">
        <f>'[2]ACHIEVEMENT STORE'!A40</f>
        <v>36</v>
      </c>
      <c r="B40" s="216" t="str">
        <f>'[2]ACHIEVEMENT STORE'!B40</f>
        <v>619-万隆市区BDG KOTA</v>
      </c>
      <c r="C40" s="215">
        <f>'[2]ACHIEVEMENT STORE'!C40</f>
        <v>6190704</v>
      </c>
      <c r="D40" s="216" t="str">
        <f>'[2]ACHIEVEMENT STORE'!D40</f>
        <v>6190704-BEC VIVO STORE 1</v>
      </c>
      <c r="E40" s="216" t="str">
        <f>'[2]ACHIEVEMENT STORE'!E40</f>
        <v>NENG TOTOH</v>
      </c>
      <c r="F40" s="33">
        <f>IFERROR(INDEX('[2]SALES PERTYPE'!$D$10:$BA$52,MATCH($C40,'[2]SALES PERTYPE'!$B$10:$B$52,0),MATCH("Y05",'[2]SALES PERTYPE'!$D$8:$BA$8,0)),0)</f>
        <v>4</v>
      </c>
      <c r="G40" s="33">
        <f>IFERROR(INDEX('[2]Sales per type Agustus'!$D$10:$BA$51,MATCH($C40,'[2]Sales per type Agustus'!$B$10:$B$51,0),MATCH("Y05",'[2]Sales per type Agustus'!$D$8:$BA$8,0)),0)</f>
        <v>1</v>
      </c>
      <c r="H40" s="33">
        <f t="shared" si="0"/>
        <v>3</v>
      </c>
      <c r="I40" s="33" cm="1">
        <f t="array" ref="I40">IFERROR(INDEX('[2]SALES PERTYPE'!$D$10:$BA$52,MATCH($C40,'[2]SALES PERTYPE'!$B$10:$B$52,0),MATCH("Y05",'[2]SALES PERTYPE'!$D$8:$BA$8,0)+1),0)</f>
        <v>10096000</v>
      </c>
      <c r="J40" s="33" cm="1">
        <f t="array" ref="J40">IFERROR(INDEX('[2]Sales per type Agustus'!$D$10:$BA$51,MATCH($C40,'[2]Sales per type Agustus'!$B$10:$B$51,0),MATCH("Y05",'[2]Sales per type Agustus'!$D$8:$BA$8,0)+1),0)</f>
        <v>2299000</v>
      </c>
      <c r="K40" s="33">
        <f t="shared" si="1"/>
        <v>7797000</v>
      </c>
      <c r="L40" s="33">
        <f>IFERROR(INDEX('[2]SALES PERTYPE'!$D$10:$BA$52,MATCH($C40,'[2]SALES PERTYPE'!$B$10:$B$52,0),MATCH("Y11d",'[2]SALES PERTYPE'!$D$8:$BA$8,0)),0)</f>
        <v>5</v>
      </c>
      <c r="M40" s="33">
        <f>IFERROR(INDEX('[2]Sales per type Agustus'!$D$10:$BA$51,MATCH($C40,'[2]Sales per type Agustus'!$B$10:$B$51,0),MATCH("Y11d",'[2]Sales per type Agustus'!$D$8:$BA$8,0)),0)</f>
        <v>10</v>
      </c>
      <c r="N40" s="33">
        <f t="shared" si="2"/>
        <v>-5</v>
      </c>
      <c r="O40" s="33" cm="1">
        <f t="array" ref="O40">IFERROR(INDEX('[2]SALES PERTYPE'!$D$10:$BA$52,MATCH($C40,'[2]SALES PERTYPE'!$B$10:$B$52,0),MATCH("Y11d",'[2]SALES PERTYPE'!$D$8:$BA$8,0)+1),0)</f>
        <v>12795000</v>
      </c>
      <c r="P40" s="33" cm="1">
        <f t="array" ref="P40">IFERROR(INDEX('[2]Sales per type Agustus'!$D$10:$BA$51,MATCH($C40,'[2]Sales per type Agustus'!$B$10:$B$51,0),MATCH("Y11d",'[2]Sales per type Agustus'!$D$8:$BA$8,0)+1),0)</f>
        <v>25590000</v>
      </c>
      <c r="Q40" s="33">
        <f t="shared" si="3"/>
        <v>-12795000</v>
      </c>
      <c r="R40" s="33">
        <f>IFERROR(INDEX('[2]SALES PERTYPE'!$D$10:$BA$52,MATCH($C40,'[2]SALES PERTYPE'!$B$10:$B$52,0),MATCH("Watch GT 2",'[2]SALES PERTYPE'!$D$8:$BA$8,0)),0)</f>
        <v>0</v>
      </c>
      <c r="S40" s="33">
        <f>IFERROR(INDEX('[2]Sales per type Agustus'!$D$10:$BA$51,MATCH($C40,'[2]Sales per type Agustus'!$B$10:$B$51,0),MATCH("Watch GT 2",'[2]Sales per type Agustus'!$D$8:$BA$8,0)),0)</f>
        <v>0</v>
      </c>
      <c r="T40" s="33">
        <f t="shared" si="4"/>
        <v>0</v>
      </c>
      <c r="U40" s="33" cm="1">
        <f t="array" ref="U40">IFERROR(INDEX('[2]SALES PERTYPE'!$D$10:$BA$52,MATCH($C40,'[2]SALES PERTYPE'!$B$10:$B$52,0),MATCH("Watch GT 2",'[2]SALES PERTYPE'!$D$8:$BA$8,0)+1),0)</f>
        <v>0</v>
      </c>
      <c r="V40" s="33" cm="1">
        <f t="array" ref="V40">IFERROR(INDEX('[2]Sales per type Agustus'!$D$10:$BA$51,MATCH($C40,'[2]Sales per type Agustus'!$B$10:$B$51,0),MATCH("Watch GT 2",'[2]Sales per type Agustus'!$D$8:$BA$8,0)+1),0)</f>
        <v>0</v>
      </c>
      <c r="W40" s="33">
        <f t="shared" si="5"/>
        <v>0</v>
      </c>
      <c r="X40" s="33">
        <f>IFERROR(INDEX('[2]SALES PERTYPE'!$D$10:$BA$52,MATCH($C40,'[2]SALES PERTYPE'!$B$10:$B$52,0),MATCH("Y05e",'[2]SALES PERTYPE'!$D$8:$BA$8,0)),0)</f>
        <v>2</v>
      </c>
      <c r="Y40" s="33">
        <f>IFERROR(INDEX('[2]Sales per type Agustus'!$D$10:$BA$51,MATCH($C40,'[2]Sales per type Agustus'!$B$10:$B$51,0),MATCH("Y05e",'[2]Sales per type Agustus'!$D$8:$BA$8,0)),0)</f>
        <v>10</v>
      </c>
      <c r="Z40" s="33">
        <f t="shared" si="6"/>
        <v>-8</v>
      </c>
      <c r="AA40" s="33" cm="1">
        <f t="array" ref="AA40">IFERROR(INDEX('[2]SALES PERTYPE'!$D$10:$BA$52,MATCH($C40,'[2]SALES PERTYPE'!$B$10:$B$52,0),MATCH("Y05e",'[2]SALES PERTYPE'!$D$8:$BA$8,0)+1),0)</f>
        <v>4198000</v>
      </c>
      <c r="AB40" s="33" cm="1">
        <f t="array" ref="AB40">IFERROR(INDEX('[2]Sales per type Agustus'!$D$10:$BA$51,MATCH($C40,'[2]Sales per type Agustus'!$B$10:$B$51,0),MATCH("Y05e",'[2]Sales per type Agustus'!$D$8:$BA$8,0)+1),0)</f>
        <v>20990000</v>
      </c>
      <c r="AC40" s="33">
        <f t="shared" si="7"/>
        <v>-16792000</v>
      </c>
      <c r="AD40" s="33">
        <f>IFERROR(INDEX('[2]SALES PERTYPE'!$D$10:$BA$52,MATCH($C40,'[2]SALES PERTYPE'!$B$10:$B$52,0),MATCH("V70",'[2]SALES PERTYPE'!$D$8:$BA$8,0)),0)</f>
        <v>1</v>
      </c>
      <c r="AE40" s="33">
        <f>IFERROR(INDEX('[2]Sales per type Agustus'!$D$10:$BA$51,MATCH($C40,'[2]Sales per type Agustus'!$B$10:$B$51,0),MATCH("V70",'[2]Sales per type Agustus'!$D$8:$BA$8,0)),0)</f>
        <v>1</v>
      </c>
      <c r="AF40" s="33">
        <f t="shared" si="8"/>
        <v>0</v>
      </c>
      <c r="AG40" s="33" cm="1">
        <f t="array" ref="AG40">IFERROR(INDEX('[2]SALES PERTYPE'!$D$10:$BA$52,MATCH($C40,'[2]SALES PERTYPE'!$B$10:$B$52,0),MATCH("V70",'[2]SALES PERTYPE'!$D$8:$BA$8,0)+1),0)</f>
        <v>9999000</v>
      </c>
      <c r="AH40" s="33" cm="1">
        <f t="array" ref="AH40">IFERROR(INDEX('[2]Sales per type Agustus'!$D$10:$BA$51,MATCH($C40,'[2]Sales per type Agustus'!$B$10:$B$51,0),MATCH("V70",'[2]Sales per type Agustus'!$D$8:$BA$8,0)+1),0)</f>
        <v>8999000</v>
      </c>
      <c r="AI40" s="33">
        <f t="shared" si="9"/>
        <v>1000000</v>
      </c>
      <c r="AJ40" s="33">
        <f>IFERROR(INDEX('[2]SALES PERTYPE'!$D$10:$BA$52,MATCH($C40,'[2]SALES PERTYPE'!$B$10:$B$52,0),MATCH("Y31d Pro",'[2]SALES PERTYPE'!$D$8:$BA$8,0)),0)</f>
        <v>1</v>
      </c>
      <c r="AK40" s="33">
        <f>IFERROR(INDEX('[2]Sales per type Agustus'!$D$10:$BA$51,MATCH($C40,'[2]Sales per type Agustus'!$B$10:$B$51,0),MATCH("Y31d Pro",'[2]Sales per type Agustus'!$D$8:$BA$8,0)),0)</f>
        <v>5</v>
      </c>
      <c r="AL40" s="33">
        <f t="shared" si="10"/>
        <v>-4</v>
      </c>
      <c r="AM40" s="33" cm="1">
        <f t="array" ref="AM40">IFERROR(INDEX('[2]SALES PERTYPE'!$D$10:$BA$52,MATCH($C40,'[2]SALES PERTYPE'!$B$10:$B$52,0),MATCH("Y31d Pro",'[2]SALES PERTYPE'!$D$8:$BA$8,0)+1),0)</f>
        <v>4299000</v>
      </c>
      <c r="AN40" s="33" cm="1">
        <f t="array" ref="AN40">IFERROR(INDEX('[2]Sales per type Agustus'!$D$10:$BA$51,MATCH($C40,'[2]Sales per type Agustus'!$B$10:$B$51,0),MATCH("Y31d Pro",'[2]Sales per type Agustus'!$D$8:$BA$8,0)+1),0)</f>
        <v>24695000</v>
      </c>
      <c r="AO40" s="33">
        <f t="shared" si="11"/>
        <v>-20396000</v>
      </c>
      <c r="AP40" s="33" cm="1">
        <f t="array" ref="AP40">IFERROR(INDEX('[2]SALES PERTYPE'!$D$10:$BA$52,MATCH($C40,'[2]SALES PERTYPE'!$B$10:$B$52,0),$EI$3),0)</f>
        <v>0</v>
      </c>
      <c r="AQ40" s="33" cm="1">
        <f t="array" ref="AQ40">IFERROR(INDEX('[2]Sales per type Agustus'!$D$10:$BA$51,MATCH($C40,'[2]Sales per type Agustus'!$B$10:$B$51,0),$EI$2),0)</f>
        <v>0</v>
      </c>
      <c r="AR40" s="33">
        <f t="shared" si="12"/>
        <v>0</v>
      </c>
      <c r="AS40" s="33" cm="1">
        <f t="array" ref="AS40">IFERROR(INDEX('[2]SALES PERTYPE'!$D$10:$BA$52,MATCH($C40,'[2]SALES PERTYPE'!$B$10:$B$52,0),$EI$3+1),0)</f>
        <v>0</v>
      </c>
      <c r="AT40" s="33" cm="1">
        <f t="array" ref="AT40">IFERROR(INDEX('[2]Sales per type Agustus'!$D$10:$BA$51,MATCH($C40,'[2]Sales per type Agustus'!$B$10:$B$51,0),$EI$2+1),0)</f>
        <v>0</v>
      </c>
      <c r="AU40" s="33">
        <f t="shared" si="13"/>
        <v>0</v>
      </c>
      <c r="AV40" s="33">
        <f>IFERROR(INDEX('[2]SALES PERTYPE'!$D$10:$BA$52,MATCH($C40,'[2]SALES PERTYPE'!$B$10:$B$52,0),MATCH("Y31d ",'[2]SALES PERTYPE'!$D$8:$BA$8,0)),0)</f>
        <v>1</v>
      </c>
      <c r="AW40" s="33">
        <f>IFERROR(INDEX('[2]Sales per type Agustus'!$D$10:$BA$51,MATCH($C40,'[2]Sales per type Agustus'!$B$10:$B$51,0),MATCH("Y31d ",'[2]Sales per type Agustus'!$D$8:$BA$8,0)),0)</f>
        <v>0</v>
      </c>
      <c r="AX40" s="33">
        <f t="shared" si="14"/>
        <v>1</v>
      </c>
      <c r="AY40" s="33" cm="1">
        <f t="array" ref="AY40">IFERROR(INDEX('[2]SALES PERTYPE'!$D$10:$BA$52,MATCH($C40,'[2]SALES PERTYPE'!$B$10:$B$52,0),MATCH("Y31d ",'[2]SALES PERTYPE'!$D$8:$BA$8,0)+1),0)</f>
        <v>3599000</v>
      </c>
      <c r="AZ40" s="33" cm="1">
        <f t="array" ref="AZ40">IFERROR(INDEX('[2]Sales per type Agustus'!$D$10:$BA$51,MATCH($C40,'[2]Sales per type Agustus'!$B$10:$B$51,0),MATCH("Y31d ",'[2]Sales per type Agustus'!$D$8:$BA$8,0)+1),0)</f>
        <v>0</v>
      </c>
      <c r="BA40" s="33">
        <f t="shared" si="15"/>
        <v>3599000</v>
      </c>
      <c r="BB40" s="33">
        <f>IFERROR(INDEX('[2]SALES PERTYPE'!$D$10:$BA$52,MATCH($C40,'[2]SALES PERTYPE'!$B$10:$B$52,0),MATCH("V70 FE",'[2]SALES PERTYPE'!$D$8:$BA$8,0)),0)</f>
        <v>1</v>
      </c>
      <c r="BC40" s="33">
        <f>IFERROR(INDEX('[2]Sales per type Agustus'!$D$10:$BA$51,MATCH($C40,'[2]Sales per type Agustus'!$B$10:$B$51,0),MATCH("V70 FE",'[2]Sales per type Agustus'!$D$8:$BA$8,0)),0)</f>
        <v>4</v>
      </c>
      <c r="BD40" s="33">
        <f t="shared" si="16"/>
        <v>-3</v>
      </c>
      <c r="BE40" s="33" cm="1">
        <f t="array" ref="BE40">IFERROR(INDEX('[2]SALES PERTYPE'!$D$10:$BA$52,MATCH($C40,'[2]SALES PERTYPE'!$B$10:$B$52,0),MATCH("V70 FE",'[2]SALES PERTYPE'!$D$8:$BA$8,0)+1),0)</f>
        <v>7999000</v>
      </c>
      <c r="BF40" s="33" cm="1">
        <f t="array" ref="BF40">IFERROR(INDEX('[2]Sales per type Agustus'!$D$10:$BA$51,MATCH($C40,'[2]Sales per type Agustus'!$B$10:$B$51,0),MATCH("V70 FE",'[2]Sales per type Agustus'!$D$8:$BA$8,0)+1),0)</f>
        <v>28896000</v>
      </c>
      <c r="BG40" s="33">
        <f t="shared" si="17"/>
        <v>-20897000</v>
      </c>
      <c r="BH40" s="33">
        <f>IFERROR(INDEX('[2]SALES PERTYPE'!$D$10:$BA$52,MATCH($C40,'[2]SALES PERTYPE'!$B$10:$B$52,0),MATCH("Y31d",'[2]SALES PERTYPE'!$D$8:$BA$8,0)),0)</f>
        <v>3</v>
      </c>
      <c r="BI40" s="33">
        <f>IFERROR(INDEX('[2]Sales per type Agustus'!$D$10:$BA$51,MATCH($C40,'[2]Sales per type Agustus'!$B$10:$B$51,0),MATCH("Y31d",'[2]Sales per type Agustus'!$D$8:$BA$8,0)),0)</f>
        <v>0</v>
      </c>
      <c r="BJ40" s="33">
        <f t="shared" si="18"/>
        <v>3</v>
      </c>
      <c r="BK40" s="33" cm="1">
        <f t="array" ref="BK40">IFERROR(INDEX('[2]SALES PERTYPE'!$D$10:$BA$52,MATCH($C40,'[2]SALES PERTYPE'!$B$10:$B$52,0),MATCH("Y31d",'[2]SALES PERTYPE'!$D$8:$BA$8,0)+1),0)</f>
        <v>10797000</v>
      </c>
      <c r="BL40" s="33" cm="1">
        <f t="array" ref="BL40">IFERROR(INDEX('[2]Sales per type Agustus'!$D$10:$BA$51,MATCH($C40,'[2]Sales per type Agustus'!$B$10:$B$51,0),MATCH("Y31d",'[2]Sales per type Agustus'!$D$8:$BA$8,0)+1),0)</f>
        <v>0</v>
      </c>
      <c r="BM40" s="33">
        <f t="shared" si="19"/>
        <v>10797000</v>
      </c>
      <c r="BN40" s="33">
        <f>IFERROR(INDEX('[2]SALES PERTYPE'!$D$10:$BA$52,MATCH($C40,'[2]SALES PERTYPE'!$B$10:$B$52,0),MATCH("Y500",'[2]SALES PERTYPE'!$D$8:$BA$8,0)),0)</f>
        <v>2</v>
      </c>
      <c r="BO40" s="33">
        <f>IFERROR(INDEX('[2]Sales per type Agustus'!$D$10:$BA$51,MATCH($C40,'[2]Sales per type Agustus'!$B$10:$B$51,0),MATCH("Y500",'[2]Sales per type Agustus'!$D$8:$BA$8,0)),0)</f>
        <v>1</v>
      </c>
      <c r="BP40" s="33">
        <f t="shared" si="20"/>
        <v>1</v>
      </c>
      <c r="BQ40" s="33" cm="1">
        <f t="array" ref="BQ40">IFERROR(INDEX('[2]SALES PERTYPE'!$D$10:$BA$52,MATCH($C40,'[2]SALES PERTYPE'!$B$10:$B$52,0),MATCH("Y500",'[2]SALES PERTYPE'!$D$8:$BA$8,0)+1),0)</f>
        <v>11798000</v>
      </c>
      <c r="BR40" s="33" cm="1">
        <f t="array" ref="BR40">IFERROR(INDEX('[2]Sales per type Agustus'!$D$10:$BA$51,MATCH($C40,'[2]Sales per type Agustus'!$B$10:$B$51,0),MATCH("Y500",'[2]Sales per type Agustus'!$D$8:$BA$8,0)+1),0)</f>
        <v>5499000</v>
      </c>
      <c r="BS40" s="33">
        <f t="shared" si="21"/>
        <v>6299000</v>
      </c>
      <c r="BT40" s="33">
        <f>IFERROR(INDEX('[2]SALES PERTYPE'!$D$10:$BA$52,MATCH($C40,'[2]SALES PERTYPE'!$B$10:$B$52,0),MATCH("IQOO 15R",'[2]SALES PERTYPE'!$D$8:$BA$8,0)),0)</f>
        <v>0</v>
      </c>
      <c r="BU40" s="33">
        <f>IFERROR(INDEX('[2]Sales per type Agustus'!$D$10:$BA$51,MATCH($C40,'[2]Sales per type Agustus'!$B$10:$B$51,0),MATCH("IQOO 15R",'[2]Sales per type Agustus'!$D$8:$BA$8,0)),0)</f>
        <v>0</v>
      </c>
      <c r="BV40" s="33">
        <f t="shared" si="22"/>
        <v>0</v>
      </c>
      <c r="BW40" s="33" cm="1">
        <f t="array" ref="BW40">IFERROR(INDEX('[2]SALES PERTYPE'!$D$10:$BA$52,MATCH($C40,'[2]SALES PERTYPE'!$B$10:$B$52,0),MATCH("IQOO 15R",'[2]SALES PERTYPE'!$D$8:$BA$8,0)+1),0)</f>
        <v>0</v>
      </c>
      <c r="BX40" s="33" cm="1">
        <f t="array" ref="BX40">IFERROR(INDEX('[2]Sales per type Agustus'!$D$10:$BA$51,MATCH($C40,'[2]Sales per type Agustus'!$B$10:$B$51,0),MATCH("IQOO 15R",'[2]Sales per type Agustus'!$D$8:$BA$8,0)+1),0)</f>
        <v>0</v>
      </c>
      <c r="BY40" s="33">
        <f t="shared" si="23"/>
        <v>0</v>
      </c>
      <c r="BZ40" s="33">
        <f>IFERROR(INDEX('[2]SALES PERTYPE'!$D$10:$BA$52,MATCH($C40,'[2]SALES PERTYPE'!$B$10:$B$52,0),MATCH("V60 Lite",'[2]SALES PERTYPE'!$D$8:$BA$8,0)),0)</f>
        <v>1</v>
      </c>
      <c r="CA40" s="33">
        <f>IFERROR(INDEX('[2]Sales per type Agustus'!$D$10:$BA$51,MATCH($C40,'[2]Sales per type Agustus'!$B$10:$B$51,0),MATCH("V60 Lite",'[2]Sales per type Agustus'!$D$8:$BA$8,0)),0)</f>
        <v>0</v>
      </c>
      <c r="CB40" s="33">
        <f t="shared" si="24"/>
        <v>1</v>
      </c>
      <c r="CC40" s="33" cm="1">
        <f t="array" ref="CC40">IFERROR(INDEX('[2]SALES PERTYPE'!$D$10:$BA$52,MATCH($C40,'[2]SALES PERTYPE'!$B$10:$B$52,0),MATCH("V60 Lite",'[2]SALES PERTYPE'!$D$8:$BA$8,0)+1),0)</f>
        <v>5899000</v>
      </c>
      <c r="CD40" s="33" cm="1">
        <f t="array" ref="CD40">IFERROR(INDEX('[2]Sales per type Agustus'!$D$10:$BA$51,MATCH($C40,'[2]Sales per type Agustus'!$B$10:$B$51,0),MATCH("V60 Lite",'[2]Sales per type Agustus'!$D$8:$BA$8,0)+1),0)</f>
        <v>0</v>
      </c>
      <c r="CE40" s="33">
        <f t="shared" si="25"/>
        <v>5899000</v>
      </c>
      <c r="CF40" s="33">
        <f>IFERROR(INDEX('[2]SALES PERTYPE'!$D$10:$BA$52,MATCH($C40,'[2]SALES PERTYPE'!$B$10:$B$52,0),MATCH("X300 Ultra",'[2]SALES PERTYPE'!$D$8:$BA$8,0)),0)</f>
        <v>0</v>
      </c>
      <c r="CG40" s="33">
        <f>IFERROR(INDEX('[2]Sales per type Agustus'!$D$10:$BA$51,MATCH($C40,'[2]Sales per type Agustus'!$B$10:$B$51,0),MATCH("X300 Ultra",'[2]Sales per type Agustus'!$D$8:$BA$8,0)),0)</f>
        <v>0</v>
      </c>
      <c r="CH40" s="33">
        <f t="shared" si="26"/>
        <v>0</v>
      </c>
      <c r="CI40" s="33" cm="1">
        <f t="array" ref="CI40">IFERROR(INDEX('[2]SALES PERTYPE'!$D$10:$BA$52,MATCH($C40,'[2]SALES PERTYPE'!$B$10:$B$52,0),MATCH("X300 Ultra",'[2]SALES PERTYPE'!$D$8:$BA$8,0)+1),0)</f>
        <v>0</v>
      </c>
      <c r="CJ40" s="33" cm="1">
        <f t="array" ref="CJ40">IFERROR(INDEX('[2]Sales per type Agustus'!$D$10:$BA$51,MATCH($C40,'[2]Sales per type Agustus'!$B$10:$B$51,0),MATCH("X300 Ultra",'[2]Sales per type Agustus'!$D$8:$BA$8,0)+1),0)</f>
        <v>0</v>
      </c>
      <c r="CK40" s="33">
        <f t="shared" si="27"/>
        <v>0</v>
      </c>
      <c r="CL40" s="33">
        <f>IFERROR(INDEX('[2]SALES PERTYPE'!$D$10:$BA$52,MATCH($C40,'[2]SALES PERTYPE'!$B$10:$B$52,0),MATCH("IQOO 15",'[2]SALES PERTYPE'!$D$8:$BA$8,0)),0)</f>
        <v>0</v>
      </c>
      <c r="CM40" s="33">
        <f>IFERROR(INDEX('[2]Sales per type Agustus'!$D$10:$BA$51,MATCH($C40,'[2]Sales per type Agustus'!$B$10:$B$51,0),MATCH("IQOO 15",'[2]Sales per type Agustus'!$D$8:$BA$8,0)),0)</f>
        <v>0</v>
      </c>
      <c r="CN40" s="33">
        <f t="shared" si="28"/>
        <v>0</v>
      </c>
      <c r="CO40" s="33" cm="1">
        <f t="array" ref="CO40">IFERROR(INDEX('[2]SALES PERTYPE'!$D$10:$BA$52,MATCH($C40,'[2]SALES PERTYPE'!$B$10:$B$52,0),MATCH("IQOO 15",'[2]SALES PERTYPE'!$D$8:$BA$8,0)+1),0)</f>
        <v>0</v>
      </c>
      <c r="CP40" s="33" cm="1">
        <f t="array" ref="CP40">IFERROR(INDEX('[2]Sales per type Agustus'!$D$10:$BA$51,MATCH($C40,'[2]Sales per type Agustus'!$B$10:$B$51,0),MATCH("IQOO 15",'[2]Sales per type Agustus'!$D$8:$BA$8,0)+1),0)</f>
        <v>0</v>
      </c>
      <c r="CQ40" s="33">
        <f t="shared" si="29"/>
        <v>0</v>
      </c>
      <c r="CR40" s="33">
        <f>IFERROR(INDEX('[2]SALES PERTYPE'!$D$10:$BA$52,MATCH($C40,'[2]SALES PERTYPE'!$B$10:$B$52,0),MATCH("IQOO Z11x",'[2]SALES PERTYPE'!$D$8:$BA$8,0)),0)</f>
        <v>1</v>
      </c>
      <c r="CS40" s="33">
        <f>IFERROR(INDEX('[2]Sales per type Agustus'!$D$10:$BA$51,MATCH($C40,'[2]Sales per type Agustus'!$B$10:$B$51,0),MATCH("IQOO Z11x",'[2]Sales per type Agustus'!$D$8:$BA$8,0)),0)</f>
        <v>0</v>
      </c>
      <c r="CT40" s="33">
        <f t="shared" si="30"/>
        <v>1</v>
      </c>
      <c r="CU40" s="33" cm="1">
        <f t="array" ref="CU40">IFERROR(INDEX('[2]SALES PERTYPE'!$D$10:$BA$52,MATCH($C40,'[2]SALES PERTYPE'!$B$10:$B$52,0),MATCH("IQOO Z11x",'[2]SALES PERTYPE'!$D$8:$BA$8,0)+1),0)</f>
        <v>5699000</v>
      </c>
      <c r="CV40" s="33" cm="1">
        <f t="array" ref="CV40">IFERROR(INDEX('[2]Sales per type Agustus'!$D$10:$BA$51,MATCH($C40,'[2]Sales per type Agustus'!$B$10:$B$51,0),MATCH("IQOO Z11x",'[2]Sales per type Agustus'!$D$8:$BA$8,0)+1),0)</f>
        <v>0</v>
      </c>
      <c r="CW40" s="33">
        <f t="shared" si="31"/>
        <v>5699000</v>
      </c>
      <c r="CX40" s="33">
        <f>IFERROR(INDEX('[2]SALES PERTYPE'!$D$10:$BA$52,MATCH($C40,'[2]SALES PERTYPE'!$B$10:$B$52,0),MATCH("IQOO Z11",'[2]SALES PERTYPE'!$D$8:$BA$8,0)),0)</f>
        <v>1</v>
      </c>
      <c r="CY40" s="33">
        <f>IFERROR(INDEX('[2]Sales per type Agustus'!$D$10:$BA$51,MATCH($C40,'[2]Sales per type Agustus'!$B$10:$B$51,0),MATCH("IQOO Z11",'[2]Sales per type Agustus'!$D$8:$BA$8,0)),0)</f>
        <v>0</v>
      </c>
      <c r="CZ40" s="33">
        <f t="shared" si="32"/>
        <v>1</v>
      </c>
      <c r="DA40" s="33" cm="1">
        <f t="array" ref="DA40">IFERROR(INDEX('[2]SALES PERTYPE'!$D$10:$BA$52,MATCH($C40,'[2]SALES PERTYPE'!$B$10:$B$52,0),MATCH("IQOO Z11",'[2]SALES PERTYPE'!$D$8:$BA$8,0)+1),0)</f>
        <v>8399000</v>
      </c>
      <c r="DB40" s="33" cm="1">
        <f t="array" ref="DB40">IFERROR(INDEX('[2]Sales per type Agustus'!$D$10:$BA$51,MATCH($C40,'[2]Sales per type Agustus'!$B$10:$B$51,0),MATCH("IQOO Z11",'[2]Sales per type Agustus'!$D$8:$BA$8,0)+1),0)</f>
        <v>0</v>
      </c>
      <c r="DC40" s="33">
        <f t="shared" si="33"/>
        <v>8399000</v>
      </c>
      <c r="DD40" s="33">
        <f>IFERROR(INDEX('[2]SALES PERTYPE'!$D$10:$BA$52,MATCH($C40,'[2]SALES PERTYPE'!$B$10:$B$52,0),MATCH("WATCH 3",'[2]SALES PERTYPE'!$D$8:$BA$8,0)),0)</f>
        <v>0</v>
      </c>
      <c r="DE40" s="33">
        <f>IFERROR(INDEX('[2]Sales per type Agustus'!$D$10:$BA$51,MATCH($C40,'[2]Sales per type Agustus'!$B$10:$B$51,0),MATCH("WATCH 3",'[2]Sales per type Agustus'!$D$8:$BA$8,0)),0)</f>
        <v>0</v>
      </c>
      <c r="DF40" s="33">
        <f t="shared" si="34"/>
        <v>0</v>
      </c>
      <c r="DG40" s="33" cm="1">
        <f t="array" ref="DG40">IFERROR(INDEX('[2]SALES PERTYPE'!$D$10:$BA$52,MATCH($C40,'[2]SALES PERTYPE'!$B$10:$B$52,0),MATCH("WATCH 3",'[2]SALES PERTYPE'!$D$8:$BA$8,0)+1),0)</f>
        <v>0</v>
      </c>
      <c r="DH40" s="33" cm="1">
        <f t="array" ref="DH40">IFERROR(INDEX('[2]Sales per type Agustus'!$D$10:$BA$51,MATCH($C40,'[2]Sales per type Agustus'!$B$10:$B$51,0),MATCH("WATCH 3",'[2]Sales per type Agustus'!$D$8:$BA$8,0)+1),0)</f>
        <v>0</v>
      </c>
      <c r="DI40" s="33">
        <f t="shared" si="35"/>
        <v>0</v>
      </c>
      <c r="DJ40" s="33">
        <f>IFERROR(INDEX('[2]SALES PERTYPE'!$D$10:$BA$52,MATCH($C40,'[2]SALES PERTYPE'!$B$10:$B$52,0),MATCH("X Fold5",'[2]SALES PERTYPE'!$D$8:$BA$8,0)),0)</f>
        <v>0</v>
      </c>
      <c r="DK40" s="33">
        <f>IFERROR(INDEX('[2]Sales per type Agustus'!$D$10:$BA$51,MATCH($C40,'[2]Sales per type Agustus'!$B$10:$B$51,0),MATCH("X Fold5",'[2]Sales per type Agustus'!$D$8:$BA$8,0)),0)</f>
        <v>0</v>
      </c>
      <c r="DL40" s="33">
        <f t="shared" si="36"/>
        <v>0</v>
      </c>
      <c r="DM40" s="33" cm="1">
        <f t="array" ref="DM40">IFERROR(INDEX('[2]SALES PERTYPE'!$D$10:$BA$52,MATCH($C40,'[2]SALES PERTYPE'!$B$10:$B$52,0),MATCH("X Fold5",'[2]SALES PERTYPE'!$D$8:$BA$8,0)+1),0)</f>
        <v>0</v>
      </c>
      <c r="DN40" s="33" cm="1">
        <f t="array" ref="DN40">IFERROR(INDEX('[2]Sales per type Agustus'!$D$10:$BA$51,MATCH($C40,'[2]Sales per type Agustus'!$B$10:$B$51,0),MATCH("X Fold5",'[2]Sales per type Agustus'!$D$8:$BA$8,0)+1),0)</f>
        <v>0</v>
      </c>
      <c r="DO40" s="33">
        <f t="shared" si="37"/>
        <v>0</v>
      </c>
      <c r="DP40" s="33">
        <f>IFERROR(INDEX('[2]SALES PERTYPE'!$D$10:$BA$52,MATCH($C40,'[2]SALES PERTYPE'!$B$10:$B$52,0),MATCH("X300 PRO",'[2]SALES PERTYPE'!$D$8:$BA$8,0)),0)</f>
        <v>0</v>
      </c>
      <c r="DQ40" s="33">
        <f>IFERROR(INDEX('[2]Sales per type Agustus'!$D$10:$BA$51,MATCH($C40,'[2]Sales per type Agustus'!$B$10:$B$51,0),MATCH("X300 PRO",'[2]Sales per type Agustus'!$D$8:$BA$8,0)),0)</f>
        <v>0</v>
      </c>
      <c r="DR40" s="33">
        <f t="shared" si="38"/>
        <v>0</v>
      </c>
      <c r="DS40" s="33" cm="1">
        <f t="array" ref="DS40">IFERROR(INDEX('[2]SALES PERTYPE'!$D$10:$BA$52,MATCH($C40,'[2]SALES PERTYPE'!$B$10:$B$52,0),MATCH("X300 PRO",'[2]SALES PERTYPE'!$D$8:$BA$8,0)+1),0)</f>
        <v>0</v>
      </c>
      <c r="DT40" s="33" cm="1">
        <f t="array" ref="DT40">IFERROR(INDEX('[2]Sales per type Agustus'!$D$10:$BA$51,MATCH($C40,'[2]Sales per type Agustus'!$B$10:$B$51,0),MATCH("X300 PRO",'[2]Sales per type Agustus'!$D$8:$BA$8,0)+1),0)</f>
        <v>0</v>
      </c>
      <c r="DU40" s="33">
        <f t="shared" si="39"/>
        <v>0</v>
      </c>
      <c r="DV40" s="33">
        <f>IFERROR(INDEX('[2]SALES PERTYPE'!$D$10:$BA$52,MATCH($C40,'[2]SALES PERTYPE'!$B$10:$B$52,0),MATCH("X300",'[2]SALES PERTYPE'!$D$8:$BA$8,0)),0)</f>
        <v>0</v>
      </c>
      <c r="DW40" s="33">
        <f>IFERROR(INDEX('[2]Sales per type Agustus'!$D$10:$BA$51,MATCH($C40,'[2]Sales per type Agustus'!$B$10:$B$51,0),MATCH("X300 ",'[2]Sales per type Agustus'!$D$8:$BA$8,0)),0)</f>
        <v>0</v>
      </c>
      <c r="DX40" s="33">
        <f t="shared" si="40"/>
        <v>0</v>
      </c>
      <c r="DY40" s="33" cm="1">
        <f t="array" ref="DY40">IFERROR(INDEX('[2]SALES PERTYPE'!$D$10:$BA$52,MATCH($C40,'[2]SALES PERTYPE'!$B$10:$B$52,0),MATCH("X300",'[2]SALES PERTYPE'!$D$8:$BA$8,0)+1),0)</f>
        <v>0</v>
      </c>
      <c r="DZ40" s="33" cm="1">
        <f t="array" ref="DZ40">IFERROR(INDEX('[2]Sales per type Agustus'!$D$10:$BA$51,MATCH($C40,'[2]Sales per type Agustus'!$B$10:$B$51,0),MATCH("X300 ",'[2]Sales per type Agustus'!$D$8:$BA$8,0)+1),0)</f>
        <v>0</v>
      </c>
      <c r="EA40" s="33">
        <f t="shared" si="41"/>
        <v>0</v>
      </c>
      <c r="EB40" s="33">
        <f t="shared" si="42"/>
        <v>23</v>
      </c>
      <c r="EC40" s="33">
        <f t="shared" si="42"/>
        <v>32</v>
      </c>
      <c r="ED40" s="33">
        <f t="shared" si="43"/>
        <v>-9</v>
      </c>
      <c r="EE40" s="33">
        <f t="shared" si="44"/>
        <v>95577000</v>
      </c>
      <c r="EF40" s="33">
        <f t="shared" si="44"/>
        <v>116968000</v>
      </c>
      <c r="EG40" s="33">
        <f t="shared" si="45"/>
        <v>-21391000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'[2]ACHIEVEMENT STORE'!A41</f>
        <v>37</v>
      </c>
      <c r="B41" s="32" t="str">
        <f>'[2]ACHIEVEMENT STORE'!B41</f>
        <v>619-万隆市区BDG KOTA</v>
      </c>
      <c r="C41" s="31">
        <f>'[2]ACHIEVEMENT STORE'!C41</f>
        <v>6190707</v>
      </c>
      <c r="D41" s="32" t="str">
        <f>'[2]ACHIEVEMENT STORE'!D41</f>
        <v>6190707-BEC VIVO STORE LU</v>
      </c>
      <c r="E41" s="32" t="str">
        <f>'[2]ACHIEVEMENT STORE'!E41</f>
        <v>NENG TOTOH</v>
      </c>
      <c r="F41" s="33">
        <f>IFERROR(INDEX('[2]SALES PERTYPE'!$D$10:$BA$52,MATCH($C41,'[2]SALES PERTYPE'!$B$10:$B$52,0),MATCH("Y05",'[2]SALES PERTYPE'!$D$8:$BA$8,0)),0)</f>
        <v>6</v>
      </c>
      <c r="G41" s="33">
        <f>IFERROR(INDEX('[2]Sales per type Agustus'!$D$10:$BA$51,MATCH($C41,'[2]Sales per type Agustus'!$B$10:$B$51,0),MATCH("Y05",'[2]Sales per type Agustus'!$D$8:$BA$8,0)),0)</f>
        <v>9</v>
      </c>
      <c r="H41" s="33">
        <f t="shared" si="0"/>
        <v>-3</v>
      </c>
      <c r="I41" s="33" cm="1">
        <f t="array" ref="I41">IFERROR(INDEX('[2]SALES PERTYPE'!$D$10:$BA$52,MATCH($C41,'[2]SALES PERTYPE'!$B$10:$B$52,0),MATCH("Y05",'[2]SALES PERTYPE'!$D$8:$BA$8,0)+1),0)</f>
        <v>14394000</v>
      </c>
      <c r="J41" s="33" cm="1">
        <f t="array" ref="J41">IFERROR(INDEX('[2]Sales per type Agustus'!$D$10:$BA$51,MATCH($C41,'[2]Sales per type Agustus'!$B$10:$B$51,0),MATCH("Y05",'[2]Sales per type Agustus'!$D$8:$BA$8,0)+1),0)</f>
        <v>21591000</v>
      </c>
      <c r="K41" s="33">
        <f t="shared" si="1"/>
        <v>-7197000</v>
      </c>
      <c r="L41" s="33">
        <f>IFERROR(INDEX('[2]SALES PERTYPE'!$D$10:$BA$52,MATCH($C41,'[2]SALES PERTYPE'!$B$10:$B$52,0),MATCH("Y11d",'[2]SALES PERTYPE'!$D$8:$BA$8,0)),0)</f>
        <v>9</v>
      </c>
      <c r="M41" s="33">
        <f>IFERROR(INDEX('[2]Sales per type Agustus'!$D$10:$BA$51,MATCH($C41,'[2]Sales per type Agustus'!$B$10:$B$51,0),MATCH("Y11d",'[2]Sales per type Agustus'!$D$8:$BA$8,0)),0)</f>
        <v>11</v>
      </c>
      <c r="N41" s="33">
        <f t="shared" si="2"/>
        <v>-2</v>
      </c>
      <c r="O41" s="33" cm="1">
        <f t="array" ref="O41">IFERROR(INDEX('[2]SALES PERTYPE'!$D$10:$BA$52,MATCH($C41,'[2]SALES PERTYPE'!$B$10:$B$52,0),MATCH("Y11d",'[2]SALES PERTYPE'!$D$8:$BA$8,0)+1),0)</f>
        <v>24391000</v>
      </c>
      <c r="P41" s="33" cm="1">
        <f t="array" ref="P41">IFERROR(INDEX('[2]Sales per type Agustus'!$D$10:$BA$51,MATCH($C41,'[2]Sales per type Agustus'!$B$10:$B$51,0),MATCH("Y11d",'[2]Sales per type Agustus'!$D$8:$BA$8,0)+1),0)</f>
        <v>29589000</v>
      </c>
      <c r="Q41" s="33">
        <f t="shared" si="3"/>
        <v>-5198000</v>
      </c>
      <c r="R41" s="33">
        <f>IFERROR(INDEX('[2]SALES PERTYPE'!$D$10:$BA$52,MATCH($C41,'[2]SALES PERTYPE'!$B$10:$B$52,0),MATCH("Watch GT 2",'[2]SALES PERTYPE'!$D$8:$BA$8,0)),0)</f>
        <v>0</v>
      </c>
      <c r="S41" s="33">
        <f>IFERROR(INDEX('[2]Sales per type Agustus'!$D$10:$BA$51,MATCH($C41,'[2]Sales per type Agustus'!$B$10:$B$51,0),MATCH("Watch GT 2",'[2]Sales per type Agustus'!$D$8:$BA$8,0)),0)</f>
        <v>0</v>
      </c>
      <c r="T41" s="33">
        <f t="shared" si="4"/>
        <v>0</v>
      </c>
      <c r="U41" s="33" cm="1">
        <f t="array" ref="U41">IFERROR(INDEX('[2]SALES PERTYPE'!$D$10:$BA$52,MATCH($C41,'[2]SALES PERTYPE'!$B$10:$B$52,0),MATCH("Watch GT 2",'[2]SALES PERTYPE'!$D$8:$BA$8,0)+1),0)</f>
        <v>0</v>
      </c>
      <c r="V41" s="33" cm="1">
        <f t="array" ref="V41">IFERROR(INDEX('[2]Sales per type Agustus'!$D$10:$BA$51,MATCH($C41,'[2]Sales per type Agustus'!$B$10:$B$51,0),MATCH("Watch GT 2",'[2]Sales per type Agustus'!$D$8:$BA$8,0)+1),0)</f>
        <v>0</v>
      </c>
      <c r="W41" s="33">
        <f t="shared" si="5"/>
        <v>0</v>
      </c>
      <c r="X41" s="33">
        <f>IFERROR(INDEX('[2]SALES PERTYPE'!$D$10:$BA$52,MATCH($C41,'[2]SALES PERTYPE'!$B$10:$B$52,0),MATCH("Y05e",'[2]SALES PERTYPE'!$D$8:$BA$8,0)),0)</f>
        <v>3</v>
      </c>
      <c r="Y41" s="33">
        <f>IFERROR(INDEX('[2]Sales per type Agustus'!$D$10:$BA$51,MATCH($C41,'[2]Sales per type Agustus'!$B$10:$B$51,0),MATCH("Y05e",'[2]Sales per type Agustus'!$D$8:$BA$8,0)),0)</f>
        <v>4</v>
      </c>
      <c r="Z41" s="33">
        <f t="shared" si="6"/>
        <v>-1</v>
      </c>
      <c r="AA41" s="33" cm="1">
        <f t="array" ref="AA41">IFERROR(INDEX('[2]SALES PERTYPE'!$D$10:$BA$52,MATCH($C41,'[2]SALES PERTYPE'!$B$10:$B$52,0),MATCH("Y05e",'[2]SALES PERTYPE'!$D$8:$BA$8,0)+1),0)</f>
        <v>6297000</v>
      </c>
      <c r="AB41" s="33" cm="1">
        <f t="array" ref="AB41">IFERROR(INDEX('[2]Sales per type Agustus'!$D$10:$BA$51,MATCH($C41,'[2]Sales per type Agustus'!$B$10:$B$51,0),MATCH("Y05e",'[2]Sales per type Agustus'!$D$8:$BA$8,0)+1),0)</f>
        <v>8396000</v>
      </c>
      <c r="AC41" s="33">
        <f t="shared" si="7"/>
        <v>-2099000</v>
      </c>
      <c r="AD41" s="33">
        <f>IFERROR(INDEX('[2]SALES PERTYPE'!$D$10:$BA$52,MATCH($C41,'[2]SALES PERTYPE'!$B$10:$B$52,0),MATCH("V70",'[2]SALES PERTYPE'!$D$8:$BA$8,0)),0)</f>
        <v>1</v>
      </c>
      <c r="AE41" s="33">
        <f>IFERROR(INDEX('[2]Sales per type Agustus'!$D$10:$BA$51,MATCH($C41,'[2]Sales per type Agustus'!$B$10:$B$51,0),MATCH("V70",'[2]Sales per type Agustus'!$D$8:$BA$8,0)),0)</f>
        <v>0</v>
      </c>
      <c r="AF41" s="33">
        <f t="shared" si="8"/>
        <v>1</v>
      </c>
      <c r="AG41" s="33" cm="1">
        <f t="array" ref="AG41">IFERROR(INDEX('[2]SALES PERTYPE'!$D$10:$BA$52,MATCH($C41,'[2]SALES PERTYPE'!$B$10:$B$52,0),MATCH("V70",'[2]SALES PERTYPE'!$D$8:$BA$8,0)+1),0)</f>
        <v>9999000</v>
      </c>
      <c r="AH41" s="33" cm="1">
        <f t="array" ref="AH41">IFERROR(INDEX('[2]Sales per type Agustus'!$D$10:$BA$51,MATCH($C41,'[2]Sales per type Agustus'!$B$10:$B$51,0),MATCH("V70",'[2]Sales per type Agustus'!$D$8:$BA$8,0)+1),0)</f>
        <v>0</v>
      </c>
      <c r="AI41" s="33">
        <f t="shared" si="9"/>
        <v>9999000</v>
      </c>
      <c r="AJ41" s="33">
        <f>IFERROR(INDEX('[2]SALES PERTYPE'!$D$10:$BA$52,MATCH($C41,'[2]SALES PERTYPE'!$B$10:$B$52,0),MATCH("Y31d Pro",'[2]SALES PERTYPE'!$D$8:$BA$8,0)),0)</f>
        <v>4</v>
      </c>
      <c r="AK41" s="33">
        <f>IFERROR(INDEX('[2]Sales per type Agustus'!$D$10:$BA$51,MATCH($C41,'[2]Sales per type Agustus'!$B$10:$B$51,0),MATCH("Y31d Pro",'[2]Sales per type Agustus'!$D$8:$BA$8,0)),0)</f>
        <v>4</v>
      </c>
      <c r="AL41" s="33">
        <f t="shared" si="10"/>
        <v>0</v>
      </c>
      <c r="AM41" s="33" cm="1">
        <f t="array" ref="AM41">IFERROR(INDEX('[2]SALES PERTYPE'!$D$10:$BA$52,MATCH($C41,'[2]SALES PERTYPE'!$B$10:$B$52,0),MATCH("Y31d Pro",'[2]SALES PERTYPE'!$D$8:$BA$8,0)+1),0)</f>
        <v>17196000</v>
      </c>
      <c r="AN41" s="33" cm="1">
        <f t="array" ref="AN41">IFERROR(INDEX('[2]Sales per type Agustus'!$D$10:$BA$51,MATCH($C41,'[2]Sales per type Agustus'!$B$10:$B$51,0),MATCH("Y31d Pro",'[2]Sales per type Agustus'!$D$8:$BA$8,0)+1),0)</f>
        <v>18796000</v>
      </c>
      <c r="AO41" s="33">
        <f t="shared" si="11"/>
        <v>-1600000</v>
      </c>
      <c r="AP41" s="33" cm="1">
        <f t="array" ref="AP41">IFERROR(INDEX('[2]SALES PERTYPE'!$D$10:$BA$52,MATCH($C41,'[2]SALES PERTYPE'!$B$10:$B$52,0),$EI$3),0)</f>
        <v>0</v>
      </c>
      <c r="AQ41" s="33" cm="1">
        <f t="array" ref="AQ41">IFERROR(INDEX('[2]Sales per type Agustus'!$D$10:$BA$51,MATCH($C41,'[2]Sales per type Agustus'!$B$10:$B$51,0),$EI$2),0)</f>
        <v>0</v>
      </c>
      <c r="AR41" s="33">
        <f t="shared" si="12"/>
        <v>0</v>
      </c>
      <c r="AS41" s="33" cm="1">
        <f t="array" ref="AS41">IFERROR(INDEX('[2]SALES PERTYPE'!$D$10:$BA$52,MATCH($C41,'[2]SALES PERTYPE'!$B$10:$B$52,0),$EI$3+1),0)</f>
        <v>0</v>
      </c>
      <c r="AT41" s="33" cm="1">
        <f t="array" ref="AT41">IFERROR(INDEX('[2]Sales per type Agustus'!$D$10:$BA$51,MATCH($C41,'[2]Sales per type Agustus'!$B$10:$B$51,0),$EI$2+1),0)</f>
        <v>0</v>
      </c>
      <c r="AU41" s="33">
        <f t="shared" si="13"/>
        <v>0</v>
      </c>
      <c r="AV41" s="33">
        <f>IFERROR(INDEX('[2]SALES PERTYPE'!$D$10:$BA$52,MATCH($C41,'[2]SALES PERTYPE'!$B$10:$B$52,0),MATCH("Y31d ",'[2]SALES PERTYPE'!$D$8:$BA$8,0)),0)</f>
        <v>1</v>
      </c>
      <c r="AW41" s="33">
        <f>IFERROR(INDEX('[2]Sales per type Agustus'!$D$10:$BA$51,MATCH($C41,'[2]Sales per type Agustus'!$B$10:$B$51,0),MATCH("Y31d ",'[2]Sales per type Agustus'!$D$8:$BA$8,0)),0)</f>
        <v>0</v>
      </c>
      <c r="AX41" s="33">
        <f t="shared" si="14"/>
        <v>1</v>
      </c>
      <c r="AY41" s="33" cm="1">
        <f t="array" ref="AY41">IFERROR(INDEX('[2]SALES PERTYPE'!$D$10:$BA$52,MATCH($C41,'[2]SALES PERTYPE'!$B$10:$B$52,0),MATCH("Y31d ",'[2]SALES PERTYPE'!$D$8:$BA$8,0)+1),0)</f>
        <v>3599000</v>
      </c>
      <c r="AZ41" s="33" cm="1">
        <f t="array" ref="AZ41">IFERROR(INDEX('[2]Sales per type Agustus'!$D$10:$BA$51,MATCH($C41,'[2]Sales per type Agustus'!$B$10:$B$51,0),MATCH("Y31d ",'[2]Sales per type Agustus'!$D$8:$BA$8,0)+1),0)</f>
        <v>0</v>
      </c>
      <c r="BA41" s="33">
        <f t="shared" si="15"/>
        <v>3599000</v>
      </c>
      <c r="BB41" s="33">
        <f>IFERROR(INDEX('[2]SALES PERTYPE'!$D$10:$BA$52,MATCH($C41,'[2]SALES PERTYPE'!$B$10:$B$52,0),MATCH("V70 FE",'[2]SALES PERTYPE'!$D$8:$BA$8,0)),0)</f>
        <v>1</v>
      </c>
      <c r="BC41" s="33">
        <f>IFERROR(INDEX('[2]Sales per type Agustus'!$D$10:$BA$51,MATCH($C41,'[2]Sales per type Agustus'!$B$10:$B$51,0),MATCH("V70 FE",'[2]Sales per type Agustus'!$D$8:$BA$8,0)),0)</f>
        <v>0</v>
      </c>
      <c r="BD41" s="33">
        <f t="shared" si="16"/>
        <v>1</v>
      </c>
      <c r="BE41" s="33" cm="1">
        <f t="array" ref="BE41">IFERROR(INDEX('[2]SALES PERTYPE'!$D$10:$BA$52,MATCH($C41,'[2]SALES PERTYPE'!$B$10:$B$52,0),MATCH("V70 FE",'[2]SALES PERTYPE'!$D$8:$BA$8,0)+1),0)</f>
        <v>7999000</v>
      </c>
      <c r="BF41" s="33" cm="1">
        <f t="array" ref="BF41">IFERROR(INDEX('[2]Sales per type Agustus'!$D$10:$BA$51,MATCH($C41,'[2]Sales per type Agustus'!$B$10:$B$51,0),MATCH("V70 FE",'[2]Sales per type Agustus'!$D$8:$BA$8,0)+1),0)</f>
        <v>0</v>
      </c>
      <c r="BG41" s="33">
        <f t="shared" si="17"/>
        <v>7999000</v>
      </c>
      <c r="BH41" s="33">
        <f>IFERROR(INDEX('[2]SALES PERTYPE'!$D$10:$BA$52,MATCH($C41,'[2]SALES PERTYPE'!$B$10:$B$52,0),MATCH("Y31d",'[2]SALES PERTYPE'!$D$8:$BA$8,0)),0)</f>
        <v>1</v>
      </c>
      <c r="BI41" s="33">
        <f>IFERROR(INDEX('[2]Sales per type Agustus'!$D$10:$BA$51,MATCH($C41,'[2]Sales per type Agustus'!$B$10:$B$51,0),MATCH("Y31d",'[2]Sales per type Agustus'!$D$8:$BA$8,0)),0)</f>
        <v>0</v>
      </c>
      <c r="BJ41" s="33">
        <f t="shared" si="18"/>
        <v>1</v>
      </c>
      <c r="BK41" s="33" cm="1">
        <f t="array" ref="BK41">IFERROR(INDEX('[2]SALES PERTYPE'!$D$10:$BA$52,MATCH($C41,'[2]SALES PERTYPE'!$B$10:$B$52,0),MATCH("Y31d",'[2]SALES PERTYPE'!$D$8:$BA$8,0)+1),0)</f>
        <v>3599000</v>
      </c>
      <c r="BL41" s="33" cm="1">
        <f t="array" ref="BL41">IFERROR(INDEX('[2]Sales per type Agustus'!$D$10:$BA$51,MATCH($C41,'[2]Sales per type Agustus'!$B$10:$B$51,0),MATCH("Y31d",'[2]Sales per type Agustus'!$D$8:$BA$8,0)+1),0)</f>
        <v>0</v>
      </c>
      <c r="BM41" s="33">
        <f t="shared" si="19"/>
        <v>3599000</v>
      </c>
      <c r="BN41" s="33">
        <f>IFERROR(INDEX('[2]SALES PERTYPE'!$D$10:$BA$52,MATCH($C41,'[2]SALES PERTYPE'!$B$10:$B$52,0),MATCH("Y500",'[2]SALES PERTYPE'!$D$8:$BA$8,0)),0)</f>
        <v>1</v>
      </c>
      <c r="BO41" s="33">
        <f>IFERROR(INDEX('[2]Sales per type Agustus'!$D$10:$BA$51,MATCH($C41,'[2]Sales per type Agustus'!$B$10:$B$51,0),MATCH("Y500",'[2]Sales per type Agustus'!$D$8:$BA$8,0)),0)</f>
        <v>1</v>
      </c>
      <c r="BP41" s="33">
        <f t="shared" si="20"/>
        <v>0</v>
      </c>
      <c r="BQ41" s="33" cm="1">
        <f t="array" ref="BQ41">IFERROR(INDEX('[2]SALES PERTYPE'!$D$10:$BA$52,MATCH($C41,'[2]SALES PERTYPE'!$B$10:$B$52,0),MATCH("Y500",'[2]SALES PERTYPE'!$D$8:$BA$8,0)+1),0)</f>
        <v>6299000</v>
      </c>
      <c r="BR41" s="33" cm="1">
        <f t="array" ref="BR41">IFERROR(INDEX('[2]Sales per type Agustus'!$D$10:$BA$51,MATCH($C41,'[2]Sales per type Agustus'!$B$10:$B$51,0),MATCH("Y500",'[2]Sales per type Agustus'!$D$8:$BA$8,0)+1),0)</f>
        <v>5499000</v>
      </c>
      <c r="BS41" s="33">
        <f t="shared" si="21"/>
        <v>800000</v>
      </c>
      <c r="BT41" s="33">
        <f>IFERROR(INDEX('[2]SALES PERTYPE'!$D$10:$BA$52,MATCH($C41,'[2]SALES PERTYPE'!$B$10:$B$52,0),MATCH("IQOO 15R",'[2]SALES PERTYPE'!$D$8:$BA$8,0)),0)</f>
        <v>0</v>
      </c>
      <c r="BU41" s="33">
        <f>IFERROR(INDEX('[2]Sales per type Agustus'!$D$10:$BA$51,MATCH($C41,'[2]Sales per type Agustus'!$B$10:$B$51,0),MATCH("IQOO 15R",'[2]Sales per type Agustus'!$D$8:$BA$8,0)),0)</f>
        <v>1</v>
      </c>
      <c r="BV41" s="33">
        <f t="shared" si="22"/>
        <v>-1</v>
      </c>
      <c r="BW41" s="33" cm="1">
        <f t="array" ref="BW41">IFERROR(INDEX('[2]SALES PERTYPE'!$D$10:$BA$52,MATCH($C41,'[2]SALES PERTYPE'!$B$10:$B$52,0),MATCH("IQOO 15R",'[2]SALES PERTYPE'!$D$8:$BA$8,0)+1),0)</f>
        <v>0</v>
      </c>
      <c r="BX41" s="33" cm="1">
        <f t="array" ref="BX41">IFERROR(INDEX('[2]Sales per type Agustus'!$D$10:$BA$51,MATCH($C41,'[2]Sales per type Agustus'!$B$10:$B$51,0),MATCH("IQOO 15R",'[2]Sales per type Agustus'!$D$8:$BA$8,0)+1),0)</f>
        <v>11999000</v>
      </c>
      <c r="BY41" s="33">
        <f t="shared" si="23"/>
        <v>-11999000</v>
      </c>
      <c r="BZ41" s="33">
        <f>IFERROR(INDEX('[2]SALES PERTYPE'!$D$10:$BA$52,MATCH($C41,'[2]SALES PERTYPE'!$B$10:$B$52,0),MATCH("V60 Lite",'[2]SALES PERTYPE'!$D$8:$BA$8,0)),0)</f>
        <v>7</v>
      </c>
      <c r="CA41" s="33">
        <f>IFERROR(INDEX('[2]Sales per type Agustus'!$D$10:$BA$51,MATCH($C41,'[2]Sales per type Agustus'!$B$10:$B$51,0),MATCH("V60 Lite",'[2]Sales per type Agustus'!$D$8:$BA$8,0)),0)</f>
        <v>1</v>
      </c>
      <c r="CB41" s="33">
        <f t="shared" si="24"/>
        <v>6</v>
      </c>
      <c r="CC41" s="33" cm="1">
        <f t="array" ref="CC41">IFERROR(INDEX('[2]SALES PERTYPE'!$D$10:$BA$52,MATCH($C41,'[2]SALES PERTYPE'!$B$10:$B$52,0),MATCH("V60 Lite",'[2]SALES PERTYPE'!$D$8:$BA$8,0)+1),0)</f>
        <v>41293000</v>
      </c>
      <c r="CD41" s="33" cm="1">
        <f t="array" ref="CD41">IFERROR(INDEX('[2]Sales per type Agustus'!$D$10:$BA$51,MATCH($C41,'[2]Sales per type Agustus'!$B$10:$B$51,0),MATCH("V60 Lite",'[2]Sales per type Agustus'!$D$8:$BA$8,0)+1),0)</f>
        <v>5299000</v>
      </c>
      <c r="CE41" s="33">
        <f t="shared" si="25"/>
        <v>35994000</v>
      </c>
      <c r="CF41" s="33">
        <f>IFERROR(INDEX('[2]SALES PERTYPE'!$D$10:$BA$52,MATCH($C41,'[2]SALES PERTYPE'!$B$10:$B$52,0),MATCH("X300 Ultra",'[2]SALES PERTYPE'!$D$8:$BA$8,0)),0)</f>
        <v>0</v>
      </c>
      <c r="CG41" s="33">
        <f>IFERROR(INDEX('[2]Sales per type Agustus'!$D$10:$BA$51,MATCH($C41,'[2]Sales per type Agustus'!$B$10:$B$51,0),MATCH("X300 Ultra",'[2]Sales per type Agustus'!$D$8:$BA$8,0)),0)</f>
        <v>0</v>
      </c>
      <c r="CH41" s="33">
        <f t="shared" si="26"/>
        <v>0</v>
      </c>
      <c r="CI41" s="33" cm="1">
        <f t="array" ref="CI41">IFERROR(INDEX('[2]SALES PERTYPE'!$D$10:$BA$52,MATCH($C41,'[2]SALES PERTYPE'!$B$10:$B$52,0),MATCH("X300 Ultra",'[2]SALES PERTYPE'!$D$8:$BA$8,0)+1),0)</f>
        <v>0</v>
      </c>
      <c r="CJ41" s="33" cm="1">
        <f t="array" ref="CJ41">IFERROR(INDEX('[2]Sales per type Agustus'!$D$10:$BA$51,MATCH($C41,'[2]Sales per type Agustus'!$B$10:$B$51,0),MATCH("X300 Ultra",'[2]Sales per type Agustus'!$D$8:$BA$8,0)+1),0)</f>
        <v>0</v>
      </c>
      <c r="CK41" s="33">
        <f t="shared" si="27"/>
        <v>0</v>
      </c>
      <c r="CL41" s="33">
        <f>IFERROR(INDEX('[2]SALES PERTYPE'!$D$10:$BA$52,MATCH($C41,'[2]SALES PERTYPE'!$B$10:$B$52,0),MATCH("IQOO 15",'[2]SALES PERTYPE'!$D$8:$BA$8,0)),0)</f>
        <v>0</v>
      </c>
      <c r="CM41" s="33">
        <f>IFERROR(INDEX('[2]Sales per type Agustus'!$D$10:$BA$51,MATCH($C41,'[2]Sales per type Agustus'!$B$10:$B$51,0),MATCH("IQOO 15",'[2]Sales per type Agustus'!$D$8:$BA$8,0)),0)</f>
        <v>0</v>
      </c>
      <c r="CN41" s="33">
        <f t="shared" si="28"/>
        <v>0</v>
      </c>
      <c r="CO41" s="33" cm="1">
        <f t="array" ref="CO41">IFERROR(INDEX('[2]SALES PERTYPE'!$D$10:$BA$52,MATCH($C41,'[2]SALES PERTYPE'!$B$10:$B$52,0),MATCH("IQOO 15",'[2]SALES PERTYPE'!$D$8:$BA$8,0)+1),0)</f>
        <v>0</v>
      </c>
      <c r="CP41" s="33" cm="1">
        <f t="array" ref="CP41">IFERROR(INDEX('[2]Sales per type Agustus'!$D$10:$BA$51,MATCH($C41,'[2]Sales per type Agustus'!$B$10:$B$51,0),MATCH("IQOO 15",'[2]Sales per type Agustus'!$D$8:$BA$8,0)+1),0)</f>
        <v>0</v>
      </c>
      <c r="CQ41" s="33">
        <f t="shared" si="29"/>
        <v>0</v>
      </c>
      <c r="CR41" s="33">
        <f>IFERROR(INDEX('[2]SALES PERTYPE'!$D$10:$BA$52,MATCH($C41,'[2]SALES PERTYPE'!$B$10:$B$52,0),MATCH("IQOO Z11x",'[2]SALES PERTYPE'!$D$8:$BA$8,0)),0)</f>
        <v>0</v>
      </c>
      <c r="CS41" s="33">
        <f>IFERROR(INDEX('[2]Sales per type Agustus'!$D$10:$BA$51,MATCH($C41,'[2]Sales per type Agustus'!$B$10:$B$51,0),MATCH("IQOO Z11x",'[2]Sales per type Agustus'!$D$8:$BA$8,0)),0)</f>
        <v>1</v>
      </c>
      <c r="CT41" s="33">
        <f t="shared" si="30"/>
        <v>-1</v>
      </c>
      <c r="CU41" s="33" cm="1">
        <f t="array" ref="CU41">IFERROR(INDEX('[2]SALES PERTYPE'!$D$10:$BA$52,MATCH($C41,'[2]SALES PERTYPE'!$B$10:$B$52,0),MATCH("IQOO Z11x",'[2]SALES PERTYPE'!$D$8:$BA$8,0)+1),0)</f>
        <v>0</v>
      </c>
      <c r="CV41" s="33" cm="1">
        <f t="array" ref="CV41">IFERROR(INDEX('[2]Sales per type Agustus'!$D$10:$BA$51,MATCH($C41,'[2]Sales per type Agustus'!$B$10:$B$51,0),MATCH("IQOO Z11x",'[2]Sales per type Agustus'!$D$8:$BA$8,0)+1),0)</f>
        <v>5699000</v>
      </c>
      <c r="CW41" s="33">
        <f t="shared" si="31"/>
        <v>-5699000</v>
      </c>
      <c r="CX41" s="33">
        <f>IFERROR(INDEX('[2]SALES PERTYPE'!$D$10:$BA$52,MATCH($C41,'[2]SALES PERTYPE'!$B$10:$B$52,0),MATCH("IQOO Z11",'[2]SALES PERTYPE'!$D$8:$BA$8,0)),0)</f>
        <v>2</v>
      </c>
      <c r="CY41" s="33">
        <f>IFERROR(INDEX('[2]Sales per type Agustus'!$D$10:$BA$51,MATCH($C41,'[2]Sales per type Agustus'!$B$10:$B$51,0),MATCH("IQOO Z11",'[2]Sales per type Agustus'!$D$8:$BA$8,0)),0)</f>
        <v>1</v>
      </c>
      <c r="CZ41" s="33">
        <f t="shared" si="32"/>
        <v>1</v>
      </c>
      <c r="DA41" s="33" cm="1">
        <f t="array" ref="DA41">IFERROR(INDEX('[2]SALES PERTYPE'!$D$10:$BA$52,MATCH($C41,'[2]SALES PERTYPE'!$B$10:$B$52,0),MATCH("IQOO Z11",'[2]SALES PERTYPE'!$D$8:$BA$8,0)+1),0)</f>
        <v>13798000</v>
      </c>
      <c r="DB41" s="33" cm="1">
        <f t="array" ref="DB41">IFERROR(INDEX('[2]Sales per type Agustus'!$D$10:$BA$51,MATCH($C41,'[2]Sales per type Agustus'!$B$10:$B$51,0),MATCH("IQOO Z11",'[2]Sales per type Agustus'!$D$8:$BA$8,0)+1),0)</f>
        <v>6899000</v>
      </c>
      <c r="DC41" s="33">
        <f t="shared" si="33"/>
        <v>6899000</v>
      </c>
      <c r="DD41" s="33">
        <f>IFERROR(INDEX('[2]SALES PERTYPE'!$D$10:$BA$52,MATCH($C41,'[2]SALES PERTYPE'!$B$10:$B$52,0),MATCH("WATCH 3",'[2]SALES PERTYPE'!$D$8:$BA$8,0)),0)</f>
        <v>0</v>
      </c>
      <c r="DE41" s="33">
        <f>IFERROR(INDEX('[2]Sales per type Agustus'!$D$10:$BA$51,MATCH($C41,'[2]Sales per type Agustus'!$B$10:$B$51,0),MATCH("WATCH 3",'[2]Sales per type Agustus'!$D$8:$BA$8,0)),0)</f>
        <v>0</v>
      </c>
      <c r="DF41" s="33">
        <f t="shared" si="34"/>
        <v>0</v>
      </c>
      <c r="DG41" s="33" cm="1">
        <f t="array" ref="DG41">IFERROR(INDEX('[2]SALES PERTYPE'!$D$10:$BA$52,MATCH($C41,'[2]SALES PERTYPE'!$B$10:$B$52,0),MATCH("WATCH 3",'[2]SALES PERTYPE'!$D$8:$BA$8,0)+1),0)</f>
        <v>0</v>
      </c>
      <c r="DH41" s="33" cm="1">
        <f t="array" ref="DH41">IFERROR(INDEX('[2]Sales per type Agustus'!$D$10:$BA$51,MATCH($C41,'[2]Sales per type Agustus'!$B$10:$B$51,0),MATCH("WATCH 3",'[2]Sales per type Agustus'!$D$8:$BA$8,0)+1),0)</f>
        <v>0</v>
      </c>
      <c r="DI41" s="33">
        <f t="shared" si="35"/>
        <v>0</v>
      </c>
      <c r="DJ41" s="33">
        <f>IFERROR(INDEX('[2]SALES PERTYPE'!$D$10:$BA$52,MATCH($C41,'[2]SALES PERTYPE'!$B$10:$B$52,0),MATCH("X Fold5",'[2]SALES PERTYPE'!$D$8:$BA$8,0)),0)</f>
        <v>0</v>
      </c>
      <c r="DK41" s="33">
        <f>IFERROR(INDEX('[2]Sales per type Agustus'!$D$10:$BA$51,MATCH($C41,'[2]Sales per type Agustus'!$B$10:$B$51,0),MATCH("X Fold5",'[2]Sales per type Agustus'!$D$8:$BA$8,0)),0)</f>
        <v>0</v>
      </c>
      <c r="DL41" s="33">
        <f t="shared" si="36"/>
        <v>0</v>
      </c>
      <c r="DM41" s="33" cm="1">
        <f t="array" ref="DM41">IFERROR(INDEX('[2]SALES PERTYPE'!$D$10:$BA$52,MATCH($C41,'[2]SALES PERTYPE'!$B$10:$B$52,0),MATCH("X Fold5",'[2]SALES PERTYPE'!$D$8:$BA$8,0)+1),0)</f>
        <v>0</v>
      </c>
      <c r="DN41" s="33" cm="1">
        <f t="array" ref="DN41">IFERROR(INDEX('[2]Sales per type Agustus'!$D$10:$BA$51,MATCH($C41,'[2]Sales per type Agustus'!$B$10:$B$51,0),MATCH("X Fold5",'[2]Sales per type Agustus'!$D$8:$BA$8,0)+1),0)</f>
        <v>0</v>
      </c>
      <c r="DO41" s="33">
        <f t="shared" si="37"/>
        <v>0</v>
      </c>
      <c r="DP41" s="33">
        <f>IFERROR(INDEX('[2]SALES PERTYPE'!$D$10:$BA$52,MATCH($C41,'[2]SALES PERTYPE'!$B$10:$B$52,0),MATCH("X300 PRO",'[2]SALES PERTYPE'!$D$8:$BA$8,0)),0)</f>
        <v>0</v>
      </c>
      <c r="DQ41" s="33">
        <f>IFERROR(INDEX('[2]Sales per type Agustus'!$D$10:$BA$51,MATCH($C41,'[2]Sales per type Agustus'!$B$10:$B$51,0),MATCH("X300 PRO",'[2]Sales per type Agustus'!$D$8:$BA$8,0)),0)</f>
        <v>0</v>
      </c>
      <c r="DR41" s="33">
        <f t="shared" si="38"/>
        <v>0</v>
      </c>
      <c r="DS41" s="33" cm="1">
        <f t="array" ref="DS41">IFERROR(INDEX('[2]SALES PERTYPE'!$D$10:$BA$52,MATCH($C41,'[2]SALES PERTYPE'!$B$10:$B$52,0),MATCH("X300 PRO",'[2]SALES PERTYPE'!$D$8:$BA$8,0)+1),0)</f>
        <v>0</v>
      </c>
      <c r="DT41" s="33" cm="1">
        <f t="array" ref="DT41">IFERROR(INDEX('[2]Sales per type Agustus'!$D$10:$BA$51,MATCH($C41,'[2]Sales per type Agustus'!$B$10:$B$51,0),MATCH("X300 PRO",'[2]Sales per type Agustus'!$D$8:$BA$8,0)+1),0)</f>
        <v>0</v>
      </c>
      <c r="DU41" s="33">
        <f t="shared" si="39"/>
        <v>0</v>
      </c>
      <c r="DV41" s="33">
        <f>IFERROR(INDEX('[2]SALES PERTYPE'!$D$10:$BA$52,MATCH($C41,'[2]SALES PERTYPE'!$B$10:$B$52,0),MATCH("X300",'[2]SALES PERTYPE'!$D$8:$BA$8,0)),0)</f>
        <v>0</v>
      </c>
      <c r="DW41" s="33">
        <f>IFERROR(INDEX('[2]Sales per type Agustus'!$D$10:$BA$51,MATCH($C41,'[2]Sales per type Agustus'!$B$10:$B$51,0),MATCH("X300 ",'[2]Sales per type Agustus'!$D$8:$BA$8,0)),0)</f>
        <v>0</v>
      </c>
      <c r="DX41" s="33">
        <f t="shared" si="40"/>
        <v>0</v>
      </c>
      <c r="DY41" s="33" cm="1">
        <f t="array" ref="DY41">IFERROR(INDEX('[2]SALES PERTYPE'!$D$10:$BA$52,MATCH($C41,'[2]SALES PERTYPE'!$B$10:$B$52,0),MATCH("X300",'[2]SALES PERTYPE'!$D$8:$BA$8,0)+1),0)</f>
        <v>0</v>
      </c>
      <c r="DZ41" s="33" cm="1">
        <f t="array" ref="DZ41">IFERROR(INDEX('[2]Sales per type Agustus'!$D$10:$BA$51,MATCH($C41,'[2]Sales per type Agustus'!$B$10:$B$51,0),MATCH("X300 ",'[2]Sales per type Agustus'!$D$8:$BA$8,0)+1),0)</f>
        <v>0</v>
      </c>
      <c r="EA41" s="33">
        <f t="shared" si="41"/>
        <v>0</v>
      </c>
      <c r="EB41" s="33">
        <f t="shared" si="42"/>
        <v>36</v>
      </c>
      <c r="EC41" s="33">
        <f t="shared" si="42"/>
        <v>33</v>
      </c>
      <c r="ED41" s="33">
        <f t="shared" si="43"/>
        <v>3</v>
      </c>
      <c r="EE41" s="33">
        <f t="shared" si="44"/>
        <v>148864000</v>
      </c>
      <c r="EF41" s="33">
        <f t="shared" si="44"/>
        <v>113767000</v>
      </c>
      <c r="EG41" s="33">
        <f t="shared" si="45"/>
        <v>35097000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5">
        <f>'[2]ACHIEVEMENT STORE'!A42</f>
        <v>38</v>
      </c>
      <c r="B42" s="216" t="str">
        <f>'[2]ACHIEVEMENT STORE'!B42</f>
        <v>619-万隆市区BDG KOTA</v>
      </c>
      <c r="C42" s="215">
        <f>'[2]ACHIEVEMENT STORE'!C42</f>
        <v>6190708</v>
      </c>
      <c r="D42" s="216" t="str">
        <f>'[2]ACHIEVEMENT STORE'!D42</f>
        <v>6190708-BEC SC LGAA07</v>
      </c>
      <c r="E42" s="216" t="str">
        <f>'[2]ACHIEVEMENT STORE'!E42</f>
        <v>NENG TOTOH</v>
      </c>
      <c r="F42" s="33">
        <f>IFERROR(INDEX('[2]SALES PERTYPE'!$D$10:$BA$52,MATCH($C42,'[2]SALES PERTYPE'!$B$10:$B$52,0),MATCH("Y05",'[2]SALES PERTYPE'!$D$8:$BA$8,0)),0)</f>
        <v>1</v>
      </c>
      <c r="G42" s="33">
        <f>IFERROR(INDEX('[2]Sales per type Agustus'!$D$10:$BA$51,MATCH($C42,'[2]Sales per type Agustus'!$B$10:$B$51,0),MATCH("Y05",'[2]Sales per type Agustus'!$D$8:$BA$8,0)),0)</f>
        <v>0</v>
      </c>
      <c r="H42" s="33">
        <f t="shared" si="0"/>
        <v>1</v>
      </c>
      <c r="I42" s="33" cm="1">
        <f t="array" ref="I42">IFERROR(INDEX('[2]SALES PERTYPE'!$D$10:$BA$52,MATCH($C42,'[2]SALES PERTYPE'!$B$10:$B$52,0),MATCH("Y05",'[2]SALES PERTYPE'!$D$8:$BA$8,0)+1),0)</f>
        <v>2299000</v>
      </c>
      <c r="J42" s="33" cm="1">
        <f t="array" ref="J42">IFERROR(INDEX('[2]Sales per type Agustus'!$D$10:$BA$51,MATCH($C42,'[2]Sales per type Agustus'!$B$10:$B$51,0),MATCH("Y05",'[2]Sales per type Agustus'!$D$8:$BA$8,0)+1),0)</f>
        <v>0</v>
      </c>
      <c r="K42" s="33">
        <f t="shared" si="1"/>
        <v>2299000</v>
      </c>
      <c r="L42" s="33">
        <f>IFERROR(INDEX('[2]SALES PERTYPE'!$D$10:$BA$52,MATCH($C42,'[2]SALES PERTYPE'!$B$10:$B$52,0),MATCH("Y11d",'[2]SALES PERTYPE'!$D$8:$BA$8,0)),0)</f>
        <v>1</v>
      </c>
      <c r="M42" s="33">
        <f>IFERROR(INDEX('[2]Sales per type Agustus'!$D$10:$BA$51,MATCH($C42,'[2]Sales per type Agustus'!$B$10:$B$51,0),MATCH("Y11d",'[2]Sales per type Agustus'!$D$8:$BA$8,0)),0)</f>
        <v>1</v>
      </c>
      <c r="N42" s="33">
        <f t="shared" si="2"/>
        <v>0</v>
      </c>
      <c r="O42" s="33" cm="1">
        <f t="array" ref="O42">IFERROR(INDEX('[2]SALES PERTYPE'!$D$10:$BA$52,MATCH($C42,'[2]SALES PERTYPE'!$B$10:$B$52,0),MATCH("Y11d",'[2]SALES PERTYPE'!$D$8:$BA$8,0)+1),0)</f>
        <v>2799000</v>
      </c>
      <c r="P42" s="33" cm="1">
        <f t="array" ref="P42">IFERROR(INDEX('[2]Sales per type Agustus'!$D$10:$BA$51,MATCH($C42,'[2]Sales per type Agustus'!$B$10:$B$51,0),MATCH("Y11d",'[2]Sales per type Agustus'!$D$8:$BA$8,0)+1),0)</f>
        <v>2799000</v>
      </c>
      <c r="Q42" s="33">
        <f t="shared" si="3"/>
        <v>0</v>
      </c>
      <c r="R42" s="33">
        <f>IFERROR(INDEX('[2]SALES PERTYPE'!$D$10:$BA$52,MATCH($C42,'[2]SALES PERTYPE'!$B$10:$B$52,0),MATCH("Watch GT 2",'[2]SALES PERTYPE'!$D$8:$BA$8,0)),0)</f>
        <v>0</v>
      </c>
      <c r="S42" s="33">
        <f>IFERROR(INDEX('[2]Sales per type Agustus'!$D$10:$BA$51,MATCH($C42,'[2]Sales per type Agustus'!$B$10:$B$51,0),MATCH("Watch GT 2",'[2]Sales per type Agustus'!$D$8:$BA$8,0)),0)</f>
        <v>0</v>
      </c>
      <c r="T42" s="33">
        <f t="shared" si="4"/>
        <v>0</v>
      </c>
      <c r="U42" s="33" cm="1">
        <f t="array" ref="U42">IFERROR(INDEX('[2]SALES PERTYPE'!$D$10:$BA$52,MATCH($C42,'[2]SALES PERTYPE'!$B$10:$B$52,0),MATCH("Watch GT 2",'[2]SALES PERTYPE'!$D$8:$BA$8,0)+1),0)</f>
        <v>0</v>
      </c>
      <c r="V42" s="33" cm="1">
        <f t="array" ref="V42">IFERROR(INDEX('[2]Sales per type Agustus'!$D$10:$BA$51,MATCH($C42,'[2]Sales per type Agustus'!$B$10:$B$51,0),MATCH("Watch GT 2",'[2]Sales per type Agustus'!$D$8:$BA$8,0)+1),0)</f>
        <v>0</v>
      </c>
      <c r="W42" s="33">
        <f t="shared" si="5"/>
        <v>0</v>
      </c>
      <c r="X42" s="33">
        <f>IFERROR(INDEX('[2]SALES PERTYPE'!$D$10:$BA$52,MATCH($C42,'[2]SALES PERTYPE'!$B$10:$B$52,0),MATCH("Y05e",'[2]SALES PERTYPE'!$D$8:$BA$8,0)),0)</f>
        <v>0</v>
      </c>
      <c r="Y42" s="33">
        <f>IFERROR(INDEX('[2]Sales per type Agustus'!$D$10:$BA$51,MATCH($C42,'[2]Sales per type Agustus'!$B$10:$B$51,0),MATCH("Y05e",'[2]Sales per type Agustus'!$D$8:$BA$8,0)),0)</f>
        <v>0</v>
      </c>
      <c r="Z42" s="33">
        <f t="shared" si="6"/>
        <v>0</v>
      </c>
      <c r="AA42" s="33" cm="1">
        <f t="array" ref="AA42">IFERROR(INDEX('[2]SALES PERTYPE'!$D$10:$BA$52,MATCH($C42,'[2]SALES PERTYPE'!$B$10:$B$52,0),MATCH("Y05e",'[2]SALES PERTYPE'!$D$8:$BA$8,0)+1),0)</f>
        <v>0</v>
      </c>
      <c r="AB42" s="33" cm="1">
        <f t="array" ref="AB42">IFERROR(INDEX('[2]Sales per type Agustus'!$D$10:$BA$51,MATCH($C42,'[2]Sales per type Agustus'!$B$10:$B$51,0),MATCH("Y05e",'[2]Sales per type Agustus'!$D$8:$BA$8,0)+1),0)</f>
        <v>0</v>
      </c>
      <c r="AC42" s="33">
        <f t="shared" si="7"/>
        <v>0</v>
      </c>
      <c r="AD42" s="33">
        <f>IFERROR(INDEX('[2]SALES PERTYPE'!$D$10:$BA$52,MATCH($C42,'[2]SALES PERTYPE'!$B$10:$B$52,0),MATCH("V70",'[2]SALES PERTYPE'!$D$8:$BA$8,0)),0)</f>
        <v>1</v>
      </c>
      <c r="AE42" s="33">
        <f>IFERROR(INDEX('[2]Sales per type Agustus'!$D$10:$BA$51,MATCH($C42,'[2]Sales per type Agustus'!$B$10:$B$51,0),MATCH("V70",'[2]Sales per type Agustus'!$D$8:$BA$8,0)),0)</f>
        <v>1</v>
      </c>
      <c r="AF42" s="33">
        <f t="shared" si="8"/>
        <v>0</v>
      </c>
      <c r="AG42" s="33" cm="1">
        <f t="array" ref="AG42">IFERROR(INDEX('[2]SALES PERTYPE'!$D$10:$BA$52,MATCH($C42,'[2]SALES PERTYPE'!$B$10:$B$52,0),MATCH("V70",'[2]SALES PERTYPE'!$D$8:$BA$8,0)+1),0)</f>
        <v>9999000</v>
      </c>
      <c r="AH42" s="33" cm="1">
        <f t="array" ref="AH42">IFERROR(INDEX('[2]Sales per type Agustus'!$D$10:$BA$51,MATCH($C42,'[2]Sales per type Agustus'!$B$10:$B$51,0),MATCH("V70",'[2]Sales per type Agustus'!$D$8:$BA$8,0)+1),0)</f>
        <v>9999000</v>
      </c>
      <c r="AI42" s="33">
        <f t="shared" si="9"/>
        <v>0</v>
      </c>
      <c r="AJ42" s="33">
        <f>IFERROR(INDEX('[2]SALES PERTYPE'!$D$10:$BA$52,MATCH($C42,'[2]SALES PERTYPE'!$B$10:$B$52,0),MATCH("Y31d Pro",'[2]SALES PERTYPE'!$D$8:$BA$8,0)),0)</f>
        <v>4</v>
      </c>
      <c r="AK42" s="33">
        <f>IFERROR(INDEX('[2]Sales per type Agustus'!$D$10:$BA$51,MATCH($C42,'[2]Sales per type Agustus'!$B$10:$B$51,0),MATCH("Y31d Pro",'[2]Sales per type Agustus'!$D$8:$BA$8,0)),0)</f>
        <v>0</v>
      </c>
      <c r="AL42" s="33">
        <f t="shared" si="10"/>
        <v>4</v>
      </c>
      <c r="AM42" s="33" cm="1">
        <f t="array" ref="AM42">IFERROR(INDEX('[2]SALES PERTYPE'!$D$10:$BA$52,MATCH($C42,'[2]SALES PERTYPE'!$B$10:$B$52,0),MATCH("Y31d Pro",'[2]SALES PERTYPE'!$D$8:$BA$8,0)+1),0)</f>
        <v>17196000</v>
      </c>
      <c r="AN42" s="33" cm="1">
        <f t="array" ref="AN42">IFERROR(INDEX('[2]Sales per type Agustus'!$D$10:$BA$51,MATCH($C42,'[2]Sales per type Agustus'!$B$10:$B$51,0),MATCH("Y31d Pro",'[2]Sales per type Agustus'!$D$8:$BA$8,0)+1),0)</f>
        <v>0</v>
      </c>
      <c r="AO42" s="33">
        <f t="shared" si="11"/>
        <v>17196000</v>
      </c>
      <c r="AP42" s="33" cm="1">
        <f t="array" ref="AP42">IFERROR(INDEX('[2]SALES PERTYPE'!$D$10:$BA$52,MATCH($C42,'[2]SALES PERTYPE'!$B$10:$B$52,0),$EI$3),0)</f>
        <v>0</v>
      </c>
      <c r="AQ42" s="33" cm="1">
        <f t="array" ref="AQ42">IFERROR(INDEX('[2]Sales per type Agustus'!$D$10:$BA$51,MATCH($C42,'[2]Sales per type Agustus'!$B$10:$B$51,0),$EI$2),0)</f>
        <v>0</v>
      </c>
      <c r="AR42" s="33">
        <f t="shared" si="12"/>
        <v>0</v>
      </c>
      <c r="AS42" s="33" cm="1">
        <f t="array" ref="AS42">IFERROR(INDEX('[2]SALES PERTYPE'!$D$10:$BA$52,MATCH($C42,'[2]SALES PERTYPE'!$B$10:$B$52,0),$EI$3+1),0)</f>
        <v>0</v>
      </c>
      <c r="AT42" s="33" cm="1">
        <f t="array" ref="AT42">IFERROR(INDEX('[2]Sales per type Agustus'!$D$10:$BA$51,MATCH($C42,'[2]Sales per type Agustus'!$B$10:$B$51,0),$EI$2+1),0)</f>
        <v>0</v>
      </c>
      <c r="AU42" s="33">
        <f t="shared" si="13"/>
        <v>0</v>
      </c>
      <c r="AV42" s="33">
        <f>IFERROR(INDEX('[2]SALES PERTYPE'!$D$10:$BA$52,MATCH($C42,'[2]SALES PERTYPE'!$B$10:$B$52,0),MATCH("Y31d ",'[2]SALES PERTYPE'!$D$8:$BA$8,0)),0)</f>
        <v>1</v>
      </c>
      <c r="AW42" s="33">
        <f>IFERROR(INDEX('[2]Sales per type Agustus'!$D$10:$BA$51,MATCH($C42,'[2]Sales per type Agustus'!$B$10:$B$51,0),MATCH("Y31d ",'[2]Sales per type Agustus'!$D$8:$BA$8,0)),0)</f>
        <v>0</v>
      </c>
      <c r="AX42" s="33">
        <f t="shared" si="14"/>
        <v>1</v>
      </c>
      <c r="AY42" s="33" cm="1">
        <f t="array" ref="AY42">IFERROR(INDEX('[2]SALES PERTYPE'!$D$10:$BA$52,MATCH($C42,'[2]SALES PERTYPE'!$B$10:$B$52,0),MATCH("Y31d ",'[2]SALES PERTYPE'!$D$8:$BA$8,0)+1),0)</f>
        <v>3599000</v>
      </c>
      <c r="AZ42" s="33" cm="1">
        <f t="array" ref="AZ42">IFERROR(INDEX('[2]Sales per type Agustus'!$D$10:$BA$51,MATCH($C42,'[2]Sales per type Agustus'!$B$10:$B$51,0),MATCH("Y31d ",'[2]Sales per type Agustus'!$D$8:$BA$8,0)+1),0)</f>
        <v>0</v>
      </c>
      <c r="BA42" s="33">
        <f t="shared" si="15"/>
        <v>3599000</v>
      </c>
      <c r="BB42" s="33">
        <f>IFERROR(INDEX('[2]SALES PERTYPE'!$D$10:$BA$52,MATCH($C42,'[2]SALES PERTYPE'!$B$10:$B$52,0),MATCH("V70 FE",'[2]SALES PERTYPE'!$D$8:$BA$8,0)),0)</f>
        <v>0</v>
      </c>
      <c r="BC42" s="33">
        <f>IFERROR(INDEX('[2]Sales per type Agustus'!$D$10:$BA$51,MATCH($C42,'[2]Sales per type Agustus'!$B$10:$B$51,0),MATCH("V70 FE",'[2]Sales per type Agustus'!$D$8:$BA$8,0)),0)</f>
        <v>0</v>
      </c>
      <c r="BD42" s="33">
        <f t="shared" si="16"/>
        <v>0</v>
      </c>
      <c r="BE42" s="33" cm="1">
        <f t="array" ref="BE42">IFERROR(INDEX('[2]SALES PERTYPE'!$D$10:$BA$52,MATCH($C42,'[2]SALES PERTYPE'!$B$10:$B$52,0),MATCH("V70 FE",'[2]SALES PERTYPE'!$D$8:$BA$8,0)+1),0)</f>
        <v>0</v>
      </c>
      <c r="BF42" s="33" cm="1">
        <f t="array" ref="BF42">IFERROR(INDEX('[2]Sales per type Agustus'!$D$10:$BA$51,MATCH($C42,'[2]Sales per type Agustus'!$B$10:$B$51,0),MATCH("V70 FE",'[2]Sales per type Agustus'!$D$8:$BA$8,0)+1),0)</f>
        <v>0</v>
      </c>
      <c r="BG42" s="33">
        <f t="shared" si="17"/>
        <v>0</v>
      </c>
      <c r="BH42" s="33">
        <f>IFERROR(INDEX('[2]SALES PERTYPE'!$D$10:$BA$52,MATCH($C42,'[2]SALES PERTYPE'!$B$10:$B$52,0),MATCH("Y31d",'[2]SALES PERTYPE'!$D$8:$BA$8,0)),0)</f>
        <v>1</v>
      </c>
      <c r="BI42" s="33">
        <f>IFERROR(INDEX('[2]Sales per type Agustus'!$D$10:$BA$51,MATCH($C42,'[2]Sales per type Agustus'!$B$10:$B$51,0),MATCH("Y31d",'[2]Sales per type Agustus'!$D$8:$BA$8,0)),0)</f>
        <v>0</v>
      </c>
      <c r="BJ42" s="33">
        <f t="shared" si="18"/>
        <v>1</v>
      </c>
      <c r="BK42" s="33" cm="1">
        <f t="array" ref="BK42">IFERROR(INDEX('[2]SALES PERTYPE'!$D$10:$BA$52,MATCH($C42,'[2]SALES PERTYPE'!$B$10:$B$52,0),MATCH("Y31d",'[2]SALES PERTYPE'!$D$8:$BA$8,0)+1),0)</f>
        <v>3599000</v>
      </c>
      <c r="BL42" s="33" cm="1">
        <f t="array" ref="BL42">IFERROR(INDEX('[2]Sales per type Agustus'!$D$10:$BA$51,MATCH($C42,'[2]Sales per type Agustus'!$B$10:$B$51,0),MATCH("Y31d",'[2]Sales per type Agustus'!$D$8:$BA$8,0)+1),0)</f>
        <v>0</v>
      </c>
      <c r="BM42" s="33">
        <f t="shared" si="19"/>
        <v>3599000</v>
      </c>
      <c r="BN42" s="33">
        <f>IFERROR(INDEX('[2]SALES PERTYPE'!$D$10:$BA$52,MATCH($C42,'[2]SALES PERTYPE'!$B$10:$B$52,0),MATCH("Y500",'[2]SALES PERTYPE'!$D$8:$BA$8,0)),0)</f>
        <v>0</v>
      </c>
      <c r="BO42" s="33">
        <f>IFERROR(INDEX('[2]Sales per type Agustus'!$D$10:$BA$51,MATCH($C42,'[2]Sales per type Agustus'!$B$10:$B$51,0),MATCH("Y500",'[2]Sales per type Agustus'!$D$8:$BA$8,0)),0)</f>
        <v>0</v>
      </c>
      <c r="BP42" s="33">
        <f t="shared" si="20"/>
        <v>0</v>
      </c>
      <c r="BQ42" s="33" cm="1">
        <f t="array" ref="BQ42">IFERROR(INDEX('[2]SALES PERTYPE'!$D$10:$BA$52,MATCH($C42,'[2]SALES PERTYPE'!$B$10:$B$52,0),MATCH("Y500",'[2]SALES PERTYPE'!$D$8:$BA$8,0)+1),0)</f>
        <v>0</v>
      </c>
      <c r="BR42" s="33" cm="1">
        <f t="array" ref="BR42">IFERROR(INDEX('[2]Sales per type Agustus'!$D$10:$BA$51,MATCH($C42,'[2]Sales per type Agustus'!$B$10:$B$51,0),MATCH("Y500",'[2]Sales per type Agustus'!$D$8:$BA$8,0)+1),0)</f>
        <v>0</v>
      </c>
      <c r="BS42" s="33">
        <f t="shared" si="21"/>
        <v>0</v>
      </c>
      <c r="BT42" s="33">
        <f>IFERROR(INDEX('[2]SALES PERTYPE'!$D$10:$BA$52,MATCH($C42,'[2]SALES PERTYPE'!$B$10:$B$52,0),MATCH("IQOO 15R",'[2]SALES PERTYPE'!$D$8:$BA$8,0)),0)</f>
        <v>0</v>
      </c>
      <c r="BU42" s="33">
        <f>IFERROR(INDEX('[2]Sales per type Agustus'!$D$10:$BA$51,MATCH($C42,'[2]Sales per type Agustus'!$B$10:$B$51,0),MATCH("IQOO 15R",'[2]Sales per type Agustus'!$D$8:$BA$8,0)),0)</f>
        <v>0</v>
      </c>
      <c r="BV42" s="33">
        <f t="shared" si="22"/>
        <v>0</v>
      </c>
      <c r="BW42" s="33" cm="1">
        <f t="array" ref="BW42">IFERROR(INDEX('[2]SALES PERTYPE'!$D$10:$BA$52,MATCH($C42,'[2]SALES PERTYPE'!$B$10:$B$52,0),MATCH("IQOO 15R",'[2]SALES PERTYPE'!$D$8:$BA$8,0)+1),0)</f>
        <v>0</v>
      </c>
      <c r="BX42" s="33" cm="1">
        <f t="array" ref="BX42">IFERROR(INDEX('[2]Sales per type Agustus'!$D$10:$BA$51,MATCH($C42,'[2]Sales per type Agustus'!$B$10:$B$51,0),MATCH("IQOO 15R",'[2]Sales per type Agustus'!$D$8:$BA$8,0)+1),0)</f>
        <v>0</v>
      </c>
      <c r="BY42" s="33">
        <f t="shared" si="23"/>
        <v>0</v>
      </c>
      <c r="BZ42" s="33">
        <f>IFERROR(INDEX('[2]SALES PERTYPE'!$D$10:$BA$52,MATCH($C42,'[2]SALES PERTYPE'!$B$10:$B$52,0),MATCH("V60 Lite",'[2]SALES PERTYPE'!$D$8:$BA$8,0)),0)</f>
        <v>1</v>
      </c>
      <c r="CA42" s="33">
        <f>IFERROR(INDEX('[2]Sales per type Agustus'!$D$10:$BA$51,MATCH($C42,'[2]Sales per type Agustus'!$B$10:$B$51,0),MATCH("V60 Lite",'[2]Sales per type Agustus'!$D$8:$BA$8,0)),0)</f>
        <v>0</v>
      </c>
      <c r="CB42" s="33">
        <f t="shared" si="24"/>
        <v>1</v>
      </c>
      <c r="CC42" s="33" cm="1">
        <f t="array" ref="CC42">IFERROR(INDEX('[2]SALES PERTYPE'!$D$10:$BA$52,MATCH($C42,'[2]SALES PERTYPE'!$B$10:$B$52,0),MATCH("V60 Lite",'[2]SALES PERTYPE'!$D$8:$BA$8,0)+1),0)</f>
        <v>5899000</v>
      </c>
      <c r="CD42" s="33" cm="1">
        <f t="array" ref="CD42">IFERROR(INDEX('[2]Sales per type Agustus'!$D$10:$BA$51,MATCH($C42,'[2]Sales per type Agustus'!$B$10:$B$51,0),MATCH("V60 Lite",'[2]Sales per type Agustus'!$D$8:$BA$8,0)+1),0)</f>
        <v>0</v>
      </c>
      <c r="CE42" s="33">
        <f t="shared" si="25"/>
        <v>5899000</v>
      </c>
      <c r="CF42" s="33">
        <f>IFERROR(INDEX('[2]SALES PERTYPE'!$D$10:$BA$52,MATCH($C42,'[2]SALES PERTYPE'!$B$10:$B$52,0),MATCH("X300 Ultra",'[2]SALES PERTYPE'!$D$8:$BA$8,0)),0)</f>
        <v>0</v>
      </c>
      <c r="CG42" s="33">
        <f>IFERROR(INDEX('[2]Sales per type Agustus'!$D$10:$BA$51,MATCH($C42,'[2]Sales per type Agustus'!$B$10:$B$51,0),MATCH("X300 Ultra",'[2]Sales per type Agustus'!$D$8:$BA$8,0)),0)</f>
        <v>0</v>
      </c>
      <c r="CH42" s="33">
        <f t="shared" si="26"/>
        <v>0</v>
      </c>
      <c r="CI42" s="33" cm="1">
        <f t="array" ref="CI42">IFERROR(INDEX('[2]SALES PERTYPE'!$D$10:$BA$52,MATCH($C42,'[2]SALES PERTYPE'!$B$10:$B$52,0),MATCH("X300 Ultra",'[2]SALES PERTYPE'!$D$8:$BA$8,0)+1),0)</f>
        <v>0</v>
      </c>
      <c r="CJ42" s="33" cm="1">
        <f t="array" ref="CJ42">IFERROR(INDEX('[2]Sales per type Agustus'!$D$10:$BA$51,MATCH($C42,'[2]Sales per type Agustus'!$B$10:$B$51,0),MATCH("X300 Ultra",'[2]Sales per type Agustus'!$D$8:$BA$8,0)+1),0)</f>
        <v>0</v>
      </c>
      <c r="CK42" s="33">
        <f t="shared" si="27"/>
        <v>0</v>
      </c>
      <c r="CL42" s="33">
        <f>IFERROR(INDEX('[2]SALES PERTYPE'!$D$10:$BA$52,MATCH($C42,'[2]SALES PERTYPE'!$B$10:$B$52,0),MATCH("IQOO 15",'[2]SALES PERTYPE'!$D$8:$BA$8,0)),0)</f>
        <v>0</v>
      </c>
      <c r="CM42" s="33">
        <f>IFERROR(INDEX('[2]Sales per type Agustus'!$D$10:$BA$51,MATCH($C42,'[2]Sales per type Agustus'!$B$10:$B$51,0),MATCH("IQOO 15",'[2]Sales per type Agustus'!$D$8:$BA$8,0)),0)</f>
        <v>0</v>
      </c>
      <c r="CN42" s="33">
        <f t="shared" si="28"/>
        <v>0</v>
      </c>
      <c r="CO42" s="33" cm="1">
        <f t="array" ref="CO42">IFERROR(INDEX('[2]SALES PERTYPE'!$D$10:$BA$52,MATCH($C42,'[2]SALES PERTYPE'!$B$10:$B$52,0),MATCH("IQOO 15",'[2]SALES PERTYPE'!$D$8:$BA$8,0)+1),0)</f>
        <v>0</v>
      </c>
      <c r="CP42" s="33" cm="1">
        <f t="array" ref="CP42">IFERROR(INDEX('[2]Sales per type Agustus'!$D$10:$BA$51,MATCH($C42,'[2]Sales per type Agustus'!$B$10:$B$51,0),MATCH("IQOO 15",'[2]Sales per type Agustus'!$D$8:$BA$8,0)+1),0)</f>
        <v>0</v>
      </c>
      <c r="CQ42" s="33">
        <f t="shared" si="29"/>
        <v>0</v>
      </c>
      <c r="CR42" s="33">
        <f>IFERROR(INDEX('[2]SALES PERTYPE'!$D$10:$BA$52,MATCH($C42,'[2]SALES PERTYPE'!$B$10:$B$52,0),MATCH("IQOO Z11x",'[2]SALES PERTYPE'!$D$8:$BA$8,0)),0)</f>
        <v>0</v>
      </c>
      <c r="CS42" s="33">
        <f>IFERROR(INDEX('[2]Sales per type Agustus'!$D$10:$BA$51,MATCH($C42,'[2]Sales per type Agustus'!$B$10:$B$51,0),MATCH("IQOO Z11x",'[2]Sales per type Agustus'!$D$8:$BA$8,0)),0)</f>
        <v>0</v>
      </c>
      <c r="CT42" s="33">
        <f t="shared" si="30"/>
        <v>0</v>
      </c>
      <c r="CU42" s="33" cm="1">
        <f t="array" ref="CU42">IFERROR(INDEX('[2]SALES PERTYPE'!$D$10:$BA$52,MATCH($C42,'[2]SALES PERTYPE'!$B$10:$B$52,0),MATCH("IQOO Z11x",'[2]SALES PERTYPE'!$D$8:$BA$8,0)+1),0)</f>
        <v>0</v>
      </c>
      <c r="CV42" s="33" cm="1">
        <f t="array" ref="CV42">IFERROR(INDEX('[2]Sales per type Agustus'!$D$10:$BA$51,MATCH($C42,'[2]Sales per type Agustus'!$B$10:$B$51,0),MATCH("IQOO Z11x",'[2]Sales per type Agustus'!$D$8:$BA$8,0)+1),0)</f>
        <v>0</v>
      </c>
      <c r="CW42" s="33">
        <f t="shared" si="31"/>
        <v>0</v>
      </c>
      <c r="CX42" s="33">
        <f>IFERROR(INDEX('[2]SALES PERTYPE'!$D$10:$BA$52,MATCH($C42,'[2]SALES PERTYPE'!$B$10:$B$52,0),MATCH("IQOO Z11",'[2]SALES PERTYPE'!$D$8:$BA$8,0)),0)</f>
        <v>0</v>
      </c>
      <c r="CY42" s="33">
        <f>IFERROR(INDEX('[2]Sales per type Agustus'!$D$10:$BA$51,MATCH($C42,'[2]Sales per type Agustus'!$B$10:$B$51,0),MATCH("IQOO Z11",'[2]Sales per type Agustus'!$D$8:$BA$8,0)),0)</f>
        <v>0</v>
      </c>
      <c r="CZ42" s="33">
        <f t="shared" si="32"/>
        <v>0</v>
      </c>
      <c r="DA42" s="33" cm="1">
        <f t="array" ref="DA42">IFERROR(INDEX('[2]SALES PERTYPE'!$D$10:$BA$52,MATCH($C42,'[2]SALES PERTYPE'!$B$10:$B$52,0),MATCH("IQOO Z11",'[2]SALES PERTYPE'!$D$8:$BA$8,0)+1),0)</f>
        <v>0</v>
      </c>
      <c r="DB42" s="33" cm="1">
        <f t="array" ref="DB42">IFERROR(INDEX('[2]Sales per type Agustus'!$D$10:$BA$51,MATCH($C42,'[2]Sales per type Agustus'!$B$10:$B$51,0),MATCH("IQOO Z11",'[2]Sales per type Agustus'!$D$8:$BA$8,0)+1),0)</f>
        <v>0</v>
      </c>
      <c r="DC42" s="33">
        <f t="shared" si="33"/>
        <v>0</v>
      </c>
      <c r="DD42" s="33">
        <f>IFERROR(INDEX('[2]SALES PERTYPE'!$D$10:$BA$52,MATCH($C42,'[2]SALES PERTYPE'!$B$10:$B$52,0),MATCH("WATCH 3",'[2]SALES PERTYPE'!$D$8:$BA$8,0)),0)</f>
        <v>0</v>
      </c>
      <c r="DE42" s="33">
        <f>IFERROR(INDEX('[2]Sales per type Agustus'!$D$10:$BA$51,MATCH($C42,'[2]Sales per type Agustus'!$B$10:$B$51,0),MATCH("WATCH 3",'[2]Sales per type Agustus'!$D$8:$BA$8,0)),0)</f>
        <v>0</v>
      </c>
      <c r="DF42" s="33">
        <f t="shared" si="34"/>
        <v>0</v>
      </c>
      <c r="DG42" s="33" cm="1">
        <f t="array" ref="DG42">IFERROR(INDEX('[2]SALES PERTYPE'!$D$10:$BA$52,MATCH($C42,'[2]SALES PERTYPE'!$B$10:$B$52,0),MATCH("WATCH 3",'[2]SALES PERTYPE'!$D$8:$BA$8,0)+1),0)</f>
        <v>0</v>
      </c>
      <c r="DH42" s="33" cm="1">
        <f t="array" ref="DH42">IFERROR(INDEX('[2]Sales per type Agustus'!$D$10:$BA$51,MATCH($C42,'[2]Sales per type Agustus'!$B$10:$B$51,0),MATCH("WATCH 3",'[2]Sales per type Agustus'!$D$8:$BA$8,0)+1),0)</f>
        <v>0</v>
      </c>
      <c r="DI42" s="33">
        <f t="shared" si="35"/>
        <v>0</v>
      </c>
      <c r="DJ42" s="33">
        <f>IFERROR(INDEX('[2]SALES PERTYPE'!$D$10:$BA$52,MATCH($C42,'[2]SALES PERTYPE'!$B$10:$B$52,0),MATCH("X Fold5",'[2]SALES PERTYPE'!$D$8:$BA$8,0)),0)</f>
        <v>0</v>
      </c>
      <c r="DK42" s="33">
        <f>IFERROR(INDEX('[2]Sales per type Agustus'!$D$10:$BA$51,MATCH($C42,'[2]Sales per type Agustus'!$B$10:$B$51,0),MATCH("X Fold5",'[2]Sales per type Agustus'!$D$8:$BA$8,0)),0)</f>
        <v>0</v>
      </c>
      <c r="DL42" s="33">
        <f t="shared" si="36"/>
        <v>0</v>
      </c>
      <c r="DM42" s="33" cm="1">
        <f t="array" ref="DM42">IFERROR(INDEX('[2]SALES PERTYPE'!$D$10:$BA$52,MATCH($C42,'[2]SALES PERTYPE'!$B$10:$B$52,0),MATCH("X Fold5",'[2]SALES PERTYPE'!$D$8:$BA$8,0)+1),0)</f>
        <v>0</v>
      </c>
      <c r="DN42" s="33" cm="1">
        <f t="array" ref="DN42">IFERROR(INDEX('[2]Sales per type Agustus'!$D$10:$BA$51,MATCH($C42,'[2]Sales per type Agustus'!$B$10:$B$51,0),MATCH("X Fold5",'[2]Sales per type Agustus'!$D$8:$BA$8,0)+1),0)</f>
        <v>0</v>
      </c>
      <c r="DO42" s="33">
        <f t="shared" si="37"/>
        <v>0</v>
      </c>
      <c r="DP42" s="33">
        <f>IFERROR(INDEX('[2]SALES PERTYPE'!$D$10:$BA$52,MATCH($C42,'[2]SALES PERTYPE'!$B$10:$B$52,0),MATCH("X300 PRO",'[2]SALES PERTYPE'!$D$8:$BA$8,0)),0)</f>
        <v>0</v>
      </c>
      <c r="DQ42" s="33">
        <f>IFERROR(INDEX('[2]Sales per type Agustus'!$D$10:$BA$51,MATCH($C42,'[2]Sales per type Agustus'!$B$10:$B$51,0),MATCH("X300 PRO",'[2]Sales per type Agustus'!$D$8:$BA$8,0)),0)</f>
        <v>0</v>
      </c>
      <c r="DR42" s="33">
        <f t="shared" si="38"/>
        <v>0</v>
      </c>
      <c r="DS42" s="33" cm="1">
        <f t="array" ref="DS42">IFERROR(INDEX('[2]SALES PERTYPE'!$D$10:$BA$52,MATCH($C42,'[2]SALES PERTYPE'!$B$10:$B$52,0),MATCH("X300 PRO",'[2]SALES PERTYPE'!$D$8:$BA$8,0)+1),0)</f>
        <v>0</v>
      </c>
      <c r="DT42" s="33" cm="1">
        <f t="array" ref="DT42">IFERROR(INDEX('[2]Sales per type Agustus'!$D$10:$BA$51,MATCH($C42,'[2]Sales per type Agustus'!$B$10:$B$51,0),MATCH("X300 PRO",'[2]Sales per type Agustus'!$D$8:$BA$8,0)+1),0)</f>
        <v>0</v>
      </c>
      <c r="DU42" s="33">
        <f t="shared" si="39"/>
        <v>0</v>
      </c>
      <c r="DV42" s="33">
        <f>IFERROR(INDEX('[2]SALES PERTYPE'!$D$10:$BA$52,MATCH($C42,'[2]SALES PERTYPE'!$B$10:$B$52,0),MATCH("X300",'[2]SALES PERTYPE'!$D$8:$BA$8,0)),0)</f>
        <v>0</v>
      </c>
      <c r="DW42" s="33">
        <f>IFERROR(INDEX('[2]Sales per type Agustus'!$D$10:$BA$51,MATCH($C42,'[2]Sales per type Agustus'!$B$10:$B$51,0),MATCH("X300 ",'[2]Sales per type Agustus'!$D$8:$BA$8,0)),0)</f>
        <v>0</v>
      </c>
      <c r="DX42" s="33">
        <f t="shared" si="40"/>
        <v>0</v>
      </c>
      <c r="DY42" s="33" cm="1">
        <f t="array" ref="DY42">IFERROR(INDEX('[2]SALES PERTYPE'!$D$10:$BA$52,MATCH($C42,'[2]SALES PERTYPE'!$B$10:$B$52,0),MATCH("X300",'[2]SALES PERTYPE'!$D$8:$BA$8,0)+1),0)</f>
        <v>0</v>
      </c>
      <c r="DZ42" s="33" cm="1">
        <f t="array" ref="DZ42">IFERROR(INDEX('[2]Sales per type Agustus'!$D$10:$BA$51,MATCH($C42,'[2]Sales per type Agustus'!$B$10:$B$51,0),MATCH("X300 ",'[2]Sales per type Agustus'!$D$8:$BA$8,0)+1),0)</f>
        <v>0</v>
      </c>
      <c r="EA42" s="33">
        <f t="shared" si="41"/>
        <v>0</v>
      </c>
      <c r="EB42" s="33">
        <f t="shared" si="42"/>
        <v>10</v>
      </c>
      <c r="EC42" s="33">
        <f t="shared" si="42"/>
        <v>2</v>
      </c>
      <c r="ED42" s="33">
        <f t="shared" si="43"/>
        <v>8</v>
      </c>
      <c r="EE42" s="33">
        <f t="shared" si="44"/>
        <v>45390000</v>
      </c>
      <c r="EF42" s="33">
        <f t="shared" si="44"/>
        <v>12798000</v>
      </c>
      <c r="EG42" s="33">
        <f t="shared" si="45"/>
        <v>32592000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'[2]ACHIEVEMENT STORE'!A43</f>
        <v>39</v>
      </c>
      <c r="B43" s="32" t="str">
        <f>'[2]ACHIEVEMENT STORE'!B43</f>
        <v>615-中爪哇东SOLO</v>
      </c>
      <c r="C43" s="31">
        <f>'[2]ACHIEVEMENT STORE'!C43</f>
        <v>6150702</v>
      </c>
      <c r="D43" s="32" t="str">
        <f>'[2]ACHIEVEMENT STORE'!D43</f>
        <v>6150702-GRANMALL SC GF-11</v>
      </c>
      <c r="E43" s="32" t="str">
        <f>'[2]ACHIEVEMENT STORE'!E43</f>
        <v>BIRILYAN KUSWARA</v>
      </c>
      <c r="F43" s="33">
        <f>IFERROR(INDEX('[2]SALES PERTYPE'!$D$10:$BA$52,MATCH($C43,'[2]SALES PERTYPE'!$B$10:$B$52,0),MATCH("Y05",'[2]SALES PERTYPE'!$D$8:$BA$8,0)),0)</f>
        <v>0</v>
      </c>
      <c r="G43" s="33">
        <f>IFERROR(INDEX('[2]Sales per type Agustus'!$D$10:$BA$51,MATCH($C43,'[2]Sales per type Agustus'!$B$10:$B$51,0),MATCH("Y05",'[2]Sales per type Agustus'!$D$8:$BA$8,0)),0)</f>
        <v>0</v>
      </c>
      <c r="H43" s="33">
        <f t="shared" si="0"/>
        <v>0</v>
      </c>
      <c r="I43" s="33" cm="1">
        <f t="array" ref="I43">IFERROR(INDEX('[2]SALES PERTYPE'!$D$10:$BA$52,MATCH($C43,'[2]SALES PERTYPE'!$B$10:$B$52,0),MATCH("Y05",'[2]SALES PERTYPE'!$D$8:$BA$8,0)+1),0)</f>
        <v>0</v>
      </c>
      <c r="J43" s="33" cm="1">
        <f t="array" ref="J43">IFERROR(INDEX('[2]Sales per type Agustus'!$D$10:$BA$51,MATCH($C43,'[2]Sales per type Agustus'!$B$10:$B$51,0),MATCH("Y05",'[2]Sales per type Agustus'!$D$8:$BA$8,0)+1),0)</f>
        <v>0</v>
      </c>
      <c r="K43" s="33">
        <f t="shared" si="1"/>
        <v>0</v>
      </c>
      <c r="L43" s="33">
        <f>IFERROR(INDEX('[2]SALES PERTYPE'!$D$10:$BA$52,MATCH($C43,'[2]SALES PERTYPE'!$B$10:$B$52,0),MATCH("Y11d",'[2]SALES PERTYPE'!$D$8:$BA$8,0)),0)</f>
        <v>0</v>
      </c>
      <c r="M43" s="33">
        <f>IFERROR(INDEX('[2]Sales per type Agustus'!$D$10:$BA$51,MATCH($C43,'[2]Sales per type Agustus'!$B$10:$B$51,0),MATCH("Y11d",'[2]Sales per type Agustus'!$D$8:$BA$8,0)),0)</f>
        <v>0</v>
      </c>
      <c r="N43" s="33">
        <f t="shared" si="2"/>
        <v>0</v>
      </c>
      <c r="O43" s="33" cm="1">
        <f t="array" ref="O43">IFERROR(INDEX('[2]SALES PERTYPE'!$D$10:$BA$52,MATCH($C43,'[2]SALES PERTYPE'!$B$10:$B$52,0),MATCH("Y11d",'[2]SALES PERTYPE'!$D$8:$BA$8,0)+1),0)</f>
        <v>0</v>
      </c>
      <c r="P43" s="33" cm="1">
        <f t="array" ref="P43">IFERROR(INDEX('[2]Sales per type Agustus'!$D$10:$BA$51,MATCH($C43,'[2]Sales per type Agustus'!$B$10:$B$51,0),MATCH("Y11d",'[2]Sales per type Agustus'!$D$8:$BA$8,0)+1),0)</f>
        <v>0</v>
      </c>
      <c r="Q43" s="33">
        <f t="shared" si="3"/>
        <v>0</v>
      </c>
      <c r="R43" s="33">
        <f>IFERROR(INDEX('[2]SALES PERTYPE'!$D$10:$BA$52,MATCH($C43,'[2]SALES PERTYPE'!$B$10:$B$52,0),MATCH("Watch GT 2",'[2]SALES PERTYPE'!$D$8:$BA$8,0)),0)</f>
        <v>0</v>
      </c>
      <c r="S43" s="33">
        <f>IFERROR(INDEX('[2]Sales per type Agustus'!$D$10:$BA$51,MATCH($C43,'[2]Sales per type Agustus'!$B$10:$B$51,0),MATCH("Watch GT 2",'[2]Sales per type Agustus'!$D$8:$BA$8,0)),0)</f>
        <v>0</v>
      </c>
      <c r="T43" s="33">
        <f t="shared" si="4"/>
        <v>0</v>
      </c>
      <c r="U43" s="33" cm="1">
        <f t="array" ref="U43">IFERROR(INDEX('[2]SALES PERTYPE'!$D$10:$BA$52,MATCH($C43,'[2]SALES PERTYPE'!$B$10:$B$52,0),MATCH("Watch GT 2",'[2]SALES PERTYPE'!$D$8:$BA$8,0)+1),0)</f>
        <v>0</v>
      </c>
      <c r="V43" s="33" cm="1">
        <f t="array" ref="V43">IFERROR(INDEX('[2]Sales per type Agustus'!$D$10:$BA$51,MATCH($C43,'[2]Sales per type Agustus'!$B$10:$B$51,0),MATCH("Watch GT 2",'[2]Sales per type Agustus'!$D$8:$BA$8,0)+1),0)</f>
        <v>0</v>
      </c>
      <c r="W43" s="33">
        <f t="shared" si="5"/>
        <v>0</v>
      </c>
      <c r="X43" s="33">
        <f>IFERROR(INDEX('[2]SALES PERTYPE'!$D$10:$BA$52,MATCH($C43,'[2]SALES PERTYPE'!$B$10:$B$52,0),MATCH("Y05e",'[2]SALES PERTYPE'!$D$8:$BA$8,0)),0)</f>
        <v>0</v>
      </c>
      <c r="Y43" s="33">
        <f>IFERROR(INDEX('[2]Sales per type Agustus'!$D$10:$BA$51,MATCH($C43,'[2]Sales per type Agustus'!$B$10:$B$51,0),MATCH("Y05e",'[2]Sales per type Agustus'!$D$8:$BA$8,0)),0)</f>
        <v>0</v>
      </c>
      <c r="Z43" s="33">
        <f t="shared" si="6"/>
        <v>0</v>
      </c>
      <c r="AA43" s="33" cm="1">
        <f t="array" ref="AA43">IFERROR(INDEX('[2]SALES PERTYPE'!$D$10:$BA$52,MATCH($C43,'[2]SALES PERTYPE'!$B$10:$B$52,0),MATCH("Y05e",'[2]SALES PERTYPE'!$D$8:$BA$8,0)+1),0)</f>
        <v>0</v>
      </c>
      <c r="AB43" s="33" cm="1">
        <f t="array" ref="AB43">IFERROR(INDEX('[2]Sales per type Agustus'!$D$10:$BA$51,MATCH($C43,'[2]Sales per type Agustus'!$B$10:$B$51,0),MATCH("Y05e",'[2]Sales per type Agustus'!$D$8:$BA$8,0)+1),0)</f>
        <v>0</v>
      </c>
      <c r="AC43" s="33">
        <f t="shared" si="7"/>
        <v>0</v>
      </c>
      <c r="AD43" s="33">
        <f>IFERROR(INDEX('[2]SALES PERTYPE'!$D$10:$BA$52,MATCH($C43,'[2]SALES PERTYPE'!$B$10:$B$52,0),MATCH("V70",'[2]SALES PERTYPE'!$D$8:$BA$8,0)),0)</f>
        <v>0</v>
      </c>
      <c r="AE43" s="33">
        <f>IFERROR(INDEX('[2]Sales per type Agustus'!$D$10:$BA$51,MATCH($C43,'[2]Sales per type Agustus'!$B$10:$B$51,0),MATCH("V70",'[2]Sales per type Agustus'!$D$8:$BA$8,0)),0)</f>
        <v>0</v>
      </c>
      <c r="AF43" s="33">
        <f t="shared" si="8"/>
        <v>0</v>
      </c>
      <c r="AG43" s="33" cm="1">
        <f t="array" ref="AG43">IFERROR(INDEX('[2]SALES PERTYPE'!$D$10:$BA$52,MATCH($C43,'[2]SALES PERTYPE'!$B$10:$B$52,0),MATCH("V70",'[2]SALES PERTYPE'!$D$8:$BA$8,0)+1),0)</f>
        <v>0</v>
      </c>
      <c r="AH43" s="33" cm="1">
        <f t="array" ref="AH43">IFERROR(INDEX('[2]Sales per type Agustus'!$D$10:$BA$51,MATCH($C43,'[2]Sales per type Agustus'!$B$10:$B$51,0),MATCH("V70",'[2]Sales per type Agustus'!$D$8:$BA$8,0)+1),0)</f>
        <v>0</v>
      </c>
      <c r="AI43" s="33">
        <f t="shared" si="9"/>
        <v>0</v>
      </c>
      <c r="AJ43" s="33">
        <f>IFERROR(INDEX('[2]SALES PERTYPE'!$D$10:$BA$52,MATCH($C43,'[2]SALES PERTYPE'!$B$10:$B$52,0),MATCH("Y31d Pro",'[2]SALES PERTYPE'!$D$8:$BA$8,0)),0)</f>
        <v>0</v>
      </c>
      <c r="AK43" s="33">
        <f>IFERROR(INDEX('[2]Sales per type Agustus'!$D$10:$BA$51,MATCH($C43,'[2]Sales per type Agustus'!$B$10:$B$51,0),MATCH("Y31d Pro",'[2]Sales per type Agustus'!$D$8:$BA$8,0)),0)</f>
        <v>0</v>
      </c>
      <c r="AL43" s="33">
        <f t="shared" si="10"/>
        <v>0</v>
      </c>
      <c r="AM43" s="33" cm="1">
        <f t="array" ref="AM43">IFERROR(INDEX('[2]SALES PERTYPE'!$D$10:$BA$52,MATCH($C43,'[2]SALES PERTYPE'!$B$10:$B$52,0),MATCH("Y31d Pro",'[2]SALES PERTYPE'!$D$8:$BA$8,0)+1),0)</f>
        <v>0</v>
      </c>
      <c r="AN43" s="33" cm="1">
        <f t="array" ref="AN43">IFERROR(INDEX('[2]Sales per type Agustus'!$D$10:$BA$51,MATCH($C43,'[2]Sales per type Agustus'!$B$10:$B$51,0),MATCH("Y31d Pro",'[2]Sales per type Agustus'!$D$8:$BA$8,0)+1),0)</f>
        <v>0</v>
      </c>
      <c r="AO43" s="33">
        <f t="shared" si="11"/>
        <v>0</v>
      </c>
      <c r="AP43" s="33" cm="1">
        <f t="array" ref="AP43">IFERROR(INDEX('[2]SALES PERTYPE'!$D$10:$BA$52,MATCH($C43,'[2]SALES PERTYPE'!$B$10:$B$52,0),$EI$3),0)</f>
        <v>0</v>
      </c>
      <c r="AQ43" s="33" cm="1">
        <f t="array" ref="AQ43">IFERROR(INDEX('[2]Sales per type Agustus'!$D$10:$BA$51,MATCH($C43,'[2]Sales per type Agustus'!$B$10:$B$51,0),$EI$2),0)</f>
        <v>0</v>
      </c>
      <c r="AR43" s="33">
        <f t="shared" si="12"/>
        <v>0</v>
      </c>
      <c r="AS43" s="33" cm="1">
        <f t="array" ref="AS43">IFERROR(INDEX('[2]SALES PERTYPE'!$D$10:$BA$52,MATCH($C43,'[2]SALES PERTYPE'!$B$10:$B$52,0),$EI$3+1),0)</f>
        <v>0</v>
      </c>
      <c r="AT43" s="33" cm="1">
        <f t="array" ref="AT43">IFERROR(INDEX('[2]Sales per type Agustus'!$D$10:$BA$51,MATCH($C43,'[2]Sales per type Agustus'!$B$10:$B$51,0),$EI$2+1),0)</f>
        <v>0</v>
      </c>
      <c r="AU43" s="33">
        <f t="shared" si="13"/>
        <v>0</v>
      </c>
      <c r="AV43" s="33">
        <f>IFERROR(INDEX('[2]SALES PERTYPE'!$D$10:$BA$52,MATCH($C43,'[2]SALES PERTYPE'!$B$10:$B$52,0),MATCH("Y31d ",'[2]SALES PERTYPE'!$D$8:$BA$8,0)),0)</f>
        <v>0</v>
      </c>
      <c r="AW43" s="33">
        <f>IFERROR(INDEX('[2]Sales per type Agustus'!$D$10:$BA$51,MATCH($C43,'[2]Sales per type Agustus'!$B$10:$B$51,0),MATCH("Y31d ",'[2]Sales per type Agustus'!$D$8:$BA$8,0)),0)</f>
        <v>0</v>
      </c>
      <c r="AX43" s="33">
        <f t="shared" si="14"/>
        <v>0</v>
      </c>
      <c r="AY43" s="33" cm="1">
        <f t="array" ref="AY43">IFERROR(INDEX('[2]SALES PERTYPE'!$D$10:$BA$52,MATCH($C43,'[2]SALES PERTYPE'!$B$10:$B$52,0),MATCH("Y31d ",'[2]SALES PERTYPE'!$D$8:$BA$8,0)+1),0)</f>
        <v>0</v>
      </c>
      <c r="AZ43" s="33" cm="1">
        <f t="array" ref="AZ43">IFERROR(INDEX('[2]Sales per type Agustus'!$D$10:$BA$51,MATCH($C43,'[2]Sales per type Agustus'!$B$10:$B$51,0),MATCH("Y31d ",'[2]Sales per type Agustus'!$D$8:$BA$8,0)+1),0)</f>
        <v>0</v>
      </c>
      <c r="BA43" s="33">
        <f t="shared" si="15"/>
        <v>0</v>
      </c>
      <c r="BB43" s="33">
        <f>IFERROR(INDEX('[2]SALES PERTYPE'!$D$10:$BA$52,MATCH($C43,'[2]SALES PERTYPE'!$B$10:$B$52,0),MATCH("V70 FE",'[2]SALES PERTYPE'!$D$8:$BA$8,0)),0)</f>
        <v>0</v>
      </c>
      <c r="BC43" s="33">
        <f>IFERROR(INDEX('[2]Sales per type Agustus'!$D$10:$BA$51,MATCH($C43,'[2]Sales per type Agustus'!$B$10:$B$51,0),MATCH("V70 FE",'[2]Sales per type Agustus'!$D$8:$BA$8,0)),0)</f>
        <v>0</v>
      </c>
      <c r="BD43" s="33">
        <f t="shared" si="16"/>
        <v>0</v>
      </c>
      <c r="BE43" s="33" cm="1">
        <f t="array" ref="BE43">IFERROR(INDEX('[2]SALES PERTYPE'!$D$10:$BA$52,MATCH($C43,'[2]SALES PERTYPE'!$B$10:$B$52,0),MATCH("V70 FE",'[2]SALES PERTYPE'!$D$8:$BA$8,0)+1),0)</f>
        <v>0</v>
      </c>
      <c r="BF43" s="33" cm="1">
        <f t="array" ref="BF43">IFERROR(INDEX('[2]Sales per type Agustus'!$D$10:$BA$51,MATCH($C43,'[2]Sales per type Agustus'!$B$10:$B$51,0),MATCH("V70 FE",'[2]Sales per type Agustus'!$D$8:$BA$8,0)+1),0)</f>
        <v>0</v>
      </c>
      <c r="BG43" s="33">
        <f t="shared" si="17"/>
        <v>0</v>
      </c>
      <c r="BH43" s="33">
        <f>IFERROR(INDEX('[2]SALES PERTYPE'!$D$10:$BA$52,MATCH($C43,'[2]SALES PERTYPE'!$B$10:$B$52,0),MATCH("Y31d",'[2]SALES PERTYPE'!$D$8:$BA$8,0)),0)</f>
        <v>0</v>
      </c>
      <c r="BI43" s="33">
        <f>IFERROR(INDEX('[2]Sales per type Agustus'!$D$10:$BA$51,MATCH($C43,'[2]Sales per type Agustus'!$B$10:$B$51,0),MATCH("Y31d",'[2]Sales per type Agustus'!$D$8:$BA$8,0)),0)</f>
        <v>0</v>
      </c>
      <c r="BJ43" s="33">
        <f t="shared" si="18"/>
        <v>0</v>
      </c>
      <c r="BK43" s="33" cm="1">
        <f t="array" ref="BK43">IFERROR(INDEX('[2]SALES PERTYPE'!$D$10:$BA$52,MATCH($C43,'[2]SALES PERTYPE'!$B$10:$B$52,0),MATCH("Y31d",'[2]SALES PERTYPE'!$D$8:$BA$8,0)+1),0)</f>
        <v>0</v>
      </c>
      <c r="BL43" s="33" cm="1">
        <f t="array" ref="BL43">IFERROR(INDEX('[2]Sales per type Agustus'!$D$10:$BA$51,MATCH($C43,'[2]Sales per type Agustus'!$B$10:$B$51,0),MATCH("Y31d",'[2]Sales per type Agustus'!$D$8:$BA$8,0)+1),0)</f>
        <v>0</v>
      </c>
      <c r="BM43" s="33">
        <f t="shared" si="19"/>
        <v>0</v>
      </c>
      <c r="BN43" s="33">
        <f>IFERROR(INDEX('[2]SALES PERTYPE'!$D$10:$BA$52,MATCH($C43,'[2]SALES PERTYPE'!$B$10:$B$52,0),MATCH("Y500",'[2]SALES PERTYPE'!$D$8:$BA$8,0)),0)</f>
        <v>0</v>
      </c>
      <c r="BO43" s="33">
        <f>IFERROR(INDEX('[2]Sales per type Agustus'!$D$10:$BA$51,MATCH($C43,'[2]Sales per type Agustus'!$B$10:$B$51,0),MATCH("Y500",'[2]Sales per type Agustus'!$D$8:$BA$8,0)),0)</f>
        <v>0</v>
      </c>
      <c r="BP43" s="33">
        <f t="shared" si="20"/>
        <v>0</v>
      </c>
      <c r="BQ43" s="33" cm="1">
        <f t="array" ref="BQ43">IFERROR(INDEX('[2]SALES PERTYPE'!$D$10:$BA$52,MATCH($C43,'[2]SALES PERTYPE'!$B$10:$B$52,0),MATCH("Y500",'[2]SALES PERTYPE'!$D$8:$BA$8,0)+1),0)</f>
        <v>0</v>
      </c>
      <c r="BR43" s="33" cm="1">
        <f t="array" ref="BR43">IFERROR(INDEX('[2]Sales per type Agustus'!$D$10:$BA$51,MATCH($C43,'[2]Sales per type Agustus'!$B$10:$B$51,0),MATCH("Y500",'[2]Sales per type Agustus'!$D$8:$BA$8,0)+1),0)</f>
        <v>0</v>
      </c>
      <c r="BS43" s="33">
        <f t="shared" si="21"/>
        <v>0</v>
      </c>
      <c r="BT43" s="33">
        <f>IFERROR(INDEX('[2]SALES PERTYPE'!$D$10:$BA$52,MATCH($C43,'[2]SALES PERTYPE'!$B$10:$B$52,0),MATCH("IQOO 15R",'[2]SALES PERTYPE'!$D$8:$BA$8,0)),0)</f>
        <v>0</v>
      </c>
      <c r="BU43" s="33">
        <f>IFERROR(INDEX('[2]Sales per type Agustus'!$D$10:$BA$51,MATCH($C43,'[2]Sales per type Agustus'!$B$10:$B$51,0),MATCH("IQOO 15R",'[2]Sales per type Agustus'!$D$8:$BA$8,0)),0)</f>
        <v>0</v>
      </c>
      <c r="BV43" s="33">
        <f t="shared" si="22"/>
        <v>0</v>
      </c>
      <c r="BW43" s="33" cm="1">
        <f t="array" ref="BW43">IFERROR(INDEX('[2]SALES PERTYPE'!$D$10:$BA$52,MATCH($C43,'[2]SALES PERTYPE'!$B$10:$B$52,0),MATCH("IQOO 15R",'[2]SALES PERTYPE'!$D$8:$BA$8,0)+1),0)</f>
        <v>0</v>
      </c>
      <c r="BX43" s="33" cm="1">
        <f t="array" ref="BX43">IFERROR(INDEX('[2]Sales per type Agustus'!$D$10:$BA$51,MATCH($C43,'[2]Sales per type Agustus'!$B$10:$B$51,0),MATCH("IQOO 15R",'[2]Sales per type Agustus'!$D$8:$BA$8,0)+1),0)</f>
        <v>0</v>
      </c>
      <c r="BY43" s="33">
        <f t="shared" si="23"/>
        <v>0</v>
      </c>
      <c r="BZ43" s="33">
        <f>IFERROR(INDEX('[2]SALES PERTYPE'!$D$10:$BA$52,MATCH($C43,'[2]SALES PERTYPE'!$B$10:$B$52,0),MATCH("V60 Lite",'[2]SALES PERTYPE'!$D$8:$BA$8,0)),0)</f>
        <v>2</v>
      </c>
      <c r="CA43" s="33">
        <f>IFERROR(INDEX('[2]Sales per type Agustus'!$D$10:$BA$51,MATCH($C43,'[2]Sales per type Agustus'!$B$10:$B$51,0),MATCH("V60 Lite",'[2]Sales per type Agustus'!$D$8:$BA$8,0)),0)</f>
        <v>0</v>
      </c>
      <c r="CB43" s="33">
        <f t="shared" si="24"/>
        <v>2</v>
      </c>
      <c r="CC43" s="33" cm="1">
        <f t="array" ref="CC43">IFERROR(INDEX('[2]SALES PERTYPE'!$D$10:$BA$52,MATCH($C43,'[2]SALES PERTYPE'!$B$10:$B$52,0),MATCH("V60 Lite",'[2]SALES PERTYPE'!$D$8:$BA$8,0)+1),0)</f>
        <v>11798000</v>
      </c>
      <c r="CD43" s="33" cm="1">
        <f t="array" ref="CD43">IFERROR(INDEX('[2]Sales per type Agustus'!$D$10:$BA$51,MATCH($C43,'[2]Sales per type Agustus'!$B$10:$B$51,0),MATCH("V60 Lite",'[2]Sales per type Agustus'!$D$8:$BA$8,0)+1),0)</f>
        <v>0</v>
      </c>
      <c r="CE43" s="33">
        <f t="shared" si="25"/>
        <v>11798000</v>
      </c>
      <c r="CF43" s="33">
        <f>IFERROR(INDEX('[2]SALES PERTYPE'!$D$10:$BA$52,MATCH($C43,'[2]SALES PERTYPE'!$B$10:$B$52,0),MATCH("X300 Ultra",'[2]SALES PERTYPE'!$D$8:$BA$8,0)),0)</f>
        <v>0</v>
      </c>
      <c r="CG43" s="33">
        <f>IFERROR(INDEX('[2]Sales per type Agustus'!$D$10:$BA$51,MATCH($C43,'[2]Sales per type Agustus'!$B$10:$B$51,0),MATCH("X300 Ultra",'[2]Sales per type Agustus'!$D$8:$BA$8,0)),0)</f>
        <v>0</v>
      </c>
      <c r="CH43" s="33">
        <f t="shared" si="26"/>
        <v>0</v>
      </c>
      <c r="CI43" s="33" cm="1">
        <f t="array" ref="CI43">IFERROR(INDEX('[2]SALES PERTYPE'!$D$10:$BA$52,MATCH($C43,'[2]SALES PERTYPE'!$B$10:$B$52,0),MATCH("X300 Ultra",'[2]SALES PERTYPE'!$D$8:$BA$8,0)+1),0)</f>
        <v>0</v>
      </c>
      <c r="CJ43" s="33" cm="1">
        <f t="array" ref="CJ43">IFERROR(INDEX('[2]Sales per type Agustus'!$D$10:$BA$51,MATCH($C43,'[2]Sales per type Agustus'!$B$10:$B$51,0),MATCH("X300 Ultra",'[2]Sales per type Agustus'!$D$8:$BA$8,0)+1),0)</f>
        <v>0</v>
      </c>
      <c r="CK43" s="33">
        <f t="shared" si="27"/>
        <v>0</v>
      </c>
      <c r="CL43" s="33">
        <f>IFERROR(INDEX('[2]SALES PERTYPE'!$D$10:$BA$52,MATCH($C43,'[2]SALES PERTYPE'!$B$10:$B$52,0),MATCH("IQOO 15",'[2]SALES PERTYPE'!$D$8:$BA$8,0)),0)</f>
        <v>0</v>
      </c>
      <c r="CM43" s="33">
        <f>IFERROR(INDEX('[2]Sales per type Agustus'!$D$10:$BA$51,MATCH($C43,'[2]Sales per type Agustus'!$B$10:$B$51,0),MATCH("IQOO 15",'[2]Sales per type Agustus'!$D$8:$BA$8,0)),0)</f>
        <v>0</v>
      </c>
      <c r="CN43" s="33">
        <f t="shared" si="28"/>
        <v>0</v>
      </c>
      <c r="CO43" s="33" cm="1">
        <f t="array" ref="CO43">IFERROR(INDEX('[2]SALES PERTYPE'!$D$10:$BA$52,MATCH($C43,'[2]SALES PERTYPE'!$B$10:$B$52,0),MATCH("IQOO 15",'[2]SALES PERTYPE'!$D$8:$BA$8,0)+1),0)</f>
        <v>0</v>
      </c>
      <c r="CP43" s="33" cm="1">
        <f t="array" ref="CP43">IFERROR(INDEX('[2]Sales per type Agustus'!$D$10:$BA$51,MATCH($C43,'[2]Sales per type Agustus'!$B$10:$B$51,0),MATCH("IQOO 15",'[2]Sales per type Agustus'!$D$8:$BA$8,0)+1),0)</f>
        <v>0</v>
      </c>
      <c r="CQ43" s="33">
        <f t="shared" si="29"/>
        <v>0</v>
      </c>
      <c r="CR43" s="33">
        <f>IFERROR(INDEX('[2]SALES PERTYPE'!$D$10:$BA$52,MATCH($C43,'[2]SALES PERTYPE'!$B$10:$B$52,0),MATCH("IQOO Z11x",'[2]SALES PERTYPE'!$D$8:$BA$8,0)),0)</f>
        <v>0</v>
      </c>
      <c r="CS43" s="33">
        <f>IFERROR(INDEX('[2]Sales per type Agustus'!$D$10:$BA$51,MATCH($C43,'[2]Sales per type Agustus'!$B$10:$B$51,0),MATCH("IQOO Z11x",'[2]Sales per type Agustus'!$D$8:$BA$8,0)),0)</f>
        <v>0</v>
      </c>
      <c r="CT43" s="33">
        <f t="shared" si="30"/>
        <v>0</v>
      </c>
      <c r="CU43" s="33" cm="1">
        <f t="array" ref="CU43">IFERROR(INDEX('[2]SALES PERTYPE'!$D$10:$BA$52,MATCH($C43,'[2]SALES PERTYPE'!$B$10:$B$52,0),MATCH("IQOO Z11x",'[2]SALES PERTYPE'!$D$8:$BA$8,0)+1),0)</f>
        <v>0</v>
      </c>
      <c r="CV43" s="33" cm="1">
        <f t="array" ref="CV43">IFERROR(INDEX('[2]Sales per type Agustus'!$D$10:$BA$51,MATCH($C43,'[2]Sales per type Agustus'!$B$10:$B$51,0),MATCH("IQOO Z11x",'[2]Sales per type Agustus'!$D$8:$BA$8,0)+1),0)</f>
        <v>0</v>
      </c>
      <c r="CW43" s="33">
        <f t="shared" si="31"/>
        <v>0</v>
      </c>
      <c r="CX43" s="33">
        <f>IFERROR(INDEX('[2]SALES PERTYPE'!$D$10:$BA$52,MATCH($C43,'[2]SALES PERTYPE'!$B$10:$B$52,0),MATCH("IQOO Z11",'[2]SALES PERTYPE'!$D$8:$BA$8,0)),0)</f>
        <v>1</v>
      </c>
      <c r="CY43" s="33">
        <f>IFERROR(INDEX('[2]Sales per type Agustus'!$D$10:$BA$51,MATCH($C43,'[2]Sales per type Agustus'!$B$10:$B$51,0),MATCH("IQOO Z11",'[2]Sales per type Agustus'!$D$8:$BA$8,0)),0)</f>
        <v>0</v>
      </c>
      <c r="CZ43" s="33">
        <f t="shared" si="32"/>
        <v>1</v>
      </c>
      <c r="DA43" s="33" cm="1">
        <f t="array" ref="DA43">IFERROR(INDEX('[2]SALES PERTYPE'!$D$10:$BA$52,MATCH($C43,'[2]SALES PERTYPE'!$B$10:$B$52,0),MATCH("IQOO Z11",'[2]SALES PERTYPE'!$D$8:$BA$8,0)+1),0)</f>
        <v>6899000</v>
      </c>
      <c r="DB43" s="33" cm="1">
        <f t="array" ref="DB43">IFERROR(INDEX('[2]Sales per type Agustus'!$D$10:$BA$51,MATCH($C43,'[2]Sales per type Agustus'!$B$10:$B$51,0),MATCH("IQOO Z11",'[2]Sales per type Agustus'!$D$8:$BA$8,0)+1),0)</f>
        <v>0</v>
      </c>
      <c r="DC43" s="33">
        <f t="shared" si="33"/>
        <v>6899000</v>
      </c>
      <c r="DD43" s="33">
        <f>IFERROR(INDEX('[2]SALES PERTYPE'!$D$10:$BA$52,MATCH($C43,'[2]SALES PERTYPE'!$B$10:$B$52,0),MATCH("WATCH 3",'[2]SALES PERTYPE'!$D$8:$BA$8,0)),0)</f>
        <v>0</v>
      </c>
      <c r="DE43" s="33">
        <f>IFERROR(INDEX('[2]Sales per type Agustus'!$D$10:$BA$51,MATCH($C43,'[2]Sales per type Agustus'!$B$10:$B$51,0),MATCH("WATCH 3",'[2]Sales per type Agustus'!$D$8:$BA$8,0)),0)</f>
        <v>0</v>
      </c>
      <c r="DF43" s="33">
        <f t="shared" si="34"/>
        <v>0</v>
      </c>
      <c r="DG43" s="33" cm="1">
        <f t="array" ref="DG43">IFERROR(INDEX('[2]SALES PERTYPE'!$D$10:$BA$52,MATCH($C43,'[2]SALES PERTYPE'!$B$10:$B$52,0),MATCH("WATCH 3",'[2]SALES PERTYPE'!$D$8:$BA$8,0)+1),0)</f>
        <v>0</v>
      </c>
      <c r="DH43" s="33" cm="1">
        <f t="array" ref="DH43">IFERROR(INDEX('[2]Sales per type Agustus'!$D$10:$BA$51,MATCH($C43,'[2]Sales per type Agustus'!$B$10:$B$51,0),MATCH("WATCH 3",'[2]Sales per type Agustus'!$D$8:$BA$8,0)+1),0)</f>
        <v>0</v>
      </c>
      <c r="DI43" s="33">
        <f t="shared" si="35"/>
        <v>0</v>
      </c>
      <c r="DJ43" s="33">
        <f>IFERROR(INDEX('[2]SALES PERTYPE'!$D$10:$BA$52,MATCH($C43,'[2]SALES PERTYPE'!$B$10:$B$52,0),MATCH("X Fold5",'[2]SALES PERTYPE'!$D$8:$BA$8,0)),0)</f>
        <v>0</v>
      </c>
      <c r="DK43" s="33">
        <f>IFERROR(INDEX('[2]Sales per type Agustus'!$D$10:$BA$51,MATCH($C43,'[2]Sales per type Agustus'!$B$10:$B$51,0),MATCH("X Fold5",'[2]Sales per type Agustus'!$D$8:$BA$8,0)),0)</f>
        <v>0</v>
      </c>
      <c r="DL43" s="33">
        <f t="shared" si="36"/>
        <v>0</v>
      </c>
      <c r="DM43" s="33" cm="1">
        <f t="array" ref="DM43">IFERROR(INDEX('[2]SALES PERTYPE'!$D$10:$BA$52,MATCH($C43,'[2]SALES PERTYPE'!$B$10:$B$52,0),MATCH("X Fold5",'[2]SALES PERTYPE'!$D$8:$BA$8,0)+1),0)</f>
        <v>0</v>
      </c>
      <c r="DN43" s="33" cm="1">
        <f t="array" ref="DN43">IFERROR(INDEX('[2]Sales per type Agustus'!$D$10:$BA$51,MATCH($C43,'[2]Sales per type Agustus'!$B$10:$B$51,0),MATCH("X Fold5",'[2]Sales per type Agustus'!$D$8:$BA$8,0)+1),0)</f>
        <v>0</v>
      </c>
      <c r="DO43" s="33">
        <f t="shared" si="37"/>
        <v>0</v>
      </c>
      <c r="DP43" s="33">
        <f>IFERROR(INDEX('[2]SALES PERTYPE'!$D$10:$BA$52,MATCH($C43,'[2]SALES PERTYPE'!$B$10:$B$52,0),MATCH("X300 PRO",'[2]SALES PERTYPE'!$D$8:$BA$8,0)),0)</f>
        <v>0</v>
      </c>
      <c r="DQ43" s="33">
        <f>IFERROR(INDEX('[2]Sales per type Agustus'!$D$10:$BA$51,MATCH($C43,'[2]Sales per type Agustus'!$B$10:$B$51,0),MATCH("X300 PRO",'[2]Sales per type Agustus'!$D$8:$BA$8,0)),0)</f>
        <v>0</v>
      </c>
      <c r="DR43" s="33">
        <f t="shared" si="38"/>
        <v>0</v>
      </c>
      <c r="DS43" s="33" cm="1">
        <f t="array" ref="DS43">IFERROR(INDEX('[2]SALES PERTYPE'!$D$10:$BA$52,MATCH($C43,'[2]SALES PERTYPE'!$B$10:$B$52,0),MATCH("X300 PRO",'[2]SALES PERTYPE'!$D$8:$BA$8,0)+1),0)</f>
        <v>0</v>
      </c>
      <c r="DT43" s="33" cm="1">
        <f t="array" ref="DT43">IFERROR(INDEX('[2]Sales per type Agustus'!$D$10:$BA$51,MATCH($C43,'[2]Sales per type Agustus'!$B$10:$B$51,0),MATCH("X300 PRO",'[2]Sales per type Agustus'!$D$8:$BA$8,0)+1),0)</f>
        <v>0</v>
      </c>
      <c r="DU43" s="33">
        <f t="shared" si="39"/>
        <v>0</v>
      </c>
      <c r="DV43" s="33">
        <f>IFERROR(INDEX('[2]SALES PERTYPE'!$D$10:$BA$52,MATCH($C43,'[2]SALES PERTYPE'!$B$10:$B$52,0),MATCH("X300",'[2]SALES PERTYPE'!$D$8:$BA$8,0)),0)</f>
        <v>0</v>
      </c>
      <c r="DW43" s="33">
        <f>IFERROR(INDEX('[2]Sales per type Agustus'!$D$10:$BA$51,MATCH($C43,'[2]Sales per type Agustus'!$B$10:$B$51,0),MATCH("X300 ",'[2]Sales per type Agustus'!$D$8:$BA$8,0)),0)</f>
        <v>0</v>
      </c>
      <c r="DX43" s="33">
        <f t="shared" si="40"/>
        <v>0</v>
      </c>
      <c r="DY43" s="33" cm="1">
        <f t="array" ref="DY43">IFERROR(INDEX('[2]SALES PERTYPE'!$D$10:$BA$52,MATCH($C43,'[2]SALES PERTYPE'!$B$10:$B$52,0),MATCH("X300",'[2]SALES PERTYPE'!$D$8:$BA$8,0)+1),0)</f>
        <v>0</v>
      </c>
      <c r="DZ43" s="33" cm="1">
        <f t="array" ref="DZ43">IFERROR(INDEX('[2]Sales per type Agustus'!$D$10:$BA$51,MATCH($C43,'[2]Sales per type Agustus'!$B$10:$B$51,0),MATCH("X300 ",'[2]Sales per type Agustus'!$D$8:$BA$8,0)+1),0)</f>
        <v>0</v>
      </c>
      <c r="EA43" s="33">
        <f t="shared" si="41"/>
        <v>0</v>
      </c>
      <c r="EB43" s="33">
        <f t="shared" si="42"/>
        <v>3</v>
      </c>
      <c r="EC43" s="33">
        <f t="shared" si="42"/>
        <v>0</v>
      </c>
      <c r="ED43" s="33">
        <f t="shared" si="43"/>
        <v>3</v>
      </c>
      <c r="EE43" s="33">
        <f t="shared" si="44"/>
        <v>18697000</v>
      </c>
      <c r="EF43" s="33">
        <f t="shared" si="44"/>
        <v>0</v>
      </c>
      <c r="EG43" s="33">
        <f t="shared" si="45"/>
        <v>18697000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5">
        <f>'[2]ACHIEVEMENT STORE'!A44</f>
        <v>40</v>
      </c>
      <c r="B44" s="216" t="str">
        <f>'[2]ACHIEVEMENT STORE'!B44</f>
        <v>中爪哇西 - Purwokerto</v>
      </c>
      <c r="C44" s="215">
        <f>'[2]ACHIEVEMENT STORE'!C44</f>
        <v>6130702</v>
      </c>
      <c r="D44" s="216" t="str">
        <f>'[2]ACHIEVEMENT STORE'!D44</f>
        <v>6130702-RITA SUPERMALL SF36-37</v>
      </c>
      <c r="E44" s="216" t="str">
        <f>'[2]ACHIEVEMENT STORE'!E44</f>
        <v>FRISKA FAJAR</v>
      </c>
      <c r="F44" s="33">
        <f>IFERROR(INDEX('[2]SALES PERTYPE'!$D$10:$BA$52,MATCH($C44,'[2]SALES PERTYPE'!$B$10:$B$52,0),MATCH("Y05",'[2]SALES PERTYPE'!$D$8:$BA$8,0)),0)</f>
        <v>2</v>
      </c>
      <c r="G44" s="33">
        <f>IFERROR(INDEX('[2]Sales per type Agustus'!$D$10:$BA$51,MATCH($C44,'[2]Sales per type Agustus'!$B$10:$B$51,0),MATCH("Y05",'[2]Sales per type Agustus'!$D$8:$BA$8,0)),0)</f>
        <v>2</v>
      </c>
      <c r="H44" s="33">
        <f t="shared" si="0"/>
        <v>0</v>
      </c>
      <c r="I44" s="33" cm="1">
        <f t="array" ref="I44">IFERROR(INDEX('[2]SALES PERTYPE'!$D$10:$BA$52,MATCH($C44,'[2]SALES PERTYPE'!$B$10:$B$52,0),MATCH("Y05",'[2]SALES PERTYPE'!$D$8:$BA$8,0)+1),0)</f>
        <v>5198000</v>
      </c>
      <c r="J44" s="33" cm="1">
        <f t="array" ref="J44">IFERROR(INDEX('[2]Sales per type Agustus'!$D$10:$BA$51,MATCH($C44,'[2]Sales per type Agustus'!$B$10:$B$51,0),MATCH("Y05",'[2]Sales per type Agustus'!$D$8:$BA$8,0)+1),0)</f>
        <v>4598000</v>
      </c>
      <c r="K44" s="33">
        <f t="shared" si="1"/>
        <v>600000</v>
      </c>
      <c r="L44" s="33">
        <f>IFERROR(INDEX('[2]SALES PERTYPE'!$D$10:$BA$52,MATCH($C44,'[2]SALES PERTYPE'!$B$10:$B$52,0),MATCH("Y11d",'[2]SALES PERTYPE'!$D$8:$BA$8,0)),0)</f>
        <v>1</v>
      </c>
      <c r="M44" s="33">
        <f>IFERROR(INDEX('[2]Sales per type Agustus'!$D$10:$BA$51,MATCH($C44,'[2]Sales per type Agustus'!$B$10:$B$51,0),MATCH("Y11d",'[2]Sales per type Agustus'!$D$8:$BA$8,0)),0)</f>
        <v>1</v>
      </c>
      <c r="N44" s="33">
        <f t="shared" si="2"/>
        <v>0</v>
      </c>
      <c r="O44" s="33" cm="1">
        <f t="array" ref="O44">IFERROR(INDEX('[2]SALES PERTYPE'!$D$10:$BA$52,MATCH($C44,'[2]SALES PERTYPE'!$B$10:$B$52,0),MATCH("Y11d",'[2]SALES PERTYPE'!$D$8:$BA$8,0)+1),0)</f>
        <v>2399000</v>
      </c>
      <c r="P44" s="33" cm="1">
        <f t="array" ref="P44">IFERROR(INDEX('[2]Sales per type Agustus'!$D$10:$BA$51,MATCH($C44,'[2]Sales per type Agustus'!$B$10:$B$51,0),MATCH("Y11d",'[2]Sales per type Agustus'!$D$8:$BA$8,0)+1),0)</f>
        <v>2799000</v>
      </c>
      <c r="Q44" s="33">
        <f t="shared" si="3"/>
        <v>-400000</v>
      </c>
      <c r="R44" s="33">
        <f>IFERROR(INDEX('[2]SALES PERTYPE'!$D$10:$BA$52,MATCH($C44,'[2]SALES PERTYPE'!$B$10:$B$52,0),MATCH("Watch GT 2",'[2]SALES PERTYPE'!$D$8:$BA$8,0)),0)</f>
        <v>0</v>
      </c>
      <c r="S44" s="33">
        <f>IFERROR(INDEX('[2]Sales per type Agustus'!$D$10:$BA$51,MATCH($C44,'[2]Sales per type Agustus'!$B$10:$B$51,0),MATCH("Watch GT 2",'[2]Sales per type Agustus'!$D$8:$BA$8,0)),0)</f>
        <v>0</v>
      </c>
      <c r="T44" s="33">
        <f t="shared" si="4"/>
        <v>0</v>
      </c>
      <c r="U44" s="33" cm="1">
        <f t="array" ref="U44">IFERROR(INDEX('[2]SALES PERTYPE'!$D$10:$BA$52,MATCH($C44,'[2]SALES PERTYPE'!$B$10:$B$52,0),MATCH("Watch GT 2",'[2]SALES PERTYPE'!$D$8:$BA$8,0)+1),0)</f>
        <v>0</v>
      </c>
      <c r="V44" s="33" cm="1">
        <f t="array" ref="V44">IFERROR(INDEX('[2]Sales per type Agustus'!$D$10:$BA$51,MATCH($C44,'[2]Sales per type Agustus'!$B$10:$B$51,0),MATCH("Watch GT 2",'[2]Sales per type Agustus'!$D$8:$BA$8,0)+1),0)</f>
        <v>0</v>
      </c>
      <c r="W44" s="33">
        <f t="shared" si="5"/>
        <v>0</v>
      </c>
      <c r="X44" s="33">
        <f>IFERROR(INDEX('[2]SALES PERTYPE'!$D$10:$BA$52,MATCH($C44,'[2]SALES PERTYPE'!$B$10:$B$52,0),MATCH("Y05e",'[2]SALES PERTYPE'!$D$8:$BA$8,0)),0)</f>
        <v>1</v>
      </c>
      <c r="Y44" s="33">
        <f>IFERROR(INDEX('[2]Sales per type Agustus'!$D$10:$BA$51,MATCH($C44,'[2]Sales per type Agustus'!$B$10:$B$51,0),MATCH("Y05e",'[2]Sales per type Agustus'!$D$8:$BA$8,0)),0)</f>
        <v>0</v>
      </c>
      <c r="Z44" s="33">
        <f t="shared" si="6"/>
        <v>1</v>
      </c>
      <c r="AA44" s="33" cm="1">
        <f t="array" ref="AA44">IFERROR(INDEX('[2]SALES PERTYPE'!$D$10:$BA$52,MATCH($C44,'[2]SALES PERTYPE'!$B$10:$B$52,0),MATCH("Y05e",'[2]SALES PERTYPE'!$D$8:$BA$8,0)+1),0)</f>
        <v>2099000</v>
      </c>
      <c r="AB44" s="33" cm="1">
        <f t="array" ref="AB44">IFERROR(INDEX('[2]Sales per type Agustus'!$D$10:$BA$51,MATCH($C44,'[2]Sales per type Agustus'!$B$10:$B$51,0),MATCH("Y05e",'[2]Sales per type Agustus'!$D$8:$BA$8,0)+1),0)</f>
        <v>0</v>
      </c>
      <c r="AC44" s="33">
        <f t="shared" si="7"/>
        <v>2099000</v>
      </c>
      <c r="AD44" s="33">
        <f>IFERROR(INDEX('[2]SALES PERTYPE'!$D$10:$BA$52,MATCH($C44,'[2]SALES PERTYPE'!$B$10:$B$52,0),MATCH("V70",'[2]SALES PERTYPE'!$D$8:$BA$8,0)),0)</f>
        <v>0</v>
      </c>
      <c r="AE44" s="33">
        <f>IFERROR(INDEX('[2]Sales per type Agustus'!$D$10:$BA$51,MATCH($C44,'[2]Sales per type Agustus'!$B$10:$B$51,0),MATCH("V70",'[2]Sales per type Agustus'!$D$8:$BA$8,0)),0)</f>
        <v>1</v>
      </c>
      <c r="AF44" s="33">
        <f t="shared" si="8"/>
        <v>-1</v>
      </c>
      <c r="AG44" s="33" cm="1">
        <f t="array" ref="AG44">IFERROR(INDEX('[2]SALES PERTYPE'!$D$10:$BA$52,MATCH($C44,'[2]SALES PERTYPE'!$B$10:$B$52,0),MATCH("V70",'[2]SALES PERTYPE'!$D$8:$BA$8,0)+1),0)</f>
        <v>0</v>
      </c>
      <c r="AH44" s="33" cm="1">
        <f t="array" ref="AH44">IFERROR(INDEX('[2]Sales per type Agustus'!$D$10:$BA$51,MATCH($C44,'[2]Sales per type Agustus'!$B$10:$B$51,0),MATCH("V70",'[2]Sales per type Agustus'!$D$8:$BA$8,0)+1),0)</f>
        <v>8999000</v>
      </c>
      <c r="AI44" s="33">
        <f t="shared" si="9"/>
        <v>-8999000</v>
      </c>
      <c r="AJ44" s="33">
        <f>IFERROR(INDEX('[2]SALES PERTYPE'!$D$10:$BA$52,MATCH($C44,'[2]SALES PERTYPE'!$B$10:$B$52,0),MATCH("Y31d Pro",'[2]SALES PERTYPE'!$D$8:$BA$8,0)),0)</f>
        <v>1</v>
      </c>
      <c r="AK44" s="33">
        <f>IFERROR(INDEX('[2]Sales per type Agustus'!$D$10:$BA$51,MATCH($C44,'[2]Sales per type Agustus'!$B$10:$B$51,0),MATCH("Y31d Pro",'[2]Sales per type Agustus'!$D$8:$BA$8,0)),0)</f>
        <v>2</v>
      </c>
      <c r="AL44" s="33">
        <f t="shared" si="10"/>
        <v>-1</v>
      </c>
      <c r="AM44" s="33" cm="1">
        <f t="array" ref="AM44">IFERROR(INDEX('[2]SALES PERTYPE'!$D$10:$BA$52,MATCH($C44,'[2]SALES PERTYPE'!$B$10:$B$52,0),MATCH("Y31d Pro",'[2]SALES PERTYPE'!$D$8:$BA$8,0)+1),0)</f>
        <v>4299000</v>
      </c>
      <c r="AN44" s="33" cm="1">
        <f t="array" ref="AN44">IFERROR(INDEX('[2]Sales per type Agustus'!$D$10:$BA$51,MATCH($C44,'[2]Sales per type Agustus'!$B$10:$B$51,0),MATCH("Y31d Pro",'[2]Sales per type Agustus'!$D$8:$BA$8,0)+1),0)</f>
        <v>9198000</v>
      </c>
      <c r="AO44" s="33">
        <f t="shared" si="11"/>
        <v>-4899000</v>
      </c>
      <c r="AP44" s="33" cm="1">
        <f t="array" ref="AP44">IFERROR(INDEX('[2]SALES PERTYPE'!$D$10:$BA$52,MATCH($C44,'[2]SALES PERTYPE'!$B$10:$B$52,0),$EI$3),0)</f>
        <v>0</v>
      </c>
      <c r="AQ44" s="33" cm="1">
        <f t="array" ref="AQ44">IFERROR(INDEX('[2]Sales per type Agustus'!$D$10:$BA$51,MATCH($C44,'[2]Sales per type Agustus'!$B$10:$B$51,0),$EI$2),0)</f>
        <v>0</v>
      </c>
      <c r="AR44" s="33">
        <f t="shared" si="12"/>
        <v>0</v>
      </c>
      <c r="AS44" s="33" cm="1">
        <f t="array" ref="AS44">IFERROR(INDEX('[2]SALES PERTYPE'!$D$10:$BA$52,MATCH($C44,'[2]SALES PERTYPE'!$B$10:$B$52,0),$EI$3+1),0)</f>
        <v>0</v>
      </c>
      <c r="AT44" s="33" cm="1">
        <f t="array" ref="AT44">IFERROR(INDEX('[2]Sales per type Agustus'!$D$10:$BA$51,MATCH($C44,'[2]Sales per type Agustus'!$B$10:$B$51,0),$EI$2+1),0)</f>
        <v>0</v>
      </c>
      <c r="AU44" s="33">
        <f t="shared" si="13"/>
        <v>0</v>
      </c>
      <c r="AV44" s="33">
        <f>IFERROR(INDEX('[2]SALES PERTYPE'!$D$10:$BA$52,MATCH($C44,'[2]SALES PERTYPE'!$B$10:$B$52,0),MATCH("Y31d ",'[2]SALES PERTYPE'!$D$8:$BA$8,0)),0)</f>
        <v>0</v>
      </c>
      <c r="AW44" s="33">
        <f>IFERROR(INDEX('[2]Sales per type Agustus'!$D$10:$BA$51,MATCH($C44,'[2]Sales per type Agustus'!$B$10:$B$51,0),MATCH("Y31d ",'[2]Sales per type Agustus'!$D$8:$BA$8,0)),0)</f>
        <v>0</v>
      </c>
      <c r="AX44" s="33">
        <f t="shared" si="14"/>
        <v>0</v>
      </c>
      <c r="AY44" s="33" cm="1">
        <f t="array" ref="AY44">IFERROR(INDEX('[2]SALES PERTYPE'!$D$10:$BA$52,MATCH($C44,'[2]SALES PERTYPE'!$B$10:$B$52,0),MATCH("Y31d ",'[2]SALES PERTYPE'!$D$8:$BA$8,0)+1),0)</f>
        <v>0</v>
      </c>
      <c r="AZ44" s="33" cm="1">
        <f t="array" ref="AZ44">IFERROR(INDEX('[2]Sales per type Agustus'!$D$10:$BA$51,MATCH($C44,'[2]Sales per type Agustus'!$B$10:$B$51,0),MATCH("Y31d ",'[2]Sales per type Agustus'!$D$8:$BA$8,0)+1),0)</f>
        <v>0</v>
      </c>
      <c r="BA44" s="33">
        <f t="shared" si="15"/>
        <v>0</v>
      </c>
      <c r="BB44" s="33">
        <f>IFERROR(INDEX('[2]SALES PERTYPE'!$D$10:$BA$52,MATCH($C44,'[2]SALES PERTYPE'!$B$10:$B$52,0),MATCH("V70 FE",'[2]SALES PERTYPE'!$D$8:$BA$8,0)),0)</f>
        <v>0</v>
      </c>
      <c r="BC44" s="33">
        <f>IFERROR(INDEX('[2]Sales per type Agustus'!$D$10:$BA$51,MATCH($C44,'[2]Sales per type Agustus'!$B$10:$B$51,0),MATCH("V70 FE",'[2]Sales per type Agustus'!$D$8:$BA$8,0)),0)</f>
        <v>2</v>
      </c>
      <c r="BD44" s="33">
        <f t="shared" si="16"/>
        <v>-2</v>
      </c>
      <c r="BE44" s="33" cm="1">
        <f t="array" ref="BE44">IFERROR(INDEX('[2]SALES PERTYPE'!$D$10:$BA$52,MATCH($C44,'[2]SALES PERTYPE'!$B$10:$B$52,0),MATCH("V70 FE",'[2]SALES PERTYPE'!$D$8:$BA$8,0)+1),0)</f>
        <v>0</v>
      </c>
      <c r="BF44" s="33" cm="1">
        <f t="array" ref="BF44">IFERROR(INDEX('[2]Sales per type Agustus'!$D$10:$BA$51,MATCH($C44,'[2]Sales per type Agustus'!$B$10:$B$51,0),MATCH("V70 FE",'[2]Sales per type Agustus'!$D$8:$BA$8,0)+1),0)</f>
        <v>13998000</v>
      </c>
      <c r="BG44" s="33">
        <f t="shared" si="17"/>
        <v>-13998000</v>
      </c>
      <c r="BH44" s="33">
        <f>IFERROR(INDEX('[2]SALES PERTYPE'!$D$10:$BA$52,MATCH($C44,'[2]SALES PERTYPE'!$B$10:$B$52,0),MATCH("Y31d",'[2]SALES PERTYPE'!$D$8:$BA$8,0)),0)</f>
        <v>0</v>
      </c>
      <c r="BI44" s="33">
        <f>IFERROR(INDEX('[2]Sales per type Agustus'!$D$10:$BA$51,MATCH($C44,'[2]Sales per type Agustus'!$B$10:$B$51,0),MATCH("Y31d",'[2]Sales per type Agustus'!$D$8:$BA$8,0)),0)</f>
        <v>0</v>
      </c>
      <c r="BJ44" s="33">
        <f t="shared" si="18"/>
        <v>0</v>
      </c>
      <c r="BK44" s="33" cm="1">
        <f t="array" ref="BK44">IFERROR(INDEX('[2]SALES PERTYPE'!$D$10:$BA$52,MATCH($C44,'[2]SALES PERTYPE'!$B$10:$B$52,0),MATCH("Y31d",'[2]SALES PERTYPE'!$D$8:$BA$8,0)+1),0)</f>
        <v>0</v>
      </c>
      <c r="BL44" s="33" cm="1">
        <f t="array" ref="BL44">IFERROR(INDEX('[2]Sales per type Agustus'!$D$10:$BA$51,MATCH($C44,'[2]Sales per type Agustus'!$B$10:$B$51,0),MATCH("Y31d",'[2]Sales per type Agustus'!$D$8:$BA$8,0)+1),0)</f>
        <v>0</v>
      </c>
      <c r="BM44" s="33">
        <f t="shared" si="19"/>
        <v>0</v>
      </c>
      <c r="BN44" s="33">
        <f>IFERROR(INDEX('[2]SALES PERTYPE'!$D$10:$BA$52,MATCH($C44,'[2]SALES PERTYPE'!$B$10:$B$52,0),MATCH("Y500",'[2]SALES PERTYPE'!$D$8:$BA$8,0)),0)</f>
        <v>0</v>
      </c>
      <c r="BO44" s="33">
        <f>IFERROR(INDEX('[2]Sales per type Agustus'!$D$10:$BA$51,MATCH($C44,'[2]Sales per type Agustus'!$B$10:$B$51,0),MATCH("Y500",'[2]Sales per type Agustus'!$D$8:$BA$8,0)),0)</f>
        <v>0</v>
      </c>
      <c r="BP44" s="33">
        <f t="shared" si="20"/>
        <v>0</v>
      </c>
      <c r="BQ44" s="33" cm="1">
        <f t="array" ref="BQ44">IFERROR(INDEX('[2]SALES PERTYPE'!$D$10:$BA$52,MATCH($C44,'[2]SALES PERTYPE'!$B$10:$B$52,0),MATCH("Y500",'[2]SALES PERTYPE'!$D$8:$BA$8,0)+1),0)</f>
        <v>0</v>
      </c>
      <c r="BR44" s="33" cm="1">
        <f t="array" ref="BR44">IFERROR(INDEX('[2]Sales per type Agustus'!$D$10:$BA$51,MATCH($C44,'[2]Sales per type Agustus'!$B$10:$B$51,0),MATCH("Y500",'[2]Sales per type Agustus'!$D$8:$BA$8,0)+1),0)</f>
        <v>0</v>
      </c>
      <c r="BS44" s="33">
        <f t="shared" si="21"/>
        <v>0</v>
      </c>
      <c r="BT44" s="33">
        <f>IFERROR(INDEX('[2]SALES PERTYPE'!$D$10:$BA$52,MATCH($C44,'[2]SALES PERTYPE'!$B$10:$B$52,0),MATCH("IQOO 15R",'[2]SALES PERTYPE'!$D$8:$BA$8,0)),0)</f>
        <v>0</v>
      </c>
      <c r="BU44" s="33">
        <f>IFERROR(INDEX('[2]Sales per type Agustus'!$D$10:$BA$51,MATCH($C44,'[2]Sales per type Agustus'!$B$10:$B$51,0),MATCH("IQOO 15R",'[2]Sales per type Agustus'!$D$8:$BA$8,0)),0)</f>
        <v>0</v>
      </c>
      <c r="BV44" s="33">
        <f t="shared" si="22"/>
        <v>0</v>
      </c>
      <c r="BW44" s="33" cm="1">
        <f t="array" ref="BW44">IFERROR(INDEX('[2]SALES PERTYPE'!$D$10:$BA$52,MATCH($C44,'[2]SALES PERTYPE'!$B$10:$B$52,0),MATCH("IQOO 15R",'[2]SALES PERTYPE'!$D$8:$BA$8,0)+1),0)</f>
        <v>0</v>
      </c>
      <c r="BX44" s="33" cm="1">
        <f t="array" ref="BX44">IFERROR(INDEX('[2]Sales per type Agustus'!$D$10:$BA$51,MATCH($C44,'[2]Sales per type Agustus'!$B$10:$B$51,0),MATCH("IQOO 15R",'[2]Sales per type Agustus'!$D$8:$BA$8,0)+1),0)</f>
        <v>0</v>
      </c>
      <c r="BY44" s="33">
        <f t="shared" si="23"/>
        <v>0</v>
      </c>
      <c r="BZ44" s="33">
        <f>IFERROR(INDEX('[2]SALES PERTYPE'!$D$10:$BA$52,MATCH($C44,'[2]SALES PERTYPE'!$B$10:$B$52,0),MATCH("V60 Lite",'[2]SALES PERTYPE'!$D$8:$BA$8,0)),0)</f>
        <v>2</v>
      </c>
      <c r="CA44" s="33">
        <f>IFERROR(INDEX('[2]Sales per type Agustus'!$D$10:$BA$51,MATCH($C44,'[2]Sales per type Agustus'!$B$10:$B$51,0),MATCH("V60 Lite",'[2]Sales per type Agustus'!$D$8:$BA$8,0)),0)</f>
        <v>0</v>
      </c>
      <c r="CB44" s="33">
        <f t="shared" si="24"/>
        <v>2</v>
      </c>
      <c r="CC44" s="33" cm="1">
        <f t="array" ref="CC44">IFERROR(INDEX('[2]SALES PERTYPE'!$D$10:$BA$52,MATCH($C44,'[2]SALES PERTYPE'!$B$10:$B$52,0),MATCH("V60 Lite",'[2]SALES PERTYPE'!$D$8:$BA$8,0)+1),0)</f>
        <v>11798000</v>
      </c>
      <c r="CD44" s="33" cm="1">
        <f t="array" ref="CD44">IFERROR(INDEX('[2]Sales per type Agustus'!$D$10:$BA$51,MATCH($C44,'[2]Sales per type Agustus'!$B$10:$B$51,0),MATCH("V60 Lite",'[2]Sales per type Agustus'!$D$8:$BA$8,0)+1),0)</f>
        <v>0</v>
      </c>
      <c r="CE44" s="33">
        <f t="shared" si="25"/>
        <v>11798000</v>
      </c>
      <c r="CF44" s="33">
        <f>IFERROR(INDEX('[2]SALES PERTYPE'!$D$10:$BA$52,MATCH($C44,'[2]SALES PERTYPE'!$B$10:$B$52,0),MATCH("X300 Ultra",'[2]SALES PERTYPE'!$D$8:$BA$8,0)),0)</f>
        <v>0</v>
      </c>
      <c r="CG44" s="33">
        <f>IFERROR(INDEX('[2]Sales per type Agustus'!$D$10:$BA$51,MATCH($C44,'[2]Sales per type Agustus'!$B$10:$B$51,0),MATCH("X300 Ultra",'[2]Sales per type Agustus'!$D$8:$BA$8,0)),0)</f>
        <v>0</v>
      </c>
      <c r="CH44" s="33">
        <f t="shared" si="26"/>
        <v>0</v>
      </c>
      <c r="CI44" s="33" cm="1">
        <f t="array" ref="CI44">IFERROR(INDEX('[2]SALES PERTYPE'!$D$10:$BA$52,MATCH($C44,'[2]SALES PERTYPE'!$B$10:$B$52,0),MATCH("X300 Ultra",'[2]SALES PERTYPE'!$D$8:$BA$8,0)+1),0)</f>
        <v>0</v>
      </c>
      <c r="CJ44" s="33" cm="1">
        <f t="array" ref="CJ44">IFERROR(INDEX('[2]Sales per type Agustus'!$D$10:$BA$51,MATCH($C44,'[2]Sales per type Agustus'!$B$10:$B$51,0),MATCH("X300 Ultra",'[2]Sales per type Agustus'!$D$8:$BA$8,0)+1),0)</f>
        <v>0</v>
      </c>
      <c r="CK44" s="33">
        <f t="shared" si="27"/>
        <v>0</v>
      </c>
      <c r="CL44" s="33">
        <f>IFERROR(INDEX('[2]SALES PERTYPE'!$D$10:$BA$52,MATCH($C44,'[2]SALES PERTYPE'!$B$10:$B$52,0),MATCH("IQOO 15",'[2]SALES PERTYPE'!$D$8:$BA$8,0)),0)</f>
        <v>0</v>
      </c>
      <c r="CM44" s="33">
        <f>IFERROR(INDEX('[2]Sales per type Agustus'!$D$10:$BA$51,MATCH($C44,'[2]Sales per type Agustus'!$B$10:$B$51,0),MATCH("IQOO 15",'[2]Sales per type Agustus'!$D$8:$BA$8,0)),0)</f>
        <v>0</v>
      </c>
      <c r="CN44" s="33">
        <f t="shared" si="28"/>
        <v>0</v>
      </c>
      <c r="CO44" s="33" cm="1">
        <f t="array" ref="CO44">IFERROR(INDEX('[2]SALES PERTYPE'!$D$10:$BA$52,MATCH($C44,'[2]SALES PERTYPE'!$B$10:$B$52,0),MATCH("IQOO 15",'[2]SALES PERTYPE'!$D$8:$BA$8,0)+1),0)</f>
        <v>0</v>
      </c>
      <c r="CP44" s="33" cm="1">
        <f t="array" ref="CP44">IFERROR(INDEX('[2]Sales per type Agustus'!$D$10:$BA$51,MATCH($C44,'[2]Sales per type Agustus'!$B$10:$B$51,0),MATCH("IQOO 15",'[2]Sales per type Agustus'!$D$8:$BA$8,0)+1),0)</f>
        <v>0</v>
      </c>
      <c r="CQ44" s="33">
        <f t="shared" si="29"/>
        <v>0</v>
      </c>
      <c r="CR44" s="33">
        <f>IFERROR(INDEX('[2]SALES PERTYPE'!$D$10:$BA$52,MATCH($C44,'[2]SALES PERTYPE'!$B$10:$B$52,0),MATCH("IQOO Z11x",'[2]SALES PERTYPE'!$D$8:$BA$8,0)),0)</f>
        <v>0</v>
      </c>
      <c r="CS44" s="33">
        <f>IFERROR(INDEX('[2]Sales per type Agustus'!$D$10:$BA$51,MATCH($C44,'[2]Sales per type Agustus'!$B$10:$B$51,0),MATCH("IQOO Z11x",'[2]Sales per type Agustus'!$D$8:$BA$8,0)),0)</f>
        <v>0</v>
      </c>
      <c r="CT44" s="33">
        <f t="shared" si="30"/>
        <v>0</v>
      </c>
      <c r="CU44" s="33" cm="1">
        <f t="array" ref="CU44">IFERROR(INDEX('[2]SALES PERTYPE'!$D$10:$BA$52,MATCH($C44,'[2]SALES PERTYPE'!$B$10:$B$52,0),MATCH("IQOO Z11x",'[2]SALES PERTYPE'!$D$8:$BA$8,0)+1),0)</f>
        <v>0</v>
      </c>
      <c r="CV44" s="33" cm="1">
        <f t="array" ref="CV44">IFERROR(INDEX('[2]Sales per type Agustus'!$D$10:$BA$51,MATCH($C44,'[2]Sales per type Agustus'!$B$10:$B$51,0),MATCH("IQOO Z11x",'[2]Sales per type Agustus'!$D$8:$BA$8,0)+1),0)</f>
        <v>0</v>
      </c>
      <c r="CW44" s="33">
        <f t="shared" si="31"/>
        <v>0</v>
      </c>
      <c r="CX44" s="33">
        <f>IFERROR(INDEX('[2]SALES PERTYPE'!$D$10:$BA$52,MATCH($C44,'[2]SALES PERTYPE'!$B$10:$B$52,0),MATCH("IQOO Z11",'[2]SALES PERTYPE'!$D$8:$BA$8,0)),0)</f>
        <v>0</v>
      </c>
      <c r="CY44" s="33">
        <f>IFERROR(INDEX('[2]Sales per type Agustus'!$D$10:$BA$51,MATCH($C44,'[2]Sales per type Agustus'!$B$10:$B$51,0),MATCH("IQOO Z11",'[2]Sales per type Agustus'!$D$8:$BA$8,0)),0)</f>
        <v>2</v>
      </c>
      <c r="CZ44" s="33">
        <f t="shared" si="32"/>
        <v>-2</v>
      </c>
      <c r="DA44" s="33" cm="1">
        <f t="array" ref="DA44">IFERROR(INDEX('[2]SALES PERTYPE'!$D$10:$BA$52,MATCH($C44,'[2]SALES PERTYPE'!$B$10:$B$52,0),MATCH("IQOO Z11",'[2]SALES PERTYPE'!$D$8:$BA$8,0)+1),0)</f>
        <v>0</v>
      </c>
      <c r="DB44" s="33" cm="1">
        <f t="array" ref="DB44">IFERROR(INDEX('[2]Sales per type Agustus'!$D$10:$BA$51,MATCH($C44,'[2]Sales per type Agustus'!$B$10:$B$51,0),MATCH("IQOO Z11",'[2]Sales per type Agustus'!$D$8:$BA$8,0)+1),0)</f>
        <v>15098000</v>
      </c>
      <c r="DC44" s="33">
        <f t="shared" si="33"/>
        <v>-15098000</v>
      </c>
      <c r="DD44" s="33">
        <f>IFERROR(INDEX('[2]SALES PERTYPE'!$D$10:$BA$52,MATCH($C44,'[2]SALES PERTYPE'!$B$10:$B$52,0),MATCH("WATCH 3",'[2]SALES PERTYPE'!$D$8:$BA$8,0)),0)</f>
        <v>0</v>
      </c>
      <c r="DE44" s="33">
        <f>IFERROR(INDEX('[2]Sales per type Agustus'!$D$10:$BA$51,MATCH($C44,'[2]Sales per type Agustus'!$B$10:$B$51,0),MATCH("WATCH 3",'[2]Sales per type Agustus'!$D$8:$BA$8,0)),0)</f>
        <v>0</v>
      </c>
      <c r="DF44" s="33">
        <f t="shared" si="34"/>
        <v>0</v>
      </c>
      <c r="DG44" s="33" cm="1">
        <f t="array" ref="DG44">IFERROR(INDEX('[2]SALES PERTYPE'!$D$10:$BA$52,MATCH($C44,'[2]SALES PERTYPE'!$B$10:$B$52,0),MATCH("WATCH 3",'[2]SALES PERTYPE'!$D$8:$BA$8,0)+1),0)</f>
        <v>0</v>
      </c>
      <c r="DH44" s="33" cm="1">
        <f t="array" ref="DH44">IFERROR(INDEX('[2]Sales per type Agustus'!$D$10:$BA$51,MATCH($C44,'[2]Sales per type Agustus'!$B$10:$B$51,0),MATCH("WATCH 3",'[2]Sales per type Agustus'!$D$8:$BA$8,0)+1),0)</f>
        <v>0</v>
      </c>
      <c r="DI44" s="33">
        <f t="shared" si="35"/>
        <v>0</v>
      </c>
      <c r="DJ44" s="33">
        <f>IFERROR(INDEX('[2]SALES PERTYPE'!$D$10:$BA$52,MATCH($C44,'[2]SALES PERTYPE'!$B$10:$B$52,0),MATCH("X Fold5",'[2]SALES PERTYPE'!$D$8:$BA$8,0)),0)</f>
        <v>0</v>
      </c>
      <c r="DK44" s="33">
        <f>IFERROR(INDEX('[2]Sales per type Agustus'!$D$10:$BA$51,MATCH($C44,'[2]Sales per type Agustus'!$B$10:$B$51,0),MATCH("X Fold5",'[2]Sales per type Agustus'!$D$8:$BA$8,0)),0)</f>
        <v>0</v>
      </c>
      <c r="DL44" s="33">
        <f t="shared" si="36"/>
        <v>0</v>
      </c>
      <c r="DM44" s="33" cm="1">
        <f t="array" ref="DM44">IFERROR(INDEX('[2]SALES PERTYPE'!$D$10:$BA$52,MATCH($C44,'[2]SALES PERTYPE'!$B$10:$B$52,0),MATCH("X Fold5",'[2]SALES PERTYPE'!$D$8:$BA$8,0)+1),0)</f>
        <v>0</v>
      </c>
      <c r="DN44" s="33" cm="1">
        <f t="array" ref="DN44">IFERROR(INDEX('[2]Sales per type Agustus'!$D$10:$BA$51,MATCH($C44,'[2]Sales per type Agustus'!$B$10:$B$51,0),MATCH("X Fold5",'[2]Sales per type Agustus'!$D$8:$BA$8,0)+1),0)</f>
        <v>0</v>
      </c>
      <c r="DO44" s="33">
        <f t="shared" si="37"/>
        <v>0</v>
      </c>
      <c r="DP44" s="33">
        <f>IFERROR(INDEX('[2]SALES PERTYPE'!$D$10:$BA$52,MATCH($C44,'[2]SALES PERTYPE'!$B$10:$B$52,0),MATCH("X300 PRO",'[2]SALES PERTYPE'!$D$8:$BA$8,0)),0)</f>
        <v>0</v>
      </c>
      <c r="DQ44" s="33">
        <f>IFERROR(INDEX('[2]Sales per type Agustus'!$D$10:$BA$51,MATCH($C44,'[2]Sales per type Agustus'!$B$10:$B$51,0),MATCH("X300 PRO",'[2]Sales per type Agustus'!$D$8:$BA$8,0)),0)</f>
        <v>0</v>
      </c>
      <c r="DR44" s="33">
        <f t="shared" si="38"/>
        <v>0</v>
      </c>
      <c r="DS44" s="33" cm="1">
        <f t="array" ref="DS44">IFERROR(INDEX('[2]SALES PERTYPE'!$D$10:$BA$52,MATCH($C44,'[2]SALES PERTYPE'!$B$10:$B$52,0),MATCH("X300 PRO",'[2]SALES PERTYPE'!$D$8:$BA$8,0)+1),0)</f>
        <v>0</v>
      </c>
      <c r="DT44" s="33" cm="1">
        <f t="array" ref="DT44">IFERROR(INDEX('[2]Sales per type Agustus'!$D$10:$BA$51,MATCH($C44,'[2]Sales per type Agustus'!$B$10:$B$51,0),MATCH("X300 PRO",'[2]Sales per type Agustus'!$D$8:$BA$8,0)+1),0)</f>
        <v>0</v>
      </c>
      <c r="DU44" s="33">
        <f t="shared" si="39"/>
        <v>0</v>
      </c>
      <c r="DV44" s="33">
        <f>IFERROR(INDEX('[2]SALES PERTYPE'!$D$10:$BA$52,MATCH($C44,'[2]SALES PERTYPE'!$B$10:$B$52,0),MATCH("X300",'[2]SALES PERTYPE'!$D$8:$BA$8,0)),0)</f>
        <v>0</v>
      </c>
      <c r="DW44" s="33">
        <f>IFERROR(INDEX('[2]Sales per type Agustus'!$D$10:$BA$51,MATCH($C44,'[2]Sales per type Agustus'!$B$10:$B$51,0),MATCH("X300 ",'[2]Sales per type Agustus'!$D$8:$BA$8,0)),0)</f>
        <v>0</v>
      </c>
      <c r="DX44" s="33">
        <f t="shared" si="40"/>
        <v>0</v>
      </c>
      <c r="DY44" s="33" cm="1">
        <f t="array" ref="DY44">IFERROR(INDEX('[2]SALES PERTYPE'!$D$10:$BA$52,MATCH($C44,'[2]SALES PERTYPE'!$B$10:$B$52,0),MATCH("X300",'[2]SALES PERTYPE'!$D$8:$BA$8,0)+1),0)</f>
        <v>0</v>
      </c>
      <c r="DZ44" s="33" cm="1">
        <f t="array" ref="DZ44">IFERROR(INDEX('[2]Sales per type Agustus'!$D$10:$BA$51,MATCH($C44,'[2]Sales per type Agustus'!$B$10:$B$51,0),MATCH("X300 ",'[2]Sales per type Agustus'!$D$8:$BA$8,0)+1),0)</f>
        <v>0</v>
      </c>
      <c r="EA44" s="33">
        <f t="shared" si="41"/>
        <v>0</v>
      </c>
      <c r="EB44" s="33">
        <f t="shared" si="42"/>
        <v>7</v>
      </c>
      <c r="EC44" s="33">
        <f t="shared" si="42"/>
        <v>10</v>
      </c>
      <c r="ED44" s="33">
        <f t="shared" si="43"/>
        <v>-3</v>
      </c>
      <c r="EE44" s="33">
        <f t="shared" si="44"/>
        <v>25793000</v>
      </c>
      <c r="EF44" s="33">
        <f t="shared" si="44"/>
        <v>54690000</v>
      </c>
      <c r="EG44" s="33">
        <f t="shared" si="45"/>
        <v>-28897000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'[2]ACHIEVEMENT STORE'!A45</f>
        <v>41</v>
      </c>
      <c r="B45" s="32" t="str">
        <f>'[2]ACHIEVEMENT STORE'!B45</f>
        <v>614 三宝垄 Semarang</v>
      </c>
      <c r="C45" s="31">
        <f>'[2]ACHIEVEMENT STORE'!C45</f>
        <v>6100702</v>
      </c>
      <c r="D45" s="32" t="str">
        <f>'[2]ACHIEVEMENT STORE'!D45</f>
        <v>6100702-Jogja City Mall VIVO STORE</v>
      </c>
      <c r="E45" s="32" t="str">
        <f>'[2]ACHIEVEMENT STORE'!E45</f>
        <v>BIRILYAN KUSWARA</v>
      </c>
      <c r="F45" s="33">
        <f>IFERROR(INDEX('[2]SALES PERTYPE'!$D$10:$BA$52,MATCH($C45,'[2]SALES PERTYPE'!$B$10:$B$52,0),MATCH("Y05",'[2]SALES PERTYPE'!$D$8:$BA$8,0)),0)</f>
        <v>1</v>
      </c>
      <c r="G45" s="33">
        <f>IFERROR(INDEX('[2]Sales per type Agustus'!$D$10:$BA$51,MATCH($C45,'[2]Sales per type Agustus'!$B$10:$B$51,0),MATCH("Y05",'[2]Sales per type Agustus'!$D$8:$BA$8,0)),0)</f>
        <v>0</v>
      </c>
      <c r="H45" s="33">
        <f t="shared" si="0"/>
        <v>1</v>
      </c>
      <c r="I45" s="33" cm="1">
        <f t="array" ref="I45">IFERROR(INDEX('[2]SALES PERTYPE'!$D$10:$BA$52,MATCH($C45,'[2]SALES PERTYPE'!$B$10:$B$52,0),MATCH("Y05",'[2]SALES PERTYPE'!$D$8:$BA$8,0)+1),0)</f>
        <v>2299000</v>
      </c>
      <c r="J45" s="33" cm="1">
        <f t="array" ref="J45">IFERROR(INDEX('[2]Sales per type Agustus'!$D$10:$BA$51,MATCH($C45,'[2]Sales per type Agustus'!$B$10:$B$51,0),MATCH("Y05",'[2]Sales per type Agustus'!$D$8:$BA$8,0)+1),0)</f>
        <v>0</v>
      </c>
      <c r="K45" s="33">
        <f t="shared" si="1"/>
        <v>2299000</v>
      </c>
      <c r="L45" s="33">
        <f>IFERROR(INDEX('[2]SALES PERTYPE'!$D$10:$BA$52,MATCH($C45,'[2]SALES PERTYPE'!$B$10:$B$52,0),MATCH("Y11d",'[2]SALES PERTYPE'!$D$8:$BA$8,0)),0)</f>
        <v>0</v>
      </c>
      <c r="M45" s="33">
        <f>IFERROR(INDEX('[2]Sales per type Agustus'!$D$10:$BA$51,MATCH($C45,'[2]Sales per type Agustus'!$B$10:$B$51,0),MATCH("Y11d",'[2]Sales per type Agustus'!$D$8:$BA$8,0)),0)</f>
        <v>2</v>
      </c>
      <c r="N45" s="33">
        <f t="shared" si="2"/>
        <v>-2</v>
      </c>
      <c r="O45" s="33" cm="1">
        <f t="array" ref="O45">IFERROR(INDEX('[2]SALES PERTYPE'!$D$10:$BA$52,MATCH($C45,'[2]SALES PERTYPE'!$B$10:$B$52,0),MATCH("Y11d",'[2]SALES PERTYPE'!$D$8:$BA$8,0)+1),0)</f>
        <v>0</v>
      </c>
      <c r="P45" s="33" cm="1">
        <f t="array" ref="P45">IFERROR(INDEX('[2]Sales per type Agustus'!$D$10:$BA$51,MATCH($C45,'[2]Sales per type Agustus'!$B$10:$B$51,0),MATCH("Y11d",'[2]Sales per type Agustus'!$D$8:$BA$8,0)+1),0)</f>
        <v>5198000</v>
      </c>
      <c r="Q45" s="33">
        <f t="shared" si="3"/>
        <v>-5198000</v>
      </c>
      <c r="R45" s="33">
        <f>IFERROR(INDEX('[2]SALES PERTYPE'!$D$10:$BA$52,MATCH($C45,'[2]SALES PERTYPE'!$B$10:$B$52,0),MATCH("Watch GT 2",'[2]SALES PERTYPE'!$D$8:$BA$8,0)),0)</f>
        <v>0</v>
      </c>
      <c r="S45" s="33">
        <f>IFERROR(INDEX('[2]Sales per type Agustus'!$D$10:$BA$51,MATCH($C45,'[2]Sales per type Agustus'!$B$10:$B$51,0),MATCH("Watch GT 2",'[2]Sales per type Agustus'!$D$8:$BA$8,0)),0)</f>
        <v>0</v>
      </c>
      <c r="T45" s="33">
        <f t="shared" si="4"/>
        <v>0</v>
      </c>
      <c r="U45" s="33" cm="1">
        <f t="array" ref="U45">IFERROR(INDEX('[2]SALES PERTYPE'!$D$10:$BA$52,MATCH($C45,'[2]SALES PERTYPE'!$B$10:$B$52,0),MATCH("Watch GT 2",'[2]SALES PERTYPE'!$D$8:$BA$8,0)+1),0)</f>
        <v>0</v>
      </c>
      <c r="V45" s="33" cm="1">
        <f t="array" ref="V45">IFERROR(INDEX('[2]Sales per type Agustus'!$D$10:$BA$51,MATCH($C45,'[2]Sales per type Agustus'!$B$10:$B$51,0),MATCH("Watch GT 2",'[2]Sales per type Agustus'!$D$8:$BA$8,0)+1),0)</f>
        <v>0</v>
      </c>
      <c r="W45" s="33">
        <f t="shared" si="5"/>
        <v>0</v>
      </c>
      <c r="X45" s="33">
        <f>IFERROR(INDEX('[2]SALES PERTYPE'!$D$10:$BA$52,MATCH($C45,'[2]SALES PERTYPE'!$B$10:$B$52,0),MATCH("Y05e",'[2]SALES PERTYPE'!$D$8:$BA$8,0)),0)</f>
        <v>0</v>
      </c>
      <c r="Y45" s="33">
        <f>IFERROR(INDEX('[2]Sales per type Agustus'!$D$10:$BA$51,MATCH($C45,'[2]Sales per type Agustus'!$B$10:$B$51,0),MATCH("Y05e",'[2]Sales per type Agustus'!$D$8:$BA$8,0)),0)</f>
        <v>1</v>
      </c>
      <c r="Z45" s="33">
        <f t="shared" si="6"/>
        <v>-1</v>
      </c>
      <c r="AA45" s="33" cm="1">
        <f t="array" ref="AA45">IFERROR(INDEX('[2]SALES PERTYPE'!$D$10:$BA$52,MATCH($C45,'[2]SALES PERTYPE'!$B$10:$B$52,0),MATCH("Y05e",'[2]SALES PERTYPE'!$D$8:$BA$8,0)+1),0)</f>
        <v>0</v>
      </c>
      <c r="AB45" s="33" cm="1">
        <f t="array" ref="AB45">IFERROR(INDEX('[2]Sales per type Agustus'!$D$10:$BA$51,MATCH($C45,'[2]Sales per type Agustus'!$B$10:$B$51,0),MATCH("Y05e",'[2]Sales per type Agustus'!$D$8:$BA$8,0)+1),0)</f>
        <v>2099000</v>
      </c>
      <c r="AC45" s="33">
        <f t="shared" si="7"/>
        <v>-2099000</v>
      </c>
      <c r="AD45" s="33">
        <f>IFERROR(INDEX('[2]SALES PERTYPE'!$D$10:$BA$52,MATCH($C45,'[2]SALES PERTYPE'!$B$10:$B$52,0),MATCH("V70",'[2]SALES PERTYPE'!$D$8:$BA$8,0)),0)</f>
        <v>2</v>
      </c>
      <c r="AE45" s="33">
        <f>IFERROR(INDEX('[2]Sales per type Agustus'!$D$10:$BA$51,MATCH($C45,'[2]Sales per type Agustus'!$B$10:$B$51,0),MATCH("V70",'[2]Sales per type Agustus'!$D$8:$BA$8,0)),0)</f>
        <v>0</v>
      </c>
      <c r="AF45" s="33">
        <f t="shared" si="8"/>
        <v>2</v>
      </c>
      <c r="AG45" s="33" cm="1">
        <f t="array" ref="AG45">IFERROR(INDEX('[2]SALES PERTYPE'!$D$10:$BA$52,MATCH($C45,'[2]SALES PERTYPE'!$B$10:$B$52,0),MATCH("V70",'[2]SALES PERTYPE'!$D$8:$BA$8,0)+1),0)</f>
        <v>19998000</v>
      </c>
      <c r="AH45" s="33" cm="1">
        <f t="array" ref="AH45">IFERROR(INDEX('[2]Sales per type Agustus'!$D$10:$BA$51,MATCH($C45,'[2]Sales per type Agustus'!$B$10:$B$51,0),MATCH("V70",'[2]Sales per type Agustus'!$D$8:$BA$8,0)+1),0)</f>
        <v>0</v>
      </c>
      <c r="AI45" s="33">
        <f t="shared" si="9"/>
        <v>19998000</v>
      </c>
      <c r="AJ45" s="33">
        <f>IFERROR(INDEX('[2]SALES PERTYPE'!$D$10:$BA$52,MATCH($C45,'[2]SALES PERTYPE'!$B$10:$B$52,0),MATCH("Y31d Pro",'[2]SALES PERTYPE'!$D$8:$BA$8,0)),0)</f>
        <v>0</v>
      </c>
      <c r="AK45" s="33">
        <f>IFERROR(INDEX('[2]Sales per type Agustus'!$D$10:$BA$51,MATCH($C45,'[2]Sales per type Agustus'!$B$10:$B$51,0),MATCH("Y31d Pro",'[2]Sales per type Agustus'!$D$8:$BA$8,0)),0)</f>
        <v>2</v>
      </c>
      <c r="AL45" s="33">
        <f t="shared" si="10"/>
        <v>-2</v>
      </c>
      <c r="AM45" s="33" cm="1">
        <f t="array" ref="AM45">IFERROR(INDEX('[2]SALES PERTYPE'!$D$10:$BA$52,MATCH($C45,'[2]SALES PERTYPE'!$B$10:$B$52,0),MATCH("Y31d Pro",'[2]SALES PERTYPE'!$D$8:$BA$8,0)+1),0)</f>
        <v>0</v>
      </c>
      <c r="AN45" s="33" cm="1">
        <f t="array" ref="AN45">IFERROR(INDEX('[2]Sales per type Agustus'!$D$10:$BA$51,MATCH($C45,'[2]Sales per type Agustus'!$B$10:$B$51,0),MATCH("Y31d Pro",'[2]Sales per type Agustus'!$D$8:$BA$8,0)+1),0)</f>
        <v>8198000</v>
      </c>
      <c r="AO45" s="33">
        <f t="shared" si="11"/>
        <v>-8198000</v>
      </c>
      <c r="AP45" s="33" cm="1">
        <f t="array" ref="AP45">IFERROR(INDEX('[2]SALES PERTYPE'!$D$10:$BA$52,MATCH($C45,'[2]SALES PERTYPE'!$B$10:$B$52,0),$EI$3),0)</f>
        <v>0</v>
      </c>
      <c r="AQ45" s="33" cm="1">
        <f t="array" ref="AQ45">IFERROR(INDEX('[2]Sales per type Agustus'!$D$10:$BA$51,MATCH($C45,'[2]Sales per type Agustus'!$B$10:$B$51,0),$EI$2),0)</f>
        <v>0</v>
      </c>
      <c r="AR45" s="33">
        <f t="shared" si="12"/>
        <v>0</v>
      </c>
      <c r="AS45" s="33" cm="1">
        <f t="array" ref="AS45">IFERROR(INDEX('[2]SALES PERTYPE'!$D$10:$BA$52,MATCH($C45,'[2]SALES PERTYPE'!$B$10:$B$52,0),$EI$3+1),0)</f>
        <v>0</v>
      </c>
      <c r="AT45" s="33" cm="1">
        <f t="array" ref="AT45">IFERROR(INDEX('[2]Sales per type Agustus'!$D$10:$BA$51,MATCH($C45,'[2]Sales per type Agustus'!$B$10:$B$51,0),$EI$2+1),0)</f>
        <v>0</v>
      </c>
      <c r="AU45" s="33">
        <f t="shared" si="13"/>
        <v>0</v>
      </c>
      <c r="AV45" s="33">
        <f>IFERROR(INDEX('[2]SALES PERTYPE'!$D$10:$BA$52,MATCH($C45,'[2]SALES PERTYPE'!$B$10:$B$52,0),MATCH("Y31d ",'[2]SALES PERTYPE'!$D$8:$BA$8,0)),0)</f>
        <v>0</v>
      </c>
      <c r="AW45" s="33">
        <f>IFERROR(INDEX('[2]Sales per type Agustus'!$D$10:$BA$51,MATCH($C45,'[2]Sales per type Agustus'!$B$10:$B$51,0),MATCH("Y31d ",'[2]Sales per type Agustus'!$D$8:$BA$8,0)),0)</f>
        <v>1</v>
      </c>
      <c r="AX45" s="33">
        <f t="shared" si="14"/>
        <v>-1</v>
      </c>
      <c r="AY45" s="33" cm="1">
        <f t="array" ref="AY45">IFERROR(INDEX('[2]SALES PERTYPE'!$D$10:$BA$52,MATCH($C45,'[2]SALES PERTYPE'!$B$10:$B$52,0),MATCH("Y31d ",'[2]SALES PERTYPE'!$D$8:$BA$8,0)+1),0)</f>
        <v>0</v>
      </c>
      <c r="AZ45" s="33" cm="1">
        <f t="array" ref="AZ45">IFERROR(INDEX('[2]Sales per type Agustus'!$D$10:$BA$51,MATCH($C45,'[2]Sales per type Agustus'!$B$10:$B$51,0),MATCH("Y31d ",'[2]Sales per type Agustus'!$D$8:$BA$8,0)+1),0)</f>
        <v>3599000</v>
      </c>
      <c r="BA45" s="33">
        <f t="shared" si="15"/>
        <v>-3599000</v>
      </c>
      <c r="BB45" s="33">
        <f>IFERROR(INDEX('[2]SALES PERTYPE'!$D$10:$BA$52,MATCH($C45,'[2]SALES PERTYPE'!$B$10:$B$52,0),MATCH("V70 FE",'[2]SALES PERTYPE'!$D$8:$BA$8,0)),0)</f>
        <v>1</v>
      </c>
      <c r="BC45" s="33">
        <f>IFERROR(INDEX('[2]Sales per type Agustus'!$D$10:$BA$51,MATCH($C45,'[2]Sales per type Agustus'!$B$10:$B$51,0),MATCH("V70 FE",'[2]Sales per type Agustus'!$D$8:$BA$8,0)),0)</f>
        <v>0</v>
      </c>
      <c r="BD45" s="33">
        <f t="shared" si="16"/>
        <v>1</v>
      </c>
      <c r="BE45" s="33" cm="1">
        <f t="array" ref="BE45">IFERROR(INDEX('[2]SALES PERTYPE'!$D$10:$BA$52,MATCH($C45,'[2]SALES PERTYPE'!$B$10:$B$52,0),MATCH("V70 FE",'[2]SALES PERTYPE'!$D$8:$BA$8,0)+1),0)</f>
        <v>6999000</v>
      </c>
      <c r="BF45" s="33" cm="1">
        <f t="array" ref="BF45">IFERROR(INDEX('[2]Sales per type Agustus'!$D$10:$BA$51,MATCH($C45,'[2]Sales per type Agustus'!$B$10:$B$51,0),MATCH("V70 FE",'[2]Sales per type Agustus'!$D$8:$BA$8,0)+1),0)</f>
        <v>0</v>
      </c>
      <c r="BG45" s="33">
        <f t="shared" si="17"/>
        <v>6999000</v>
      </c>
      <c r="BH45" s="33">
        <f>IFERROR(INDEX('[2]SALES PERTYPE'!$D$10:$BA$52,MATCH($C45,'[2]SALES PERTYPE'!$B$10:$B$52,0),MATCH("Y31d",'[2]SALES PERTYPE'!$D$8:$BA$8,0)),0)</f>
        <v>1</v>
      </c>
      <c r="BI45" s="33">
        <f>IFERROR(INDEX('[2]Sales per type Agustus'!$D$10:$BA$51,MATCH($C45,'[2]Sales per type Agustus'!$B$10:$B$51,0),MATCH("Y31d",'[2]Sales per type Agustus'!$D$8:$BA$8,0)),0)</f>
        <v>2</v>
      </c>
      <c r="BJ45" s="33">
        <f t="shared" si="18"/>
        <v>-1</v>
      </c>
      <c r="BK45" s="33" cm="1">
        <f t="array" ref="BK45">IFERROR(INDEX('[2]SALES PERTYPE'!$D$10:$BA$52,MATCH($C45,'[2]SALES PERTYPE'!$B$10:$B$52,0),MATCH("Y31d",'[2]SALES PERTYPE'!$D$8:$BA$8,0)+1),0)</f>
        <v>3599000</v>
      </c>
      <c r="BL45" s="33" cm="1">
        <f t="array" ref="BL45">IFERROR(INDEX('[2]Sales per type Agustus'!$D$10:$BA$51,MATCH($C45,'[2]Sales per type Agustus'!$B$10:$B$51,0),MATCH("Y31d",'[2]Sales per type Agustus'!$D$8:$BA$8,0)+1),0)</f>
        <v>7198000</v>
      </c>
      <c r="BM45" s="33">
        <f t="shared" si="19"/>
        <v>-3599000</v>
      </c>
      <c r="BN45" s="33">
        <f>IFERROR(INDEX('[2]SALES PERTYPE'!$D$10:$BA$52,MATCH($C45,'[2]SALES PERTYPE'!$B$10:$B$52,0),MATCH("Y500",'[2]SALES PERTYPE'!$D$8:$BA$8,0)),0)</f>
        <v>1</v>
      </c>
      <c r="BO45" s="33">
        <f>IFERROR(INDEX('[2]Sales per type Agustus'!$D$10:$BA$51,MATCH($C45,'[2]Sales per type Agustus'!$B$10:$B$51,0),MATCH("Y500",'[2]Sales per type Agustus'!$D$8:$BA$8,0)),0)</f>
        <v>0</v>
      </c>
      <c r="BP45" s="33">
        <f t="shared" si="20"/>
        <v>1</v>
      </c>
      <c r="BQ45" s="33" cm="1">
        <f t="array" ref="BQ45">IFERROR(INDEX('[2]SALES PERTYPE'!$D$10:$BA$52,MATCH($C45,'[2]SALES PERTYPE'!$B$10:$B$52,0),MATCH("Y500",'[2]SALES PERTYPE'!$D$8:$BA$8,0)+1),0)</f>
        <v>6299000</v>
      </c>
      <c r="BR45" s="33" cm="1">
        <f t="array" ref="BR45">IFERROR(INDEX('[2]Sales per type Agustus'!$D$10:$BA$51,MATCH($C45,'[2]Sales per type Agustus'!$B$10:$B$51,0),MATCH("Y500",'[2]Sales per type Agustus'!$D$8:$BA$8,0)+1),0)</f>
        <v>0</v>
      </c>
      <c r="BS45" s="33">
        <f t="shared" si="21"/>
        <v>6299000</v>
      </c>
      <c r="BT45" s="33">
        <f>IFERROR(INDEX('[2]SALES PERTYPE'!$D$10:$BA$52,MATCH($C45,'[2]SALES PERTYPE'!$B$10:$B$52,0),MATCH("IQOO 15R",'[2]SALES PERTYPE'!$D$8:$BA$8,0)),0)</f>
        <v>0</v>
      </c>
      <c r="BU45" s="33">
        <f>IFERROR(INDEX('[2]Sales per type Agustus'!$D$10:$BA$51,MATCH($C45,'[2]Sales per type Agustus'!$B$10:$B$51,0),MATCH("IQOO 15R",'[2]Sales per type Agustus'!$D$8:$BA$8,0)),0)</f>
        <v>1</v>
      </c>
      <c r="BV45" s="33">
        <f t="shared" si="22"/>
        <v>-1</v>
      </c>
      <c r="BW45" s="33" cm="1">
        <f t="array" ref="BW45">IFERROR(INDEX('[2]SALES PERTYPE'!$D$10:$BA$52,MATCH($C45,'[2]SALES PERTYPE'!$B$10:$B$52,0),MATCH("IQOO 15R",'[2]SALES PERTYPE'!$D$8:$BA$8,0)+1),0)</f>
        <v>0</v>
      </c>
      <c r="BX45" s="33" cm="1">
        <f t="array" ref="BX45">IFERROR(INDEX('[2]Sales per type Agustus'!$D$10:$BA$51,MATCH($C45,'[2]Sales per type Agustus'!$B$10:$B$51,0),MATCH("IQOO 15R",'[2]Sales per type Agustus'!$D$8:$BA$8,0)+1),0)</f>
        <v>11999000</v>
      </c>
      <c r="BY45" s="33">
        <f t="shared" si="23"/>
        <v>-11999000</v>
      </c>
      <c r="BZ45" s="33">
        <f>IFERROR(INDEX('[2]SALES PERTYPE'!$D$10:$BA$52,MATCH($C45,'[2]SALES PERTYPE'!$B$10:$B$52,0),MATCH("V60 Lite",'[2]SALES PERTYPE'!$D$8:$BA$8,0)),0)</f>
        <v>0</v>
      </c>
      <c r="CA45" s="33">
        <f>IFERROR(INDEX('[2]Sales per type Agustus'!$D$10:$BA$51,MATCH($C45,'[2]Sales per type Agustus'!$B$10:$B$51,0),MATCH("V60 Lite",'[2]Sales per type Agustus'!$D$8:$BA$8,0)),0)</f>
        <v>1</v>
      </c>
      <c r="CB45" s="33">
        <f t="shared" si="24"/>
        <v>-1</v>
      </c>
      <c r="CC45" s="33" cm="1">
        <f t="array" ref="CC45">IFERROR(INDEX('[2]SALES PERTYPE'!$D$10:$BA$52,MATCH($C45,'[2]SALES PERTYPE'!$B$10:$B$52,0),MATCH("V60 Lite",'[2]SALES PERTYPE'!$D$8:$BA$8,0)+1),0)</f>
        <v>0</v>
      </c>
      <c r="CD45" s="33" cm="1">
        <f t="array" ref="CD45">IFERROR(INDEX('[2]Sales per type Agustus'!$D$10:$BA$51,MATCH($C45,'[2]Sales per type Agustus'!$B$10:$B$51,0),MATCH("V60 Lite",'[2]Sales per type Agustus'!$D$8:$BA$8,0)+1),0)</f>
        <v>5899000</v>
      </c>
      <c r="CE45" s="33">
        <f t="shared" si="25"/>
        <v>-5899000</v>
      </c>
      <c r="CF45" s="33">
        <f>IFERROR(INDEX('[2]SALES PERTYPE'!$D$10:$BA$52,MATCH($C45,'[2]SALES PERTYPE'!$B$10:$B$52,0),MATCH("X300 Ultra",'[2]SALES PERTYPE'!$D$8:$BA$8,0)),0)</f>
        <v>0</v>
      </c>
      <c r="CG45" s="33">
        <f>IFERROR(INDEX('[2]Sales per type Agustus'!$D$10:$BA$51,MATCH($C45,'[2]Sales per type Agustus'!$B$10:$B$51,0),MATCH("X300 Ultra",'[2]Sales per type Agustus'!$D$8:$BA$8,0)),0)</f>
        <v>0</v>
      </c>
      <c r="CH45" s="33">
        <f t="shared" si="26"/>
        <v>0</v>
      </c>
      <c r="CI45" s="33" cm="1">
        <f t="array" ref="CI45">IFERROR(INDEX('[2]SALES PERTYPE'!$D$10:$BA$52,MATCH($C45,'[2]SALES PERTYPE'!$B$10:$B$52,0),MATCH("X300 Ultra",'[2]SALES PERTYPE'!$D$8:$BA$8,0)+1),0)</f>
        <v>0</v>
      </c>
      <c r="CJ45" s="33" cm="1">
        <f t="array" ref="CJ45">IFERROR(INDEX('[2]Sales per type Agustus'!$D$10:$BA$51,MATCH($C45,'[2]Sales per type Agustus'!$B$10:$B$51,0),MATCH("X300 Ultra",'[2]Sales per type Agustus'!$D$8:$BA$8,0)+1),0)</f>
        <v>0</v>
      </c>
      <c r="CK45" s="33">
        <f t="shared" si="27"/>
        <v>0</v>
      </c>
      <c r="CL45" s="33">
        <f>IFERROR(INDEX('[2]SALES PERTYPE'!$D$10:$BA$52,MATCH($C45,'[2]SALES PERTYPE'!$B$10:$B$52,0),MATCH("IQOO 15",'[2]SALES PERTYPE'!$D$8:$BA$8,0)),0)</f>
        <v>0</v>
      </c>
      <c r="CM45" s="33">
        <f>IFERROR(INDEX('[2]Sales per type Agustus'!$D$10:$BA$51,MATCH($C45,'[2]Sales per type Agustus'!$B$10:$B$51,0),MATCH("IQOO 15",'[2]Sales per type Agustus'!$D$8:$BA$8,0)),0)</f>
        <v>0</v>
      </c>
      <c r="CN45" s="33">
        <f t="shared" si="28"/>
        <v>0</v>
      </c>
      <c r="CO45" s="33" cm="1">
        <f t="array" ref="CO45">IFERROR(INDEX('[2]SALES PERTYPE'!$D$10:$BA$52,MATCH($C45,'[2]SALES PERTYPE'!$B$10:$B$52,0),MATCH("IQOO 15",'[2]SALES PERTYPE'!$D$8:$BA$8,0)+1),0)</f>
        <v>0</v>
      </c>
      <c r="CP45" s="33" cm="1">
        <f t="array" ref="CP45">IFERROR(INDEX('[2]Sales per type Agustus'!$D$10:$BA$51,MATCH($C45,'[2]Sales per type Agustus'!$B$10:$B$51,0),MATCH("IQOO 15",'[2]Sales per type Agustus'!$D$8:$BA$8,0)+1),0)</f>
        <v>0</v>
      </c>
      <c r="CQ45" s="33">
        <f t="shared" si="29"/>
        <v>0</v>
      </c>
      <c r="CR45" s="33">
        <f>IFERROR(INDEX('[2]SALES PERTYPE'!$D$10:$BA$52,MATCH($C45,'[2]SALES PERTYPE'!$B$10:$B$52,0),MATCH("IQOO Z11x",'[2]SALES PERTYPE'!$D$8:$BA$8,0)),0)</f>
        <v>0</v>
      </c>
      <c r="CS45" s="33">
        <f>IFERROR(INDEX('[2]Sales per type Agustus'!$D$10:$BA$51,MATCH($C45,'[2]Sales per type Agustus'!$B$10:$B$51,0),MATCH("IQOO Z11x",'[2]Sales per type Agustus'!$D$8:$BA$8,0)),0)</f>
        <v>0</v>
      </c>
      <c r="CT45" s="33">
        <f t="shared" si="30"/>
        <v>0</v>
      </c>
      <c r="CU45" s="33" cm="1">
        <f t="array" ref="CU45">IFERROR(INDEX('[2]SALES PERTYPE'!$D$10:$BA$52,MATCH($C45,'[2]SALES PERTYPE'!$B$10:$B$52,0),MATCH("IQOO Z11x",'[2]SALES PERTYPE'!$D$8:$BA$8,0)+1),0)</f>
        <v>0</v>
      </c>
      <c r="CV45" s="33" cm="1">
        <f t="array" ref="CV45">IFERROR(INDEX('[2]Sales per type Agustus'!$D$10:$BA$51,MATCH($C45,'[2]Sales per type Agustus'!$B$10:$B$51,0),MATCH("IQOO Z11x",'[2]Sales per type Agustus'!$D$8:$BA$8,0)+1),0)</f>
        <v>0</v>
      </c>
      <c r="CW45" s="33">
        <f t="shared" si="31"/>
        <v>0</v>
      </c>
      <c r="CX45" s="33">
        <f>IFERROR(INDEX('[2]SALES PERTYPE'!$D$10:$BA$52,MATCH($C45,'[2]SALES PERTYPE'!$B$10:$B$52,0),MATCH("IQOO Z11",'[2]SALES PERTYPE'!$D$8:$BA$8,0)),0)</f>
        <v>0</v>
      </c>
      <c r="CY45" s="33">
        <f>IFERROR(INDEX('[2]Sales per type Agustus'!$D$10:$BA$51,MATCH($C45,'[2]Sales per type Agustus'!$B$10:$B$51,0),MATCH("IQOO Z11",'[2]Sales per type Agustus'!$D$8:$BA$8,0)),0)</f>
        <v>0</v>
      </c>
      <c r="CZ45" s="33">
        <f t="shared" si="32"/>
        <v>0</v>
      </c>
      <c r="DA45" s="33" cm="1">
        <f t="array" ref="DA45">IFERROR(INDEX('[2]SALES PERTYPE'!$D$10:$BA$52,MATCH($C45,'[2]SALES PERTYPE'!$B$10:$B$52,0),MATCH("IQOO Z11",'[2]SALES PERTYPE'!$D$8:$BA$8,0)+1),0)</f>
        <v>0</v>
      </c>
      <c r="DB45" s="33" cm="1">
        <f t="array" ref="DB45">IFERROR(INDEX('[2]Sales per type Agustus'!$D$10:$BA$51,MATCH($C45,'[2]Sales per type Agustus'!$B$10:$B$51,0),MATCH("IQOO Z11",'[2]Sales per type Agustus'!$D$8:$BA$8,0)+1),0)</f>
        <v>0</v>
      </c>
      <c r="DC45" s="33">
        <f t="shared" si="33"/>
        <v>0</v>
      </c>
      <c r="DD45" s="33">
        <f>IFERROR(INDEX('[2]SALES PERTYPE'!$D$10:$BA$52,MATCH($C45,'[2]SALES PERTYPE'!$B$10:$B$52,0),MATCH("WATCH 3",'[2]SALES PERTYPE'!$D$8:$BA$8,0)),0)</f>
        <v>0</v>
      </c>
      <c r="DE45" s="33">
        <f>IFERROR(INDEX('[2]Sales per type Agustus'!$D$10:$BA$51,MATCH($C45,'[2]Sales per type Agustus'!$B$10:$B$51,0),MATCH("WATCH 3",'[2]Sales per type Agustus'!$D$8:$BA$8,0)),0)</f>
        <v>0</v>
      </c>
      <c r="DF45" s="33">
        <f t="shared" si="34"/>
        <v>0</v>
      </c>
      <c r="DG45" s="33" cm="1">
        <f t="array" ref="DG45">IFERROR(INDEX('[2]SALES PERTYPE'!$D$10:$BA$52,MATCH($C45,'[2]SALES PERTYPE'!$B$10:$B$52,0),MATCH("WATCH 3",'[2]SALES PERTYPE'!$D$8:$BA$8,0)+1),0)</f>
        <v>0</v>
      </c>
      <c r="DH45" s="33" cm="1">
        <f t="array" ref="DH45">IFERROR(INDEX('[2]Sales per type Agustus'!$D$10:$BA$51,MATCH($C45,'[2]Sales per type Agustus'!$B$10:$B$51,0),MATCH("WATCH 3",'[2]Sales per type Agustus'!$D$8:$BA$8,0)+1),0)</f>
        <v>0</v>
      </c>
      <c r="DI45" s="33">
        <f t="shared" si="35"/>
        <v>0</v>
      </c>
      <c r="DJ45" s="33">
        <f>IFERROR(INDEX('[2]SALES PERTYPE'!$D$10:$BA$52,MATCH($C45,'[2]SALES PERTYPE'!$B$10:$B$52,0),MATCH("X Fold5",'[2]SALES PERTYPE'!$D$8:$BA$8,0)),0)</f>
        <v>0</v>
      </c>
      <c r="DK45" s="33">
        <f>IFERROR(INDEX('[2]Sales per type Agustus'!$D$10:$BA$51,MATCH($C45,'[2]Sales per type Agustus'!$B$10:$B$51,0),MATCH("X Fold5",'[2]Sales per type Agustus'!$D$8:$BA$8,0)),0)</f>
        <v>0</v>
      </c>
      <c r="DL45" s="33">
        <f t="shared" si="36"/>
        <v>0</v>
      </c>
      <c r="DM45" s="33" cm="1">
        <f t="array" ref="DM45">IFERROR(INDEX('[2]SALES PERTYPE'!$D$10:$BA$52,MATCH($C45,'[2]SALES PERTYPE'!$B$10:$B$52,0),MATCH("X Fold5",'[2]SALES PERTYPE'!$D$8:$BA$8,0)+1),0)</f>
        <v>0</v>
      </c>
      <c r="DN45" s="33" cm="1">
        <f t="array" ref="DN45">IFERROR(INDEX('[2]Sales per type Agustus'!$D$10:$BA$51,MATCH($C45,'[2]Sales per type Agustus'!$B$10:$B$51,0),MATCH("X Fold5",'[2]Sales per type Agustus'!$D$8:$BA$8,0)+1),0)</f>
        <v>0</v>
      </c>
      <c r="DO45" s="33">
        <f t="shared" si="37"/>
        <v>0</v>
      </c>
      <c r="DP45" s="33">
        <f>IFERROR(INDEX('[2]SALES PERTYPE'!$D$10:$BA$52,MATCH($C45,'[2]SALES PERTYPE'!$B$10:$B$52,0),MATCH("X300 PRO",'[2]SALES PERTYPE'!$D$8:$BA$8,0)),0)</f>
        <v>0</v>
      </c>
      <c r="DQ45" s="33">
        <f>IFERROR(INDEX('[2]Sales per type Agustus'!$D$10:$BA$51,MATCH($C45,'[2]Sales per type Agustus'!$B$10:$B$51,0),MATCH("X300 PRO",'[2]Sales per type Agustus'!$D$8:$BA$8,0)),0)</f>
        <v>0</v>
      </c>
      <c r="DR45" s="33">
        <f t="shared" si="38"/>
        <v>0</v>
      </c>
      <c r="DS45" s="33" cm="1">
        <f t="array" ref="DS45">IFERROR(INDEX('[2]SALES PERTYPE'!$D$10:$BA$52,MATCH($C45,'[2]SALES PERTYPE'!$B$10:$B$52,0),MATCH("X300 PRO",'[2]SALES PERTYPE'!$D$8:$BA$8,0)+1),0)</f>
        <v>0</v>
      </c>
      <c r="DT45" s="33" cm="1">
        <f t="array" ref="DT45">IFERROR(INDEX('[2]Sales per type Agustus'!$D$10:$BA$51,MATCH($C45,'[2]Sales per type Agustus'!$B$10:$B$51,0),MATCH("X300 PRO",'[2]Sales per type Agustus'!$D$8:$BA$8,0)+1),0)</f>
        <v>0</v>
      </c>
      <c r="DU45" s="33">
        <f t="shared" si="39"/>
        <v>0</v>
      </c>
      <c r="DV45" s="33">
        <f>IFERROR(INDEX('[2]SALES PERTYPE'!$D$10:$BA$52,MATCH($C45,'[2]SALES PERTYPE'!$B$10:$B$52,0),MATCH("X300",'[2]SALES PERTYPE'!$D$8:$BA$8,0)),0)</f>
        <v>0</v>
      </c>
      <c r="DW45" s="33">
        <f>IFERROR(INDEX('[2]Sales per type Agustus'!$D$10:$BA$51,MATCH($C45,'[2]Sales per type Agustus'!$B$10:$B$51,0),MATCH("X300 ",'[2]Sales per type Agustus'!$D$8:$BA$8,0)),0)</f>
        <v>0</v>
      </c>
      <c r="DX45" s="33">
        <f t="shared" si="40"/>
        <v>0</v>
      </c>
      <c r="DY45" s="33" cm="1">
        <f t="array" ref="DY45">IFERROR(INDEX('[2]SALES PERTYPE'!$D$10:$BA$52,MATCH($C45,'[2]SALES PERTYPE'!$B$10:$B$52,0),MATCH("X300",'[2]SALES PERTYPE'!$D$8:$BA$8,0)+1),0)</f>
        <v>0</v>
      </c>
      <c r="DZ45" s="33" cm="1">
        <f t="array" ref="DZ45">IFERROR(INDEX('[2]Sales per type Agustus'!$D$10:$BA$51,MATCH($C45,'[2]Sales per type Agustus'!$B$10:$B$51,0),MATCH("X300 ",'[2]Sales per type Agustus'!$D$8:$BA$8,0)+1),0)</f>
        <v>0</v>
      </c>
      <c r="EA45" s="33">
        <f t="shared" si="41"/>
        <v>0</v>
      </c>
      <c r="EB45" s="33">
        <f t="shared" si="42"/>
        <v>6</v>
      </c>
      <c r="EC45" s="33">
        <f t="shared" si="42"/>
        <v>10</v>
      </c>
      <c r="ED45" s="33">
        <f t="shared" si="43"/>
        <v>-4</v>
      </c>
      <c r="EE45" s="33">
        <f t="shared" si="44"/>
        <v>39194000</v>
      </c>
      <c r="EF45" s="33">
        <f t="shared" si="44"/>
        <v>44190000</v>
      </c>
      <c r="EG45" s="33">
        <f t="shared" si="45"/>
        <v>-4996000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5">
        <f>'[2]ACHIEVEMENT STORE'!A46</f>
        <v>42</v>
      </c>
      <c r="B46" s="216" t="str">
        <f>'[2]ACHIEVEMENT STORE'!B46</f>
        <v>614 三宝垄 Semarang</v>
      </c>
      <c r="C46" s="215">
        <f>'[2]ACHIEVEMENT STORE'!C46</f>
        <v>6140706</v>
      </c>
      <c r="D46" s="216" t="str">
        <f>'[2]ACHIEVEMENT STORE'!D46</f>
        <v>6140706-23 SEMARANG MALL 1F065-66</v>
      </c>
      <c r="E46" s="216" t="str">
        <f>'[2]ACHIEVEMENT STORE'!E46</f>
        <v>VICKY DINDA INEZ</v>
      </c>
      <c r="F46" s="33">
        <f>IFERROR(INDEX('[2]SALES PERTYPE'!$D$10:$BA$52,MATCH($C46,'[2]SALES PERTYPE'!$B$10:$B$52,0),MATCH("Y05",'[2]SALES PERTYPE'!$D$8:$BA$8,0)),0)</f>
        <v>0</v>
      </c>
      <c r="G46" s="33">
        <f>IFERROR(INDEX('[2]Sales per type Agustus'!$D$10:$BA$51,MATCH($C46,'[2]Sales per type Agustus'!$B$10:$B$51,0),MATCH("Y05",'[2]Sales per type Agustus'!$D$8:$BA$8,0)),0)</f>
        <v>0</v>
      </c>
      <c r="H46" s="33">
        <f t="shared" si="0"/>
        <v>0</v>
      </c>
      <c r="I46" s="33" cm="1">
        <f t="array" ref="I46">IFERROR(INDEX('[2]SALES PERTYPE'!$D$10:$BA$52,MATCH($C46,'[2]SALES PERTYPE'!$B$10:$B$52,0),MATCH("Y05",'[2]SALES PERTYPE'!$D$8:$BA$8,0)+1),0)</f>
        <v>0</v>
      </c>
      <c r="J46" s="33" cm="1">
        <f t="array" ref="J46">IFERROR(INDEX('[2]Sales per type Agustus'!$D$10:$BA$51,MATCH($C46,'[2]Sales per type Agustus'!$B$10:$B$51,0),MATCH("Y05",'[2]Sales per type Agustus'!$D$8:$BA$8,0)+1),0)</f>
        <v>0</v>
      </c>
      <c r="K46" s="33">
        <f t="shared" si="1"/>
        <v>0</v>
      </c>
      <c r="L46" s="33">
        <f>IFERROR(INDEX('[2]SALES PERTYPE'!$D$10:$BA$52,MATCH($C46,'[2]SALES PERTYPE'!$B$10:$B$52,0),MATCH("Y11d",'[2]SALES PERTYPE'!$D$8:$BA$8,0)),0)</f>
        <v>0</v>
      </c>
      <c r="M46" s="33">
        <f>IFERROR(INDEX('[2]Sales per type Agustus'!$D$10:$BA$51,MATCH($C46,'[2]Sales per type Agustus'!$B$10:$B$51,0),MATCH("Y11d",'[2]Sales per type Agustus'!$D$8:$BA$8,0)),0)</f>
        <v>2</v>
      </c>
      <c r="N46" s="33">
        <f t="shared" si="2"/>
        <v>-2</v>
      </c>
      <c r="O46" s="33" cm="1">
        <f t="array" ref="O46">IFERROR(INDEX('[2]SALES PERTYPE'!$D$10:$BA$52,MATCH($C46,'[2]SALES PERTYPE'!$B$10:$B$52,0),MATCH("Y11d",'[2]SALES PERTYPE'!$D$8:$BA$8,0)+1),0)</f>
        <v>0</v>
      </c>
      <c r="P46" s="33" cm="1">
        <f t="array" ref="P46">IFERROR(INDEX('[2]Sales per type Agustus'!$D$10:$BA$51,MATCH($C46,'[2]Sales per type Agustus'!$B$10:$B$51,0),MATCH("Y11d",'[2]Sales per type Agustus'!$D$8:$BA$8,0)+1),0)</f>
        <v>5198000</v>
      </c>
      <c r="Q46" s="33">
        <f t="shared" si="3"/>
        <v>-5198000</v>
      </c>
      <c r="R46" s="33">
        <f>IFERROR(INDEX('[2]SALES PERTYPE'!$D$10:$BA$52,MATCH($C46,'[2]SALES PERTYPE'!$B$10:$B$52,0),MATCH("Watch GT 2",'[2]SALES PERTYPE'!$D$8:$BA$8,0)),0)</f>
        <v>0</v>
      </c>
      <c r="S46" s="33">
        <f>IFERROR(INDEX('[2]Sales per type Agustus'!$D$10:$BA$51,MATCH($C46,'[2]Sales per type Agustus'!$B$10:$B$51,0),MATCH("Watch GT 2",'[2]Sales per type Agustus'!$D$8:$BA$8,0)),0)</f>
        <v>0</v>
      </c>
      <c r="T46" s="33">
        <f t="shared" si="4"/>
        <v>0</v>
      </c>
      <c r="U46" s="33" cm="1">
        <f t="array" ref="U46">IFERROR(INDEX('[2]SALES PERTYPE'!$D$10:$BA$52,MATCH($C46,'[2]SALES PERTYPE'!$B$10:$B$52,0),MATCH("Watch GT 2",'[2]SALES PERTYPE'!$D$8:$BA$8,0)+1),0)</f>
        <v>0</v>
      </c>
      <c r="V46" s="33" cm="1">
        <f t="array" ref="V46">IFERROR(INDEX('[2]Sales per type Agustus'!$D$10:$BA$51,MATCH($C46,'[2]Sales per type Agustus'!$B$10:$B$51,0),MATCH("Watch GT 2",'[2]Sales per type Agustus'!$D$8:$BA$8,0)+1),0)</f>
        <v>0</v>
      </c>
      <c r="W46" s="33">
        <f t="shared" si="5"/>
        <v>0</v>
      </c>
      <c r="X46" s="33">
        <f>IFERROR(INDEX('[2]SALES PERTYPE'!$D$10:$BA$52,MATCH($C46,'[2]SALES PERTYPE'!$B$10:$B$52,0),MATCH("Y05e",'[2]SALES PERTYPE'!$D$8:$BA$8,0)),0)</f>
        <v>0</v>
      </c>
      <c r="Y46" s="33">
        <f>IFERROR(INDEX('[2]Sales per type Agustus'!$D$10:$BA$51,MATCH($C46,'[2]Sales per type Agustus'!$B$10:$B$51,0),MATCH("Y05e",'[2]Sales per type Agustus'!$D$8:$BA$8,0)),0)</f>
        <v>0</v>
      </c>
      <c r="Z46" s="33">
        <f t="shared" si="6"/>
        <v>0</v>
      </c>
      <c r="AA46" s="33" cm="1">
        <f t="array" ref="AA46">IFERROR(INDEX('[2]SALES PERTYPE'!$D$10:$BA$52,MATCH($C46,'[2]SALES PERTYPE'!$B$10:$B$52,0),MATCH("Y05e",'[2]SALES PERTYPE'!$D$8:$BA$8,0)+1),0)</f>
        <v>0</v>
      </c>
      <c r="AB46" s="33" cm="1">
        <f t="array" ref="AB46">IFERROR(INDEX('[2]Sales per type Agustus'!$D$10:$BA$51,MATCH($C46,'[2]Sales per type Agustus'!$B$10:$B$51,0),MATCH("Y05e",'[2]Sales per type Agustus'!$D$8:$BA$8,0)+1),0)</f>
        <v>0</v>
      </c>
      <c r="AC46" s="33">
        <f t="shared" si="7"/>
        <v>0</v>
      </c>
      <c r="AD46" s="33">
        <f>IFERROR(INDEX('[2]SALES PERTYPE'!$D$10:$BA$52,MATCH($C46,'[2]SALES PERTYPE'!$B$10:$B$52,0),MATCH("V70",'[2]SALES PERTYPE'!$D$8:$BA$8,0)),0)</f>
        <v>2</v>
      </c>
      <c r="AE46" s="33">
        <f>IFERROR(INDEX('[2]Sales per type Agustus'!$D$10:$BA$51,MATCH($C46,'[2]Sales per type Agustus'!$B$10:$B$51,0),MATCH("V70",'[2]Sales per type Agustus'!$D$8:$BA$8,0)),0)</f>
        <v>1</v>
      </c>
      <c r="AF46" s="33">
        <f t="shared" si="8"/>
        <v>1</v>
      </c>
      <c r="AG46" s="33" cm="1">
        <f t="array" ref="AG46">IFERROR(INDEX('[2]SALES PERTYPE'!$D$10:$BA$52,MATCH($C46,'[2]SALES PERTYPE'!$B$10:$B$52,0),MATCH("V70",'[2]SALES PERTYPE'!$D$8:$BA$8,0)+1),0)</f>
        <v>19998000</v>
      </c>
      <c r="AH46" s="33" cm="1">
        <f t="array" ref="AH46">IFERROR(INDEX('[2]Sales per type Agustus'!$D$10:$BA$51,MATCH($C46,'[2]Sales per type Agustus'!$B$10:$B$51,0),MATCH("V70",'[2]Sales per type Agustus'!$D$8:$BA$8,0)+1),0)</f>
        <v>9999000</v>
      </c>
      <c r="AI46" s="33">
        <f t="shared" si="9"/>
        <v>9999000</v>
      </c>
      <c r="AJ46" s="33">
        <f>IFERROR(INDEX('[2]SALES PERTYPE'!$D$10:$BA$52,MATCH($C46,'[2]SALES PERTYPE'!$B$10:$B$52,0),MATCH("Y31d Pro",'[2]SALES PERTYPE'!$D$8:$BA$8,0)),0)</f>
        <v>0</v>
      </c>
      <c r="AK46" s="33">
        <f>IFERROR(INDEX('[2]Sales per type Agustus'!$D$10:$BA$51,MATCH($C46,'[2]Sales per type Agustus'!$B$10:$B$51,0),MATCH("Y31d Pro",'[2]Sales per type Agustus'!$D$8:$BA$8,0)),0)</f>
        <v>1</v>
      </c>
      <c r="AL46" s="33">
        <f t="shared" si="10"/>
        <v>-1</v>
      </c>
      <c r="AM46" s="33" cm="1">
        <f t="array" ref="AM46">IFERROR(INDEX('[2]SALES PERTYPE'!$D$10:$BA$52,MATCH($C46,'[2]SALES PERTYPE'!$B$10:$B$52,0),MATCH("Y31d Pro",'[2]SALES PERTYPE'!$D$8:$BA$8,0)+1),0)</f>
        <v>0</v>
      </c>
      <c r="AN46" s="33" cm="1">
        <f t="array" ref="AN46">IFERROR(INDEX('[2]Sales per type Agustus'!$D$10:$BA$51,MATCH($C46,'[2]Sales per type Agustus'!$B$10:$B$51,0),MATCH("Y31d Pro",'[2]Sales per type Agustus'!$D$8:$BA$8,0)+1),0)</f>
        <v>3899000</v>
      </c>
      <c r="AO46" s="33">
        <f t="shared" si="11"/>
        <v>-3899000</v>
      </c>
      <c r="AP46" s="33" cm="1">
        <f t="array" ref="AP46">IFERROR(INDEX('[2]SALES PERTYPE'!$D$10:$BA$52,MATCH($C46,'[2]SALES PERTYPE'!$B$10:$B$52,0),$EI$3),0)</f>
        <v>0</v>
      </c>
      <c r="AQ46" s="33" cm="1">
        <f t="array" ref="AQ46">IFERROR(INDEX('[2]Sales per type Agustus'!$D$10:$BA$51,MATCH($C46,'[2]Sales per type Agustus'!$B$10:$B$51,0),$EI$2),0)</f>
        <v>0</v>
      </c>
      <c r="AR46" s="33">
        <f t="shared" si="12"/>
        <v>0</v>
      </c>
      <c r="AS46" s="33" cm="1">
        <f t="array" ref="AS46">IFERROR(INDEX('[2]SALES PERTYPE'!$D$10:$BA$52,MATCH($C46,'[2]SALES PERTYPE'!$B$10:$B$52,0),$EI$3+1),0)</f>
        <v>0</v>
      </c>
      <c r="AT46" s="33" cm="1">
        <f t="array" ref="AT46">IFERROR(INDEX('[2]Sales per type Agustus'!$D$10:$BA$51,MATCH($C46,'[2]Sales per type Agustus'!$B$10:$B$51,0),$EI$2+1),0)</f>
        <v>0</v>
      </c>
      <c r="AU46" s="33">
        <f t="shared" si="13"/>
        <v>0</v>
      </c>
      <c r="AV46" s="33">
        <f>IFERROR(INDEX('[2]SALES PERTYPE'!$D$10:$BA$52,MATCH($C46,'[2]SALES PERTYPE'!$B$10:$B$52,0),MATCH("Y31d ",'[2]SALES PERTYPE'!$D$8:$BA$8,0)),0)</f>
        <v>0</v>
      </c>
      <c r="AW46" s="33">
        <f>IFERROR(INDEX('[2]Sales per type Agustus'!$D$10:$BA$51,MATCH($C46,'[2]Sales per type Agustus'!$B$10:$B$51,0),MATCH("Y31d ",'[2]Sales per type Agustus'!$D$8:$BA$8,0)),0)</f>
        <v>0</v>
      </c>
      <c r="AX46" s="33">
        <f t="shared" si="14"/>
        <v>0</v>
      </c>
      <c r="AY46" s="33" cm="1">
        <f t="array" ref="AY46">IFERROR(INDEX('[2]SALES PERTYPE'!$D$10:$BA$52,MATCH($C46,'[2]SALES PERTYPE'!$B$10:$B$52,0),MATCH("Y31d ",'[2]SALES PERTYPE'!$D$8:$BA$8,0)+1),0)</f>
        <v>0</v>
      </c>
      <c r="AZ46" s="33" cm="1">
        <f t="array" ref="AZ46">IFERROR(INDEX('[2]Sales per type Agustus'!$D$10:$BA$51,MATCH($C46,'[2]Sales per type Agustus'!$B$10:$B$51,0),MATCH("Y31d ",'[2]Sales per type Agustus'!$D$8:$BA$8,0)+1),0)</f>
        <v>0</v>
      </c>
      <c r="BA46" s="33">
        <f t="shared" si="15"/>
        <v>0</v>
      </c>
      <c r="BB46" s="33">
        <f>IFERROR(INDEX('[2]SALES PERTYPE'!$D$10:$BA$52,MATCH($C46,'[2]SALES PERTYPE'!$B$10:$B$52,0),MATCH("V70 FE",'[2]SALES PERTYPE'!$D$8:$BA$8,0)),0)</f>
        <v>0</v>
      </c>
      <c r="BC46" s="33">
        <f>IFERROR(INDEX('[2]Sales per type Agustus'!$D$10:$BA$51,MATCH($C46,'[2]Sales per type Agustus'!$B$10:$B$51,0),MATCH("V70 FE",'[2]Sales per type Agustus'!$D$8:$BA$8,0)),0)</f>
        <v>0</v>
      </c>
      <c r="BD46" s="33">
        <f t="shared" si="16"/>
        <v>0</v>
      </c>
      <c r="BE46" s="33" cm="1">
        <f t="array" ref="BE46">IFERROR(INDEX('[2]SALES PERTYPE'!$D$10:$BA$52,MATCH($C46,'[2]SALES PERTYPE'!$B$10:$B$52,0),MATCH("V70 FE",'[2]SALES PERTYPE'!$D$8:$BA$8,0)+1),0)</f>
        <v>0</v>
      </c>
      <c r="BF46" s="33" cm="1">
        <f t="array" ref="BF46">IFERROR(INDEX('[2]Sales per type Agustus'!$D$10:$BA$51,MATCH($C46,'[2]Sales per type Agustus'!$B$10:$B$51,0),MATCH("V70 FE",'[2]Sales per type Agustus'!$D$8:$BA$8,0)+1),0)</f>
        <v>0</v>
      </c>
      <c r="BG46" s="33">
        <f t="shared" si="17"/>
        <v>0</v>
      </c>
      <c r="BH46" s="33">
        <f>IFERROR(INDEX('[2]SALES PERTYPE'!$D$10:$BA$52,MATCH($C46,'[2]SALES PERTYPE'!$B$10:$B$52,0),MATCH("Y31d",'[2]SALES PERTYPE'!$D$8:$BA$8,0)),0)</f>
        <v>0</v>
      </c>
      <c r="BI46" s="33">
        <f>IFERROR(INDEX('[2]Sales per type Agustus'!$D$10:$BA$51,MATCH($C46,'[2]Sales per type Agustus'!$B$10:$B$51,0),MATCH("Y31d",'[2]Sales per type Agustus'!$D$8:$BA$8,0)),0)</f>
        <v>0</v>
      </c>
      <c r="BJ46" s="33">
        <f t="shared" si="18"/>
        <v>0</v>
      </c>
      <c r="BK46" s="33" cm="1">
        <f t="array" ref="BK46">IFERROR(INDEX('[2]SALES PERTYPE'!$D$10:$BA$52,MATCH($C46,'[2]SALES PERTYPE'!$B$10:$B$52,0),MATCH("Y31d",'[2]SALES PERTYPE'!$D$8:$BA$8,0)+1),0)</f>
        <v>0</v>
      </c>
      <c r="BL46" s="33" cm="1">
        <f t="array" ref="BL46">IFERROR(INDEX('[2]Sales per type Agustus'!$D$10:$BA$51,MATCH($C46,'[2]Sales per type Agustus'!$B$10:$B$51,0),MATCH("Y31d",'[2]Sales per type Agustus'!$D$8:$BA$8,0)+1),0)</f>
        <v>0</v>
      </c>
      <c r="BM46" s="33">
        <f t="shared" si="19"/>
        <v>0</v>
      </c>
      <c r="BN46" s="33">
        <f>IFERROR(INDEX('[2]SALES PERTYPE'!$D$10:$BA$52,MATCH($C46,'[2]SALES PERTYPE'!$B$10:$B$52,0),MATCH("Y500",'[2]SALES PERTYPE'!$D$8:$BA$8,0)),0)</f>
        <v>0</v>
      </c>
      <c r="BO46" s="33">
        <f>IFERROR(INDEX('[2]Sales per type Agustus'!$D$10:$BA$51,MATCH($C46,'[2]Sales per type Agustus'!$B$10:$B$51,0),MATCH("Y500",'[2]Sales per type Agustus'!$D$8:$BA$8,0)),0)</f>
        <v>0</v>
      </c>
      <c r="BP46" s="33">
        <f t="shared" si="20"/>
        <v>0</v>
      </c>
      <c r="BQ46" s="33" cm="1">
        <f t="array" ref="BQ46">IFERROR(INDEX('[2]SALES PERTYPE'!$D$10:$BA$52,MATCH($C46,'[2]SALES PERTYPE'!$B$10:$B$52,0),MATCH("Y500",'[2]SALES PERTYPE'!$D$8:$BA$8,0)+1),0)</f>
        <v>0</v>
      </c>
      <c r="BR46" s="33" cm="1">
        <f t="array" ref="BR46">IFERROR(INDEX('[2]Sales per type Agustus'!$D$10:$BA$51,MATCH($C46,'[2]Sales per type Agustus'!$B$10:$B$51,0),MATCH("Y500",'[2]Sales per type Agustus'!$D$8:$BA$8,0)+1),0)</f>
        <v>0</v>
      </c>
      <c r="BS46" s="33">
        <f t="shared" si="21"/>
        <v>0</v>
      </c>
      <c r="BT46" s="33">
        <f>IFERROR(INDEX('[2]SALES PERTYPE'!$D$10:$BA$52,MATCH($C46,'[2]SALES PERTYPE'!$B$10:$B$52,0),MATCH("IQOO 15R",'[2]SALES PERTYPE'!$D$8:$BA$8,0)),0)</f>
        <v>0</v>
      </c>
      <c r="BU46" s="33">
        <f>IFERROR(INDEX('[2]Sales per type Agustus'!$D$10:$BA$51,MATCH($C46,'[2]Sales per type Agustus'!$B$10:$B$51,0),MATCH("IQOO 15R",'[2]Sales per type Agustus'!$D$8:$BA$8,0)),0)</f>
        <v>0</v>
      </c>
      <c r="BV46" s="33">
        <f t="shared" si="22"/>
        <v>0</v>
      </c>
      <c r="BW46" s="33" cm="1">
        <f t="array" ref="BW46">IFERROR(INDEX('[2]SALES PERTYPE'!$D$10:$BA$52,MATCH($C46,'[2]SALES PERTYPE'!$B$10:$B$52,0),MATCH("IQOO 15R",'[2]SALES PERTYPE'!$D$8:$BA$8,0)+1),0)</f>
        <v>0</v>
      </c>
      <c r="BX46" s="33" cm="1">
        <f t="array" ref="BX46">IFERROR(INDEX('[2]Sales per type Agustus'!$D$10:$BA$51,MATCH($C46,'[2]Sales per type Agustus'!$B$10:$B$51,0),MATCH("IQOO 15R",'[2]Sales per type Agustus'!$D$8:$BA$8,0)+1),0)</f>
        <v>0</v>
      </c>
      <c r="BY46" s="33">
        <f t="shared" si="23"/>
        <v>0</v>
      </c>
      <c r="BZ46" s="33">
        <f>IFERROR(INDEX('[2]SALES PERTYPE'!$D$10:$BA$52,MATCH($C46,'[2]SALES PERTYPE'!$B$10:$B$52,0),MATCH("V60 Lite",'[2]SALES PERTYPE'!$D$8:$BA$8,0)),0)</f>
        <v>0</v>
      </c>
      <c r="CA46" s="33">
        <f>IFERROR(INDEX('[2]Sales per type Agustus'!$D$10:$BA$51,MATCH($C46,'[2]Sales per type Agustus'!$B$10:$B$51,0),MATCH("V60 Lite",'[2]Sales per type Agustus'!$D$8:$BA$8,0)),0)</f>
        <v>0</v>
      </c>
      <c r="CB46" s="33">
        <f t="shared" si="24"/>
        <v>0</v>
      </c>
      <c r="CC46" s="33" cm="1">
        <f t="array" ref="CC46">IFERROR(INDEX('[2]SALES PERTYPE'!$D$10:$BA$52,MATCH($C46,'[2]SALES PERTYPE'!$B$10:$B$52,0),MATCH("V60 Lite",'[2]SALES PERTYPE'!$D$8:$BA$8,0)+1),0)</f>
        <v>0</v>
      </c>
      <c r="CD46" s="33" cm="1">
        <f t="array" ref="CD46">IFERROR(INDEX('[2]Sales per type Agustus'!$D$10:$BA$51,MATCH($C46,'[2]Sales per type Agustus'!$B$10:$B$51,0),MATCH("V60 Lite",'[2]Sales per type Agustus'!$D$8:$BA$8,0)+1),0)</f>
        <v>0</v>
      </c>
      <c r="CE46" s="33">
        <f t="shared" si="25"/>
        <v>0</v>
      </c>
      <c r="CF46" s="33">
        <f>IFERROR(INDEX('[2]SALES PERTYPE'!$D$10:$BA$52,MATCH($C46,'[2]SALES PERTYPE'!$B$10:$B$52,0),MATCH("X300 Ultra",'[2]SALES PERTYPE'!$D$8:$BA$8,0)),0)</f>
        <v>0</v>
      </c>
      <c r="CG46" s="33">
        <f>IFERROR(INDEX('[2]Sales per type Agustus'!$D$10:$BA$51,MATCH($C46,'[2]Sales per type Agustus'!$B$10:$B$51,0),MATCH("X300 Ultra",'[2]Sales per type Agustus'!$D$8:$BA$8,0)),0)</f>
        <v>1</v>
      </c>
      <c r="CH46" s="33">
        <f t="shared" si="26"/>
        <v>-1</v>
      </c>
      <c r="CI46" s="33" cm="1">
        <f t="array" ref="CI46">IFERROR(INDEX('[2]SALES PERTYPE'!$D$10:$BA$52,MATCH($C46,'[2]SALES PERTYPE'!$B$10:$B$52,0),MATCH("X300 Ultra",'[2]SALES PERTYPE'!$D$8:$BA$8,0)+1),0)</f>
        <v>0</v>
      </c>
      <c r="CJ46" s="33" cm="1">
        <f t="array" ref="CJ46">IFERROR(INDEX('[2]Sales per type Agustus'!$D$10:$BA$51,MATCH($C46,'[2]Sales per type Agustus'!$B$10:$B$51,0),MATCH("X300 Ultra",'[2]Sales per type Agustus'!$D$8:$BA$8,0)+1),0)</f>
        <v>25999000</v>
      </c>
      <c r="CK46" s="33">
        <f t="shared" si="27"/>
        <v>-25999000</v>
      </c>
      <c r="CL46" s="33">
        <f>IFERROR(INDEX('[2]SALES PERTYPE'!$D$10:$BA$52,MATCH($C46,'[2]SALES PERTYPE'!$B$10:$B$52,0),MATCH("IQOO 15",'[2]SALES PERTYPE'!$D$8:$BA$8,0)),0)</f>
        <v>0</v>
      </c>
      <c r="CM46" s="33">
        <f>IFERROR(INDEX('[2]Sales per type Agustus'!$D$10:$BA$51,MATCH($C46,'[2]Sales per type Agustus'!$B$10:$B$51,0),MATCH("IQOO 15",'[2]Sales per type Agustus'!$D$8:$BA$8,0)),0)</f>
        <v>0</v>
      </c>
      <c r="CN46" s="33">
        <f t="shared" si="28"/>
        <v>0</v>
      </c>
      <c r="CO46" s="33" cm="1">
        <f t="array" ref="CO46">IFERROR(INDEX('[2]SALES PERTYPE'!$D$10:$BA$52,MATCH($C46,'[2]SALES PERTYPE'!$B$10:$B$52,0),MATCH("IQOO 15",'[2]SALES PERTYPE'!$D$8:$BA$8,0)+1),0)</f>
        <v>0</v>
      </c>
      <c r="CP46" s="33" cm="1">
        <f t="array" ref="CP46">IFERROR(INDEX('[2]Sales per type Agustus'!$D$10:$BA$51,MATCH($C46,'[2]Sales per type Agustus'!$B$10:$B$51,0),MATCH("IQOO 15",'[2]Sales per type Agustus'!$D$8:$BA$8,0)+1),0)</f>
        <v>0</v>
      </c>
      <c r="CQ46" s="33">
        <f t="shared" si="29"/>
        <v>0</v>
      </c>
      <c r="CR46" s="33">
        <f>IFERROR(INDEX('[2]SALES PERTYPE'!$D$10:$BA$52,MATCH($C46,'[2]SALES PERTYPE'!$B$10:$B$52,0),MATCH("IQOO Z11x",'[2]SALES PERTYPE'!$D$8:$BA$8,0)),0)</f>
        <v>0</v>
      </c>
      <c r="CS46" s="33">
        <f>IFERROR(INDEX('[2]Sales per type Agustus'!$D$10:$BA$51,MATCH($C46,'[2]Sales per type Agustus'!$B$10:$B$51,0),MATCH("IQOO Z11x",'[2]Sales per type Agustus'!$D$8:$BA$8,0)),0)</f>
        <v>0</v>
      </c>
      <c r="CT46" s="33">
        <f t="shared" si="30"/>
        <v>0</v>
      </c>
      <c r="CU46" s="33" cm="1">
        <f t="array" ref="CU46">IFERROR(INDEX('[2]SALES PERTYPE'!$D$10:$BA$52,MATCH($C46,'[2]SALES PERTYPE'!$B$10:$B$52,0),MATCH("IQOO Z11x",'[2]SALES PERTYPE'!$D$8:$BA$8,0)+1),0)</f>
        <v>0</v>
      </c>
      <c r="CV46" s="33" cm="1">
        <f t="array" ref="CV46">IFERROR(INDEX('[2]Sales per type Agustus'!$D$10:$BA$51,MATCH($C46,'[2]Sales per type Agustus'!$B$10:$B$51,0),MATCH("IQOO Z11x",'[2]Sales per type Agustus'!$D$8:$BA$8,0)+1),0)</f>
        <v>0</v>
      </c>
      <c r="CW46" s="33">
        <f t="shared" si="31"/>
        <v>0</v>
      </c>
      <c r="CX46" s="33">
        <f>IFERROR(INDEX('[2]SALES PERTYPE'!$D$10:$BA$52,MATCH($C46,'[2]SALES PERTYPE'!$B$10:$B$52,0),MATCH("IQOO Z11",'[2]SALES PERTYPE'!$D$8:$BA$8,0)),0)</f>
        <v>0</v>
      </c>
      <c r="CY46" s="33">
        <f>IFERROR(INDEX('[2]Sales per type Agustus'!$D$10:$BA$51,MATCH($C46,'[2]Sales per type Agustus'!$B$10:$B$51,0),MATCH("IQOO Z11",'[2]Sales per type Agustus'!$D$8:$BA$8,0)),0)</f>
        <v>0</v>
      </c>
      <c r="CZ46" s="33">
        <f t="shared" si="32"/>
        <v>0</v>
      </c>
      <c r="DA46" s="33" cm="1">
        <f t="array" ref="DA46">IFERROR(INDEX('[2]SALES PERTYPE'!$D$10:$BA$52,MATCH($C46,'[2]SALES PERTYPE'!$B$10:$B$52,0),MATCH("IQOO Z11",'[2]SALES PERTYPE'!$D$8:$BA$8,0)+1),0)</f>
        <v>0</v>
      </c>
      <c r="DB46" s="33" cm="1">
        <f t="array" ref="DB46">IFERROR(INDEX('[2]Sales per type Agustus'!$D$10:$BA$51,MATCH($C46,'[2]Sales per type Agustus'!$B$10:$B$51,0),MATCH("IQOO Z11",'[2]Sales per type Agustus'!$D$8:$BA$8,0)+1),0)</f>
        <v>0</v>
      </c>
      <c r="DC46" s="33">
        <f t="shared" si="33"/>
        <v>0</v>
      </c>
      <c r="DD46" s="33">
        <f>IFERROR(INDEX('[2]SALES PERTYPE'!$D$10:$BA$52,MATCH($C46,'[2]SALES PERTYPE'!$B$10:$B$52,0),MATCH("WATCH 3",'[2]SALES PERTYPE'!$D$8:$BA$8,0)),0)</f>
        <v>0</v>
      </c>
      <c r="DE46" s="33">
        <f>IFERROR(INDEX('[2]Sales per type Agustus'!$D$10:$BA$51,MATCH($C46,'[2]Sales per type Agustus'!$B$10:$B$51,0),MATCH("WATCH 3",'[2]Sales per type Agustus'!$D$8:$BA$8,0)),0)</f>
        <v>0</v>
      </c>
      <c r="DF46" s="33">
        <f t="shared" si="34"/>
        <v>0</v>
      </c>
      <c r="DG46" s="33" cm="1">
        <f t="array" ref="DG46">IFERROR(INDEX('[2]SALES PERTYPE'!$D$10:$BA$52,MATCH($C46,'[2]SALES PERTYPE'!$B$10:$B$52,0),MATCH("WATCH 3",'[2]SALES PERTYPE'!$D$8:$BA$8,0)+1),0)</f>
        <v>0</v>
      </c>
      <c r="DH46" s="33" cm="1">
        <f t="array" ref="DH46">IFERROR(INDEX('[2]Sales per type Agustus'!$D$10:$BA$51,MATCH($C46,'[2]Sales per type Agustus'!$B$10:$B$51,0),MATCH("WATCH 3",'[2]Sales per type Agustus'!$D$8:$BA$8,0)+1),0)</f>
        <v>0</v>
      </c>
      <c r="DI46" s="33">
        <f t="shared" si="35"/>
        <v>0</v>
      </c>
      <c r="DJ46" s="33">
        <f>IFERROR(INDEX('[2]SALES PERTYPE'!$D$10:$BA$52,MATCH($C46,'[2]SALES PERTYPE'!$B$10:$B$52,0),MATCH("X Fold5",'[2]SALES PERTYPE'!$D$8:$BA$8,0)),0)</f>
        <v>0</v>
      </c>
      <c r="DK46" s="33">
        <f>IFERROR(INDEX('[2]Sales per type Agustus'!$D$10:$BA$51,MATCH($C46,'[2]Sales per type Agustus'!$B$10:$B$51,0),MATCH("X Fold5",'[2]Sales per type Agustus'!$D$8:$BA$8,0)),0)</f>
        <v>0</v>
      </c>
      <c r="DL46" s="33">
        <f t="shared" si="36"/>
        <v>0</v>
      </c>
      <c r="DM46" s="33" cm="1">
        <f t="array" ref="DM46">IFERROR(INDEX('[2]SALES PERTYPE'!$D$10:$BA$52,MATCH($C46,'[2]SALES PERTYPE'!$B$10:$B$52,0),MATCH("X Fold5",'[2]SALES PERTYPE'!$D$8:$BA$8,0)+1),0)</f>
        <v>0</v>
      </c>
      <c r="DN46" s="33" cm="1">
        <f t="array" ref="DN46">IFERROR(INDEX('[2]Sales per type Agustus'!$D$10:$BA$51,MATCH($C46,'[2]Sales per type Agustus'!$B$10:$B$51,0),MATCH("X Fold5",'[2]Sales per type Agustus'!$D$8:$BA$8,0)+1),0)</f>
        <v>0</v>
      </c>
      <c r="DO46" s="33">
        <f t="shared" si="37"/>
        <v>0</v>
      </c>
      <c r="DP46" s="33">
        <f>IFERROR(INDEX('[2]SALES PERTYPE'!$D$10:$BA$52,MATCH($C46,'[2]SALES PERTYPE'!$B$10:$B$52,0),MATCH("X300 PRO",'[2]SALES PERTYPE'!$D$8:$BA$8,0)),0)</f>
        <v>0</v>
      </c>
      <c r="DQ46" s="33">
        <f>IFERROR(INDEX('[2]Sales per type Agustus'!$D$10:$BA$51,MATCH($C46,'[2]Sales per type Agustus'!$B$10:$B$51,0),MATCH("X300 PRO",'[2]Sales per type Agustus'!$D$8:$BA$8,0)),0)</f>
        <v>0</v>
      </c>
      <c r="DR46" s="33">
        <f t="shared" si="38"/>
        <v>0</v>
      </c>
      <c r="DS46" s="33" cm="1">
        <f t="array" ref="DS46">IFERROR(INDEX('[2]SALES PERTYPE'!$D$10:$BA$52,MATCH($C46,'[2]SALES PERTYPE'!$B$10:$B$52,0),MATCH("X300 PRO",'[2]SALES PERTYPE'!$D$8:$BA$8,0)+1),0)</f>
        <v>0</v>
      </c>
      <c r="DT46" s="33" cm="1">
        <f t="array" ref="DT46">IFERROR(INDEX('[2]Sales per type Agustus'!$D$10:$BA$51,MATCH($C46,'[2]Sales per type Agustus'!$B$10:$B$51,0),MATCH("X300 PRO",'[2]Sales per type Agustus'!$D$8:$BA$8,0)+1),0)</f>
        <v>0</v>
      </c>
      <c r="DU46" s="33">
        <f t="shared" si="39"/>
        <v>0</v>
      </c>
      <c r="DV46" s="33">
        <f>IFERROR(INDEX('[2]SALES PERTYPE'!$D$10:$BA$52,MATCH($C46,'[2]SALES PERTYPE'!$B$10:$B$52,0),MATCH("X300",'[2]SALES PERTYPE'!$D$8:$BA$8,0)),0)</f>
        <v>0</v>
      </c>
      <c r="DW46" s="33">
        <f>IFERROR(INDEX('[2]Sales per type Agustus'!$D$10:$BA$51,MATCH($C46,'[2]Sales per type Agustus'!$B$10:$B$51,0),MATCH("X300 ",'[2]Sales per type Agustus'!$D$8:$BA$8,0)),0)</f>
        <v>0</v>
      </c>
      <c r="DX46" s="33">
        <f t="shared" si="40"/>
        <v>0</v>
      </c>
      <c r="DY46" s="33" cm="1">
        <f t="array" ref="DY46">IFERROR(INDEX('[2]SALES PERTYPE'!$D$10:$BA$52,MATCH($C46,'[2]SALES PERTYPE'!$B$10:$B$52,0),MATCH("X300",'[2]SALES PERTYPE'!$D$8:$BA$8,0)+1),0)</f>
        <v>0</v>
      </c>
      <c r="DZ46" s="33" cm="1">
        <f t="array" ref="DZ46">IFERROR(INDEX('[2]Sales per type Agustus'!$D$10:$BA$51,MATCH($C46,'[2]Sales per type Agustus'!$B$10:$B$51,0),MATCH("X300 ",'[2]Sales per type Agustus'!$D$8:$BA$8,0)+1),0)</f>
        <v>0</v>
      </c>
      <c r="EA46" s="33">
        <f t="shared" si="41"/>
        <v>0</v>
      </c>
      <c r="EB46" s="33">
        <f t="shared" si="42"/>
        <v>2</v>
      </c>
      <c r="EC46" s="33">
        <f t="shared" si="42"/>
        <v>5</v>
      </c>
      <c r="ED46" s="33">
        <f t="shared" si="43"/>
        <v>-3</v>
      </c>
      <c r="EE46" s="33">
        <f t="shared" si="44"/>
        <v>19998000</v>
      </c>
      <c r="EF46" s="33">
        <f t="shared" si="44"/>
        <v>45095000</v>
      </c>
      <c r="EG46" s="33">
        <f t="shared" si="45"/>
        <v>-25097000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'[2]ACHIEVEMENT STORE'!A47</f>
        <v>43</v>
      </c>
      <c r="B47" s="32" t="str">
        <f>'[2]ACHIEVEMENT STORE'!B47</f>
        <v>614 三宝垄 Semarang</v>
      </c>
      <c r="C47" s="31">
        <f>'[2]ACHIEVEMENT STORE'!C47</f>
        <v>6140705</v>
      </c>
      <c r="D47" s="32" t="str">
        <f>'[2]ACHIEVEMENT STORE'!D47</f>
        <v>6140705-QUEENCITY 2F027</v>
      </c>
      <c r="E47" s="32" t="str">
        <f>'[2]ACHIEVEMENT STORE'!E47</f>
        <v>VICKY DINDA INEZ</v>
      </c>
      <c r="F47" s="33">
        <f>IFERROR(INDEX('[2]SALES PERTYPE'!$D$10:$BA$52,MATCH($C47,'[2]SALES PERTYPE'!$B$10:$B$52,0),MATCH("Y05",'[2]SALES PERTYPE'!$D$8:$BA$8,0)),0)</f>
        <v>0</v>
      </c>
      <c r="G47" s="33">
        <f>IFERROR(INDEX('[2]Sales per type Agustus'!$D$10:$BA$51,MATCH($C47,'[2]Sales per type Agustus'!$B$10:$B$51,0),MATCH("Y05",'[2]Sales per type Agustus'!$D$8:$BA$8,0)),0)</f>
        <v>0</v>
      </c>
      <c r="H47" s="33">
        <f t="shared" si="0"/>
        <v>0</v>
      </c>
      <c r="I47" s="33" cm="1">
        <f t="array" ref="I47">IFERROR(INDEX('[2]SALES PERTYPE'!$D$10:$BA$52,MATCH($C47,'[2]SALES PERTYPE'!$B$10:$B$52,0),MATCH("Y05",'[2]SALES PERTYPE'!$D$8:$BA$8,0)+1),0)</f>
        <v>0</v>
      </c>
      <c r="J47" s="33" cm="1">
        <f t="array" ref="J47">IFERROR(INDEX('[2]Sales per type Agustus'!$D$10:$BA$51,MATCH($C47,'[2]Sales per type Agustus'!$B$10:$B$51,0),MATCH("Y05",'[2]Sales per type Agustus'!$D$8:$BA$8,0)+1),0)</f>
        <v>0</v>
      </c>
      <c r="K47" s="33">
        <f t="shared" si="1"/>
        <v>0</v>
      </c>
      <c r="L47" s="33">
        <f>IFERROR(INDEX('[2]SALES PERTYPE'!$D$10:$BA$52,MATCH($C47,'[2]SALES PERTYPE'!$B$10:$B$52,0),MATCH("Y11d",'[2]SALES PERTYPE'!$D$8:$BA$8,0)),0)</f>
        <v>2</v>
      </c>
      <c r="M47" s="33">
        <f>IFERROR(INDEX('[2]Sales per type Agustus'!$D$10:$BA$51,MATCH($C47,'[2]Sales per type Agustus'!$B$10:$B$51,0),MATCH("Y11d",'[2]Sales per type Agustus'!$D$8:$BA$8,0)),0)</f>
        <v>1</v>
      </c>
      <c r="N47" s="33">
        <f t="shared" si="2"/>
        <v>1</v>
      </c>
      <c r="O47" s="33" cm="1">
        <f t="array" ref="O47">IFERROR(INDEX('[2]SALES PERTYPE'!$D$10:$BA$52,MATCH($C47,'[2]SALES PERTYPE'!$B$10:$B$52,0),MATCH("Y11d",'[2]SALES PERTYPE'!$D$8:$BA$8,0)+1),0)</f>
        <v>5198000</v>
      </c>
      <c r="P47" s="33" cm="1">
        <f t="array" ref="P47">IFERROR(INDEX('[2]Sales per type Agustus'!$D$10:$BA$51,MATCH($C47,'[2]Sales per type Agustus'!$B$10:$B$51,0),MATCH("Y11d",'[2]Sales per type Agustus'!$D$8:$BA$8,0)+1),0)</f>
        <v>2399000</v>
      </c>
      <c r="Q47" s="33">
        <f t="shared" si="3"/>
        <v>2799000</v>
      </c>
      <c r="R47" s="33">
        <f>IFERROR(INDEX('[2]SALES PERTYPE'!$D$10:$BA$52,MATCH($C47,'[2]SALES PERTYPE'!$B$10:$B$52,0),MATCH("Watch GT 2",'[2]SALES PERTYPE'!$D$8:$BA$8,0)),0)</f>
        <v>0</v>
      </c>
      <c r="S47" s="33">
        <f>IFERROR(INDEX('[2]Sales per type Agustus'!$D$10:$BA$51,MATCH($C47,'[2]Sales per type Agustus'!$B$10:$B$51,0),MATCH("Watch GT 2",'[2]Sales per type Agustus'!$D$8:$BA$8,0)),0)</f>
        <v>0</v>
      </c>
      <c r="T47" s="33">
        <f t="shared" si="4"/>
        <v>0</v>
      </c>
      <c r="U47" s="33" cm="1">
        <f t="array" ref="U47">IFERROR(INDEX('[2]SALES PERTYPE'!$D$10:$BA$52,MATCH($C47,'[2]SALES PERTYPE'!$B$10:$B$52,0),MATCH("Watch GT 2",'[2]SALES PERTYPE'!$D$8:$BA$8,0)+1),0)</f>
        <v>0</v>
      </c>
      <c r="V47" s="33" cm="1">
        <f t="array" ref="V47">IFERROR(INDEX('[2]Sales per type Agustus'!$D$10:$BA$51,MATCH($C47,'[2]Sales per type Agustus'!$B$10:$B$51,0),MATCH("Watch GT 2",'[2]Sales per type Agustus'!$D$8:$BA$8,0)+1),0)</f>
        <v>0</v>
      </c>
      <c r="W47" s="33">
        <f t="shared" si="5"/>
        <v>0</v>
      </c>
      <c r="X47" s="33">
        <f>IFERROR(INDEX('[2]SALES PERTYPE'!$D$10:$BA$52,MATCH($C47,'[2]SALES PERTYPE'!$B$10:$B$52,0),MATCH("Y05e",'[2]SALES PERTYPE'!$D$8:$BA$8,0)),0)</f>
        <v>0</v>
      </c>
      <c r="Y47" s="33">
        <f>IFERROR(INDEX('[2]Sales per type Agustus'!$D$10:$BA$51,MATCH($C47,'[2]Sales per type Agustus'!$B$10:$B$51,0),MATCH("Y05e",'[2]Sales per type Agustus'!$D$8:$BA$8,0)),0)</f>
        <v>0</v>
      </c>
      <c r="Z47" s="33">
        <f t="shared" si="6"/>
        <v>0</v>
      </c>
      <c r="AA47" s="33" cm="1">
        <f t="array" ref="AA47">IFERROR(INDEX('[2]SALES PERTYPE'!$D$10:$BA$52,MATCH($C47,'[2]SALES PERTYPE'!$B$10:$B$52,0),MATCH("Y05e",'[2]SALES PERTYPE'!$D$8:$BA$8,0)+1),0)</f>
        <v>0</v>
      </c>
      <c r="AB47" s="33" cm="1">
        <f t="array" ref="AB47">IFERROR(INDEX('[2]Sales per type Agustus'!$D$10:$BA$51,MATCH($C47,'[2]Sales per type Agustus'!$B$10:$B$51,0),MATCH("Y05e",'[2]Sales per type Agustus'!$D$8:$BA$8,0)+1),0)</f>
        <v>0</v>
      </c>
      <c r="AC47" s="33">
        <f t="shared" si="7"/>
        <v>0</v>
      </c>
      <c r="AD47" s="33">
        <f>IFERROR(INDEX('[2]SALES PERTYPE'!$D$10:$BA$52,MATCH($C47,'[2]SALES PERTYPE'!$B$10:$B$52,0),MATCH("V70",'[2]SALES PERTYPE'!$D$8:$BA$8,0)),0)</f>
        <v>0</v>
      </c>
      <c r="AE47" s="33">
        <f>IFERROR(INDEX('[2]Sales per type Agustus'!$D$10:$BA$51,MATCH($C47,'[2]Sales per type Agustus'!$B$10:$B$51,0),MATCH("V70",'[2]Sales per type Agustus'!$D$8:$BA$8,0)),0)</f>
        <v>2</v>
      </c>
      <c r="AF47" s="33">
        <f t="shared" si="8"/>
        <v>-2</v>
      </c>
      <c r="AG47" s="33" cm="1">
        <f t="array" ref="AG47">IFERROR(INDEX('[2]SALES PERTYPE'!$D$10:$BA$52,MATCH($C47,'[2]SALES PERTYPE'!$B$10:$B$52,0),MATCH("V70",'[2]SALES PERTYPE'!$D$8:$BA$8,0)+1),0)</f>
        <v>0</v>
      </c>
      <c r="AH47" s="33" cm="1">
        <f t="array" ref="AH47">IFERROR(INDEX('[2]Sales per type Agustus'!$D$10:$BA$51,MATCH($C47,'[2]Sales per type Agustus'!$B$10:$B$51,0),MATCH("V70",'[2]Sales per type Agustus'!$D$8:$BA$8,0)+1),0)</f>
        <v>19998000</v>
      </c>
      <c r="AI47" s="33">
        <f t="shared" si="9"/>
        <v>-19998000</v>
      </c>
      <c r="AJ47" s="33">
        <f>IFERROR(INDEX('[2]SALES PERTYPE'!$D$10:$BA$52,MATCH($C47,'[2]SALES PERTYPE'!$B$10:$B$52,0),MATCH("Y31d Pro",'[2]SALES PERTYPE'!$D$8:$BA$8,0)),0)</f>
        <v>3</v>
      </c>
      <c r="AK47" s="33">
        <f>IFERROR(INDEX('[2]Sales per type Agustus'!$D$10:$BA$51,MATCH($C47,'[2]Sales per type Agustus'!$B$10:$B$51,0),MATCH("Y31d Pro",'[2]Sales per type Agustus'!$D$8:$BA$8,0)),0)</f>
        <v>0</v>
      </c>
      <c r="AL47" s="33">
        <f t="shared" si="10"/>
        <v>3</v>
      </c>
      <c r="AM47" s="33" cm="1">
        <f t="array" ref="AM47">IFERROR(INDEX('[2]SALES PERTYPE'!$D$10:$BA$52,MATCH($C47,'[2]SALES PERTYPE'!$B$10:$B$52,0),MATCH("Y31d Pro",'[2]SALES PERTYPE'!$D$8:$BA$8,0)+1),0)</f>
        <v>13697000</v>
      </c>
      <c r="AN47" s="33" cm="1">
        <f t="array" ref="AN47">IFERROR(INDEX('[2]Sales per type Agustus'!$D$10:$BA$51,MATCH($C47,'[2]Sales per type Agustus'!$B$10:$B$51,0),MATCH("Y31d Pro",'[2]Sales per type Agustus'!$D$8:$BA$8,0)+1),0)</f>
        <v>0</v>
      </c>
      <c r="AO47" s="33">
        <f t="shared" si="11"/>
        <v>13697000</v>
      </c>
      <c r="AP47" s="33" cm="1">
        <f t="array" ref="AP47">IFERROR(INDEX('[2]SALES PERTYPE'!$D$10:$BA$52,MATCH($C47,'[2]SALES PERTYPE'!$B$10:$B$52,0),$EI$3),0)</f>
        <v>0</v>
      </c>
      <c r="AQ47" s="33" cm="1">
        <f t="array" ref="AQ47">IFERROR(INDEX('[2]Sales per type Agustus'!$D$10:$BA$51,MATCH($C47,'[2]Sales per type Agustus'!$B$10:$B$51,0),$EI$2),0)</f>
        <v>0</v>
      </c>
      <c r="AR47" s="33">
        <f t="shared" si="12"/>
        <v>0</v>
      </c>
      <c r="AS47" s="33" cm="1">
        <f t="array" ref="AS47">IFERROR(INDEX('[2]SALES PERTYPE'!$D$10:$BA$52,MATCH($C47,'[2]SALES PERTYPE'!$B$10:$B$52,0),$EI$3+1),0)</f>
        <v>0</v>
      </c>
      <c r="AT47" s="33" cm="1">
        <f t="array" ref="AT47">IFERROR(INDEX('[2]Sales per type Agustus'!$D$10:$BA$51,MATCH($C47,'[2]Sales per type Agustus'!$B$10:$B$51,0),$EI$2+1),0)</f>
        <v>0</v>
      </c>
      <c r="AU47" s="33">
        <f t="shared" si="13"/>
        <v>0</v>
      </c>
      <c r="AV47" s="33">
        <f>IFERROR(INDEX('[2]SALES PERTYPE'!$D$10:$BA$52,MATCH($C47,'[2]SALES PERTYPE'!$B$10:$B$52,0),MATCH("Y31d ",'[2]SALES PERTYPE'!$D$8:$BA$8,0)),0)</f>
        <v>0</v>
      </c>
      <c r="AW47" s="33">
        <f>IFERROR(INDEX('[2]Sales per type Agustus'!$D$10:$BA$51,MATCH($C47,'[2]Sales per type Agustus'!$B$10:$B$51,0),MATCH("Y31d ",'[2]Sales per type Agustus'!$D$8:$BA$8,0)),0)</f>
        <v>0</v>
      </c>
      <c r="AX47" s="33">
        <f t="shared" si="14"/>
        <v>0</v>
      </c>
      <c r="AY47" s="33" cm="1">
        <f t="array" ref="AY47">IFERROR(INDEX('[2]SALES PERTYPE'!$D$10:$BA$52,MATCH($C47,'[2]SALES PERTYPE'!$B$10:$B$52,0),MATCH("Y31d ",'[2]SALES PERTYPE'!$D$8:$BA$8,0)+1),0)</f>
        <v>0</v>
      </c>
      <c r="AZ47" s="33" cm="1">
        <f t="array" ref="AZ47">IFERROR(INDEX('[2]Sales per type Agustus'!$D$10:$BA$51,MATCH($C47,'[2]Sales per type Agustus'!$B$10:$B$51,0),MATCH("Y31d ",'[2]Sales per type Agustus'!$D$8:$BA$8,0)+1),0)</f>
        <v>0</v>
      </c>
      <c r="BA47" s="33">
        <f t="shared" si="15"/>
        <v>0</v>
      </c>
      <c r="BB47" s="33">
        <f>IFERROR(INDEX('[2]SALES PERTYPE'!$D$10:$BA$52,MATCH($C47,'[2]SALES PERTYPE'!$B$10:$B$52,0),MATCH("V70 FE",'[2]SALES PERTYPE'!$D$8:$BA$8,0)),0)</f>
        <v>2</v>
      </c>
      <c r="BC47" s="33">
        <f>IFERROR(INDEX('[2]Sales per type Agustus'!$D$10:$BA$51,MATCH($C47,'[2]Sales per type Agustus'!$B$10:$B$51,0),MATCH("V70 FE",'[2]Sales per type Agustus'!$D$8:$BA$8,0)),0)</f>
        <v>2</v>
      </c>
      <c r="BD47" s="33">
        <f t="shared" si="16"/>
        <v>0</v>
      </c>
      <c r="BE47" s="33" cm="1">
        <f t="array" ref="BE47">IFERROR(INDEX('[2]SALES PERTYPE'!$D$10:$BA$52,MATCH($C47,'[2]SALES PERTYPE'!$B$10:$B$52,0),MATCH("V70 FE",'[2]SALES PERTYPE'!$D$8:$BA$8,0)+1),0)</f>
        <v>14998000</v>
      </c>
      <c r="BF47" s="33" cm="1">
        <f t="array" ref="BF47">IFERROR(INDEX('[2]Sales per type Agustus'!$D$10:$BA$51,MATCH($C47,'[2]Sales per type Agustus'!$B$10:$B$51,0),MATCH("V70 FE",'[2]Sales per type Agustus'!$D$8:$BA$8,0)+1),0)</f>
        <v>12998000</v>
      </c>
      <c r="BG47" s="33">
        <f t="shared" si="17"/>
        <v>2000000</v>
      </c>
      <c r="BH47" s="33">
        <f>IFERROR(INDEX('[2]SALES PERTYPE'!$D$10:$BA$52,MATCH($C47,'[2]SALES PERTYPE'!$B$10:$B$52,0),MATCH("Y31d",'[2]SALES PERTYPE'!$D$8:$BA$8,0)),0)</f>
        <v>0</v>
      </c>
      <c r="BI47" s="33">
        <f>IFERROR(INDEX('[2]Sales per type Agustus'!$D$10:$BA$51,MATCH($C47,'[2]Sales per type Agustus'!$B$10:$B$51,0),MATCH("Y31d",'[2]Sales per type Agustus'!$D$8:$BA$8,0)),0)</f>
        <v>0</v>
      </c>
      <c r="BJ47" s="33">
        <f t="shared" si="18"/>
        <v>0</v>
      </c>
      <c r="BK47" s="33" cm="1">
        <f t="array" ref="BK47">IFERROR(INDEX('[2]SALES PERTYPE'!$D$10:$BA$52,MATCH($C47,'[2]SALES PERTYPE'!$B$10:$B$52,0),MATCH("Y31d",'[2]SALES PERTYPE'!$D$8:$BA$8,0)+1),0)</f>
        <v>0</v>
      </c>
      <c r="BL47" s="33" cm="1">
        <f t="array" ref="BL47">IFERROR(INDEX('[2]Sales per type Agustus'!$D$10:$BA$51,MATCH($C47,'[2]Sales per type Agustus'!$B$10:$B$51,0),MATCH("Y31d",'[2]Sales per type Agustus'!$D$8:$BA$8,0)+1),0)</f>
        <v>0</v>
      </c>
      <c r="BM47" s="33">
        <f t="shared" si="19"/>
        <v>0</v>
      </c>
      <c r="BN47" s="33">
        <f>IFERROR(INDEX('[2]SALES PERTYPE'!$D$10:$BA$52,MATCH($C47,'[2]SALES PERTYPE'!$B$10:$B$52,0),MATCH("Y500",'[2]SALES PERTYPE'!$D$8:$BA$8,0)),0)</f>
        <v>0</v>
      </c>
      <c r="BO47" s="33">
        <f>IFERROR(INDEX('[2]Sales per type Agustus'!$D$10:$BA$51,MATCH($C47,'[2]Sales per type Agustus'!$B$10:$B$51,0),MATCH("Y500",'[2]Sales per type Agustus'!$D$8:$BA$8,0)),0)</f>
        <v>0</v>
      </c>
      <c r="BP47" s="33">
        <f t="shared" si="20"/>
        <v>0</v>
      </c>
      <c r="BQ47" s="33" cm="1">
        <f t="array" ref="BQ47">IFERROR(INDEX('[2]SALES PERTYPE'!$D$10:$BA$52,MATCH($C47,'[2]SALES PERTYPE'!$B$10:$B$52,0),MATCH("Y500",'[2]SALES PERTYPE'!$D$8:$BA$8,0)+1),0)</f>
        <v>0</v>
      </c>
      <c r="BR47" s="33" cm="1">
        <f t="array" ref="BR47">IFERROR(INDEX('[2]Sales per type Agustus'!$D$10:$BA$51,MATCH($C47,'[2]Sales per type Agustus'!$B$10:$B$51,0),MATCH("Y500",'[2]Sales per type Agustus'!$D$8:$BA$8,0)+1),0)</f>
        <v>0</v>
      </c>
      <c r="BS47" s="33">
        <f t="shared" si="21"/>
        <v>0</v>
      </c>
      <c r="BT47" s="33">
        <f>IFERROR(INDEX('[2]SALES PERTYPE'!$D$10:$BA$52,MATCH($C47,'[2]SALES PERTYPE'!$B$10:$B$52,0),MATCH("IQOO 15R",'[2]SALES PERTYPE'!$D$8:$BA$8,0)),0)</f>
        <v>2</v>
      </c>
      <c r="BU47" s="33">
        <f>IFERROR(INDEX('[2]Sales per type Agustus'!$D$10:$BA$51,MATCH($C47,'[2]Sales per type Agustus'!$B$10:$B$51,0),MATCH("IQOO 15R",'[2]Sales per type Agustus'!$D$8:$BA$8,0)),0)</f>
        <v>0</v>
      </c>
      <c r="BV47" s="33">
        <f t="shared" si="22"/>
        <v>2</v>
      </c>
      <c r="BW47" s="33" cm="1">
        <f t="array" ref="BW47">IFERROR(INDEX('[2]SALES PERTYPE'!$D$10:$BA$52,MATCH($C47,'[2]SALES PERTYPE'!$B$10:$B$52,0),MATCH("IQOO 15R",'[2]SALES PERTYPE'!$D$8:$BA$8,0)+1),0)</f>
        <v>23998000</v>
      </c>
      <c r="BX47" s="33" cm="1">
        <f t="array" ref="BX47">IFERROR(INDEX('[2]Sales per type Agustus'!$D$10:$BA$51,MATCH($C47,'[2]Sales per type Agustus'!$B$10:$B$51,0),MATCH("IQOO 15R",'[2]Sales per type Agustus'!$D$8:$BA$8,0)+1),0)</f>
        <v>0</v>
      </c>
      <c r="BY47" s="33">
        <f t="shared" si="23"/>
        <v>23998000</v>
      </c>
      <c r="BZ47" s="33">
        <f>IFERROR(INDEX('[2]SALES PERTYPE'!$D$10:$BA$52,MATCH($C47,'[2]SALES PERTYPE'!$B$10:$B$52,0),MATCH("V60 Lite",'[2]SALES PERTYPE'!$D$8:$BA$8,0)),0)</f>
        <v>0</v>
      </c>
      <c r="CA47" s="33">
        <f>IFERROR(INDEX('[2]Sales per type Agustus'!$D$10:$BA$51,MATCH($C47,'[2]Sales per type Agustus'!$B$10:$B$51,0),MATCH("V60 Lite",'[2]Sales per type Agustus'!$D$8:$BA$8,0)),0)</f>
        <v>1</v>
      </c>
      <c r="CB47" s="33">
        <f t="shared" si="24"/>
        <v>-1</v>
      </c>
      <c r="CC47" s="33" cm="1">
        <f t="array" ref="CC47">IFERROR(INDEX('[2]SALES PERTYPE'!$D$10:$BA$52,MATCH($C47,'[2]SALES PERTYPE'!$B$10:$B$52,0),MATCH("V60 Lite",'[2]SALES PERTYPE'!$D$8:$BA$8,0)+1),0)</f>
        <v>0</v>
      </c>
      <c r="CD47" s="33" cm="1">
        <f t="array" ref="CD47">IFERROR(INDEX('[2]Sales per type Agustus'!$D$10:$BA$51,MATCH($C47,'[2]Sales per type Agustus'!$B$10:$B$51,0),MATCH("V60 Lite",'[2]Sales per type Agustus'!$D$8:$BA$8,0)+1),0)</f>
        <v>5299000</v>
      </c>
      <c r="CE47" s="33">
        <f t="shared" si="25"/>
        <v>-5299000</v>
      </c>
      <c r="CF47" s="33">
        <f>IFERROR(INDEX('[2]SALES PERTYPE'!$D$10:$BA$52,MATCH($C47,'[2]SALES PERTYPE'!$B$10:$B$52,0),MATCH("X300 Ultra",'[2]SALES PERTYPE'!$D$8:$BA$8,0)),0)</f>
        <v>2</v>
      </c>
      <c r="CG47" s="33">
        <f>IFERROR(INDEX('[2]Sales per type Agustus'!$D$10:$BA$51,MATCH($C47,'[2]Sales per type Agustus'!$B$10:$B$51,0),MATCH("X300 Ultra",'[2]Sales per type Agustus'!$D$8:$BA$8,0)),0)</f>
        <v>1</v>
      </c>
      <c r="CH47" s="33">
        <f t="shared" si="26"/>
        <v>1</v>
      </c>
      <c r="CI47" s="33" cm="1">
        <f t="array" ref="CI47">IFERROR(INDEX('[2]SALES PERTYPE'!$D$10:$BA$52,MATCH($C47,'[2]SALES PERTYPE'!$B$10:$B$52,0),MATCH("X300 Ultra",'[2]SALES PERTYPE'!$D$8:$BA$8,0)+1),0)</f>
        <v>51998000</v>
      </c>
      <c r="CJ47" s="33" cm="1">
        <f t="array" ref="CJ47">IFERROR(INDEX('[2]Sales per type Agustus'!$D$10:$BA$51,MATCH($C47,'[2]Sales per type Agustus'!$B$10:$B$51,0),MATCH("X300 Ultra",'[2]Sales per type Agustus'!$D$8:$BA$8,0)+1),0)</f>
        <v>25999000</v>
      </c>
      <c r="CK47" s="33">
        <f t="shared" si="27"/>
        <v>25999000</v>
      </c>
      <c r="CL47" s="33">
        <f>IFERROR(INDEX('[2]SALES PERTYPE'!$D$10:$BA$52,MATCH($C47,'[2]SALES PERTYPE'!$B$10:$B$52,0),MATCH("IQOO 15",'[2]SALES PERTYPE'!$D$8:$BA$8,0)),0)</f>
        <v>0</v>
      </c>
      <c r="CM47" s="33">
        <f>IFERROR(INDEX('[2]Sales per type Agustus'!$D$10:$BA$51,MATCH($C47,'[2]Sales per type Agustus'!$B$10:$B$51,0),MATCH("IQOO 15",'[2]Sales per type Agustus'!$D$8:$BA$8,0)),0)</f>
        <v>0</v>
      </c>
      <c r="CN47" s="33">
        <f t="shared" si="28"/>
        <v>0</v>
      </c>
      <c r="CO47" s="33" cm="1">
        <f t="array" ref="CO47">IFERROR(INDEX('[2]SALES PERTYPE'!$D$10:$BA$52,MATCH($C47,'[2]SALES PERTYPE'!$B$10:$B$52,0),MATCH("IQOO 15",'[2]SALES PERTYPE'!$D$8:$BA$8,0)+1),0)</f>
        <v>0</v>
      </c>
      <c r="CP47" s="33" cm="1">
        <f t="array" ref="CP47">IFERROR(INDEX('[2]Sales per type Agustus'!$D$10:$BA$51,MATCH($C47,'[2]Sales per type Agustus'!$B$10:$B$51,0),MATCH("IQOO 15",'[2]Sales per type Agustus'!$D$8:$BA$8,0)+1),0)</f>
        <v>0</v>
      </c>
      <c r="CQ47" s="33">
        <f t="shared" si="29"/>
        <v>0</v>
      </c>
      <c r="CR47" s="33">
        <f>IFERROR(INDEX('[2]SALES PERTYPE'!$D$10:$BA$52,MATCH($C47,'[2]SALES PERTYPE'!$B$10:$B$52,0),MATCH("IQOO Z11x",'[2]SALES PERTYPE'!$D$8:$BA$8,0)),0)</f>
        <v>0</v>
      </c>
      <c r="CS47" s="33">
        <f>IFERROR(INDEX('[2]Sales per type Agustus'!$D$10:$BA$51,MATCH($C47,'[2]Sales per type Agustus'!$B$10:$B$51,0),MATCH("IQOO Z11x",'[2]Sales per type Agustus'!$D$8:$BA$8,0)),0)</f>
        <v>1</v>
      </c>
      <c r="CT47" s="33">
        <f t="shared" si="30"/>
        <v>-1</v>
      </c>
      <c r="CU47" s="33" cm="1">
        <f t="array" ref="CU47">IFERROR(INDEX('[2]SALES PERTYPE'!$D$10:$BA$52,MATCH($C47,'[2]SALES PERTYPE'!$B$10:$B$52,0),MATCH("IQOO Z11x",'[2]SALES PERTYPE'!$D$8:$BA$8,0)+1),0)</f>
        <v>0</v>
      </c>
      <c r="CV47" s="33" cm="1">
        <f t="array" ref="CV47">IFERROR(INDEX('[2]Sales per type Agustus'!$D$10:$BA$51,MATCH($C47,'[2]Sales per type Agustus'!$B$10:$B$51,0),MATCH("IQOO Z11x",'[2]Sales per type Agustus'!$D$8:$BA$8,0)+1),0)</f>
        <v>5699000</v>
      </c>
      <c r="CW47" s="33">
        <f t="shared" si="31"/>
        <v>-5699000</v>
      </c>
      <c r="CX47" s="33">
        <f>IFERROR(INDEX('[2]SALES PERTYPE'!$D$10:$BA$52,MATCH($C47,'[2]SALES PERTYPE'!$B$10:$B$52,0),MATCH("IQOO Z11",'[2]SALES PERTYPE'!$D$8:$BA$8,0)),0)</f>
        <v>3</v>
      </c>
      <c r="CY47" s="33">
        <f>IFERROR(INDEX('[2]Sales per type Agustus'!$D$10:$BA$51,MATCH($C47,'[2]Sales per type Agustus'!$B$10:$B$51,0),MATCH("IQOO Z11",'[2]Sales per type Agustus'!$D$8:$BA$8,0)),0)</f>
        <v>3</v>
      </c>
      <c r="CZ47" s="33">
        <f t="shared" si="32"/>
        <v>0</v>
      </c>
      <c r="DA47" s="33" cm="1">
        <f t="array" ref="DA47">IFERROR(INDEX('[2]SALES PERTYPE'!$D$10:$BA$52,MATCH($C47,'[2]SALES PERTYPE'!$B$10:$B$52,0),MATCH("IQOO Z11",'[2]SALES PERTYPE'!$D$8:$BA$8,0)+1),0)</f>
        <v>23697000</v>
      </c>
      <c r="DB47" s="33" cm="1">
        <f t="array" ref="DB47">IFERROR(INDEX('[2]Sales per type Agustus'!$D$10:$BA$51,MATCH($C47,'[2]Sales per type Agustus'!$B$10:$B$51,0),MATCH("IQOO Z11",'[2]Sales per type Agustus'!$D$8:$BA$8,0)+1),0)</f>
        <v>20697000</v>
      </c>
      <c r="DC47" s="33">
        <f t="shared" si="33"/>
        <v>3000000</v>
      </c>
      <c r="DD47" s="33">
        <f>IFERROR(INDEX('[2]SALES PERTYPE'!$D$10:$BA$52,MATCH($C47,'[2]SALES PERTYPE'!$B$10:$B$52,0),MATCH("WATCH 3",'[2]SALES PERTYPE'!$D$8:$BA$8,0)),0)</f>
        <v>0</v>
      </c>
      <c r="DE47" s="33">
        <f>IFERROR(INDEX('[2]Sales per type Agustus'!$D$10:$BA$51,MATCH($C47,'[2]Sales per type Agustus'!$B$10:$B$51,0),MATCH("WATCH 3",'[2]Sales per type Agustus'!$D$8:$BA$8,0)),0)</f>
        <v>0</v>
      </c>
      <c r="DF47" s="33">
        <f t="shared" si="34"/>
        <v>0</v>
      </c>
      <c r="DG47" s="33" cm="1">
        <f t="array" ref="DG47">IFERROR(INDEX('[2]SALES PERTYPE'!$D$10:$BA$52,MATCH($C47,'[2]SALES PERTYPE'!$B$10:$B$52,0),MATCH("WATCH 3",'[2]SALES PERTYPE'!$D$8:$BA$8,0)+1),0)</f>
        <v>0</v>
      </c>
      <c r="DH47" s="33" cm="1">
        <f t="array" ref="DH47">IFERROR(INDEX('[2]Sales per type Agustus'!$D$10:$BA$51,MATCH($C47,'[2]Sales per type Agustus'!$B$10:$B$51,0),MATCH("WATCH 3",'[2]Sales per type Agustus'!$D$8:$BA$8,0)+1),0)</f>
        <v>0</v>
      </c>
      <c r="DI47" s="33">
        <f t="shared" si="35"/>
        <v>0</v>
      </c>
      <c r="DJ47" s="33">
        <f>IFERROR(INDEX('[2]SALES PERTYPE'!$D$10:$BA$52,MATCH($C47,'[2]SALES PERTYPE'!$B$10:$B$52,0),MATCH("X Fold5",'[2]SALES PERTYPE'!$D$8:$BA$8,0)),0)</f>
        <v>0</v>
      </c>
      <c r="DK47" s="33">
        <f>IFERROR(INDEX('[2]Sales per type Agustus'!$D$10:$BA$51,MATCH($C47,'[2]Sales per type Agustus'!$B$10:$B$51,0),MATCH("X Fold5",'[2]Sales per type Agustus'!$D$8:$BA$8,0)),0)</f>
        <v>0</v>
      </c>
      <c r="DL47" s="33">
        <f t="shared" si="36"/>
        <v>0</v>
      </c>
      <c r="DM47" s="33" cm="1">
        <f t="array" ref="DM47">IFERROR(INDEX('[2]SALES PERTYPE'!$D$10:$BA$52,MATCH($C47,'[2]SALES PERTYPE'!$B$10:$B$52,0),MATCH("X Fold5",'[2]SALES PERTYPE'!$D$8:$BA$8,0)+1),0)</f>
        <v>0</v>
      </c>
      <c r="DN47" s="33" cm="1">
        <f t="array" ref="DN47">IFERROR(INDEX('[2]Sales per type Agustus'!$D$10:$BA$51,MATCH($C47,'[2]Sales per type Agustus'!$B$10:$B$51,0),MATCH("X Fold5",'[2]Sales per type Agustus'!$D$8:$BA$8,0)+1),0)</f>
        <v>0</v>
      </c>
      <c r="DO47" s="33">
        <f t="shared" si="37"/>
        <v>0</v>
      </c>
      <c r="DP47" s="33">
        <f>IFERROR(INDEX('[2]SALES PERTYPE'!$D$10:$BA$52,MATCH($C47,'[2]SALES PERTYPE'!$B$10:$B$52,0),MATCH("X300 PRO",'[2]SALES PERTYPE'!$D$8:$BA$8,0)),0)</f>
        <v>0</v>
      </c>
      <c r="DQ47" s="33">
        <f>IFERROR(INDEX('[2]Sales per type Agustus'!$D$10:$BA$51,MATCH($C47,'[2]Sales per type Agustus'!$B$10:$B$51,0),MATCH("X300 PRO",'[2]Sales per type Agustus'!$D$8:$BA$8,0)),0)</f>
        <v>0</v>
      </c>
      <c r="DR47" s="33">
        <f t="shared" si="38"/>
        <v>0</v>
      </c>
      <c r="DS47" s="33" cm="1">
        <f t="array" ref="DS47">IFERROR(INDEX('[2]SALES PERTYPE'!$D$10:$BA$52,MATCH($C47,'[2]SALES PERTYPE'!$B$10:$B$52,0),MATCH("X300 PRO",'[2]SALES PERTYPE'!$D$8:$BA$8,0)+1),0)</f>
        <v>0</v>
      </c>
      <c r="DT47" s="33" cm="1">
        <f t="array" ref="DT47">IFERROR(INDEX('[2]Sales per type Agustus'!$D$10:$BA$51,MATCH($C47,'[2]Sales per type Agustus'!$B$10:$B$51,0),MATCH("X300 PRO",'[2]Sales per type Agustus'!$D$8:$BA$8,0)+1),0)</f>
        <v>0</v>
      </c>
      <c r="DU47" s="33">
        <f t="shared" si="39"/>
        <v>0</v>
      </c>
      <c r="DV47" s="33">
        <f>IFERROR(INDEX('[2]SALES PERTYPE'!$D$10:$BA$52,MATCH($C47,'[2]SALES PERTYPE'!$B$10:$B$52,0),MATCH("X300",'[2]SALES PERTYPE'!$D$8:$BA$8,0)),0)</f>
        <v>0</v>
      </c>
      <c r="DW47" s="33">
        <f>IFERROR(INDEX('[2]Sales per type Agustus'!$D$10:$BA$51,MATCH($C47,'[2]Sales per type Agustus'!$B$10:$B$51,0),MATCH("X300 ",'[2]Sales per type Agustus'!$D$8:$BA$8,0)),0)</f>
        <v>0</v>
      </c>
      <c r="DX47" s="33">
        <f t="shared" si="40"/>
        <v>0</v>
      </c>
      <c r="DY47" s="33" cm="1">
        <f t="array" ref="DY47">IFERROR(INDEX('[2]SALES PERTYPE'!$D$10:$BA$52,MATCH($C47,'[2]SALES PERTYPE'!$B$10:$B$52,0),MATCH("X300",'[2]SALES PERTYPE'!$D$8:$BA$8,0)+1),0)</f>
        <v>0</v>
      </c>
      <c r="DZ47" s="33" cm="1">
        <f t="array" ref="DZ47">IFERROR(INDEX('[2]Sales per type Agustus'!$D$10:$BA$51,MATCH($C47,'[2]Sales per type Agustus'!$B$10:$B$51,0),MATCH("X300 ",'[2]Sales per type Agustus'!$D$8:$BA$8,0)+1),0)</f>
        <v>0</v>
      </c>
      <c r="EA47" s="33">
        <f t="shared" si="41"/>
        <v>0</v>
      </c>
      <c r="EB47" s="33">
        <f t="shared" si="42"/>
        <v>14</v>
      </c>
      <c r="EC47" s="33">
        <f t="shared" si="42"/>
        <v>11</v>
      </c>
      <c r="ED47" s="33">
        <f t="shared" si="43"/>
        <v>3</v>
      </c>
      <c r="EE47" s="33">
        <f t="shared" si="44"/>
        <v>133586000</v>
      </c>
      <c r="EF47" s="33">
        <f t="shared" si="44"/>
        <v>93089000</v>
      </c>
      <c r="EG47" s="33">
        <f t="shared" si="45"/>
        <v>40497000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68</v>
      </c>
      <c r="B48" s="34"/>
      <c r="C48" s="34"/>
      <c r="D48" s="34"/>
      <c r="E48" s="34"/>
      <c r="F48" s="35">
        <f>SUM(F5:F47)</f>
        <v>158</v>
      </c>
      <c r="G48" s="35">
        <f>SUM(G5:G47)</f>
        <v>137</v>
      </c>
      <c r="H48" s="35">
        <f t="shared" si="0"/>
        <v>21</v>
      </c>
      <c r="I48" s="35">
        <f>SUM(I5:I47)</f>
        <v>387242000</v>
      </c>
      <c r="J48" s="35">
        <f>SUM(J5:J47)</f>
        <v>332963000</v>
      </c>
      <c r="K48" s="35">
        <f t="shared" si="1"/>
        <v>54279000</v>
      </c>
      <c r="L48" s="35">
        <f>SUM(L5:L47)</f>
        <v>186</v>
      </c>
      <c r="M48" s="35">
        <f>SUM(M5:M47)</f>
        <v>200</v>
      </c>
      <c r="N48" s="35">
        <f t="shared" si="2"/>
        <v>-14</v>
      </c>
      <c r="O48" s="35">
        <f>SUM(O5:O47)</f>
        <v>493414000</v>
      </c>
      <c r="P48" s="35">
        <f>SUM(P5:P47)</f>
        <v>529400000</v>
      </c>
      <c r="Q48" s="35">
        <f t="shared" si="3"/>
        <v>-35986000</v>
      </c>
      <c r="R48" s="35">
        <f>SUM(R5:R47)</f>
        <v>0</v>
      </c>
      <c r="S48" s="35">
        <f>SUM(S5:S47)</f>
        <v>1</v>
      </c>
      <c r="T48" s="35">
        <f t="shared" si="4"/>
        <v>-1</v>
      </c>
      <c r="U48" s="35">
        <f>SUM(U5:U47)</f>
        <v>0</v>
      </c>
      <c r="V48" s="35">
        <f>SUM(V5:V47)</f>
        <v>1799000</v>
      </c>
      <c r="W48" s="35">
        <f t="shared" si="5"/>
        <v>-1799000</v>
      </c>
      <c r="X48" s="35">
        <f>SUM(X5:X47)</f>
        <v>116</v>
      </c>
      <c r="Y48" s="35">
        <f>SUM(Y5:Y47)</f>
        <v>190</v>
      </c>
      <c r="Z48" s="35">
        <f t="shared" si="6"/>
        <v>-74</v>
      </c>
      <c r="AA48" s="35">
        <f>SUM(AA5:AA47)</f>
        <v>243484000</v>
      </c>
      <c r="AB48" s="35">
        <f>SUM(AB5:AB47)</f>
        <v>398810000</v>
      </c>
      <c r="AC48" s="35">
        <f t="shared" si="7"/>
        <v>-155326000</v>
      </c>
      <c r="AD48" s="35">
        <f>SUM(AD5:AD47)</f>
        <v>38</v>
      </c>
      <c r="AE48" s="35">
        <f>SUM(AE5:AE47)</f>
        <v>24</v>
      </c>
      <c r="AF48" s="35">
        <f t="shared" si="8"/>
        <v>14</v>
      </c>
      <c r="AG48" s="35">
        <f>SUM(AG5:AG47)</f>
        <v>379962000</v>
      </c>
      <c r="AH48" s="35">
        <f>SUM(AH5:AH47)</f>
        <v>237976000</v>
      </c>
      <c r="AI48" s="35">
        <f t="shared" si="9"/>
        <v>141986000</v>
      </c>
      <c r="AJ48" s="35">
        <f>SUM(AJ5:AJ47)</f>
        <v>93</v>
      </c>
      <c r="AK48" s="35">
        <f>SUM(AK5:AK47)</f>
        <v>113</v>
      </c>
      <c r="AL48" s="35">
        <f t="shared" si="10"/>
        <v>-20</v>
      </c>
      <c r="AM48" s="35">
        <f>SUM(AM5:AM47)</f>
        <v>411607000</v>
      </c>
      <c r="AN48" s="35">
        <f>SUM(AN5:AN47)</f>
        <v>496187000</v>
      </c>
      <c r="AO48" s="35">
        <f t="shared" si="11"/>
        <v>-84580000</v>
      </c>
      <c r="AP48" s="35">
        <f>SUM(AP5:AP47)</f>
        <v>0</v>
      </c>
      <c r="AQ48" s="35">
        <f>SUM(AQ5:AQ47)</f>
        <v>0</v>
      </c>
      <c r="AR48" s="35">
        <f t="shared" si="12"/>
        <v>0</v>
      </c>
      <c r="AS48" s="35">
        <f>SUM(AS5:AS47)</f>
        <v>0</v>
      </c>
      <c r="AT48" s="35">
        <f>SUM(AT5:AT47)</f>
        <v>0</v>
      </c>
      <c r="AU48" s="35">
        <f t="shared" si="13"/>
        <v>0</v>
      </c>
      <c r="AV48" s="35">
        <f>SUM(AV5:AV47)</f>
        <v>20</v>
      </c>
      <c r="AW48" s="35">
        <f>SUM(AW5:AW47)</f>
        <v>11</v>
      </c>
      <c r="AX48" s="35">
        <f t="shared" si="14"/>
        <v>9</v>
      </c>
      <c r="AY48" s="35">
        <f>SUM(AY5:AY47)</f>
        <v>71980000</v>
      </c>
      <c r="AZ48" s="35">
        <f>SUM(AZ5:AZ47)</f>
        <v>39589000</v>
      </c>
      <c r="BA48" s="35">
        <f t="shared" si="15"/>
        <v>32391000</v>
      </c>
      <c r="BB48" s="35">
        <f>SUM(BB5:BB47)</f>
        <v>18</v>
      </c>
      <c r="BC48" s="35">
        <f>SUM(BC5:BC47)</f>
        <v>32</v>
      </c>
      <c r="BD48" s="35">
        <f t="shared" si="16"/>
        <v>-14</v>
      </c>
      <c r="BE48" s="35">
        <f>SUM(BE5:BE47)</f>
        <v>141982000</v>
      </c>
      <c r="BF48" s="35">
        <f>SUM(BF5:BF47)</f>
        <v>228168000</v>
      </c>
      <c r="BG48" s="35">
        <f t="shared" si="17"/>
        <v>-86186000</v>
      </c>
      <c r="BH48" s="35">
        <f>SUM(BH5:BH47)</f>
        <v>22</v>
      </c>
      <c r="BI48" s="35">
        <f>SUM(BI5:BI47)</f>
        <v>7</v>
      </c>
      <c r="BJ48" s="35">
        <f t="shared" si="18"/>
        <v>15</v>
      </c>
      <c r="BK48" s="35">
        <f>SUM(BK5:BK47)</f>
        <v>79178000</v>
      </c>
      <c r="BL48" s="35">
        <f>SUM(BL5:BL47)</f>
        <v>25193000</v>
      </c>
      <c r="BM48" s="35">
        <f t="shared" si="19"/>
        <v>53985000</v>
      </c>
      <c r="BN48" s="35">
        <f>SUM(BN5:BN47)</f>
        <v>19</v>
      </c>
      <c r="BO48" s="35">
        <f>SUM(BO5:BO47)</f>
        <v>31</v>
      </c>
      <c r="BP48" s="35">
        <f t="shared" si="20"/>
        <v>-12</v>
      </c>
      <c r="BQ48" s="35">
        <f>SUM(BQ5:BQ47)</f>
        <v>110081000</v>
      </c>
      <c r="BR48" s="35">
        <f>SUM(BR5:BR47)</f>
        <v>180869000</v>
      </c>
      <c r="BS48" s="35">
        <f t="shared" si="21"/>
        <v>-70788000</v>
      </c>
      <c r="BT48" s="35">
        <f>SUM(BT5:BT47)</f>
        <v>4</v>
      </c>
      <c r="BU48" s="35">
        <f>SUM(BU5:BU47)</f>
        <v>4</v>
      </c>
      <c r="BV48" s="35">
        <f t="shared" si="22"/>
        <v>0</v>
      </c>
      <c r="BW48" s="35">
        <f>SUM(BW5:BW47)</f>
        <v>47996000</v>
      </c>
      <c r="BX48" s="35">
        <f>SUM(BX5:BX47)</f>
        <v>47996000</v>
      </c>
      <c r="BY48" s="35">
        <f t="shared" si="23"/>
        <v>0</v>
      </c>
      <c r="BZ48" s="35">
        <f>SUM(BZ5:BZ47)</f>
        <v>44</v>
      </c>
      <c r="CA48" s="35">
        <f>SUM(CA5:CA47)</f>
        <v>29</v>
      </c>
      <c r="CB48" s="35">
        <f t="shared" si="24"/>
        <v>15</v>
      </c>
      <c r="CC48" s="35">
        <f>SUM(CC5:CC47)</f>
        <v>260156000</v>
      </c>
      <c r="CD48" s="35">
        <f>SUM(CD5:CD47)</f>
        <v>162471000</v>
      </c>
      <c r="CE48" s="35">
        <f t="shared" si="25"/>
        <v>97685000</v>
      </c>
      <c r="CF48" s="35">
        <f>SUM(CF5:CF47)</f>
        <v>6</v>
      </c>
      <c r="CG48" s="35">
        <f>SUM(CG5:CG47)</f>
        <v>9</v>
      </c>
      <c r="CH48" s="35">
        <f t="shared" si="26"/>
        <v>-3</v>
      </c>
      <c r="CI48" s="35">
        <f>SUM(CI5:CI47)</f>
        <v>155994000</v>
      </c>
      <c r="CJ48" s="35">
        <f>SUM(CJ5:CJ47)</f>
        <v>241991000</v>
      </c>
      <c r="CK48" s="35">
        <f t="shared" si="27"/>
        <v>-85997000</v>
      </c>
      <c r="CL48" s="35">
        <f>SUM(CL5:CL47)</f>
        <v>0</v>
      </c>
      <c r="CM48" s="35">
        <f>SUM(CM5:CM47)</f>
        <v>1</v>
      </c>
      <c r="CN48" s="35">
        <f t="shared" si="28"/>
        <v>-1</v>
      </c>
      <c r="CO48" s="35">
        <f>SUM(CO5:CO47)</f>
        <v>0</v>
      </c>
      <c r="CP48" s="35">
        <f>SUM(CP5:CP47)</f>
        <v>15999000</v>
      </c>
      <c r="CQ48" s="35">
        <f t="shared" si="29"/>
        <v>-15999000</v>
      </c>
      <c r="CR48" s="35">
        <f>SUM(CR5:CR47)</f>
        <v>4</v>
      </c>
      <c r="CS48" s="35">
        <f>SUM(CS5:CS47)</f>
        <v>10</v>
      </c>
      <c r="CT48" s="35">
        <f t="shared" si="30"/>
        <v>-6</v>
      </c>
      <c r="CU48" s="35">
        <f>SUM(CU5:CU47)</f>
        <v>22796000</v>
      </c>
      <c r="CV48" s="35">
        <f>SUM(CV5:CV47)</f>
        <v>56790000</v>
      </c>
      <c r="CW48" s="35">
        <f t="shared" si="31"/>
        <v>-33994000</v>
      </c>
      <c r="CX48" s="35">
        <f>SUM(CX5:CX47)</f>
        <v>20</v>
      </c>
      <c r="CY48" s="35">
        <f>SUM(CY5:CY47)</f>
        <v>25</v>
      </c>
      <c r="CZ48" s="35">
        <f t="shared" si="32"/>
        <v>-5</v>
      </c>
      <c r="DA48" s="35">
        <f>SUM(DA5:DA47)</f>
        <v>143980000</v>
      </c>
      <c r="DB48" s="35">
        <f>SUM(DB5:DB47)</f>
        <v>182875000</v>
      </c>
      <c r="DC48" s="35">
        <f t="shared" si="33"/>
        <v>-38895000</v>
      </c>
      <c r="DD48" s="35">
        <f>SUM(DD5:DD47)</f>
        <v>0</v>
      </c>
      <c r="DE48" s="35">
        <f>SUM(DE5:DE47)</f>
        <v>0</v>
      </c>
      <c r="DF48" s="35">
        <f t="shared" si="34"/>
        <v>0</v>
      </c>
      <c r="DG48" s="35">
        <f>SUM(DG5:DG47)</f>
        <v>0</v>
      </c>
      <c r="DH48" s="35">
        <f>SUM(DH5:DH47)</f>
        <v>0</v>
      </c>
      <c r="DI48" s="35">
        <f t="shared" si="35"/>
        <v>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0</v>
      </c>
      <c r="DW48" s="35">
        <f>SUM(DW5:DW47)</f>
        <v>0</v>
      </c>
      <c r="DX48" s="35">
        <f t="shared" si="40"/>
        <v>0</v>
      </c>
      <c r="DY48" s="35">
        <f>SUM(DY5:DY47)</f>
        <v>0</v>
      </c>
      <c r="DZ48" s="35">
        <f>SUM(DZ5:DZ47)</f>
        <v>0</v>
      </c>
      <c r="EA48" s="35">
        <f t="shared" si="41"/>
        <v>0</v>
      </c>
      <c r="EB48" s="35">
        <f>SUM(EB5:EB47)</f>
        <v>748</v>
      </c>
      <c r="EC48" s="35">
        <f>SUM(EC5:EC47)</f>
        <v>824</v>
      </c>
      <c r="ED48" s="35">
        <f t="shared" si="43"/>
        <v>-76</v>
      </c>
      <c r="EE48" s="35">
        <f>SUM(EE5:EE47)</f>
        <v>2949852000</v>
      </c>
      <c r="EF48" s="35">
        <f>SUM(EF5:EF47)</f>
        <v>3179076000</v>
      </c>
      <c r="EG48" s="35">
        <f t="shared" si="45"/>
        <v>-229224000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4" customWidth="1"/>
    <col min="2" max="2" width="18.5" style="64" customWidth="1"/>
    <col min="3" max="3" width="25.6640625" style="64" customWidth="1"/>
    <col min="4" max="4" width="10.33203125" style="94" customWidth="1"/>
    <col min="5" max="5" width="49.5" style="64" customWidth="1"/>
    <col min="6" max="6" width="38" style="94" customWidth="1"/>
    <col min="7" max="7" width="10.6640625" style="95" bestFit="1" customWidth="1"/>
    <col min="8" max="9" width="8.6640625" style="95" customWidth="1"/>
    <col min="10" max="10" width="9.6640625" style="95" bestFit="1" customWidth="1" outlineLevel="1"/>
    <col min="11" max="13" width="8.6640625" style="95" customWidth="1"/>
    <col min="14" max="15" width="8.6640625" style="95" customWidth="1" outlineLevel="1"/>
    <col min="16" max="16" width="13.5" style="96" customWidth="1"/>
    <col min="17" max="17" width="10.83203125" style="96" customWidth="1" outlineLevel="1"/>
    <col min="18" max="25" width="8.6640625" style="95" customWidth="1"/>
    <col min="26" max="28" width="9.1640625" style="64"/>
    <col min="29" max="29" width="8.5" style="64" customWidth="1"/>
    <col min="30" max="16384" width="9.1640625" style="64"/>
  </cols>
  <sheetData>
    <row r="1" spans="1:33" ht="15" customHeight="1" x14ac:dyDescent="0.2">
      <c r="A1" s="325" t="s">
        <v>38</v>
      </c>
      <c r="B1" s="325"/>
      <c r="C1" s="325"/>
      <c r="D1" s="61" t="s">
        <v>2</v>
      </c>
      <c r="E1" s="62" t="s">
        <v>1</v>
      </c>
      <c r="F1" s="63" t="s">
        <v>3</v>
      </c>
      <c r="G1" s="326" t="s">
        <v>25</v>
      </c>
      <c r="H1" s="326"/>
      <c r="I1" s="326"/>
      <c r="J1" s="326"/>
      <c r="K1" s="326"/>
      <c r="L1" s="316" t="s">
        <v>24</v>
      </c>
      <c r="M1" s="317" t="s">
        <v>22</v>
      </c>
      <c r="N1" s="318" t="s">
        <v>106</v>
      </c>
      <c r="O1" s="319" t="s">
        <v>107</v>
      </c>
      <c r="P1" s="319"/>
      <c r="Q1" s="319"/>
      <c r="R1" s="319"/>
      <c r="S1" s="320" t="s">
        <v>108</v>
      </c>
      <c r="T1" s="320"/>
      <c r="U1" s="320"/>
      <c r="V1" s="320"/>
      <c r="W1"/>
      <c r="X1"/>
      <c r="Y1"/>
    </row>
    <row r="2" spans="1:33" ht="17" thickBot="1" x14ac:dyDescent="0.25">
      <c r="A2" s="325"/>
      <c r="B2" s="325"/>
      <c r="C2" s="325"/>
      <c r="D2" s="65">
        <v>7</v>
      </c>
      <c r="E2" s="66">
        <v>30</v>
      </c>
      <c r="F2" s="67">
        <f>D2/E2</f>
        <v>0.23333333333333334</v>
      </c>
      <c r="G2" s="326"/>
      <c r="H2" s="326"/>
      <c r="I2" s="326"/>
      <c r="J2" s="326"/>
      <c r="K2" s="326"/>
      <c r="L2" s="316"/>
      <c r="M2" s="317"/>
      <c r="N2" s="318"/>
      <c r="O2" s="319"/>
      <c r="P2" s="319"/>
      <c r="Q2" s="319"/>
      <c r="R2" s="319"/>
      <c r="S2" s="320"/>
      <c r="T2" s="320"/>
      <c r="U2" s="320"/>
      <c r="V2" s="320"/>
      <c r="W2"/>
      <c r="X2"/>
      <c r="Y2"/>
    </row>
    <row r="3" spans="1:33" s="68" customFormat="1" ht="18" customHeight="1" x14ac:dyDescent="0.2">
      <c r="A3" s="299" t="s">
        <v>17</v>
      </c>
      <c r="B3" s="301" t="s">
        <v>18</v>
      </c>
      <c r="C3" s="303" t="s">
        <v>109</v>
      </c>
      <c r="D3" s="305" t="s">
        <v>21</v>
      </c>
      <c r="E3" s="313" t="s">
        <v>110</v>
      </c>
      <c r="F3" s="313" t="s">
        <v>111</v>
      </c>
      <c r="G3" s="297" t="s">
        <v>334</v>
      </c>
      <c r="H3" s="297" t="s">
        <v>335</v>
      </c>
      <c r="I3" s="297" t="s">
        <v>29</v>
      </c>
      <c r="J3" s="297" t="s">
        <v>112</v>
      </c>
      <c r="K3" s="297" t="s">
        <v>26</v>
      </c>
      <c r="L3" s="293" t="s">
        <v>28</v>
      </c>
      <c r="M3" s="293" t="s">
        <v>28</v>
      </c>
      <c r="N3" s="295" t="s">
        <v>113</v>
      </c>
      <c r="O3" s="309" t="s">
        <v>114</v>
      </c>
      <c r="P3" s="309"/>
      <c r="Q3" s="309" t="s">
        <v>34</v>
      </c>
      <c r="R3" s="309"/>
      <c r="S3" s="310" t="s">
        <v>114</v>
      </c>
      <c r="T3" s="310"/>
      <c r="U3" s="310" t="s">
        <v>34</v>
      </c>
      <c r="V3" s="310"/>
      <c r="W3"/>
      <c r="X3"/>
      <c r="Y3"/>
    </row>
    <row r="4" spans="1:33" s="68" customFormat="1" ht="37" customHeight="1" thickBot="1" x14ac:dyDescent="0.25">
      <c r="A4" s="300"/>
      <c r="B4" s="302"/>
      <c r="C4" s="304"/>
      <c r="D4" s="305"/>
      <c r="E4" s="314"/>
      <c r="F4" s="304"/>
      <c r="G4" s="298"/>
      <c r="H4" s="298"/>
      <c r="I4" s="298"/>
      <c r="J4" s="298"/>
      <c r="K4" s="298"/>
      <c r="L4" s="294"/>
      <c r="M4" s="294"/>
      <c r="N4" s="296"/>
      <c r="O4" s="69" t="s">
        <v>115</v>
      </c>
      <c r="P4" s="69" t="s">
        <v>339</v>
      </c>
      <c r="Q4" s="69" t="s">
        <v>116</v>
      </c>
      <c r="R4" s="69" t="s">
        <v>29</v>
      </c>
      <c r="S4" s="70" t="s">
        <v>115</v>
      </c>
      <c r="T4" s="70" t="s">
        <v>339</v>
      </c>
      <c r="U4" s="70" t="s">
        <v>116</v>
      </c>
      <c r="V4" s="70" t="s">
        <v>29</v>
      </c>
      <c r="W4"/>
      <c r="X4"/>
      <c r="Y4"/>
      <c r="AC4" s="64"/>
      <c r="AD4" s="64"/>
      <c r="AE4" s="64"/>
      <c r="AF4" s="64"/>
      <c r="AG4" s="64"/>
    </row>
    <row r="5" spans="1:33" ht="17" outlineLevel="1" x14ac:dyDescent="0.2">
      <c r="A5" s="7" t="s">
        <v>117</v>
      </c>
      <c r="B5" s="71">
        <v>6010701</v>
      </c>
      <c r="C5" s="8" t="s">
        <v>42</v>
      </c>
      <c r="D5" s="306">
        <v>6</v>
      </c>
      <c r="E5" s="9" t="s">
        <v>118</v>
      </c>
      <c r="F5" s="10" t="s">
        <v>119</v>
      </c>
      <c r="G5" s="73">
        <f>IFERROR(VLOOKUP($B5,'[2]KPI Promotor'!$G:$K,5,0),0)</f>
        <v>170000000</v>
      </c>
      <c r="H5" s="74">
        <f>SUMIF('[2]SALES BY PROMOTOR'!$D:$D,$F5,'[2]SALES BY PROMOTOR'!$J:$J)</f>
        <v>23693000</v>
      </c>
      <c r="I5" s="75">
        <f>IFERROR(H5/G5,0)</f>
        <v>0.13937058823529411</v>
      </c>
      <c r="J5" s="73">
        <f>IFERROR(H5/$D$2*$E$2,0)</f>
        <v>101541428.57142858</v>
      </c>
      <c r="K5" s="76">
        <f>IFERROR(H5/M5,0)</f>
        <v>3384714.2857142859</v>
      </c>
      <c r="L5" s="77">
        <f>SUMIF('[2]SALES BY PROMOTOR'!$D:$D,$F5,'[2]SALES BY PROMOTOR'!$G:$G)</f>
        <v>3</v>
      </c>
      <c r="M5" s="77">
        <f>SUMIF('[2]SALES BY PROMOTOR'!$D:$D,$F5,'[2]SALES BY PROMOTOR'!$I:$I)</f>
        <v>7</v>
      </c>
      <c r="N5" s="75">
        <f>IFERROR(L5/M5,0)</f>
        <v>0.42857142857142855</v>
      </c>
      <c r="O5" s="78">
        <f>IFERROR(VLOOKUP($F5,'[2]Sales By Promotor Last Month'!D:G,4,0),0)</f>
        <v>14</v>
      </c>
      <c r="P5" s="78">
        <f>+L5</f>
        <v>3</v>
      </c>
      <c r="Q5" s="79">
        <f>P5-O5</f>
        <v>-11</v>
      </c>
      <c r="R5" s="80">
        <f>IFERROR(Q5/O5,0)</f>
        <v>-0.7857142857142857</v>
      </c>
      <c r="S5" s="78">
        <f>IFERROR(VLOOKUP($F5,'[2]Sales By Promotor Last Month'!D:I,6,0),0)</f>
        <v>42</v>
      </c>
      <c r="T5" s="78">
        <f>+M5</f>
        <v>7</v>
      </c>
      <c r="U5" s="79">
        <f>T5-S5</f>
        <v>-35</v>
      </c>
      <c r="V5" s="80">
        <f>IFERROR(U5/S5,0)</f>
        <v>-0.83333333333333337</v>
      </c>
      <c r="W5"/>
      <c r="X5"/>
      <c r="Y5"/>
    </row>
    <row r="6" spans="1:33" ht="17" outlineLevel="1" x14ac:dyDescent="0.2">
      <c r="A6" s="11" t="s">
        <v>117</v>
      </c>
      <c r="B6" s="71">
        <v>6010701</v>
      </c>
      <c r="C6" s="10" t="s">
        <v>42</v>
      </c>
      <c r="D6" s="307"/>
      <c r="E6" s="12" t="s">
        <v>118</v>
      </c>
      <c r="F6" s="10" t="s">
        <v>120</v>
      </c>
      <c r="G6" s="73">
        <f>IFERROR(VLOOKUP($B6,'[2]KPI Promotor'!$G:$K,5,0),0)</f>
        <v>170000000</v>
      </c>
      <c r="H6" s="74">
        <f>SUMIF('[2]SALES BY PROMOTOR'!$D:$D,$F6,'[2]SALES BY PROMOTOR'!$J:$J)</f>
        <v>44586000</v>
      </c>
      <c r="I6" s="75">
        <f t="shared" ref="I6:I69" si="0">IFERROR(H6/G6,0)</f>
        <v>0.26227058823529414</v>
      </c>
      <c r="J6" s="73">
        <f t="shared" ref="J6:J71" si="1">IFERROR(H6/$D$2*$E$2,0)</f>
        <v>191082857.14285716</v>
      </c>
      <c r="K6" s="76">
        <f t="shared" ref="K6:K71" si="2">IFERROR(H6/M6,0)</f>
        <v>3184714.2857142859</v>
      </c>
      <c r="L6" s="77">
        <f>SUMIF('[2]SALES BY PROMOTOR'!$D:$D,$F6,'[2]SALES BY PROMOTOR'!$G:$G)</f>
        <v>2</v>
      </c>
      <c r="M6" s="77">
        <f>SUMIF('[2]SALES BY PROMOTOR'!$D:$D,$F6,'[2]SALES BY PROMOTOR'!$I:$I)</f>
        <v>14</v>
      </c>
      <c r="N6" s="75">
        <f t="shared" ref="N6:N69" si="3">IFERROR(L6/M6,0)</f>
        <v>0.14285714285714285</v>
      </c>
      <c r="O6" s="78">
        <f>IFERROR(VLOOKUP($F6,'[2]Sales By Promotor Last Month'!D:G,4,0),0)</f>
        <v>17</v>
      </c>
      <c r="P6" s="78">
        <f t="shared" ref="P6:P71" si="4">+L6</f>
        <v>2</v>
      </c>
      <c r="Q6" s="79">
        <f t="shared" ref="Q6:Q69" si="5">P6-O6</f>
        <v>-15</v>
      </c>
      <c r="R6" s="80">
        <f t="shared" ref="R6:R69" si="6">IFERROR(Q6/O6,0)</f>
        <v>-0.88235294117647056</v>
      </c>
      <c r="S6" s="78">
        <f>IFERROR(VLOOKUP($F6,'[2]Sales By Promotor Last Month'!D:I,6,0),0)</f>
        <v>42</v>
      </c>
      <c r="T6" s="78">
        <f t="shared" ref="T6:T71" si="7">+M6</f>
        <v>14</v>
      </c>
      <c r="U6" s="79">
        <f t="shared" ref="U6:U69" si="8">T6-S6</f>
        <v>-28</v>
      </c>
      <c r="V6" s="80">
        <f t="shared" ref="V6:V69" si="9">IFERROR(U6/S6,0)</f>
        <v>-0.66666666666666663</v>
      </c>
      <c r="W6"/>
      <c r="X6"/>
      <c r="Y6"/>
    </row>
    <row r="7" spans="1:33" ht="15" customHeight="1" outlineLevel="1" x14ac:dyDescent="0.2">
      <c r="A7" s="11" t="s">
        <v>117</v>
      </c>
      <c r="B7" s="71">
        <v>6010701</v>
      </c>
      <c r="C7" s="10" t="s">
        <v>42</v>
      </c>
      <c r="D7" s="307"/>
      <c r="E7" s="12" t="s">
        <v>118</v>
      </c>
      <c r="F7" s="10" t="s">
        <v>121</v>
      </c>
      <c r="G7" s="73">
        <f>IFERROR(VLOOKUP($B7,'[2]KPI Promotor'!$G:$K,5,0),0)</f>
        <v>170000000</v>
      </c>
      <c r="H7" s="74">
        <f>SUMIF('[2]SALES BY PROMOTOR'!$D:$D,$F7,'[2]SALES BY PROMOTOR'!$J:$J)</f>
        <v>24991000</v>
      </c>
      <c r="I7" s="75">
        <f t="shared" si="0"/>
        <v>0.14700588235294118</v>
      </c>
      <c r="J7" s="73">
        <f t="shared" si="1"/>
        <v>107104285.71428572</v>
      </c>
      <c r="K7" s="76">
        <f t="shared" si="2"/>
        <v>2776777.777777778</v>
      </c>
      <c r="L7" s="77">
        <f>SUMIF('[2]SALES BY PROMOTOR'!$D:$D,$F7,'[2]SALES BY PROMOTOR'!$G:$G)</f>
        <v>1</v>
      </c>
      <c r="M7" s="77">
        <f>SUMIF('[2]SALES BY PROMOTOR'!$D:$D,$F7,'[2]SALES BY PROMOTOR'!$I:$I)</f>
        <v>9</v>
      </c>
      <c r="N7" s="75">
        <f t="shared" si="3"/>
        <v>0.1111111111111111</v>
      </c>
      <c r="O7" s="78">
        <f>IFERROR(VLOOKUP($F7,'[2]Sales By Promotor Last Month'!D:G,4,0),0)</f>
        <v>18</v>
      </c>
      <c r="P7" s="78">
        <f t="shared" si="4"/>
        <v>1</v>
      </c>
      <c r="Q7" s="79">
        <f t="shared" si="5"/>
        <v>-17</v>
      </c>
      <c r="R7" s="80">
        <f t="shared" si="6"/>
        <v>-0.94444444444444442</v>
      </c>
      <c r="S7" s="78">
        <f>IFERROR(VLOOKUP($F7,'[2]Sales By Promotor Last Month'!D:I,6,0),0)</f>
        <v>42</v>
      </c>
      <c r="T7" s="78">
        <f t="shared" si="7"/>
        <v>9</v>
      </c>
      <c r="U7" s="79">
        <f t="shared" si="8"/>
        <v>-33</v>
      </c>
      <c r="V7" s="80">
        <f t="shared" si="9"/>
        <v>-0.7857142857142857</v>
      </c>
      <c r="W7"/>
      <c r="X7"/>
      <c r="Y7"/>
    </row>
    <row r="8" spans="1:33" ht="17" outlineLevel="1" x14ac:dyDescent="0.2">
      <c r="A8" s="11" t="s">
        <v>117</v>
      </c>
      <c r="B8" s="71">
        <v>6010701</v>
      </c>
      <c r="C8" s="10" t="s">
        <v>42</v>
      </c>
      <c r="D8" s="307"/>
      <c r="E8" s="12" t="s">
        <v>118</v>
      </c>
      <c r="F8" s="10" t="s">
        <v>122</v>
      </c>
      <c r="G8" s="73">
        <f>IFERROR(VLOOKUP($B8,'[2]KPI Promotor'!$G:$K,5,0),0)</f>
        <v>170000000</v>
      </c>
      <c r="H8" s="74">
        <f>SUMIF('[2]SALES BY PROMOTOR'!$D:$D,$F8,'[2]SALES BY PROMOTOR'!$J:$J)</f>
        <v>18094000</v>
      </c>
      <c r="I8" s="75">
        <f t="shared" si="0"/>
        <v>0.10643529411764706</v>
      </c>
      <c r="J8" s="73">
        <f t="shared" si="1"/>
        <v>77545714.285714284</v>
      </c>
      <c r="K8" s="76">
        <f t="shared" si="2"/>
        <v>3015666.6666666665</v>
      </c>
      <c r="L8" s="77">
        <f>SUMIF('[2]SALES BY PROMOTOR'!$D:$D,$F8,'[2]SALES BY PROMOTOR'!$G:$G)</f>
        <v>1</v>
      </c>
      <c r="M8" s="77">
        <f>SUMIF('[2]SALES BY PROMOTOR'!$D:$D,$F8,'[2]SALES BY PROMOTOR'!$I:$I)</f>
        <v>6</v>
      </c>
      <c r="N8" s="75">
        <f t="shared" si="3"/>
        <v>0.16666666666666666</v>
      </c>
      <c r="O8" s="78">
        <f>IFERROR(VLOOKUP($F8,'[2]Sales By Promotor Last Month'!D:G,4,0),0)</f>
        <v>19</v>
      </c>
      <c r="P8" s="78">
        <f t="shared" si="4"/>
        <v>1</v>
      </c>
      <c r="Q8" s="79">
        <f t="shared" si="5"/>
        <v>-18</v>
      </c>
      <c r="R8" s="80">
        <f t="shared" si="6"/>
        <v>-0.94736842105263153</v>
      </c>
      <c r="S8" s="78">
        <f>IFERROR(VLOOKUP($F8,'[2]Sales By Promotor Last Month'!D:I,6,0),0)</f>
        <v>41</v>
      </c>
      <c r="T8" s="78">
        <f t="shared" si="7"/>
        <v>6</v>
      </c>
      <c r="U8" s="79">
        <f t="shared" si="8"/>
        <v>-35</v>
      </c>
      <c r="V8" s="80">
        <f t="shared" si="9"/>
        <v>-0.85365853658536583</v>
      </c>
      <c r="W8"/>
      <c r="X8"/>
      <c r="Y8"/>
    </row>
    <row r="9" spans="1:33" ht="17" outlineLevel="1" x14ac:dyDescent="0.2">
      <c r="A9" s="11" t="s">
        <v>117</v>
      </c>
      <c r="B9" s="71">
        <v>6010701</v>
      </c>
      <c r="C9" s="10" t="s">
        <v>42</v>
      </c>
      <c r="D9" s="307"/>
      <c r="E9" s="12" t="s">
        <v>118</v>
      </c>
      <c r="F9" s="10" t="s">
        <v>123</v>
      </c>
      <c r="G9" s="73">
        <f>IFERROR(VLOOKUP($B9,'[2]KPI Promotor'!$G:$K,5,0),0)</f>
        <v>170000000</v>
      </c>
      <c r="H9" s="74">
        <f>SUMIF('[2]SALES BY PROMOTOR'!$D:$D,$F9,'[2]SALES BY PROMOTOR'!$J:$J)</f>
        <v>31989000</v>
      </c>
      <c r="I9" s="75">
        <f t="shared" si="0"/>
        <v>0.18817058823529412</v>
      </c>
      <c r="J9" s="73">
        <f t="shared" si="1"/>
        <v>137095714.28571427</v>
      </c>
      <c r="K9" s="76">
        <f t="shared" si="2"/>
        <v>2908090.9090909092</v>
      </c>
      <c r="L9" s="77">
        <f>SUMIF('[2]SALES BY PROMOTOR'!$D:$D,$F9,'[2]SALES BY PROMOTOR'!$G:$G)</f>
        <v>3</v>
      </c>
      <c r="M9" s="77">
        <f>SUMIF('[2]SALES BY PROMOTOR'!$D:$D,$F9,'[2]SALES BY PROMOTOR'!$I:$I)</f>
        <v>11</v>
      </c>
      <c r="N9" s="75">
        <f t="shared" si="3"/>
        <v>0.27272727272727271</v>
      </c>
      <c r="O9" s="78">
        <f>IFERROR(VLOOKUP($F9,'[2]Sales By Promotor Last Month'!D:G,4,0),0)</f>
        <v>10</v>
      </c>
      <c r="P9" s="78">
        <f t="shared" si="4"/>
        <v>3</v>
      </c>
      <c r="Q9" s="79">
        <f t="shared" si="5"/>
        <v>-7</v>
      </c>
      <c r="R9" s="80">
        <f t="shared" si="6"/>
        <v>-0.7</v>
      </c>
      <c r="S9" s="78">
        <f>IFERROR(VLOOKUP($F9,'[2]Sales By Promotor Last Month'!D:I,6,0),0)</f>
        <v>49</v>
      </c>
      <c r="T9" s="78">
        <f t="shared" si="7"/>
        <v>11</v>
      </c>
      <c r="U9" s="79">
        <f t="shared" si="8"/>
        <v>-38</v>
      </c>
      <c r="V9" s="80">
        <f t="shared" si="9"/>
        <v>-0.77551020408163263</v>
      </c>
      <c r="W9"/>
      <c r="X9"/>
      <c r="Y9"/>
    </row>
    <row r="10" spans="1:33" ht="17" customHeight="1" outlineLevel="1" x14ac:dyDescent="0.2">
      <c r="A10" s="11" t="s">
        <v>117</v>
      </c>
      <c r="B10" s="71">
        <v>6010701</v>
      </c>
      <c r="C10" s="10" t="s">
        <v>42</v>
      </c>
      <c r="D10" s="308"/>
      <c r="E10" s="12" t="s">
        <v>118</v>
      </c>
      <c r="F10" s="10" t="s">
        <v>124</v>
      </c>
      <c r="G10" s="73">
        <f>IFERROR(VLOOKUP($B10,'[2]KPI Promotor'!$G:$K,5,0),0)</f>
        <v>170000000</v>
      </c>
      <c r="H10" s="74">
        <f>SUMIF('[2]SALES BY PROMOTOR'!$D:$D,$F10,'[2]SALES BY PROMOTOR'!$J:$J)</f>
        <v>45792000</v>
      </c>
      <c r="I10" s="75">
        <f t="shared" si="0"/>
        <v>0.26936470588235295</v>
      </c>
      <c r="J10" s="73">
        <f t="shared" si="1"/>
        <v>196251428.57142857</v>
      </c>
      <c r="K10" s="76">
        <f t="shared" si="2"/>
        <v>5724000</v>
      </c>
      <c r="L10" s="77">
        <f>SUMIF('[2]SALES BY PROMOTOR'!$D:$D,$F10,'[2]SALES BY PROMOTOR'!$G:$G)</f>
        <v>7</v>
      </c>
      <c r="M10" s="77">
        <f>SUMIF('[2]SALES BY PROMOTOR'!$D:$D,$F10,'[2]SALES BY PROMOTOR'!$I:$I)</f>
        <v>8</v>
      </c>
      <c r="N10" s="75">
        <f t="shared" si="3"/>
        <v>0.875</v>
      </c>
      <c r="O10" s="78">
        <f>IFERROR(VLOOKUP($F10,'[2]Sales By Promotor Last Month'!D:G,4,0),0)</f>
        <v>33</v>
      </c>
      <c r="P10" s="78">
        <f t="shared" si="4"/>
        <v>7</v>
      </c>
      <c r="Q10" s="79">
        <f t="shared" si="5"/>
        <v>-26</v>
      </c>
      <c r="R10" s="80">
        <f t="shared" si="6"/>
        <v>-0.78787878787878785</v>
      </c>
      <c r="S10" s="78">
        <f>IFERROR(VLOOKUP($F10,'[2]Sales By Promotor Last Month'!D:I,6,0),0)</f>
        <v>54</v>
      </c>
      <c r="T10" s="78">
        <f t="shared" si="7"/>
        <v>8</v>
      </c>
      <c r="U10" s="79">
        <f t="shared" si="8"/>
        <v>-46</v>
      </c>
      <c r="V10" s="80">
        <f t="shared" si="9"/>
        <v>-0.85185185185185186</v>
      </c>
      <c r="W10"/>
      <c r="X10"/>
      <c r="Y10"/>
    </row>
    <row r="11" spans="1:33" ht="17" outlineLevel="1" x14ac:dyDescent="0.2">
      <c r="A11" s="11" t="s">
        <v>117</v>
      </c>
      <c r="B11" s="71">
        <v>6010702</v>
      </c>
      <c r="C11" s="10" t="s">
        <v>42</v>
      </c>
      <c r="D11" s="306">
        <v>6</v>
      </c>
      <c r="E11" s="12" t="s">
        <v>125</v>
      </c>
      <c r="F11" s="10" t="s">
        <v>126</v>
      </c>
      <c r="G11" s="73">
        <f>IFERROR(VLOOKUP($B11,'[2]KPI Promotor'!$G:$K,5,0),0)</f>
        <v>170000000</v>
      </c>
      <c r="H11" s="74">
        <f>SUMIF('[2]SALES BY PROMOTOR'!$D:$D,$F11,'[2]SALES BY PROMOTOR'!$J:$J)</f>
        <v>62185000</v>
      </c>
      <c r="I11" s="75">
        <f t="shared" si="0"/>
        <v>0.36579411764705883</v>
      </c>
      <c r="J11" s="73">
        <f t="shared" si="1"/>
        <v>266507142.85714287</v>
      </c>
      <c r="K11" s="76">
        <f t="shared" si="2"/>
        <v>4145666.6666666665</v>
      </c>
      <c r="L11" s="77">
        <f>SUMIF('[2]SALES BY PROMOTOR'!$D:$D,$F11,'[2]SALES BY PROMOTOR'!$G:$G)</f>
        <v>5</v>
      </c>
      <c r="M11" s="77">
        <f>SUMIF('[2]SALES BY PROMOTOR'!$D:$D,$F11,'[2]SALES BY PROMOTOR'!$I:$I)</f>
        <v>15</v>
      </c>
      <c r="N11" s="75">
        <f t="shared" si="3"/>
        <v>0.33333333333333331</v>
      </c>
      <c r="O11" s="78">
        <f>IFERROR(VLOOKUP($F11,'[2]Sales By Promotor Last Month'!D:G,4,0),0)</f>
        <v>16</v>
      </c>
      <c r="P11" s="78">
        <f t="shared" si="4"/>
        <v>5</v>
      </c>
      <c r="Q11" s="79">
        <f t="shared" si="5"/>
        <v>-11</v>
      </c>
      <c r="R11" s="80">
        <f t="shared" si="6"/>
        <v>-0.6875</v>
      </c>
      <c r="S11" s="78">
        <f>IFERROR(VLOOKUP($F11,'[2]Sales By Promotor Last Month'!D:I,6,0),0)</f>
        <v>51</v>
      </c>
      <c r="T11" s="78">
        <f t="shared" si="7"/>
        <v>15</v>
      </c>
      <c r="U11" s="79">
        <f t="shared" si="8"/>
        <v>-36</v>
      </c>
      <c r="V11" s="80">
        <f t="shared" si="9"/>
        <v>-0.70588235294117652</v>
      </c>
      <c r="W11"/>
      <c r="X11"/>
      <c r="Y11"/>
    </row>
    <row r="12" spans="1:33" ht="17" outlineLevel="1" x14ac:dyDescent="0.2">
      <c r="A12" s="11" t="s">
        <v>117</v>
      </c>
      <c r="B12" s="71">
        <v>6010702</v>
      </c>
      <c r="C12" s="10" t="s">
        <v>42</v>
      </c>
      <c r="D12" s="307"/>
      <c r="E12" s="12" t="s">
        <v>125</v>
      </c>
      <c r="F12" s="10" t="s">
        <v>127</v>
      </c>
      <c r="G12" s="73">
        <f>IFERROR(VLOOKUP($B12,'[2]KPI Promotor'!$G:$K,5,0),0)</f>
        <v>170000000</v>
      </c>
      <c r="H12" s="74">
        <f>SUMIF('[2]SALES BY PROMOTOR'!$D:$D,$F12,'[2]SALES BY PROMOTOR'!$J:$J)</f>
        <v>59886000</v>
      </c>
      <c r="I12" s="75">
        <f t="shared" si="0"/>
        <v>0.35227058823529411</v>
      </c>
      <c r="J12" s="73">
        <f t="shared" si="1"/>
        <v>256654285.7142857</v>
      </c>
      <c r="K12" s="76">
        <f t="shared" si="2"/>
        <v>4277571.4285714282</v>
      </c>
      <c r="L12" s="77">
        <f>SUMIF('[2]SALES BY PROMOTOR'!$D:$D,$F12,'[2]SALES BY PROMOTOR'!$G:$G)</f>
        <v>3</v>
      </c>
      <c r="M12" s="77">
        <f>SUMIF('[2]SALES BY PROMOTOR'!$D:$D,$F12,'[2]SALES BY PROMOTOR'!$I:$I)</f>
        <v>14</v>
      </c>
      <c r="N12" s="75">
        <f t="shared" si="3"/>
        <v>0.21428571428571427</v>
      </c>
      <c r="O12" s="78">
        <f>IFERROR(VLOOKUP($F12,'[2]Sales By Promotor Last Month'!D:G,4,0),0)</f>
        <v>17</v>
      </c>
      <c r="P12" s="78">
        <f t="shared" si="4"/>
        <v>3</v>
      </c>
      <c r="Q12" s="79">
        <f t="shared" si="5"/>
        <v>-14</v>
      </c>
      <c r="R12" s="80">
        <f t="shared" si="6"/>
        <v>-0.82352941176470584</v>
      </c>
      <c r="S12" s="78">
        <f>IFERROR(VLOOKUP($F12,'[2]Sales By Promotor Last Month'!D:I,6,0),0)</f>
        <v>58</v>
      </c>
      <c r="T12" s="78">
        <f t="shared" si="7"/>
        <v>14</v>
      </c>
      <c r="U12" s="79">
        <f t="shared" si="8"/>
        <v>-44</v>
      </c>
      <c r="V12" s="80">
        <f t="shared" si="9"/>
        <v>-0.75862068965517238</v>
      </c>
      <c r="W12"/>
      <c r="X12"/>
      <c r="Y12"/>
    </row>
    <row r="13" spans="1:33" ht="17" outlineLevel="1" x14ac:dyDescent="0.2">
      <c r="A13" s="11" t="s">
        <v>117</v>
      </c>
      <c r="B13" s="71">
        <v>6010702</v>
      </c>
      <c r="C13" s="10" t="s">
        <v>42</v>
      </c>
      <c r="D13" s="307"/>
      <c r="E13" s="12" t="s">
        <v>125</v>
      </c>
      <c r="F13" s="10" t="s">
        <v>128</v>
      </c>
      <c r="G13" s="73">
        <f>IFERROR(VLOOKUP($B13,'[2]KPI Promotor'!$G:$K,5,0),0)</f>
        <v>170000000</v>
      </c>
      <c r="H13" s="74">
        <f>SUMIF('[2]SALES BY PROMOTOR'!$D:$D,$F13,'[2]SALES BY PROMOTOR'!$J:$J)</f>
        <v>28589000</v>
      </c>
      <c r="I13" s="75">
        <f t="shared" si="0"/>
        <v>0.16817058823529413</v>
      </c>
      <c r="J13" s="73">
        <f t="shared" si="1"/>
        <v>122524285.71428572</v>
      </c>
      <c r="K13" s="76">
        <f t="shared" si="2"/>
        <v>2599000</v>
      </c>
      <c r="L13" s="77">
        <f>SUMIF('[2]SALES BY PROMOTOR'!$D:$D,$F13,'[2]SALES BY PROMOTOR'!$G:$G)</f>
        <v>2</v>
      </c>
      <c r="M13" s="77">
        <f>SUMIF('[2]SALES BY PROMOTOR'!$D:$D,$F13,'[2]SALES BY PROMOTOR'!$I:$I)</f>
        <v>11</v>
      </c>
      <c r="N13" s="75">
        <f t="shared" si="3"/>
        <v>0.18181818181818182</v>
      </c>
      <c r="O13" s="78">
        <f>IFERROR(VLOOKUP($F13,'[2]Sales By Promotor Last Month'!D:G,4,0),0)</f>
        <v>17</v>
      </c>
      <c r="P13" s="78">
        <f t="shared" si="4"/>
        <v>2</v>
      </c>
      <c r="Q13" s="79">
        <f t="shared" si="5"/>
        <v>-15</v>
      </c>
      <c r="R13" s="80">
        <f t="shared" si="6"/>
        <v>-0.88235294117647056</v>
      </c>
      <c r="S13" s="78">
        <f>IFERROR(VLOOKUP($F13,'[2]Sales By Promotor Last Month'!D:I,6,0),0)</f>
        <v>47</v>
      </c>
      <c r="T13" s="78">
        <f t="shared" si="7"/>
        <v>11</v>
      </c>
      <c r="U13" s="79">
        <f t="shared" si="8"/>
        <v>-36</v>
      </c>
      <c r="V13" s="80">
        <f t="shared" si="9"/>
        <v>-0.76595744680851063</v>
      </c>
      <c r="W13"/>
      <c r="X13"/>
      <c r="Y13"/>
    </row>
    <row r="14" spans="1:33" ht="17" outlineLevel="1" x14ac:dyDescent="0.2">
      <c r="A14" s="11" t="s">
        <v>117</v>
      </c>
      <c r="B14" s="71">
        <v>6010702</v>
      </c>
      <c r="C14" s="10" t="s">
        <v>42</v>
      </c>
      <c r="D14" s="307"/>
      <c r="E14" s="12" t="s">
        <v>125</v>
      </c>
      <c r="F14" s="10" t="s">
        <v>129</v>
      </c>
      <c r="G14" s="73">
        <f>IFERROR(VLOOKUP($B14,'[2]KPI Promotor'!$G:$K,5,0),0)</f>
        <v>170000000</v>
      </c>
      <c r="H14" s="74">
        <f>SUMIF('[2]SALES BY PROMOTOR'!$D:$D,$F14,'[2]SALES BY PROMOTOR'!$J:$J)</f>
        <v>19793000</v>
      </c>
      <c r="I14" s="75">
        <f t="shared" si="0"/>
        <v>0.11642941176470588</v>
      </c>
      <c r="J14" s="73">
        <f t="shared" si="1"/>
        <v>84827142.857142866</v>
      </c>
      <c r="K14" s="76">
        <f t="shared" si="2"/>
        <v>2827571.4285714286</v>
      </c>
      <c r="L14" s="77">
        <f>SUMIF('[2]SALES BY PROMOTOR'!$D:$D,$F14,'[2]SALES BY PROMOTOR'!$G:$G)</f>
        <v>1</v>
      </c>
      <c r="M14" s="77">
        <f>SUMIF('[2]SALES BY PROMOTOR'!$D:$D,$F14,'[2]SALES BY PROMOTOR'!$I:$I)</f>
        <v>7</v>
      </c>
      <c r="N14" s="75">
        <f t="shared" si="3"/>
        <v>0.14285714285714285</v>
      </c>
      <c r="O14" s="78">
        <f>IFERROR(VLOOKUP($F14,'[2]Sales By Promotor Last Month'!D:G,4,0),0)</f>
        <v>10</v>
      </c>
      <c r="P14" s="78">
        <f t="shared" si="4"/>
        <v>1</v>
      </c>
      <c r="Q14" s="79">
        <f t="shared" si="5"/>
        <v>-9</v>
      </c>
      <c r="R14" s="80">
        <f t="shared" si="6"/>
        <v>-0.9</v>
      </c>
      <c r="S14" s="78">
        <f>IFERROR(VLOOKUP($F14,'[2]Sales By Promotor Last Month'!D:I,6,0),0)</f>
        <v>40</v>
      </c>
      <c r="T14" s="78">
        <f t="shared" si="7"/>
        <v>7</v>
      </c>
      <c r="U14" s="79">
        <f t="shared" si="8"/>
        <v>-33</v>
      </c>
      <c r="V14" s="80">
        <f t="shared" si="9"/>
        <v>-0.82499999999999996</v>
      </c>
      <c r="W14"/>
      <c r="X14"/>
      <c r="Y14"/>
    </row>
    <row r="15" spans="1:33" ht="17" outlineLevel="1" x14ac:dyDescent="0.2">
      <c r="A15" s="11" t="s">
        <v>117</v>
      </c>
      <c r="B15" s="71">
        <v>6010702</v>
      </c>
      <c r="C15" s="10" t="s">
        <v>42</v>
      </c>
      <c r="D15" s="307"/>
      <c r="E15" s="12" t="s">
        <v>125</v>
      </c>
      <c r="F15" s="10" t="s">
        <v>130</v>
      </c>
      <c r="G15" s="73">
        <f>IFERROR(VLOOKUP($B15,'[2]KPI Promotor'!$G:$K,5,0),0)</f>
        <v>170000000</v>
      </c>
      <c r="H15" s="74">
        <f>SUMIF('[2]SALES BY PROMOTOR'!$D:$D,$F15,'[2]SALES BY PROMOTOR'!$J:$J)</f>
        <v>32988000</v>
      </c>
      <c r="I15" s="75">
        <f t="shared" si="0"/>
        <v>0.19404705882352941</v>
      </c>
      <c r="J15" s="73">
        <f t="shared" si="1"/>
        <v>141377142.85714284</v>
      </c>
      <c r="K15" s="76">
        <f t="shared" si="2"/>
        <v>2749000</v>
      </c>
      <c r="L15" s="77">
        <f>SUMIF('[2]SALES BY PROMOTOR'!$D:$D,$F15,'[2]SALES BY PROMOTOR'!$G:$G)</f>
        <v>2</v>
      </c>
      <c r="M15" s="77">
        <f>SUMIF('[2]SALES BY PROMOTOR'!$D:$D,$F15,'[2]SALES BY PROMOTOR'!$I:$I)</f>
        <v>12</v>
      </c>
      <c r="N15" s="75">
        <f t="shared" si="3"/>
        <v>0.16666666666666666</v>
      </c>
      <c r="O15" s="78">
        <f>IFERROR(VLOOKUP($F15,'[2]Sales By Promotor Last Month'!D:G,4,0),0)</f>
        <v>11</v>
      </c>
      <c r="P15" s="78">
        <f t="shared" si="4"/>
        <v>2</v>
      </c>
      <c r="Q15" s="79">
        <f t="shared" si="5"/>
        <v>-9</v>
      </c>
      <c r="R15" s="80">
        <f t="shared" si="6"/>
        <v>-0.81818181818181823</v>
      </c>
      <c r="S15" s="78">
        <f>IFERROR(VLOOKUP($F15,'[2]Sales By Promotor Last Month'!D:I,6,0),0)</f>
        <v>49</v>
      </c>
      <c r="T15" s="78">
        <f t="shared" si="7"/>
        <v>12</v>
      </c>
      <c r="U15" s="79">
        <f t="shared" si="8"/>
        <v>-37</v>
      </c>
      <c r="V15" s="80">
        <f t="shared" si="9"/>
        <v>-0.75510204081632648</v>
      </c>
      <c r="W15"/>
      <c r="X15"/>
      <c r="Y15"/>
    </row>
    <row r="16" spans="1:33" ht="17" outlineLevel="1" x14ac:dyDescent="0.2">
      <c r="A16" s="11" t="s">
        <v>117</v>
      </c>
      <c r="B16" s="71">
        <v>6010702</v>
      </c>
      <c r="C16" s="10" t="s">
        <v>42</v>
      </c>
      <c r="D16" s="308"/>
      <c r="E16" s="12" t="s">
        <v>125</v>
      </c>
      <c r="F16" s="10" t="s">
        <v>131</v>
      </c>
      <c r="G16" s="73">
        <f>IFERROR(VLOOKUP($B16,'[2]KPI Promotor'!$G:$K,5,0),0)</f>
        <v>170000000</v>
      </c>
      <c r="H16" s="74">
        <f>SUMIF('[2]SALES BY PROMOTOR'!$D:$D,$F16,'[2]SALES BY PROMOTOR'!$J:$J)</f>
        <v>16996000</v>
      </c>
      <c r="I16" s="75">
        <f t="shared" si="0"/>
        <v>9.9976470588235292E-2</v>
      </c>
      <c r="J16" s="73">
        <f t="shared" si="1"/>
        <v>72840000</v>
      </c>
      <c r="K16" s="76">
        <f t="shared" si="2"/>
        <v>4249000</v>
      </c>
      <c r="L16" s="77">
        <f>SUMIF('[2]SALES BY PROMOTOR'!$D:$D,$F16,'[2]SALES BY PROMOTOR'!$G:$G)</f>
        <v>1</v>
      </c>
      <c r="M16" s="77">
        <f>SUMIF('[2]SALES BY PROMOTOR'!$D:$D,$F16,'[2]SALES BY PROMOTOR'!$I:$I)</f>
        <v>4</v>
      </c>
      <c r="N16" s="75">
        <f t="shared" si="3"/>
        <v>0.25</v>
      </c>
      <c r="O16" s="78">
        <f>IFERROR(VLOOKUP($F16,'[2]Sales By Promotor Last Month'!D:G,4,0),0)</f>
        <v>6</v>
      </c>
      <c r="P16" s="78">
        <f t="shared" si="4"/>
        <v>1</v>
      </c>
      <c r="Q16" s="79">
        <f t="shared" si="5"/>
        <v>-5</v>
      </c>
      <c r="R16" s="80">
        <f t="shared" si="6"/>
        <v>-0.83333333333333337</v>
      </c>
      <c r="S16" s="78">
        <f>IFERROR(VLOOKUP($F16,'[2]Sales By Promotor Last Month'!D:I,6,0),0)</f>
        <v>40</v>
      </c>
      <c r="T16" s="78">
        <f t="shared" si="7"/>
        <v>4</v>
      </c>
      <c r="U16" s="79">
        <f t="shared" si="8"/>
        <v>-36</v>
      </c>
      <c r="V16" s="80">
        <f t="shared" si="9"/>
        <v>-0.9</v>
      </c>
      <c r="W16"/>
      <c r="X16"/>
      <c r="Y16"/>
    </row>
    <row r="17" spans="1:25" ht="17" outlineLevel="1" x14ac:dyDescent="0.2">
      <c r="A17" s="11" t="s">
        <v>117</v>
      </c>
      <c r="B17" s="71">
        <v>6010703</v>
      </c>
      <c r="C17" s="10" t="s">
        <v>43</v>
      </c>
      <c r="D17" s="306">
        <v>3</v>
      </c>
      <c r="E17" s="12" t="s">
        <v>132</v>
      </c>
      <c r="F17" s="10" t="s">
        <v>133</v>
      </c>
      <c r="G17" s="73">
        <f>IFERROR(VLOOKUP($B17,'[2]KPI Promotor'!$G:$K,5,0),0)</f>
        <v>170000000</v>
      </c>
      <c r="H17" s="74">
        <f>SUMIF('[2]SALES BY PROMOTOR'!$D:$D,$F17,'[2]SALES BY PROMOTOR'!$J:$J)</f>
        <v>31589000</v>
      </c>
      <c r="I17" s="75">
        <f t="shared" si="0"/>
        <v>0.18581764705882353</v>
      </c>
      <c r="J17" s="73">
        <f t="shared" si="1"/>
        <v>135381428.57142857</v>
      </c>
      <c r="K17" s="76">
        <f t="shared" si="2"/>
        <v>2871727.2727272729</v>
      </c>
      <c r="L17" s="77">
        <f>SUMIF('[2]SALES BY PROMOTOR'!$D:$D,$F17,'[2]SALES BY PROMOTOR'!$G:$G)</f>
        <v>3</v>
      </c>
      <c r="M17" s="77">
        <f>SUMIF('[2]SALES BY PROMOTOR'!$D:$D,$F17,'[2]SALES BY PROMOTOR'!$I:$I)</f>
        <v>11</v>
      </c>
      <c r="N17" s="75">
        <f t="shared" si="3"/>
        <v>0.27272727272727271</v>
      </c>
      <c r="O17" s="78">
        <f>IFERROR(VLOOKUP($F17,'[2]Sales By Promotor Last Month'!D:G,4,0),0)</f>
        <v>12</v>
      </c>
      <c r="P17" s="78">
        <f t="shared" si="4"/>
        <v>3</v>
      </c>
      <c r="Q17" s="79">
        <f t="shared" si="5"/>
        <v>-9</v>
      </c>
      <c r="R17" s="80">
        <f t="shared" si="6"/>
        <v>-0.75</v>
      </c>
      <c r="S17" s="78">
        <f>IFERROR(VLOOKUP($F17,'[2]Sales By Promotor Last Month'!D:I,6,0),0)</f>
        <v>50</v>
      </c>
      <c r="T17" s="78">
        <f t="shared" si="7"/>
        <v>11</v>
      </c>
      <c r="U17" s="79">
        <f t="shared" si="8"/>
        <v>-39</v>
      </c>
      <c r="V17" s="80">
        <f t="shared" si="9"/>
        <v>-0.78</v>
      </c>
      <c r="W17"/>
      <c r="X17"/>
      <c r="Y17"/>
    </row>
    <row r="18" spans="1:25" ht="17" outlineLevel="1" x14ac:dyDescent="0.2">
      <c r="A18" s="11" t="s">
        <v>117</v>
      </c>
      <c r="B18" s="71">
        <v>6010703</v>
      </c>
      <c r="C18" s="10" t="s">
        <v>43</v>
      </c>
      <c r="D18" s="307"/>
      <c r="E18" s="12" t="s">
        <v>132</v>
      </c>
      <c r="F18" s="10" t="s">
        <v>134</v>
      </c>
      <c r="G18" s="73">
        <f>IFERROR(VLOOKUP($B18,'[2]KPI Promotor'!$G:$K,5,0),0)</f>
        <v>170000000</v>
      </c>
      <c r="H18" s="74">
        <f>SUMIF('[2]SALES BY PROMOTOR'!$D:$D,$F18,'[2]SALES BY PROMOTOR'!$J:$J)</f>
        <v>16693000</v>
      </c>
      <c r="I18" s="75">
        <f t="shared" si="0"/>
        <v>9.8194117647058821E-2</v>
      </c>
      <c r="J18" s="73">
        <f t="shared" si="1"/>
        <v>71541428.571428582</v>
      </c>
      <c r="K18" s="76">
        <f t="shared" si="2"/>
        <v>2384714.2857142859</v>
      </c>
      <c r="L18" s="77">
        <f>SUMIF('[2]SALES BY PROMOTOR'!$D:$D,$F18,'[2]SALES BY PROMOTOR'!$G:$G)</f>
        <v>0</v>
      </c>
      <c r="M18" s="77">
        <f>SUMIF('[2]SALES BY PROMOTOR'!$D:$D,$F18,'[2]SALES BY PROMOTOR'!$I:$I)</f>
        <v>7</v>
      </c>
      <c r="N18" s="75">
        <f t="shared" si="3"/>
        <v>0</v>
      </c>
      <c r="O18" s="78">
        <f>IFERROR(VLOOKUP($F18,'[2]Sales By Promotor Last Month'!D:G,4,0),0)</f>
        <v>3</v>
      </c>
      <c r="P18" s="78">
        <f t="shared" si="4"/>
        <v>0</v>
      </c>
      <c r="Q18" s="79">
        <f t="shared" si="5"/>
        <v>-3</v>
      </c>
      <c r="R18" s="80">
        <f t="shared" si="6"/>
        <v>-1</v>
      </c>
      <c r="S18" s="78">
        <f>IFERROR(VLOOKUP($F18,'[2]Sales By Promotor Last Month'!D:I,6,0),0)</f>
        <v>41</v>
      </c>
      <c r="T18" s="78">
        <f t="shared" si="7"/>
        <v>7</v>
      </c>
      <c r="U18" s="79">
        <f t="shared" si="8"/>
        <v>-34</v>
      </c>
      <c r="V18" s="80">
        <f t="shared" si="9"/>
        <v>-0.82926829268292679</v>
      </c>
      <c r="W18"/>
      <c r="X18"/>
      <c r="Y18"/>
    </row>
    <row r="19" spans="1:25" ht="17" outlineLevel="1" x14ac:dyDescent="0.2">
      <c r="A19" s="11" t="s">
        <v>117</v>
      </c>
      <c r="B19" s="71">
        <v>6010703</v>
      </c>
      <c r="C19" s="10" t="s">
        <v>43</v>
      </c>
      <c r="D19" s="308"/>
      <c r="E19" s="12" t="s">
        <v>132</v>
      </c>
      <c r="F19" s="10" t="s">
        <v>135</v>
      </c>
      <c r="G19" s="73">
        <f>IFERROR(VLOOKUP($B19,'[2]KPI Promotor'!$G:$K,5,0),0)</f>
        <v>170000000</v>
      </c>
      <c r="H19" s="74">
        <f>SUMIF('[2]SALES BY PROMOTOR'!$D:$D,$F19,'[2]SALES BY PROMOTOR'!$J:$J)</f>
        <v>18492000</v>
      </c>
      <c r="I19" s="75">
        <f t="shared" si="0"/>
        <v>0.10877647058823529</v>
      </c>
      <c r="J19" s="73">
        <f t="shared" si="1"/>
        <v>79251428.571428582</v>
      </c>
      <c r="K19" s="76">
        <f t="shared" si="2"/>
        <v>2311500</v>
      </c>
      <c r="L19" s="77">
        <f>SUMIF('[2]SALES BY PROMOTOR'!$D:$D,$F19,'[2]SALES BY PROMOTOR'!$G:$G)</f>
        <v>0</v>
      </c>
      <c r="M19" s="77">
        <f>SUMIF('[2]SALES BY PROMOTOR'!$D:$D,$F19,'[2]SALES BY PROMOTOR'!$I:$I)</f>
        <v>8</v>
      </c>
      <c r="N19" s="75">
        <f t="shared" si="3"/>
        <v>0</v>
      </c>
      <c r="O19" s="78">
        <f>IFERROR(VLOOKUP($F19,'[2]Sales By Promotor Last Month'!D:G,4,0),0)</f>
        <v>8</v>
      </c>
      <c r="P19" s="78">
        <f t="shared" si="4"/>
        <v>0</v>
      </c>
      <c r="Q19" s="79">
        <f t="shared" si="5"/>
        <v>-8</v>
      </c>
      <c r="R19" s="80">
        <f t="shared" si="6"/>
        <v>-1</v>
      </c>
      <c r="S19" s="78">
        <f>IFERROR(VLOOKUP($F19,'[2]Sales By Promotor Last Month'!D:I,6,0),0)</f>
        <v>47</v>
      </c>
      <c r="T19" s="78">
        <f t="shared" si="7"/>
        <v>8</v>
      </c>
      <c r="U19" s="79">
        <f t="shared" si="8"/>
        <v>-39</v>
      </c>
      <c r="V19" s="80">
        <f t="shared" si="9"/>
        <v>-0.82978723404255317</v>
      </c>
      <c r="W19"/>
      <c r="X19"/>
      <c r="Y19"/>
    </row>
    <row r="20" spans="1:25" ht="17" outlineLevel="1" x14ac:dyDescent="0.2">
      <c r="A20" s="11" t="s">
        <v>117</v>
      </c>
      <c r="B20" s="71">
        <v>6010708</v>
      </c>
      <c r="C20" s="10" t="s">
        <v>41</v>
      </c>
      <c r="D20" s="306">
        <v>3</v>
      </c>
      <c r="E20" s="12" t="s">
        <v>136</v>
      </c>
      <c r="F20" s="10" t="s">
        <v>137</v>
      </c>
      <c r="G20" s="73">
        <f>IFERROR(VLOOKUP($B20,'[2]KPI Promotor'!$G:$K,5,0),0)</f>
        <v>170000000</v>
      </c>
      <c r="H20" s="74">
        <f>SUMIF('[2]SALES BY PROMOTOR'!$D:$D,$F20,'[2]SALES BY PROMOTOR'!$J:$J)</f>
        <v>70390000</v>
      </c>
      <c r="I20" s="75">
        <f t="shared" si="0"/>
        <v>0.41405882352941176</v>
      </c>
      <c r="J20" s="73">
        <f t="shared" si="1"/>
        <v>301671428.57142854</v>
      </c>
      <c r="K20" s="76">
        <f t="shared" si="2"/>
        <v>7039000</v>
      </c>
      <c r="L20" s="77">
        <f>SUMIF('[2]SALES BY PROMOTOR'!$D:$D,$F20,'[2]SALES BY PROMOTOR'!$G:$G)</f>
        <v>5</v>
      </c>
      <c r="M20" s="77">
        <f>SUMIF('[2]SALES BY PROMOTOR'!$D:$D,$F20,'[2]SALES BY PROMOTOR'!$I:$I)</f>
        <v>10</v>
      </c>
      <c r="N20" s="75">
        <f t="shared" si="3"/>
        <v>0.5</v>
      </c>
      <c r="O20" s="78">
        <f>IFERROR(VLOOKUP($F20,'[2]Sales By Promotor Last Month'!D:G,4,0),0)</f>
        <v>11</v>
      </c>
      <c r="P20" s="78">
        <f t="shared" si="4"/>
        <v>5</v>
      </c>
      <c r="Q20" s="79">
        <f t="shared" si="5"/>
        <v>-6</v>
      </c>
      <c r="R20" s="80">
        <f t="shared" si="6"/>
        <v>-0.54545454545454541</v>
      </c>
      <c r="S20" s="78">
        <f>IFERROR(VLOOKUP($F20,'[2]Sales By Promotor Last Month'!D:I,6,0),0)</f>
        <v>17</v>
      </c>
      <c r="T20" s="78">
        <f t="shared" si="7"/>
        <v>10</v>
      </c>
      <c r="U20" s="79">
        <f t="shared" si="8"/>
        <v>-7</v>
      </c>
      <c r="V20" s="80">
        <f t="shared" si="9"/>
        <v>-0.41176470588235292</v>
      </c>
      <c r="W20"/>
      <c r="X20"/>
      <c r="Y20"/>
    </row>
    <row r="21" spans="1:25" ht="17" outlineLevel="1" x14ac:dyDescent="0.2">
      <c r="A21" s="11" t="s">
        <v>117</v>
      </c>
      <c r="B21" s="71">
        <v>6010708</v>
      </c>
      <c r="C21" s="10" t="s">
        <v>41</v>
      </c>
      <c r="D21" s="307"/>
      <c r="E21" s="12" t="s">
        <v>136</v>
      </c>
      <c r="F21" s="10" t="s">
        <v>138</v>
      </c>
      <c r="G21" s="73">
        <f>IFERROR(VLOOKUP($B21,'[2]KPI Promotor'!$G:$K,5,0),0)</f>
        <v>170000000</v>
      </c>
      <c r="H21" s="74">
        <f>SUMIF('[2]SALES BY PROMOTOR'!$D:$D,$F21,'[2]SALES BY PROMOTOR'!$J:$J)</f>
        <v>52495000</v>
      </c>
      <c r="I21" s="75">
        <f t="shared" si="0"/>
        <v>0.30879411764705883</v>
      </c>
      <c r="J21" s="73">
        <f t="shared" si="1"/>
        <v>224978571.42857143</v>
      </c>
      <c r="K21" s="76">
        <f t="shared" si="2"/>
        <v>10499000</v>
      </c>
      <c r="L21" s="77">
        <f>SUMIF('[2]SALES BY PROMOTOR'!$D:$D,$F21,'[2]SALES BY PROMOTOR'!$G:$G)</f>
        <v>5</v>
      </c>
      <c r="M21" s="77">
        <f>SUMIF('[2]SALES BY PROMOTOR'!$D:$D,$F21,'[2]SALES BY PROMOTOR'!$I:$I)</f>
        <v>5</v>
      </c>
      <c r="N21" s="75">
        <f t="shared" si="3"/>
        <v>1</v>
      </c>
      <c r="O21" s="78">
        <f>IFERROR(VLOOKUP($F21,'[2]Sales By Promotor Last Month'!D:G,4,0),0)</f>
        <v>7</v>
      </c>
      <c r="P21" s="78">
        <f t="shared" si="4"/>
        <v>5</v>
      </c>
      <c r="Q21" s="79">
        <f t="shared" si="5"/>
        <v>-2</v>
      </c>
      <c r="R21" s="80">
        <f t="shared" si="6"/>
        <v>-0.2857142857142857</v>
      </c>
      <c r="S21" s="78">
        <f>IFERROR(VLOOKUP($F21,'[2]Sales By Promotor Last Month'!D:I,6,0),0)</f>
        <v>16</v>
      </c>
      <c r="T21" s="78">
        <f t="shared" si="7"/>
        <v>5</v>
      </c>
      <c r="U21" s="79">
        <f t="shared" si="8"/>
        <v>-11</v>
      </c>
      <c r="V21" s="80">
        <f t="shared" si="9"/>
        <v>-0.6875</v>
      </c>
      <c r="W21"/>
      <c r="X21"/>
      <c r="Y21"/>
    </row>
    <row r="22" spans="1:25" ht="17" outlineLevel="1" x14ac:dyDescent="0.2">
      <c r="A22" s="11" t="s">
        <v>117</v>
      </c>
      <c r="B22" s="71">
        <v>6010708</v>
      </c>
      <c r="C22" s="10" t="s">
        <v>41</v>
      </c>
      <c r="D22" s="307"/>
      <c r="E22" s="12" t="s">
        <v>136</v>
      </c>
      <c r="F22" s="10" t="s">
        <v>139</v>
      </c>
      <c r="G22" s="73">
        <f>IFERROR(VLOOKUP($B22,'[2]KPI Promotor'!$G:$K,5,0),0)</f>
        <v>170000000</v>
      </c>
      <c r="H22" s="74">
        <f>SUMIF('[2]SALES BY PROMOTOR'!$D:$D,$F22,'[2]SALES BY PROMOTOR'!$J:$J)</f>
        <v>40491000</v>
      </c>
      <c r="I22" s="75">
        <f t="shared" si="0"/>
        <v>0.23818235294117648</v>
      </c>
      <c r="J22" s="73">
        <f t="shared" si="1"/>
        <v>173532857.14285716</v>
      </c>
      <c r="K22" s="76">
        <f t="shared" si="2"/>
        <v>4499000</v>
      </c>
      <c r="L22" s="77">
        <f>SUMIF('[2]SALES BY PROMOTOR'!$D:$D,$F22,'[2]SALES BY PROMOTOR'!$G:$G)</f>
        <v>3</v>
      </c>
      <c r="M22" s="77">
        <f>SUMIF('[2]SALES BY PROMOTOR'!$D:$D,$F22,'[2]SALES BY PROMOTOR'!$I:$I)</f>
        <v>9</v>
      </c>
      <c r="N22" s="75">
        <f t="shared" si="3"/>
        <v>0.33333333333333331</v>
      </c>
      <c r="O22" s="78">
        <f>IFERROR(VLOOKUP($F22,'[2]Sales By Promotor Last Month'!D:G,4,0),0)</f>
        <v>18</v>
      </c>
      <c r="P22" s="78">
        <f t="shared" si="4"/>
        <v>3</v>
      </c>
      <c r="Q22" s="79">
        <f t="shared" si="5"/>
        <v>-15</v>
      </c>
      <c r="R22" s="80">
        <f t="shared" si="6"/>
        <v>-0.83333333333333337</v>
      </c>
      <c r="S22" s="78">
        <f>IFERROR(VLOOKUP($F22,'[2]Sales By Promotor Last Month'!D:I,6,0),0)</f>
        <v>38</v>
      </c>
      <c r="T22" s="78">
        <f t="shared" si="7"/>
        <v>9</v>
      </c>
      <c r="U22" s="79">
        <f t="shared" si="8"/>
        <v>-29</v>
      </c>
      <c r="V22" s="80">
        <f t="shared" si="9"/>
        <v>-0.76315789473684215</v>
      </c>
      <c r="W22"/>
      <c r="X22"/>
      <c r="Y22"/>
    </row>
    <row r="23" spans="1:25" ht="17" outlineLevel="1" x14ac:dyDescent="0.2">
      <c r="A23" s="11" t="s">
        <v>117</v>
      </c>
      <c r="B23" s="71">
        <v>6010709</v>
      </c>
      <c r="C23" s="10" t="s">
        <v>43</v>
      </c>
      <c r="D23" s="307">
        <v>7</v>
      </c>
      <c r="E23" s="12" t="s">
        <v>140</v>
      </c>
      <c r="F23" s="10" t="s">
        <v>141</v>
      </c>
      <c r="G23" s="73">
        <f>IFERROR(VLOOKUP($B23,'[2]KPI Promotor'!$G:$K,5,0),0)</f>
        <v>170000000</v>
      </c>
      <c r="H23" s="74">
        <f>SUMIF('[2]SALES BY PROMOTOR'!$D:$D,$F23,'[2]SALES BY PROMOTOR'!$J:$J)</f>
        <v>53783000</v>
      </c>
      <c r="I23" s="75">
        <f t="shared" si="0"/>
        <v>0.31637058823529413</v>
      </c>
      <c r="J23" s="73">
        <f t="shared" si="1"/>
        <v>230498571.42857143</v>
      </c>
      <c r="K23" s="76">
        <f t="shared" si="2"/>
        <v>3163705.8823529412</v>
      </c>
      <c r="L23" s="77">
        <f>SUMIF('[2]SALES BY PROMOTOR'!$D:$D,$F23,'[2]SALES BY PROMOTOR'!$G:$G)</f>
        <v>6</v>
      </c>
      <c r="M23" s="77">
        <f>SUMIF('[2]SALES BY PROMOTOR'!$D:$D,$F23,'[2]SALES BY PROMOTOR'!$I:$I)</f>
        <v>17</v>
      </c>
      <c r="N23" s="75">
        <f t="shared" si="3"/>
        <v>0.35294117647058826</v>
      </c>
      <c r="O23" s="78">
        <f>IFERROR(VLOOKUP($F23,'[2]Sales By Promotor Last Month'!D:G,4,0),0)</f>
        <v>13</v>
      </c>
      <c r="P23" s="78">
        <f t="shared" si="4"/>
        <v>6</v>
      </c>
      <c r="Q23" s="79">
        <f t="shared" si="5"/>
        <v>-7</v>
      </c>
      <c r="R23" s="80">
        <f t="shared" si="6"/>
        <v>-0.53846153846153844</v>
      </c>
      <c r="S23" s="78">
        <f>IFERROR(VLOOKUP($F23,'[2]Sales By Promotor Last Month'!D:I,6,0),0)</f>
        <v>60</v>
      </c>
      <c r="T23" s="78">
        <f t="shared" si="7"/>
        <v>17</v>
      </c>
      <c r="U23" s="79">
        <f t="shared" si="8"/>
        <v>-43</v>
      </c>
      <c r="V23" s="80">
        <f t="shared" si="9"/>
        <v>-0.71666666666666667</v>
      </c>
      <c r="W23"/>
      <c r="X23"/>
      <c r="Y23"/>
    </row>
    <row r="24" spans="1:25" ht="17" outlineLevel="1" x14ac:dyDescent="0.2">
      <c r="A24" s="11" t="s">
        <v>117</v>
      </c>
      <c r="B24" s="71">
        <v>6010709</v>
      </c>
      <c r="C24" s="10" t="s">
        <v>43</v>
      </c>
      <c r="D24" s="307"/>
      <c r="E24" s="12" t="s">
        <v>140</v>
      </c>
      <c r="F24" s="10" t="s">
        <v>142</v>
      </c>
      <c r="G24" s="73">
        <f>IFERROR(VLOOKUP($B24,'[2]KPI Promotor'!$G:$K,5,0),0)</f>
        <v>170000000</v>
      </c>
      <c r="H24" s="74">
        <f>SUMIF('[2]SALES BY PROMOTOR'!$D:$D,$F24,'[2]SALES BY PROMOTOR'!$J:$J)</f>
        <v>27092000</v>
      </c>
      <c r="I24" s="75">
        <f t="shared" si="0"/>
        <v>0.15936470588235294</v>
      </c>
      <c r="J24" s="73">
        <f t="shared" si="1"/>
        <v>116108571.42857142</v>
      </c>
      <c r="K24" s="76">
        <f t="shared" si="2"/>
        <v>3386500</v>
      </c>
      <c r="L24" s="77">
        <f>SUMIF('[2]SALES BY PROMOTOR'!$D:$D,$F24,'[2]SALES BY PROMOTOR'!$G:$G)</f>
        <v>2</v>
      </c>
      <c r="M24" s="77">
        <f>SUMIF('[2]SALES BY PROMOTOR'!$D:$D,$F24,'[2]SALES BY PROMOTOR'!$I:$I)</f>
        <v>8</v>
      </c>
      <c r="N24" s="75">
        <f t="shared" si="3"/>
        <v>0.25</v>
      </c>
      <c r="O24" s="78">
        <f>IFERROR(VLOOKUP($F24,'[2]Sales By Promotor Last Month'!D:G,4,0),0)</f>
        <v>8</v>
      </c>
      <c r="P24" s="78">
        <f t="shared" si="4"/>
        <v>2</v>
      </c>
      <c r="Q24" s="79">
        <f t="shared" si="5"/>
        <v>-6</v>
      </c>
      <c r="R24" s="80">
        <f t="shared" si="6"/>
        <v>-0.75</v>
      </c>
      <c r="S24" s="78">
        <f>IFERROR(VLOOKUP($F24,'[2]Sales By Promotor Last Month'!D:I,6,0),0)</f>
        <v>44</v>
      </c>
      <c r="T24" s="78">
        <f t="shared" si="7"/>
        <v>8</v>
      </c>
      <c r="U24" s="79">
        <f t="shared" si="8"/>
        <v>-36</v>
      </c>
      <c r="V24" s="80">
        <f t="shared" si="9"/>
        <v>-0.81818181818181823</v>
      </c>
      <c r="W24"/>
      <c r="X24"/>
      <c r="Y24"/>
    </row>
    <row r="25" spans="1:25" ht="17" outlineLevel="1" x14ac:dyDescent="0.2">
      <c r="A25" s="11" t="s">
        <v>117</v>
      </c>
      <c r="B25" s="71">
        <v>6010709</v>
      </c>
      <c r="C25" s="10" t="s">
        <v>43</v>
      </c>
      <c r="D25" s="307"/>
      <c r="E25" s="12" t="s">
        <v>140</v>
      </c>
      <c r="F25" s="10" t="s">
        <v>143</v>
      </c>
      <c r="G25" s="73">
        <f>IFERROR(VLOOKUP($B25,'[2]KPI Promotor'!$G:$K,5,0),0)</f>
        <v>170000000</v>
      </c>
      <c r="H25" s="74">
        <f>SUMIF('[2]SALES BY PROMOTOR'!$D:$D,$F25,'[2]SALES BY PROMOTOR'!$J:$J)</f>
        <v>63678000</v>
      </c>
      <c r="I25" s="75">
        <f t="shared" si="0"/>
        <v>0.37457647058823529</v>
      </c>
      <c r="J25" s="73">
        <f t="shared" si="1"/>
        <v>272905714.28571433</v>
      </c>
      <c r="K25" s="76">
        <f t="shared" si="2"/>
        <v>2894454.5454545454</v>
      </c>
      <c r="L25" s="77">
        <f>SUMIF('[2]SALES BY PROMOTOR'!$D:$D,$F25,'[2]SALES BY PROMOTOR'!$G:$G)</f>
        <v>4</v>
      </c>
      <c r="M25" s="77">
        <f>SUMIF('[2]SALES BY PROMOTOR'!$D:$D,$F25,'[2]SALES BY PROMOTOR'!$I:$I)</f>
        <v>22</v>
      </c>
      <c r="N25" s="75">
        <f t="shared" si="3"/>
        <v>0.18181818181818182</v>
      </c>
      <c r="O25" s="78">
        <f>IFERROR(VLOOKUP($F25,'[2]Sales By Promotor Last Month'!D:G,4,0),0)</f>
        <v>14</v>
      </c>
      <c r="P25" s="78">
        <f t="shared" si="4"/>
        <v>4</v>
      </c>
      <c r="Q25" s="79">
        <f t="shared" si="5"/>
        <v>-10</v>
      </c>
      <c r="R25" s="80">
        <f t="shared" si="6"/>
        <v>-0.7142857142857143</v>
      </c>
      <c r="S25" s="78">
        <f>IFERROR(VLOOKUP($F25,'[2]Sales By Promotor Last Month'!D:I,6,0),0)</f>
        <v>50</v>
      </c>
      <c r="T25" s="78">
        <f t="shared" si="7"/>
        <v>22</v>
      </c>
      <c r="U25" s="79">
        <f t="shared" si="8"/>
        <v>-28</v>
      </c>
      <c r="V25" s="80">
        <f t="shared" si="9"/>
        <v>-0.56000000000000005</v>
      </c>
      <c r="W25"/>
      <c r="X25"/>
      <c r="Y25"/>
    </row>
    <row r="26" spans="1:25" ht="17" outlineLevel="1" x14ac:dyDescent="0.2">
      <c r="A26" s="11" t="s">
        <v>117</v>
      </c>
      <c r="B26" s="71">
        <v>6010709</v>
      </c>
      <c r="C26" s="10" t="s">
        <v>43</v>
      </c>
      <c r="D26" s="307"/>
      <c r="E26" s="12" t="s">
        <v>140</v>
      </c>
      <c r="F26" s="10" t="s">
        <v>144</v>
      </c>
      <c r="G26" s="73">
        <f>IFERROR(VLOOKUP($B26,'[2]KPI Promotor'!$G:$K,5,0),0)</f>
        <v>170000000</v>
      </c>
      <c r="H26" s="74">
        <f>SUMIF('[2]SALES BY PROMOTOR'!$D:$D,$F26,'[2]SALES BY PROMOTOR'!$J:$J)</f>
        <v>55884000</v>
      </c>
      <c r="I26" s="75">
        <f t="shared" si="0"/>
        <v>0.32872941176470588</v>
      </c>
      <c r="J26" s="73">
        <f t="shared" si="1"/>
        <v>239502857.14285716</v>
      </c>
      <c r="K26" s="76">
        <f t="shared" si="2"/>
        <v>3492750</v>
      </c>
      <c r="L26" s="77">
        <f>SUMIF('[2]SALES BY PROMOTOR'!$D:$D,$F26,'[2]SALES BY PROMOTOR'!$G:$G)</f>
        <v>7</v>
      </c>
      <c r="M26" s="77">
        <f>SUMIF('[2]SALES BY PROMOTOR'!$D:$D,$F26,'[2]SALES BY PROMOTOR'!$I:$I)</f>
        <v>16</v>
      </c>
      <c r="N26" s="75">
        <f t="shared" si="3"/>
        <v>0.4375</v>
      </c>
      <c r="O26" s="78">
        <f>IFERROR(VLOOKUP($F26,'[2]Sales By Promotor Last Month'!D:G,4,0),0)</f>
        <v>19</v>
      </c>
      <c r="P26" s="78">
        <f t="shared" si="4"/>
        <v>7</v>
      </c>
      <c r="Q26" s="79">
        <f t="shared" si="5"/>
        <v>-12</v>
      </c>
      <c r="R26" s="80">
        <f t="shared" si="6"/>
        <v>-0.63157894736842102</v>
      </c>
      <c r="S26" s="78">
        <f>IFERROR(VLOOKUP($F26,'[2]Sales By Promotor Last Month'!D:I,6,0),0)</f>
        <v>60</v>
      </c>
      <c r="T26" s="78">
        <f t="shared" si="7"/>
        <v>16</v>
      </c>
      <c r="U26" s="79">
        <f t="shared" si="8"/>
        <v>-44</v>
      </c>
      <c r="V26" s="80">
        <f t="shared" si="9"/>
        <v>-0.73333333333333328</v>
      </c>
      <c r="W26"/>
      <c r="X26"/>
      <c r="Y26"/>
    </row>
    <row r="27" spans="1:25" ht="17" outlineLevel="1" x14ac:dyDescent="0.2">
      <c r="A27" s="11" t="s">
        <v>117</v>
      </c>
      <c r="B27" s="71">
        <v>6010709</v>
      </c>
      <c r="C27" s="10" t="s">
        <v>43</v>
      </c>
      <c r="D27" s="307"/>
      <c r="E27" s="12" t="s">
        <v>140</v>
      </c>
      <c r="F27" s="10" t="s">
        <v>145</v>
      </c>
      <c r="G27" s="73">
        <f>IFERROR(VLOOKUP($B27,'[2]KPI Promotor'!$G:$K,5,0),0)</f>
        <v>170000000</v>
      </c>
      <c r="H27" s="74">
        <f>SUMIF('[2]SALES BY PROMOTOR'!$D:$D,$F27,'[2]SALES BY PROMOTOR'!$J:$J)</f>
        <v>35590000</v>
      </c>
      <c r="I27" s="75">
        <f t="shared" si="0"/>
        <v>0.20935294117647057</v>
      </c>
      <c r="J27" s="73">
        <f t="shared" si="1"/>
        <v>152528571.42857143</v>
      </c>
      <c r="K27" s="76">
        <f t="shared" si="2"/>
        <v>3559000</v>
      </c>
      <c r="L27" s="77">
        <f>SUMIF('[2]SALES BY PROMOTOR'!$D:$D,$F27,'[2]SALES BY PROMOTOR'!$G:$G)</f>
        <v>5</v>
      </c>
      <c r="M27" s="77">
        <f>SUMIF('[2]SALES BY PROMOTOR'!$D:$D,$F27,'[2]SALES BY PROMOTOR'!$I:$I)</f>
        <v>10</v>
      </c>
      <c r="N27" s="75">
        <f t="shared" si="3"/>
        <v>0.5</v>
      </c>
      <c r="O27" s="78">
        <f>IFERROR(VLOOKUP($F27,'[2]Sales By Promotor Last Month'!D:G,4,0),0)</f>
        <v>12</v>
      </c>
      <c r="P27" s="78">
        <f t="shared" si="4"/>
        <v>5</v>
      </c>
      <c r="Q27" s="79">
        <f t="shared" si="5"/>
        <v>-7</v>
      </c>
      <c r="R27" s="80">
        <f t="shared" si="6"/>
        <v>-0.58333333333333337</v>
      </c>
      <c r="S27" s="78">
        <f>IFERROR(VLOOKUP($F27,'[2]Sales By Promotor Last Month'!D:I,6,0),0)</f>
        <v>45</v>
      </c>
      <c r="T27" s="78">
        <f t="shared" si="7"/>
        <v>10</v>
      </c>
      <c r="U27" s="79">
        <f t="shared" si="8"/>
        <v>-35</v>
      </c>
      <c r="V27" s="80">
        <f t="shared" si="9"/>
        <v>-0.77777777777777779</v>
      </c>
      <c r="W27"/>
      <c r="X27"/>
      <c r="Y27"/>
    </row>
    <row r="28" spans="1:25" ht="17" outlineLevel="1" x14ac:dyDescent="0.2">
      <c r="A28" s="11" t="s">
        <v>117</v>
      </c>
      <c r="B28" s="71">
        <v>6010709</v>
      </c>
      <c r="C28" s="10" t="s">
        <v>43</v>
      </c>
      <c r="D28" s="307"/>
      <c r="E28" s="12" t="s">
        <v>140</v>
      </c>
      <c r="F28" s="10" t="s">
        <v>146</v>
      </c>
      <c r="G28" s="73">
        <f>IFERROR(VLOOKUP($B28,'[2]KPI Promotor'!$G:$K,5,0),0)</f>
        <v>170000000</v>
      </c>
      <c r="H28" s="74">
        <f>SUMIF('[2]SALES BY PROMOTOR'!$D:$D,$F28,'[2]SALES BY PROMOTOR'!$J:$J)</f>
        <v>16195000</v>
      </c>
      <c r="I28" s="75">
        <f t="shared" si="0"/>
        <v>9.5264705882352946E-2</v>
      </c>
      <c r="J28" s="73">
        <f t="shared" si="1"/>
        <v>69407142.857142866</v>
      </c>
      <c r="K28" s="76">
        <f t="shared" si="2"/>
        <v>3239000</v>
      </c>
      <c r="L28" s="77">
        <f>SUMIF('[2]SALES BY PROMOTOR'!$D:$D,$F28,'[2]SALES BY PROMOTOR'!$G:$G)</f>
        <v>1</v>
      </c>
      <c r="M28" s="77">
        <f>SUMIF('[2]SALES BY PROMOTOR'!$D:$D,$F28,'[2]SALES BY PROMOTOR'!$I:$I)</f>
        <v>5</v>
      </c>
      <c r="N28" s="75">
        <f t="shared" si="3"/>
        <v>0.2</v>
      </c>
      <c r="O28" s="78">
        <f>IFERROR(VLOOKUP($F28,'[2]Sales By Promotor Last Month'!D:G,4,0),0)</f>
        <v>6</v>
      </c>
      <c r="P28" s="78">
        <f t="shared" si="4"/>
        <v>1</v>
      </c>
      <c r="Q28" s="79">
        <f t="shared" si="5"/>
        <v>-5</v>
      </c>
      <c r="R28" s="80">
        <f t="shared" si="6"/>
        <v>-0.83333333333333337</v>
      </c>
      <c r="S28" s="78">
        <f>IFERROR(VLOOKUP($F28,'[2]Sales By Promotor Last Month'!D:I,6,0),0)</f>
        <v>42</v>
      </c>
      <c r="T28" s="78">
        <f t="shared" si="7"/>
        <v>5</v>
      </c>
      <c r="U28" s="79">
        <f t="shared" si="8"/>
        <v>-37</v>
      </c>
      <c r="V28" s="80">
        <f t="shared" si="9"/>
        <v>-0.88095238095238093</v>
      </c>
      <c r="W28"/>
      <c r="X28"/>
      <c r="Y28"/>
    </row>
    <row r="29" spans="1:25" ht="17" outlineLevel="1" x14ac:dyDescent="0.2">
      <c r="A29" s="11" t="s">
        <v>117</v>
      </c>
      <c r="B29" s="71">
        <v>6010709</v>
      </c>
      <c r="C29" s="10" t="s">
        <v>43</v>
      </c>
      <c r="D29" s="308"/>
      <c r="E29" s="12" t="s">
        <v>140</v>
      </c>
      <c r="F29" s="10" t="s">
        <v>147</v>
      </c>
      <c r="G29" s="73">
        <f>IFERROR(VLOOKUP($B29,'[2]KPI Promotor'!$G:$K,5,0),0)</f>
        <v>170000000</v>
      </c>
      <c r="H29" s="74">
        <f>SUMIF('[2]SALES BY PROMOTOR'!$D:$D,$F29,'[2]SALES BY PROMOTOR'!$J:$J)</f>
        <v>39386000</v>
      </c>
      <c r="I29" s="75">
        <f t="shared" si="0"/>
        <v>0.23168235294117648</v>
      </c>
      <c r="J29" s="73">
        <f t="shared" si="1"/>
        <v>168797142.85714284</v>
      </c>
      <c r="K29" s="76">
        <f t="shared" si="2"/>
        <v>2813285.7142857141</v>
      </c>
      <c r="L29" s="77">
        <f>SUMIF('[2]SALES BY PROMOTOR'!$D:$D,$F29,'[2]SALES BY PROMOTOR'!$G:$G)</f>
        <v>3</v>
      </c>
      <c r="M29" s="77">
        <f>SUMIF('[2]SALES BY PROMOTOR'!$D:$D,$F29,'[2]SALES BY PROMOTOR'!$I:$I)</f>
        <v>14</v>
      </c>
      <c r="N29" s="75">
        <f t="shared" si="3"/>
        <v>0.21428571428571427</v>
      </c>
      <c r="O29" s="78">
        <f>IFERROR(VLOOKUP($F29,'[2]Sales By Promotor Last Month'!D:G,4,0),0)</f>
        <v>12</v>
      </c>
      <c r="P29" s="78">
        <f t="shared" si="4"/>
        <v>3</v>
      </c>
      <c r="Q29" s="79">
        <f t="shared" si="5"/>
        <v>-9</v>
      </c>
      <c r="R29" s="80">
        <f t="shared" si="6"/>
        <v>-0.75</v>
      </c>
      <c r="S29" s="78">
        <f>IFERROR(VLOOKUP($F29,'[2]Sales By Promotor Last Month'!D:I,6,0),0)</f>
        <v>50</v>
      </c>
      <c r="T29" s="78">
        <f t="shared" si="7"/>
        <v>14</v>
      </c>
      <c r="U29" s="79">
        <f t="shared" si="8"/>
        <v>-36</v>
      </c>
      <c r="V29" s="80">
        <f t="shared" si="9"/>
        <v>-0.72</v>
      </c>
      <c r="W29"/>
      <c r="X29"/>
      <c r="Y29"/>
    </row>
    <row r="30" spans="1:25" ht="17" outlineLevel="1" x14ac:dyDescent="0.2">
      <c r="A30" s="11" t="s">
        <v>117</v>
      </c>
      <c r="B30" s="71">
        <v>6010710</v>
      </c>
      <c r="C30" s="83" t="s">
        <v>43</v>
      </c>
      <c r="D30" s="306">
        <v>3</v>
      </c>
      <c r="E30" s="13" t="s">
        <v>148</v>
      </c>
      <c r="F30" s="10" t="s">
        <v>149</v>
      </c>
      <c r="G30" s="73">
        <f>IFERROR(VLOOKUP($B30,'[2]KPI Promotor'!$G:$K,5,0),0)</f>
        <v>170000000</v>
      </c>
      <c r="H30" s="74">
        <f>SUMIF('[2]SALES BY PROMOTOR'!$D:$D,$F30,'[2]SALES BY PROMOTOR'!$J:$J)</f>
        <v>36988000</v>
      </c>
      <c r="I30" s="75">
        <f t="shared" si="0"/>
        <v>0.21757647058823529</v>
      </c>
      <c r="J30" s="73">
        <f t="shared" si="1"/>
        <v>158520000</v>
      </c>
      <c r="K30" s="76">
        <f t="shared" si="2"/>
        <v>3082333.3333333335</v>
      </c>
      <c r="L30" s="77">
        <f>SUMIF('[2]SALES BY PROMOTOR'!$D:$D,$F30,'[2]SALES BY PROMOTOR'!$G:$G)</f>
        <v>3</v>
      </c>
      <c r="M30" s="77">
        <f>SUMIF('[2]SALES BY PROMOTOR'!$D:$D,$F30,'[2]SALES BY PROMOTOR'!$I:$I)</f>
        <v>12</v>
      </c>
      <c r="N30" s="75">
        <f t="shared" si="3"/>
        <v>0.25</v>
      </c>
      <c r="O30" s="78">
        <f>IFERROR(VLOOKUP($F30,'[2]Sales By Promotor Last Month'!D:G,4,0),0)</f>
        <v>10</v>
      </c>
      <c r="P30" s="78">
        <f t="shared" si="4"/>
        <v>3</v>
      </c>
      <c r="Q30" s="79">
        <f t="shared" si="5"/>
        <v>-7</v>
      </c>
      <c r="R30" s="80">
        <f t="shared" si="6"/>
        <v>-0.7</v>
      </c>
      <c r="S30" s="78">
        <f>IFERROR(VLOOKUP($F30,'[2]Sales By Promotor Last Month'!D:I,6,0),0)</f>
        <v>40</v>
      </c>
      <c r="T30" s="78">
        <f t="shared" si="7"/>
        <v>12</v>
      </c>
      <c r="U30" s="79">
        <f t="shared" si="8"/>
        <v>-28</v>
      </c>
      <c r="V30" s="80">
        <f t="shared" si="9"/>
        <v>-0.7</v>
      </c>
      <c r="W30"/>
      <c r="X30"/>
      <c r="Y30"/>
    </row>
    <row r="31" spans="1:25" ht="17" outlineLevel="1" x14ac:dyDescent="0.2">
      <c r="A31" s="11" t="s">
        <v>117</v>
      </c>
      <c r="B31" s="71">
        <v>6010710</v>
      </c>
      <c r="C31" s="83" t="s">
        <v>43</v>
      </c>
      <c r="D31" s="307"/>
      <c r="E31" s="13" t="s">
        <v>148</v>
      </c>
      <c r="F31" s="10" t="s">
        <v>150</v>
      </c>
      <c r="G31" s="73">
        <f>IFERROR(VLOOKUP($B31,'[2]KPI Promotor'!$G:$K,5,0),0)</f>
        <v>170000000</v>
      </c>
      <c r="H31" s="74">
        <f>SUMIF('[2]SALES BY PROMOTOR'!$D:$D,$F31,'[2]SALES BY PROMOTOR'!$J:$J)</f>
        <v>30887000</v>
      </c>
      <c r="I31" s="75">
        <f t="shared" si="0"/>
        <v>0.18168823529411765</v>
      </c>
      <c r="J31" s="73">
        <f t="shared" si="1"/>
        <v>132372857.14285715</v>
      </c>
      <c r="K31" s="76">
        <f t="shared" si="2"/>
        <v>2375923.076923077</v>
      </c>
      <c r="L31" s="77">
        <f>SUMIF('[2]SALES BY PROMOTOR'!$D:$D,$F31,'[2]SALES BY PROMOTOR'!$G:$G)</f>
        <v>1</v>
      </c>
      <c r="M31" s="77">
        <f>SUMIF('[2]SALES BY PROMOTOR'!$D:$D,$F31,'[2]SALES BY PROMOTOR'!$I:$I)</f>
        <v>13</v>
      </c>
      <c r="N31" s="75">
        <f t="shared" si="3"/>
        <v>7.6923076923076927E-2</v>
      </c>
      <c r="O31" s="78">
        <f>IFERROR(VLOOKUP($F31,'[2]Sales By Promotor Last Month'!D:G,4,0),0)</f>
        <v>5</v>
      </c>
      <c r="P31" s="78">
        <f t="shared" si="4"/>
        <v>1</v>
      </c>
      <c r="Q31" s="79">
        <f t="shared" si="5"/>
        <v>-4</v>
      </c>
      <c r="R31" s="80">
        <f t="shared" si="6"/>
        <v>-0.8</v>
      </c>
      <c r="S31" s="78">
        <f>IFERROR(VLOOKUP($F31,'[2]Sales By Promotor Last Month'!D:I,6,0),0)</f>
        <v>42</v>
      </c>
      <c r="T31" s="78">
        <f t="shared" si="7"/>
        <v>13</v>
      </c>
      <c r="U31" s="79">
        <f t="shared" si="8"/>
        <v>-29</v>
      </c>
      <c r="V31" s="80">
        <f t="shared" si="9"/>
        <v>-0.69047619047619047</v>
      </c>
      <c r="W31"/>
      <c r="X31"/>
      <c r="Y31"/>
    </row>
    <row r="32" spans="1:25" ht="17" outlineLevel="1" x14ac:dyDescent="0.2">
      <c r="A32" s="11" t="s">
        <v>117</v>
      </c>
      <c r="B32" s="71">
        <v>6010710</v>
      </c>
      <c r="C32" s="83" t="s">
        <v>43</v>
      </c>
      <c r="D32" s="308"/>
      <c r="E32" s="13" t="s">
        <v>148</v>
      </c>
      <c r="F32" s="10" t="s">
        <v>151</v>
      </c>
      <c r="G32" s="73">
        <f>IFERROR(VLOOKUP($B32,'[2]KPI Promotor'!$G:$K,5,0),0)</f>
        <v>170000000</v>
      </c>
      <c r="H32" s="74">
        <f>SUMIF('[2]SALES BY PROMOTOR'!$D:$D,$F32,'[2]SALES BY PROMOTOR'!$J:$J)</f>
        <v>40189000</v>
      </c>
      <c r="I32" s="75">
        <f t="shared" si="0"/>
        <v>0.23640588235294119</v>
      </c>
      <c r="J32" s="73">
        <f t="shared" si="1"/>
        <v>172238571.42857143</v>
      </c>
      <c r="K32" s="76">
        <f t="shared" si="2"/>
        <v>3653545.4545454546</v>
      </c>
      <c r="L32" s="77">
        <f>SUMIF('[2]SALES BY PROMOTOR'!$D:$D,$F32,'[2]SALES BY PROMOTOR'!$G:$G)</f>
        <v>4</v>
      </c>
      <c r="M32" s="77">
        <f>SUMIF('[2]SALES BY PROMOTOR'!$D:$D,$F32,'[2]SALES BY PROMOTOR'!$I:$I)</f>
        <v>11</v>
      </c>
      <c r="N32" s="75">
        <f t="shared" si="3"/>
        <v>0.36363636363636365</v>
      </c>
      <c r="O32" s="78">
        <f>IFERROR(VLOOKUP($F32,'[2]Sales By Promotor Last Month'!D:G,4,0),0)</f>
        <v>11</v>
      </c>
      <c r="P32" s="78">
        <f t="shared" si="4"/>
        <v>4</v>
      </c>
      <c r="Q32" s="79">
        <f t="shared" si="5"/>
        <v>-7</v>
      </c>
      <c r="R32" s="80">
        <f t="shared" si="6"/>
        <v>-0.63636363636363635</v>
      </c>
      <c r="S32" s="78">
        <f>IFERROR(VLOOKUP($F32,'[2]Sales By Promotor Last Month'!D:I,6,0),0)</f>
        <v>41</v>
      </c>
      <c r="T32" s="78">
        <f t="shared" si="7"/>
        <v>11</v>
      </c>
      <c r="U32" s="79">
        <f t="shared" si="8"/>
        <v>-30</v>
      </c>
      <c r="V32" s="80">
        <f t="shared" si="9"/>
        <v>-0.73170731707317072</v>
      </c>
      <c r="W32"/>
      <c r="X32"/>
      <c r="Y32"/>
    </row>
    <row r="33" spans="1:25" ht="17" outlineLevel="1" x14ac:dyDescent="0.2">
      <c r="A33" s="11" t="s">
        <v>117</v>
      </c>
      <c r="B33" s="71">
        <v>6010711</v>
      </c>
      <c r="C33" s="10" t="s">
        <v>45</v>
      </c>
      <c r="D33" s="306">
        <v>3</v>
      </c>
      <c r="E33" s="12" t="s">
        <v>152</v>
      </c>
      <c r="F33" s="10" t="s">
        <v>153</v>
      </c>
      <c r="G33" s="73">
        <f>IFERROR(VLOOKUP($B33,'[2]KPI Promotor'!$G:$K,5,0),0)</f>
        <v>170000000</v>
      </c>
      <c r="H33" s="74">
        <f>SUMIF('[2]SALES BY PROMOTOR'!$D:$D,$F33,'[2]SALES BY PROMOTOR'!$J:$J)</f>
        <v>17997000</v>
      </c>
      <c r="I33" s="75">
        <f t="shared" si="0"/>
        <v>0.10586470588235294</v>
      </c>
      <c r="J33" s="73">
        <f t="shared" si="1"/>
        <v>77130000</v>
      </c>
      <c r="K33" s="76">
        <f t="shared" si="2"/>
        <v>5999000</v>
      </c>
      <c r="L33" s="77">
        <f>SUMIF('[2]SALES BY PROMOTOR'!$D:$D,$F33,'[2]SALES BY PROMOTOR'!$G:$G)</f>
        <v>2</v>
      </c>
      <c r="M33" s="77">
        <f>SUMIF('[2]SALES BY PROMOTOR'!$D:$D,$F33,'[2]SALES BY PROMOTOR'!$I:$I)</f>
        <v>3</v>
      </c>
      <c r="N33" s="75">
        <f t="shared" si="3"/>
        <v>0.66666666666666663</v>
      </c>
      <c r="O33" s="78">
        <f>IFERROR(VLOOKUP($F33,'[2]Sales By Promotor Last Month'!D:G,4,0),0)</f>
        <v>7</v>
      </c>
      <c r="P33" s="78">
        <f t="shared" si="4"/>
        <v>2</v>
      </c>
      <c r="Q33" s="79">
        <f t="shared" si="5"/>
        <v>-5</v>
      </c>
      <c r="R33" s="80">
        <f t="shared" si="6"/>
        <v>-0.7142857142857143</v>
      </c>
      <c r="S33" s="78">
        <f>IFERROR(VLOOKUP($F33,'[2]Sales By Promotor Last Month'!D:I,6,0),0)</f>
        <v>14</v>
      </c>
      <c r="T33" s="78">
        <f t="shared" si="7"/>
        <v>3</v>
      </c>
      <c r="U33" s="79">
        <f t="shared" si="8"/>
        <v>-11</v>
      </c>
      <c r="V33" s="80">
        <f t="shared" si="9"/>
        <v>-0.7857142857142857</v>
      </c>
      <c r="W33"/>
      <c r="X33"/>
      <c r="Y33"/>
    </row>
    <row r="34" spans="1:25" ht="17" outlineLevel="1" x14ac:dyDescent="0.2">
      <c r="A34" s="11" t="s">
        <v>117</v>
      </c>
      <c r="B34" s="71">
        <v>6010711</v>
      </c>
      <c r="C34" s="10" t="s">
        <v>45</v>
      </c>
      <c r="D34" s="307"/>
      <c r="E34" s="12" t="s">
        <v>152</v>
      </c>
      <c r="F34" s="10" t="s">
        <v>154</v>
      </c>
      <c r="G34" s="73">
        <f>IFERROR(VLOOKUP($B34,'[2]KPI Promotor'!$G:$K,5,0),0)</f>
        <v>170000000</v>
      </c>
      <c r="H34" s="74">
        <f>SUMIF('[2]SALES BY PROMOTOR'!$D:$D,$F34,'[2]SALES BY PROMOTOR'!$J:$J)</f>
        <v>3899000</v>
      </c>
      <c r="I34" s="75">
        <f t="shared" si="0"/>
        <v>2.2935294117647057E-2</v>
      </c>
      <c r="J34" s="73">
        <f t="shared" si="1"/>
        <v>16710000</v>
      </c>
      <c r="K34" s="76">
        <f t="shared" si="2"/>
        <v>3899000</v>
      </c>
      <c r="L34" s="77">
        <f>SUMIF('[2]SALES BY PROMOTOR'!$D:$D,$F34,'[2]SALES BY PROMOTOR'!$G:$G)</f>
        <v>1</v>
      </c>
      <c r="M34" s="77">
        <f>SUMIF('[2]SALES BY PROMOTOR'!$D:$D,$F34,'[2]SALES BY PROMOTOR'!$I:$I)</f>
        <v>1</v>
      </c>
      <c r="N34" s="75">
        <f t="shared" si="3"/>
        <v>1</v>
      </c>
      <c r="O34" s="78">
        <f>IFERROR(VLOOKUP($F34,'[2]Sales By Promotor Last Month'!D:G,4,0),0)</f>
        <v>9</v>
      </c>
      <c r="P34" s="78">
        <f t="shared" si="4"/>
        <v>1</v>
      </c>
      <c r="Q34" s="79">
        <f t="shared" si="5"/>
        <v>-8</v>
      </c>
      <c r="R34" s="80">
        <f t="shared" si="6"/>
        <v>-0.88888888888888884</v>
      </c>
      <c r="S34" s="78">
        <f>IFERROR(VLOOKUP($F34,'[2]Sales By Promotor Last Month'!D:I,6,0),0)</f>
        <v>15</v>
      </c>
      <c r="T34" s="78">
        <f t="shared" si="7"/>
        <v>1</v>
      </c>
      <c r="U34" s="79">
        <f t="shared" si="8"/>
        <v>-14</v>
      </c>
      <c r="V34" s="80">
        <f t="shared" si="9"/>
        <v>-0.93333333333333335</v>
      </c>
      <c r="W34"/>
      <c r="X34"/>
      <c r="Y34"/>
    </row>
    <row r="35" spans="1:25" ht="17" outlineLevel="1" x14ac:dyDescent="0.2">
      <c r="A35" s="11" t="s">
        <v>117</v>
      </c>
      <c r="B35" s="71">
        <v>6010711</v>
      </c>
      <c r="C35" s="10" t="s">
        <v>45</v>
      </c>
      <c r="D35" s="308"/>
      <c r="E35" s="12" t="s">
        <v>152</v>
      </c>
      <c r="F35" s="10" t="s">
        <v>155</v>
      </c>
      <c r="G35" s="73">
        <f>IFERROR(VLOOKUP($B35,'[2]KPI Promotor'!$G:$K,5,0),0)</f>
        <v>170000000</v>
      </c>
      <c r="H35" s="74">
        <f>SUMIF('[2]SALES BY PROMOTOR'!$D:$D,$F35,'[2]SALES BY PROMOTOR'!$J:$J)</f>
        <v>10298000</v>
      </c>
      <c r="I35" s="75">
        <f t="shared" si="0"/>
        <v>6.0576470588235294E-2</v>
      </c>
      <c r="J35" s="73">
        <f t="shared" si="1"/>
        <v>44134285.714285709</v>
      </c>
      <c r="K35" s="76">
        <f t="shared" si="2"/>
        <v>5149000</v>
      </c>
      <c r="L35" s="77">
        <f>SUMIF('[2]SALES BY PROMOTOR'!$D:$D,$F35,'[2]SALES BY PROMOTOR'!$G:$G)</f>
        <v>1</v>
      </c>
      <c r="M35" s="77">
        <f>SUMIF('[2]SALES BY PROMOTOR'!$D:$D,$F35,'[2]SALES BY PROMOTOR'!$I:$I)</f>
        <v>2</v>
      </c>
      <c r="N35" s="75">
        <f t="shared" si="3"/>
        <v>0.5</v>
      </c>
      <c r="O35" s="78">
        <f>IFERROR(VLOOKUP($F35,'[2]Sales By Promotor Last Month'!D:G,4,0),0)</f>
        <v>14</v>
      </c>
      <c r="P35" s="78">
        <f t="shared" si="4"/>
        <v>1</v>
      </c>
      <c r="Q35" s="79">
        <f t="shared" si="5"/>
        <v>-13</v>
      </c>
      <c r="R35" s="80">
        <f t="shared" si="6"/>
        <v>-0.9285714285714286</v>
      </c>
      <c r="S35" s="78">
        <f>IFERROR(VLOOKUP($F35,'[2]Sales By Promotor Last Month'!D:I,6,0),0)</f>
        <v>20</v>
      </c>
      <c r="T35" s="78">
        <f t="shared" si="7"/>
        <v>2</v>
      </c>
      <c r="U35" s="79">
        <f t="shared" si="8"/>
        <v>-18</v>
      </c>
      <c r="V35" s="80">
        <f t="shared" si="9"/>
        <v>-0.9</v>
      </c>
      <c r="W35"/>
      <c r="X35"/>
      <c r="Y35"/>
    </row>
    <row r="36" spans="1:25" ht="17" outlineLevel="1" x14ac:dyDescent="0.2">
      <c r="A36" s="11" t="s">
        <v>156</v>
      </c>
      <c r="B36" s="71">
        <v>6020704</v>
      </c>
      <c r="C36" s="10" t="s">
        <v>157</v>
      </c>
      <c r="D36" s="306">
        <v>2</v>
      </c>
      <c r="E36" s="12" t="s">
        <v>158</v>
      </c>
      <c r="F36" s="10" t="s">
        <v>159</v>
      </c>
      <c r="G36" s="73">
        <f>IFERROR(VLOOKUP($B36,'[2]KPI Promotor'!$G:$K,5,0),0)</f>
        <v>120000000</v>
      </c>
      <c r="H36" s="74">
        <f>SUMIF('[2]SALES BY PROMOTOR'!$D:$D,$F36,'[2]SALES BY PROMOTOR'!$J:$J)</f>
        <v>12695000</v>
      </c>
      <c r="I36" s="75">
        <f t="shared" si="0"/>
        <v>0.10579166666666667</v>
      </c>
      <c r="J36" s="73">
        <f t="shared" si="1"/>
        <v>54407142.857142858</v>
      </c>
      <c r="K36" s="76">
        <f t="shared" si="2"/>
        <v>2539000</v>
      </c>
      <c r="L36" s="77">
        <f>SUMIF('[2]SALES BY PROMOTOR'!$D:$D,$F36,'[2]SALES BY PROMOTOR'!$G:$G)</f>
        <v>0</v>
      </c>
      <c r="M36" s="77">
        <f>SUMIF('[2]SALES BY PROMOTOR'!$D:$D,$F36,'[2]SALES BY PROMOTOR'!$I:$I)</f>
        <v>5</v>
      </c>
      <c r="N36" s="75">
        <f t="shared" si="3"/>
        <v>0</v>
      </c>
      <c r="O36" s="78">
        <f>IFERROR(VLOOKUP($F36,'[2]Sales By Promotor Last Month'!D:G,4,0),0)</f>
        <v>20</v>
      </c>
      <c r="P36" s="78">
        <f t="shared" si="4"/>
        <v>0</v>
      </c>
      <c r="Q36" s="79">
        <f t="shared" si="5"/>
        <v>-20</v>
      </c>
      <c r="R36" s="80">
        <f t="shared" si="6"/>
        <v>-1</v>
      </c>
      <c r="S36" s="78">
        <f>IFERROR(VLOOKUP($F36,'[2]Sales By Promotor Last Month'!D:I,6,0),0)</f>
        <v>38</v>
      </c>
      <c r="T36" s="78">
        <f t="shared" si="7"/>
        <v>5</v>
      </c>
      <c r="U36" s="79">
        <f t="shared" si="8"/>
        <v>-33</v>
      </c>
      <c r="V36" s="80">
        <f t="shared" si="9"/>
        <v>-0.86842105263157898</v>
      </c>
      <c r="W36"/>
      <c r="X36"/>
      <c r="Y36"/>
    </row>
    <row r="37" spans="1:25" ht="17" outlineLevel="1" x14ac:dyDescent="0.2">
      <c r="A37" s="11" t="s">
        <v>156</v>
      </c>
      <c r="B37" s="71">
        <v>6020704</v>
      </c>
      <c r="C37" s="10" t="s">
        <v>157</v>
      </c>
      <c r="D37" s="308"/>
      <c r="E37" s="12" t="s">
        <v>158</v>
      </c>
      <c r="F37" s="10" t="s">
        <v>160</v>
      </c>
      <c r="G37" s="73">
        <f>IFERROR(VLOOKUP($B37,'[2]KPI Promotor'!$G:$K,5,0),0)</f>
        <v>120000000</v>
      </c>
      <c r="H37" s="74">
        <f>SUMIF('[2]SALES BY PROMOTOR'!$D:$D,$F37,'[2]SALES BY PROMOTOR'!$J:$J)</f>
        <v>23694000</v>
      </c>
      <c r="I37" s="75">
        <f t="shared" si="0"/>
        <v>0.19744999999999999</v>
      </c>
      <c r="J37" s="73">
        <f t="shared" si="1"/>
        <v>101545714.28571428</v>
      </c>
      <c r="K37" s="76">
        <f t="shared" si="2"/>
        <v>3949000</v>
      </c>
      <c r="L37" s="77">
        <f>SUMIF('[2]SALES BY PROMOTOR'!$D:$D,$F37,'[2]SALES BY PROMOTOR'!$G:$G)</f>
        <v>3</v>
      </c>
      <c r="M37" s="77">
        <f>SUMIF('[2]SALES BY PROMOTOR'!$D:$D,$F37,'[2]SALES BY PROMOTOR'!$I:$I)</f>
        <v>6</v>
      </c>
      <c r="N37" s="75">
        <f t="shared" si="3"/>
        <v>0.5</v>
      </c>
      <c r="O37" s="78">
        <f>IFERROR(VLOOKUP($F37,'[2]Sales By Promotor Last Month'!D:G,4,0),0)</f>
        <v>8</v>
      </c>
      <c r="P37" s="78">
        <f t="shared" si="4"/>
        <v>3</v>
      </c>
      <c r="Q37" s="79">
        <f t="shared" si="5"/>
        <v>-5</v>
      </c>
      <c r="R37" s="80">
        <f t="shared" si="6"/>
        <v>-0.625</v>
      </c>
      <c r="S37" s="78">
        <f>IFERROR(VLOOKUP($F37,'[2]Sales By Promotor Last Month'!D:I,6,0),0)</f>
        <v>25</v>
      </c>
      <c r="T37" s="78">
        <f t="shared" si="7"/>
        <v>6</v>
      </c>
      <c r="U37" s="79">
        <f t="shared" si="8"/>
        <v>-19</v>
      </c>
      <c r="V37" s="80">
        <f t="shared" si="9"/>
        <v>-0.76</v>
      </c>
      <c r="W37"/>
      <c r="X37"/>
      <c r="Y37"/>
    </row>
    <row r="38" spans="1:25" ht="17" outlineLevel="1" x14ac:dyDescent="0.2">
      <c r="A38" s="11" t="s">
        <v>156</v>
      </c>
      <c r="B38" s="71">
        <v>6020706</v>
      </c>
      <c r="C38" s="10" t="s">
        <v>157</v>
      </c>
      <c r="D38" s="306">
        <v>3</v>
      </c>
      <c r="E38" s="12" t="s">
        <v>161</v>
      </c>
      <c r="F38" s="10" t="s">
        <v>162</v>
      </c>
      <c r="G38" s="73">
        <f>IFERROR(VLOOKUP($B38,'[2]KPI Promotor'!$G:$K,5,0),0)</f>
        <v>120000000</v>
      </c>
      <c r="H38" s="74">
        <f>SUMIF('[2]SALES BY PROMOTOR'!$D:$D,$F38,'[2]SALES BY PROMOTOR'!$J:$J)</f>
        <v>37591000</v>
      </c>
      <c r="I38" s="75">
        <f t="shared" si="0"/>
        <v>0.31325833333333336</v>
      </c>
      <c r="J38" s="73">
        <f t="shared" si="1"/>
        <v>161104285.71428573</v>
      </c>
      <c r="K38" s="76">
        <f t="shared" si="2"/>
        <v>4176777.777777778</v>
      </c>
      <c r="L38" s="77">
        <f>SUMIF('[2]SALES BY PROMOTOR'!$D:$D,$F38,'[2]SALES BY PROMOTOR'!$G:$G)</f>
        <v>4</v>
      </c>
      <c r="M38" s="77">
        <f>SUMIF('[2]SALES BY PROMOTOR'!$D:$D,$F38,'[2]SALES BY PROMOTOR'!$I:$I)</f>
        <v>9</v>
      </c>
      <c r="N38" s="75">
        <f t="shared" si="3"/>
        <v>0.44444444444444442</v>
      </c>
      <c r="O38" s="78">
        <f>IFERROR(VLOOKUP($F38,'[2]Sales By Promotor Last Month'!D:G,4,0),0)</f>
        <v>8</v>
      </c>
      <c r="P38" s="78">
        <f t="shared" si="4"/>
        <v>4</v>
      </c>
      <c r="Q38" s="79">
        <f t="shared" si="5"/>
        <v>-4</v>
      </c>
      <c r="R38" s="80">
        <f t="shared" si="6"/>
        <v>-0.5</v>
      </c>
      <c r="S38" s="78">
        <f>IFERROR(VLOOKUP($F38,'[2]Sales By Promotor Last Month'!D:I,6,0),0)</f>
        <v>18</v>
      </c>
      <c r="T38" s="78">
        <f t="shared" si="7"/>
        <v>9</v>
      </c>
      <c r="U38" s="79">
        <f t="shared" si="8"/>
        <v>-9</v>
      </c>
      <c r="V38" s="80">
        <f t="shared" si="9"/>
        <v>-0.5</v>
      </c>
      <c r="W38"/>
      <c r="X38"/>
      <c r="Y38"/>
    </row>
    <row r="39" spans="1:25" ht="17" outlineLevel="1" x14ac:dyDescent="0.2">
      <c r="A39" s="11" t="s">
        <v>156</v>
      </c>
      <c r="B39" s="71">
        <v>6020706</v>
      </c>
      <c r="C39" s="10" t="s">
        <v>157</v>
      </c>
      <c r="D39" s="307"/>
      <c r="E39" s="12" t="s">
        <v>161</v>
      </c>
      <c r="F39" s="10" t="s">
        <v>163</v>
      </c>
      <c r="G39" s="73">
        <f>IFERROR(VLOOKUP($B39,'[2]KPI Promotor'!$G:$K,5,0),0)</f>
        <v>120000000</v>
      </c>
      <c r="H39" s="74">
        <f>SUMIF('[2]SALES BY PROMOTOR'!$D:$D,$F39,'[2]SALES BY PROMOTOR'!$J:$J)</f>
        <v>38288000</v>
      </c>
      <c r="I39" s="75">
        <f t="shared" si="0"/>
        <v>0.31906666666666667</v>
      </c>
      <c r="J39" s="73">
        <f t="shared" si="1"/>
        <v>164091428.57142857</v>
      </c>
      <c r="K39" s="76">
        <f t="shared" si="2"/>
        <v>3190666.6666666665</v>
      </c>
      <c r="L39" s="77">
        <f>SUMIF('[2]SALES BY PROMOTOR'!$D:$D,$F39,'[2]SALES BY PROMOTOR'!$G:$G)</f>
        <v>4</v>
      </c>
      <c r="M39" s="77">
        <f>SUMIF('[2]SALES BY PROMOTOR'!$D:$D,$F39,'[2]SALES BY PROMOTOR'!$I:$I)</f>
        <v>12</v>
      </c>
      <c r="N39" s="75">
        <f t="shared" si="3"/>
        <v>0.33333333333333331</v>
      </c>
      <c r="O39" s="78">
        <f>IFERROR(VLOOKUP($F39,'[2]Sales By Promotor Last Month'!D:G,4,0),0)</f>
        <v>14</v>
      </c>
      <c r="P39" s="78">
        <f t="shared" si="4"/>
        <v>4</v>
      </c>
      <c r="Q39" s="79">
        <f t="shared" si="5"/>
        <v>-10</v>
      </c>
      <c r="R39" s="80">
        <f t="shared" si="6"/>
        <v>-0.7142857142857143</v>
      </c>
      <c r="S39" s="78">
        <f>IFERROR(VLOOKUP($F39,'[2]Sales By Promotor Last Month'!D:I,6,0),0)</f>
        <v>35</v>
      </c>
      <c r="T39" s="78">
        <f t="shared" si="7"/>
        <v>12</v>
      </c>
      <c r="U39" s="79">
        <f t="shared" si="8"/>
        <v>-23</v>
      </c>
      <c r="V39" s="80">
        <f t="shared" si="9"/>
        <v>-0.65714285714285714</v>
      </c>
      <c r="W39"/>
      <c r="X39"/>
      <c r="Y39"/>
    </row>
    <row r="40" spans="1:25" ht="17" outlineLevel="1" x14ac:dyDescent="0.2">
      <c r="A40" s="11" t="s">
        <v>156</v>
      </c>
      <c r="B40" s="71">
        <v>6020706</v>
      </c>
      <c r="C40" s="10" t="s">
        <v>157</v>
      </c>
      <c r="D40" s="308"/>
      <c r="E40" s="12" t="s">
        <v>161</v>
      </c>
      <c r="F40" s="10" t="s">
        <v>164</v>
      </c>
      <c r="G40" s="73">
        <f>IFERROR(VLOOKUP($B40,'[2]KPI Promotor'!$G:$K,5,0),0)</f>
        <v>120000000</v>
      </c>
      <c r="H40" s="74">
        <f>SUMIF('[2]SALES BY PROMOTOR'!$D:$D,$F40,'[2]SALES BY PROMOTOR'!$J:$J)</f>
        <v>36090000</v>
      </c>
      <c r="I40" s="75">
        <f t="shared" si="0"/>
        <v>0.30075000000000002</v>
      </c>
      <c r="J40" s="73">
        <f t="shared" si="1"/>
        <v>154671428.57142857</v>
      </c>
      <c r="K40" s="76">
        <f t="shared" si="2"/>
        <v>3609000</v>
      </c>
      <c r="L40" s="77">
        <f>SUMIF('[2]SALES BY PROMOTOR'!$D:$D,$F40,'[2]SALES BY PROMOTOR'!$G:$G)</f>
        <v>2</v>
      </c>
      <c r="M40" s="77">
        <f>SUMIF('[2]SALES BY PROMOTOR'!$D:$D,$F40,'[2]SALES BY PROMOTOR'!$I:$I)</f>
        <v>10</v>
      </c>
      <c r="N40" s="75">
        <f t="shared" si="3"/>
        <v>0.2</v>
      </c>
      <c r="O40" s="78">
        <f>IFERROR(VLOOKUP($F40,'[2]Sales By Promotor Last Month'!D:G,4,0),0)</f>
        <v>8</v>
      </c>
      <c r="P40" s="78">
        <f t="shared" si="4"/>
        <v>2</v>
      </c>
      <c r="Q40" s="79">
        <f t="shared" si="5"/>
        <v>-6</v>
      </c>
      <c r="R40" s="80">
        <f t="shared" si="6"/>
        <v>-0.75</v>
      </c>
      <c r="S40" s="78">
        <f>IFERROR(VLOOKUP($F40,'[2]Sales By Promotor Last Month'!D:I,6,0),0)</f>
        <v>35</v>
      </c>
      <c r="T40" s="78">
        <f t="shared" si="7"/>
        <v>10</v>
      </c>
      <c r="U40" s="79">
        <f t="shared" si="8"/>
        <v>-25</v>
      </c>
      <c r="V40" s="80">
        <f t="shared" si="9"/>
        <v>-0.7142857142857143</v>
      </c>
      <c r="W40"/>
      <c r="X40"/>
      <c r="Y40"/>
    </row>
    <row r="41" spans="1:25" ht="17" outlineLevel="1" x14ac:dyDescent="0.2">
      <c r="A41" s="11" t="s">
        <v>156</v>
      </c>
      <c r="B41" s="71">
        <v>6020711</v>
      </c>
      <c r="C41" s="10" t="s">
        <v>165</v>
      </c>
      <c r="D41" s="306">
        <v>3</v>
      </c>
      <c r="E41" s="12" t="s">
        <v>166</v>
      </c>
      <c r="F41" s="10" t="s">
        <v>167</v>
      </c>
      <c r="G41" s="73">
        <f>IFERROR(VLOOKUP($B41,'[2]KPI Promotor'!$G:$K,5,0),0)</f>
        <v>170000000</v>
      </c>
      <c r="H41" s="74">
        <f>SUMIF('[2]SALES BY PROMOTOR'!$D:$D,$F41,'[2]SALES BY PROMOTOR'!$J:$J)</f>
        <v>37092000</v>
      </c>
      <c r="I41" s="75">
        <f t="shared" si="0"/>
        <v>0.21818823529411766</v>
      </c>
      <c r="J41" s="73">
        <f t="shared" si="1"/>
        <v>158965714.28571427</v>
      </c>
      <c r="K41" s="76">
        <f t="shared" si="2"/>
        <v>4636500</v>
      </c>
      <c r="L41" s="77">
        <f>SUMIF('[2]SALES BY PROMOTOR'!$D:$D,$F41,'[2]SALES BY PROMOTOR'!$G:$G)</f>
        <v>4</v>
      </c>
      <c r="M41" s="77">
        <f>SUMIF('[2]SALES BY PROMOTOR'!$D:$D,$F41,'[2]SALES BY PROMOTOR'!$I:$I)</f>
        <v>8</v>
      </c>
      <c r="N41" s="75">
        <f t="shared" si="3"/>
        <v>0.5</v>
      </c>
      <c r="O41" s="78">
        <f>IFERROR(VLOOKUP($F41,'[2]Sales By Promotor Last Month'!D:G,4,0),0)</f>
        <v>23</v>
      </c>
      <c r="P41" s="78">
        <f t="shared" si="4"/>
        <v>4</v>
      </c>
      <c r="Q41" s="79">
        <f t="shared" si="5"/>
        <v>-19</v>
      </c>
      <c r="R41" s="80">
        <f t="shared" si="6"/>
        <v>-0.82608695652173914</v>
      </c>
      <c r="S41" s="78">
        <f>IFERROR(VLOOKUP($F41,'[2]Sales By Promotor Last Month'!D:I,6,0),0)</f>
        <v>35</v>
      </c>
      <c r="T41" s="78">
        <f t="shared" si="7"/>
        <v>8</v>
      </c>
      <c r="U41" s="79">
        <f t="shared" si="8"/>
        <v>-27</v>
      </c>
      <c r="V41" s="80">
        <f t="shared" si="9"/>
        <v>-0.77142857142857146</v>
      </c>
      <c r="W41"/>
      <c r="X41"/>
      <c r="Y41"/>
    </row>
    <row r="42" spans="1:25" ht="17" outlineLevel="1" x14ac:dyDescent="0.2">
      <c r="A42" s="11" t="s">
        <v>156</v>
      </c>
      <c r="B42" s="71">
        <v>6020711</v>
      </c>
      <c r="C42" s="10" t="s">
        <v>165</v>
      </c>
      <c r="D42" s="307"/>
      <c r="E42" s="12" t="s">
        <v>166</v>
      </c>
      <c r="F42" s="10" t="s">
        <v>168</v>
      </c>
      <c r="G42" s="73">
        <f>IFERROR(VLOOKUP($B42,'[2]KPI Promotor'!$G:$K,5,0),0)</f>
        <v>170000000</v>
      </c>
      <c r="H42" s="74">
        <f>SUMIF('[2]SALES BY PROMOTOR'!$D:$D,$F42,'[2]SALES BY PROMOTOR'!$J:$J)</f>
        <v>23093000</v>
      </c>
      <c r="I42" s="75">
        <f t="shared" si="0"/>
        <v>0.13584117647058824</v>
      </c>
      <c r="J42" s="73">
        <f t="shared" si="1"/>
        <v>98970000</v>
      </c>
      <c r="K42" s="76">
        <f t="shared" si="2"/>
        <v>3299000</v>
      </c>
      <c r="L42" s="77">
        <f>SUMIF('[2]SALES BY PROMOTOR'!$D:$D,$F42,'[2]SALES BY PROMOTOR'!$G:$G)</f>
        <v>2</v>
      </c>
      <c r="M42" s="77">
        <f>SUMIF('[2]SALES BY PROMOTOR'!$D:$D,$F42,'[2]SALES BY PROMOTOR'!$I:$I)</f>
        <v>7</v>
      </c>
      <c r="N42" s="75">
        <f t="shared" si="3"/>
        <v>0.2857142857142857</v>
      </c>
      <c r="O42" s="78">
        <f>IFERROR(VLOOKUP($F42,'[2]Sales By Promotor Last Month'!D:G,4,0),0)</f>
        <v>16</v>
      </c>
      <c r="P42" s="78">
        <f t="shared" si="4"/>
        <v>2</v>
      </c>
      <c r="Q42" s="79">
        <f t="shared" si="5"/>
        <v>-14</v>
      </c>
      <c r="R42" s="80">
        <f t="shared" si="6"/>
        <v>-0.875</v>
      </c>
      <c r="S42" s="78">
        <f>IFERROR(VLOOKUP($F42,'[2]Sales By Promotor Last Month'!D:I,6,0),0)</f>
        <v>35</v>
      </c>
      <c r="T42" s="78">
        <f t="shared" si="7"/>
        <v>7</v>
      </c>
      <c r="U42" s="79">
        <f t="shared" si="8"/>
        <v>-28</v>
      </c>
      <c r="V42" s="80">
        <f t="shared" si="9"/>
        <v>-0.8</v>
      </c>
      <c r="W42"/>
      <c r="X42"/>
      <c r="Y42"/>
    </row>
    <row r="43" spans="1:25" ht="17" outlineLevel="1" x14ac:dyDescent="0.2">
      <c r="A43" s="11" t="s">
        <v>156</v>
      </c>
      <c r="B43" s="71">
        <v>6020711</v>
      </c>
      <c r="C43" s="10" t="s">
        <v>165</v>
      </c>
      <c r="D43" s="308"/>
      <c r="E43" s="12" t="s">
        <v>166</v>
      </c>
      <c r="F43" s="10" t="s">
        <v>169</v>
      </c>
      <c r="G43" s="73">
        <f>IFERROR(VLOOKUP($B43,'[2]KPI Promotor'!$G:$K,5,0),0)</f>
        <v>170000000</v>
      </c>
      <c r="H43" s="74">
        <f>SUMIF('[2]SALES BY PROMOTOR'!$D:$D,$F43,'[2]SALES BY PROMOTOR'!$J:$J)</f>
        <v>40995000</v>
      </c>
      <c r="I43" s="75">
        <f t="shared" si="0"/>
        <v>0.24114705882352941</v>
      </c>
      <c r="J43" s="73">
        <f t="shared" si="1"/>
        <v>175692857.14285716</v>
      </c>
      <c r="K43" s="76">
        <f t="shared" si="2"/>
        <v>8199000</v>
      </c>
      <c r="L43" s="77">
        <f>SUMIF('[2]SALES BY PROMOTOR'!$D:$D,$F43,'[2]SALES BY PROMOTOR'!$G:$G)</f>
        <v>3</v>
      </c>
      <c r="M43" s="77">
        <f>SUMIF('[2]SALES BY PROMOTOR'!$D:$D,$F43,'[2]SALES BY PROMOTOR'!$I:$I)</f>
        <v>5</v>
      </c>
      <c r="N43" s="75">
        <f t="shared" si="3"/>
        <v>0.6</v>
      </c>
      <c r="O43" s="78">
        <f>IFERROR(VLOOKUP($F43,'[2]Sales By Promotor Last Month'!D:G,4,0),0)</f>
        <v>10</v>
      </c>
      <c r="P43" s="78">
        <f t="shared" si="4"/>
        <v>3</v>
      </c>
      <c r="Q43" s="79">
        <f t="shared" si="5"/>
        <v>-7</v>
      </c>
      <c r="R43" s="80">
        <f t="shared" si="6"/>
        <v>-0.7</v>
      </c>
      <c r="S43" s="78">
        <f>IFERROR(VLOOKUP($F43,'[2]Sales By Promotor Last Month'!D:I,6,0),0)</f>
        <v>16</v>
      </c>
      <c r="T43" s="78">
        <f t="shared" si="7"/>
        <v>5</v>
      </c>
      <c r="U43" s="79">
        <f t="shared" si="8"/>
        <v>-11</v>
      </c>
      <c r="V43" s="80">
        <f t="shared" si="9"/>
        <v>-0.6875</v>
      </c>
      <c r="W43"/>
      <c r="X43"/>
      <c r="Y43"/>
    </row>
    <row r="44" spans="1:25" ht="17" outlineLevel="1" x14ac:dyDescent="0.2">
      <c r="A44" s="11" t="s">
        <v>170</v>
      </c>
      <c r="B44" s="71">
        <v>6040701</v>
      </c>
      <c r="C44" s="10" t="s">
        <v>171</v>
      </c>
      <c r="D44" s="306">
        <v>2</v>
      </c>
      <c r="E44" s="12" t="s">
        <v>172</v>
      </c>
      <c r="F44" s="10" t="s">
        <v>173</v>
      </c>
      <c r="G44" s="73">
        <f>IFERROR(VLOOKUP($B44,'[2]KPI Promotor'!$G:$K,5,0),0)</f>
        <v>120000000</v>
      </c>
      <c r="H44" s="74">
        <f>SUMIF('[2]SALES BY PROMOTOR'!$D:$D,$F44,'[2]SALES BY PROMOTOR'!$J:$J)</f>
        <v>35694000</v>
      </c>
      <c r="I44" s="75">
        <f t="shared" si="0"/>
        <v>0.29744999999999999</v>
      </c>
      <c r="J44" s="73">
        <f t="shared" si="1"/>
        <v>152974285.71428573</v>
      </c>
      <c r="K44" s="76">
        <f t="shared" si="2"/>
        <v>5949000</v>
      </c>
      <c r="L44" s="77">
        <f>SUMIF('[2]SALES BY PROMOTOR'!$D:$D,$F44,'[2]SALES BY PROMOTOR'!$G:$G)</f>
        <v>3</v>
      </c>
      <c r="M44" s="77">
        <f>SUMIF('[2]SALES BY PROMOTOR'!$D:$D,$F44,'[2]SALES BY PROMOTOR'!$I:$I)</f>
        <v>6</v>
      </c>
      <c r="N44" s="75">
        <f t="shared" si="3"/>
        <v>0.5</v>
      </c>
      <c r="O44" s="78">
        <f>IFERROR(VLOOKUP($F44,'[2]Sales By Promotor Last Month'!D:G,4,0),0)</f>
        <v>15</v>
      </c>
      <c r="P44" s="78">
        <f t="shared" si="4"/>
        <v>3</v>
      </c>
      <c r="Q44" s="79">
        <f t="shared" si="5"/>
        <v>-12</v>
      </c>
      <c r="R44" s="80">
        <f t="shared" si="6"/>
        <v>-0.8</v>
      </c>
      <c r="S44" s="78">
        <f>IFERROR(VLOOKUP($F44,'[2]Sales By Promotor Last Month'!D:I,6,0),0)</f>
        <v>30</v>
      </c>
      <c r="T44" s="78">
        <f t="shared" si="7"/>
        <v>6</v>
      </c>
      <c r="U44" s="79">
        <f t="shared" si="8"/>
        <v>-24</v>
      </c>
      <c r="V44" s="80">
        <f t="shared" si="9"/>
        <v>-0.8</v>
      </c>
      <c r="W44"/>
      <c r="X44"/>
      <c r="Y44"/>
    </row>
    <row r="45" spans="1:25" ht="17" outlineLevel="1" x14ac:dyDescent="0.2">
      <c r="A45" s="11" t="s">
        <v>170</v>
      </c>
      <c r="B45" s="71">
        <v>6040701</v>
      </c>
      <c r="C45" s="10" t="s">
        <v>171</v>
      </c>
      <c r="D45" s="307"/>
      <c r="E45" s="12" t="s">
        <v>172</v>
      </c>
      <c r="F45" s="10" t="s">
        <v>174</v>
      </c>
      <c r="G45" s="73">
        <f>IFERROR(VLOOKUP($B45,'[2]KPI Promotor'!$G:$K,5,0),0)</f>
        <v>120000000</v>
      </c>
      <c r="H45" s="74">
        <f>SUMIF('[2]SALES BY PROMOTOR'!$D:$D,$F45,'[2]SALES BY PROMOTOR'!$J:$J)</f>
        <v>16996000</v>
      </c>
      <c r="I45" s="75">
        <f t="shared" si="0"/>
        <v>0.14163333333333333</v>
      </c>
      <c r="J45" s="73">
        <f t="shared" si="1"/>
        <v>72840000</v>
      </c>
      <c r="K45" s="76">
        <f t="shared" si="2"/>
        <v>4249000</v>
      </c>
      <c r="L45" s="77">
        <f>SUMIF('[2]SALES BY PROMOTOR'!$D:$D,$F45,'[2]SALES BY PROMOTOR'!$G:$G)</f>
        <v>2</v>
      </c>
      <c r="M45" s="77">
        <f>SUMIF('[2]SALES BY PROMOTOR'!$D:$D,$F45,'[2]SALES BY PROMOTOR'!$I:$I)</f>
        <v>4</v>
      </c>
      <c r="N45" s="75">
        <f t="shared" si="3"/>
        <v>0.5</v>
      </c>
      <c r="O45" s="78">
        <f>IFERROR(VLOOKUP($F45,'[2]Sales By Promotor Last Month'!D:G,4,0),0)</f>
        <v>9</v>
      </c>
      <c r="P45" s="78">
        <f t="shared" si="4"/>
        <v>2</v>
      </c>
      <c r="Q45" s="79">
        <f t="shared" si="5"/>
        <v>-7</v>
      </c>
      <c r="R45" s="80">
        <f t="shared" si="6"/>
        <v>-0.77777777777777779</v>
      </c>
      <c r="S45" s="78">
        <f>IFERROR(VLOOKUP($F45,'[2]Sales By Promotor Last Month'!D:I,6,0),0)</f>
        <v>30</v>
      </c>
      <c r="T45" s="78">
        <f t="shared" si="7"/>
        <v>4</v>
      </c>
      <c r="U45" s="79">
        <f t="shared" si="8"/>
        <v>-26</v>
      </c>
      <c r="V45" s="80">
        <f t="shared" si="9"/>
        <v>-0.8666666666666667</v>
      </c>
      <c r="W45"/>
      <c r="X45"/>
      <c r="Y45"/>
    </row>
    <row r="46" spans="1:25" ht="17" outlineLevel="1" x14ac:dyDescent="0.2">
      <c r="A46" s="11" t="s">
        <v>170</v>
      </c>
      <c r="B46" s="71">
        <v>6080712</v>
      </c>
      <c r="C46" s="10" t="s">
        <v>171</v>
      </c>
      <c r="D46" s="307">
        <v>3</v>
      </c>
      <c r="E46" s="12" t="s">
        <v>175</v>
      </c>
      <c r="F46" s="10" t="s">
        <v>176</v>
      </c>
      <c r="G46" s="73">
        <f>IFERROR(VLOOKUP($B46,'[2]KPI Promotor'!$G:$K,5,0),0)</f>
        <v>120000000</v>
      </c>
      <c r="H46" s="74">
        <f>SUMIF('[2]SALES BY PROMOTOR'!$D:$D,$F46,'[2]SALES BY PROMOTOR'!$J:$J)</f>
        <v>27895000</v>
      </c>
      <c r="I46" s="75">
        <f t="shared" si="0"/>
        <v>0.23245833333333332</v>
      </c>
      <c r="J46" s="73">
        <f t="shared" si="1"/>
        <v>119550000</v>
      </c>
      <c r="K46" s="76">
        <f t="shared" si="2"/>
        <v>5579000</v>
      </c>
      <c r="L46" s="77">
        <f>SUMIF('[2]SALES BY PROMOTOR'!$D:$D,$F46,'[2]SALES BY PROMOTOR'!$G:$G)</f>
        <v>4</v>
      </c>
      <c r="M46" s="77">
        <f>SUMIF('[2]SALES BY PROMOTOR'!$D:$D,$F46,'[2]SALES BY PROMOTOR'!$I:$I)</f>
        <v>5</v>
      </c>
      <c r="N46" s="75">
        <f t="shared" si="3"/>
        <v>0.8</v>
      </c>
      <c r="O46" s="78">
        <f>IFERROR(VLOOKUP($F46,'[2]Sales By Promotor Last Month'!D:G,4,0),0)</f>
        <v>10</v>
      </c>
      <c r="P46" s="78">
        <f t="shared" si="4"/>
        <v>4</v>
      </c>
      <c r="Q46" s="79">
        <f t="shared" si="5"/>
        <v>-6</v>
      </c>
      <c r="R46" s="80">
        <f t="shared" si="6"/>
        <v>-0.6</v>
      </c>
      <c r="S46" s="78">
        <f>IFERROR(VLOOKUP($F46,'[2]Sales By Promotor Last Month'!D:I,6,0),0)</f>
        <v>25</v>
      </c>
      <c r="T46" s="78">
        <f t="shared" si="7"/>
        <v>5</v>
      </c>
      <c r="U46" s="79">
        <f t="shared" si="8"/>
        <v>-20</v>
      </c>
      <c r="V46" s="80">
        <f t="shared" si="9"/>
        <v>-0.8</v>
      </c>
      <c r="W46"/>
      <c r="X46"/>
      <c r="Y46"/>
    </row>
    <row r="47" spans="1:25" ht="17" outlineLevel="1" x14ac:dyDescent="0.2">
      <c r="A47" s="11" t="s">
        <v>170</v>
      </c>
      <c r="B47" s="71">
        <v>6080712</v>
      </c>
      <c r="C47" s="10" t="s">
        <v>171</v>
      </c>
      <c r="D47" s="307"/>
      <c r="E47" s="12" t="s">
        <v>175</v>
      </c>
      <c r="F47" s="10" t="s">
        <v>177</v>
      </c>
      <c r="G47" s="73">
        <f>IFERROR(VLOOKUP($B47,'[2]KPI Promotor'!$G:$K,5,0),0)</f>
        <v>120000000</v>
      </c>
      <c r="H47" s="74">
        <f>SUMIF('[2]SALES BY PROMOTOR'!$D:$D,$F47,'[2]SALES BY PROMOTOR'!$J:$J)</f>
        <v>7598000</v>
      </c>
      <c r="I47" s="75">
        <f t="shared" si="0"/>
        <v>6.331666666666666E-2</v>
      </c>
      <c r="J47" s="73">
        <f t="shared" si="1"/>
        <v>32562857.142857142</v>
      </c>
      <c r="K47" s="76">
        <f t="shared" si="2"/>
        <v>3799000</v>
      </c>
      <c r="L47" s="77">
        <f>SUMIF('[2]SALES BY PROMOTOR'!$D:$D,$F47,'[2]SALES BY PROMOTOR'!$G:$G)</f>
        <v>1</v>
      </c>
      <c r="M47" s="77">
        <f>SUMIF('[2]SALES BY PROMOTOR'!$D:$D,$F47,'[2]SALES BY PROMOTOR'!$I:$I)</f>
        <v>2</v>
      </c>
      <c r="N47" s="75">
        <f t="shared" si="3"/>
        <v>0.5</v>
      </c>
      <c r="O47" s="78">
        <f>IFERROR(VLOOKUP($F47,'[2]Sales By Promotor Last Month'!D:G,4,0),0)</f>
        <v>11</v>
      </c>
      <c r="P47" s="78">
        <f t="shared" si="4"/>
        <v>1</v>
      </c>
      <c r="Q47" s="79">
        <f t="shared" si="5"/>
        <v>-10</v>
      </c>
      <c r="R47" s="80">
        <f t="shared" si="6"/>
        <v>-0.90909090909090906</v>
      </c>
      <c r="S47" s="78">
        <f>IFERROR(VLOOKUP($F47,'[2]Sales By Promotor Last Month'!D:I,6,0),0)</f>
        <v>18</v>
      </c>
      <c r="T47" s="78">
        <f t="shared" si="7"/>
        <v>2</v>
      </c>
      <c r="U47" s="79">
        <f t="shared" si="8"/>
        <v>-16</v>
      </c>
      <c r="V47" s="80">
        <f t="shared" si="9"/>
        <v>-0.88888888888888884</v>
      </c>
      <c r="W47"/>
      <c r="X47"/>
      <c r="Y47"/>
    </row>
    <row r="48" spans="1:25" ht="17" outlineLevel="1" x14ac:dyDescent="0.2">
      <c r="A48" s="11" t="s">
        <v>170</v>
      </c>
      <c r="B48" s="71">
        <v>6080712</v>
      </c>
      <c r="C48" s="10" t="s">
        <v>171</v>
      </c>
      <c r="D48" s="307"/>
      <c r="E48" s="12" t="s">
        <v>175</v>
      </c>
      <c r="F48" s="10" t="s">
        <v>336</v>
      </c>
      <c r="G48" s="73">
        <f>IFERROR(VLOOKUP($B48,'[2]KPI Promotor'!$G:$K,5,0),0)</f>
        <v>120000000</v>
      </c>
      <c r="H48" s="74">
        <f>SUMIF('[2]SALES BY PROMOTOR'!$D:$D,$F48,'[2]SALES BY PROMOTOR'!$J:$J)</f>
        <v>12896000</v>
      </c>
      <c r="I48" s="75">
        <f t="shared" si="0"/>
        <v>0.10746666666666667</v>
      </c>
      <c r="J48" s="73">
        <f t="shared" si="1"/>
        <v>55268571.428571433</v>
      </c>
      <c r="K48" s="76">
        <f t="shared" si="2"/>
        <v>3224000</v>
      </c>
      <c r="L48" s="77">
        <f>SUMIF('[2]SALES BY PROMOTOR'!$D:$D,$F48,'[2]SALES BY PROMOTOR'!$G:$G)</f>
        <v>2</v>
      </c>
      <c r="M48" s="77">
        <f>SUMIF('[2]SALES BY PROMOTOR'!$D:$D,$F48,'[2]SALES BY PROMOTOR'!$I:$I)</f>
        <v>4</v>
      </c>
      <c r="N48" s="75">
        <f t="shared" si="3"/>
        <v>0.5</v>
      </c>
      <c r="O48" s="78">
        <f>IFERROR(VLOOKUP($F48,'[2]Sales By Promotor Last Month'!D:G,4,0),0)</f>
        <v>0</v>
      </c>
      <c r="P48" s="78">
        <f t="shared" si="4"/>
        <v>2</v>
      </c>
      <c r="Q48" s="79">
        <f t="shared" si="5"/>
        <v>2</v>
      </c>
      <c r="R48" s="80">
        <f t="shared" si="6"/>
        <v>0</v>
      </c>
      <c r="S48" s="78">
        <f>IFERROR(VLOOKUP($F48,'[2]Sales By Promotor Last Month'!D:I,6,0),0)</f>
        <v>0</v>
      </c>
      <c r="T48" s="78">
        <f t="shared" si="7"/>
        <v>4</v>
      </c>
      <c r="U48" s="79">
        <f t="shared" si="8"/>
        <v>4</v>
      </c>
      <c r="V48" s="80">
        <f t="shared" si="9"/>
        <v>0</v>
      </c>
      <c r="W48"/>
      <c r="X48"/>
      <c r="Y48"/>
    </row>
    <row r="49" spans="1:25" ht="17" outlineLevel="1" x14ac:dyDescent="0.2">
      <c r="A49" s="11" t="s">
        <v>170</v>
      </c>
      <c r="B49" s="71">
        <v>6080712</v>
      </c>
      <c r="C49" s="10" t="s">
        <v>171</v>
      </c>
      <c r="D49" s="308"/>
      <c r="E49" s="12" t="s">
        <v>175</v>
      </c>
      <c r="F49" s="10" t="s">
        <v>178</v>
      </c>
      <c r="G49" s="73">
        <f>IFERROR(VLOOKUP($B49,'[2]KPI Promotor'!$G:$K,5,0),0)</f>
        <v>120000000</v>
      </c>
      <c r="H49" s="74">
        <f>SUMIF('[2]SALES BY PROMOTOR'!$D:$D,$F49,'[2]SALES BY PROMOTOR'!$J:$J)</f>
        <v>0</v>
      </c>
      <c r="I49" s="75">
        <f t="shared" si="0"/>
        <v>0</v>
      </c>
      <c r="J49" s="73">
        <f t="shared" si="1"/>
        <v>0</v>
      </c>
      <c r="K49" s="76">
        <f t="shared" si="2"/>
        <v>0</v>
      </c>
      <c r="L49" s="77">
        <f>SUMIF('[2]SALES BY PROMOTOR'!$D:$D,$F49,'[2]SALES BY PROMOTOR'!$G:$G)</f>
        <v>0</v>
      </c>
      <c r="M49" s="77">
        <f>SUMIF('[2]SALES BY PROMOTOR'!$D:$D,$F49,'[2]SALES BY PROMOTOR'!$I:$I)</f>
        <v>0</v>
      </c>
      <c r="N49" s="75">
        <f t="shared" si="3"/>
        <v>0</v>
      </c>
      <c r="O49" s="78">
        <f>IFERROR(VLOOKUP($F49,'[2]Sales By Promotor Last Month'!D:G,4,0),0)</f>
        <v>1</v>
      </c>
      <c r="P49" s="78">
        <f t="shared" si="4"/>
        <v>0</v>
      </c>
      <c r="Q49" s="79">
        <f t="shared" si="5"/>
        <v>-1</v>
      </c>
      <c r="R49" s="80">
        <f t="shared" si="6"/>
        <v>-1</v>
      </c>
      <c r="S49" s="78">
        <f>IFERROR(VLOOKUP($F49,'[2]Sales By Promotor Last Month'!D:I,6,0),0)</f>
        <v>1</v>
      </c>
      <c r="T49" s="78">
        <f t="shared" si="7"/>
        <v>0</v>
      </c>
      <c r="U49" s="79">
        <f t="shared" si="8"/>
        <v>-1</v>
      </c>
      <c r="V49" s="80">
        <f t="shared" si="9"/>
        <v>-1</v>
      </c>
      <c r="W49"/>
      <c r="X49"/>
      <c r="Y49"/>
    </row>
    <row r="50" spans="1:25" ht="17" outlineLevel="1" x14ac:dyDescent="0.2">
      <c r="A50" s="11" t="s">
        <v>179</v>
      </c>
      <c r="B50" s="71">
        <v>6040702</v>
      </c>
      <c r="C50" s="10" t="s">
        <v>171</v>
      </c>
      <c r="D50" s="71">
        <v>1</v>
      </c>
      <c r="E50" s="14" t="s">
        <v>180</v>
      </c>
      <c r="F50" s="10" t="s">
        <v>181</v>
      </c>
      <c r="G50" s="73">
        <f>IFERROR(VLOOKUP($B50,'[2]KPI Promotor'!$G:$K,5,0),0)</f>
        <v>120000000</v>
      </c>
      <c r="H50" s="74">
        <f>SUMIF('[2]SALES BY PROMOTOR'!$D:$D,$F50,'[2]SALES BY PROMOTOR'!$J:$J)</f>
        <v>5698000</v>
      </c>
      <c r="I50" s="75">
        <f t="shared" si="0"/>
        <v>4.7483333333333336E-2</v>
      </c>
      <c r="J50" s="73">
        <f t="shared" si="1"/>
        <v>24420000</v>
      </c>
      <c r="K50" s="76">
        <f t="shared" si="2"/>
        <v>2849000</v>
      </c>
      <c r="L50" s="77">
        <f>SUMIF('[2]SALES BY PROMOTOR'!$D:$D,$F50,'[2]SALES BY PROMOTOR'!$G:$G)</f>
        <v>1</v>
      </c>
      <c r="M50" s="77">
        <f>SUMIF('[2]SALES BY PROMOTOR'!$D:$D,$F50,'[2]SALES BY PROMOTOR'!$I:$I)</f>
        <v>2</v>
      </c>
      <c r="N50" s="75">
        <f t="shared" si="3"/>
        <v>0.5</v>
      </c>
      <c r="O50" s="78">
        <f>IFERROR(VLOOKUP($F50,'[2]Sales By Promotor Last Month'!D:G,4,0),0)</f>
        <v>15</v>
      </c>
      <c r="P50" s="78">
        <f t="shared" si="4"/>
        <v>1</v>
      </c>
      <c r="Q50" s="79">
        <f t="shared" si="5"/>
        <v>-14</v>
      </c>
      <c r="R50" s="80">
        <f t="shared" si="6"/>
        <v>-0.93333333333333335</v>
      </c>
      <c r="S50" s="78">
        <f>IFERROR(VLOOKUP($F50,'[2]Sales By Promotor Last Month'!D:I,6,0),0)</f>
        <v>31</v>
      </c>
      <c r="T50" s="78">
        <f t="shared" si="7"/>
        <v>2</v>
      </c>
      <c r="U50" s="79">
        <f t="shared" si="8"/>
        <v>-29</v>
      </c>
      <c r="V50" s="80">
        <f t="shared" si="9"/>
        <v>-0.93548387096774188</v>
      </c>
      <c r="W50"/>
      <c r="X50"/>
      <c r="Y50"/>
    </row>
    <row r="51" spans="1:25" ht="17" outlineLevel="1" x14ac:dyDescent="0.2">
      <c r="A51" s="11" t="s">
        <v>179</v>
      </c>
      <c r="B51" s="71">
        <v>6040703</v>
      </c>
      <c r="C51" s="10" t="s">
        <v>171</v>
      </c>
      <c r="D51" s="315">
        <v>2</v>
      </c>
      <c r="E51" s="15" t="s">
        <v>182</v>
      </c>
      <c r="F51" s="10" t="s">
        <v>183</v>
      </c>
      <c r="G51" s="73">
        <f>IFERROR(VLOOKUP($B51,'[2]KPI Promotor'!$G:$K,5,0),0)</f>
        <v>120000000</v>
      </c>
      <c r="H51" s="74">
        <f>SUMIF('[2]SALES BY PROMOTOR'!$D:$D,$F51,'[2]SALES BY PROMOTOR'!$J:$J)</f>
        <v>6698000</v>
      </c>
      <c r="I51" s="75">
        <f t="shared" si="0"/>
        <v>5.5816666666666667E-2</v>
      </c>
      <c r="J51" s="73">
        <f t="shared" si="1"/>
        <v>28705714.285714284</v>
      </c>
      <c r="K51" s="76">
        <f t="shared" si="2"/>
        <v>3349000</v>
      </c>
      <c r="L51" s="77">
        <f>SUMIF('[2]SALES BY PROMOTOR'!$D:$D,$F51,'[2]SALES BY PROMOTOR'!$G:$G)</f>
        <v>1</v>
      </c>
      <c r="M51" s="77">
        <f>SUMIF('[2]SALES BY PROMOTOR'!$D:$D,$F51,'[2]SALES BY PROMOTOR'!$I:$I)</f>
        <v>2</v>
      </c>
      <c r="N51" s="75">
        <f t="shared" si="3"/>
        <v>0.5</v>
      </c>
      <c r="O51" s="78">
        <f>IFERROR(VLOOKUP($F51,'[2]Sales By Promotor Last Month'!D:G,4,0),0)</f>
        <v>10</v>
      </c>
      <c r="P51" s="78">
        <f t="shared" si="4"/>
        <v>1</v>
      </c>
      <c r="Q51" s="79">
        <f t="shared" si="5"/>
        <v>-9</v>
      </c>
      <c r="R51" s="80">
        <f t="shared" si="6"/>
        <v>-0.9</v>
      </c>
      <c r="S51" s="78">
        <f>IFERROR(VLOOKUP($F51,'[2]Sales By Promotor Last Month'!D:I,6,0),0)</f>
        <v>25</v>
      </c>
      <c r="T51" s="78">
        <f t="shared" si="7"/>
        <v>2</v>
      </c>
      <c r="U51" s="79">
        <f t="shared" si="8"/>
        <v>-23</v>
      </c>
      <c r="V51" s="80">
        <f t="shared" si="9"/>
        <v>-0.92</v>
      </c>
      <c r="W51"/>
      <c r="X51"/>
      <c r="Y51"/>
    </row>
    <row r="52" spans="1:25" ht="17" outlineLevel="1" x14ac:dyDescent="0.2">
      <c r="A52" s="11" t="s">
        <v>179</v>
      </c>
      <c r="B52" s="71">
        <v>6040703</v>
      </c>
      <c r="C52" s="10" t="s">
        <v>171</v>
      </c>
      <c r="D52" s="312"/>
      <c r="E52" s="15" t="s">
        <v>182</v>
      </c>
      <c r="F52" s="16" t="s">
        <v>184</v>
      </c>
      <c r="G52" s="73">
        <f>IFERROR(VLOOKUP($B52,'[2]KPI Promotor'!$G:$K,5,0),0)</f>
        <v>120000000</v>
      </c>
      <c r="H52" s="74">
        <f>SUMIF('[2]SALES BY PROMOTOR'!$D:$D,$F52,'[2]SALES BY PROMOTOR'!$J:$J)</f>
        <v>21295000</v>
      </c>
      <c r="I52" s="75">
        <f t="shared" si="0"/>
        <v>0.17745833333333333</v>
      </c>
      <c r="J52" s="73">
        <f t="shared" si="1"/>
        <v>91264285.714285716</v>
      </c>
      <c r="K52" s="76">
        <f t="shared" si="2"/>
        <v>4259000</v>
      </c>
      <c r="L52" s="77">
        <f>SUMIF('[2]SALES BY PROMOTOR'!$D:$D,$F52,'[2]SALES BY PROMOTOR'!$G:$G)</f>
        <v>3</v>
      </c>
      <c r="M52" s="77">
        <f>SUMIF('[2]SALES BY PROMOTOR'!$D:$D,$F52,'[2]SALES BY PROMOTOR'!$I:$I)</f>
        <v>5</v>
      </c>
      <c r="N52" s="75">
        <f t="shared" si="3"/>
        <v>0.6</v>
      </c>
      <c r="O52" s="78">
        <f>IFERROR(VLOOKUP($F52,'[2]Sales By Promotor Last Month'!D:G,4,0),0)</f>
        <v>6</v>
      </c>
      <c r="P52" s="78">
        <f t="shared" si="4"/>
        <v>3</v>
      </c>
      <c r="Q52" s="79">
        <f t="shared" si="5"/>
        <v>-3</v>
      </c>
      <c r="R52" s="80">
        <f t="shared" si="6"/>
        <v>-0.5</v>
      </c>
      <c r="S52" s="78">
        <f>IFERROR(VLOOKUP($F52,'[2]Sales By Promotor Last Month'!D:I,6,0),0)</f>
        <v>10</v>
      </c>
      <c r="T52" s="78">
        <f t="shared" si="7"/>
        <v>5</v>
      </c>
      <c r="U52" s="79">
        <f t="shared" si="8"/>
        <v>-5</v>
      </c>
      <c r="V52" s="80">
        <f t="shared" si="9"/>
        <v>-0.5</v>
      </c>
      <c r="W52"/>
      <c r="X52"/>
      <c r="Y52"/>
    </row>
    <row r="53" spans="1:25" ht="17" outlineLevel="1" x14ac:dyDescent="0.2">
      <c r="A53" s="11" t="s">
        <v>185</v>
      </c>
      <c r="B53" s="71">
        <v>6050701</v>
      </c>
      <c r="C53" s="10" t="s">
        <v>50</v>
      </c>
      <c r="D53" s="306">
        <v>2</v>
      </c>
      <c r="E53" s="12" t="s">
        <v>186</v>
      </c>
      <c r="F53" s="10" t="s">
        <v>187</v>
      </c>
      <c r="G53" s="73">
        <f>IFERROR(VLOOKUP($B53,'[2]KPI Promotor'!$G:$K,5,0),0)</f>
        <v>140000000</v>
      </c>
      <c r="H53" s="74">
        <f>SUMIF('[2]SALES BY PROMOTOR'!$D:$D,$F53,'[2]SALES BY PROMOTOR'!$J:$J)</f>
        <v>44893000</v>
      </c>
      <c r="I53" s="75">
        <f t="shared" si="0"/>
        <v>0.32066428571428574</v>
      </c>
      <c r="J53" s="73">
        <f t="shared" si="1"/>
        <v>192398571.42857143</v>
      </c>
      <c r="K53" s="76">
        <f t="shared" si="2"/>
        <v>6413285.7142857146</v>
      </c>
      <c r="L53" s="77">
        <f>SUMIF('[2]SALES BY PROMOTOR'!$D:$D,$F53,'[2]SALES BY PROMOTOR'!$G:$G)</f>
        <v>5</v>
      </c>
      <c r="M53" s="77">
        <f>SUMIF('[2]SALES BY PROMOTOR'!$D:$D,$F53,'[2]SALES BY PROMOTOR'!$I:$I)</f>
        <v>7</v>
      </c>
      <c r="N53" s="75">
        <f t="shared" si="3"/>
        <v>0.7142857142857143</v>
      </c>
      <c r="O53" s="78">
        <f>IFERROR(VLOOKUP($F53,'[2]Sales By Promotor Last Month'!D:G,4,0),0)</f>
        <v>21</v>
      </c>
      <c r="P53" s="78">
        <f t="shared" si="4"/>
        <v>5</v>
      </c>
      <c r="Q53" s="79">
        <f t="shared" si="5"/>
        <v>-16</v>
      </c>
      <c r="R53" s="80">
        <f t="shared" si="6"/>
        <v>-0.76190476190476186</v>
      </c>
      <c r="S53" s="78">
        <f>IFERROR(VLOOKUP($F53,'[2]Sales By Promotor Last Month'!D:I,6,0),0)</f>
        <v>32</v>
      </c>
      <c r="T53" s="78">
        <f t="shared" si="7"/>
        <v>7</v>
      </c>
      <c r="U53" s="79">
        <f t="shared" si="8"/>
        <v>-25</v>
      </c>
      <c r="V53" s="80">
        <f t="shared" si="9"/>
        <v>-0.78125</v>
      </c>
      <c r="W53"/>
      <c r="X53"/>
      <c r="Y53"/>
    </row>
    <row r="54" spans="1:25" ht="17" outlineLevel="1" x14ac:dyDescent="0.2">
      <c r="A54" s="11" t="s">
        <v>185</v>
      </c>
      <c r="B54" s="71">
        <v>6050701</v>
      </c>
      <c r="C54" s="10" t="s">
        <v>50</v>
      </c>
      <c r="D54" s="307"/>
      <c r="E54" s="12" t="s">
        <v>186</v>
      </c>
      <c r="F54" s="10" t="s">
        <v>188</v>
      </c>
      <c r="G54" s="73">
        <f>IFERROR(VLOOKUP($B54,'[2]KPI Promotor'!$G:$K,5,0),0)</f>
        <v>140000000</v>
      </c>
      <c r="H54" s="74">
        <f>SUMIF('[2]SALES BY PROMOTOR'!$D:$D,$F54,'[2]SALES BY PROMOTOR'!$J:$J)</f>
        <v>36791000</v>
      </c>
      <c r="I54" s="75">
        <f t="shared" si="0"/>
        <v>0.26279285714285716</v>
      </c>
      <c r="J54" s="73">
        <f t="shared" si="1"/>
        <v>157675714.28571427</v>
      </c>
      <c r="K54" s="76">
        <f t="shared" si="2"/>
        <v>4087888.888888889</v>
      </c>
      <c r="L54" s="77">
        <f>SUMIF('[2]SALES BY PROMOTOR'!$D:$D,$F54,'[2]SALES BY PROMOTOR'!$G:$G)</f>
        <v>5</v>
      </c>
      <c r="M54" s="77">
        <f>SUMIF('[2]SALES BY PROMOTOR'!$D:$D,$F54,'[2]SALES BY PROMOTOR'!$I:$I)</f>
        <v>9</v>
      </c>
      <c r="N54" s="75">
        <f t="shared" si="3"/>
        <v>0.55555555555555558</v>
      </c>
      <c r="O54" s="78">
        <f>IFERROR(VLOOKUP($F54,'[2]Sales By Promotor Last Month'!D:G,4,0),0)</f>
        <v>5</v>
      </c>
      <c r="P54" s="78">
        <f t="shared" si="4"/>
        <v>5</v>
      </c>
      <c r="Q54" s="79">
        <f t="shared" si="5"/>
        <v>0</v>
      </c>
      <c r="R54" s="80">
        <f t="shared" si="6"/>
        <v>0</v>
      </c>
      <c r="S54" s="78">
        <f>IFERROR(VLOOKUP($F54,'[2]Sales By Promotor Last Month'!D:I,6,0),0)</f>
        <v>11</v>
      </c>
      <c r="T54" s="78">
        <f t="shared" si="7"/>
        <v>9</v>
      </c>
      <c r="U54" s="79">
        <f t="shared" si="8"/>
        <v>-2</v>
      </c>
      <c r="V54" s="80">
        <f t="shared" si="9"/>
        <v>-0.18181818181818182</v>
      </c>
      <c r="W54"/>
      <c r="X54"/>
      <c r="Y54"/>
    </row>
    <row r="55" spans="1:25" ht="17" outlineLevel="1" x14ac:dyDescent="0.2">
      <c r="A55" s="11" t="s">
        <v>189</v>
      </c>
      <c r="B55" s="71">
        <v>6050705</v>
      </c>
      <c r="C55" s="10" t="s">
        <v>50</v>
      </c>
      <c r="D55" s="307">
        <v>2</v>
      </c>
      <c r="E55" s="12" t="s">
        <v>190</v>
      </c>
      <c r="F55" s="10" t="s">
        <v>191</v>
      </c>
      <c r="G55" s="73">
        <f>IFERROR(VLOOKUP($B55,'[2]KPI Promotor'!$G:$K,5,0),0)</f>
        <v>90000000</v>
      </c>
      <c r="H55" s="74">
        <f>SUMIF('[2]SALES BY PROMOTOR'!$D:$D,$F55,'[2]SALES BY PROMOTOR'!$J:$J)</f>
        <v>38193000</v>
      </c>
      <c r="I55" s="75">
        <f t="shared" si="0"/>
        <v>0.42436666666666667</v>
      </c>
      <c r="J55" s="73">
        <f t="shared" si="1"/>
        <v>163684285.71428573</v>
      </c>
      <c r="K55" s="76">
        <f t="shared" si="2"/>
        <v>5456142.8571428573</v>
      </c>
      <c r="L55" s="77">
        <f>SUMIF('[2]SALES BY PROMOTOR'!$D:$D,$F55,'[2]SALES BY PROMOTOR'!$G:$G)</f>
        <v>4</v>
      </c>
      <c r="M55" s="77">
        <f>SUMIF('[2]SALES BY PROMOTOR'!$D:$D,$F55,'[2]SALES BY PROMOTOR'!$I:$I)</f>
        <v>7</v>
      </c>
      <c r="N55" s="75">
        <f t="shared" si="3"/>
        <v>0.5714285714285714</v>
      </c>
      <c r="O55" s="78">
        <f>IFERROR(VLOOKUP($F55,'[2]Sales By Promotor Last Month'!D:G,4,0),0)</f>
        <v>12</v>
      </c>
      <c r="P55" s="78">
        <f t="shared" si="4"/>
        <v>4</v>
      </c>
      <c r="Q55" s="79">
        <f t="shared" si="5"/>
        <v>-8</v>
      </c>
      <c r="R55" s="80">
        <f t="shared" si="6"/>
        <v>-0.66666666666666663</v>
      </c>
      <c r="S55" s="78">
        <f>IFERROR(VLOOKUP($F55,'[2]Sales By Promotor Last Month'!D:I,6,0),0)</f>
        <v>17</v>
      </c>
      <c r="T55" s="78">
        <f t="shared" si="7"/>
        <v>7</v>
      </c>
      <c r="U55" s="79">
        <f t="shared" si="8"/>
        <v>-10</v>
      </c>
      <c r="V55" s="80">
        <f t="shared" si="9"/>
        <v>-0.58823529411764708</v>
      </c>
      <c r="W55"/>
      <c r="X55"/>
      <c r="Y55"/>
    </row>
    <row r="56" spans="1:25" ht="17" outlineLevel="1" x14ac:dyDescent="0.2">
      <c r="A56" s="11" t="s">
        <v>189</v>
      </c>
      <c r="B56" s="71">
        <v>6050705</v>
      </c>
      <c r="C56" s="10" t="s">
        <v>50</v>
      </c>
      <c r="D56" s="307"/>
      <c r="E56" s="12" t="s">
        <v>190</v>
      </c>
      <c r="F56" s="10" t="s">
        <v>192</v>
      </c>
      <c r="G56" s="73">
        <f>IFERROR(VLOOKUP($B56,'[2]KPI Promotor'!$G:$K,5,0),0)</f>
        <v>90000000</v>
      </c>
      <c r="H56" s="74">
        <f>SUMIF('[2]SALES BY PROMOTOR'!$D:$D,$F56,'[2]SALES BY PROMOTOR'!$J:$J)</f>
        <v>5198000</v>
      </c>
      <c r="I56" s="75">
        <f t="shared" si="0"/>
        <v>5.7755555555555553E-2</v>
      </c>
      <c r="J56" s="73">
        <f t="shared" si="1"/>
        <v>22277142.857142854</v>
      </c>
      <c r="K56" s="76">
        <f t="shared" si="2"/>
        <v>2599000</v>
      </c>
      <c r="L56" s="77">
        <f>SUMIF('[2]SALES BY PROMOTOR'!$D:$D,$F56,'[2]SALES BY PROMOTOR'!$G:$G)</f>
        <v>0</v>
      </c>
      <c r="M56" s="77">
        <f>SUMIF('[2]SALES BY PROMOTOR'!$D:$D,$F56,'[2]SALES BY PROMOTOR'!$I:$I)</f>
        <v>2</v>
      </c>
      <c r="N56" s="75">
        <f t="shared" si="3"/>
        <v>0</v>
      </c>
      <c r="O56" s="78">
        <f>IFERROR(VLOOKUP($F56,'[2]Sales By Promotor Last Month'!D:G,4,0),0)</f>
        <v>3</v>
      </c>
      <c r="P56" s="78">
        <f t="shared" si="4"/>
        <v>0</v>
      </c>
      <c r="Q56" s="79">
        <f t="shared" si="5"/>
        <v>-3</v>
      </c>
      <c r="R56" s="80">
        <f t="shared" si="6"/>
        <v>-1</v>
      </c>
      <c r="S56" s="78">
        <f>IFERROR(VLOOKUP($F56,'[2]Sales By Promotor Last Month'!D:I,6,0),0)</f>
        <v>6</v>
      </c>
      <c r="T56" s="78">
        <f t="shared" si="7"/>
        <v>2</v>
      </c>
      <c r="U56" s="79">
        <f t="shared" si="8"/>
        <v>-4</v>
      </c>
      <c r="V56" s="80">
        <f t="shared" si="9"/>
        <v>-0.66666666666666663</v>
      </c>
      <c r="W56"/>
      <c r="X56"/>
      <c r="Y56"/>
    </row>
    <row r="57" spans="1:25" ht="17" outlineLevel="1" x14ac:dyDescent="0.2">
      <c r="A57" s="11" t="s">
        <v>189</v>
      </c>
      <c r="B57" s="71">
        <v>6050706</v>
      </c>
      <c r="C57" s="10" t="s">
        <v>50</v>
      </c>
      <c r="D57" s="307">
        <v>2</v>
      </c>
      <c r="E57" s="12" t="s">
        <v>193</v>
      </c>
      <c r="F57" s="10" t="s">
        <v>194</v>
      </c>
      <c r="G57" s="73">
        <f>IFERROR(VLOOKUP($B57,'[2]KPI Promotor'!$G:$K,5,0),0)</f>
        <v>0</v>
      </c>
      <c r="H57" s="74">
        <f>SUMIF('[2]SALES BY PROMOTOR'!$D:$D,$F57,'[2]SALES BY PROMOTOR'!$J:$J)</f>
        <v>9098000</v>
      </c>
      <c r="I57" s="75">
        <f t="shared" si="0"/>
        <v>0</v>
      </c>
      <c r="J57" s="73">
        <f t="shared" si="1"/>
        <v>38991428.571428567</v>
      </c>
      <c r="K57" s="76">
        <f t="shared" si="2"/>
        <v>4549000</v>
      </c>
      <c r="L57" s="77">
        <f>SUMIF('[2]SALES BY PROMOTOR'!$D:$D,$F57,'[2]SALES BY PROMOTOR'!$G:$G)</f>
        <v>1</v>
      </c>
      <c r="M57" s="77">
        <f>SUMIF('[2]SALES BY PROMOTOR'!$D:$D,$F57,'[2]SALES BY PROMOTOR'!$I:$I)</f>
        <v>2</v>
      </c>
      <c r="N57" s="75">
        <f t="shared" si="3"/>
        <v>0.5</v>
      </c>
      <c r="O57" s="78">
        <f>IFERROR(VLOOKUP($F57,'[2]Sales By Promotor Last Month'!D:G,4,0),0)</f>
        <v>7</v>
      </c>
      <c r="P57" s="78">
        <f t="shared" si="4"/>
        <v>1</v>
      </c>
      <c r="Q57" s="79">
        <f t="shared" si="5"/>
        <v>-6</v>
      </c>
      <c r="R57" s="80">
        <f t="shared" si="6"/>
        <v>-0.8571428571428571</v>
      </c>
      <c r="S57" s="78">
        <f>IFERROR(VLOOKUP($F57,'[2]Sales By Promotor Last Month'!D:I,6,0),0)</f>
        <v>23</v>
      </c>
      <c r="T57" s="78">
        <f t="shared" si="7"/>
        <v>2</v>
      </c>
      <c r="U57" s="79">
        <f t="shared" si="8"/>
        <v>-21</v>
      </c>
      <c r="V57" s="80">
        <f t="shared" si="9"/>
        <v>-0.91304347826086951</v>
      </c>
      <c r="W57"/>
      <c r="X57"/>
      <c r="Y57"/>
    </row>
    <row r="58" spans="1:25" ht="17" outlineLevel="1" x14ac:dyDescent="0.2">
      <c r="A58" s="11" t="s">
        <v>189</v>
      </c>
      <c r="B58" s="71">
        <v>6050706</v>
      </c>
      <c r="C58" s="10" t="s">
        <v>50</v>
      </c>
      <c r="D58" s="307"/>
      <c r="E58" s="12" t="s">
        <v>193</v>
      </c>
      <c r="F58" s="10" t="s">
        <v>195</v>
      </c>
      <c r="G58" s="73">
        <f>IFERROR(VLOOKUP($B58,'[2]KPI Promotor'!$G:$K,5,0),0)</f>
        <v>0</v>
      </c>
      <c r="H58" s="74">
        <f>SUMIF('[2]SALES BY PROMOTOR'!$D:$D,$F58,'[2]SALES BY PROMOTOR'!$J:$J)</f>
        <v>16496000</v>
      </c>
      <c r="I58" s="75">
        <f t="shared" si="0"/>
        <v>0</v>
      </c>
      <c r="J58" s="73">
        <f t="shared" si="1"/>
        <v>70697142.857142866</v>
      </c>
      <c r="K58" s="76">
        <f t="shared" si="2"/>
        <v>4124000</v>
      </c>
      <c r="L58" s="77">
        <f>SUMIF('[2]SALES BY PROMOTOR'!$D:$D,$F58,'[2]SALES BY PROMOTOR'!$G:$G)</f>
        <v>2</v>
      </c>
      <c r="M58" s="77">
        <f>SUMIF('[2]SALES BY PROMOTOR'!$D:$D,$F58,'[2]SALES BY PROMOTOR'!$I:$I)</f>
        <v>4</v>
      </c>
      <c r="N58" s="75">
        <f t="shared" si="3"/>
        <v>0.5</v>
      </c>
      <c r="O58" s="78">
        <f>IFERROR(VLOOKUP($F58,'[2]Sales By Promotor Last Month'!D:G,4,0),0)</f>
        <v>5</v>
      </c>
      <c r="P58" s="78">
        <f t="shared" si="4"/>
        <v>2</v>
      </c>
      <c r="Q58" s="79">
        <f t="shared" si="5"/>
        <v>-3</v>
      </c>
      <c r="R58" s="80">
        <f t="shared" si="6"/>
        <v>-0.6</v>
      </c>
      <c r="S58" s="78">
        <f>IFERROR(VLOOKUP($F58,'[2]Sales By Promotor Last Month'!D:I,6,0),0)</f>
        <v>11</v>
      </c>
      <c r="T58" s="78">
        <f t="shared" si="7"/>
        <v>4</v>
      </c>
      <c r="U58" s="79">
        <f t="shared" si="8"/>
        <v>-7</v>
      </c>
      <c r="V58" s="80">
        <f t="shared" si="9"/>
        <v>-0.63636363636363635</v>
      </c>
      <c r="W58"/>
      <c r="X58"/>
      <c r="Y58"/>
    </row>
    <row r="59" spans="1:25" ht="17" outlineLevel="1" x14ac:dyDescent="0.2">
      <c r="A59" s="11" t="s">
        <v>189</v>
      </c>
      <c r="B59" s="71">
        <v>6220701</v>
      </c>
      <c r="C59" s="10" t="s">
        <v>50</v>
      </c>
      <c r="D59" s="307">
        <v>2</v>
      </c>
      <c r="E59" s="12" t="s">
        <v>196</v>
      </c>
      <c r="F59" s="10" t="s">
        <v>197</v>
      </c>
      <c r="G59" s="73">
        <f>IFERROR(VLOOKUP($B59,'[2]KPI Promotor'!$G:$K,5,0),0)</f>
        <v>140000000</v>
      </c>
      <c r="H59" s="74">
        <f>SUMIF('[2]SALES BY PROMOTOR'!$D:$D,$F59,'[2]SALES BY PROMOTOR'!$J:$J)</f>
        <v>29293000</v>
      </c>
      <c r="I59" s="75">
        <f t="shared" si="0"/>
        <v>0.20923571428571427</v>
      </c>
      <c r="J59" s="73">
        <f t="shared" si="1"/>
        <v>125541428.57142858</v>
      </c>
      <c r="K59" s="76">
        <f t="shared" si="2"/>
        <v>4184714.2857142859</v>
      </c>
      <c r="L59" s="77">
        <f>SUMIF('[2]SALES BY PROMOTOR'!$D:$D,$F59,'[2]SALES BY PROMOTOR'!$G:$G)</f>
        <v>6</v>
      </c>
      <c r="M59" s="77">
        <f>SUMIF('[2]SALES BY PROMOTOR'!$D:$D,$F59,'[2]SALES BY PROMOTOR'!$I:$I)</f>
        <v>7</v>
      </c>
      <c r="N59" s="75">
        <f t="shared" si="3"/>
        <v>0.8571428571428571</v>
      </c>
      <c r="O59" s="78">
        <f>IFERROR(VLOOKUP($F59,'[2]Sales By Promotor Last Month'!D:G,4,0),0)</f>
        <v>16</v>
      </c>
      <c r="P59" s="78">
        <f t="shared" si="4"/>
        <v>6</v>
      </c>
      <c r="Q59" s="79">
        <f t="shared" si="5"/>
        <v>-10</v>
      </c>
      <c r="R59" s="80">
        <f t="shared" si="6"/>
        <v>-0.625</v>
      </c>
      <c r="S59" s="78">
        <f>IFERROR(VLOOKUP($F59,'[2]Sales By Promotor Last Month'!D:I,6,0),0)</f>
        <v>35</v>
      </c>
      <c r="T59" s="78">
        <f t="shared" si="7"/>
        <v>7</v>
      </c>
      <c r="U59" s="79">
        <f t="shared" si="8"/>
        <v>-28</v>
      </c>
      <c r="V59" s="80">
        <f t="shared" si="9"/>
        <v>-0.8</v>
      </c>
      <c r="W59"/>
      <c r="X59"/>
      <c r="Y59"/>
    </row>
    <row r="60" spans="1:25" ht="17" outlineLevel="1" x14ac:dyDescent="0.2">
      <c r="A60" s="11" t="s">
        <v>189</v>
      </c>
      <c r="B60" s="71">
        <v>6220701</v>
      </c>
      <c r="C60" s="10" t="s">
        <v>50</v>
      </c>
      <c r="D60" s="308"/>
      <c r="E60" s="12" t="s">
        <v>196</v>
      </c>
      <c r="F60" s="10" t="s">
        <v>198</v>
      </c>
      <c r="G60" s="73">
        <f>IFERROR(VLOOKUP($B60,'[2]KPI Promotor'!$G:$K,5,0),0)</f>
        <v>140000000</v>
      </c>
      <c r="H60" s="74">
        <f>SUMIF('[2]SALES BY PROMOTOR'!$D:$D,$F60,'[2]SALES BY PROMOTOR'!$J:$J)</f>
        <v>31892000</v>
      </c>
      <c r="I60" s="75">
        <f t="shared" si="0"/>
        <v>0.2278</v>
      </c>
      <c r="J60" s="73">
        <f t="shared" si="1"/>
        <v>136680000</v>
      </c>
      <c r="K60" s="76">
        <f t="shared" si="2"/>
        <v>3986500</v>
      </c>
      <c r="L60" s="77">
        <f>SUMIF('[2]SALES BY PROMOTOR'!$D:$D,$F60,'[2]SALES BY PROMOTOR'!$G:$G)</f>
        <v>5</v>
      </c>
      <c r="M60" s="77">
        <f>SUMIF('[2]SALES BY PROMOTOR'!$D:$D,$F60,'[2]SALES BY PROMOTOR'!$I:$I)</f>
        <v>8</v>
      </c>
      <c r="N60" s="75">
        <f t="shared" si="3"/>
        <v>0.625</v>
      </c>
      <c r="O60" s="78">
        <f>IFERROR(VLOOKUP($F60,'[2]Sales By Promotor Last Month'!D:G,4,0),0)</f>
        <v>11</v>
      </c>
      <c r="P60" s="78">
        <f t="shared" si="4"/>
        <v>5</v>
      </c>
      <c r="Q60" s="79">
        <f t="shared" si="5"/>
        <v>-6</v>
      </c>
      <c r="R60" s="80">
        <f t="shared" si="6"/>
        <v>-0.54545454545454541</v>
      </c>
      <c r="S60" s="78">
        <f>IFERROR(VLOOKUP($F60,'[2]Sales By Promotor Last Month'!D:I,6,0),0)</f>
        <v>31</v>
      </c>
      <c r="T60" s="78">
        <f t="shared" si="7"/>
        <v>8</v>
      </c>
      <c r="U60" s="79">
        <f t="shared" si="8"/>
        <v>-23</v>
      </c>
      <c r="V60" s="80">
        <f t="shared" si="9"/>
        <v>-0.74193548387096775</v>
      </c>
      <c r="W60"/>
      <c r="X60"/>
      <c r="Y60"/>
    </row>
    <row r="61" spans="1:25" ht="17" outlineLevel="1" x14ac:dyDescent="0.2">
      <c r="A61" s="11" t="s">
        <v>199</v>
      </c>
      <c r="B61" s="71">
        <v>6100702</v>
      </c>
      <c r="C61" s="10" t="s">
        <v>62</v>
      </c>
      <c r="D61" s="81">
        <v>1</v>
      </c>
      <c r="E61" s="12" t="s">
        <v>200</v>
      </c>
      <c r="F61" s="17" t="s">
        <v>201</v>
      </c>
      <c r="G61" s="73">
        <f>IFERROR(VLOOKUP($B61,'[2]KPI Promotor'!$G:$K,5,0),0)</f>
        <v>90000000</v>
      </c>
      <c r="H61" s="74">
        <f>SUMIF('[2]SALES BY PROMOTOR'!$D:$D,$F61,'[2]SALES BY PROMOTOR'!$J:$J)</f>
        <v>0</v>
      </c>
      <c r="I61" s="75">
        <f t="shared" si="0"/>
        <v>0</v>
      </c>
      <c r="J61" s="73">
        <f t="shared" si="1"/>
        <v>0</v>
      </c>
      <c r="K61" s="76">
        <f t="shared" si="2"/>
        <v>0</v>
      </c>
      <c r="L61" s="77">
        <f>SUMIF('[2]SALES BY PROMOTOR'!$D:$D,$F61,'[2]SALES BY PROMOTOR'!$G:$G)</f>
        <v>0</v>
      </c>
      <c r="M61" s="77">
        <f>SUMIF('[2]SALES BY PROMOTOR'!$D:$D,$F61,'[2]SALES BY PROMOTOR'!$I:$I)</f>
        <v>0</v>
      </c>
      <c r="N61" s="75">
        <f t="shared" si="3"/>
        <v>0</v>
      </c>
      <c r="O61" s="78">
        <f>IFERROR(VLOOKUP($F61,'[2]Sales By Promotor Last Month'!D:G,4,0),0)</f>
        <v>18</v>
      </c>
      <c r="P61" s="78">
        <f t="shared" si="4"/>
        <v>0</v>
      </c>
      <c r="Q61" s="79">
        <f t="shared" si="5"/>
        <v>-18</v>
      </c>
      <c r="R61" s="80">
        <f t="shared" si="6"/>
        <v>-1</v>
      </c>
      <c r="S61" s="78">
        <f>IFERROR(VLOOKUP($F61,'[2]Sales By Promotor Last Month'!D:I,6,0),0)</f>
        <v>27</v>
      </c>
      <c r="T61" s="78">
        <f t="shared" si="7"/>
        <v>0</v>
      </c>
      <c r="U61" s="79">
        <f t="shared" si="8"/>
        <v>-27</v>
      </c>
      <c r="V61" s="80">
        <f t="shared" si="9"/>
        <v>-1</v>
      </c>
      <c r="W61"/>
      <c r="X61"/>
      <c r="Y61"/>
    </row>
    <row r="62" spans="1:25" ht="17" outlineLevel="1" x14ac:dyDescent="0.2">
      <c r="A62" s="84" t="s">
        <v>63</v>
      </c>
      <c r="B62" s="71">
        <v>6130702</v>
      </c>
      <c r="C62" s="85" t="s">
        <v>64</v>
      </c>
      <c r="D62" s="307">
        <v>2</v>
      </c>
      <c r="E62" s="12" t="s">
        <v>202</v>
      </c>
      <c r="F62" s="10" t="s">
        <v>203</v>
      </c>
      <c r="G62" s="73">
        <f>IFERROR(VLOOKUP($B62,'[2]KPI Promotor'!$G:$K,5,0),0)</f>
        <v>170000000</v>
      </c>
      <c r="H62" s="74">
        <f>SUMIF('[2]SALES BY PROMOTOR'!$D:$D,$F62,'[2]SALES BY PROMOTOR'!$J:$J)</f>
        <v>14696000</v>
      </c>
      <c r="I62" s="75">
        <f t="shared" si="0"/>
        <v>8.6447058823529419E-2</v>
      </c>
      <c r="J62" s="73">
        <f t="shared" si="1"/>
        <v>62982857.142857142</v>
      </c>
      <c r="K62" s="76">
        <f t="shared" si="2"/>
        <v>3674000</v>
      </c>
      <c r="L62" s="77">
        <f>SUMIF('[2]SALES BY PROMOTOR'!$D:$D,$F62,'[2]SALES BY PROMOTOR'!$G:$G)</f>
        <v>2</v>
      </c>
      <c r="M62" s="77">
        <f>SUMIF('[2]SALES BY PROMOTOR'!$D:$D,$F62,'[2]SALES BY PROMOTOR'!$I:$I)</f>
        <v>4</v>
      </c>
      <c r="N62" s="75">
        <f t="shared" si="3"/>
        <v>0.5</v>
      </c>
      <c r="O62" s="78">
        <f>IFERROR(VLOOKUP($F62,'[2]Sales By Promotor Last Month'!D:G,4,0),0)</f>
        <v>15</v>
      </c>
      <c r="P62" s="78">
        <f t="shared" si="4"/>
        <v>2</v>
      </c>
      <c r="Q62" s="79">
        <f t="shared" si="5"/>
        <v>-13</v>
      </c>
      <c r="R62" s="80">
        <f t="shared" si="6"/>
        <v>-0.8666666666666667</v>
      </c>
      <c r="S62" s="78">
        <f>IFERROR(VLOOKUP($F62,'[2]Sales By Promotor Last Month'!D:I,6,0),0)</f>
        <v>30</v>
      </c>
      <c r="T62" s="78">
        <f t="shared" si="7"/>
        <v>4</v>
      </c>
      <c r="U62" s="79">
        <f t="shared" si="8"/>
        <v>-26</v>
      </c>
      <c r="V62" s="80">
        <f t="shared" si="9"/>
        <v>-0.8666666666666667</v>
      </c>
      <c r="W62"/>
      <c r="X62"/>
      <c r="Y62"/>
    </row>
    <row r="63" spans="1:25" ht="17" outlineLevel="1" x14ac:dyDescent="0.2">
      <c r="A63" s="84" t="s">
        <v>63</v>
      </c>
      <c r="B63" s="71">
        <v>6130702</v>
      </c>
      <c r="C63" s="85" t="s">
        <v>64</v>
      </c>
      <c r="D63" s="307"/>
      <c r="E63" s="12" t="s">
        <v>202</v>
      </c>
      <c r="F63" s="10" t="s">
        <v>204</v>
      </c>
      <c r="G63" s="73">
        <f>IFERROR(VLOOKUP($B63,'[2]KPI Promotor'!$G:$K,5,0),0)</f>
        <v>170000000</v>
      </c>
      <c r="H63" s="74">
        <f>SUMIF('[2]SALES BY PROMOTOR'!$D:$D,$F63,'[2]SALES BY PROMOTOR'!$J:$J)</f>
        <v>11097000</v>
      </c>
      <c r="I63" s="75">
        <f t="shared" si="0"/>
        <v>6.5276470588235297E-2</v>
      </c>
      <c r="J63" s="73">
        <f t="shared" si="1"/>
        <v>47558571.428571433</v>
      </c>
      <c r="K63" s="76">
        <f t="shared" si="2"/>
        <v>3699000</v>
      </c>
      <c r="L63" s="77">
        <f>SUMIF('[2]SALES BY PROMOTOR'!$D:$D,$F63,'[2]SALES BY PROMOTOR'!$G:$G)</f>
        <v>1</v>
      </c>
      <c r="M63" s="77">
        <f>SUMIF('[2]SALES BY PROMOTOR'!$D:$D,$F63,'[2]SALES BY PROMOTOR'!$I:$I)</f>
        <v>3</v>
      </c>
      <c r="N63" s="75">
        <f t="shared" si="3"/>
        <v>0.33333333333333331</v>
      </c>
      <c r="O63" s="78">
        <f>IFERROR(VLOOKUP($F63,'[2]Sales By Promotor Last Month'!D:G,4,0),0)</f>
        <v>15</v>
      </c>
      <c r="P63" s="78">
        <f t="shared" si="4"/>
        <v>1</v>
      </c>
      <c r="Q63" s="79">
        <f t="shared" si="5"/>
        <v>-14</v>
      </c>
      <c r="R63" s="80">
        <f t="shared" si="6"/>
        <v>-0.93333333333333335</v>
      </c>
      <c r="S63" s="78">
        <f>IFERROR(VLOOKUP($F63,'[2]Sales By Promotor Last Month'!D:I,6,0),0)</f>
        <v>30</v>
      </c>
      <c r="T63" s="78">
        <f t="shared" si="7"/>
        <v>3</v>
      </c>
      <c r="U63" s="79">
        <f t="shared" si="8"/>
        <v>-27</v>
      </c>
      <c r="V63" s="80">
        <f t="shared" si="9"/>
        <v>-0.9</v>
      </c>
      <c r="W63"/>
      <c r="X63"/>
      <c r="Y63"/>
    </row>
    <row r="64" spans="1:25" ht="17" outlineLevel="1" x14ac:dyDescent="0.2">
      <c r="A64" s="11" t="s">
        <v>205</v>
      </c>
      <c r="B64" s="71">
        <v>6140705</v>
      </c>
      <c r="C64" s="85" t="s">
        <v>67</v>
      </c>
      <c r="D64" s="307">
        <v>4</v>
      </c>
      <c r="E64" s="18" t="s">
        <v>206</v>
      </c>
      <c r="F64" s="10" t="s">
        <v>207</v>
      </c>
      <c r="G64" s="73">
        <f>IFERROR(VLOOKUP($B64,'[2]KPI Promotor'!$G:$K,5,0),0)</f>
        <v>120000000</v>
      </c>
      <c r="H64" s="74">
        <f>SUMIF('[2]SALES BY PROMOTOR'!$D:$D,$F64,'[2]SALES BY PROMOTOR'!$J:$J)</f>
        <v>3599000</v>
      </c>
      <c r="I64" s="75">
        <f t="shared" si="0"/>
        <v>2.9991666666666666E-2</v>
      </c>
      <c r="J64" s="73">
        <f t="shared" si="1"/>
        <v>15424285.714285715</v>
      </c>
      <c r="K64" s="76">
        <f t="shared" si="2"/>
        <v>3599000</v>
      </c>
      <c r="L64" s="77">
        <f>SUMIF('[2]SALES BY PROMOTOR'!$D:$D,$F64,'[2]SALES BY PROMOTOR'!$G:$G)</f>
        <v>1</v>
      </c>
      <c r="M64" s="77">
        <f>SUMIF('[2]SALES BY PROMOTOR'!$D:$D,$F64,'[2]SALES BY PROMOTOR'!$I:$I)</f>
        <v>1</v>
      </c>
      <c r="N64" s="75">
        <f t="shared" si="3"/>
        <v>1</v>
      </c>
      <c r="O64" s="78">
        <f>IFERROR(VLOOKUP($F64,'[2]Sales By Promotor Last Month'!D:G,4,0),0)</f>
        <v>1</v>
      </c>
      <c r="P64" s="78">
        <f t="shared" si="4"/>
        <v>1</v>
      </c>
      <c r="Q64" s="79">
        <f t="shared" si="5"/>
        <v>0</v>
      </c>
      <c r="R64" s="80">
        <f t="shared" si="6"/>
        <v>0</v>
      </c>
      <c r="S64" s="78">
        <f>IFERROR(VLOOKUP($F64,'[2]Sales By Promotor Last Month'!D:I,6,0),0)</f>
        <v>1</v>
      </c>
      <c r="T64" s="78">
        <f t="shared" si="7"/>
        <v>1</v>
      </c>
      <c r="U64" s="79">
        <f t="shared" si="8"/>
        <v>0</v>
      </c>
      <c r="V64" s="80">
        <f t="shared" si="9"/>
        <v>0</v>
      </c>
      <c r="W64"/>
      <c r="X64"/>
      <c r="Y64"/>
    </row>
    <row r="65" spans="1:25" ht="17" outlineLevel="1" x14ac:dyDescent="0.2">
      <c r="A65" s="11" t="s">
        <v>205</v>
      </c>
      <c r="B65" s="71">
        <v>6140705</v>
      </c>
      <c r="C65" s="10" t="s">
        <v>67</v>
      </c>
      <c r="D65" s="307"/>
      <c r="E65" s="18" t="s">
        <v>206</v>
      </c>
      <c r="F65" s="10" t="s">
        <v>208</v>
      </c>
      <c r="G65" s="73">
        <f>IFERROR(VLOOKUP($B65,'[2]KPI Promotor'!$G:$K,5,0),0)</f>
        <v>120000000</v>
      </c>
      <c r="H65" s="74">
        <f>SUMIF('[2]SALES BY PROMOTOR'!$D:$D,$F65,'[2]SALES BY PROMOTOR'!$J:$J)</f>
        <v>0</v>
      </c>
      <c r="I65" s="75">
        <f t="shared" si="0"/>
        <v>0</v>
      </c>
      <c r="J65" s="73">
        <f t="shared" si="1"/>
        <v>0</v>
      </c>
      <c r="K65" s="76">
        <f t="shared" si="2"/>
        <v>0</v>
      </c>
      <c r="L65" s="77">
        <f>SUMIF('[2]SALES BY PROMOTOR'!$D:$D,$F65,'[2]SALES BY PROMOTOR'!$G:$G)</f>
        <v>0</v>
      </c>
      <c r="M65" s="77">
        <f>SUMIF('[2]SALES BY PROMOTOR'!$D:$D,$F65,'[2]SALES BY PROMOTOR'!$I:$I)</f>
        <v>0</v>
      </c>
      <c r="N65" s="75">
        <f t="shared" si="3"/>
        <v>0</v>
      </c>
      <c r="O65" s="78">
        <f>IFERROR(VLOOKUP($F65,'[2]Sales By Promotor Last Month'!D:G,4,0),0)</f>
        <v>1</v>
      </c>
      <c r="P65" s="78">
        <f t="shared" si="4"/>
        <v>0</v>
      </c>
      <c r="Q65" s="79">
        <f t="shared" si="5"/>
        <v>-1</v>
      </c>
      <c r="R65" s="80">
        <f t="shared" si="6"/>
        <v>-1</v>
      </c>
      <c r="S65" s="78">
        <f>IFERROR(VLOOKUP($F65,'[2]Sales By Promotor Last Month'!D:I,6,0),0)</f>
        <v>1</v>
      </c>
      <c r="T65" s="78">
        <f t="shared" si="7"/>
        <v>0</v>
      </c>
      <c r="U65" s="79">
        <f t="shared" si="8"/>
        <v>-1</v>
      </c>
      <c r="V65" s="80">
        <f t="shared" si="9"/>
        <v>-1</v>
      </c>
      <c r="W65"/>
      <c r="X65"/>
      <c r="Y65"/>
    </row>
    <row r="66" spans="1:25" ht="17" outlineLevel="1" x14ac:dyDescent="0.2">
      <c r="A66" s="11" t="s">
        <v>205</v>
      </c>
      <c r="B66" s="71">
        <v>6140705</v>
      </c>
      <c r="C66" s="10" t="s">
        <v>67</v>
      </c>
      <c r="D66" s="307"/>
      <c r="E66" s="18" t="s">
        <v>206</v>
      </c>
      <c r="F66" s="17" t="s">
        <v>209</v>
      </c>
      <c r="G66" s="73">
        <f>IFERROR(VLOOKUP($B66,'[2]KPI Promotor'!$G:$K,5,0),0)</f>
        <v>120000000</v>
      </c>
      <c r="H66" s="74">
        <f>SUMIF('[2]SALES BY PROMOTOR'!$D:$D,$F66,'[2]SALES BY PROMOTOR'!$J:$J)</f>
        <v>8399000</v>
      </c>
      <c r="I66" s="75">
        <f t="shared" si="0"/>
        <v>6.999166666666666E-2</v>
      </c>
      <c r="J66" s="73">
        <f t="shared" si="1"/>
        <v>35995714.285714291</v>
      </c>
      <c r="K66" s="76">
        <f t="shared" si="2"/>
        <v>8399000</v>
      </c>
      <c r="L66" s="77">
        <f>SUMIF('[2]SALES BY PROMOTOR'!$D:$D,$F66,'[2]SALES BY PROMOTOR'!$G:$G)</f>
        <v>1</v>
      </c>
      <c r="M66" s="77">
        <f>SUMIF('[2]SALES BY PROMOTOR'!$D:$D,$F66,'[2]SALES BY PROMOTOR'!$I:$I)</f>
        <v>1</v>
      </c>
      <c r="N66" s="75">
        <f t="shared" si="3"/>
        <v>1</v>
      </c>
      <c r="O66" s="78">
        <f>IFERROR(VLOOKUP($F66,'[2]Sales By Promotor Last Month'!D:G,4,0),0)</f>
        <v>19</v>
      </c>
      <c r="P66" s="78">
        <f t="shared" si="4"/>
        <v>1</v>
      </c>
      <c r="Q66" s="79">
        <f t="shared" si="5"/>
        <v>-18</v>
      </c>
      <c r="R66" s="80">
        <f t="shared" si="6"/>
        <v>-0.94736842105263153</v>
      </c>
      <c r="S66" s="78">
        <f>IFERROR(VLOOKUP($F66,'[2]Sales By Promotor Last Month'!D:I,6,0),0)</f>
        <v>29</v>
      </c>
      <c r="T66" s="78">
        <f t="shared" si="7"/>
        <v>1</v>
      </c>
      <c r="U66" s="79">
        <f t="shared" si="8"/>
        <v>-28</v>
      </c>
      <c r="V66" s="80">
        <f t="shared" si="9"/>
        <v>-0.96551724137931039</v>
      </c>
      <c r="W66"/>
      <c r="X66"/>
      <c r="Y66"/>
    </row>
    <row r="67" spans="1:25" ht="17" outlineLevel="1" x14ac:dyDescent="0.2">
      <c r="A67" s="11" t="s">
        <v>205</v>
      </c>
      <c r="B67" s="71">
        <v>6140705</v>
      </c>
      <c r="C67" s="10" t="s">
        <v>67</v>
      </c>
      <c r="D67" s="307"/>
      <c r="E67" s="18" t="s">
        <v>206</v>
      </c>
      <c r="F67" s="17" t="s">
        <v>67</v>
      </c>
      <c r="G67" s="73">
        <f>IFERROR(VLOOKUP($B67,'[2]KPI Promotor'!$G:$K,5,0),0)</f>
        <v>120000000</v>
      </c>
      <c r="H67" s="74">
        <f>SUMIF('[2]SALES BY PROMOTOR'!$D:$D,$F67,'[2]SALES BY PROMOTOR'!$J:$J)</f>
        <v>68494000</v>
      </c>
      <c r="I67" s="75">
        <f t="shared" si="0"/>
        <v>0.57078333333333331</v>
      </c>
      <c r="J67" s="73">
        <f t="shared" si="1"/>
        <v>293545714.28571433</v>
      </c>
      <c r="K67" s="76">
        <f t="shared" si="2"/>
        <v>11415666.666666666</v>
      </c>
      <c r="L67" s="77">
        <f>SUMIF('[2]SALES BY PROMOTOR'!$D:$D,$F67,'[2]SALES BY PROMOTOR'!$G:$G)</f>
        <v>4</v>
      </c>
      <c r="M67" s="77">
        <f>SUMIF('[2]SALES BY PROMOTOR'!$D:$D,$F67,'[2]SALES BY PROMOTOR'!$I:$I)</f>
        <v>6</v>
      </c>
      <c r="N67" s="75">
        <f t="shared" si="3"/>
        <v>0.66666666666666663</v>
      </c>
      <c r="O67" s="78">
        <f>IFERROR(VLOOKUP($F67,'[2]Sales By Promotor Last Month'!D:G,4,0),0)</f>
        <v>0</v>
      </c>
      <c r="P67" s="78">
        <f t="shared" si="4"/>
        <v>4</v>
      </c>
      <c r="Q67" s="79">
        <f t="shared" si="5"/>
        <v>4</v>
      </c>
      <c r="R67" s="80">
        <f t="shared" si="6"/>
        <v>0</v>
      </c>
      <c r="S67" s="78">
        <f>IFERROR(VLOOKUP($F67,'[2]Sales By Promotor Last Month'!D:I,6,0),0)</f>
        <v>0</v>
      </c>
      <c r="T67" s="78">
        <f t="shared" si="7"/>
        <v>6</v>
      </c>
      <c r="U67" s="79">
        <f t="shared" si="8"/>
        <v>6</v>
      </c>
      <c r="V67" s="80">
        <f t="shared" si="9"/>
        <v>0</v>
      </c>
      <c r="W67"/>
      <c r="X67"/>
      <c r="Y67"/>
    </row>
    <row r="68" spans="1:25" ht="17" outlineLevel="1" x14ac:dyDescent="0.2">
      <c r="A68" s="11" t="s">
        <v>205</v>
      </c>
      <c r="B68" s="71">
        <v>6140705</v>
      </c>
      <c r="C68" s="10" t="s">
        <v>67</v>
      </c>
      <c r="D68" s="307"/>
      <c r="E68" s="18" t="s">
        <v>206</v>
      </c>
      <c r="F68" s="17" t="s">
        <v>210</v>
      </c>
      <c r="G68" s="73">
        <f>IFERROR(VLOOKUP($B68,'[2]KPI Promotor'!$G:$K,5,0),0)</f>
        <v>120000000</v>
      </c>
      <c r="H68" s="74">
        <f>SUMIF('[2]SALES BY PROMOTOR'!$D:$D,$F68,'[2]SALES BY PROMOTOR'!$J:$J)</f>
        <v>11999000</v>
      </c>
      <c r="I68" s="75">
        <f t="shared" si="0"/>
        <v>9.9991666666666673E-2</v>
      </c>
      <c r="J68" s="73">
        <f t="shared" si="1"/>
        <v>51424285.714285709</v>
      </c>
      <c r="K68" s="76">
        <f t="shared" si="2"/>
        <v>11999000</v>
      </c>
      <c r="L68" s="77">
        <f>SUMIF('[2]SALES BY PROMOTOR'!$D:$D,$F68,'[2]SALES BY PROMOTOR'!$G:$G)</f>
        <v>1</v>
      </c>
      <c r="M68" s="77">
        <f>SUMIF('[2]SALES BY PROMOTOR'!$D:$D,$F68,'[2]SALES BY PROMOTOR'!$I:$I)</f>
        <v>1</v>
      </c>
      <c r="N68" s="75">
        <f t="shared" si="3"/>
        <v>1</v>
      </c>
      <c r="O68" s="78">
        <f>IFERROR(VLOOKUP($F68,'[2]Sales By Promotor Last Month'!D:G,4,0),0)</f>
        <v>1</v>
      </c>
      <c r="P68" s="78">
        <f t="shared" si="4"/>
        <v>1</v>
      </c>
      <c r="Q68" s="79">
        <f t="shared" si="5"/>
        <v>0</v>
      </c>
      <c r="R68" s="80">
        <f t="shared" si="6"/>
        <v>0</v>
      </c>
      <c r="S68" s="78">
        <f>IFERROR(VLOOKUP($F68,'[2]Sales By Promotor Last Month'!D:I,6,0),0)</f>
        <v>2</v>
      </c>
      <c r="T68" s="78">
        <f t="shared" si="7"/>
        <v>1</v>
      </c>
      <c r="U68" s="79">
        <f t="shared" si="8"/>
        <v>-1</v>
      </c>
      <c r="V68" s="80">
        <f t="shared" si="9"/>
        <v>-0.5</v>
      </c>
      <c r="W68"/>
      <c r="X68"/>
      <c r="Y68"/>
    </row>
    <row r="69" spans="1:25" ht="17" outlineLevel="1" x14ac:dyDescent="0.2">
      <c r="A69" s="11" t="s">
        <v>205</v>
      </c>
      <c r="B69" s="71">
        <v>6140706</v>
      </c>
      <c r="C69" s="85" t="s">
        <v>211</v>
      </c>
      <c r="D69" s="307">
        <v>3</v>
      </c>
      <c r="E69" s="18" t="s">
        <v>212</v>
      </c>
      <c r="F69" s="17" t="s">
        <v>213</v>
      </c>
      <c r="G69" s="73">
        <f>IFERROR(VLOOKUP($B69,'[2]KPI Promotor'!$G:$K,5,0),0)</f>
        <v>0</v>
      </c>
      <c r="H69" s="74">
        <f>SUMIF('[2]SALES BY PROMOTOR'!$D:$D,$F69,'[2]SALES BY PROMOTOR'!$J:$J)</f>
        <v>44694000</v>
      </c>
      <c r="I69" s="75">
        <f t="shared" si="0"/>
        <v>0</v>
      </c>
      <c r="J69" s="73">
        <f t="shared" si="1"/>
        <v>191545714.28571427</v>
      </c>
      <c r="K69" s="76">
        <f t="shared" si="2"/>
        <v>7449000</v>
      </c>
      <c r="L69" s="77">
        <f>SUMIF('[2]SALES BY PROMOTOR'!$D:$D,$F69,'[2]SALES BY PROMOTOR'!$G:$G)</f>
        <v>6</v>
      </c>
      <c r="M69" s="77">
        <f>SUMIF('[2]SALES BY PROMOTOR'!$D:$D,$F69,'[2]SALES BY PROMOTOR'!$I:$I)</f>
        <v>6</v>
      </c>
      <c r="N69" s="75">
        <f t="shared" si="3"/>
        <v>1</v>
      </c>
      <c r="O69" s="78">
        <f>IFERROR(VLOOKUP($F69,'[2]Sales By Promotor Last Month'!D:G,4,0),0)</f>
        <v>1</v>
      </c>
      <c r="P69" s="78">
        <f t="shared" si="4"/>
        <v>6</v>
      </c>
      <c r="Q69" s="79">
        <f t="shared" si="5"/>
        <v>5</v>
      </c>
      <c r="R69" s="80">
        <f t="shared" si="6"/>
        <v>5</v>
      </c>
      <c r="S69" s="78">
        <f>IFERROR(VLOOKUP($F69,'[2]Sales By Promotor Last Month'!D:I,6,0),0)</f>
        <v>2</v>
      </c>
      <c r="T69" s="78">
        <f t="shared" si="7"/>
        <v>6</v>
      </c>
      <c r="U69" s="79">
        <f t="shared" si="8"/>
        <v>4</v>
      </c>
      <c r="V69" s="80">
        <f t="shared" si="9"/>
        <v>2</v>
      </c>
      <c r="W69"/>
      <c r="X69"/>
      <c r="Y69"/>
    </row>
    <row r="70" spans="1:25" ht="17" outlineLevel="1" x14ac:dyDescent="0.2">
      <c r="A70" s="11" t="s">
        <v>205</v>
      </c>
      <c r="B70" s="71">
        <v>6140706</v>
      </c>
      <c r="C70" s="85" t="s">
        <v>211</v>
      </c>
      <c r="D70" s="307"/>
      <c r="E70" s="18" t="s">
        <v>212</v>
      </c>
      <c r="F70" s="17" t="s">
        <v>214</v>
      </c>
      <c r="G70" s="73">
        <f>IFERROR(VLOOKUP($B70,'[2]KPI Promotor'!$G:$K,5,0),0)</f>
        <v>0</v>
      </c>
      <c r="H70" s="74">
        <f>SUMIF('[2]SALES BY PROMOTOR'!$D:$D,$F70,'[2]SALES BY PROMOTOR'!$J:$J)</f>
        <v>3599000</v>
      </c>
      <c r="I70" s="75">
        <f t="shared" ref="I70:I122" si="10">IFERROR(H70/G70,0)</f>
        <v>0</v>
      </c>
      <c r="J70" s="73">
        <f t="shared" si="1"/>
        <v>15424285.714285715</v>
      </c>
      <c r="K70" s="76">
        <f t="shared" si="2"/>
        <v>3599000</v>
      </c>
      <c r="L70" s="77">
        <f>SUMIF('[2]SALES BY PROMOTOR'!$D:$D,$F70,'[2]SALES BY PROMOTOR'!$G:$G)</f>
        <v>1</v>
      </c>
      <c r="M70" s="77">
        <f>SUMIF('[2]SALES BY PROMOTOR'!$D:$D,$F70,'[2]SALES BY PROMOTOR'!$I:$I)</f>
        <v>1</v>
      </c>
      <c r="N70" s="75">
        <f t="shared" ref="N70:N122" si="11">IFERROR(L70/M70,0)</f>
        <v>1</v>
      </c>
      <c r="O70" s="78">
        <f>IFERROR(VLOOKUP($F70,'[2]Sales By Promotor Last Month'!D:G,4,0),0)</f>
        <v>10</v>
      </c>
      <c r="P70" s="78">
        <f t="shared" si="4"/>
        <v>1</v>
      </c>
      <c r="Q70" s="79">
        <f t="shared" ref="Q70:Q122" si="12">P70-O70</f>
        <v>-9</v>
      </c>
      <c r="R70" s="80">
        <f t="shared" ref="R70:R122" si="13">IFERROR(Q70/O70,0)</f>
        <v>-0.9</v>
      </c>
      <c r="S70" s="78">
        <f>IFERROR(VLOOKUP($F70,'[2]Sales By Promotor Last Month'!D:I,6,0),0)</f>
        <v>13</v>
      </c>
      <c r="T70" s="78">
        <f t="shared" si="7"/>
        <v>1</v>
      </c>
      <c r="U70" s="79">
        <f t="shared" ref="U70:U122" si="14">T70-S70</f>
        <v>-12</v>
      </c>
      <c r="V70" s="80">
        <f t="shared" ref="V70:V122" si="15">IFERROR(U70/S70,0)</f>
        <v>-0.92307692307692313</v>
      </c>
      <c r="W70"/>
      <c r="X70"/>
      <c r="Y70"/>
    </row>
    <row r="71" spans="1:25" ht="17" outlineLevel="1" x14ac:dyDescent="0.2">
      <c r="A71" s="11" t="s">
        <v>205</v>
      </c>
      <c r="B71" s="71">
        <v>6140706</v>
      </c>
      <c r="C71" s="85" t="s">
        <v>211</v>
      </c>
      <c r="D71" s="308"/>
      <c r="E71" s="18" t="s">
        <v>212</v>
      </c>
      <c r="F71" s="17" t="s">
        <v>215</v>
      </c>
      <c r="G71" s="73">
        <f>IFERROR(VLOOKUP($B71,'[2]KPI Promotor'!$G:$K,5,0),0)</f>
        <v>0</v>
      </c>
      <c r="H71" s="74">
        <f>SUMIF('[2]SALES BY PROMOTOR'!$D:$D,$F71,'[2]SALES BY PROMOTOR'!$J:$J)</f>
        <v>19998000</v>
      </c>
      <c r="I71" s="75">
        <f t="shared" si="10"/>
        <v>0</v>
      </c>
      <c r="J71" s="73">
        <f t="shared" si="1"/>
        <v>85705714.285714284</v>
      </c>
      <c r="K71" s="76">
        <f t="shared" si="2"/>
        <v>9999000</v>
      </c>
      <c r="L71" s="77">
        <f>SUMIF('[2]SALES BY PROMOTOR'!$D:$D,$F71,'[2]SALES BY PROMOTOR'!$G:$G)</f>
        <v>2</v>
      </c>
      <c r="M71" s="77">
        <f>SUMIF('[2]SALES BY PROMOTOR'!$D:$D,$F71,'[2]SALES BY PROMOTOR'!$I:$I)</f>
        <v>2</v>
      </c>
      <c r="N71" s="75">
        <f t="shared" si="11"/>
        <v>1</v>
      </c>
      <c r="O71" s="78">
        <f>IFERROR(VLOOKUP($F71,'[2]Sales By Promotor Last Month'!D:G,4,0),0)</f>
        <v>6</v>
      </c>
      <c r="P71" s="78">
        <f t="shared" si="4"/>
        <v>2</v>
      </c>
      <c r="Q71" s="79">
        <f t="shared" si="12"/>
        <v>-4</v>
      </c>
      <c r="R71" s="80">
        <f t="shared" si="13"/>
        <v>-0.66666666666666663</v>
      </c>
      <c r="S71" s="78">
        <f>IFERROR(VLOOKUP($F71,'[2]Sales By Promotor Last Month'!D:I,6,0),0)</f>
        <v>14</v>
      </c>
      <c r="T71" s="78">
        <f t="shared" si="7"/>
        <v>2</v>
      </c>
      <c r="U71" s="79">
        <f t="shared" si="14"/>
        <v>-12</v>
      </c>
      <c r="V71" s="80">
        <f t="shared" si="15"/>
        <v>-0.8571428571428571</v>
      </c>
      <c r="W71"/>
      <c r="X71"/>
      <c r="Y71"/>
    </row>
    <row r="72" spans="1:25" ht="17" outlineLevel="1" x14ac:dyDescent="0.2">
      <c r="A72" s="11" t="s">
        <v>216</v>
      </c>
      <c r="B72" s="71">
        <v>6180706</v>
      </c>
      <c r="C72" s="10" t="s">
        <v>52</v>
      </c>
      <c r="D72" s="306">
        <v>3</v>
      </c>
      <c r="E72" s="12" t="s">
        <v>217</v>
      </c>
      <c r="F72" s="10" t="s">
        <v>218</v>
      </c>
      <c r="G72" s="73">
        <f>IFERROR(VLOOKUP($B72,'[2]KPI Promotor'!$G:$K,5,0),0)</f>
        <v>170000000</v>
      </c>
      <c r="H72" s="74">
        <f>SUMIF('[2]SALES BY PROMOTOR'!$D:$D,$F72,'[2]SALES BY PROMOTOR'!$J:$J)</f>
        <v>19096000</v>
      </c>
      <c r="I72" s="75">
        <f t="shared" si="10"/>
        <v>0.11232941176470589</v>
      </c>
      <c r="J72" s="73">
        <f t="shared" ref="J72:J122" si="16">IFERROR(H72/$D$2*$E$2,0)</f>
        <v>81840000</v>
      </c>
      <c r="K72" s="76">
        <f t="shared" ref="K72:K122" si="17">IFERROR(H72/M72,0)</f>
        <v>4774000</v>
      </c>
      <c r="L72" s="77">
        <f>SUMIF('[2]SALES BY PROMOTOR'!$D:$D,$F72,'[2]SALES BY PROMOTOR'!$G:$G)</f>
        <v>2</v>
      </c>
      <c r="M72" s="77">
        <f>SUMIF('[2]SALES BY PROMOTOR'!$D:$D,$F72,'[2]SALES BY PROMOTOR'!$I:$I)</f>
        <v>4</v>
      </c>
      <c r="N72" s="75">
        <f t="shared" si="11"/>
        <v>0.5</v>
      </c>
      <c r="O72" s="78">
        <f>IFERROR(VLOOKUP($F72,'[2]Sales By Promotor Last Month'!D:G,4,0),0)</f>
        <v>15</v>
      </c>
      <c r="P72" s="78">
        <f t="shared" ref="P72:P122" si="18">+L72</f>
        <v>2</v>
      </c>
      <c r="Q72" s="79">
        <f t="shared" si="12"/>
        <v>-13</v>
      </c>
      <c r="R72" s="80">
        <f t="shared" si="13"/>
        <v>-0.8666666666666667</v>
      </c>
      <c r="S72" s="78">
        <f>IFERROR(VLOOKUP($F72,'[2]Sales By Promotor Last Month'!D:I,6,0),0)</f>
        <v>35</v>
      </c>
      <c r="T72" s="78">
        <f t="shared" ref="T72:T122" si="19">+M72</f>
        <v>4</v>
      </c>
      <c r="U72" s="79">
        <f t="shared" si="14"/>
        <v>-31</v>
      </c>
      <c r="V72" s="80">
        <f t="shared" si="15"/>
        <v>-0.88571428571428568</v>
      </c>
      <c r="W72"/>
      <c r="X72"/>
      <c r="Y72"/>
    </row>
    <row r="73" spans="1:25" ht="17" outlineLevel="1" x14ac:dyDescent="0.2">
      <c r="A73" s="11" t="s">
        <v>216</v>
      </c>
      <c r="B73" s="71">
        <v>6180706</v>
      </c>
      <c r="C73" s="10" t="s">
        <v>52</v>
      </c>
      <c r="D73" s="307"/>
      <c r="E73" s="12" t="s">
        <v>217</v>
      </c>
      <c r="F73" s="10" t="s">
        <v>219</v>
      </c>
      <c r="G73" s="73">
        <f>IFERROR(VLOOKUP($B73,'[2]KPI Promotor'!$G:$K,5,0),0)</f>
        <v>170000000</v>
      </c>
      <c r="H73" s="74">
        <f>SUMIF('[2]SALES BY PROMOTOR'!$D:$D,$F73,'[2]SALES BY PROMOTOR'!$J:$J)</f>
        <v>39388000</v>
      </c>
      <c r="I73" s="75">
        <f t="shared" si="10"/>
        <v>0.23169411764705883</v>
      </c>
      <c r="J73" s="73">
        <f t="shared" si="16"/>
        <v>168805714.28571427</v>
      </c>
      <c r="K73" s="76">
        <f t="shared" si="17"/>
        <v>3282333.3333333335</v>
      </c>
      <c r="L73" s="77">
        <f>SUMIF('[2]SALES BY PROMOTOR'!$D:$D,$F73,'[2]SALES BY PROMOTOR'!$G:$G)</f>
        <v>5</v>
      </c>
      <c r="M73" s="77">
        <f>SUMIF('[2]SALES BY PROMOTOR'!$D:$D,$F73,'[2]SALES BY PROMOTOR'!$I:$I)</f>
        <v>12</v>
      </c>
      <c r="N73" s="75">
        <f t="shared" si="11"/>
        <v>0.41666666666666669</v>
      </c>
      <c r="O73" s="78">
        <f>IFERROR(VLOOKUP($F73,'[2]Sales By Promotor Last Month'!D:G,4,0),0)</f>
        <v>25</v>
      </c>
      <c r="P73" s="78">
        <f t="shared" si="18"/>
        <v>5</v>
      </c>
      <c r="Q73" s="79">
        <f t="shared" si="12"/>
        <v>-20</v>
      </c>
      <c r="R73" s="80">
        <f t="shared" si="13"/>
        <v>-0.8</v>
      </c>
      <c r="S73" s="78">
        <f>IFERROR(VLOOKUP($F73,'[2]Sales By Promotor Last Month'!D:I,6,0),0)</f>
        <v>47</v>
      </c>
      <c r="T73" s="78">
        <f t="shared" si="19"/>
        <v>12</v>
      </c>
      <c r="U73" s="79">
        <f t="shared" si="14"/>
        <v>-35</v>
      </c>
      <c r="V73" s="80">
        <f t="shared" si="15"/>
        <v>-0.74468085106382975</v>
      </c>
      <c r="W73"/>
      <c r="X73"/>
      <c r="Y73"/>
    </row>
    <row r="74" spans="1:25" ht="17" outlineLevel="1" x14ac:dyDescent="0.2">
      <c r="A74" s="11" t="s">
        <v>216</v>
      </c>
      <c r="B74" s="71">
        <v>6180706</v>
      </c>
      <c r="C74" s="10" t="s">
        <v>52</v>
      </c>
      <c r="D74" s="308"/>
      <c r="E74" s="12" t="s">
        <v>217</v>
      </c>
      <c r="F74" s="10" t="s">
        <v>220</v>
      </c>
      <c r="G74" s="73">
        <f>IFERROR(VLOOKUP($B74,'[2]KPI Promotor'!$G:$K,5,0),0)</f>
        <v>170000000</v>
      </c>
      <c r="H74" s="74">
        <f>SUMIF('[2]SALES BY PROMOTOR'!$D:$D,$F74,'[2]SALES BY PROMOTOR'!$J:$J)</f>
        <v>19793000</v>
      </c>
      <c r="I74" s="75">
        <f t="shared" si="10"/>
        <v>0.11642941176470588</v>
      </c>
      <c r="J74" s="73">
        <f t="shared" si="16"/>
        <v>84827142.857142866</v>
      </c>
      <c r="K74" s="76">
        <f t="shared" si="17"/>
        <v>2827571.4285714286</v>
      </c>
      <c r="L74" s="77">
        <f>SUMIF('[2]SALES BY PROMOTOR'!$D:$D,$F74,'[2]SALES BY PROMOTOR'!$G:$G)</f>
        <v>1</v>
      </c>
      <c r="M74" s="77">
        <f>SUMIF('[2]SALES BY PROMOTOR'!$D:$D,$F74,'[2]SALES BY PROMOTOR'!$I:$I)</f>
        <v>7</v>
      </c>
      <c r="N74" s="75">
        <f t="shared" si="11"/>
        <v>0.14285714285714285</v>
      </c>
      <c r="O74" s="78">
        <f>IFERROR(VLOOKUP($F74,'[2]Sales By Promotor Last Month'!D:G,4,0),0)</f>
        <v>12</v>
      </c>
      <c r="P74" s="78">
        <f t="shared" si="18"/>
        <v>1</v>
      </c>
      <c r="Q74" s="79">
        <f t="shared" si="12"/>
        <v>-11</v>
      </c>
      <c r="R74" s="80">
        <f t="shared" si="13"/>
        <v>-0.91666666666666663</v>
      </c>
      <c r="S74" s="78">
        <f>IFERROR(VLOOKUP($F74,'[2]Sales By Promotor Last Month'!D:I,6,0),0)</f>
        <v>27</v>
      </c>
      <c r="T74" s="78">
        <f t="shared" si="19"/>
        <v>7</v>
      </c>
      <c r="U74" s="79">
        <f t="shared" si="14"/>
        <v>-20</v>
      </c>
      <c r="V74" s="80">
        <f t="shared" si="15"/>
        <v>-0.7407407407407407</v>
      </c>
      <c r="W74"/>
      <c r="X74"/>
      <c r="Y74"/>
    </row>
    <row r="75" spans="1:25" ht="17" outlineLevel="1" x14ac:dyDescent="0.2">
      <c r="A75" s="11" t="s">
        <v>216</v>
      </c>
      <c r="B75" s="71">
        <v>6180707</v>
      </c>
      <c r="C75" s="10" t="s">
        <v>52</v>
      </c>
      <c r="D75" s="71">
        <v>1</v>
      </c>
      <c r="E75" s="12" t="s">
        <v>221</v>
      </c>
      <c r="F75" s="10" t="s">
        <v>222</v>
      </c>
      <c r="G75" s="73">
        <f>IFERROR(VLOOKUP($B75,'[2]KPI Promotor'!$G:$K,5,0),0)</f>
        <v>90000000</v>
      </c>
      <c r="H75" s="74">
        <f>SUMIF('[2]SALES BY PROMOTOR'!$D:$D,$F75,'[2]SALES BY PROMOTOR'!$J:$J)</f>
        <v>9397000</v>
      </c>
      <c r="I75" s="75">
        <f t="shared" si="10"/>
        <v>0.10441111111111111</v>
      </c>
      <c r="J75" s="73">
        <f t="shared" si="16"/>
        <v>40272857.142857142</v>
      </c>
      <c r="K75" s="76">
        <f t="shared" si="17"/>
        <v>3132333.3333333335</v>
      </c>
      <c r="L75" s="77">
        <f>SUMIF('[2]SALES BY PROMOTOR'!$D:$D,$F75,'[2]SALES BY PROMOTOR'!$G:$G)</f>
        <v>1</v>
      </c>
      <c r="M75" s="77">
        <f>SUMIF('[2]SALES BY PROMOTOR'!$D:$D,$F75,'[2]SALES BY PROMOTOR'!$I:$I)</f>
        <v>3</v>
      </c>
      <c r="N75" s="75">
        <f t="shared" si="11"/>
        <v>0.33333333333333331</v>
      </c>
      <c r="O75" s="78">
        <f>IFERROR(VLOOKUP($F75,'[2]Sales By Promotor Last Month'!D:G,4,0),0)</f>
        <v>15</v>
      </c>
      <c r="P75" s="78">
        <f t="shared" si="18"/>
        <v>1</v>
      </c>
      <c r="Q75" s="79">
        <f t="shared" si="12"/>
        <v>-14</v>
      </c>
      <c r="R75" s="80">
        <f t="shared" si="13"/>
        <v>-0.93333333333333335</v>
      </c>
      <c r="S75" s="78">
        <f>IFERROR(VLOOKUP($F75,'[2]Sales By Promotor Last Month'!D:I,6,0),0)</f>
        <v>27</v>
      </c>
      <c r="T75" s="78">
        <f t="shared" si="19"/>
        <v>3</v>
      </c>
      <c r="U75" s="79">
        <f t="shared" si="14"/>
        <v>-24</v>
      </c>
      <c r="V75" s="80">
        <f t="shared" si="15"/>
        <v>-0.88888888888888884</v>
      </c>
      <c r="W75"/>
      <c r="X75"/>
      <c r="Y75"/>
    </row>
    <row r="76" spans="1:25" ht="17" outlineLevel="1" x14ac:dyDescent="0.2">
      <c r="A76" s="11" t="s">
        <v>58</v>
      </c>
      <c r="B76" s="71">
        <v>6190701</v>
      </c>
      <c r="C76" s="10" t="s">
        <v>59</v>
      </c>
      <c r="D76" s="306">
        <v>2</v>
      </c>
      <c r="E76" s="12" t="s">
        <v>223</v>
      </c>
      <c r="F76" s="10" t="s">
        <v>224</v>
      </c>
      <c r="G76" s="73">
        <f>IFERROR(VLOOKUP($B76,'[2]KPI Promotor'!$G:$K,5,0),0)</f>
        <v>120000000</v>
      </c>
      <c r="H76" s="74">
        <f>SUMIF('[2]SALES BY PROMOTOR'!$D:$D,$F76,'[2]SALES BY PROMOTOR'!$J:$J)</f>
        <v>45390000</v>
      </c>
      <c r="I76" s="75">
        <f t="shared" si="10"/>
        <v>0.37824999999999998</v>
      </c>
      <c r="J76" s="73">
        <f t="shared" si="16"/>
        <v>194528571.42857143</v>
      </c>
      <c r="K76" s="76">
        <f t="shared" si="17"/>
        <v>4539000</v>
      </c>
      <c r="L76" s="77">
        <f>SUMIF('[2]SALES BY PROMOTOR'!$D:$D,$F76,'[2]SALES BY PROMOTOR'!$G:$G)</f>
        <v>8</v>
      </c>
      <c r="M76" s="77">
        <f>SUMIF('[2]SALES BY PROMOTOR'!$D:$D,$F76,'[2]SALES BY PROMOTOR'!$I:$I)</f>
        <v>10</v>
      </c>
      <c r="N76" s="75">
        <f t="shared" si="11"/>
        <v>0.8</v>
      </c>
      <c r="O76" s="78">
        <f>IFERROR(VLOOKUP($F76,'[2]Sales By Promotor Last Month'!D:G,4,0),0)</f>
        <v>2</v>
      </c>
      <c r="P76" s="78">
        <f t="shared" si="18"/>
        <v>8</v>
      </c>
      <c r="Q76" s="79">
        <f t="shared" si="12"/>
        <v>6</v>
      </c>
      <c r="R76" s="80">
        <f t="shared" si="13"/>
        <v>3</v>
      </c>
      <c r="S76" s="78">
        <f>IFERROR(VLOOKUP($F76,'[2]Sales By Promotor Last Month'!D:I,6,0),0)</f>
        <v>13</v>
      </c>
      <c r="T76" s="78">
        <f t="shared" si="19"/>
        <v>10</v>
      </c>
      <c r="U76" s="79">
        <f t="shared" si="14"/>
        <v>-3</v>
      </c>
      <c r="V76" s="80">
        <f t="shared" si="15"/>
        <v>-0.23076923076923078</v>
      </c>
      <c r="W76"/>
      <c r="X76"/>
      <c r="Y76"/>
    </row>
    <row r="77" spans="1:25" ht="17" outlineLevel="1" x14ac:dyDescent="0.2">
      <c r="A77" s="11" t="s">
        <v>58</v>
      </c>
      <c r="B77" s="71">
        <v>6190701</v>
      </c>
      <c r="C77" s="10" t="s">
        <v>59</v>
      </c>
      <c r="D77" s="308"/>
      <c r="E77" s="12" t="s">
        <v>223</v>
      </c>
      <c r="F77" s="17" t="s">
        <v>225</v>
      </c>
      <c r="G77" s="73">
        <f>IFERROR(VLOOKUP($B77,'[2]KPI Promotor'!$G:$K,5,0),0)</f>
        <v>120000000</v>
      </c>
      <c r="H77" s="74">
        <f>SUMIF('[2]SALES BY PROMOTOR'!$D:$D,$F77,'[2]SALES BY PROMOTOR'!$J:$J)</f>
        <v>12495000</v>
      </c>
      <c r="I77" s="75">
        <f t="shared" si="10"/>
        <v>0.104125</v>
      </c>
      <c r="J77" s="73">
        <f t="shared" si="16"/>
        <v>53550000</v>
      </c>
      <c r="K77" s="76">
        <f t="shared" si="17"/>
        <v>2499000</v>
      </c>
      <c r="L77" s="77">
        <f>SUMIF('[2]SALES BY PROMOTOR'!$D:$D,$F77,'[2]SALES BY PROMOTOR'!$G:$G)</f>
        <v>0</v>
      </c>
      <c r="M77" s="77">
        <f>SUMIF('[2]SALES BY PROMOTOR'!$D:$D,$F77,'[2]SALES BY PROMOTOR'!$I:$I)</f>
        <v>5</v>
      </c>
      <c r="N77" s="75">
        <f t="shared" si="11"/>
        <v>0</v>
      </c>
      <c r="O77" s="78">
        <f>IFERROR(VLOOKUP($F77,'[2]Sales By Promotor Last Month'!D:G,4,0),0)</f>
        <v>11</v>
      </c>
      <c r="P77" s="78">
        <f t="shared" si="18"/>
        <v>0</v>
      </c>
      <c r="Q77" s="79">
        <f t="shared" si="12"/>
        <v>-11</v>
      </c>
      <c r="R77" s="80">
        <f t="shared" si="13"/>
        <v>-1</v>
      </c>
      <c r="S77" s="78">
        <f>IFERROR(VLOOKUP($F77,'[2]Sales By Promotor Last Month'!D:I,6,0),0)</f>
        <v>35</v>
      </c>
      <c r="T77" s="78">
        <f t="shared" si="19"/>
        <v>5</v>
      </c>
      <c r="U77" s="79">
        <f t="shared" si="14"/>
        <v>-30</v>
      </c>
      <c r="V77" s="80">
        <f t="shared" si="15"/>
        <v>-0.8571428571428571</v>
      </c>
      <c r="W77"/>
      <c r="X77"/>
      <c r="Y77"/>
    </row>
    <row r="78" spans="1:25" ht="17" outlineLevel="1" x14ac:dyDescent="0.2">
      <c r="A78" s="11" t="s">
        <v>58</v>
      </c>
      <c r="B78" s="71">
        <v>6190704</v>
      </c>
      <c r="C78" s="10" t="s">
        <v>60</v>
      </c>
      <c r="D78" s="306">
        <v>3</v>
      </c>
      <c r="E78" s="12" t="s">
        <v>226</v>
      </c>
      <c r="F78" s="10" t="s">
        <v>227</v>
      </c>
      <c r="G78" s="73">
        <f>IFERROR(VLOOKUP($B78,'[2]KPI Promotor'!$G:$K,5,0),0)</f>
        <v>120000000</v>
      </c>
      <c r="H78" s="74">
        <f>SUMIF('[2]SALES BY PROMOTOR'!$D:$D,$F78,'[2]SALES BY PROMOTOR'!$J:$J)</f>
        <v>23393000</v>
      </c>
      <c r="I78" s="75">
        <f t="shared" si="10"/>
        <v>0.19494166666666668</v>
      </c>
      <c r="J78" s="73">
        <f t="shared" si="16"/>
        <v>100255714.28571428</v>
      </c>
      <c r="K78" s="76">
        <f t="shared" si="17"/>
        <v>3341857.1428571427</v>
      </c>
      <c r="L78" s="77">
        <f>SUMIF('[2]SALES BY PROMOTOR'!$D:$D,$F78,'[2]SALES BY PROMOTOR'!$G:$G)</f>
        <v>3</v>
      </c>
      <c r="M78" s="77">
        <f>SUMIF('[2]SALES BY PROMOTOR'!$D:$D,$F78,'[2]SALES BY PROMOTOR'!$I:$I)</f>
        <v>7</v>
      </c>
      <c r="N78" s="75">
        <f t="shared" si="11"/>
        <v>0.42857142857142855</v>
      </c>
      <c r="O78" s="78">
        <f>IFERROR(VLOOKUP($F78,'[2]Sales By Promotor Last Month'!D:G,4,0),0)</f>
        <v>16</v>
      </c>
      <c r="P78" s="78">
        <f t="shared" si="18"/>
        <v>3</v>
      </c>
      <c r="Q78" s="79">
        <f t="shared" si="12"/>
        <v>-13</v>
      </c>
      <c r="R78" s="80">
        <f t="shared" si="13"/>
        <v>-0.8125</v>
      </c>
      <c r="S78" s="78">
        <f>IFERROR(VLOOKUP($F78,'[2]Sales By Promotor Last Month'!D:I,6,0),0)</f>
        <v>35</v>
      </c>
      <c r="T78" s="78">
        <f t="shared" si="19"/>
        <v>7</v>
      </c>
      <c r="U78" s="79">
        <f t="shared" si="14"/>
        <v>-28</v>
      </c>
      <c r="V78" s="80">
        <f t="shared" si="15"/>
        <v>-0.8</v>
      </c>
      <c r="W78"/>
      <c r="X78"/>
      <c r="Y78"/>
    </row>
    <row r="79" spans="1:25" ht="17" outlineLevel="1" x14ac:dyDescent="0.2">
      <c r="A79" s="11" t="s">
        <v>58</v>
      </c>
      <c r="B79" s="71">
        <v>6190704</v>
      </c>
      <c r="C79" s="10" t="s">
        <v>60</v>
      </c>
      <c r="D79" s="307"/>
      <c r="E79" s="12" t="s">
        <v>226</v>
      </c>
      <c r="F79" s="10" t="s">
        <v>228</v>
      </c>
      <c r="G79" s="73">
        <f>IFERROR(VLOOKUP($B79,'[2]KPI Promotor'!$G:$K,5,0),0)</f>
        <v>120000000</v>
      </c>
      <c r="H79" s="74">
        <f>SUMIF('[2]SALES BY PROMOTOR'!$D:$D,$F79,'[2]SALES BY PROMOTOR'!$J:$J)</f>
        <v>49590000</v>
      </c>
      <c r="I79" s="75">
        <f t="shared" si="10"/>
        <v>0.41325000000000001</v>
      </c>
      <c r="J79" s="73">
        <f t="shared" si="16"/>
        <v>212528571.42857143</v>
      </c>
      <c r="K79" s="76">
        <f t="shared" si="17"/>
        <v>4959000</v>
      </c>
      <c r="L79" s="77">
        <f>SUMIF('[2]SALES BY PROMOTOR'!$D:$D,$F79,'[2]SALES BY PROMOTOR'!$G:$G)</f>
        <v>7</v>
      </c>
      <c r="M79" s="77">
        <f>SUMIF('[2]SALES BY PROMOTOR'!$D:$D,$F79,'[2]SALES BY PROMOTOR'!$I:$I)</f>
        <v>10</v>
      </c>
      <c r="N79" s="75">
        <f t="shared" si="11"/>
        <v>0.7</v>
      </c>
      <c r="O79" s="78">
        <f>IFERROR(VLOOKUP($F79,'[2]Sales By Promotor Last Month'!D:G,4,0),0)</f>
        <v>18</v>
      </c>
      <c r="P79" s="78">
        <f t="shared" si="18"/>
        <v>7</v>
      </c>
      <c r="Q79" s="79">
        <f t="shared" si="12"/>
        <v>-11</v>
      </c>
      <c r="R79" s="80">
        <f t="shared" si="13"/>
        <v>-0.61111111111111116</v>
      </c>
      <c r="S79" s="78">
        <f>IFERROR(VLOOKUP($F79,'[2]Sales By Promotor Last Month'!D:I,6,0),0)</f>
        <v>35</v>
      </c>
      <c r="T79" s="78">
        <f t="shared" si="19"/>
        <v>10</v>
      </c>
      <c r="U79" s="79">
        <f t="shared" si="14"/>
        <v>-25</v>
      </c>
      <c r="V79" s="80">
        <f t="shared" si="15"/>
        <v>-0.7142857142857143</v>
      </c>
      <c r="W79"/>
      <c r="X79"/>
      <c r="Y79"/>
    </row>
    <row r="80" spans="1:25" ht="17" outlineLevel="1" x14ac:dyDescent="0.2">
      <c r="A80" s="11" t="s">
        <v>58</v>
      </c>
      <c r="B80" s="71">
        <v>6190704</v>
      </c>
      <c r="C80" s="10" t="s">
        <v>60</v>
      </c>
      <c r="D80" s="307"/>
      <c r="E80" s="12" t="s">
        <v>226</v>
      </c>
      <c r="F80" s="10" t="s">
        <v>229</v>
      </c>
      <c r="G80" s="73">
        <f>IFERROR(VLOOKUP($B80,'[2]KPI Promotor'!$G:$K,5,0),0)</f>
        <v>120000000</v>
      </c>
      <c r="H80" s="74">
        <f>SUMIF('[2]SALES BY PROMOTOR'!$D:$D,$F80,'[2]SALES BY PROMOTOR'!$J:$J)</f>
        <v>22594000</v>
      </c>
      <c r="I80" s="75">
        <f t="shared" si="10"/>
        <v>0.18828333333333333</v>
      </c>
      <c r="J80" s="73">
        <f t="shared" si="16"/>
        <v>96831428.571428582</v>
      </c>
      <c r="K80" s="76">
        <f t="shared" si="17"/>
        <v>3765666.6666666665</v>
      </c>
      <c r="L80" s="77">
        <f>SUMIF('[2]SALES BY PROMOTOR'!$D:$D,$F80,'[2]SALES BY PROMOTOR'!$G:$G)</f>
        <v>2</v>
      </c>
      <c r="M80" s="77">
        <f>SUMIF('[2]SALES BY PROMOTOR'!$D:$D,$F80,'[2]SALES BY PROMOTOR'!$I:$I)</f>
        <v>6</v>
      </c>
      <c r="N80" s="75">
        <f t="shared" si="11"/>
        <v>0.33333333333333331</v>
      </c>
      <c r="O80" s="78">
        <f>IFERROR(VLOOKUP($F80,'[2]Sales By Promotor Last Month'!D:G,4,0),0)</f>
        <v>13</v>
      </c>
      <c r="P80" s="78">
        <f t="shared" si="18"/>
        <v>2</v>
      </c>
      <c r="Q80" s="79">
        <f t="shared" si="12"/>
        <v>-11</v>
      </c>
      <c r="R80" s="80">
        <f t="shared" si="13"/>
        <v>-0.84615384615384615</v>
      </c>
      <c r="S80" s="78">
        <f>IFERROR(VLOOKUP($F80,'[2]Sales By Promotor Last Month'!D:I,6,0),0)</f>
        <v>37</v>
      </c>
      <c r="T80" s="78">
        <f t="shared" si="19"/>
        <v>6</v>
      </c>
      <c r="U80" s="79">
        <f t="shared" si="14"/>
        <v>-31</v>
      </c>
      <c r="V80" s="80">
        <f t="shared" si="15"/>
        <v>-0.83783783783783783</v>
      </c>
      <c r="W80"/>
      <c r="X80"/>
      <c r="Y80"/>
    </row>
    <row r="81" spans="1:25" ht="17" outlineLevel="1" x14ac:dyDescent="0.2">
      <c r="A81" s="11" t="s">
        <v>58</v>
      </c>
      <c r="B81" s="71">
        <v>6190705</v>
      </c>
      <c r="C81" s="10" t="s">
        <v>59</v>
      </c>
      <c r="D81" s="307">
        <v>2</v>
      </c>
      <c r="E81" s="12" t="s">
        <v>230</v>
      </c>
      <c r="F81" s="10" t="s">
        <v>231</v>
      </c>
      <c r="G81" s="73">
        <f>IFERROR(VLOOKUP($B81,'[2]KPI Promotor'!$G:$K,5,0),0)</f>
        <v>120000000</v>
      </c>
      <c r="H81" s="74">
        <f>SUMIF('[2]SALES BY PROMOTOR'!$D:$D,$F81,'[2]SALES BY PROMOTOR'!$J:$J)</f>
        <v>24194000</v>
      </c>
      <c r="I81" s="75">
        <f t="shared" si="10"/>
        <v>0.20161666666666667</v>
      </c>
      <c r="J81" s="73">
        <f t="shared" si="16"/>
        <v>103688571.42857142</v>
      </c>
      <c r="K81" s="76">
        <f t="shared" si="17"/>
        <v>4032333.3333333335</v>
      </c>
      <c r="L81" s="77">
        <f>SUMIF('[2]SALES BY PROMOTOR'!$D:$D,$F81,'[2]SALES BY PROMOTOR'!$G:$G)</f>
        <v>3</v>
      </c>
      <c r="M81" s="77">
        <f>SUMIF('[2]SALES BY PROMOTOR'!$D:$D,$F81,'[2]SALES BY PROMOTOR'!$I:$I)</f>
        <v>6</v>
      </c>
      <c r="N81" s="75">
        <f t="shared" si="11"/>
        <v>0.5</v>
      </c>
      <c r="O81" s="78">
        <f>IFERROR(VLOOKUP($F81,'[2]Sales By Promotor Last Month'!D:G,4,0),0)</f>
        <v>5</v>
      </c>
      <c r="P81" s="78">
        <f t="shared" si="18"/>
        <v>3</v>
      </c>
      <c r="Q81" s="79">
        <f t="shared" si="12"/>
        <v>-2</v>
      </c>
      <c r="R81" s="80">
        <f t="shared" si="13"/>
        <v>-0.4</v>
      </c>
      <c r="S81" s="78">
        <f>IFERROR(VLOOKUP($F81,'[2]Sales By Promotor Last Month'!D:I,6,0),0)</f>
        <v>12</v>
      </c>
      <c r="T81" s="78">
        <f t="shared" si="19"/>
        <v>6</v>
      </c>
      <c r="U81" s="79">
        <f t="shared" si="14"/>
        <v>-6</v>
      </c>
      <c r="V81" s="80">
        <f t="shared" si="15"/>
        <v>-0.5</v>
      </c>
      <c r="W81"/>
      <c r="X81"/>
      <c r="Y81"/>
    </row>
    <row r="82" spans="1:25" ht="17" outlineLevel="1" x14ac:dyDescent="0.2">
      <c r="A82" s="11" t="s">
        <v>58</v>
      </c>
      <c r="B82" s="71">
        <v>6190705</v>
      </c>
      <c r="C82" s="10" t="s">
        <v>59</v>
      </c>
      <c r="D82" s="307"/>
      <c r="E82" s="12" t="s">
        <v>230</v>
      </c>
      <c r="F82" s="10" t="s">
        <v>232</v>
      </c>
      <c r="G82" s="73">
        <f>IFERROR(VLOOKUP($B82,'[2]KPI Promotor'!$G:$K,5,0),0)</f>
        <v>120000000</v>
      </c>
      <c r="H82" s="74">
        <f>SUMIF('[2]SALES BY PROMOTOR'!$D:$D,$F82,'[2]SALES BY PROMOTOR'!$J:$J)</f>
        <v>13596000</v>
      </c>
      <c r="I82" s="75">
        <f t="shared" si="10"/>
        <v>0.1133</v>
      </c>
      <c r="J82" s="73">
        <f t="shared" si="16"/>
        <v>58268571.428571433</v>
      </c>
      <c r="K82" s="76">
        <f t="shared" si="17"/>
        <v>3399000</v>
      </c>
      <c r="L82" s="77">
        <f>SUMIF('[2]SALES BY PROMOTOR'!$D:$D,$F82,'[2]SALES BY PROMOTOR'!$G:$G)</f>
        <v>1</v>
      </c>
      <c r="M82" s="77">
        <f>SUMIF('[2]SALES BY PROMOTOR'!$D:$D,$F82,'[2]SALES BY PROMOTOR'!$I:$I)</f>
        <v>4</v>
      </c>
      <c r="N82" s="75">
        <f t="shared" si="11"/>
        <v>0.25</v>
      </c>
      <c r="O82" s="78">
        <f>IFERROR(VLOOKUP($F82,'[2]Sales By Promotor Last Month'!D:G,4,0),0)</f>
        <v>5</v>
      </c>
      <c r="P82" s="78">
        <f t="shared" si="18"/>
        <v>1</v>
      </c>
      <c r="Q82" s="79">
        <f t="shared" si="12"/>
        <v>-4</v>
      </c>
      <c r="R82" s="80">
        <f t="shared" si="13"/>
        <v>-0.8</v>
      </c>
      <c r="S82" s="78">
        <f>IFERROR(VLOOKUP($F82,'[2]Sales By Promotor Last Month'!D:I,6,0),0)</f>
        <v>12</v>
      </c>
      <c r="T82" s="78">
        <f t="shared" si="19"/>
        <v>4</v>
      </c>
      <c r="U82" s="79">
        <f t="shared" si="14"/>
        <v>-8</v>
      </c>
      <c r="V82" s="80">
        <f t="shared" si="15"/>
        <v>-0.66666666666666663</v>
      </c>
      <c r="W82"/>
      <c r="X82"/>
      <c r="Y82"/>
    </row>
    <row r="83" spans="1:25" ht="17" outlineLevel="1" x14ac:dyDescent="0.2">
      <c r="A83" s="11" t="s">
        <v>58</v>
      </c>
      <c r="B83" s="71">
        <v>6190706</v>
      </c>
      <c r="C83" s="10" t="s">
        <v>59</v>
      </c>
      <c r="D83" s="307">
        <v>4</v>
      </c>
      <c r="E83" s="12" t="s">
        <v>233</v>
      </c>
      <c r="F83" s="10" t="s">
        <v>234</v>
      </c>
      <c r="G83" s="73">
        <f>IFERROR(VLOOKUP($B83,'[2]KPI Promotor'!$G:$K,5,0),0)</f>
        <v>120000000</v>
      </c>
      <c r="H83" s="74">
        <f>SUMIF('[2]SALES BY PROMOTOR'!$D:$D,$F83,'[2]SALES BY PROMOTOR'!$J:$J)</f>
        <v>12096000</v>
      </c>
      <c r="I83" s="75">
        <f t="shared" si="10"/>
        <v>0.1008</v>
      </c>
      <c r="J83" s="73">
        <f t="shared" si="16"/>
        <v>51840000</v>
      </c>
      <c r="K83" s="76">
        <f t="shared" si="17"/>
        <v>3024000</v>
      </c>
      <c r="L83" s="77">
        <f>SUMIF('[2]SALES BY PROMOTOR'!$D:$D,$F83,'[2]SALES BY PROMOTOR'!$G:$G)</f>
        <v>1</v>
      </c>
      <c r="M83" s="77">
        <f>SUMIF('[2]SALES BY PROMOTOR'!$D:$D,$F83,'[2]SALES BY PROMOTOR'!$I:$I)</f>
        <v>4</v>
      </c>
      <c r="N83" s="75">
        <f t="shared" si="11"/>
        <v>0.25</v>
      </c>
      <c r="O83" s="78">
        <f>IFERROR(VLOOKUP($F83,'[2]Sales By Promotor Last Month'!D:G,4,0),0)</f>
        <v>11</v>
      </c>
      <c r="P83" s="78">
        <f t="shared" si="18"/>
        <v>1</v>
      </c>
      <c r="Q83" s="79">
        <f t="shared" si="12"/>
        <v>-10</v>
      </c>
      <c r="R83" s="80">
        <f t="shared" si="13"/>
        <v>-0.90909090909090906</v>
      </c>
      <c r="S83" s="78">
        <f>IFERROR(VLOOKUP($F83,'[2]Sales By Promotor Last Month'!D:I,6,0),0)</f>
        <v>36</v>
      </c>
      <c r="T83" s="78">
        <f t="shared" si="19"/>
        <v>4</v>
      </c>
      <c r="U83" s="79">
        <f t="shared" si="14"/>
        <v>-32</v>
      </c>
      <c r="V83" s="80">
        <f t="shared" si="15"/>
        <v>-0.88888888888888884</v>
      </c>
      <c r="W83"/>
      <c r="X83"/>
      <c r="Y83"/>
    </row>
    <row r="84" spans="1:25" ht="17" outlineLevel="1" x14ac:dyDescent="0.2">
      <c r="A84" s="11" t="s">
        <v>58</v>
      </c>
      <c r="B84" s="71">
        <v>6190706</v>
      </c>
      <c r="C84" s="10" t="s">
        <v>59</v>
      </c>
      <c r="D84" s="307"/>
      <c r="E84" s="12" t="s">
        <v>233</v>
      </c>
      <c r="F84" s="10" t="s">
        <v>235</v>
      </c>
      <c r="G84" s="73">
        <f>IFERROR(VLOOKUP($B84,'[2]KPI Promotor'!$G:$K,5,0),0)</f>
        <v>120000000</v>
      </c>
      <c r="H84" s="74">
        <f>SUMIF('[2]SALES BY PROMOTOR'!$D:$D,$F84,'[2]SALES BY PROMOTOR'!$J:$J)</f>
        <v>35790000</v>
      </c>
      <c r="I84" s="75">
        <f t="shared" si="10"/>
        <v>0.29825000000000002</v>
      </c>
      <c r="J84" s="73">
        <f t="shared" si="16"/>
        <v>153385714.28571427</v>
      </c>
      <c r="K84" s="76">
        <f t="shared" si="17"/>
        <v>3579000</v>
      </c>
      <c r="L84" s="77">
        <f>SUMIF('[2]SALES BY PROMOTOR'!$D:$D,$F84,'[2]SALES BY PROMOTOR'!$G:$G)</f>
        <v>4</v>
      </c>
      <c r="M84" s="77">
        <f>SUMIF('[2]SALES BY PROMOTOR'!$D:$D,$F84,'[2]SALES BY PROMOTOR'!$I:$I)</f>
        <v>10</v>
      </c>
      <c r="N84" s="75">
        <f t="shared" si="11"/>
        <v>0.4</v>
      </c>
      <c r="O84" s="78">
        <f>IFERROR(VLOOKUP($F84,'[2]Sales By Promotor Last Month'!D:G,4,0),0)</f>
        <v>20</v>
      </c>
      <c r="P84" s="78">
        <f t="shared" si="18"/>
        <v>4</v>
      </c>
      <c r="Q84" s="79">
        <f t="shared" si="12"/>
        <v>-16</v>
      </c>
      <c r="R84" s="80">
        <f t="shared" si="13"/>
        <v>-0.8</v>
      </c>
      <c r="S84" s="78">
        <f>IFERROR(VLOOKUP($F84,'[2]Sales By Promotor Last Month'!D:I,6,0),0)</f>
        <v>35</v>
      </c>
      <c r="T84" s="78">
        <f t="shared" si="19"/>
        <v>10</v>
      </c>
      <c r="U84" s="79">
        <f t="shared" si="14"/>
        <v>-25</v>
      </c>
      <c r="V84" s="80">
        <f t="shared" si="15"/>
        <v>-0.7142857142857143</v>
      </c>
      <c r="W84"/>
      <c r="X84"/>
      <c r="Y84"/>
    </row>
    <row r="85" spans="1:25" ht="17" outlineLevel="1" x14ac:dyDescent="0.2">
      <c r="A85" s="11" t="s">
        <v>58</v>
      </c>
      <c r="B85" s="71">
        <v>6190706</v>
      </c>
      <c r="C85" s="10" t="s">
        <v>59</v>
      </c>
      <c r="D85" s="307"/>
      <c r="E85" s="12" t="s">
        <v>233</v>
      </c>
      <c r="F85" s="10" t="s">
        <v>236</v>
      </c>
      <c r="G85" s="73">
        <f>IFERROR(VLOOKUP($B85,'[2]KPI Promotor'!$G:$K,5,0),0)</f>
        <v>120000000</v>
      </c>
      <c r="H85" s="74">
        <f>SUMIF('[2]SALES BY PROMOTOR'!$D:$D,$F85,'[2]SALES BY PROMOTOR'!$J:$J)</f>
        <v>30291000</v>
      </c>
      <c r="I85" s="75">
        <f t="shared" si="10"/>
        <v>0.25242500000000001</v>
      </c>
      <c r="J85" s="73">
        <f t="shared" si="16"/>
        <v>129818571.42857143</v>
      </c>
      <c r="K85" s="76">
        <f t="shared" si="17"/>
        <v>3365666.6666666665</v>
      </c>
      <c r="L85" s="77">
        <f>SUMIF('[2]SALES BY PROMOTOR'!$D:$D,$F85,'[2]SALES BY PROMOTOR'!$G:$G)</f>
        <v>2</v>
      </c>
      <c r="M85" s="77">
        <f>SUMIF('[2]SALES BY PROMOTOR'!$D:$D,$F85,'[2]SALES BY PROMOTOR'!$I:$I)</f>
        <v>9</v>
      </c>
      <c r="N85" s="75">
        <f t="shared" si="11"/>
        <v>0.22222222222222221</v>
      </c>
      <c r="O85" s="78">
        <f>IFERROR(VLOOKUP($F85,'[2]Sales By Promotor Last Month'!D:G,4,0),0)</f>
        <v>12</v>
      </c>
      <c r="P85" s="78">
        <f t="shared" si="18"/>
        <v>2</v>
      </c>
      <c r="Q85" s="79">
        <f t="shared" si="12"/>
        <v>-10</v>
      </c>
      <c r="R85" s="80">
        <f t="shared" si="13"/>
        <v>-0.83333333333333337</v>
      </c>
      <c r="S85" s="78">
        <f>IFERROR(VLOOKUP($F85,'[2]Sales By Promotor Last Month'!D:I,6,0),0)</f>
        <v>36</v>
      </c>
      <c r="T85" s="78">
        <f t="shared" si="19"/>
        <v>9</v>
      </c>
      <c r="U85" s="79">
        <f t="shared" si="14"/>
        <v>-27</v>
      </c>
      <c r="V85" s="80">
        <f t="shared" si="15"/>
        <v>-0.75</v>
      </c>
      <c r="W85"/>
      <c r="X85"/>
      <c r="Y85"/>
    </row>
    <row r="86" spans="1:25" ht="17" outlineLevel="1" x14ac:dyDescent="0.2">
      <c r="A86" s="11" t="s">
        <v>58</v>
      </c>
      <c r="B86" s="71">
        <v>6190706</v>
      </c>
      <c r="C86" s="10" t="s">
        <v>59</v>
      </c>
      <c r="D86" s="307"/>
      <c r="E86" s="12" t="s">
        <v>233</v>
      </c>
      <c r="F86" s="10" t="s">
        <v>237</v>
      </c>
      <c r="G86" s="73">
        <f>IFERROR(VLOOKUP($B86,'[2]KPI Promotor'!$G:$K,5,0),0)</f>
        <v>120000000</v>
      </c>
      <c r="H86" s="74">
        <f>SUMIF('[2]SALES BY PROMOTOR'!$D:$D,$F86,'[2]SALES BY PROMOTOR'!$J:$J)</f>
        <v>23593000</v>
      </c>
      <c r="I86" s="75">
        <f t="shared" si="10"/>
        <v>0.19660833333333333</v>
      </c>
      <c r="J86" s="73">
        <f t="shared" si="16"/>
        <v>101112857.14285713</v>
      </c>
      <c r="K86" s="76">
        <f t="shared" si="17"/>
        <v>3370428.5714285714</v>
      </c>
      <c r="L86" s="77">
        <f>SUMIF('[2]SALES BY PROMOTOR'!$D:$D,$F86,'[2]SALES BY PROMOTOR'!$G:$G)</f>
        <v>3</v>
      </c>
      <c r="M86" s="77">
        <f>SUMIF('[2]SALES BY PROMOTOR'!$D:$D,$F86,'[2]SALES BY PROMOTOR'!$I:$I)</f>
        <v>7</v>
      </c>
      <c r="N86" s="75">
        <f t="shared" si="11"/>
        <v>0.42857142857142855</v>
      </c>
      <c r="O86" s="78">
        <f>IFERROR(VLOOKUP($F86,'[2]Sales By Promotor Last Month'!D:G,4,0),0)</f>
        <v>15</v>
      </c>
      <c r="P86" s="78">
        <f t="shared" si="18"/>
        <v>3</v>
      </c>
      <c r="Q86" s="79">
        <f t="shared" si="12"/>
        <v>-12</v>
      </c>
      <c r="R86" s="80">
        <f t="shared" si="13"/>
        <v>-0.8</v>
      </c>
      <c r="S86" s="78">
        <f>IFERROR(VLOOKUP($F86,'[2]Sales By Promotor Last Month'!D:I,6,0),0)</f>
        <v>29</v>
      </c>
      <c r="T86" s="78">
        <f t="shared" si="19"/>
        <v>7</v>
      </c>
      <c r="U86" s="79">
        <f t="shared" si="14"/>
        <v>-22</v>
      </c>
      <c r="V86" s="80">
        <f t="shared" si="15"/>
        <v>-0.75862068965517238</v>
      </c>
      <c r="W86"/>
      <c r="X86"/>
      <c r="Y86"/>
    </row>
    <row r="87" spans="1:25" ht="17" outlineLevel="1" x14ac:dyDescent="0.2">
      <c r="A87" s="11" t="s">
        <v>58</v>
      </c>
      <c r="B87" s="71">
        <v>6190707</v>
      </c>
      <c r="C87" s="10" t="s">
        <v>60</v>
      </c>
      <c r="D87" s="307">
        <v>4</v>
      </c>
      <c r="E87" s="12" t="s">
        <v>238</v>
      </c>
      <c r="F87" s="10" t="s">
        <v>239</v>
      </c>
      <c r="G87" s="73">
        <f>IFERROR(VLOOKUP($B87,'[2]KPI Promotor'!$G:$K,5,0),0)</f>
        <v>120000000</v>
      </c>
      <c r="H87" s="74">
        <f>SUMIF('[2]SALES BY PROMOTOR'!$D:$D,$F87,'[2]SALES BY PROMOTOR'!$J:$J)</f>
        <v>53587000</v>
      </c>
      <c r="I87" s="75">
        <f t="shared" si="10"/>
        <v>0.44655833333333333</v>
      </c>
      <c r="J87" s="73">
        <f t="shared" si="16"/>
        <v>229658571.42857143</v>
      </c>
      <c r="K87" s="76">
        <f t="shared" si="17"/>
        <v>4122076.923076923</v>
      </c>
      <c r="L87" s="77">
        <f>SUMIF('[2]SALES BY PROMOTOR'!$D:$D,$F87,'[2]SALES BY PROMOTOR'!$G:$G)</f>
        <v>6</v>
      </c>
      <c r="M87" s="77">
        <f>SUMIF('[2]SALES BY PROMOTOR'!$D:$D,$F87,'[2]SALES BY PROMOTOR'!$I:$I)</f>
        <v>13</v>
      </c>
      <c r="N87" s="75">
        <f t="shared" si="11"/>
        <v>0.46153846153846156</v>
      </c>
      <c r="O87" s="78">
        <f>IFERROR(VLOOKUP($F87,'[2]Sales By Promotor Last Month'!D:G,4,0),0)</f>
        <v>14</v>
      </c>
      <c r="P87" s="78">
        <f t="shared" si="18"/>
        <v>6</v>
      </c>
      <c r="Q87" s="79">
        <f t="shared" si="12"/>
        <v>-8</v>
      </c>
      <c r="R87" s="80">
        <f t="shared" si="13"/>
        <v>-0.5714285714285714</v>
      </c>
      <c r="S87" s="78">
        <f>IFERROR(VLOOKUP($F87,'[2]Sales By Promotor Last Month'!D:I,6,0),0)</f>
        <v>36</v>
      </c>
      <c r="T87" s="78">
        <f t="shared" si="19"/>
        <v>13</v>
      </c>
      <c r="U87" s="79">
        <f t="shared" si="14"/>
        <v>-23</v>
      </c>
      <c r="V87" s="80">
        <f t="shared" si="15"/>
        <v>-0.63888888888888884</v>
      </c>
      <c r="W87"/>
      <c r="X87"/>
      <c r="Y87"/>
    </row>
    <row r="88" spans="1:25" ht="17" outlineLevel="1" x14ac:dyDescent="0.2">
      <c r="A88" s="11" t="s">
        <v>58</v>
      </c>
      <c r="B88" s="19">
        <v>6190707</v>
      </c>
      <c r="C88" s="10" t="s">
        <v>60</v>
      </c>
      <c r="D88" s="307"/>
      <c r="E88" s="12" t="s">
        <v>238</v>
      </c>
      <c r="F88" s="10" t="s">
        <v>240</v>
      </c>
      <c r="G88" s="73">
        <f>IFERROR(VLOOKUP($B88,'[2]KPI Promotor'!$G:$K,5,0),0)</f>
        <v>120000000</v>
      </c>
      <c r="H88" s="74">
        <f>SUMIF('[2]SALES BY PROMOTOR'!$D:$D,$F88,'[2]SALES BY PROMOTOR'!$J:$J)</f>
        <v>32392000</v>
      </c>
      <c r="I88" s="75">
        <f t="shared" si="10"/>
        <v>0.26993333333333336</v>
      </c>
      <c r="J88" s="73">
        <f t="shared" si="16"/>
        <v>138822857.14285716</v>
      </c>
      <c r="K88" s="76">
        <f t="shared" si="17"/>
        <v>4049000</v>
      </c>
      <c r="L88" s="77">
        <f>SUMIF('[2]SALES BY PROMOTOR'!$D:$D,$F88,'[2]SALES BY PROMOTOR'!$G:$G)</f>
        <v>3</v>
      </c>
      <c r="M88" s="77">
        <f>SUMIF('[2]SALES BY PROMOTOR'!$D:$D,$F88,'[2]SALES BY PROMOTOR'!$I:$I)</f>
        <v>8</v>
      </c>
      <c r="N88" s="75">
        <f t="shared" si="11"/>
        <v>0.375</v>
      </c>
      <c r="O88" s="78">
        <f>IFERROR(VLOOKUP($F88,'[2]Sales By Promotor Last Month'!D:G,4,0),0)</f>
        <v>9</v>
      </c>
      <c r="P88" s="78">
        <f t="shared" si="18"/>
        <v>3</v>
      </c>
      <c r="Q88" s="79">
        <f t="shared" si="12"/>
        <v>-6</v>
      </c>
      <c r="R88" s="80">
        <f t="shared" si="13"/>
        <v>-0.66666666666666663</v>
      </c>
      <c r="S88" s="78">
        <f>IFERROR(VLOOKUP($F88,'[2]Sales By Promotor Last Month'!D:I,6,0),0)</f>
        <v>21</v>
      </c>
      <c r="T88" s="78">
        <f t="shared" si="19"/>
        <v>8</v>
      </c>
      <c r="U88" s="79">
        <f t="shared" si="14"/>
        <v>-13</v>
      </c>
      <c r="V88" s="80">
        <f t="shared" si="15"/>
        <v>-0.61904761904761907</v>
      </c>
      <c r="W88"/>
      <c r="X88"/>
      <c r="Y88"/>
    </row>
    <row r="89" spans="1:25" ht="17" outlineLevel="1" x14ac:dyDescent="0.2">
      <c r="A89" s="11" t="s">
        <v>58</v>
      </c>
      <c r="B89" s="19">
        <v>6190707</v>
      </c>
      <c r="C89" s="10" t="s">
        <v>60</v>
      </c>
      <c r="D89" s="307"/>
      <c r="E89" s="12" t="s">
        <v>238</v>
      </c>
      <c r="F89" s="10" t="s">
        <v>241</v>
      </c>
      <c r="G89" s="73">
        <f>IFERROR(VLOOKUP($B89,'[2]KPI Promotor'!$G:$K,5,0),0)</f>
        <v>120000000</v>
      </c>
      <c r="H89" s="74">
        <f>SUMIF('[2]SALES BY PROMOTOR'!$D:$D,$F89,'[2]SALES BY PROMOTOR'!$J:$J)</f>
        <v>27494000</v>
      </c>
      <c r="I89" s="75">
        <f t="shared" si="10"/>
        <v>0.22911666666666666</v>
      </c>
      <c r="J89" s="73">
        <f t="shared" si="16"/>
        <v>117831428.57142858</v>
      </c>
      <c r="K89" s="76">
        <f t="shared" si="17"/>
        <v>4582333.333333333</v>
      </c>
      <c r="L89" s="77">
        <f>SUMIF('[2]SALES BY PROMOTOR'!$D:$D,$F89,'[2]SALES BY PROMOTOR'!$G:$G)</f>
        <v>4</v>
      </c>
      <c r="M89" s="77">
        <f>SUMIF('[2]SALES BY PROMOTOR'!$D:$D,$F89,'[2]SALES BY PROMOTOR'!$I:$I)</f>
        <v>6</v>
      </c>
      <c r="N89" s="75">
        <f t="shared" si="11"/>
        <v>0.66666666666666663</v>
      </c>
      <c r="O89" s="78">
        <f>IFERROR(VLOOKUP($F89,'[2]Sales By Promotor Last Month'!D:G,4,0),0)</f>
        <v>9</v>
      </c>
      <c r="P89" s="78">
        <f t="shared" si="18"/>
        <v>4</v>
      </c>
      <c r="Q89" s="79">
        <f t="shared" si="12"/>
        <v>-5</v>
      </c>
      <c r="R89" s="80">
        <f t="shared" si="13"/>
        <v>-0.55555555555555558</v>
      </c>
      <c r="S89" s="78">
        <f>IFERROR(VLOOKUP($F89,'[2]Sales By Promotor Last Month'!D:I,6,0),0)</f>
        <v>36</v>
      </c>
      <c r="T89" s="78">
        <f t="shared" si="19"/>
        <v>6</v>
      </c>
      <c r="U89" s="79">
        <f t="shared" si="14"/>
        <v>-30</v>
      </c>
      <c r="V89" s="80">
        <f t="shared" si="15"/>
        <v>-0.83333333333333337</v>
      </c>
      <c r="W89"/>
      <c r="X89"/>
      <c r="Y89"/>
    </row>
    <row r="90" spans="1:25" ht="17" outlineLevel="1" x14ac:dyDescent="0.2">
      <c r="A90" s="11" t="s">
        <v>58</v>
      </c>
      <c r="B90" s="19">
        <v>6190707</v>
      </c>
      <c r="C90" s="10" t="s">
        <v>60</v>
      </c>
      <c r="D90" s="307"/>
      <c r="E90" s="12" t="s">
        <v>238</v>
      </c>
      <c r="F90" s="10" t="s">
        <v>242</v>
      </c>
      <c r="G90" s="73">
        <f>IFERROR(VLOOKUP($B90,'[2]KPI Promotor'!$G:$K,5,0),0)</f>
        <v>120000000</v>
      </c>
      <c r="H90" s="74">
        <f>SUMIF('[2]SALES BY PROMOTOR'!$D:$D,$F90,'[2]SALES BY PROMOTOR'!$J:$J)</f>
        <v>38990000</v>
      </c>
      <c r="I90" s="75">
        <f t="shared" si="10"/>
        <v>0.32491666666666669</v>
      </c>
      <c r="J90" s="73">
        <f t="shared" si="16"/>
        <v>167100000</v>
      </c>
      <c r="K90" s="76">
        <f t="shared" si="17"/>
        <v>3899000</v>
      </c>
      <c r="L90" s="77">
        <f>SUMIF('[2]SALES BY PROMOTOR'!$D:$D,$F90,'[2]SALES BY PROMOTOR'!$G:$G)</f>
        <v>6</v>
      </c>
      <c r="M90" s="77">
        <f>SUMIF('[2]SALES BY PROMOTOR'!$D:$D,$F90,'[2]SALES BY PROMOTOR'!$I:$I)</f>
        <v>10</v>
      </c>
      <c r="N90" s="75">
        <f t="shared" si="11"/>
        <v>0.6</v>
      </c>
      <c r="O90" s="78">
        <f>IFERROR(VLOOKUP($F90,'[2]Sales By Promotor Last Month'!D:G,4,0),0)</f>
        <v>7</v>
      </c>
      <c r="P90" s="78">
        <f t="shared" si="18"/>
        <v>6</v>
      </c>
      <c r="Q90" s="79">
        <f t="shared" si="12"/>
        <v>-1</v>
      </c>
      <c r="R90" s="80">
        <f t="shared" si="13"/>
        <v>-0.14285714285714285</v>
      </c>
      <c r="S90" s="78">
        <f>IFERROR(VLOOKUP($F90,'[2]Sales By Promotor Last Month'!D:I,6,0),0)</f>
        <v>17</v>
      </c>
      <c r="T90" s="78">
        <f t="shared" si="19"/>
        <v>10</v>
      </c>
      <c r="U90" s="79">
        <f t="shared" si="14"/>
        <v>-7</v>
      </c>
      <c r="V90" s="80">
        <f t="shared" si="15"/>
        <v>-0.41176470588235292</v>
      </c>
      <c r="W90"/>
      <c r="X90"/>
      <c r="Y90"/>
    </row>
    <row r="91" spans="1:25" ht="17" outlineLevel="1" x14ac:dyDescent="0.2">
      <c r="A91" s="11" t="s">
        <v>58</v>
      </c>
      <c r="B91" s="19">
        <v>6190708</v>
      </c>
      <c r="C91" s="10" t="s">
        <v>60</v>
      </c>
      <c r="D91" s="81">
        <v>1</v>
      </c>
      <c r="E91" s="12" t="s">
        <v>243</v>
      </c>
      <c r="F91" s="10" t="s">
        <v>244</v>
      </c>
      <c r="G91" s="73">
        <f>IFERROR(VLOOKUP($B91,'[2]KPI Promotor'!$G:$K,5,0),0)</f>
        <v>0</v>
      </c>
      <c r="H91" s="74">
        <f>SUMIF('[2]SALES BY PROMOTOR'!$D:$D,$F91,'[2]SALES BY PROMOTOR'!$J:$J)</f>
        <v>15397000</v>
      </c>
      <c r="I91" s="75">
        <f t="shared" si="10"/>
        <v>0</v>
      </c>
      <c r="J91" s="73">
        <f t="shared" si="16"/>
        <v>65987142.857142858</v>
      </c>
      <c r="K91" s="76">
        <f t="shared" si="17"/>
        <v>5132333.333333333</v>
      </c>
      <c r="L91" s="77">
        <f>SUMIF('[2]SALES BY PROMOTOR'!$D:$D,$F91,'[2]SALES BY PROMOTOR'!$G:$G)</f>
        <v>1</v>
      </c>
      <c r="M91" s="77">
        <f>SUMIF('[2]SALES BY PROMOTOR'!$D:$D,$F91,'[2]SALES BY PROMOTOR'!$I:$I)</f>
        <v>3</v>
      </c>
      <c r="N91" s="75">
        <f t="shared" si="11"/>
        <v>0.33333333333333331</v>
      </c>
      <c r="O91" s="78">
        <f>IFERROR(VLOOKUP($F91,'[2]Sales By Promotor Last Month'!D:G,4,0),0)</f>
        <v>3</v>
      </c>
      <c r="P91" s="78">
        <f t="shared" si="18"/>
        <v>1</v>
      </c>
      <c r="Q91" s="79">
        <f t="shared" si="12"/>
        <v>-2</v>
      </c>
      <c r="R91" s="80">
        <f t="shared" si="13"/>
        <v>-0.66666666666666663</v>
      </c>
      <c r="S91" s="78">
        <f>IFERROR(VLOOKUP($F91,'[2]Sales By Promotor Last Month'!D:I,6,0),0)</f>
        <v>15</v>
      </c>
      <c r="T91" s="78">
        <f t="shared" si="19"/>
        <v>3</v>
      </c>
      <c r="U91" s="79">
        <f t="shared" si="14"/>
        <v>-12</v>
      </c>
      <c r="V91" s="80">
        <f t="shared" si="15"/>
        <v>-0.8</v>
      </c>
      <c r="W91"/>
      <c r="X91"/>
      <c r="Y91"/>
    </row>
    <row r="92" spans="1:25" ht="17" outlineLevel="1" x14ac:dyDescent="0.2">
      <c r="A92" s="11" t="s">
        <v>245</v>
      </c>
      <c r="B92" s="71">
        <v>6170706</v>
      </c>
      <c r="C92" s="10" t="s">
        <v>55</v>
      </c>
      <c r="D92" s="306">
        <v>3</v>
      </c>
      <c r="E92" s="12" t="s">
        <v>246</v>
      </c>
      <c r="F92" s="10" t="s">
        <v>247</v>
      </c>
      <c r="G92" s="73">
        <f>IFERROR(VLOOKUP($B92,'[2]KPI Promotor'!$G:$K,5,0),0)</f>
        <v>120000000</v>
      </c>
      <c r="H92" s="74">
        <f>SUMIF('[2]SALES BY PROMOTOR'!$D:$D,$F92,'[2]SALES BY PROMOTOR'!$J:$J)</f>
        <v>34088000</v>
      </c>
      <c r="I92" s="75">
        <f t="shared" si="10"/>
        <v>0.28406666666666669</v>
      </c>
      <c r="J92" s="73">
        <f t="shared" si="16"/>
        <v>146091428.57142857</v>
      </c>
      <c r="K92" s="76">
        <f t="shared" si="17"/>
        <v>2840666.6666666665</v>
      </c>
      <c r="L92" s="77">
        <f>SUMIF('[2]SALES BY PROMOTOR'!$D:$D,$F92,'[2]SALES BY PROMOTOR'!$G:$G)</f>
        <v>2</v>
      </c>
      <c r="M92" s="77">
        <f>SUMIF('[2]SALES BY PROMOTOR'!$D:$D,$F92,'[2]SALES BY PROMOTOR'!$I:$I)</f>
        <v>12</v>
      </c>
      <c r="N92" s="75">
        <f t="shared" si="11"/>
        <v>0.16666666666666666</v>
      </c>
      <c r="O92" s="78">
        <f>IFERROR(VLOOKUP($F92,'[2]Sales By Promotor Last Month'!D:G,4,0),0)</f>
        <v>7</v>
      </c>
      <c r="P92" s="78">
        <f t="shared" si="18"/>
        <v>2</v>
      </c>
      <c r="Q92" s="79">
        <f t="shared" si="12"/>
        <v>-5</v>
      </c>
      <c r="R92" s="80">
        <f t="shared" si="13"/>
        <v>-0.7142857142857143</v>
      </c>
      <c r="S92" s="78">
        <f>IFERROR(VLOOKUP($F92,'[2]Sales By Promotor Last Month'!D:I,6,0),0)</f>
        <v>37</v>
      </c>
      <c r="T92" s="78">
        <f t="shared" si="19"/>
        <v>12</v>
      </c>
      <c r="U92" s="79">
        <f t="shared" si="14"/>
        <v>-25</v>
      </c>
      <c r="V92" s="80">
        <f t="shared" si="15"/>
        <v>-0.67567567567567566</v>
      </c>
      <c r="W92"/>
      <c r="X92"/>
      <c r="Y92"/>
    </row>
    <row r="93" spans="1:25" ht="17" outlineLevel="1" x14ac:dyDescent="0.2">
      <c r="A93" s="11" t="s">
        <v>245</v>
      </c>
      <c r="B93" s="71">
        <v>6170706</v>
      </c>
      <c r="C93" s="10" t="s">
        <v>55</v>
      </c>
      <c r="D93" s="307"/>
      <c r="E93" s="12" t="s">
        <v>246</v>
      </c>
      <c r="F93" s="10" t="s">
        <v>248</v>
      </c>
      <c r="G93" s="73">
        <f>IFERROR(VLOOKUP($B93,'[2]KPI Promotor'!$G:$K,5,0),0)</f>
        <v>120000000</v>
      </c>
      <c r="H93" s="74">
        <f>SUMIF('[2]SALES BY PROMOTOR'!$D:$D,$F93,'[2]SALES BY PROMOTOR'!$J:$J)</f>
        <v>0</v>
      </c>
      <c r="I93" s="75">
        <f t="shared" si="10"/>
        <v>0</v>
      </c>
      <c r="J93" s="73">
        <f t="shared" si="16"/>
        <v>0</v>
      </c>
      <c r="K93" s="76">
        <f t="shared" si="17"/>
        <v>0</v>
      </c>
      <c r="L93" s="77">
        <f>SUMIF('[2]SALES BY PROMOTOR'!$D:$D,$F93,'[2]SALES BY PROMOTOR'!$G:$G)</f>
        <v>0</v>
      </c>
      <c r="M93" s="77">
        <f>SUMIF('[2]SALES BY PROMOTOR'!$D:$D,$F93,'[2]SALES BY PROMOTOR'!$I:$I)</f>
        <v>0</v>
      </c>
      <c r="N93" s="75">
        <f t="shared" si="11"/>
        <v>0</v>
      </c>
      <c r="O93" s="78">
        <f>IFERROR(VLOOKUP($F93,'[2]Sales By Promotor Last Month'!D:G,4,0),0)</f>
        <v>1</v>
      </c>
      <c r="P93" s="78">
        <f t="shared" si="18"/>
        <v>0</v>
      </c>
      <c r="Q93" s="79">
        <f t="shared" si="12"/>
        <v>-1</v>
      </c>
      <c r="R93" s="80">
        <f t="shared" si="13"/>
        <v>-1</v>
      </c>
      <c r="S93" s="78">
        <f>IFERROR(VLOOKUP($F93,'[2]Sales By Promotor Last Month'!D:I,6,0),0)</f>
        <v>13</v>
      </c>
      <c r="T93" s="78">
        <f t="shared" si="19"/>
        <v>0</v>
      </c>
      <c r="U93" s="79">
        <f t="shared" si="14"/>
        <v>-13</v>
      </c>
      <c r="V93" s="80">
        <f t="shared" si="15"/>
        <v>-1</v>
      </c>
      <c r="W93"/>
      <c r="X93"/>
      <c r="Y93"/>
    </row>
    <row r="94" spans="1:25" ht="17" outlineLevel="1" x14ac:dyDescent="0.2">
      <c r="A94" s="11" t="s">
        <v>245</v>
      </c>
      <c r="B94" s="71">
        <v>6170706</v>
      </c>
      <c r="C94" s="10" t="s">
        <v>55</v>
      </c>
      <c r="D94" s="308"/>
      <c r="E94" s="12" t="s">
        <v>246</v>
      </c>
      <c r="F94" s="10" t="s">
        <v>249</v>
      </c>
      <c r="G94" s="73">
        <f>IFERROR(VLOOKUP($B94,'[2]KPI Promotor'!$G:$K,5,0),0)</f>
        <v>120000000</v>
      </c>
      <c r="H94" s="74">
        <f>SUMIF('[2]SALES BY PROMOTOR'!$D:$D,$F94,'[2]SALES BY PROMOTOR'!$J:$J)</f>
        <v>21695000</v>
      </c>
      <c r="I94" s="75">
        <f t="shared" si="10"/>
        <v>0.18079166666666666</v>
      </c>
      <c r="J94" s="73">
        <f t="shared" si="16"/>
        <v>92978571.428571418</v>
      </c>
      <c r="K94" s="76">
        <f t="shared" si="17"/>
        <v>4339000</v>
      </c>
      <c r="L94" s="77">
        <f>SUMIF('[2]SALES BY PROMOTOR'!$D:$D,$F94,'[2]SALES BY PROMOTOR'!$G:$G)</f>
        <v>3</v>
      </c>
      <c r="M94" s="77">
        <f>SUMIF('[2]SALES BY PROMOTOR'!$D:$D,$F94,'[2]SALES BY PROMOTOR'!$I:$I)</f>
        <v>5</v>
      </c>
      <c r="N94" s="75">
        <f t="shared" si="11"/>
        <v>0.6</v>
      </c>
      <c r="O94" s="78">
        <f>IFERROR(VLOOKUP($F94,'[2]Sales By Promotor Last Month'!D:G,4,0),0)</f>
        <v>6</v>
      </c>
      <c r="P94" s="78">
        <f t="shared" si="18"/>
        <v>3</v>
      </c>
      <c r="Q94" s="79">
        <f t="shared" si="12"/>
        <v>-3</v>
      </c>
      <c r="R94" s="80">
        <f t="shared" si="13"/>
        <v>-0.5</v>
      </c>
      <c r="S94" s="78">
        <f>IFERROR(VLOOKUP($F94,'[2]Sales By Promotor Last Month'!D:I,6,0),0)</f>
        <v>35</v>
      </c>
      <c r="T94" s="78">
        <f t="shared" si="19"/>
        <v>5</v>
      </c>
      <c r="U94" s="79">
        <f t="shared" si="14"/>
        <v>-30</v>
      </c>
      <c r="V94" s="80">
        <f t="shared" si="15"/>
        <v>-0.8571428571428571</v>
      </c>
      <c r="W94"/>
      <c r="X94"/>
      <c r="Y94"/>
    </row>
    <row r="95" spans="1:25" ht="17" outlineLevel="1" x14ac:dyDescent="0.2">
      <c r="A95" s="11" t="s">
        <v>245</v>
      </c>
      <c r="B95" s="71">
        <v>6170707</v>
      </c>
      <c r="C95" s="10" t="s">
        <v>250</v>
      </c>
      <c r="D95" s="306">
        <v>3</v>
      </c>
      <c r="E95" s="12" t="s">
        <v>251</v>
      </c>
      <c r="F95" s="10" t="s">
        <v>252</v>
      </c>
      <c r="G95" s="73">
        <f>IFERROR(VLOOKUP($B95,'[2]KPI Promotor'!$G:$K,5,0),0)</f>
        <v>120000000</v>
      </c>
      <c r="H95" s="74">
        <f>SUMIF('[2]SALES BY PROMOTOR'!$D:$D,$F95,'[2]SALES BY PROMOTOR'!$J:$J)</f>
        <v>26290000</v>
      </c>
      <c r="I95" s="75">
        <f t="shared" si="10"/>
        <v>0.21908333333333332</v>
      </c>
      <c r="J95" s="73">
        <f t="shared" si="16"/>
        <v>112671428.57142858</v>
      </c>
      <c r="K95" s="76">
        <f t="shared" si="17"/>
        <v>2629000</v>
      </c>
      <c r="L95" s="77">
        <f>SUMIF('[2]SALES BY PROMOTOR'!$D:$D,$F95,'[2]SALES BY PROMOTOR'!$G:$G)</f>
        <v>1</v>
      </c>
      <c r="M95" s="77">
        <f>SUMIF('[2]SALES BY PROMOTOR'!$D:$D,$F95,'[2]SALES BY PROMOTOR'!$I:$I)</f>
        <v>10</v>
      </c>
      <c r="N95" s="75">
        <f t="shared" si="11"/>
        <v>0.1</v>
      </c>
      <c r="O95" s="78">
        <f>IFERROR(VLOOKUP($F95,'[2]Sales By Promotor Last Month'!D:G,4,0),0)</f>
        <v>10</v>
      </c>
      <c r="P95" s="78">
        <f t="shared" si="18"/>
        <v>1</v>
      </c>
      <c r="Q95" s="79">
        <f t="shared" si="12"/>
        <v>-9</v>
      </c>
      <c r="R95" s="80">
        <f t="shared" si="13"/>
        <v>-0.9</v>
      </c>
      <c r="S95" s="78">
        <f>IFERROR(VLOOKUP($F95,'[2]Sales By Promotor Last Month'!D:I,6,0),0)</f>
        <v>35</v>
      </c>
      <c r="T95" s="78">
        <f t="shared" si="19"/>
        <v>10</v>
      </c>
      <c r="U95" s="79">
        <f t="shared" si="14"/>
        <v>-25</v>
      </c>
      <c r="V95" s="80">
        <f t="shared" si="15"/>
        <v>-0.7142857142857143</v>
      </c>
      <c r="W95"/>
      <c r="X95"/>
      <c r="Y95"/>
    </row>
    <row r="96" spans="1:25" ht="17" outlineLevel="1" x14ac:dyDescent="0.2">
      <c r="A96" s="11" t="s">
        <v>245</v>
      </c>
      <c r="B96" s="71">
        <v>6170707</v>
      </c>
      <c r="C96" s="10" t="s">
        <v>250</v>
      </c>
      <c r="D96" s="307"/>
      <c r="E96" s="12" t="s">
        <v>251</v>
      </c>
      <c r="F96" s="10" t="s">
        <v>253</v>
      </c>
      <c r="G96" s="73">
        <f>IFERROR(VLOOKUP($B96,'[2]KPI Promotor'!$G:$K,5,0),0)</f>
        <v>120000000</v>
      </c>
      <c r="H96" s="74">
        <f>SUMIF('[2]SALES BY PROMOTOR'!$D:$D,$F96,'[2]SALES BY PROMOTOR'!$J:$J)</f>
        <v>22094000</v>
      </c>
      <c r="I96" s="75">
        <f t="shared" si="10"/>
        <v>0.18411666666666668</v>
      </c>
      <c r="J96" s="73">
        <f t="shared" si="16"/>
        <v>94688571.428571418</v>
      </c>
      <c r="K96" s="76">
        <f t="shared" si="17"/>
        <v>3682333.3333333335</v>
      </c>
      <c r="L96" s="77">
        <f>SUMIF('[2]SALES BY PROMOTOR'!$D:$D,$F96,'[2]SALES BY PROMOTOR'!$G:$G)</f>
        <v>2</v>
      </c>
      <c r="M96" s="77">
        <f>SUMIF('[2]SALES BY PROMOTOR'!$D:$D,$F96,'[2]SALES BY PROMOTOR'!$I:$I)</f>
        <v>6</v>
      </c>
      <c r="N96" s="75">
        <f t="shared" si="11"/>
        <v>0.33333333333333331</v>
      </c>
      <c r="O96" s="78">
        <f>IFERROR(VLOOKUP($F96,'[2]Sales By Promotor Last Month'!D:G,4,0),0)</f>
        <v>7</v>
      </c>
      <c r="P96" s="78">
        <f t="shared" si="18"/>
        <v>2</v>
      </c>
      <c r="Q96" s="79">
        <f t="shared" si="12"/>
        <v>-5</v>
      </c>
      <c r="R96" s="80">
        <f t="shared" si="13"/>
        <v>-0.7142857142857143</v>
      </c>
      <c r="S96" s="78">
        <f>IFERROR(VLOOKUP($F96,'[2]Sales By Promotor Last Month'!D:I,6,0),0)</f>
        <v>35</v>
      </c>
      <c r="T96" s="78">
        <f t="shared" si="19"/>
        <v>6</v>
      </c>
      <c r="U96" s="79">
        <f t="shared" si="14"/>
        <v>-29</v>
      </c>
      <c r="V96" s="80">
        <f t="shared" si="15"/>
        <v>-0.82857142857142863</v>
      </c>
      <c r="W96"/>
      <c r="X96"/>
      <c r="Y96"/>
    </row>
    <row r="97" spans="1:25" ht="17" outlineLevel="1" x14ac:dyDescent="0.2">
      <c r="A97" s="11" t="s">
        <v>245</v>
      </c>
      <c r="B97" s="71">
        <v>6170707</v>
      </c>
      <c r="C97" s="10" t="s">
        <v>250</v>
      </c>
      <c r="D97" s="308"/>
      <c r="E97" s="12" t="s">
        <v>251</v>
      </c>
      <c r="F97" s="10" t="s">
        <v>254</v>
      </c>
      <c r="G97" s="73">
        <f>IFERROR(VLOOKUP($B97,'[2]KPI Promotor'!$G:$K,5,0),0)</f>
        <v>120000000</v>
      </c>
      <c r="H97" s="74">
        <f>SUMIF('[2]SALES BY PROMOTOR'!$D:$D,$F97,'[2]SALES BY PROMOTOR'!$J:$J)</f>
        <v>27193000</v>
      </c>
      <c r="I97" s="75">
        <f t="shared" si="10"/>
        <v>0.22660833333333333</v>
      </c>
      <c r="J97" s="73">
        <f t="shared" si="16"/>
        <v>116541428.57142858</v>
      </c>
      <c r="K97" s="76">
        <f t="shared" si="17"/>
        <v>3884714.2857142859</v>
      </c>
      <c r="L97" s="77">
        <f>SUMIF('[2]SALES BY PROMOTOR'!$D:$D,$F97,'[2]SALES BY PROMOTOR'!$G:$G)</f>
        <v>2</v>
      </c>
      <c r="M97" s="77">
        <f>SUMIF('[2]SALES BY PROMOTOR'!$D:$D,$F97,'[2]SALES BY PROMOTOR'!$I:$I)</f>
        <v>7</v>
      </c>
      <c r="N97" s="75">
        <f t="shared" si="11"/>
        <v>0.2857142857142857</v>
      </c>
      <c r="O97" s="78">
        <f>IFERROR(VLOOKUP($F97,'[2]Sales By Promotor Last Month'!D:G,4,0),0)</f>
        <v>3</v>
      </c>
      <c r="P97" s="78">
        <f t="shared" si="18"/>
        <v>2</v>
      </c>
      <c r="Q97" s="79">
        <f t="shared" si="12"/>
        <v>-1</v>
      </c>
      <c r="R97" s="80">
        <f t="shared" si="13"/>
        <v>-0.33333333333333331</v>
      </c>
      <c r="S97" s="78">
        <f>IFERROR(VLOOKUP($F97,'[2]Sales By Promotor Last Month'!D:I,6,0),0)</f>
        <v>11</v>
      </c>
      <c r="T97" s="78">
        <f t="shared" si="19"/>
        <v>7</v>
      </c>
      <c r="U97" s="79">
        <f t="shared" si="14"/>
        <v>-4</v>
      </c>
      <c r="V97" s="80">
        <f t="shared" si="15"/>
        <v>-0.36363636363636365</v>
      </c>
      <c r="W97"/>
      <c r="X97"/>
      <c r="Y97"/>
    </row>
    <row r="98" spans="1:25" ht="17" outlineLevel="1" x14ac:dyDescent="0.2">
      <c r="A98" s="11" t="s">
        <v>245</v>
      </c>
      <c r="B98" s="20">
        <v>6240701</v>
      </c>
      <c r="C98" s="10" t="s">
        <v>55</v>
      </c>
      <c r="D98" s="306">
        <v>3</v>
      </c>
      <c r="E98" s="21" t="s">
        <v>255</v>
      </c>
      <c r="F98" s="10" t="s">
        <v>256</v>
      </c>
      <c r="G98" s="73">
        <f>IFERROR(VLOOKUP($B98,'[2]KPI Promotor'!$G:$K,5,0),0)</f>
        <v>120000000</v>
      </c>
      <c r="H98" s="74">
        <f>SUMIF('[2]SALES BY PROMOTOR'!$D:$D,$F98,'[2]SALES BY PROMOTOR'!$J:$J)</f>
        <v>18094000</v>
      </c>
      <c r="I98" s="75">
        <f t="shared" si="10"/>
        <v>0.15078333333333332</v>
      </c>
      <c r="J98" s="73">
        <f t="shared" si="16"/>
        <v>77545714.285714284</v>
      </c>
      <c r="K98" s="76">
        <f t="shared" si="17"/>
        <v>3015666.6666666665</v>
      </c>
      <c r="L98" s="77">
        <f>SUMIF('[2]SALES BY PROMOTOR'!$D:$D,$F98,'[2]SALES BY PROMOTOR'!$G:$G)</f>
        <v>3</v>
      </c>
      <c r="M98" s="77">
        <f>SUMIF('[2]SALES BY PROMOTOR'!$D:$D,$F98,'[2]SALES BY PROMOTOR'!$I:$I)</f>
        <v>6</v>
      </c>
      <c r="N98" s="75">
        <f t="shared" si="11"/>
        <v>0.5</v>
      </c>
      <c r="O98" s="78">
        <f>IFERROR(VLOOKUP($F98,'[2]Sales By Promotor Last Month'!D:G,4,0),0)</f>
        <v>14</v>
      </c>
      <c r="P98" s="78">
        <f t="shared" si="18"/>
        <v>3</v>
      </c>
      <c r="Q98" s="79">
        <f t="shared" si="12"/>
        <v>-11</v>
      </c>
      <c r="R98" s="80">
        <f t="shared" si="13"/>
        <v>-0.7857142857142857</v>
      </c>
      <c r="S98" s="78">
        <f>IFERROR(VLOOKUP($F98,'[2]Sales By Promotor Last Month'!D:I,6,0),0)</f>
        <v>35</v>
      </c>
      <c r="T98" s="78">
        <f t="shared" si="19"/>
        <v>6</v>
      </c>
      <c r="U98" s="79">
        <f t="shared" si="14"/>
        <v>-29</v>
      </c>
      <c r="V98" s="80">
        <f t="shared" si="15"/>
        <v>-0.82857142857142863</v>
      </c>
      <c r="W98"/>
      <c r="X98"/>
      <c r="Y98"/>
    </row>
    <row r="99" spans="1:25" ht="17" outlineLevel="1" x14ac:dyDescent="0.2">
      <c r="A99" s="11" t="s">
        <v>245</v>
      </c>
      <c r="B99" s="20">
        <v>6240701</v>
      </c>
      <c r="C99" s="10" t="s">
        <v>55</v>
      </c>
      <c r="D99" s="307"/>
      <c r="E99" s="21" t="s">
        <v>255</v>
      </c>
      <c r="F99" s="10" t="s">
        <v>257</v>
      </c>
      <c r="G99" s="73">
        <f>IFERROR(VLOOKUP($B99,'[2]KPI Promotor'!$G:$K,5,0),0)</f>
        <v>120000000</v>
      </c>
      <c r="H99" s="74">
        <f>SUMIF('[2]SALES BY PROMOTOR'!$D:$D,$F99,'[2]SALES BY PROMOTOR'!$J:$J)</f>
        <v>17495000</v>
      </c>
      <c r="I99" s="75">
        <f t="shared" si="10"/>
        <v>0.14579166666666668</v>
      </c>
      <c r="J99" s="73">
        <f t="shared" si="16"/>
        <v>74978571.428571418</v>
      </c>
      <c r="K99" s="76">
        <f t="shared" si="17"/>
        <v>3499000</v>
      </c>
      <c r="L99" s="77">
        <f>SUMIF('[2]SALES BY PROMOTOR'!$D:$D,$F99,'[2]SALES BY PROMOTOR'!$G:$G)</f>
        <v>2</v>
      </c>
      <c r="M99" s="77">
        <f>SUMIF('[2]SALES BY PROMOTOR'!$D:$D,$F99,'[2]SALES BY PROMOTOR'!$I:$I)</f>
        <v>5</v>
      </c>
      <c r="N99" s="75">
        <f t="shared" si="11"/>
        <v>0.4</v>
      </c>
      <c r="O99" s="78">
        <f>IFERROR(VLOOKUP($F99,'[2]Sales By Promotor Last Month'!D:G,4,0),0)</f>
        <v>16</v>
      </c>
      <c r="P99" s="78">
        <f t="shared" si="18"/>
        <v>2</v>
      </c>
      <c r="Q99" s="79">
        <f t="shared" si="12"/>
        <v>-14</v>
      </c>
      <c r="R99" s="80">
        <f t="shared" si="13"/>
        <v>-0.875</v>
      </c>
      <c r="S99" s="78">
        <f>IFERROR(VLOOKUP($F99,'[2]Sales By Promotor Last Month'!D:I,6,0),0)</f>
        <v>35</v>
      </c>
      <c r="T99" s="78">
        <f t="shared" si="19"/>
        <v>5</v>
      </c>
      <c r="U99" s="79">
        <f t="shared" si="14"/>
        <v>-30</v>
      </c>
      <c r="V99" s="80">
        <f t="shared" si="15"/>
        <v>-0.8571428571428571</v>
      </c>
      <c r="W99"/>
      <c r="X99"/>
      <c r="Y99"/>
    </row>
    <row r="100" spans="1:25" ht="17" outlineLevel="1" x14ac:dyDescent="0.2">
      <c r="A100" s="11" t="s">
        <v>245</v>
      </c>
      <c r="B100" s="20">
        <v>6240701</v>
      </c>
      <c r="C100" s="10" t="s">
        <v>55</v>
      </c>
      <c r="D100" s="308"/>
      <c r="E100" s="21" t="s">
        <v>255</v>
      </c>
      <c r="F100" s="10" t="s">
        <v>258</v>
      </c>
      <c r="G100" s="73">
        <f>IFERROR(VLOOKUP($B100,'[2]KPI Promotor'!$G:$K,5,0),0)</f>
        <v>120000000</v>
      </c>
      <c r="H100" s="74">
        <f>SUMIF('[2]SALES BY PROMOTOR'!$D:$D,$F100,'[2]SALES BY PROMOTOR'!$J:$J)</f>
        <v>35490000</v>
      </c>
      <c r="I100" s="75">
        <f t="shared" si="10"/>
        <v>0.29575000000000001</v>
      </c>
      <c r="J100" s="73">
        <f t="shared" si="16"/>
        <v>152100000</v>
      </c>
      <c r="K100" s="76">
        <f t="shared" si="17"/>
        <v>3549000</v>
      </c>
      <c r="L100" s="77">
        <f>SUMIF('[2]SALES BY PROMOTOR'!$D:$D,$F100,'[2]SALES BY PROMOTOR'!$G:$G)</f>
        <v>2</v>
      </c>
      <c r="M100" s="77">
        <f>SUMIF('[2]SALES BY PROMOTOR'!$D:$D,$F100,'[2]SALES BY PROMOTOR'!$I:$I)</f>
        <v>10</v>
      </c>
      <c r="N100" s="75">
        <f t="shared" si="11"/>
        <v>0.2</v>
      </c>
      <c r="O100" s="78">
        <f>IFERROR(VLOOKUP($F100,'[2]Sales By Promotor Last Month'!D:G,4,0),0)</f>
        <v>10</v>
      </c>
      <c r="P100" s="78">
        <f t="shared" si="18"/>
        <v>2</v>
      </c>
      <c r="Q100" s="79">
        <f t="shared" si="12"/>
        <v>-8</v>
      </c>
      <c r="R100" s="80">
        <f t="shared" si="13"/>
        <v>-0.8</v>
      </c>
      <c r="S100" s="78">
        <f>IFERROR(VLOOKUP($F100,'[2]Sales By Promotor Last Month'!D:I,6,0),0)</f>
        <v>35</v>
      </c>
      <c r="T100" s="78">
        <f t="shared" si="19"/>
        <v>10</v>
      </c>
      <c r="U100" s="79">
        <f t="shared" si="14"/>
        <v>-25</v>
      </c>
      <c r="V100" s="80">
        <f t="shared" si="15"/>
        <v>-0.7142857142857143</v>
      </c>
      <c r="W100"/>
      <c r="X100"/>
      <c r="Y100"/>
    </row>
    <row r="101" spans="1:25" ht="17" outlineLevel="1" x14ac:dyDescent="0.2">
      <c r="A101" s="11" t="s">
        <v>245</v>
      </c>
      <c r="B101" s="71">
        <v>6240702</v>
      </c>
      <c r="C101" s="10" t="s">
        <v>250</v>
      </c>
      <c r="D101" s="306">
        <v>3</v>
      </c>
      <c r="E101" s="12" t="s">
        <v>259</v>
      </c>
      <c r="F101" s="10" t="s">
        <v>260</v>
      </c>
      <c r="G101" s="73">
        <f>IFERROR(VLOOKUP($B101,'[2]KPI Promotor'!$G:$K,5,0),0)</f>
        <v>120000000</v>
      </c>
      <c r="H101" s="74">
        <f>SUMIF('[2]SALES BY PROMOTOR'!$D:$D,$F101,'[2]SALES BY PROMOTOR'!$J:$J)</f>
        <v>31293000</v>
      </c>
      <c r="I101" s="75">
        <f t="shared" si="10"/>
        <v>0.26077499999999998</v>
      </c>
      <c r="J101" s="73">
        <f t="shared" si="16"/>
        <v>134112857.14285715</v>
      </c>
      <c r="K101" s="76">
        <f t="shared" si="17"/>
        <v>4470428.5714285718</v>
      </c>
      <c r="L101" s="77">
        <f>SUMIF('[2]SALES BY PROMOTOR'!$D:$D,$F101,'[2]SALES BY PROMOTOR'!$G:$G)</f>
        <v>3</v>
      </c>
      <c r="M101" s="77">
        <f>SUMIF('[2]SALES BY PROMOTOR'!$D:$D,$F101,'[2]SALES BY PROMOTOR'!$I:$I)</f>
        <v>7</v>
      </c>
      <c r="N101" s="75">
        <f t="shared" si="11"/>
        <v>0.42857142857142855</v>
      </c>
      <c r="O101" s="78">
        <f>IFERROR(VLOOKUP($F101,'[2]Sales By Promotor Last Month'!D:G,4,0),0)</f>
        <v>13</v>
      </c>
      <c r="P101" s="78">
        <f t="shared" si="18"/>
        <v>3</v>
      </c>
      <c r="Q101" s="79">
        <f t="shared" si="12"/>
        <v>-10</v>
      </c>
      <c r="R101" s="80">
        <f t="shared" si="13"/>
        <v>-0.76923076923076927</v>
      </c>
      <c r="S101" s="78">
        <f>IFERROR(VLOOKUP($F101,'[2]Sales By Promotor Last Month'!D:I,6,0),0)</f>
        <v>35</v>
      </c>
      <c r="T101" s="78">
        <f t="shared" si="19"/>
        <v>7</v>
      </c>
      <c r="U101" s="79">
        <f t="shared" si="14"/>
        <v>-28</v>
      </c>
      <c r="V101" s="80">
        <f t="shared" si="15"/>
        <v>-0.8</v>
      </c>
      <c r="W101"/>
      <c r="X101"/>
      <c r="Y101"/>
    </row>
    <row r="102" spans="1:25" ht="17" outlineLevel="1" x14ac:dyDescent="0.2">
      <c r="A102" s="11" t="s">
        <v>245</v>
      </c>
      <c r="B102" s="71">
        <v>6240702</v>
      </c>
      <c r="C102" s="10" t="s">
        <v>250</v>
      </c>
      <c r="D102" s="307"/>
      <c r="E102" s="12" t="s">
        <v>259</v>
      </c>
      <c r="F102" s="10" t="s">
        <v>261</v>
      </c>
      <c r="G102" s="73">
        <f>IFERROR(VLOOKUP($B102,'[2]KPI Promotor'!$G:$K,5,0),0)</f>
        <v>120000000</v>
      </c>
      <c r="H102" s="74">
        <f>SUMIF('[2]SALES BY PROMOTOR'!$D:$D,$F102,'[2]SALES BY PROMOTOR'!$J:$J)</f>
        <v>44790000</v>
      </c>
      <c r="I102" s="75">
        <f t="shared" si="10"/>
        <v>0.37325000000000003</v>
      </c>
      <c r="J102" s="73">
        <f t="shared" si="16"/>
        <v>191957142.85714284</v>
      </c>
      <c r="K102" s="76">
        <f t="shared" si="17"/>
        <v>4479000</v>
      </c>
      <c r="L102" s="77">
        <f>SUMIF('[2]SALES BY PROMOTOR'!$D:$D,$F102,'[2]SALES BY PROMOTOR'!$G:$G)</f>
        <v>6</v>
      </c>
      <c r="M102" s="77">
        <f>SUMIF('[2]SALES BY PROMOTOR'!$D:$D,$F102,'[2]SALES BY PROMOTOR'!$I:$I)</f>
        <v>10</v>
      </c>
      <c r="N102" s="75">
        <f t="shared" si="11"/>
        <v>0.6</v>
      </c>
      <c r="O102" s="78">
        <f>IFERROR(VLOOKUP($F102,'[2]Sales By Promotor Last Month'!D:G,4,0),0)</f>
        <v>14</v>
      </c>
      <c r="P102" s="78">
        <f t="shared" si="18"/>
        <v>6</v>
      </c>
      <c r="Q102" s="79">
        <f t="shared" si="12"/>
        <v>-8</v>
      </c>
      <c r="R102" s="80">
        <f t="shared" si="13"/>
        <v>-0.5714285714285714</v>
      </c>
      <c r="S102" s="78">
        <f>IFERROR(VLOOKUP($F102,'[2]Sales By Promotor Last Month'!D:I,6,0),0)</f>
        <v>35</v>
      </c>
      <c r="T102" s="78">
        <f t="shared" si="19"/>
        <v>10</v>
      </c>
      <c r="U102" s="79">
        <f t="shared" si="14"/>
        <v>-25</v>
      </c>
      <c r="V102" s="80">
        <f t="shared" si="15"/>
        <v>-0.7142857142857143</v>
      </c>
      <c r="W102"/>
      <c r="X102"/>
      <c r="Y102"/>
    </row>
    <row r="103" spans="1:25" ht="17" outlineLevel="1" x14ac:dyDescent="0.2">
      <c r="A103" s="11" t="s">
        <v>245</v>
      </c>
      <c r="B103" s="71">
        <v>6240702</v>
      </c>
      <c r="C103" s="10" t="s">
        <v>250</v>
      </c>
      <c r="D103" s="307"/>
      <c r="E103" s="12" t="s">
        <v>259</v>
      </c>
      <c r="F103" s="10" t="s">
        <v>262</v>
      </c>
      <c r="G103" s="73">
        <f>IFERROR(VLOOKUP($B103,'[2]KPI Promotor'!$G:$K,5,0),0)</f>
        <v>120000000</v>
      </c>
      <c r="H103" s="74">
        <f>SUMIF('[2]SALES BY PROMOTOR'!$D:$D,$F103,'[2]SALES BY PROMOTOR'!$J:$J)</f>
        <v>30693000</v>
      </c>
      <c r="I103" s="75">
        <f t="shared" si="10"/>
        <v>0.25577499999999997</v>
      </c>
      <c r="J103" s="73">
        <f t="shared" si="16"/>
        <v>131541428.57142857</v>
      </c>
      <c r="K103" s="76">
        <f t="shared" si="17"/>
        <v>4384714.2857142854</v>
      </c>
      <c r="L103" s="77">
        <f>SUMIF('[2]SALES BY PROMOTOR'!$D:$D,$F103,'[2]SALES BY PROMOTOR'!$G:$G)</f>
        <v>2</v>
      </c>
      <c r="M103" s="77">
        <f>SUMIF('[2]SALES BY PROMOTOR'!$D:$D,$F103,'[2]SALES BY PROMOTOR'!$I:$I)</f>
        <v>7</v>
      </c>
      <c r="N103" s="75">
        <f t="shared" si="11"/>
        <v>0.2857142857142857</v>
      </c>
      <c r="O103" s="78">
        <f>IFERROR(VLOOKUP($F103,'[2]Sales By Promotor Last Month'!D:G,4,0),0)</f>
        <v>15</v>
      </c>
      <c r="P103" s="78">
        <f t="shared" si="18"/>
        <v>2</v>
      </c>
      <c r="Q103" s="79">
        <f t="shared" si="12"/>
        <v>-13</v>
      </c>
      <c r="R103" s="80">
        <f t="shared" si="13"/>
        <v>-0.8666666666666667</v>
      </c>
      <c r="S103" s="78">
        <f>IFERROR(VLOOKUP($F103,'[2]Sales By Promotor Last Month'!D:I,6,0),0)</f>
        <v>35</v>
      </c>
      <c r="T103" s="78">
        <f t="shared" si="19"/>
        <v>7</v>
      </c>
      <c r="U103" s="79">
        <f t="shared" si="14"/>
        <v>-28</v>
      </c>
      <c r="V103" s="80">
        <f t="shared" si="15"/>
        <v>-0.8</v>
      </c>
      <c r="W103"/>
      <c r="X103"/>
      <c r="Y103"/>
    </row>
    <row r="104" spans="1:25" ht="17" outlineLevel="1" x14ac:dyDescent="0.2">
      <c r="A104" s="11" t="s">
        <v>245</v>
      </c>
      <c r="B104" s="71">
        <v>6240703</v>
      </c>
      <c r="C104" s="10" t="s">
        <v>55</v>
      </c>
      <c r="D104" s="307">
        <v>3</v>
      </c>
      <c r="E104" s="12" t="s">
        <v>263</v>
      </c>
      <c r="F104" s="10" t="s">
        <v>264</v>
      </c>
      <c r="G104" s="73">
        <f>IFERROR(VLOOKUP($B104,'[2]KPI Promotor'!$G:$K,5,0),0)</f>
        <v>120000000</v>
      </c>
      <c r="H104" s="74">
        <f>SUMIF('[2]SALES BY PROMOTOR'!$D:$D,$F104,'[2]SALES BY PROMOTOR'!$J:$J)</f>
        <v>17196000</v>
      </c>
      <c r="I104" s="75">
        <f t="shared" si="10"/>
        <v>0.14330000000000001</v>
      </c>
      <c r="J104" s="73">
        <f t="shared" si="16"/>
        <v>73697142.857142866</v>
      </c>
      <c r="K104" s="76">
        <f t="shared" si="17"/>
        <v>4299000</v>
      </c>
      <c r="L104" s="77">
        <f>SUMIF('[2]SALES BY PROMOTOR'!$D:$D,$F104,'[2]SALES BY PROMOTOR'!$G:$G)</f>
        <v>2</v>
      </c>
      <c r="M104" s="77">
        <f>SUMIF('[2]SALES BY PROMOTOR'!$D:$D,$F104,'[2]SALES BY PROMOTOR'!$I:$I)</f>
        <v>4</v>
      </c>
      <c r="N104" s="75">
        <f t="shared" si="11"/>
        <v>0.5</v>
      </c>
      <c r="O104" s="78">
        <f>IFERROR(VLOOKUP($F104,'[2]Sales By Promotor Last Month'!D:G,4,0),0)</f>
        <v>18</v>
      </c>
      <c r="P104" s="78">
        <f t="shared" si="18"/>
        <v>2</v>
      </c>
      <c r="Q104" s="79">
        <f t="shared" si="12"/>
        <v>-16</v>
      </c>
      <c r="R104" s="80">
        <f t="shared" si="13"/>
        <v>-0.88888888888888884</v>
      </c>
      <c r="S104" s="78">
        <f>IFERROR(VLOOKUP($F104,'[2]Sales By Promotor Last Month'!D:I,6,0),0)</f>
        <v>35</v>
      </c>
      <c r="T104" s="78">
        <f t="shared" si="19"/>
        <v>4</v>
      </c>
      <c r="U104" s="79">
        <f t="shared" si="14"/>
        <v>-31</v>
      </c>
      <c r="V104" s="80">
        <f t="shared" si="15"/>
        <v>-0.88571428571428568</v>
      </c>
      <c r="W104"/>
      <c r="X104"/>
      <c r="Y104"/>
    </row>
    <row r="105" spans="1:25" ht="17" outlineLevel="1" x14ac:dyDescent="0.2">
      <c r="A105" s="11" t="s">
        <v>245</v>
      </c>
      <c r="B105" s="71">
        <v>6240703</v>
      </c>
      <c r="C105" s="10" t="s">
        <v>55</v>
      </c>
      <c r="D105" s="307"/>
      <c r="E105" s="12" t="s">
        <v>263</v>
      </c>
      <c r="F105" s="10" t="s">
        <v>265</v>
      </c>
      <c r="G105" s="73">
        <f>IFERROR(VLOOKUP($B105,'[2]KPI Promotor'!$G:$K,5,0),0)</f>
        <v>120000000</v>
      </c>
      <c r="H105" s="74">
        <f>SUMIF('[2]SALES BY PROMOTOR'!$D:$D,$F105,'[2]SALES BY PROMOTOR'!$J:$J)</f>
        <v>20496000</v>
      </c>
      <c r="I105" s="75">
        <f t="shared" si="10"/>
        <v>0.17080000000000001</v>
      </c>
      <c r="J105" s="73">
        <f t="shared" si="16"/>
        <v>87840000</v>
      </c>
      <c r="K105" s="76">
        <f t="shared" si="17"/>
        <v>5124000</v>
      </c>
      <c r="L105" s="77">
        <f>SUMIF('[2]SALES BY PROMOTOR'!$D:$D,$F105,'[2]SALES BY PROMOTOR'!$G:$G)</f>
        <v>3</v>
      </c>
      <c r="M105" s="77">
        <f>SUMIF('[2]SALES BY PROMOTOR'!$D:$D,$F105,'[2]SALES BY PROMOTOR'!$I:$I)</f>
        <v>4</v>
      </c>
      <c r="N105" s="75">
        <f t="shared" si="11"/>
        <v>0.75</v>
      </c>
      <c r="O105" s="78">
        <f>IFERROR(VLOOKUP($F105,'[2]Sales By Promotor Last Month'!D:G,4,0),0)</f>
        <v>10</v>
      </c>
      <c r="P105" s="78">
        <f t="shared" si="18"/>
        <v>3</v>
      </c>
      <c r="Q105" s="79">
        <f t="shared" si="12"/>
        <v>-7</v>
      </c>
      <c r="R105" s="80">
        <f t="shared" si="13"/>
        <v>-0.7</v>
      </c>
      <c r="S105" s="78">
        <f>IFERROR(VLOOKUP($F105,'[2]Sales By Promotor Last Month'!D:I,6,0),0)</f>
        <v>35</v>
      </c>
      <c r="T105" s="78">
        <f t="shared" si="19"/>
        <v>4</v>
      </c>
      <c r="U105" s="79">
        <f t="shared" si="14"/>
        <v>-31</v>
      </c>
      <c r="V105" s="80">
        <f t="shared" si="15"/>
        <v>-0.88571428571428568</v>
      </c>
      <c r="W105"/>
      <c r="X105"/>
      <c r="Y105"/>
    </row>
    <row r="106" spans="1:25" ht="17" outlineLevel="1" x14ac:dyDescent="0.2">
      <c r="A106" s="11" t="s">
        <v>245</v>
      </c>
      <c r="B106" s="71">
        <v>6240703</v>
      </c>
      <c r="C106" s="10" t="s">
        <v>55</v>
      </c>
      <c r="D106" s="308"/>
      <c r="E106" s="12" t="s">
        <v>263</v>
      </c>
      <c r="F106" s="10" t="s">
        <v>266</v>
      </c>
      <c r="G106" s="73">
        <f>IFERROR(VLOOKUP($B106,'[2]KPI Promotor'!$G:$K,5,0),0)</f>
        <v>120000000</v>
      </c>
      <c r="H106" s="74">
        <f>SUMIF('[2]SALES BY PROMOTOR'!$D:$D,$F106,'[2]SALES BY PROMOTOR'!$J:$J)</f>
        <v>19993000</v>
      </c>
      <c r="I106" s="75">
        <f t="shared" si="10"/>
        <v>0.16660833333333333</v>
      </c>
      <c r="J106" s="73">
        <f t="shared" si="16"/>
        <v>85684285.714285716</v>
      </c>
      <c r="K106" s="76">
        <f t="shared" si="17"/>
        <v>2856142.8571428573</v>
      </c>
      <c r="L106" s="77">
        <f>SUMIF('[2]SALES BY PROMOTOR'!$D:$D,$F106,'[2]SALES BY PROMOTOR'!$G:$G)</f>
        <v>3</v>
      </c>
      <c r="M106" s="77">
        <f>SUMIF('[2]SALES BY PROMOTOR'!$D:$D,$F106,'[2]SALES BY PROMOTOR'!$I:$I)</f>
        <v>7</v>
      </c>
      <c r="N106" s="75">
        <f t="shared" si="11"/>
        <v>0.42857142857142855</v>
      </c>
      <c r="O106" s="78">
        <f>IFERROR(VLOOKUP($F106,'[2]Sales By Promotor Last Month'!D:G,4,0),0)</f>
        <v>9</v>
      </c>
      <c r="P106" s="78">
        <f t="shared" si="18"/>
        <v>3</v>
      </c>
      <c r="Q106" s="79">
        <f t="shared" si="12"/>
        <v>-6</v>
      </c>
      <c r="R106" s="80">
        <f t="shared" si="13"/>
        <v>-0.66666666666666663</v>
      </c>
      <c r="S106" s="78">
        <f>IFERROR(VLOOKUP($F106,'[2]Sales By Promotor Last Month'!D:I,6,0),0)</f>
        <v>15</v>
      </c>
      <c r="T106" s="78">
        <f t="shared" si="19"/>
        <v>7</v>
      </c>
      <c r="U106" s="79">
        <f t="shared" si="14"/>
        <v>-8</v>
      </c>
      <c r="V106" s="80">
        <f t="shared" si="15"/>
        <v>-0.53333333333333333</v>
      </c>
      <c r="W106"/>
      <c r="X106"/>
      <c r="Y106"/>
    </row>
    <row r="107" spans="1:25" ht="17" outlineLevel="1" x14ac:dyDescent="0.2">
      <c r="A107" s="11" t="s">
        <v>245</v>
      </c>
      <c r="B107" s="20">
        <v>6240704</v>
      </c>
      <c r="C107" s="10" t="s">
        <v>250</v>
      </c>
      <c r="D107" s="306">
        <v>2</v>
      </c>
      <c r="E107" s="21" t="s">
        <v>267</v>
      </c>
      <c r="F107" s="10" t="s">
        <v>268</v>
      </c>
      <c r="G107" s="73">
        <f>IFERROR(VLOOKUP($B107,'[2]KPI Promotor'!$G:$K,5,0),0)</f>
        <v>90000000</v>
      </c>
      <c r="H107" s="74">
        <f>SUMIF('[2]SALES BY PROMOTOR'!$D:$D,$F107,'[2]SALES BY PROMOTOR'!$J:$J)</f>
        <v>0</v>
      </c>
      <c r="I107" s="75">
        <f t="shared" si="10"/>
        <v>0</v>
      </c>
      <c r="J107" s="73">
        <f t="shared" si="16"/>
        <v>0</v>
      </c>
      <c r="K107" s="76">
        <f t="shared" si="17"/>
        <v>0</v>
      </c>
      <c r="L107" s="77">
        <f>SUMIF('[2]SALES BY PROMOTOR'!$D:$D,$F107,'[2]SALES BY PROMOTOR'!$G:$G)</f>
        <v>0</v>
      </c>
      <c r="M107" s="77">
        <f>SUMIF('[2]SALES BY PROMOTOR'!$D:$D,$F107,'[2]SALES BY PROMOTOR'!$I:$I)</f>
        <v>0</v>
      </c>
      <c r="N107" s="75">
        <f t="shared" si="11"/>
        <v>0</v>
      </c>
      <c r="O107" s="78">
        <f>IFERROR(VLOOKUP($F107,'[2]Sales By Promotor Last Month'!D:G,4,0),0)</f>
        <v>1</v>
      </c>
      <c r="P107" s="78">
        <f t="shared" si="18"/>
        <v>0</v>
      </c>
      <c r="Q107" s="79">
        <f t="shared" si="12"/>
        <v>-1</v>
      </c>
      <c r="R107" s="80">
        <f t="shared" si="13"/>
        <v>-1</v>
      </c>
      <c r="S107" s="78">
        <f>IFERROR(VLOOKUP($F107,'[2]Sales By Promotor Last Month'!D:I,6,0),0)</f>
        <v>7</v>
      </c>
      <c r="T107" s="78">
        <f t="shared" si="19"/>
        <v>0</v>
      </c>
      <c r="U107" s="79">
        <f t="shared" si="14"/>
        <v>-7</v>
      </c>
      <c r="V107" s="80">
        <f t="shared" si="15"/>
        <v>-1</v>
      </c>
      <c r="W107"/>
      <c r="X107"/>
      <c r="Y107"/>
    </row>
    <row r="108" spans="1:25" ht="17" outlineLevel="1" x14ac:dyDescent="0.2">
      <c r="A108" s="11" t="s">
        <v>245</v>
      </c>
      <c r="B108" s="20">
        <v>6240704</v>
      </c>
      <c r="C108" s="10" t="s">
        <v>250</v>
      </c>
      <c r="D108" s="308"/>
      <c r="E108" s="21" t="s">
        <v>267</v>
      </c>
      <c r="F108" s="10" t="s">
        <v>269</v>
      </c>
      <c r="G108" s="73">
        <f>IFERROR(VLOOKUP($B108,'[2]KPI Promotor'!$G:$K,5,0),0)</f>
        <v>90000000</v>
      </c>
      <c r="H108" s="74">
        <f>SUMIF('[2]SALES BY PROMOTOR'!$D:$D,$F108,'[2]SALES BY PROMOTOR'!$J:$J)</f>
        <v>13097000</v>
      </c>
      <c r="I108" s="75">
        <f t="shared" si="10"/>
        <v>0.14552222222222222</v>
      </c>
      <c r="J108" s="73">
        <f t="shared" si="16"/>
        <v>56130000</v>
      </c>
      <c r="K108" s="76">
        <f t="shared" si="17"/>
        <v>4365666.666666667</v>
      </c>
      <c r="L108" s="77">
        <f>SUMIF('[2]SALES BY PROMOTOR'!$D:$D,$F108,'[2]SALES BY PROMOTOR'!$G:$G)</f>
        <v>2</v>
      </c>
      <c r="M108" s="77">
        <f>SUMIF('[2]SALES BY PROMOTOR'!$D:$D,$F108,'[2]SALES BY PROMOTOR'!$I:$I)</f>
        <v>3</v>
      </c>
      <c r="N108" s="75">
        <f t="shared" si="11"/>
        <v>0.66666666666666663</v>
      </c>
      <c r="O108" s="78">
        <f>IFERROR(VLOOKUP($F108,'[2]Sales By Promotor Last Month'!D:G,4,0),0)</f>
        <v>3</v>
      </c>
      <c r="P108" s="78">
        <f t="shared" si="18"/>
        <v>2</v>
      </c>
      <c r="Q108" s="79">
        <f t="shared" si="12"/>
        <v>-1</v>
      </c>
      <c r="R108" s="80">
        <f t="shared" si="13"/>
        <v>-0.33333333333333331</v>
      </c>
      <c r="S108" s="78">
        <f>IFERROR(VLOOKUP($F108,'[2]Sales By Promotor Last Month'!D:I,6,0),0)</f>
        <v>13</v>
      </c>
      <c r="T108" s="78">
        <f t="shared" si="19"/>
        <v>3</v>
      </c>
      <c r="U108" s="79">
        <f t="shared" si="14"/>
        <v>-10</v>
      </c>
      <c r="V108" s="80">
        <f t="shared" si="15"/>
        <v>-0.76923076923076927</v>
      </c>
      <c r="W108"/>
      <c r="X108"/>
      <c r="Y108"/>
    </row>
    <row r="109" spans="1:25" ht="17" outlineLevel="1" x14ac:dyDescent="0.2">
      <c r="A109" s="11" t="s">
        <v>245</v>
      </c>
      <c r="B109" s="72">
        <v>6240705</v>
      </c>
      <c r="C109" s="86" t="s">
        <v>270</v>
      </c>
      <c r="D109" s="327">
        <v>2</v>
      </c>
      <c r="E109" s="87" t="s">
        <v>271</v>
      </c>
      <c r="F109" s="10" t="s">
        <v>272</v>
      </c>
      <c r="G109" s="73">
        <f>IFERROR(VLOOKUP($B109,'[2]KPI Promotor'!$G:$K,5,0),0)</f>
        <v>120000000</v>
      </c>
      <c r="H109" s="74">
        <f>SUMIF('[2]SALES BY PROMOTOR'!$D:$D,$F109,'[2]SALES BY PROMOTOR'!$J:$J)</f>
        <v>13898000</v>
      </c>
      <c r="I109" s="75">
        <f t="shared" si="10"/>
        <v>0.11581666666666666</v>
      </c>
      <c r="J109" s="73">
        <f t="shared" si="16"/>
        <v>59562857.142857142</v>
      </c>
      <c r="K109" s="76">
        <f t="shared" si="17"/>
        <v>6949000</v>
      </c>
      <c r="L109" s="77">
        <f>SUMIF('[2]SALES BY PROMOTOR'!$D:$D,$F109,'[2]SALES BY PROMOTOR'!$G:$G)</f>
        <v>2</v>
      </c>
      <c r="M109" s="77">
        <f>SUMIF('[2]SALES BY PROMOTOR'!$D:$D,$F109,'[2]SALES BY PROMOTOR'!$I:$I)</f>
        <v>2</v>
      </c>
      <c r="N109" s="75">
        <f t="shared" si="11"/>
        <v>1</v>
      </c>
      <c r="O109" s="78">
        <f>IFERROR(VLOOKUP($F109,'[2]Sales By Promotor Last Month'!D:G,4,0),0)</f>
        <v>14</v>
      </c>
      <c r="P109" s="78">
        <f t="shared" si="18"/>
        <v>2</v>
      </c>
      <c r="Q109" s="79">
        <f t="shared" si="12"/>
        <v>-12</v>
      </c>
      <c r="R109" s="80">
        <f t="shared" si="13"/>
        <v>-0.8571428571428571</v>
      </c>
      <c r="S109" s="78">
        <f>IFERROR(VLOOKUP($F109,'[2]Sales By Promotor Last Month'!D:I,6,0),0)</f>
        <v>25</v>
      </c>
      <c r="T109" s="78">
        <f t="shared" si="19"/>
        <v>2</v>
      </c>
      <c r="U109" s="79">
        <f t="shared" si="14"/>
        <v>-23</v>
      </c>
      <c r="V109" s="80">
        <f t="shared" si="15"/>
        <v>-0.92</v>
      </c>
      <c r="W109"/>
      <c r="X109"/>
      <c r="Y109"/>
    </row>
    <row r="110" spans="1:25" ht="17" outlineLevel="1" x14ac:dyDescent="0.2">
      <c r="A110" s="11" t="s">
        <v>245</v>
      </c>
      <c r="B110" s="72">
        <v>6240705</v>
      </c>
      <c r="C110" s="86" t="s">
        <v>270</v>
      </c>
      <c r="D110" s="328"/>
      <c r="E110" s="87" t="s">
        <v>271</v>
      </c>
      <c r="F110" s="10" t="s">
        <v>337</v>
      </c>
      <c r="G110" s="73">
        <f>IFERROR(VLOOKUP($B110,'[2]KPI Promotor'!$G:$K,5,0),0)</f>
        <v>120000000</v>
      </c>
      <c r="H110" s="74">
        <f>SUMIF('[2]SALES BY PROMOTOR'!$D:$D,$F110,'[2]SALES BY PROMOTOR'!$J:$J)</f>
        <v>11396000</v>
      </c>
      <c r="I110" s="75">
        <f t="shared" si="10"/>
        <v>9.4966666666666671E-2</v>
      </c>
      <c r="J110" s="73">
        <f t="shared" si="16"/>
        <v>48840000</v>
      </c>
      <c r="K110" s="76">
        <f t="shared" si="17"/>
        <v>2849000</v>
      </c>
      <c r="L110" s="77">
        <f>SUMIF('[2]SALES BY PROMOTOR'!$D:$D,$F110,'[2]SALES BY PROMOTOR'!$G:$G)</f>
        <v>1</v>
      </c>
      <c r="M110" s="77">
        <f>SUMIF('[2]SALES BY PROMOTOR'!$D:$D,$F110,'[2]SALES BY PROMOTOR'!$I:$I)</f>
        <v>4</v>
      </c>
      <c r="N110" s="75">
        <f t="shared" si="11"/>
        <v>0.25</v>
      </c>
      <c r="O110" s="78">
        <f>IFERROR(VLOOKUP($F110,'[2]Sales By Promotor Last Month'!D:G,4,0),0)</f>
        <v>9</v>
      </c>
      <c r="P110" s="78">
        <f t="shared" si="18"/>
        <v>1</v>
      </c>
      <c r="Q110" s="79">
        <f t="shared" si="12"/>
        <v>-8</v>
      </c>
      <c r="R110" s="80">
        <f t="shared" si="13"/>
        <v>-0.88888888888888884</v>
      </c>
      <c r="S110" s="78">
        <f>IFERROR(VLOOKUP($F110,'[2]Sales By Promotor Last Month'!D:I,6,0),0)</f>
        <v>13</v>
      </c>
      <c r="T110" s="78">
        <f t="shared" si="19"/>
        <v>4</v>
      </c>
      <c r="U110" s="79">
        <f t="shared" si="14"/>
        <v>-9</v>
      </c>
      <c r="V110" s="80">
        <f t="shared" si="15"/>
        <v>-0.69230769230769229</v>
      </c>
      <c r="W110"/>
      <c r="X110"/>
      <c r="Y110"/>
    </row>
    <row r="111" spans="1:25" ht="17" outlineLevel="1" x14ac:dyDescent="0.2">
      <c r="A111" s="11" t="s">
        <v>245</v>
      </c>
      <c r="B111" s="71">
        <v>6240706</v>
      </c>
      <c r="C111" s="83" t="s">
        <v>57</v>
      </c>
      <c r="D111" s="329">
        <v>2</v>
      </c>
      <c r="E111" s="22" t="s">
        <v>273</v>
      </c>
      <c r="F111" s="10" t="s">
        <v>274</v>
      </c>
      <c r="G111" s="73">
        <f>IFERROR(VLOOKUP($B111,'[2]KPI Promotor'!$G:$K,5,0),0)</f>
        <v>90000000</v>
      </c>
      <c r="H111" s="74">
        <f>SUMIF('[2]SALES BY PROMOTOR'!$D:$D,$F111,'[2]SALES BY PROMOTOR'!$J:$J)</f>
        <v>29094000</v>
      </c>
      <c r="I111" s="75">
        <f t="shared" si="10"/>
        <v>0.32326666666666665</v>
      </c>
      <c r="J111" s="73">
        <f t="shared" si="16"/>
        <v>124688571.42857142</v>
      </c>
      <c r="K111" s="76">
        <f t="shared" si="17"/>
        <v>4849000</v>
      </c>
      <c r="L111" s="77">
        <f>SUMIF('[2]SALES BY PROMOTOR'!$D:$D,$F111,'[2]SALES BY PROMOTOR'!$G:$G)</f>
        <v>3</v>
      </c>
      <c r="M111" s="77">
        <f>SUMIF('[2]SALES BY PROMOTOR'!$D:$D,$F111,'[2]SALES BY PROMOTOR'!$I:$I)</f>
        <v>6</v>
      </c>
      <c r="N111" s="75">
        <f t="shared" si="11"/>
        <v>0.5</v>
      </c>
      <c r="O111" s="78">
        <f>IFERROR(VLOOKUP($F111,'[2]Sales By Promotor Last Month'!D:G,4,0),0)</f>
        <v>9</v>
      </c>
      <c r="P111" s="78">
        <f t="shared" si="18"/>
        <v>3</v>
      </c>
      <c r="Q111" s="79">
        <f t="shared" si="12"/>
        <v>-6</v>
      </c>
      <c r="R111" s="80">
        <f t="shared" si="13"/>
        <v>-0.66666666666666663</v>
      </c>
      <c r="S111" s="78">
        <f>IFERROR(VLOOKUP($F111,'[2]Sales By Promotor Last Month'!D:I,6,0),0)</f>
        <v>18</v>
      </c>
      <c r="T111" s="78">
        <f t="shared" si="19"/>
        <v>6</v>
      </c>
      <c r="U111" s="79">
        <f t="shared" si="14"/>
        <v>-12</v>
      </c>
      <c r="V111" s="80">
        <f t="shared" si="15"/>
        <v>-0.66666666666666663</v>
      </c>
      <c r="W111"/>
      <c r="X111"/>
      <c r="Y111"/>
    </row>
    <row r="112" spans="1:25" ht="17" outlineLevel="1" x14ac:dyDescent="0.2">
      <c r="A112" s="11" t="s">
        <v>245</v>
      </c>
      <c r="B112" s="71">
        <v>6240706</v>
      </c>
      <c r="C112" s="83" t="s">
        <v>57</v>
      </c>
      <c r="D112" s="330"/>
      <c r="E112" s="15" t="s">
        <v>273</v>
      </c>
      <c r="F112" s="10" t="s">
        <v>275</v>
      </c>
      <c r="G112" s="73">
        <f>IFERROR(VLOOKUP($B112,'[2]KPI Promotor'!$G:$K,5,0),0)</f>
        <v>90000000</v>
      </c>
      <c r="H112" s="74">
        <f>SUMIF('[2]SALES BY PROMOTOR'!$D:$D,$F112,'[2]SALES BY PROMOTOR'!$J:$J)</f>
        <v>8798000</v>
      </c>
      <c r="I112" s="75">
        <f t="shared" si="10"/>
        <v>9.7755555555555554E-2</v>
      </c>
      <c r="J112" s="73">
        <f t="shared" si="16"/>
        <v>37705714.285714291</v>
      </c>
      <c r="K112" s="76">
        <f t="shared" si="17"/>
        <v>4399000</v>
      </c>
      <c r="L112" s="77">
        <f>SUMIF('[2]SALES BY PROMOTOR'!$D:$D,$F112,'[2]SALES BY PROMOTOR'!$G:$G)</f>
        <v>1</v>
      </c>
      <c r="M112" s="77">
        <f>SUMIF('[2]SALES BY PROMOTOR'!$D:$D,$F112,'[2]SALES BY PROMOTOR'!$I:$I)</f>
        <v>2</v>
      </c>
      <c r="N112" s="75">
        <f t="shared" si="11"/>
        <v>0.5</v>
      </c>
      <c r="O112" s="78">
        <f>IFERROR(VLOOKUP($F112,'[2]Sales By Promotor Last Month'!D:G,4,0),0)</f>
        <v>1</v>
      </c>
      <c r="P112" s="78">
        <f t="shared" si="18"/>
        <v>1</v>
      </c>
      <c r="Q112" s="79">
        <f t="shared" si="12"/>
        <v>0</v>
      </c>
      <c r="R112" s="80">
        <f t="shared" si="13"/>
        <v>0</v>
      </c>
      <c r="S112" s="78">
        <f>IFERROR(VLOOKUP($F112,'[2]Sales By Promotor Last Month'!D:I,6,0),0)</f>
        <v>4</v>
      </c>
      <c r="T112" s="78">
        <f t="shared" si="19"/>
        <v>2</v>
      </c>
      <c r="U112" s="79">
        <f t="shared" si="14"/>
        <v>-2</v>
      </c>
      <c r="V112" s="80">
        <f t="shared" si="15"/>
        <v>-0.5</v>
      </c>
      <c r="W112"/>
      <c r="X112"/>
      <c r="Y112"/>
    </row>
    <row r="113" spans="1:25" ht="17" outlineLevel="1" x14ac:dyDescent="0.2">
      <c r="A113" s="11" t="s">
        <v>245</v>
      </c>
      <c r="B113" s="71">
        <v>6240707</v>
      </c>
      <c r="C113" s="83" t="s">
        <v>57</v>
      </c>
      <c r="D113" s="311">
        <v>2</v>
      </c>
      <c r="E113" s="15" t="s">
        <v>276</v>
      </c>
      <c r="F113" s="10" t="s">
        <v>277</v>
      </c>
      <c r="G113" s="73">
        <f>IFERROR(VLOOKUP($B113,'[2]KPI Promotor'!$G:$K,5,0),0)</f>
        <v>90000000</v>
      </c>
      <c r="H113" s="74">
        <f>SUMIF('[2]SALES BY PROMOTOR'!$D:$D,$F113,'[2]SALES BY PROMOTOR'!$J:$J)</f>
        <v>10796000</v>
      </c>
      <c r="I113" s="75">
        <f t="shared" si="10"/>
        <v>0.11995555555555555</v>
      </c>
      <c r="J113" s="73">
        <f t="shared" si="16"/>
        <v>46268571.428571433</v>
      </c>
      <c r="K113" s="76">
        <f t="shared" si="17"/>
        <v>2699000</v>
      </c>
      <c r="L113" s="77">
        <f>SUMIF('[2]SALES BY PROMOTOR'!$D:$D,$F113,'[2]SALES BY PROMOTOR'!$G:$G)</f>
        <v>0</v>
      </c>
      <c r="M113" s="77">
        <f>SUMIF('[2]SALES BY PROMOTOR'!$D:$D,$F113,'[2]SALES BY PROMOTOR'!$I:$I)</f>
        <v>4</v>
      </c>
      <c r="N113" s="75">
        <f t="shared" si="11"/>
        <v>0</v>
      </c>
      <c r="O113" s="78">
        <f>IFERROR(VLOOKUP($F113,'[2]Sales By Promotor Last Month'!D:G,4,0),0)</f>
        <v>7</v>
      </c>
      <c r="P113" s="78">
        <f t="shared" si="18"/>
        <v>0</v>
      </c>
      <c r="Q113" s="79">
        <f t="shared" si="12"/>
        <v>-7</v>
      </c>
      <c r="R113" s="80">
        <f t="shared" si="13"/>
        <v>-1</v>
      </c>
      <c r="S113" s="78">
        <f>IFERROR(VLOOKUP($F113,'[2]Sales By Promotor Last Month'!D:I,6,0),0)</f>
        <v>7</v>
      </c>
      <c r="T113" s="78">
        <f t="shared" si="19"/>
        <v>4</v>
      </c>
      <c r="U113" s="79">
        <f t="shared" si="14"/>
        <v>-3</v>
      </c>
      <c r="V113" s="80">
        <f t="shared" si="15"/>
        <v>-0.42857142857142855</v>
      </c>
      <c r="W113"/>
      <c r="X113"/>
      <c r="Y113"/>
    </row>
    <row r="114" spans="1:25" ht="17" outlineLevel="1" x14ac:dyDescent="0.2">
      <c r="A114" s="11" t="s">
        <v>245</v>
      </c>
      <c r="B114" s="71">
        <v>6240707</v>
      </c>
      <c r="C114" s="83" t="s">
        <v>57</v>
      </c>
      <c r="D114" s="312"/>
      <c r="E114" s="15" t="s">
        <v>276</v>
      </c>
      <c r="F114" s="10" t="s">
        <v>278</v>
      </c>
      <c r="G114" s="73">
        <f>IFERROR(VLOOKUP($B114,'[2]KPI Promotor'!$G:$K,5,0),0)</f>
        <v>90000000</v>
      </c>
      <c r="H114" s="74">
        <f>SUMIF('[2]SALES BY PROMOTOR'!$D:$D,$F114,'[2]SALES BY PROMOTOR'!$J:$J)</f>
        <v>7798000</v>
      </c>
      <c r="I114" s="75">
        <f t="shared" si="10"/>
        <v>8.6644444444444441E-2</v>
      </c>
      <c r="J114" s="73">
        <f t="shared" si="16"/>
        <v>33420000</v>
      </c>
      <c r="K114" s="76">
        <f t="shared" si="17"/>
        <v>3899000</v>
      </c>
      <c r="L114" s="77">
        <f>SUMIF('[2]SALES BY PROMOTOR'!$D:$D,$F114,'[2]SALES BY PROMOTOR'!$G:$G)</f>
        <v>1</v>
      </c>
      <c r="M114" s="77">
        <f>SUMIF('[2]SALES BY PROMOTOR'!$D:$D,$F114,'[2]SALES BY PROMOTOR'!$I:$I)</f>
        <v>2</v>
      </c>
      <c r="N114" s="75">
        <f t="shared" si="11"/>
        <v>0.5</v>
      </c>
      <c r="O114" s="78">
        <f>IFERROR(VLOOKUP($F114,'[2]Sales By Promotor Last Month'!D:G,4,0),0)</f>
        <v>10</v>
      </c>
      <c r="P114" s="78">
        <f t="shared" si="18"/>
        <v>1</v>
      </c>
      <c r="Q114" s="79">
        <f t="shared" si="12"/>
        <v>-9</v>
      </c>
      <c r="R114" s="80">
        <f t="shared" si="13"/>
        <v>-0.9</v>
      </c>
      <c r="S114" s="78">
        <f>IFERROR(VLOOKUP($F114,'[2]Sales By Promotor Last Month'!D:I,6,0),0)</f>
        <v>25</v>
      </c>
      <c r="T114" s="78">
        <f t="shared" si="19"/>
        <v>2</v>
      </c>
      <c r="U114" s="79">
        <f t="shared" si="14"/>
        <v>-23</v>
      </c>
      <c r="V114" s="80">
        <f t="shared" si="15"/>
        <v>-0.92</v>
      </c>
      <c r="W114"/>
      <c r="X114"/>
      <c r="Y114"/>
    </row>
    <row r="115" spans="1:25" ht="17" outlineLevel="1" x14ac:dyDescent="0.2">
      <c r="A115" s="11" t="s">
        <v>245</v>
      </c>
      <c r="B115" s="71">
        <v>6240708</v>
      </c>
      <c r="C115" s="10" t="s">
        <v>250</v>
      </c>
      <c r="D115" s="321">
        <v>2</v>
      </c>
      <c r="E115" s="23" t="s">
        <v>279</v>
      </c>
      <c r="F115" s="10" t="s">
        <v>280</v>
      </c>
      <c r="G115" s="73">
        <f>IFERROR(VLOOKUP($B115,'[2]KPI Promotor'!$G:$K,5,0),0)</f>
        <v>90000000</v>
      </c>
      <c r="H115" s="74">
        <f>SUMIF('[2]SALES BY PROMOTOR'!$D:$D,$F115,'[2]SALES BY PROMOTOR'!$J:$J)</f>
        <v>4598000</v>
      </c>
      <c r="I115" s="75">
        <f t="shared" si="10"/>
        <v>5.1088888888888892E-2</v>
      </c>
      <c r="J115" s="73">
        <f t="shared" si="16"/>
        <v>19705714.285714284</v>
      </c>
      <c r="K115" s="76">
        <f t="shared" si="17"/>
        <v>2299000</v>
      </c>
      <c r="L115" s="77">
        <f>SUMIF('[2]SALES BY PROMOTOR'!$D:$D,$F115,'[2]SALES BY PROMOTOR'!$G:$G)</f>
        <v>0</v>
      </c>
      <c r="M115" s="77">
        <f>SUMIF('[2]SALES BY PROMOTOR'!$D:$D,$F115,'[2]SALES BY PROMOTOR'!$I:$I)</f>
        <v>2</v>
      </c>
      <c r="N115" s="75">
        <f t="shared" si="11"/>
        <v>0</v>
      </c>
      <c r="O115" s="78">
        <f>IFERROR(VLOOKUP($F115,'[2]Sales By Promotor Last Month'!D:G,4,0),0)</f>
        <v>6</v>
      </c>
      <c r="P115" s="78">
        <f t="shared" si="18"/>
        <v>0</v>
      </c>
      <c r="Q115" s="79">
        <f t="shared" si="12"/>
        <v>-6</v>
      </c>
      <c r="R115" s="80">
        <f t="shared" si="13"/>
        <v>-1</v>
      </c>
      <c r="S115" s="78">
        <f>IFERROR(VLOOKUP($F115,'[2]Sales By Promotor Last Month'!D:I,6,0),0)</f>
        <v>13</v>
      </c>
      <c r="T115" s="78">
        <f t="shared" si="19"/>
        <v>2</v>
      </c>
      <c r="U115" s="79">
        <f t="shared" si="14"/>
        <v>-11</v>
      </c>
      <c r="V115" s="80">
        <f t="shared" si="15"/>
        <v>-0.84615384615384615</v>
      </c>
      <c r="W115"/>
      <c r="X115"/>
      <c r="Y115"/>
    </row>
    <row r="116" spans="1:25" ht="17" outlineLevel="1" x14ac:dyDescent="0.2">
      <c r="A116" s="11" t="s">
        <v>245</v>
      </c>
      <c r="B116" s="71">
        <v>6240708</v>
      </c>
      <c r="C116" s="10" t="s">
        <v>250</v>
      </c>
      <c r="D116" s="322"/>
      <c r="E116" s="23" t="s">
        <v>279</v>
      </c>
      <c r="F116" s="10" t="s">
        <v>338</v>
      </c>
      <c r="G116" s="73">
        <f>IFERROR(VLOOKUP($B116,'[2]KPI Promotor'!$G:$K,5,0),0)</f>
        <v>90000000</v>
      </c>
      <c r="H116" s="74">
        <f>SUMIF('[2]SALES BY PROMOTOR'!$D:$D,$F116,'[2]SALES BY PROMOTOR'!$J:$J)</f>
        <v>5098000</v>
      </c>
      <c r="I116" s="75">
        <f t="shared" si="10"/>
        <v>5.6644444444444442E-2</v>
      </c>
      <c r="J116" s="73">
        <f t="shared" si="16"/>
        <v>21848571.428571429</v>
      </c>
      <c r="K116" s="76">
        <f t="shared" si="17"/>
        <v>2549000</v>
      </c>
      <c r="L116" s="77">
        <f>SUMIF('[2]SALES BY PROMOTOR'!$D:$D,$F116,'[2]SALES BY PROMOTOR'!$G:$G)</f>
        <v>0</v>
      </c>
      <c r="M116" s="77">
        <f>SUMIF('[2]SALES BY PROMOTOR'!$D:$D,$F116,'[2]SALES BY PROMOTOR'!$I:$I)</f>
        <v>2</v>
      </c>
      <c r="N116" s="75">
        <f t="shared" si="11"/>
        <v>0</v>
      </c>
      <c r="O116" s="78">
        <f>IFERROR(VLOOKUP($F116,'[2]Sales By Promotor Last Month'!D:G,4,0),0)</f>
        <v>4</v>
      </c>
      <c r="P116" s="78">
        <f t="shared" si="18"/>
        <v>0</v>
      </c>
      <c r="Q116" s="79">
        <f t="shared" si="12"/>
        <v>-4</v>
      </c>
      <c r="R116" s="80">
        <f t="shared" si="13"/>
        <v>-1</v>
      </c>
      <c r="S116" s="78">
        <f>IFERROR(VLOOKUP($F116,'[2]Sales By Promotor Last Month'!D:I,6,0),0)</f>
        <v>7</v>
      </c>
      <c r="T116" s="78">
        <f t="shared" si="19"/>
        <v>2</v>
      </c>
      <c r="U116" s="79">
        <f t="shared" si="14"/>
        <v>-5</v>
      </c>
      <c r="V116" s="80">
        <f t="shared" si="15"/>
        <v>-0.7142857142857143</v>
      </c>
      <c r="W116"/>
      <c r="X116"/>
      <c r="Y116"/>
    </row>
    <row r="117" spans="1:25" ht="17" outlineLevel="1" x14ac:dyDescent="0.2">
      <c r="A117" s="11" t="s">
        <v>245</v>
      </c>
      <c r="B117" s="71">
        <v>6240708</v>
      </c>
      <c r="C117" s="10" t="s">
        <v>250</v>
      </c>
      <c r="D117" s="323"/>
      <c r="E117" s="23" t="s">
        <v>279</v>
      </c>
      <c r="F117" s="10" t="s">
        <v>281</v>
      </c>
      <c r="G117" s="73">
        <f>IFERROR(VLOOKUP($B117,'[2]KPI Promotor'!$G:$K,5,0),0)</f>
        <v>90000000</v>
      </c>
      <c r="H117" s="74">
        <f>SUMIF('[2]SALES BY PROMOTOR'!$D:$D,$F117,'[2]SALES BY PROMOTOR'!$J:$J)</f>
        <v>2099000</v>
      </c>
      <c r="I117" s="75">
        <f t="shared" si="10"/>
        <v>2.3322222222222223E-2</v>
      </c>
      <c r="J117" s="73">
        <f t="shared" si="16"/>
        <v>8995714.2857142854</v>
      </c>
      <c r="K117" s="76">
        <f t="shared" si="17"/>
        <v>2099000</v>
      </c>
      <c r="L117" s="77">
        <f>SUMIF('[2]SALES BY PROMOTOR'!$D:$D,$F117,'[2]SALES BY PROMOTOR'!$G:$G)</f>
        <v>0</v>
      </c>
      <c r="M117" s="77">
        <f>SUMIF('[2]SALES BY PROMOTOR'!$D:$D,$F117,'[2]SALES BY PROMOTOR'!$I:$I)</f>
        <v>1</v>
      </c>
      <c r="N117" s="75">
        <f t="shared" si="11"/>
        <v>0</v>
      </c>
      <c r="O117" s="78">
        <f>IFERROR(VLOOKUP($F117,'[2]Sales By Promotor Last Month'!D:G,4,0),0)</f>
        <v>7</v>
      </c>
      <c r="P117" s="78">
        <f t="shared" si="18"/>
        <v>0</v>
      </c>
      <c r="Q117" s="79">
        <f t="shared" si="12"/>
        <v>-7</v>
      </c>
      <c r="R117" s="80">
        <f t="shared" si="13"/>
        <v>-1</v>
      </c>
      <c r="S117" s="78">
        <f>IFERROR(VLOOKUP($F117,'[2]Sales By Promotor Last Month'!D:I,6,0),0)</f>
        <v>10</v>
      </c>
      <c r="T117" s="78">
        <f t="shared" si="19"/>
        <v>1</v>
      </c>
      <c r="U117" s="79">
        <f t="shared" si="14"/>
        <v>-9</v>
      </c>
      <c r="V117" s="80">
        <f t="shared" si="15"/>
        <v>-0.9</v>
      </c>
      <c r="W117"/>
      <c r="X117"/>
      <c r="Y117"/>
    </row>
    <row r="118" spans="1:25" ht="17" outlineLevel="1" x14ac:dyDescent="0.2">
      <c r="A118" s="11" t="s">
        <v>245</v>
      </c>
      <c r="B118" s="71">
        <v>6240709</v>
      </c>
      <c r="C118" s="10" t="s">
        <v>250</v>
      </c>
      <c r="D118" s="82">
        <v>1</v>
      </c>
      <c r="E118" s="23" t="s">
        <v>282</v>
      </c>
      <c r="F118" s="17" t="s">
        <v>283</v>
      </c>
      <c r="G118" s="73">
        <f>IFERROR(VLOOKUP($B118,'[2]KPI Promotor'!$G:$K,5,0),0)</f>
        <v>90000000</v>
      </c>
      <c r="H118" s="74">
        <f>SUMIF('[2]SALES BY PROMOTOR'!$D:$D,$F118,'[2]SALES BY PROMOTOR'!$J:$J)</f>
        <v>13598000</v>
      </c>
      <c r="I118" s="75">
        <f t="shared" si="10"/>
        <v>0.15108888888888888</v>
      </c>
      <c r="J118" s="73">
        <f t="shared" si="16"/>
        <v>58277142.857142858</v>
      </c>
      <c r="K118" s="76">
        <f t="shared" si="17"/>
        <v>6799000</v>
      </c>
      <c r="L118" s="77">
        <f>SUMIF('[2]SALES BY PROMOTOR'!$D:$D,$F118,'[2]SALES BY PROMOTOR'!$G:$G)</f>
        <v>2</v>
      </c>
      <c r="M118" s="77">
        <f>SUMIF('[2]SALES BY PROMOTOR'!$D:$D,$F118,'[2]SALES BY PROMOTOR'!$I:$I)</f>
        <v>2</v>
      </c>
      <c r="N118" s="75">
        <f t="shared" si="11"/>
        <v>1</v>
      </c>
      <c r="O118" s="78">
        <f>IFERROR(VLOOKUP($F118,'[2]Sales By Promotor Last Month'!D:G,4,0),0)</f>
        <v>12</v>
      </c>
      <c r="P118" s="78">
        <f t="shared" si="18"/>
        <v>2</v>
      </c>
      <c r="Q118" s="79">
        <f t="shared" si="12"/>
        <v>-10</v>
      </c>
      <c r="R118" s="80">
        <f t="shared" si="13"/>
        <v>-0.83333333333333337</v>
      </c>
      <c r="S118" s="78">
        <f>IFERROR(VLOOKUP($F118,'[2]Sales By Promotor Last Month'!D:I,6,0),0)</f>
        <v>16</v>
      </c>
      <c r="T118" s="78">
        <f t="shared" si="19"/>
        <v>2</v>
      </c>
      <c r="U118" s="79">
        <f t="shared" si="14"/>
        <v>-14</v>
      </c>
      <c r="V118" s="80">
        <f t="shared" si="15"/>
        <v>-0.875</v>
      </c>
      <c r="W118"/>
      <c r="X118"/>
      <c r="Y118"/>
    </row>
    <row r="119" spans="1:25" ht="17" x14ac:dyDescent="0.2">
      <c r="A119" s="11" t="s">
        <v>284</v>
      </c>
      <c r="B119" s="71">
        <v>6150702</v>
      </c>
      <c r="C119" s="10" t="s">
        <v>62</v>
      </c>
      <c r="D119" s="321">
        <v>2</v>
      </c>
      <c r="E119" s="23" t="s">
        <v>285</v>
      </c>
      <c r="F119" s="17" t="s">
        <v>286</v>
      </c>
      <c r="G119" s="73">
        <f>IFERROR(VLOOKUP($B119,'[2]KPI Promotor'!$G:$K,5,0),0)</f>
        <v>0</v>
      </c>
      <c r="H119" s="74">
        <f>SUMIF('[2]SALES BY PROMOTOR'!$D:$D,$F119,'[2]SALES BY PROMOTOR'!$J:$J)</f>
        <v>6899000</v>
      </c>
      <c r="I119" s="75">
        <f t="shared" si="10"/>
        <v>0</v>
      </c>
      <c r="J119" s="73">
        <f t="shared" si="16"/>
        <v>29567142.857142854</v>
      </c>
      <c r="K119" s="76">
        <f t="shared" si="17"/>
        <v>6899000</v>
      </c>
      <c r="L119" s="77">
        <f>SUMIF('[2]SALES BY PROMOTOR'!$D:$D,$F119,'[2]SALES BY PROMOTOR'!$G:$G)</f>
        <v>1</v>
      </c>
      <c r="M119" s="77">
        <f>SUMIF('[2]SALES BY PROMOTOR'!$D:$D,$F119,'[2]SALES BY PROMOTOR'!$I:$I)</f>
        <v>1</v>
      </c>
      <c r="N119" s="75">
        <f t="shared" si="11"/>
        <v>1</v>
      </c>
      <c r="O119" s="78">
        <f>IFERROR(VLOOKUP($F119,'[2]Sales By Promotor Last Month'!D:G,4,0),0)</f>
        <v>4</v>
      </c>
      <c r="P119" s="78">
        <f t="shared" si="18"/>
        <v>1</v>
      </c>
      <c r="Q119" s="79">
        <f t="shared" si="12"/>
        <v>-3</v>
      </c>
      <c r="R119" s="80">
        <f t="shared" si="13"/>
        <v>-0.75</v>
      </c>
      <c r="S119" s="78">
        <f>IFERROR(VLOOKUP($F119,'[2]Sales By Promotor Last Month'!D:I,6,0),0)</f>
        <v>5</v>
      </c>
      <c r="T119" s="78">
        <f t="shared" si="19"/>
        <v>1</v>
      </c>
      <c r="U119" s="79">
        <f t="shared" si="14"/>
        <v>-4</v>
      </c>
      <c r="V119" s="80">
        <f t="shared" si="15"/>
        <v>-0.8</v>
      </c>
      <c r="W119"/>
      <c r="X119"/>
      <c r="Y119"/>
    </row>
    <row r="120" spans="1:25" ht="17" x14ac:dyDescent="0.2">
      <c r="A120" s="11" t="s">
        <v>284</v>
      </c>
      <c r="B120" s="71">
        <v>6150702</v>
      </c>
      <c r="C120" s="10" t="s">
        <v>62</v>
      </c>
      <c r="D120" s="323"/>
      <c r="E120" s="23" t="s">
        <v>285</v>
      </c>
      <c r="F120" s="17" t="s">
        <v>287</v>
      </c>
      <c r="G120" s="73">
        <f>IFERROR(VLOOKUP($B120,'[2]KPI Promotor'!$G:$K,5,0),0)</f>
        <v>0</v>
      </c>
      <c r="H120" s="74">
        <f>SUMIF('[2]SALES BY PROMOTOR'!$D:$D,$F120,'[2]SALES BY PROMOTOR'!$J:$J)</f>
        <v>11798000</v>
      </c>
      <c r="I120" s="75">
        <f t="shared" si="10"/>
        <v>0</v>
      </c>
      <c r="J120" s="73">
        <f t="shared" si="16"/>
        <v>50562857.142857142</v>
      </c>
      <c r="K120" s="76">
        <f t="shared" si="17"/>
        <v>5899000</v>
      </c>
      <c r="L120" s="77">
        <f>SUMIF('[2]SALES BY PROMOTOR'!$D:$D,$F120,'[2]SALES BY PROMOTOR'!$G:$G)</f>
        <v>2</v>
      </c>
      <c r="M120" s="77">
        <f>SUMIF('[2]SALES BY PROMOTOR'!$D:$D,$F120,'[2]SALES BY PROMOTOR'!$I:$I)</f>
        <v>2</v>
      </c>
      <c r="N120" s="75">
        <f t="shared" si="11"/>
        <v>1</v>
      </c>
      <c r="O120" s="78">
        <f>IFERROR(VLOOKUP($F120,'[2]Sales By Promotor Last Month'!D:G,4,0),0)</f>
        <v>5</v>
      </c>
      <c r="P120" s="78">
        <f t="shared" si="18"/>
        <v>2</v>
      </c>
      <c r="Q120" s="79">
        <f t="shared" si="12"/>
        <v>-3</v>
      </c>
      <c r="R120" s="80">
        <f t="shared" si="13"/>
        <v>-0.6</v>
      </c>
      <c r="S120" s="78">
        <f>IFERROR(VLOOKUP($F120,'[2]Sales By Promotor Last Month'!D:I,6,0),0)</f>
        <v>5</v>
      </c>
      <c r="T120" s="78">
        <f t="shared" si="19"/>
        <v>2</v>
      </c>
      <c r="U120" s="79">
        <f t="shared" si="14"/>
        <v>-3</v>
      </c>
      <c r="V120" s="80">
        <f t="shared" si="15"/>
        <v>-0.6</v>
      </c>
      <c r="W120"/>
      <c r="X120"/>
      <c r="Y120"/>
    </row>
    <row r="121" spans="1:25" ht="17" outlineLevel="1" x14ac:dyDescent="0.2">
      <c r="A121" s="86" t="s">
        <v>288</v>
      </c>
      <c r="B121" s="71">
        <v>6170703</v>
      </c>
      <c r="C121" s="88" t="s">
        <v>56</v>
      </c>
      <c r="D121" s="306">
        <v>2</v>
      </c>
      <c r="E121" s="86" t="s">
        <v>289</v>
      </c>
      <c r="F121" s="10" t="s">
        <v>290</v>
      </c>
      <c r="G121" s="73">
        <f>IFERROR(VLOOKUP($B121,'[2]KPI Promotor'!$G:$K,5,0),0)</f>
        <v>90000000</v>
      </c>
      <c r="H121" s="74">
        <f>SUMIF('[2]SALES BY PROMOTOR'!$D:$D,$F121,'[2]SALES BY PROMOTOR'!$J:$J)</f>
        <v>25999000</v>
      </c>
      <c r="I121" s="75">
        <f t="shared" si="10"/>
        <v>0.28887777777777779</v>
      </c>
      <c r="J121" s="73">
        <f t="shared" si="16"/>
        <v>111424285.71428572</v>
      </c>
      <c r="K121" s="76">
        <f t="shared" si="17"/>
        <v>25999000</v>
      </c>
      <c r="L121" s="77">
        <f>SUMIF('[2]SALES BY PROMOTOR'!$D:$D,$F121,'[2]SALES BY PROMOTOR'!$G:$G)</f>
        <v>1</v>
      </c>
      <c r="M121" s="77">
        <f>SUMIF('[2]SALES BY PROMOTOR'!$D:$D,$F121,'[2]SALES BY PROMOTOR'!$I:$I)</f>
        <v>1</v>
      </c>
      <c r="N121" s="75">
        <f t="shared" si="11"/>
        <v>1</v>
      </c>
      <c r="O121" s="78">
        <f>IFERROR(VLOOKUP($F121,'[2]Sales By Promotor Last Month'!D:G,4,0),0)</f>
        <v>5</v>
      </c>
      <c r="P121" s="78">
        <f t="shared" si="18"/>
        <v>1</v>
      </c>
      <c r="Q121" s="79">
        <f t="shared" si="12"/>
        <v>-4</v>
      </c>
      <c r="R121" s="80">
        <f t="shared" si="13"/>
        <v>-0.8</v>
      </c>
      <c r="S121" s="78">
        <f>IFERROR(VLOOKUP($F121,'[2]Sales By Promotor Last Month'!D:I,6,0),0)</f>
        <v>9</v>
      </c>
      <c r="T121" s="78">
        <f t="shared" si="19"/>
        <v>1</v>
      </c>
      <c r="U121" s="79">
        <f t="shared" si="14"/>
        <v>-8</v>
      </c>
      <c r="V121" s="80">
        <f t="shared" si="15"/>
        <v>-0.88888888888888884</v>
      </c>
      <c r="W121"/>
      <c r="X121"/>
      <c r="Y121"/>
    </row>
    <row r="122" spans="1:25" ht="18" outlineLevel="1" thickBot="1" x14ac:dyDescent="0.25">
      <c r="A122" s="89" t="s">
        <v>288</v>
      </c>
      <c r="B122" s="72">
        <v>6170703</v>
      </c>
      <c r="C122" s="90" t="s">
        <v>56</v>
      </c>
      <c r="D122" s="324"/>
      <c r="E122" s="89" t="s">
        <v>289</v>
      </c>
      <c r="F122" s="24" t="s">
        <v>291</v>
      </c>
      <c r="G122" s="73">
        <f>IFERROR(VLOOKUP($B122,'[2]KPI Promotor'!$G:$K,5,0),0)</f>
        <v>90000000</v>
      </c>
      <c r="H122" s="74">
        <f>SUMIF('[2]SALES BY PROMOTOR'!$D:$D,$F122,'[2]SALES BY PROMOTOR'!$J:$J)</f>
        <v>2099000</v>
      </c>
      <c r="I122" s="75">
        <f t="shared" si="10"/>
        <v>2.3322222222222223E-2</v>
      </c>
      <c r="J122" s="73">
        <f t="shared" si="16"/>
        <v>8995714.2857142854</v>
      </c>
      <c r="K122" s="76">
        <f t="shared" si="17"/>
        <v>2099000</v>
      </c>
      <c r="L122" s="77">
        <f>SUMIF('[2]SALES BY PROMOTOR'!$D:$D,$F122,'[2]SALES BY PROMOTOR'!$G:$G)</f>
        <v>0</v>
      </c>
      <c r="M122" s="77">
        <f>SUMIF('[2]SALES BY PROMOTOR'!$D:$D,$F122,'[2]SALES BY PROMOTOR'!$I:$I)</f>
        <v>1</v>
      </c>
      <c r="N122" s="75">
        <f t="shared" si="11"/>
        <v>0</v>
      </c>
      <c r="O122" s="78">
        <f>IFERROR(VLOOKUP($F122,'[2]Sales By Promotor Last Month'!D:G,4,0),0)</f>
        <v>4</v>
      </c>
      <c r="P122" s="78">
        <f t="shared" si="18"/>
        <v>0</v>
      </c>
      <c r="Q122" s="79">
        <f t="shared" si="12"/>
        <v>-4</v>
      </c>
      <c r="R122" s="80">
        <f t="shared" si="13"/>
        <v>-1</v>
      </c>
      <c r="S122" s="78">
        <f>IFERROR(VLOOKUP($F122,'[2]Sales By Promotor Last Month'!D:I,6,0),0)</f>
        <v>8</v>
      </c>
      <c r="T122" s="78">
        <f t="shared" si="19"/>
        <v>1</v>
      </c>
      <c r="U122" s="79">
        <f t="shared" si="14"/>
        <v>-7</v>
      </c>
      <c r="V122" s="80">
        <f t="shared" si="15"/>
        <v>-0.875</v>
      </c>
      <c r="W122"/>
      <c r="X122"/>
      <c r="Y122"/>
    </row>
    <row r="123" spans="1:25" ht="16" x14ac:dyDescent="0.2">
      <c r="A123" s="91"/>
      <c r="B123" s="92"/>
      <c r="C123" s="93" t="s">
        <v>68</v>
      </c>
      <c r="D123" s="92">
        <v>120</v>
      </c>
      <c r="E123" s="91"/>
      <c r="F123" s="25"/>
      <c r="G123" s="73">
        <f>SUM(G5:G122)</f>
        <v>14750000000</v>
      </c>
      <c r="H123" s="73">
        <f>SUM(H5:H122)</f>
        <v>2936856000</v>
      </c>
      <c r="I123" s="75">
        <f>IFERROR(H123/G123,0)</f>
        <v>0.19910888135593222</v>
      </c>
      <c r="J123" s="73">
        <f>SUM(J5:J122)</f>
        <v>12586525714.285717</v>
      </c>
      <c r="K123" s="76">
        <f>IFERROR(H123/M123,0)</f>
        <v>3947387.0967741935</v>
      </c>
      <c r="L123" s="78">
        <f>SUM(L5:L122)</f>
        <v>288</v>
      </c>
      <c r="M123" s="78">
        <f>SUM(M5:M122)</f>
        <v>744</v>
      </c>
      <c r="N123" s="75">
        <f>IFERROR(L123/M123,0)</f>
        <v>0.38709677419354838</v>
      </c>
      <c r="O123" s="78">
        <f>SUM(O5:O122)</f>
        <v>1229</v>
      </c>
      <c r="P123" s="78">
        <f>SUM(P5:P122)</f>
        <v>288</v>
      </c>
      <c r="Q123" s="79">
        <f>P123-O123</f>
        <v>-941</v>
      </c>
      <c r="R123" s="80">
        <f>IFERROR(Q123/O123,0)</f>
        <v>-0.76566314076484943</v>
      </c>
      <c r="S123" s="78">
        <f>SUM(S5:S122)</f>
        <v>3231</v>
      </c>
      <c r="T123" s="78">
        <f>SUM(T5:T122)</f>
        <v>744</v>
      </c>
      <c r="U123" s="79">
        <f>T123-S123</f>
        <v>-2487</v>
      </c>
      <c r="V123" s="80">
        <f>IFERROR(U123/S123,0)</f>
        <v>-0.76973073351903432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  <mergeCell ref="L1:L2"/>
    <mergeCell ref="M1:M2"/>
    <mergeCell ref="N1:N2"/>
    <mergeCell ref="O1:R2"/>
    <mergeCell ref="S1:V2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D5:D10"/>
    <mergeCell ref="D11:D16"/>
    <mergeCell ref="D17:D19"/>
    <mergeCell ref="D20:D22"/>
    <mergeCell ref="D23:D29"/>
    <mergeCell ref="A3:A4"/>
    <mergeCell ref="B3:B4"/>
    <mergeCell ref="C3:C4"/>
    <mergeCell ref="D3:D4"/>
    <mergeCell ref="G3:G4"/>
    <mergeCell ref="M3:M4"/>
    <mergeCell ref="N3:N4"/>
    <mergeCell ref="H3:H4"/>
    <mergeCell ref="I3:I4"/>
    <mergeCell ref="J3:J4"/>
    <mergeCell ref="K3:K4"/>
    <mergeCell ref="L3:L4"/>
  </mergeCells>
  <conditionalFormatting sqref="A5:F5 A6:C10 E6:F10 A11:F11 A12:C16 E12:F16 A17:F17 A18:C19 E18:F19 A20:F20 A21:C22 E21:F22 A23:F23 A24:C29 A30:F30 A31:C32 E31:F32 A33:F33 A34:C35 E34:F35 A36:F36 A37:C37 E37:F37 A38:F38 A39:C40 E39:F40 A41:F41 A42:C43 E42:F43 A44:F44 A45:C45 E45:F45 A46:F46 A50:F51 A52:C52 E52:F52 A53:F53 A54:C56 E54:F56 A57:F57 A58:C58 E58:F58 A59:F59 A60:C60 E60:F60 A61:F62 A63:C63 E63:F63 A64:F64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D118:F118 A119:F119 A120:C120 E120:F120 A121:F121 A122:C122 E122:F122 A114:C118 D115:F115 A65:C68 E65:F68 A47:C49 E47:F49 E116:F117 E24:F29">
    <cfRule type="expression" dxfId="56" priority="1">
      <formula>MOD(ROW(),2)=0</formula>
    </cfRule>
  </conditionalFormatting>
  <conditionalFormatting sqref="I5:I123">
    <cfRule type="expression" dxfId="55" priority="2">
      <formula>I5&gt;=$F$2</formula>
    </cfRule>
  </conditionalFormatting>
  <conditionalFormatting sqref="I5:I123">
    <cfRule type="expression" dxfId="54" priority="3">
      <formula>I5&lt;$F$2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48"/>
  <sheetViews>
    <sheetView tabSelected="1" zoomScale="84" zoomScaleNormal="84" workbookViewId="0">
      <selection activeCell="P26" sqref="P26"/>
    </sheetView>
  </sheetViews>
  <sheetFormatPr baseColWidth="10" defaultColWidth="11" defaultRowHeight="16" x14ac:dyDescent="0.2"/>
  <sheetData>
    <row r="1" spans="1:47" x14ac:dyDescent="0.2">
      <c r="A1" s="217"/>
      <c r="B1" s="218"/>
      <c r="C1" s="218"/>
      <c r="D1" s="218" t="s">
        <v>292</v>
      </c>
      <c r="E1" s="218" t="s">
        <v>293</v>
      </c>
      <c r="F1" s="218" t="s">
        <v>294</v>
      </c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8"/>
      <c r="AR1" s="218"/>
      <c r="AS1" s="218"/>
      <c r="AT1" s="218"/>
      <c r="AU1" s="219"/>
    </row>
    <row r="2" spans="1:47" x14ac:dyDescent="0.2">
      <c r="A2" s="220"/>
      <c r="B2" s="221"/>
      <c r="C2" s="221"/>
      <c r="D2" s="222">
        <v>46266</v>
      </c>
      <c r="E2" s="221"/>
      <c r="F2" s="221"/>
      <c r="G2" s="221"/>
      <c r="H2" s="223" t="s">
        <v>295</v>
      </c>
      <c r="I2" s="223" t="s">
        <v>296</v>
      </c>
      <c r="J2" s="222">
        <v>46267</v>
      </c>
      <c r="K2" s="221"/>
      <c r="L2" s="221"/>
      <c r="M2" s="221"/>
      <c r="N2" s="223" t="s">
        <v>297</v>
      </c>
      <c r="O2" s="223" t="s">
        <v>298</v>
      </c>
      <c r="P2" s="222">
        <v>46268</v>
      </c>
      <c r="Q2" s="221"/>
      <c r="R2" s="221"/>
      <c r="S2" s="221"/>
      <c r="T2" s="223" t="s">
        <v>340</v>
      </c>
      <c r="U2" s="223" t="s">
        <v>341</v>
      </c>
      <c r="V2" s="222">
        <v>46269</v>
      </c>
      <c r="W2" s="221"/>
      <c r="X2" s="221"/>
      <c r="Y2" s="221"/>
      <c r="Z2" s="223" t="s">
        <v>343</v>
      </c>
      <c r="AA2" s="223" t="s">
        <v>344</v>
      </c>
      <c r="AB2" s="222">
        <v>46271</v>
      </c>
      <c r="AC2" s="221"/>
      <c r="AD2" s="221"/>
      <c r="AE2" s="221"/>
      <c r="AF2" s="223" t="s">
        <v>346</v>
      </c>
      <c r="AG2" s="223" t="s">
        <v>347</v>
      </c>
      <c r="AH2" s="222">
        <v>46270</v>
      </c>
      <c r="AI2" s="221"/>
      <c r="AJ2" s="221"/>
      <c r="AK2" s="221"/>
      <c r="AL2" s="223" t="s">
        <v>348</v>
      </c>
      <c r="AM2" s="223" t="s">
        <v>349</v>
      </c>
      <c r="AN2" s="222">
        <v>46272</v>
      </c>
      <c r="AO2" s="221"/>
      <c r="AP2" s="221"/>
      <c r="AQ2" s="221"/>
      <c r="AR2" s="223" t="s">
        <v>350</v>
      </c>
      <c r="AS2" s="223" t="s">
        <v>351</v>
      </c>
      <c r="AT2" s="224" t="s">
        <v>299</v>
      </c>
      <c r="AU2" s="225" t="s">
        <v>300</v>
      </c>
    </row>
    <row r="3" spans="1:47" x14ac:dyDescent="0.2">
      <c r="A3" s="220"/>
      <c r="B3" s="221"/>
      <c r="C3" s="221"/>
      <c r="D3" s="224" t="s">
        <v>73</v>
      </c>
      <c r="E3" s="224"/>
      <c r="F3" s="224" t="s">
        <v>74</v>
      </c>
      <c r="G3" s="224"/>
      <c r="H3" s="223"/>
      <c r="I3" s="223"/>
      <c r="J3" s="224" t="s">
        <v>73</v>
      </c>
      <c r="K3" s="224"/>
      <c r="L3" s="224" t="s">
        <v>74</v>
      </c>
      <c r="M3" s="224"/>
      <c r="N3" s="223"/>
      <c r="O3" s="223"/>
      <c r="P3" s="224" t="s">
        <v>73</v>
      </c>
      <c r="Q3" s="224"/>
      <c r="R3" s="224" t="s">
        <v>74</v>
      </c>
      <c r="S3" s="224"/>
      <c r="T3" s="223"/>
      <c r="U3" s="223"/>
      <c r="V3" s="224" t="s">
        <v>73</v>
      </c>
      <c r="W3" s="224"/>
      <c r="X3" s="224" t="s">
        <v>74</v>
      </c>
      <c r="Y3" s="224"/>
      <c r="Z3" s="223"/>
      <c r="AA3" s="223"/>
      <c r="AB3" s="224" t="s">
        <v>73</v>
      </c>
      <c r="AC3" s="224"/>
      <c r="AD3" s="224" t="s">
        <v>74</v>
      </c>
      <c r="AE3" s="224"/>
      <c r="AF3" s="223"/>
      <c r="AG3" s="223"/>
      <c r="AH3" s="224" t="s">
        <v>73</v>
      </c>
      <c r="AI3" s="224"/>
      <c r="AJ3" s="224" t="s">
        <v>74</v>
      </c>
      <c r="AK3" s="224"/>
      <c r="AL3" s="223"/>
      <c r="AM3" s="223"/>
      <c r="AN3" s="224" t="s">
        <v>73</v>
      </c>
      <c r="AO3" s="224"/>
      <c r="AP3" s="224" t="s">
        <v>74</v>
      </c>
      <c r="AQ3" s="224"/>
      <c r="AR3" s="223"/>
      <c r="AS3" s="223"/>
      <c r="AT3" s="224"/>
      <c r="AU3" s="225"/>
    </row>
    <row r="4" spans="1:47" x14ac:dyDescent="0.2">
      <c r="A4" s="226" t="s">
        <v>17</v>
      </c>
      <c r="B4" s="227" t="s">
        <v>18</v>
      </c>
      <c r="C4" s="227" t="s">
        <v>301</v>
      </c>
      <c r="D4" s="228" t="s">
        <v>302</v>
      </c>
      <c r="E4" s="228" t="s">
        <v>303</v>
      </c>
      <c r="F4" s="228" t="s">
        <v>302</v>
      </c>
      <c r="G4" s="228" t="s">
        <v>303</v>
      </c>
      <c r="H4" s="229"/>
      <c r="I4" s="229"/>
      <c r="J4" s="228" t="s">
        <v>302</v>
      </c>
      <c r="K4" s="228" t="s">
        <v>303</v>
      </c>
      <c r="L4" s="228" t="s">
        <v>302</v>
      </c>
      <c r="M4" s="228" t="s">
        <v>303</v>
      </c>
      <c r="N4" s="229"/>
      <c r="O4" s="229"/>
      <c r="P4" s="228" t="s">
        <v>302</v>
      </c>
      <c r="Q4" s="228" t="s">
        <v>303</v>
      </c>
      <c r="R4" s="228" t="s">
        <v>302</v>
      </c>
      <c r="S4" s="228" t="s">
        <v>303</v>
      </c>
      <c r="T4" s="229"/>
      <c r="U4" s="229"/>
      <c r="V4" s="228" t="s">
        <v>302</v>
      </c>
      <c r="W4" s="228" t="s">
        <v>303</v>
      </c>
      <c r="X4" s="228" t="s">
        <v>302</v>
      </c>
      <c r="Y4" s="228" t="s">
        <v>303</v>
      </c>
      <c r="Z4" s="229"/>
      <c r="AA4" s="229"/>
      <c r="AB4" s="228" t="s">
        <v>302</v>
      </c>
      <c r="AC4" s="228" t="s">
        <v>303</v>
      </c>
      <c r="AD4" s="228" t="s">
        <v>302</v>
      </c>
      <c r="AE4" s="228" t="s">
        <v>303</v>
      </c>
      <c r="AF4" s="229"/>
      <c r="AG4" s="229"/>
      <c r="AH4" s="228" t="s">
        <v>302</v>
      </c>
      <c r="AI4" s="228" t="s">
        <v>303</v>
      </c>
      <c r="AJ4" s="228" t="s">
        <v>302</v>
      </c>
      <c r="AK4" s="228" t="s">
        <v>303</v>
      </c>
      <c r="AL4" s="229"/>
      <c r="AM4" s="229"/>
      <c r="AN4" s="228" t="s">
        <v>302</v>
      </c>
      <c r="AO4" s="228" t="s">
        <v>303</v>
      </c>
      <c r="AP4" s="228" t="s">
        <v>302</v>
      </c>
      <c r="AQ4" s="228" t="s">
        <v>303</v>
      </c>
      <c r="AR4" s="229"/>
      <c r="AS4" s="229"/>
      <c r="AT4" s="227"/>
      <c r="AU4" s="230"/>
    </row>
    <row r="5" spans="1:47" x14ac:dyDescent="0.2">
      <c r="A5" s="1" t="s">
        <v>53</v>
      </c>
      <c r="B5" s="2">
        <v>6170707</v>
      </c>
      <c r="C5" s="3" t="s">
        <v>304</v>
      </c>
      <c r="D5" s="4">
        <v>2</v>
      </c>
      <c r="E5" s="5">
        <v>4898000</v>
      </c>
      <c r="F5" s="4"/>
      <c r="G5" s="5"/>
      <c r="H5" s="231">
        <v>2</v>
      </c>
      <c r="I5" s="232">
        <v>4898000</v>
      </c>
      <c r="J5" s="4">
        <v>1</v>
      </c>
      <c r="K5" s="5">
        <v>2799000</v>
      </c>
      <c r="L5" s="4">
        <v>1</v>
      </c>
      <c r="M5" s="5">
        <v>9999000</v>
      </c>
      <c r="N5" s="231">
        <v>2</v>
      </c>
      <c r="O5" s="232">
        <v>12798000</v>
      </c>
      <c r="P5" s="4">
        <v>2</v>
      </c>
      <c r="Q5" s="5">
        <v>4398000</v>
      </c>
      <c r="R5" s="4">
        <v>2</v>
      </c>
      <c r="S5" s="5">
        <v>11798000</v>
      </c>
      <c r="T5" s="231">
        <v>4</v>
      </c>
      <c r="U5" s="232">
        <v>16196000</v>
      </c>
      <c r="V5" s="4">
        <v>4</v>
      </c>
      <c r="W5" s="5">
        <v>10296000</v>
      </c>
      <c r="X5" s="4"/>
      <c r="Y5" s="5"/>
      <c r="Z5" s="231">
        <v>4</v>
      </c>
      <c r="AA5" s="232">
        <v>10296000</v>
      </c>
      <c r="AB5" s="4">
        <v>5</v>
      </c>
      <c r="AC5" s="5">
        <v>11695000</v>
      </c>
      <c r="AD5" s="4">
        <v>1</v>
      </c>
      <c r="AE5" s="5">
        <v>5899000</v>
      </c>
      <c r="AF5" s="231">
        <v>6</v>
      </c>
      <c r="AG5" s="232">
        <v>17594000</v>
      </c>
      <c r="AH5" s="4">
        <v>2</v>
      </c>
      <c r="AI5" s="5">
        <v>4698000</v>
      </c>
      <c r="AJ5" s="4">
        <v>1</v>
      </c>
      <c r="AK5" s="5">
        <v>3899000</v>
      </c>
      <c r="AL5" s="231">
        <v>3</v>
      </c>
      <c r="AM5" s="232">
        <v>8597000</v>
      </c>
      <c r="AN5" s="4">
        <v>2</v>
      </c>
      <c r="AO5" s="5">
        <v>5198000</v>
      </c>
      <c r="AP5" s="4"/>
      <c r="AQ5" s="5"/>
      <c r="AR5" s="231">
        <v>2</v>
      </c>
      <c r="AS5" s="232">
        <v>5198000</v>
      </c>
      <c r="AT5" s="4">
        <v>23</v>
      </c>
      <c r="AU5" s="6">
        <v>75577000</v>
      </c>
    </row>
    <row r="6" spans="1:47" x14ac:dyDescent="0.2">
      <c r="A6" s="1"/>
      <c r="B6" s="2">
        <v>6240702</v>
      </c>
      <c r="C6" s="3" t="s">
        <v>305</v>
      </c>
      <c r="D6" s="4"/>
      <c r="E6" s="5"/>
      <c r="F6" s="4">
        <v>1</v>
      </c>
      <c r="G6" s="5">
        <v>7999000</v>
      </c>
      <c r="H6" s="231">
        <v>1</v>
      </c>
      <c r="I6" s="232">
        <v>7999000</v>
      </c>
      <c r="J6" s="4">
        <v>1</v>
      </c>
      <c r="K6" s="5">
        <v>2299000</v>
      </c>
      <c r="L6" s="4">
        <v>2</v>
      </c>
      <c r="M6" s="5">
        <v>15498000</v>
      </c>
      <c r="N6" s="231">
        <v>3</v>
      </c>
      <c r="O6" s="232">
        <v>17797000</v>
      </c>
      <c r="P6" s="4">
        <v>2</v>
      </c>
      <c r="Q6" s="5">
        <v>5598000</v>
      </c>
      <c r="R6" s="4">
        <v>1</v>
      </c>
      <c r="S6" s="5">
        <v>5899000</v>
      </c>
      <c r="T6" s="231">
        <v>3</v>
      </c>
      <c r="U6" s="232">
        <v>11497000</v>
      </c>
      <c r="V6" s="4">
        <v>3</v>
      </c>
      <c r="W6" s="5">
        <v>7597000</v>
      </c>
      <c r="X6" s="4"/>
      <c r="Y6" s="5"/>
      <c r="Z6" s="231">
        <v>3</v>
      </c>
      <c r="AA6" s="232">
        <v>7597000</v>
      </c>
      <c r="AB6" s="4">
        <v>5</v>
      </c>
      <c r="AC6" s="5">
        <v>12895000</v>
      </c>
      <c r="AD6" s="4">
        <v>5</v>
      </c>
      <c r="AE6" s="5">
        <v>30395000</v>
      </c>
      <c r="AF6" s="231">
        <v>10</v>
      </c>
      <c r="AG6" s="232">
        <v>43290000</v>
      </c>
      <c r="AH6" s="4">
        <v>1</v>
      </c>
      <c r="AI6" s="5">
        <v>2299000</v>
      </c>
      <c r="AJ6" s="4">
        <v>2</v>
      </c>
      <c r="AK6" s="5">
        <v>13898000</v>
      </c>
      <c r="AL6" s="231">
        <v>3</v>
      </c>
      <c r="AM6" s="232">
        <v>16197000</v>
      </c>
      <c r="AN6" s="4">
        <v>1</v>
      </c>
      <c r="AO6" s="5">
        <v>2399000</v>
      </c>
      <c r="AP6" s="4"/>
      <c r="AQ6" s="5"/>
      <c r="AR6" s="231">
        <v>1</v>
      </c>
      <c r="AS6" s="232">
        <v>2399000</v>
      </c>
      <c r="AT6" s="4">
        <v>24</v>
      </c>
      <c r="AU6" s="6">
        <v>106776000</v>
      </c>
    </row>
    <row r="7" spans="1:47" x14ac:dyDescent="0.2">
      <c r="A7" s="1"/>
      <c r="B7" s="2">
        <v>6240701</v>
      </c>
      <c r="C7" s="3" t="s">
        <v>306</v>
      </c>
      <c r="D7" s="4">
        <v>4</v>
      </c>
      <c r="E7" s="5">
        <v>10296000</v>
      </c>
      <c r="F7" s="4"/>
      <c r="G7" s="5"/>
      <c r="H7" s="231">
        <v>4</v>
      </c>
      <c r="I7" s="232">
        <v>10296000</v>
      </c>
      <c r="J7" s="4">
        <v>3</v>
      </c>
      <c r="K7" s="5">
        <v>7497000</v>
      </c>
      <c r="L7" s="4">
        <v>1</v>
      </c>
      <c r="M7" s="5">
        <v>5899000</v>
      </c>
      <c r="N7" s="231">
        <v>4</v>
      </c>
      <c r="O7" s="232">
        <v>13396000</v>
      </c>
      <c r="P7" s="4"/>
      <c r="Q7" s="5"/>
      <c r="R7" s="4">
        <v>1</v>
      </c>
      <c r="S7" s="5">
        <v>5899000</v>
      </c>
      <c r="T7" s="231">
        <v>1</v>
      </c>
      <c r="U7" s="232">
        <v>5899000</v>
      </c>
      <c r="V7" s="4">
        <v>4</v>
      </c>
      <c r="W7" s="5">
        <v>8396000</v>
      </c>
      <c r="X7" s="4"/>
      <c r="Y7" s="5"/>
      <c r="Z7" s="231">
        <v>4</v>
      </c>
      <c r="AA7" s="232">
        <v>8396000</v>
      </c>
      <c r="AB7" s="4">
        <v>1</v>
      </c>
      <c r="AC7" s="5">
        <v>2099000</v>
      </c>
      <c r="AD7" s="4">
        <v>3</v>
      </c>
      <c r="AE7" s="5">
        <v>17197000</v>
      </c>
      <c r="AF7" s="231">
        <v>4</v>
      </c>
      <c r="AG7" s="232">
        <v>19296000</v>
      </c>
      <c r="AH7" s="4"/>
      <c r="AI7" s="5"/>
      <c r="AJ7" s="4">
        <v>2</v>
      </c>
      <c r="AK7" s="5">
        <v>8198000</v>
      </c>
      <c r="AL7" s="231">
        <v>2</v>
      </c>
      <c r="AM7" s="232">
        <v>8198000</v>
      </c>
      <c r="AN7" s="4">
        <v>2</v>
      </c>
      <c r="AO7" s="5">
        <v>5598000</v>
      </c>
      <c r="AP7" s="4"/>
      <c r="AQ7" s="5"/>
      <c r="AR7" s="231">
        <v>2</v>
      </c>
      <c r="AS7" s="232">
        <v>5598000</v>
      </c>
      <c r="AT7" s="4">
        <v>21</v>
      </c>
      <c r="AU7" s="6">
        <v>71079000</v>
      </c>
    </row>
    <row r="8" spans="1:47" x14ac:dyDescent="0.2">
      <c r="A8" s="1"/>
      <c r="B8" s="2">
        <v>6240704</v>
      </c>
      <c r="C8" s="3" t="s">
        <v>307</v>
      </c>
      <c r="D8" s="4"/>
      <c r="E8" s="5"/>
      <c r="F8" s="4">
        <v>1</v>
      </c>
      <c r="G8" s="5">
        <v>3599000</v>
      </c>
      <c r="H8" s="231">
        <v>1</v>
      </c>
      <c r="I8" s="232">
        <v>3599000</v>
      </c>
      <c r="J8" s="4"/>
      <c r="K8" s="5"/>
      <c r="L8" s="4"/>
      <c r="M8" s="5"/>
      <c r="N8" s="231"/>
      <c r="O8" s="232"/>
      <c r="P8" s="4"/>
      <c r="Q8" s="5"/>
      <c r="R8" s="4"/>
      <c r="S8" s="5"/>
      <c r="T8" s="231"/>
      <c r="U8" s="232"/>
      <c r="V8" s="4"/>
      <c r="W8" s="5"/>
      <c r="X8" s="4"/>
      <c r="Y8" s="5"/>
      <c r="Z8" s="231"/>
      <c r="AA8" s="232"/>
      <c r="AB8" s="4"/>
      <c r="AC8" s="5"/>
      <c r="AD8" s="4">
        <v>1</v>
      </c>
      <c r="AE8" s="5">
        <v>6899000</v>
      </c>
      <c r="AF8" s="231">
        <v>1</v>
      </c>
      <c r="AG8" s="232">
        <v>6899000</v>
      </c>
      <c r="AH8" s="4"/>
      <c r="AI8" s="5"/>
      <c r="AJ8" s="4"/>
      <c r="AK8" s="5"/>
      <c r="AL8" s="231"/>
      <c r="AM8" s="232"/>
      <c r="AN8" s="4">
        <v>1</v>
      </c>
      <c r="AO8" s="5">
        <v>2599000</v>
      </c>
      <c r="AP8" s="4"/>
      <c r="AQ8" s="5"/>
      <c r="AR8" s="231">
        <v>1</v>
      </c>
      <c r="AS8" s="232">
        <v>2599000</v>
      </c>
      <c r="AT8" s="4">
        <v>3</v>
      </c>
      <c r="AU8" s="6">
        <v>13097000</v>
      </c>
    </row>
    <row r="9" spans="1:47" x14ac:dyDescent="0.2">
      <c r="A9" s="1"/>
      <c r="B9" s="2">
        <v>6240703</v>
      </c>
      <c r="C9" s="3" t="s">
        <v>308</v>
      </c>
      <c r="D9" s="4"/>
      <c r="E9" s="5"/>
      <c r="F9" s="4">
        <v>1</v>
      </c>
      <c r="G9" s="5">
        <v>4299000</v>
      </c>
      <c r="H9" s="231">
        <v>1</v>
      </c>
      <c r="I9" s="232">
        <v>4299000</v>
      </c>
      <c r="J9" s="4"/>
      <c r="K9" s="5"/>
      <c r="L9" s="4">
        <v>1</v>
      </c>
      <c r="M9" s="5">
        <v>5699000</v>
      </c>
      <c r="N9" s="231">
        <v>1</v>
      </c>
      <c r="O9" s="232">
        <v>5699000</v>
      </c>
      <c r="P9" s="4"/>
      <c r="Q9" s="5"/>
      <c r="R9" s="4">
        <v>1</v>
      </c>
      <c r="S9" s="5">
        <v>3599000</v>
      </c>
      <c r="T9" s="231">
        <v>1</v>
      </c>
      <c r="U9" s="232">
        <v>3599000</v>
      </c>
      <c r="V9" s="4"/>
      <c r="W9" s="5"/>
      <c r="X9" s="4"/>
      <c r="Y9" s="5"/>
      <c r="Z9" s="231"/>
      <c r="AA9" s="232"/>
      <c r="AB9" s="4">
        <v>3</v>
      </c>
      <c r="AC9" s="5">
        <v>6797000</v>
      </c>
      <c r="AD9" s="4">
        <v>3</v>
      </c>
      <c r="AE9" s="5">
        <v>19497000</v>
      </c>
      <c r="AF9" s="231">
        <v>6</v>
      </c>
      <c r="AG9" s="232">
        <v>26294000</v>
      </c>
      <c r="AH9" s="4">
        <v>1</v>
      </c>
      <c r="AI9" s="5">
        <v>2799000</v>
      </c>
      <c r="AJ9" s="4">
        <v>2</v>
      </c>
      <c r="AK9" s="5">
        <v>7198000</v>
      </c>
      <c r="AL9" s="231">
        <v>3</v>
      </c>
      <c r="AM9" s="232">
        <v>9997000</v>
      </c>
      <c r="AN9" s="4">
        <v>3</v>
      </c>
      <c r="AO9" s="5">
        <v>7797000</v>
      </c>
      <c r="AP9" s="4"/>
      <c r="AQ9" s="5"/>
      <c r="AR9" s="231">
        <v>3</v>
      </c>
      <c r="AS9" s="232">
        <v>7797000</v>
      </c>
      <c r="AT9" s="4">
        <v>15</v>
      </c>
      <c r="AU9" s="6">
        <v>57685000</v>
      </c>
    </row>
    <row r="10" spans="1:47" x14ac:dyDescent="0.2">
      <c r="A10" s="1"/>
      <c r="B10" s="2">
        <v>6240707</v>
      </c>
      <c r="C10" s="3" t="s">
        <v>309</v>
      </c>
      <c r="D10" s="4">
        <v>2</v>
      </c>
      <c r="E10" s="5">
        <v>5398000</v>
      </c>
      <c r="F10" s="4"/>
      <c r="G10" s="5"/>
      <c r="H10" s="231">
        <v>2</v>
      </c>
      <c r="I10" s="232">
        <v>5398000</v>
      </c>
      <c r="J10" s="4"/>
      <c r="K10" s="5"/>
      <c r="L10" s="4"/>
      <c r="M10" s="5"/>
      <c r="N10" s="231"/>
      <c r="O10" s="232"/>
      <c r="P10" s="4"/>
      <c r="Q10" s="5"/>
      <c r="R10" s="4"/>
      <c r="S10" s="5"/>
      <c r="T10" s="231"/>
      <c r="U10" s="232"/>
      <c r="V10" s="4"/>
      <c r="W10" s="5"/>
      <c r="X10" s="4"/>
      <c r="Y10" s="5"/>
      <c r="Z10" s="231"/>
      <c r="AA10" s="232"/>
      <c r="AB10" s="4">
        <v>1</v>
      </c>
      <c r="AC10" s="5">
        <v>2799000</v>
      </c>
      <c r="AD10" s="4">
        <v>1</v>
      </c>
      <c r="AE10" s="5">
        <v>5499000</v>
      </c>
      <c r="AF10" s="231">
        <v>2</v>
      </c>
      <c r="AG10" s="232">
        <v>8298000</v>
      </c>
      <c r="AH10" s="4">
        <v>2</v>
      </c>
      <c r="AI10" s="5">
        <v>4898000</v>
      </c>
      <c r="AJ10" s="4"/>
      <c r="AK10" s="5"/>
      <c r="AL10" s="231">
        <v>2</v>
      </c>
      <c r="AM10" s="232">
        <v>4898000</v>
      </c>
      <c r="AN10" s="4"/>
      <c r="AO10" s="5"/>
      <c r="AP10" s="4"/>
      <c r="AQ10" s="5"/>
      <c r="AR10" s="231"/>
      <c r="AS10" s="232"/>
      <c r="AT10" s="4">
        <v>6</v>
      </c>
      <c r="AU10" s="6">
        <v>18594000</v>
      </c>
    </row>
    <row r="11" spans="1:47" x14ac:dyDescent="0.2">
      <c r="A11" s="1"/>
      <c r="B11" s="2">
        <v>6240706</v>
      </c>
      <c r="C11" s="3" t="s">
        <v>310</v>
      </c>
      <c r="D11" s="4"/>
      <c r="E11" s="5"/>
      <c r="F11" s="4">
        <v>1</v>
      </c>
      <c r="G11" s="5">
        <v>6499000</v>
      </c>
      <c r="H11" s="231">
        <v>1</v>
      </c>
      <c r="I11" s="232">
        <v>6499000</v>
      </c>
      <c r="J11" s="4">
        <v>2</v>
      </c>
      <c r="K11" s="5">
        <v>4698000</v>
      </c>
      <c r="L11" s="4">
        <v>1</v>
      </c>
      <c r="M11" s="5">
        <v>7999000</v>
      </c>
      <c r="N11" s="231">
        <v>3</v>
      </c>
      <c r="O11" s="232">
        <v>12697000</v>
      </c>
      <c r="P11" s="4"/>
      <c r="Q11" s="5"/>
      <c r="R11" s="4"/>
      <c r="S11" s="5"/>
      <c r="T11" s="231"/>
      <c r="U11" s="232"/>
      <c r="V11" s="4"/>
      <c r="W11" s="5"/>
      <c r="X11" s="4"/>
      <c r="Y11" s="5"/>
      <c r="Z11" s="231"/>
      <c r="AA11" s="232"/>
      <c r="AB11" s="4"/>
      <c r="AC11" s="5"/>
      <c r="AD11" s="4"/>
      <c r="AE11" s="5"/>
      <c r="AF11" s="231"/>
      <c r="AG11" s="232"/>
      <c r="AH11" s="4">
        <v>2</v>
      </c>
      <c r="AI11" s="5">
        <v>4398000</v>
      </c>
      <c r="AJ11" s="4"/>
      <c r="AK11" s="5"/>
      <c r="AL11" s="231">
        <v>2</v>
      </c>
      <c r="AM11" s="232">
        <v>4398000</v>
      </c>
      <c r="AN11" s="4"/>
      <c r="AO11" s="5"/>
      <c r="AP11" s="4">
        <v>2</v>
      </c>
      <c r="AQ11" s="5">
        <v>14298000</v>
      </c>
      <c r="AR11" s="231">
        <v>2</v>
      </c>
      <c r="AS11" s="232">
        <v>14298000</v>
      </c>
      <c r="AT11" s="4">
        <v>8</v>
      </c>
      <c r="AU11" s="6">
        <v>37892000</v>
      </c>
    </row>
    <row r="12" spans="1:47" x14ac:dyDescent="0.2">
      <c r="A12" s="1"/>
      <c r="B12" s="2">
        <v>6240709</v>
      </c>
      <c r="C12" s="3" t="s">
        <v>282</v>
      </c>
      <c r="D12" s="4"/>
      <c r="E12" s="5"/>
      <c r="F12" s="4"/>
      <c r="G12" s="5"/>
      <c r="H12" s="231"/>
      <c r="I12" s="232"/>
      <c r="J12" s="4"/>
      <c r="K12" s="5"/>
      <c r="L12" s="4">
        <v>1</v>
      </c>
      <c r="M12" s="5">
        <v>3599000</v>
      </c>
      <c r="N12" s="231">
        <v>1</v>
      </c>
      <c r="O12" s="232">
        <v>3599000</v>
      </c>
      <c r="P12" s="4"/>
      <c r="Q12" s="5"/>
      <c r="R12" s="4"/>
      <c r="S12" s="5"/>
      <c r="T12" s="231"/>
      <c r="U12" s="232"/>
      <c r="V12" s="4"/>
      <c r="W12" s="5"/>
      <c r="X12" s="4"/>
      <c r="Y12" s="5"/>
      <c r="Z12" s="231"/>
      <c r="AA12" s="232"/>
      <c r="AB12" s="4"/>
      <c r="AC12" s="5"/>
      <c r="AD12" s="4"/>
      <c r="AE12" s="5"/>
      <c r="AF12" s="231"/>
      <c r="AG12" s="232"/>
      <c r="AH12" s="4">
        <v>1</v>
      </c>
      <c r="AI12" s="5">
        <v>2099000</v>
      </c>
      <c r="AJ12" s="4">
        <v>1</v>
      </c>
      <c r="AK12" s="5">
        <v>9999000</v>
      </c>
      <c r="AL12" s="231">
        <v>2</v>
      </c>
      <c r="AM12" s="232">
        <v>12098000</v>
      </c>
      <c r="AN12" s="4"/>
      <c r="AO12" s="5"/>
      <c r="AP12" s="4"/>
      <c r="AQ12" s="5"/>
      <c r="AR12" s="231"/>
      <c r="AS12" s="232"/>
      <c r="AT12" s="4">
        <v>3</v>
      </c>
      <c r="AU12" s="6">
        <v>15697000</v>
      </c>
    </row>
    <row r="13" spans="1:47" x14ac:dyDescent="0.2">
      <c r="A13" s="1"/>
      <c r="B13" s="2">
        <v>6240708</v>
      </c>
      <c r="C13" s="3" t="s">
        <v>279</v>
      </c>
      <c r="D13" s="4"/>
      <c r="E13" s="5"/>
      <c r="F13" s="4"/>
      <c r="G13" s="5"/>
      <c r="H13" s="231"/>
      <c r="I13" s="232"/>
      <c r="J13" s="4">
        <v>1</v>
      </c>
      <c r="K13" s="5">
        <v>2299000</v>
      </c>
      <c r="L13" s="4"/>
      <c r="M13" s="5"/>
      <c r="N13" s="231">
        <v>1</v>
      </c>
      <c r="O13" s="232">
        <v>2299000</v>
      </c>
      <c r="P13" s="4">
        <v>2</v>
      </c>
      <c r="Q13" s="5">
        <v>5098000</v>
      </c>
      <c r="R13" s="4"/>
      <c r="S13" s="5"/>
      <c r="T13" s="231">
        <v>2</v>
      </c>
      <c r="U13" s="232">
        <v>5098000</v>
      </c>
      <c r="V13" s="4"/>
      <c r="W13" s="5"/>
      <c r="X13" s="4"/>
      <c r="Y13" s="5"/>
      <c r="Z13" s="231"/>
      <c r="AA13" s="232"/>
      <c r="AB13" s="4"/>
      <c r="AC13" s="5"/>
      <c r="AD13" s="4"/>
      <c r="AE13" s="5"/>
      <c r="AF13" s="231"/>
      <c r="AG13" s="232"/>
      <c r="AH13" s="4">
        <v>1</v>
      </c>
      <c r="AI13" s="5">
        <v>2299000</v>
      </c>
      <c r="AJ13" s="4"/>
      <c r="AK13" s="5"/>
      <c r="AL13" s="231">
        <v>1</v>
      </c>
      <c r="AM13" s="232">
        <v>2299000</v>
      </c>
      <c r="AN13" s="4"/>
      <c r="AO13" s="5"/>
      <c r="AP13" s="4"/>
      <c r="AQ13" s="5"/>
      <c r="AR13" s="231"/>
      <c r="AS13" s="232"/>
      <c r="AT13" s="4">
        <v>4</v>
      </c>
      <c r="AU13" s="6">
        <v>9696000</v>
      </c>
    </row>
    <row r="14" spans="1:47" x14ac:dyDescent="0.2">
      <c r="A14" s="1"/>
      <c r="B14" s="2">
        <v>6240705</v>
      </c>
      <c r="C14" s="3" t="s">
        <v>311</v>
      </c>
      <c r="D14" s="4"/>
      <c r="E14" s="5"/>
      <c r="F14" s="4"/>
      <c r="G14" s="5"/>
      <c r="H14" s="231"/>
      <c r="I14" s="232"/>
      <c r="J14" s="4"/>
      <c r="K14" s="5"/>
      <c r="L14" s="4">
        <v>2</v>
      </c>
      <c r="M14" s="5">
        <v>7798000</v>
      </c>
      <c r="N14" s="231">
        <v>2</v>
      </c>
      <c r="O14" s="232">
        <v>7798000</v>
      </c>
      <c r="P14" s="4">
        <v>1</v>
      </c>
      <c r="Q14" s="5">
        <v>2799000</v>
      </c>
      <c r="R14" s="4"/>
      <c r="S14" s="5"/>
      <c r="T14" s="231">
        <v>1</v>
      </c>
      <c r="U14" s="232">
        <v>2799000</v>
      </c>
      <c r="V14" s="4">
        <v>1</v>
      </c>
      <c r="W14" s="5">
        <v>2099000</v>
      </c>
      <c r="X14" s="4"/>
      <c r="Y14" s="5"/>
      <c r="Z14" s="231">
        <v>1</v>
      </c>
      <c r="AA14" s="232">
        <v>2099000</v>
      </c>
      <c r="AB14" s="4">
        <v>1</v>
      </c>
      <c r="AC14" s="5">
        <v>2599000</v>
      </c>
      <c r="AD14" s="4">
        <v>1</v>
      </c>
      <c r="AE14" s="5">
        <v>9999000</v>
      </c>
      <c r="AF14" s="231">
        <v>2</v>
      </c>
      <c r="AG14" s="232">
        <v>12598000</v>
      </c>
      <c r="AH14" s="4"/>
      <c r="AI14" s="5"/>
      <c r="AJ14" s="4"/>
      <c r="AK14" s="5"/>
      <c r="AL14" s="231"/>
      <c r="AM14" s="232"/>
      <c r="AN14" s="4"/>
      <c r="AO14" s="5"/>
      <c r="AP14" s="4"/>
      <c r="AQ14" s="5"/>
      <c r="AR14" s="231"/>
      <c r="AS14" s="232"/>
      <c r="AT14" s="4">
        <v>6</v>
      </c>
      <c r="AU14" s="6">
        <v>25294000</v>
      </c>
    </row>
    <row r="15" spans="1:47" x14ac:dyDescent="0.2">
      <c r="A15" s="1"/>
      <c r="B15" s="2">
        <v>6170706</v>
      </c>
      <c r="C15" s="3" t="s">
        <v>312</v>
      </c>
      <c r="D15" s="4"/>
      <c r="E15" s="5"/>
      <c r="F15" s="4"/>
      <c r="G15" s="5"/>
      <c r="H15" s="231"/>
      <c r="I15" s="232"/>
      <c r="J15" s="4">
        <v>3</v>
      </c>
      <c r="K15" s="5">
        <v>7197000</v>
      </c>
      <c r="L15" s="4">
        <v>2</v>
      </c>
      <c r="M15" s="5">
        <v>11798000</v>
      </c>
      <c r="N15" s="231">
        <v>5</v>
      </c>
      <c r="O15" s="232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1">
        <v>2</v>
      </c>
      <c r="U15" s="232">
        <v>7098000</v>
      </c>
      <c r="V15" s="4"/>
      <c r="W15" s="5"/>
      <c r="X15" s="4"/>
      <c r="Y15" s="5"/>
      <c r="Z15" s="231"/>
      <c r="AA15" s="232"/>
      <c r="AB15" s="4">
        <v>2</v>
      </c>
      <c r="AC15" s="5">
        <v>5198000</v>
      </c>
      <c r="AD15" s="4">
        <v>1</v>
      </c>
      <c r="AE15" s="5">
        <v>4299000</v>
      </c>
      <c r="AF15" s="231">
        <v>3</v>
      </c>
      <c r="AG15" s="232">
        <v>9497000</v>
      </c>
      <c r="AH15" s="4">
        <v>2</v>
      </c>
      <c r="AI15" s="5">
        <v>5598000</v>
      </c>
      <c r="AJ15" s="4"/>
      <c r="AK15" s="5"/>
      <c r="AL15" s="231">
        <v>2</v>
      </c>
      <c r="AM15" s="232">
        <v>5598000</v>
      </c>
      <c r="AN15" s="4">
        <v>4</v>
      </c>
      <c r="AO15" s="5">
        <v>10696000</v>
      </c>
      <c r="AP15" s="4">
        <v>1</v>
      </c>
      <c r="AQ15" s="5">
        <v>3899000</v>
      </c>
      <c r="AR15" s="231">
        <v>5</v>
      </c>
      <c r="AS15" s="232">
        <v>14595000</v>
      </c>
      <c r="AT15" s="4">
        <v>17</v>
      </c>
      <c r="AU15" s="6">
        <v>55783000</v>
      </c>
    </row>
    <row r="16" spans="1:47" x14ac:dyDescent="0.2">
      <c r="A16" s="233"/>
      <c r="B16" s="2">
        <v>6170703</v>
      </c>
      <c r="C16" s="3" t="s">
        <v>345</v>
      </c>
      <c r="D16" s="4"/>
      <c r="E16" s="5"/>
      <c r="F16" s="4"/>
      <c r="G16" s="5"/>
      <c r="H16" s="231"/>
      <c r="I16" s="232"/>
      <c r="J16" s="4"/>
      <c r="K16" s="5"/>
      <c r="L16" s="4"/>
      <c r="M16" s="5"/>
      <c r="N16" s="231"/>
      <c r="O16" s="232"/>
      <c r="P16" s="4"/>
      <c r="Q16" s="5"/>
      <c r="R16" s="4"/>
      <c r="S16" s="5"/>
      <c r="T16" s="231"/>
      <c r="U16" s="232"/>
      <c r="V16" s="4"/>
      <c r="W16" s="5"/>
      <c r="X16" s="4">
        <v>1</v>
      </c>
      <c r="Y16" s="5">
        <v>25999000</v>
      </c>
      <c r="Z16" s="231">
        <v>1</v>
      </c>
      <c r="AA16" s="232">
        <v>25999000</v>
      </c>
      <c r="AB16" s="4"/>
      <c r="AC16" s="5"/>
      <c r="AD16" s="4"/>
      <c r="AE16" s="5"/>
      <c r="AF16" s="231"/>
      <c r="AG16" s="232"/>
      <c r="AH16" s="4"/>
      <c r="AI16" s="5"/>
      <c r="AJ16" s="4"/>
      <c r="AK16" s="5"/>
      <c r="AL16" s="231"/>
      <c r="AM16" s="232"/>
      <c r="AN16" s="4">
        <v>1</v>
      </c>
      <c r="AO16" s="5">
        <v>2099000</v>
      </c>
      <c r="AP16" s="4"/>
      <c r="AQ16" s="5"/>
      <c r="AR16" s="231">
        <v>1</v>
      </c>
      <c r="AS16" s="232">
        <v>2099000</v>
      </c>
      <c r="AT16" s="4">
        <v>2</v>
      </c>
      <c r="AU16" s="6">
        <v>28098000</v>
      </c>
    </row>
    <row r="17" spans="1:47" x14ac:dyDescent="0.2">
      <c r="A17" s="1" t="s">
        <v>49</v>
      </c>
      <c r="B17" s="2">
        <v>6220701</v>
      </c>
      <c r="C17" s="3" t="s">
        <v>313</v>
      </c>
      <c r="D17" s="4"/>
      <c r="E17" s="5"/>
      <c r="F17" s="4">
        <v>2</v>
      </c>
      <c r="G17" s="5">
        <v>8598000</v>
      </c>
      <c r="H17" s="231">
        <v>2</v>
      </c>
      <c r="I17" s="232">
        <v>8598000</v>
      </c>
      <c r="J17" s="4">
        <v>3</v>
      </c>
      <c r="K17" s="5">
        <v>7297000</v>
      </c>
      <c r="L17" s="4"/>
      <c r="M17" s="5"/>
      <c r="N17" s="231">
        <v>3</v>
      </c>
      <c r="O17" s="232">
        <v>7297000</v>
      </c>
      <c r="P17" s="4"/>
      <c r="Q17" s="5"/>
      <c r="R17" s="4">
        <v>1</v>
      </c>
      <c r="S17" s="5">
        <v>3599000</v>
      </c>
      <c r="T17" s="231">
        <v>1</v>
      </c>
      <c r="U17" s="232">
        <v>3599000</v>
      </c>
      <c r="V17" s="4"/>
      <c r="W17" s="5"/>
      <c r="X17" s="4">
        <v>1</v>
      </c>
      <c r="Y17" s="5">
        <v>4299000</v>
      </c>
      <c r="Z17" s="231">
        <v>1</v>
      </c>
      <c r="AA17" s="232">
        <v>4299000</v>
      </c>
      <c r="AB17" s="4"/>
      <c r="AC17" s="5"/>
      <c r="AD17" s="4">
        <v>4</v>
      </c>
      <c r="AE17" s="5">
        <v>19596000</v>
      </c>
      <c r="AF17" s="231">
        <v>4</v>
      </c>
      <c r="AG17" s="232">
        <v>19596000</v>
      </c>
      <c r="AH17" s="4">
        <v>1</v>
      </c>
      <c r="AI17" s="5">
        <v>2799000</v>
      </c>
      <c r="AJ17" s="4">
        <v>2</v>
      </c>
      <c r="AK17" s="5">
        <v>9098000</v>
      </c>
      <c r="AL17" s="231">
        <v>3</v>
      </c>
      <c r="AM17" s="232">
        <v>11897000</v>
      </c>
      <c r="AN17" s="4"/>
      <c r="AO17" s="5"/>
      <c r="AP17" s="4">
        <v>1</v>
      </c>
      <c r="AQ17" s="5">
        <v>5899000</v>
      </c>
      <c r="AR17" s="231">
        <v>1</v>
      </c>
      <c r="AS17" s="232">
        <v>5899000</v>
      </c>
      <c r="AT17" s="4">
        <v>15</v>
      </c>
      <c r="AU17" s="6">
        <v>61185000</v>
      </c>
    </row>
    <row r="18" spans="1:47" x14ac:dyDescent="0.2">
      <c r="A18" s="1"/>
      <c r="B18" s="2">
        <v>6050701</v>
      </c>
      <c r="C18" s="3" t="s">
        <v>314</v>
      </c>
      <c r="D18" s="4">
        <v>1</v>
      </c>
      <c r="E18" s="5">
        <v>2299000</v>
      </c>
      <c r="F18" s="4"/>
      <c r="G18" s="5"/>
      <c r="H18" s="231">
        <v>1</v>
      </c>
      <c r="I18" s="232">
        <v>2299000</v>
      </c>
      <c r="J18" s="4">
        <v>1</v>
      </c>
      <c r="K18" s="5">
        <v>2799000</v>
      </c>
      <c r="L18" s="4"/>
      <c r="M18" s="5"/>
      <c r="N18" s="231">
        <v>1</v>
      </c>
      <c r="O18" s="232">
        <v>2799000</v>
      </c>
      <c r="P18" s="4"/>
      <c r="Q18" s="5"/>
      <c r="R18" s="4">
        <v>3</v>
      </c>
      <c r="S18" s="5">
        <v>24297000</v>
      </c>
      <c r="T18" s="231">
        <v>3</v>
      </c>
      <c r="U18" s="232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1">
        <v>4</v>
      </c>
      <c r="AA18" s="232">
        <v>20196000</v>
      </c>
      <c r="AB18" s="4">
        <v>1</v>
      </c>
      <c r="AC18" s="5">
        <v>2599000</v>
      </c>
      <c r="AD18" s="4"/>
      <c r="AE18" s="5"/>
      <c r="AF18" s="231">
        <v>1</v>
      </c>
      <c r="AG18" s="232">
        <v>2599000</v>
      </c>
      <c r="AH18" s="4">
        <v>1</v>
      </c>
      <c r="AI18" s="5">
        <v>2299000</v>
      </c>
      <c r="AJ18" s="4">
        <v>2</v>
      </c>
      <c r="AK18" s="5">
        <v>12798000</v>
      </c>
      <c r="AL18" s="231">
        <v>3</v>
      </c>
      <c r="AM18" s="232">
        <v>15097000</v>
      </c>
      <c r="AN18" s="4">
        <v>1</v>
      </c>
      <c r="AO18" s="5">
        <v>2799000</v>
      </c>
      <c r="AP18" s="4">
        <v>2</v>
      </c>
      <c r="AQ18" s="5">
        <v>11598000</v>
      </c>
      <c r="AR18" s="231">
        <v>3</v>
      </c>
      <c r="AS18" s="232">
        <v>14397000</v>
      </c>
      <c r="AT18" s="4">
        <v>16</v>
      </c>
      <c r="AU18" s="6">
        <v>81684000</v>
      </c>
    </row>
    <row r="19" spans="1:47" x14ac:dyDescent="0.2">
      <c r="A19" s="1"/>
      <c r="B19" s="2">
        <v>6050705</v>
      </c>
      <c r="C19" s="3" t="s">
        <v>190</v>
      </c>
      <c r="D19" s="4"/>
      <c r="E19" s="5"/>
      <c r="F19" s="4">
        <v>1</v>
      </c>
      <c r="G19" s="5">
        <v>11999000</v>
      </c>
      <c r="H19" s="231">
        <v>1</v>
      </c>
      <c r="I19" s="232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1">
        <v>2</v>
      </c>
      <c r="O19" s="232">
        <v>8098000</v>
      </c>
      <c r="P19" s="4"/>
      <c r="Q19" s="5"/>
      <c r="R19" s="4"/>
      <c r="S19" s="5"/>
      <c r="T19" s="231"/>
      <c r="U19" s="232"/>
      <c r="V19" s="4">
        <v>1</v>
      </c>
      <c r="W19" s="5">
        <v>2799000</v>
      </c>
      <c r="X19" s="4"/>
      <c r="Y19" s="5"/>
      <c r="Z19" s="231">
        <v>1</v>
      </c>
      <c r="AA19" s="232">
        <v>2799000</v>
      </c>
      <c r="AB19" s="4">
        <v>1</v>
      </c>
      <c r="AC19" s="5">
        <v>2799000</v>
      </c>
      <c r="AD19" s="4">
        <v>2</v>
      </c>
      <c r="AE19" s="5">
        <v>12898000</v>
      </c>
      <c r="AF19" s="231">
        <v>3</v>
      </c>
      <c r="AG19" s="232">
        <v>15697000</v>
      </c>
      <c r="AH19" s="4">
        <v>1</v>
      </c>
      <c r="AI19" s="5">
        <v>2399000</v>
      </c>
      <c r="AJ19" s="4"/>
      <c r="AK19" s="5"/>
      <c r="AL19" s="231">
        <v>1</v>
      </c>
      <c r="AM19" s="232">
        <v>2399000</v>
      </c>
      <c r="AN19" s="4">
        <v>1</v>
      </c>
      <c r="AO19" s="5">
        <v>2399000</v>
      </c>
      <c r="AP19" s="4"/>
      <c r="AQ19" s="5"/>
      <c r="AR19" s="231">
        <v>1</v>
      </c>
      <c r="AS19" s="232">
        <v>2399000</v>
      </c>
      <c r="AT19" s="4">
        <v>9</v>
      </c>
      <c r="AU19" s="6">
        <v>43391000</v>
      </c>
    </row>
    <row r="20" spans="1:47" x14ac:dyDescent="0.2">
      <c r="A20" s="233"/>
      <c r="B20" s="2">
        <v>6050706</v>
      </c>
      <c r="C20" s="3" t="s">
        <v>193</v>
      </c>
      <c r="D20" s="4">
        <v>2</v>
      </c>
      <c r="E20" s="5">
        <v>4898000</v>
      </c>
      <c r="F20" s="4"/>
      <c r="G20" s="5"/>
      <c r="H20" s="231">
        <v>2</v>
      </c>
      <c r="I20" s="232">
        <v>4898000</v>
      </c>
      <c r="J20" s="4"/>
      <c r="K20" s="5"/>
      <c r="L20" s="4">
        <v>1</v>
      </c>
      <c r="M20" s="5">
        <v>6299000</v>
      </c>
      <c r="N20" s="231">
        <v>1</v>
      </c>
      <c r="O20" s="232">
        <v>6299000</v>
      </c>
      <c r="P20" s="4"/>
      <c r="Q20" s="5"/>
      <c r="R20" s="4">
        <v>1</v>
      </c>
      <c r="S20" s="5">
        <v>9999000</v>
      </c>
      <c r="T20" s="231">
        <v>1</v>
      </c>
      <c r="U20" s="232">
        <v>9999000</v>
      </c>
      <c r="V20" s="4"/>
      <c r="W20" s="5"/>
      <c r="X20" s="4"/>
      <c r="Y20" s="5"/>
      <c r="Z20" s="231"/>
      <c r="AA20" s="232"/>
      <c r="AB20" s="4"/>
      <c r="AC20" s="5"/>
      <c r="AD20" s="4">
        <v>1</v>
      </c>
      <c r="AE20" s="5">
        <v>7999000</v>
      </c>
      <c r="AF20" s="231">
        <v>1</v>
      </c>
      <c r="AG20" s="232">
        <v>7999000</v>
      </c>
      <c r="AH20" s="4">
        <v>1</v>
      </c>
      <c r="AI20" s="5">
        <v>2799000</v>
      </c>
      <c r="AJ20" s="4">
        <v>1</v>
      </c>
      <c r="AK20" s="5">
        <v>3599000</v>
      </c>
      <c r="AL20" s="231">
        <v>2</v>
      </c>
      <c r="AM20" s="232">
        <v>6398000</v>
      </c>
      <c r="AN20" s="4"/>
      <c r="AO20" s="5"/>
      <c r="AP20" s="4"/>
      <c r="AQ20" s="5"/>
      <c r="AR20" s="231"/>
      <c r="AS20" s="232"/>
      <c r="AT20" s="4">
        <v>7</v>
      </c>
      <c r="AU20" s="6">
        <v>35593000</v>
      </c>
    </row>
    <row r="21" spans="1:47" x14ac:dyDescent="0.2">
      <c r="A21" s="1" t="s">
        <v>58</v>
      </c>
      <c r="B21" s="2">
        <v>6190704</v>
      </c>
      <c r="C21" s="3" t="s">
        <v>315</v>
      </c>
      <c r="D21" s="4">
        <v>2</v>
      </c>
      <c r="E21" s="5">
        <v>5198000</v>
      </c>
      <c r="F21" s="4">
        <v>2</v>
      </c>
      <c r="G21" s="5">
        <v>9498000</v>
      </c>
      <c r="H21" s="231">
        <v>4</v>
      </c>
      <c r="I21" s="232">
        <v>14696000</v>
      </c>
      <c r="J21" s="4">
        <v>1</v>
      </c>
      <c r="K21" s="5">
        <v>2399000</v>
      </c>
      <c r="L21" s="4"/>
      <c r="M21" s="5"/>
      <c r="N21" s="231">
        <v>1</v>
      </c>
      <c r="O21" s="232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1">
        <v>5</v>
      </c>
      <c r="U21" s="232">
        <v>19795000</v>
      </c>
      <c r="V21" s="4"/>
      <c r="W21" s="5"/>
      <c r="X21" s="4">
        <v>1</v>
      </c>
      <c r="Y21" s="5">
        <v>9999000</v>
      </c>
      <c r="Z21" s="231">
        <v>1</v>
      </c>
      <c r="AA21" s="232">
        <v>9999000</v>
      </c>
      <c r="AB21" s="4">
        <v>3</v>
      </c>
      <c r="AC21" s="5">
        <v>7297000</v>
      </c>
      <c r="AD21" s="4">
        <v>1</v>
      </c>
      <c r="AE21" s="5">
        <v>5699000</v>
      </c>
      <c r="AF21" s="231">
        <v>4</v>
      </c>
      <c r="AG21" s="232">
        <v>12996000</v>
      </c>
      <c r="AH21" s="4">
        <v>2</v>
      </c>
      <c r="AI21" s="5">
        <v>4398000</v>
      </c>
      <c r="AJ21" s="4">
        <v>5</v>
      </c>
      <c r="AK21" s="5">
        <v>26995000</v>
      </c>
      <c r="AL21" s="231">
        <v>7</v>
      </c>
      <c r="AM21" s="232">
        <v>31393000</v>
      </c>
      <c r="AN21" s="4"/>
      <c r="AO21" s="5"/>
      <c r="AP21" s="4">
        <v>1</v>
      </c>
      <c r="AQ21" s="5">
        <v>4299000</v>
      </c>
      <c r="AR21" s="231">
        <v>1</v>
      </c>
      <c r="AS21" s="232">
        <v>4299000</v>
      </c>
      <c r="AT21" s="4">
        <v>23</v>
      </c>
      <c r="AU21" s="6">
        <v>95577000</v>
      </c>
    </row>
    <row r="22" spans="1:47" x14ac:dyDescent="0.2">
      <c r="A22" s="1"/>
      <c r="B22" s="2">
        <v>6190701</v>
      </c>
      <c r="C22" s="3" t="s">
        <v>316</v>
      </c>
      <c r="D22" s="4">
        <v>1</v>
      </c>
      <c r="E22" s="5">
        <v>2799000</v>
      </c>
      <c r="F22" s="4"/>
      <c r="G22" s="5"/>
      <c r="H22" s="231">
        <v>1</v>
      </c>
      <c r="I22" s="232">
        <v>2799000</v>
      </c>
      <c r="J22" s="4">
        <v>1</v>
      </c>
      <c r="K22" s="5">
        <v>2099000</v>
      </c>
      <c r="L22" s="4"/>
      <c r="M22" s="5"/>
      <c r="N22" s="231">
        <v>1</v>
      </c>
      <c r="O22" s="232">
        <v>2099000</v>
      </c>
      <c r="P22" s="4"/>
      <c r="Q22" s="5"/>
      <c r="R22" s="4"/>
      <c r="S22" s="5"/>
      <c r="T22" s="231"/>
      <c r="U22" s="232"/>
      <c r="V22" s="4">
        <v>1</v>
      </c>
      <c r="W22" s="5">
        <v>2399000</v>
      </c>
      <c r="X22" s="4"/>
      <c r="Y22" s="5"/>
      <c r="Z22" s="231">
        <v>1</v>
      </c>
      <c r="AA22" s="232">
        <v>2399000</v>
      </c>
      <c r="AB22" s="4">
        <v>2</v>
      </c>
      <c r="AC22" s="5">
        <v>5398000</v>
      </c>
      <c r="AD22" s="4"/>
      <c r="AE22" s="5"/>
      <c r="AF22" s="231">
        <v>2</v>
      </c>
      <c r="AG22" s="232">
        <v>5398000</v>
      </c>
      <c r="AH22" s="4">
        <v>2</v>
      </c>
      <c r="AI22" s="5">
        <v>5198000</v>
      </c>
      <c r="AJ22" s="4"/>
      <c r="AK22" s="5"/>
      <c r="AL22" s="231">
        <v>2</v>
      </c>
      <c r="AM22" s="232">
        <v>5198000</v>
      </c>
      <c r="AN22" s="4"/>
      <c r="AO22" s="5"/>
      <c r="AP22" s="4">
        <v>1</v>
      </c>
      <c r="AQ22" s="5">
        <v>9999000</v>
      </c>
      <c r="AR22" s="231">
        <v>1</v>
      </c>
      <c r="AS22" s="232">
        <v>9999000</v>
      </c>
      <c r="AT22" s="4">
        <v>8</v>
      </c>
      <c r="AU22" s="6">
        <v>27892000</v>
      </c>
    </row>
    <row r="23" spans="1:47" x14ac:dyDescent="0.2">
      <c r="A23" s="1"/>
      <c r="B23" s="2">
        <v>6190706</v>
      </c>
      <c r="C23" s="3" t="s">
        <v>317</v>
      </c>
      <c r="D23" s="4">
        <v>4</v>
      </c>
      <c r="E23" s="5">
        <v>10396000</v>
      </c>
      <c r="F23" s="4"/>
      <c r="G23" s="5"/>
      <c r="H23" s="231">
        <v>4</v>
      </c>
      <c r="I23" s="232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1">
        <v>3</v>
      </c>
      <c r="O23" s="232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1">
        <v>5</v>
      </c>
      <c r="U23" s="232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1">
        <v>5</v>
      </c>
      <c r="AA23" s="232">
        <v>17495000</v>
      </c>
      <c r="AB23" s="4">
        <v>3</v>
      </c>
      <c r="AC23" s="5">
        <v>7697000</v>
      </c>
      <c r="AD23" s="4">
        <v>1</v>
      </c>
      <c r="AE23" s="5">
        <v>5899000</v>
      </c>
      <c r="AF23" s="231">
        <v>4</v>
      </c>
      <c r="AG23" s="232">
        <v>13596000</v>
      </c>
      <c r="AH23" s="4">
        <v>5</v>
      </c>
      <c r="AI23" s="5">
        <v>12495000</v>
      </c>
      <c r="AJ23" s="4">
        <v>2</v>
      </c>
      <c r="AK23" s="5">
        <v>10398000</v>
      </c>
      <c r="AL23" s="231">
        <v>7</v>
      </c>
      <c r="AM23" s="232">
        <v>22893000</v>
      </c>
      <c r="AN23" s="4">
        <v>1</v>
      </c>
      <c r="AO23" s="5">
        <v>2299000</v>
      </c>
      <c r="AP23" s="4">
        <v>1</v>
      </c>
      <c r="AQ23" s="5">
        <v>4299000</v>
      </c>
      <c r="AR23" s="231">
        <v>2</v>
      </c>
      <c r="AS23" s="232">
        <v>6598000</v>
      </c>
      <c r="AT23" s="4">
        <v>30</v>
      </c>
      <c r="AU23" s="6">
        <v>101770000</v>
      </c>
    </row>
    <row r="24" spans="1:47" x14ac:dyDescent="0.2">
      <c r="A24" s="1"/>
      <c r="B24" s="2">
        <v>6190707</v>
      </c>
      <c r="C24" s="3" t="s">
        <v>318</v>
      </c>
      <c r="D24" s="4">
        <v>1</v>
      </c>
      <c r="E24" s="5">
        <v>2399000</v>
      </c>
      <c r="F24" s="4">
        <v>2</v>
      </c>
      <c r="G24" s="5">
        <v>9898000</v>
      </c>
      <c r="H24" s="231">
        <v>3</v>
      </c>
      <c r="I24" s="232">
        <v>12297000</v>
      </c>
      <c r="J24" s="4">
        <v>4</v>
      </c>
      <c r="K24" s="5">
        <v>11196000</v>
      </c>
      <c r="L24" s="4"/>
      <c r="M24" s="5"/>
      <c r="N24" s="231">
        <v>4</v>
      </c>
      <c r="O24" s="232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1">
        <v>5</v>
      </c>
      <c r="U24" s="232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1">
        <v>2</v>
      </c>
      <c r="AA24" s="232">
        <v>9498000</v>
      </c>
      <c r="AB24" s="4">
        <v>2</v>
      </c>
      <c r="AC24" s="5">
        <v>4398000</v>
      </c>
      <c r="AD24" s="4">
        <v>6</v>
      </c>
      <c r="AE24" s="5">
        <v>37594000</v>
      </c>
      <c r="AF24" s="231">
        <v>8</v>
      </c>
      <c r="AG24" s="232">
        <v>41992000</v>
      </c>
      <c r="AH24" s="4">
        <v>4</v>
      </c>
      <c r="AI24" s="5">
        <v>9396000</v>
      </c>
      <c r="AJ24" s="4">
        <v>5</v>
      </c>
      <c r="AK24" s="5">
        <v>27795000</v>
      </c>
      <c r="AL24" s="231">
        <v>9</v>
      </c>
      <c r="AM24" s="232">
        <v>37191000</v>
      </c>
      <c r="AN24" s="4">
        <v>4</v>
      </c>
      <c r="AO24" s="5">
        <v>9696000</v>
      </c>
      <c r="AP24" s="4">
        <v>2</v>
      </c>
      <c r="AQ24" s="5">
        <v>9798000</v>
      </c>
      <c r="AR24" s="231">
        <v>6</v>
      </c>
      <c r="AS24" s="232">
        <v>19494000</v>
      </c>
      <c r="AT24" s="4">
        <v>37</v>
      </c>
      <c r="AU24" s="6">
        <v>152463000</v>
      </c>
    </row>
    <row r="25" spans="1:47" x14ac:dyDescent="0.2">
      <c r="A25" s="1"/>
      <c r="B25" s="2">
        <v>6190708</v>
      </c>
      <c r="C25" s="3" t="s">
        <v>243</v>
      </c>
      <c r="D25" s="4">
        <v>1</v>
      </c>
      <c r="E25" s="5">
        <v>2299000</v>
      </c>
      <c r="F25" s="4">
        <v>1</v>
      </c>
      <c r="G25" s="5">
        <v>5899000</v>
      </c>
      <c r="H25" s="231">
        <v>2</v>
      </c>
      <c r="I25" s="232">
        <v>8198000</v>
      </c>
      <c r="J25" s="4"/>
      <c r="K25" s="5"/>
      <c r="L25" s="4">
        <v>1</v>
      </c>
      <c r="M25" s="5">
        <v>4299000</v>
      </c>
      <c r="N25" s="231">
        <v>1</v>
      </c>
      <c r="O25" s="232">
        <v>4299000</v>
      </c>
      <c r="P25" s="4"/>
      <c r="Q25" s="5"/>
      <c r="R25" s="4"/>
      <c r="S25" s="5"/>
      <c r="T25" s="231"/>
      <c r="U25" s="232"/>
      <c r="V25" s="4">
        <v>1</v>
      </c>
      <c r="W25" s="5">
        <v>2799000</v>
      </c>
      <c r="X25" s="4"/>
      <c r="Y25" s="5"/>
      <c r="Z25" s="231">
        <v>1</v>
      </c>
      <c r="AA25" s="232">
        <v>2799000</v>
      </c>
      <c r="AB25" s="4"/>
      <c r="AC25" s="5"/>
      <c r="AD25" s="4">
        <v>2</v>
      </c>
      <c r="AE25" s="5">
        <v>13598000</v>
      </c>
      <c r="AF25" s="231">
        <v>2</v>
      </c>
      <c r="AG25" s="232">
        <v>13598000</v>
      </c>
      <c r="AH25" s="4"/>
      <c r="AI25" s="5"/>
      <c r="AJ25" s="4">
        <v>3</v>
      </c>
      <c r="AK25" s="5">
        <v>12897000</v>
      </c>
      <c r="AL25" s="231">
        <v>3</v>
      </c>
      <c r="AM25" s="232">
        <v>12897000</v>
      </c>
      <c r="AN25" s="4"/>
      <c r="AO25" s="5"/>
      <c r="AP25" s="4">
        <v>1</v>
      </c>
      <c r="AQ25" s="5">
        <v>3599000</v>
      </c>
      <c r="AR25" s="231">
        <v>1</v>
      </c>
      <c r="AS25" s="232">
        <v>3599000</v>
      </c>
      <c r="AT25" s="4">
        <v>10</v>
      </c>
      <c r="AU25" s="6">
        <v>45390000</v>
      </c>
    </row>
    <row r="26" spans="1:47" x14ac:dyDescent="0.2">
      <c r="A26" s="233"/>
      <c r="B26" s="2">
        <v>6190705</v>
      </c>
      <c r="C26" s="3" t="s">
        <v>319</v>
      </c>
      <c r="D26" s="4"/>
      <c r="E26" s="5"/>
      <c r="F26" s="4"/>
      <c r="G26" s="5"/>
      <c r="H26" s="231"/>
      <c r="I26" s="232"/>
      <c r="J26" s="4">
        <v>2</v>
      </c>
      <c r="K26" s="5">
        <v>4598000</v>
      </c>
      <c r="L26" s="4">
        <v>1</v>
      </c>
      <c r="M26" s="5">
        <v>7999000</v>
      </c>
      <c r="N26" s="231">
        <v>3</v>
      </c>
      <c r="O26" s="232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1">
        <v>3</v>
      </c>
      <c r="U26" s="232">
        <v>8397000</v>
      </c>
      <c r="V26" s="4"/>
      <c r="W26" s="5"/>
      <c r="X26" s="4"/>
      <c r="Y26" s="5"/>
      <c r="Z26" s="231"/>
      <c r="AA26" s="232"/>
      <c r="AB26" s="4">
        <v>1</v>
      </c>
      <c r="AC26" s="5">
        <v>2099000</v>
      </c>
      <c r="AD26" s="4"/>
      <c r="AE26" s="5"/>
      <c r="AF26" s="231">
        <v>1</v>
      </c>
      <c r="AG26" s="232">
        <v>2099000</v>
      </c>
      <c r="AH26" s="4"/>
      <c r="AI26" s="5"/>
      <c r="AJ26" s="4">
        <v>2</v>
      </c>
      <c r="AK26" s="5">
        <v>12398000</v>
      </c>
      <c r="AL26" s="231">
        <v>2</v>
      </c>
      <c r="AM26" s="232">
        <v>12398000</v>
      </c>
      <c r="AN26" s="4">
        <v>1</v>
      </c>
      <c r="AO26" s="5">
        <v>2299000</v>
      </c>
      <c r="AP26" s="4"/>
      <c r="AQ26" s="5"/>
      <c r="AR26" s="231">
        <v>1</v>
      </c>
      <c r="AS26" s="232">
        <v>2299000</v>
      </c>
      <c r="AT26" s="4">
        <v>10</v>
      </c>
      <c r="AU26" s="6">
        <v>37790000</v>
      </c>
    </row>
    <row r="27" spans="1:47" x14ac:dyDescent="0.2">
      <c r="A27" s="1" t="s">
        <v>51</v>
      </c>
      <c r="B27" s="2">
        <v>6180706</v>
      </c>
      <c r="C27" s="3" t="s">
        <v>320</v>
      </c>
      <c r="D27" s="4">
        <v>1</v>
      </c>
      <c r="E27" s="5">
        <v>2599000</v>
      </c>
      <c r="F27" s="4"/>
      <c r="G27" s="5"/>
      <c r="H27" s="231">
        <v>1</v>
      </c>
      <c r="I27" s="232">
        <v>2599000</v>
      </c>
      <c r="J27" s="4">
        <v>1</v>
      </c>
      <c r="K27" s="5">
        <v>2299000</v>
      </c>
      <c r="L27" s="4">
        <v>2</v>
      </c>
      <c r="M27" s="5">
        <v>9198000</v>
      </c>
      <c r="N27" s="231">
        <v>3</v>
      </c>
      <c r="O27" s="232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1">
        <v>2</v>
      </c>
      <c r="U27" s="232">
        <v>6398000</v>
      </c>
      <c r="V27" s="4">
        <v>3</v>
      </c>
      <c r="W27" s="5">
        <v>7297000</v>
      </c>
      <c r="X27" s="4">
        <v>2</v>
      </c>
      <c r="Y27" s="5">
        <v>9798000</v>
      </c>
      <c r="Z27" s="231">
        <v>5</v>
      </c>
      <c r="AA27" s="232">
        <v>17095000</v>
      </c>
      <c r="AB27" s="4">
        <v>4</v>
      </c>
      <c r="AC27" s="5">
        <v>11196000</v>
      </c>
      <c r="AD27" s="4">
        <v>2</v>
      </c>
      <c r="AE27" s="5">
        <v>11998000</v>
      </c>
      <c r="AF27" s="231">
        <v>6</v>
      </c>
      <c r="AG27" s="232">
        <v>23194000</v>
      </c>
      <c r="AH27" s="4">
        <v>1</v>
      </c>
      <c r="AI27" s="5">
        <v>2299000</v>
      </c>
      <c r="AJ27" s="4">
        <v>1</v>
      </c>
      <c r="AK27" s="5">
        <v>5899000</v>
      </c>
      <c r="AL27" s="231">
        <v>2</v>
      </c>
      <c r="AM27" s="232">
        <v>8198000</v>
      </c>
      <c r="AN27" s="4">
        <v>4</v>
      </c>
      <c r="AO27" s="5">
        <v>9296000</v>
      </c>
      <c r="AP27" s="4"/>
      <c r="AQ27" s="5"/>
      <c r="AR27" s="231">
        <v>4</v>
      </c>
      <c r="AS27" s="232">
        <v>9296000</v>
      </c>
      <c r="AT27" s="4">
        <v>23</v>
      </c>
      <c r="AU27" s="6">
        <v>78277000</v>
      </c>
    </row>
    <row r="28" spans="1:47" x14ac:dyDescent="0.2">
      <c r="A28" s="233"/>
      <c r="B28" s="2">
        <v>6180707</v>
      </c>
      <c r="C28" s="3" t="s">
        <v>321</v>
      </c>
      <c r="D28" s="4"/>
      <c r="E28" s="5"/>
      <c r="F28" s="4">
        <v>1</v>
      </c>
      <c r="G28" s="5">
        <v>4299000</v>
      </c>
      <c r="H28" s="231">
        <v>1</v>
      </c>
      <c r="I28" s="232">
        <v>4299000</v>
      </c>
      <c r="J28" s="4"/>
      <c r="K28" s="5"/>
      <c r="L28" s="4"/>
      <c r="M28" s="5"/>
      <c r="N28" s="231"/>
      <c r="O28" s="232"/>
      <c r="P28" s="4"/>
      <c r="Q28" s="5"/>
      <c r="R28" s="4"/>
      <c r="S28" s="5"/>
      <c r="T28" s="231"/>
      <c r="U28" s="232"/>
      <c r="V28" s="4">
        <v>1</v>
      </c>
      <c r="W28" s="5">
        <v>2799000</v>
      </c>
      <c r="X28" s="4"/>
      <c r="Y28" s="5"/>
      <c r="Z28" s="231">
        <v>1</v>
      </c>
      <c r="AA28" s="232">
        <v>2799000</v>
      </c>
      <c r="AB28" s="4">
        <v>1</v>
      </c>
      <c r="AC28" s="5">
        <v>2299000</v>
      </c>
      <c r="AD28" s="4"/>
      <c r="AE28" s="5"/>
      <c r="AF28" s="231">
        <v>1</v>
      </c>
      <c r="AG28" s="232">
        <v>2299000</v>
      </c>
      <c r="AH28" s="4"/>
      <c r="AI28" s="5"/>
      <c r="AJ28" s="4"/>
      <c r="AK28" s="5"/>
      <c r="AL28" s="231"/>
      <c r="AM28" s="232"/>
      <c r="AN28" s="4"/>
      <c r="AO28" s="5"/>
      <c r="AP28" s="4"/>
      <c r="AQ28" s="5"/>
      <c r="AR28" s="231"/>
      <c r="AS28" s="232"/>
      <c r="AT28" s="4">
        <v>3</v>
      </c>
      <c r="AU28" s="6">
        <v>9397000</v>
      </c>
    </row>
    <row r="29" spans="1:47" x14ac:dyDescent="0.2">
      <c r="A29" s="1" t="s">
        <v>65</v>
      </c>
      <c r="B29" s="2">
        <v>6130702</v>
      </c>
      <c r="C29" s="3" t="s">
        <v>202</v>
      </c>
      <c r="D29" s="4">
        <v>1</v>
      </c>
      <c r="E29" s="5">
        <v>2099000</v>
      </c>
      <c r="F29" s="4"/>
      <c r="G29" s="5"/>
      <c r="H29" s="231">
        <v>1</v>
      </c>
      <c r="I29" s="232">
        <v>2099000</v>
      </c>
      <c r="J29" s="4"/>
      <c r="K29" s="5"/>
      <c r="L29" s="4"/>
      <c r="M29" s="5"/>
      <c r="N29" s="231"/>
      <c r="O29" s="232"/>
      <c r="P29" s="4"/>
      <c r="Q29" s="5"/>
      <c r="R29" s="4"/>
      <c r="S29" s="5"/>
      <c r="T29" s="231"/>
      <c r="U29" s="232"/>
      <c r="V29" s="4">
        <v>2</v>
      </c>
      <c r="W29" s="5">
        <v>4998000</v>
      </c>
      <c r="X29" s="4"/>
      <c r="Y29" s="5"/>
      <c r="Z29" s="231">
        <v>2</v>
      </c>
      <c r="AA29" s="232">
        <v>4998000</v>
      </c>
      <c r="AB29" s="4"/>
      <c r="AC29" s="5"/>
      <c r="AD29" s="4"/>
      <c r="AE29" s="5"/>
      <c r="AF29" s="231"/>
      <c r="AG29" s="232"/>
      <c r="AH29" s="4">
        <v>1</v>
      </c>
      <c r="AI29" s="5">
        <v>2599000</v>
      </c>
      <c r="AJ29" s="4">
        <v>1</v>
      </c>
      <c r="AK29" s="5">
        <v>5899000</v>
      </c>
      <c r="AL29" s="231">
        <v>2</v>
      </c>
      <c r="AM29" s="232">
        <v>8498000</v>
      </c>
      <c r="AN29" s="4"/>
      <c r="AO29" s="5"/>
      <c r="AP29" s="4">
        <v>2</v>
      </c>
      <c r="AQ29" s="5">
        <v>10198000</v>
      </c>
      <c r="AR29" s="231">
        <v>2</v>
      </c>
      <c r="AS29" s="232">
        <v>10198000</v>
      </c>
      <c r="AT29" s="4">
        <v>7</v>
      </c>
      <c r="AU29" s="6">
        <v>25793000</v>
      </c>
    </row>
    <row r="30" spans="1:47" x14ac:dyDescent="0.2">
      <c r="A30" s="1"/>
      <c r="B30" s="2">
        <v>6140705</v>
      </c>
      <c r="C30" s="3" t="s">
        <v>206</v>
      </c>
      <c r="D30" s="4"/>
      <c r="E30" s="5"/>
      <c r="F30" s="4">
        <v>1</v>
      </c>
      <c r="G30" s="5">
        <v>25999000</v>
      </c>
      <c r="H30" s="231">
        <v>1</v>
      </c>
      <c r="I30" s="232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1">
        <v>2</v>
      </c>
      <c r="O30" s="232">
        <v>7098000</v>
      </c>
      <c r="P30" s="4"/>
      <c r="Q30" s="5"/>
      <c r="R30" s="4">
        <v>1</v>
      </c>
      <c r="S30" s="5">
        <v>6999000</v>
      </c>
      <c r="T30" s="231">
        <v>1</v>
      </c>
      <c r="U30" s="232">
        <v>6999000</v>
      </c>
      <c r="V30" s="4"/>
      <c r="W30" s="5"/>
      <c r="X30" s="4">
        <v>1</v>
      </c>
      <c r="Y30" s="5">
        <v>8399000</v>
      </c>
      <c r="Z30" s="231">
        <v>1</v>
      </c>
      <c r="AA30" s="232">
        <v>8399000</v>
      </c>
      <c r="AB30" s="4"/>
      <c r="AC30" s="5"/>
      <c r="AD30" s="4">
        <v>4</v>
      </c>
      <c r="AE30" s="5">
        <v>47396000</v>
      </c>
      <c r="AF30" s="231">
        <v>4</v>
      </c>
      <c r="AG30" s="232">
        <v>47396000</v>
      </c>
      <c r="AH30" s="4">
        <v>1</v>
      </c>
      <c r="AI30" s="5">
        <v>2399000</v>
      </c>
      <c r="AJ30" s="4">
        <v>3</v>
      </c>
      <c r="AK30" s="5">
        <v>27297000</v>
      </c>
      <c r="AL30" s="231">
        <v>4</v>
      </c>
      <c r="AM30" s="232">
        <v>29696000</v>
      </c>
      <c r="AN30" s="4"/>
      <c r="AO30" s="5"/>
      <c r="AP30" s="4">
        <v>1</v>
      </c>
      <c r="AQ30" s="5">
        <v>7999000</v>
      </c>
      <c r="AR30" s="231">
        <v>1</v>
      </c>
      <c r="AS30" s="232">
        <v>7999000</v>
      </c>
      <c r="AT30" s="4">
        <v>14</v>
      </c>
      <c r="AU30" s="6">
        <v>133586000</v>
      </c>
    </row>
    <row r="31" spans="1:47" x14ac:dyDescent="0.2">
      <c r="A31" s="233"/>
      <c r="B31" s="2">
        <v>6140706</v>
      </c>
      <c r="C31" s="3" t="s">
        <v>212</v>
      </c>
      <c r="D31" s="4"/>
      <c r="E31" s="5"/>
      <c r="F31" s="4"/>
      <c r="G31" s="5"/>
      <c r="H31" s="231"/>
      <c r="I31" s="232"/>
      <c r="J31" s="4"/>
      <c r="K31" s="5"/>
      <c r="L31" s="4">
        <v>2</v>
      </c>
      <c r="M31" s="5">
        <v>13598000</v>
      </c>
      <c r="N31" s="231">
        <v>2</v>
      </c>
      <c r="O31" s="232">
        <v>13598000</v>
      </c>
      <c r="P31" s="4"/>
      <c r="Q31" s="5"/>
      <c r="R31" s="4"/>
      <c r="S31" s="5"/>
      <c r="T31" s="231"/>
      <c r="U31" s="232"/>
      <c r="V31" s="4"/>
      <c r="W31" s="5"/>
      <c r="X31" s="4">
        <v>1</v>
      </c>
      <c r="Y31" s="5">
        <v>3599000</v>
      </c>
      <c r="Z31" s="231">
        <v>1</v>
      </c>
      <c r="AA31" s="232">
        <v>3599000</v>
      </c>
      <c r="AB31" s="4"/>
      <c r="AC31" s="5"/>
      <c r="AD31" s="4">
        <v>1</v>
      </c>
      <c r="AE31" s="5">
        <v>9999000</v>
      </c>
      <c r="AF31" s="231">
        <v>1</v>
      </c>
      <c r="AG31" s="232">
        <v>9999000</v>
      </c>
      <c r="AH31" s="4"/>
      <c r="AI31" s="5"/>
      <c r="AJ31" s="4"/>
      <c r="AK31" s="5"/>
      <c r="AL31" s="231"/>
      <c r="AM31" s="232"/>
      <c r="AN31" s="4"/>
      <c r="AO31" s="5"/>
      <c r="AP31" s="4"/>
      <c r="AQ31" s="5"/>
      <c r="AR31" s="231"/>
      <c r="AS31" s="232"/>
      <c r="AT31" s="4">
        <v>4</v>
      </c>
      <c r="AU31" s="6">
        <v>27196000</v>
      </c>
    </row>
    <row r="32" spans="1:47" x14ac:dyDescent="0.2">
      <c r="A32" s="1" t="s">
        <v>47</v>
      </c>
      <c r="B32" s="2">
        <v>6040701</v>
      </c>
      <c r="C32" s="3" t="s">
        <v>322</v>
      </c>
      <c r="D32" s="4">
        <v>1</v>
      </c>
      <c r="E32" s="5">
        <v>2599000</v>
      </c>
      <c r="F32" s="4">
        <v>1</v>
      </c>
      <c r="G32" s="5">
        <v>3599000</v>
      </c>
      <c r="H32" s="231">
        <v>2</v>
      </c>
      <c r="I32" s="232">
        <v>6198000</v>
      </c>
      <c r="J32" s="4"/>
      <c r="K32" s="5"/>
      <c r="L32" s="4"/>
      <c r="M32" s="5"/>
      <c r="N32" s="231"/>
      <c r="O32" s="232"/>
      <c r="P32" s="4"/>
      <c r="Q32" s="5"/>
      <c r="R32" s="4"/>
      <c r="S32" s="5"/>
      <c r="T32" s="231"/>
      <c r="U32" s="232"/>
      <c r="V32" s="4">
        <v>2</v>
      </c>
      <c r="W32" s="5">
        <v>5598000</v>
      </c>
      <c r="X32" s="4"/>
      <c r="Y32" s="5"/>
      <c r="Z32" s="231">
        <v>2</v>
      </c>
      <c r="AA32" s="232">
        <v>5598000</v>
      </c>
      <c r="AB32" s="4"/>
      <c r="AC32" s="5"/>
      <c r="AD32" s="4">
        <v>1</v>
      </c>
      <c r="AE32" s="5">
        <v>9999000</v>
      </c>
      <c r="AF32" s="231">
        <v>1</v>
      </c>
      <c r="AG32" s="232">
        <v>9999000</v>
      </c>
      <c r="AH32" s="4">
        <v>2</v>
      </c>
      <c r="AI32" s="5">
        <v>4898000</v>
      </c>
      <c r="AJ32" s="4">
        <v>2</v>
      </c>
      <c r="AK32" s="5">
        <v>15998000</v>
      </c>
      <c r="AL32" s="231">
        <v>4</v>
      </c>
      <c r="AM32" s="232">
        <v>20896000</v>
      </c>
      <c r="AN32" s="4"/>
      <c r="AO32" s="5"/>
      <c r="AP32" s="4">
        <v>1</v>
      </c>
      <c r="AQ32" s="5">
        <v>9999000</v>
      </c>
      <c r="AR32" s="231">
        <v>1</v>
      </c>
      <c r="AS32" s="232">
        <v>9999000</v>
      </c>
      <c r="AT32" s="4">
        <v>10</v>
      </c>
      <c r="AU32" s="6">
        <v>52690000</v>
      </c>
    </row>
    <row r="33" spans="1:47" x14ac:dyDescent="0.2">
      <c r="A33" s="1"/>
      <c r="B33" s="2">
        <v>6040703</v>
      </c>
      <c r="C33" s="3" t="s">
        <v>182</v>
      </c>
      <c r="D33" s="4"/>
      <c r="E33" s="5"/>
      <c r="F33" s="4">
        <v>1</v>
      </c>
      <c r="G33" s="5">
        <v>5899000</v>
      </c>
      <c r="H33" s="231">
        <v>1</v>
      </c>
      <c r="I33" s="232">
        <v>5899000</v>
      </c>
      <c r="J33" s="4"/>
      <c r="K33" s="5"/>
      <c r="L33" s="4"/>
      <c r="M33" s="5"/>
      <c r="N33" s="231"/>
      <c r="O33" s="232"/>
      <c r="P33" s="4"/>
      <c r="Q33" s="5"/>
      <c r="R33" s="4"/>
      <c r="S33" s="5"/>
      <c r="T33" s="231"/>
      <c r="U33" s="232"/>
      <c r="V33" s="4">
        <v>1</v>
      </c>
      <c r="W33" s="5">
        <v>2399000</v>
      </c>
      <c r="X33" s="4"/>
      <c r="Y33" s="5"/>
      <c r="Z33" s="231">
        <v>1</v>
      </c>
      <c r="AA33" s="232">
        <v>2399000</v>
      </c>
      <c r="AB33" s="4"/>
      <c r="AC33" s="5"/>
      <c r="AD33" s="4">
        <v>1</v>
      </c>
      <c r="AE33" s="5">
        <v>5499000</v>
      </c>
      <c r="AF33" s="231">
        <v>1</v>
      </c>
      <c r="AG33" s="232">
        <v>5499000</v>
      </c>
      <c r="AH33" s="4">
        <v>2</v>
      </c>
      <c r="AI33" s="5">
        <v>4998000</v>
      </c>
      <c r="AJ33" s="4">
        <v>1</v>
      </c>
      <c r="AK33" s="5">
        <v>4899000</v>
      </c>
      <c r="AL33" s="231">
        <v>3</v>
      </c>
      <c r="AM33" s="232">
        <v>9897000</v>
      </c>
      <c r="AN33" s="4"/>
      <c r="AO33" s="5"/>
      <c r="AP33" s="4">
        <v>1</v>
      </c>
      <c r="AQ33" s="5">
        <v>4299000</v>
      </c>
      <c r="AR33" s="231">
        <v>1</v>
      </c>
      <c r="AS33" s="232">
        <v>4299000</v>
      </c>
      <c r="AT33" s="4">
        <v>7</v>
      </c>
      <c r="AU33" s="6">
        <v>27993000</v>
      </c>
    </row>
    <row r="34" spans="1:47" x14ac:dyDescent="0.2">
      <c r="A34" s="1"/>
      <c r="B34" s="2">
        <v>6080712</v>
      </c>
      <c r="C34" s="3" t="s">
        <v>323</v>
      </c>
      <c r="D34" s="4"/>
      <c r="E34" s="5"/>
      <c r="F34" s="4"/>
      <c r="G34" s="5"/>
      <c r="H34" s="231"/>
      <c r="I34" s="232"/>
      <c r="J34" s="4">
        <v>1</v>
      </c>
      <c r="K34" s="5">
        <v>2599000</v>
      </c>
      <c r="L34" s="4">
        <v>1</v>
      </c>
      <c r="M34" s="5">
        <v>3899000</v>
      </c>
      <c r="N34" s="231">
        <v>2</v>
      </c>
      <c r="O34" s="232">
        <v>6498000</v>
      </c>
      <c r="P34" s="4"/>
      <c r="Q34" s="5"/>
      <c r="R34" s="4"/>
      <c r="S34" s="5"/>
      <c r="T34" s="231"/>
      <c r="U34" s="232"/>
      <c r="V34" s="4">
        <v>2</v>
      </c>
      <c r="W34" s="5">
        <v>4898000</v>
      </c>
      <c r="X34" s="4"/>
      <c r="Y34" s="5"/>
      <c r="Z34" s="231">
        <v>2</v>
      </c>
      <c r="AA34" s="232">
        <v>4898000</v>
      </c>
      <c r="AB34" s="4"/>
      <c r="AC34" s="5"/>
      <c r="AD34" s="4">
        <v>5</v>
      </c>
      <c r="AE34" s="5">
        <v>28895000</v>
      </c>
      <c r="AF34" s="231">
        <v>5</v>
      </c>
      <c r="AG34" s="232">
        <v>28895000</v>
      </c>
      <c r="AH34" s="4"/>
      <c r="AI34" s="5"/>
      <c r="AJ34" s="4">
        <v>1</v>
      </c>
      <c r="AK34" s="5">
        <v>5499000</v>
      </c>
      <c r="AL34" s="231">
        <v>1</v>
      </c>
      <c r="AM34" s="232">
        <v>5499000</v>
      </c>
      <c r="AN34" s="4">
        <v>1</v>
      </c>
      <c r="AO34" s="5">
        <v>2599000</v>
      </c>
      <c r="AP34" s="4"/>
      <c r="AQ34" s="5"/>
      <c r="AR34" s="231">
        <v>1</v>
      </c>
      <c r="AS34" s="232">
        <v>2599000</v>
      </c>
      <c r="AT34" s="4">
        <v>11</v>
      </c>
      <c r="AU34" s="6">
        <v>48389000</v>
      </c>
    </row>
    <row r="35" spans="1:47" x14ac:dyDescent="0.2">
      <c r="A35" s="233"/>
      <c r="B35" s="2">
        <v>6040702</v>
      </c>
      <c r="C35" s="3" t="s">
        <v>180</v>
      </c>
      <c r="D35" s="4"/>
      <c r="E35" s="5"/>
      <c r="F35" s="4"/>
      <c r="G35" s="5"/>
      <c r="H35" s="231"/>
      <c r="I35" s="232"/>
      <c r="J35" s="4"/>
      <c r="K35" s="5"/>
      <c r="L35" s="4">
        <v>1</v>
      </c>
      <c r="M35" s="5">
        <v>3599000</v>
      </c>
      <c r="N35" s="231">
        <v>1</v>
      </c>
      <c r="O35" s="232">
        <v>3599000</v>
      </c>
      <c r="P35" s="4">
        <v>2</v>
      </c>
      <c r="Q35" s="5">
        <v>5198000</v>
      </c>
      <c r="R35" s="4"/>
      <c r="S35" s="5"/>
      <c r="T35" s="231">
        <v>2</v>
      </c>
      <c r="U35" s="232">
        <v>5198000</v>
      </c>
      <c r="V35" s="4">
        <v>1</v>
      </c>
      <c r="W35" s="5">
        <v>2799000</v>
      </c>
      <c r="X35" s="4"/>
      <c r="Y35" s="5"/>
      <c r="Z35" s="231">
        <v>1</v>
      </c>
      <c r="AA35" s="232">
        <v>2799000</v>
      </c>
      <c r="AB35" s="4"/>
      <c r="AC35" s="5"/>
      <c r="AD35" s="4">
        <v>1</v>
      </c>
      <c r="AE35" s="5">
        <v>3899000</v>
      </c>
      <c r="AF35" s="231">
        <v>1</v>
      </c>
      <c r="AG35" s="232">
        <v>3899000</v>
      </c>
      <c r="AH35" s="4">
        <v>1</v>
      </c>
      <c r="AI35" s="5">
        <v>2099000</v>
      </c>
      <c r="AJ35" s="4"/>
      <c r="AK35" s="5"/>
      <c r="AL35" s="231">
        <v>1</v>
      </c>
      <c r="AM35" s="232">
        <v>2099000</v>
      </c>
      <c r="AN35" s="4"/>
      <c r="AO35" s="5"/>
      <c r="AP35" s="4">
        <v>1</v>
      </c>
      <c r="AQ35" s="5">
        <v>5499000</v>
      </c>
      <c r="AR35" s="231">
        <v>1</v>
      </c>
      <c r="AS35" s="232">
        <v>5499000</v>
      </c>
      <c r="AT35" s="4">
        <v>7</v>
      </c>
      <c r="AU35" s="6">
        <v>23093000</v>
      </c>
    </row>
    <row r="36" spans="1:47" x14ac:dyDescent="0.2">
      <c r="A36" s="1" t="s">
        <v>40</v>
      </c>
      <c r="B36" s="2">
        <v>6020711</v>
      </c>
      <c r="C36" s="3" t="s">
        <v>324</v>
      </c>
      <c r="D36" s="4">
        <v>3</v>
      </c>
      <c r="E36" s="5">
        <v>7597000</v>
      </c>
      <c r="F36" s="4"/>
      <c r="G36" s="5"/>
      <c r="H36" s="231">
        <v>3</v>
      </c>
      <c r="I36" s="232">
        <v>7597000</v>
      </c>
      <c r="J36" s="4">
        <v>1</v>
      </c>
      <c r="K36" s="5">
        <v>2599000</v>
      </c>
      <c r="L36" s="4"/>
      <c r="M36" s="5"/>
      <c r="N36" s="231">
        <v>1</v>
      </c>
      <c r="O36" s="232">
        <v>2599000</v>
      </c>
      <c r="P36" s="4"/>
      <c r="Q36" s="5"/>
      <c r="R36" s="4">
        <v>2</v>
      </c>
      <c r="S36" s="5">
        <v>30898000</v>
      </c>
      <c r="T36" s="231">
        <v>2</v>
      </c>
      <c r="U36" s="232">
        <v>30898000</v>
      </c>
      <c r="V36" s="4">
        <v>2</v>
      </c>
      <c r="W36" s="5">
        <v>5598000</v>
      </c>
      <c r="X36" s="4">
        <v>3</v>
      </c>
      <c r="Y36" s="5">
        <v>14697000</v>
      </c>
      <c r="Z36" s="231">
        <v>5</v>
      </c>
      <c r="AA36" s="232">
        <v>20295000</v>
      </c>
      <c r="AB36" s="4">
        <v>1</v>
      </c>
      <c r="AC36" s="5">
        <v>2299000</v>
      </c>
      <c r="AD36" s="4">
        <v>2</v>
      </c>
      <c r="AE36" s="5">
        <v>11898000</v>
      </c>
      <c r="AF36" s="231">
        <v>3</v>
      </c>
      <c r="AG36" s="232">
        <v>14197000</v>
      </c>
      <c r="AH36" s="4">
        <v>2</v>
      </c>
      <c r="AI36" s="5">
        <v>4898000</v>
      </c>
      <c r="AJ36" s="4"/>
      <c r="AK36" s="5"/>
      <c r="AL36" s="231">
        <v>2</v>
      </c>
      <c r="AM36" s="232">
        <v>4898000</v>
      </c>
      <c r="AN36" s="4">
        <v>2</v>
      </c>
      <c r="AO36" s="5">
        <v>4998000</v>
      </c>
      <c r="AP36" s="4">
        <v>2</v>
      </c>
      <c r="AQ36" s="5">
        <v>15698000</v>
      </c>
      <c r="AR36" s="231">
        <v>4</v>
      </c>
      <c r="AS36" s="232">
        <v>20696000</v>
      </c>
      <c r="AT36" s="4">
        <v>20</v>
      </c>
      <c r="AU36" s="6">
        <v>101180000</v>
      </c>
    </row>
    <row r="37" spans="1:47" x14ac:dyDescent="0.2">
      <c r="A37" s="1"/>
      <c r="B37" s="2">
        <v>6020706</v>
      </c>
      <c r="C37" s="3" t="s">
        <v>325</v>
      </c>
      <c r="D37" s="4">
        <v>3</v>
      </c>
      <c r="E37" s="5">
        <v>6797000</v>
      </c>
      <c r="F37" s="4"/>
      <c r="G37" s="5"/>
      <c r="H37" s="231">
        <v>3</v>
      </c>
      <c r="I37" s="232">
        <v>6797000</v>
      </c>
      <c r="J37" s="4">
        <v>6</v>
      </c>
      <c r="K37" s="5">
        <v>14994000</v>
      </c>
      <c r="L37" s="4"/>
      <c r="M37" s="5"/>
      <c r="N37" s="231">
        <v>6</v>
      </c>
      <c r="O37" s="232">
        <v>14994000</v>
      </c>
      <c r="P37" s="4">
        <v>2</v>
      </c>
      <c r="Q37" s="5">
        <v>4798000</v>
      </c>
      <c r="R37" s="4">
        <v>2</v>
      </c>
      <c r="S37" s="5">
        <v>7898000</v>
      </c>
      <c r="T37" s="231">
        <v>4</v>
      </c>
      <c r="U37" s="232">
        <v>12696000</v>
      </c>
      <c r="V37" s="4">
        <v>2</v>
      </c>
      <c r="W37" s="5">
        <v>5098000</v>
      </c>
      <c r="X37" s="4"/>
      <c r="Y37" s="5"/>
      <c r="Z37" s="231">
        <v>2</v>
      </c>
      <c r="AA37" s="232">
        <v>5098000</v>
      </c>
      <c r="AB37" s="4">
        <v>3</v>
      </c>
      <c r="AC37" s="5">
        <v>7797000</v>
      </c>
      <c r="AD37" s="4">
        <v>3</v>
      </c>
      <c r="AE37" s="5">
        <v>20197000</v>
      </c>
      <c r="AF37" s="231">
        <v>6</v>
      </c>
      <c r="AG37" s="232">
        <v>27994000</v>
      </c>
      <c r="AH37" s="4">
        <v>4</v>
      </c>
      <c r="AI37" s="5">
        <v>10296000</v>
      </c>
      <c r="AJ37" s="4">
        <v>3</v>
      </c>
      <c r="AK37" s="5">
        <v>15397000</v>
      </c>
      <c r="AL37" s="231">
        <v>7</v>
      </c>
      <c r="AM37" s="232">
        <v>25693000</v>
      </c>
      <c r="AN37" s="4">
        <v>1</v>
      </c>
      <c r="AO37" s="5">
        <v>2799000</v>
      </c>
      <c r="AP37" s="4">
        <v>2</v>
      </c>
      <c r="AQ37" s="5">
        <v>15898000</v>
      </c>
      <c r="AR37" s="231">
        <v>3</v>
      </c>
      <c r="AS37" s="232">
        <v>18697000</v>
      </c>
      <c r="AT37" s="4">
        <v>31</v>
      </c>
      <c r="AU37" s="6">
        <v>111969000</v>
      </c>
    </row>
    <row r="38" spans="1:47" x14ac:dyDescent="0.2">
      <c r="A38" s="1"/>
      <c r="B38" s="2">
        <v>6020704</v>
      </c>
      <c r="C38" s="3" t="s">
        <v>326</v>
      </c>
      <c r="D38" s="4">
        <v>1</v>
      </c>
      <c r="E38" s="5">
        <v>2599000</v>
      </c>
      <c r="F38" s="4">
        <v>1</v>
      </c>
      <c r="G38" s="5">
        <v>7999000</v>
      </c>
      <c r="H38" s="231">
        <v>2</v>
      </c>
      <c r="I38" s="232">
        <v>10598000</v>
      </c>
      <c r="J38" s="4"/>
      <c r="K38" s="5"/>
      <c r="L38" s="4"/>
      <c r="M38" s="5"/>
      <c r="N38" s="231"/>
      <c r="O38" s="232"/>
      <c r="P38" s="4">
        <v>1</v>
      </c>
      <c r="Q38" s="5">
        <v>2399000</v>
      </c>
      <c r="R38" s="4"/>
      <c r="S38" s="5"/>
      <c r="T38" s="231">
        <v>1</v>
      </c>
      <c r="U38" s="232">
        <v>2399000</v>
      </c>
      <c r="V38" s="4">
        <v>2</v>
      </c>
      <c r="W38" s="5">
        <v>5198000</v>
      </c>
      <c r="X38" s="4">
        <v>1</v>
      </c>
      <c r="Y38" s="5">
        <v>4299000</v>
      </c>
      <c r="Z38" s="231">
        <v>3</v>
      </c>
      <c r="AA38" s="232">
        <v>9497000</v>
      </c>
      <c r="AB38" s="4">
        <v>2</v>
      </c>
      <c r="AC38" s="5">
        <v>4898000</v>
      </c>
      <c r="AD38" s="4"/>
      <c r="AE38" s="5"/>
      <c r="AF38" s="231">
        <v>2</v>
      </c>
      <c r="AG38" s="232">
        <v>4898000</v>
      </c>
      <c r="AH38" s="4">
        <v>1</v>
      </c>
      <c r="AI38" s="5">
        <v>2799000</v>
      </c>
      <c r="AJ38" s="4">
        <v>1</v>
      </c>
      <c r="AK38" s="5">
        <v>3599000</v>
      </c>
      <c r="AL38" s="231">
        <v>2</v>
      </c>
      <c r="AM38" s="232">
        <v>6398000</v>
      </c>
      <c r="AN38" s="4">
        <v>1</v>
      </c>
      <c r="AO38" s="5">
        <v>2599000</v>
      </c>
      <c r="AP38" s="4"/>
      <c r="AQ38" s="5"/>
      <c r="AR38" s="231">
        <v>1</v>
      </c>
      <c r="AS38" s="232">
        <v>2599000</v>
      </c>
      <c r="AT38" s="4">
        <v>11</v>
      </c>
      <c r="AU38" s="6">
        <v>36389000</v>
      </c>
    </row>
    <row r="39" spans="1:47" x14ac:dyDescent="0.2">
      <c r="A39" s="1"/>
      <c r="B39" s="2">
        <v>6010708</v>
      </c>
      <c r="C39" s="3" t="s">
        <v>327</v>
      </c>
      <c r="D39" s="4">
        <v>1</v>
      </c>
      <c r="E39" s="5">
        <v>2399000</v>
      </c>
      <c r="F39" s="4"/>
      <c r="G39" s="5"/>
      <c r="H39" s="231">
        <v>1</v>
      </c>
      <c r="I39" s="232">
        <v>2399000</v>
      </c>
      <c r="J39" s="4">
        <v>2</v>
      </c>
      <c r="K39" s="5">
        <v>4498000</v>
      </c>
      <c r="L39" s="4">
        <v>2</v>
      </c>
      <c r="M39" s="5">
        <v>7198000</v>
      </c>
      <c r="N39" s="231">
        <v>4</v>
      </c>
      <c r="O39" s="232">
        <v>11696000</v>
      </c>
      <c r="P39" s="4">
        <v>1</v>
      </c>
      <c r="Q39" s="5">
        <v>2399000</v>
      </c>
      <c r="R39" s="4">
        <v>1</v>
      </c>
      <c r="S39" s="5">
        <v>5899000</v>
      </c>
      <c r="T39" s="231">
        <v>2</v>
      </c>
      <c r="U39" s="232">
        <v>8298000</v>
      </c>
      <c r="V39" s="4">
        <v>1</v>
      </c>
      <c r="W39" s="5">
        <v>2799000</v>
      </c>
      <c r="X39" s="4">
        <v>4</v>
      </c>
      <c r="Y39" s="5">
        <v>46996000</v>
      </c>
      <c r="Z39" s="231">
        <v>5</v>
      </c>
      <c r="AA39" s="232">
        <v>49795000</v>
      </c>
      <c r="AB39" s="4">
        <v>4</v>
      </c>
      <c r="AC39" s="5">
        <v>9696000</v>
      </c>
      <c r="AD39" s="4">
        <v>2</v>
      </c>
      <c r="AE39" s="5">
        <v>26998000</v>
      </c>
      <c r="AF39" s="231">
        <v>6</v>
      </c>
      <c r="AG39" s="232">
        <v>36694000</v>
      </c>
      <c r="AH39" s="4">
        <v>2</v>
      </c>
      <c r="AI39" s="5">
        <v>4698000</v>
      </c>
      <c r="AJ39" s="4">
        <v>1</v>
      </c>
      <c r="AK39" s="5">
        <v>25999000</v>
      </c>
      <c r="AL39" s="231">
        <v>3</v>
      </c>
      <c r="AM39" s="232">
        <v>30697000</v>
      </c>
      <c r="AN39" s="4"/>
      <c r="AO39" s="5"/>
      <c r="AP39" s="4">
        <v>3</v>
      </c>
      <c r="AQ39" s="5">
        <v>23797000</v>
      </c>
      <c r="AR39" s="231">
        <v>3</v>
      </c>
      <c r="AS39" s="232">
        <v>23797000</v>
      </c>
      <c r="AT39" s="4">
        <v>24</v>
      </c>
      <c r="AU39" s="6">
        <v>163376000</v>
      </c>
    </row>
    <row r="40" spans="1:47" x14ac:dyDescent="0.2">
      <c r="A40" s="1"/>
      <c r="B40" s="2">
        <v>6010703</v>
      </c>
      <c r="C40" s="3" t="s">
        <v>328</v>
      </c>
      <c r="D40" s="4">
        <v>1</v>
      </c>
      <c r="E40" s="5">
        <v>2399000</v>
      </c>
      <c r="F40" s="4">
        <v>1</v>
      </c>
      <c r="G40" s="5">
        <v>3899000</v>
      </c>
      <c r="H40" s="231">
        <v>2</v>
      </c>
      <c r="I40" s="232">
        <v>6298000</v>
      </c>
      <c r="J40" s="4"/>
      <c r="K40" s="5"/>
      <c r="L40" s="4"/>
      <c r="M40" s="5"/>
      <c r="N40" s="231"/>
      <c r="O40" s="232"/>
      <c r="P40" s="4">
        <v>3</v>
      </c>
      <c r="Q40" s="5">
        <v>7297000</v>
      </c>
      <c r="R40" s="4"/>
      <c r="S40" s="5"/>
      <c r="T40" s="231">
        <v>3</v>
      </c>
      <c r="U40" s="232">
        <v>7297000</v>
      </c>
      <c r="V40" s="4">
        <v>4</v>
      </c>
      <c r="W40" s="5">
        <v>9796000</v>
      </c>
      <c r="X40" s="4">
        <v>2</v>
      </c>
      <c r="Y40" s="5">
        <v>9098000</v>
      </c>
      <c r="Z40" s="231">
        <v>6</v>
      </c>
      <c r="AA40" s="232">
        <v>18894000</v>
      </c>
      <c r="AB40" s="4">
        <v>5</v>
      </c>
      <c r="AC40" s="5">
        <v>12295000</v>
      </c>
      <c r="AD40" s="4"/>
      <c r="AE40" s="5"/>
      <c r="AF40" s="231">
        <v>5</v>
      </c>
      <c r="AG40" s="232">
        <v>12295000</v>
      </c>
      <c r="AH40" s="4">
        <v>6</v>
      </c>
      <c r="AI40" s="5">
        <v>12794000</v>
      </c>
      <c r="AJ40" s="4"/>
      <c r="AK40" s="5"/>
      <c r="AL40" s="231">
        <v>6</v>
      </c>
      <c r="AM40" s="232">
        <v>12794000</v>
      </c>
      <c r="AN40" s="4">
        <v>4</v>
      </c>
      <c r="AO40" s="5">
        <v>9196000</v>
      </c>
      <c r="AP40" s="4"/>
      <c r="AQ40" s="5"/>
      <c r="AR40" s="231">
        <v>4</v>
      </c>
      <c r="AS40" s="232">
        <v>9196000</v>
      </c>
      <c r="AT40" s="4">
        <v>26</v>
      </c>
      <c r="AU40" s="6">
        <v>66774000</v>
      </c>
    </row>
    <row r="41" spans="1:47" x14ac:dyDescent="0.2">
      <c r="A41" s="1"/>
      <c r="B41" s="2">
        <v>6010702</v>
      </c>
      <c r="C41" s="3" t="s">
        <v>329</v>
      </c>
      <c r="D41" s="4">
        <v>5</v>
      </c>
      <c r="E41" s="5">
        <v>12595000</v>
      </c>
      <c r="F41" s="4">
        <v>1</v>
      </c>
      <c r="G41" s="5">
        <v>6899000</v>
      </c>
      <c r="H41" s="231">
        <v>6</v>
      </c>
      <c r="I41" s="232">
        <v>19494000</v>
      </c>
      <c r="J41" s="4">
        <v>6</v>
      </c>
      <c r="K41" s="5">
        <v>13994000</v>
      </c>
      <c r="L41" s="4">
        <v>2</v>
      </c>
      <c r="M41" s="5">
        <v>7898000</v>
      </c>
      <c r="N41" s="231">
        <v>8</v>
      </c>
      <c r="O41" s="232">
        <v>21892000</v>
      </c>
      <c r="P41" s="4">
        <v>8</v>
      </c>
      <c r="Q41" s="5">
        <v>19592000</v>
      </c>
      <c r="R41" s="4"/>
      <c r="S41" s="5"/>
      <c r="T41" s="231">
        <v>8</v>
      </c>
      <c r="U41" s="232">
        <v>19592000</v>
      </c>
      <c r="V41" s="4">
        <v>3</v>
      </c>
      <c r="W41" s="5">
        <v>6597000</v>
      </c>
      <c r="X41" s="4">
        <v>1</v>
      </c>
      <c r="Y41" s="5">
        <v>4899000</v>
      </c>
      <c r="Z41" s="231">
        <v>4</v>
      </c>
      <c r="AA41" s="232">
        <v>11496000</v>
      </c>
      <c r="AB41" s="4">
        <v>16</v>
      </c>
      <c r="AC41" s="5">
        <v>38584000</v>
      </c>
      <c r="AD41" s="4">
        <v>6</v>
      </c>
      <c r="AE41" s="5">
        <v>49994000</v>
      </c>
      <c r="AF41" s="231">
        <v>22</v>
      </c>
      <c r="AG41" s="232">
        <v>88578000</v>
      </c>
      <c r="AH41" s="4">
        <v>8</v>
      </c>
      <c r="AI41" s="5">
        <v>20192000</v>
      </c>
      <c r="AJ41" s="4">
        <v>2</v>
      </c>
      <c r="AK41" s="5">
        <v>13898000</v>
      </c>
      <c r="AL41" s="231">
        <v>10</v>
      </c>
      <c r="AM41" s="232">
        <v>34090000</v>
      </c>
      <c r="AN41" s="4">
        <v>3</v>
      </c>
      <c r="AO41" s="5">
        <v>7297000</v>
      </c>
      <c r="AP41" s="4">
        <v>2</v>
      </c>
      <c r="AQ41" s="5">
        <v>17998000</v>
      </c>
      <c r="AR41" s="231">
        <v>5</v>
      </c>
      <c r="AS41" s="232">
        <v>25295000</v>
      </c>
      <c r="AT41" s="4">
        <v>63</v>
      </c>
      <c r="AU41" s="6">
        <v>220437000</v>
      </c>
    </row>
    <row r="42" spans="1:47" x14ac:dyDescent="0.2">
      <c r="A42" s="1"/>
      <c r="B42" s="2">
        <v>6010701</v>
      </c>
      <c r="C42" s="3" t="s">
        <v>330</v>
      </c>
      <c r="D42" s="4">
        <v>2</v>
      </c>
      <c r="E42" s="5">
        <v>5098000</v>
      </c>
      <c r="F42" s="4">
        <v>1</v>
      </c>
      <c r="G42" s="5">
        <v>4299000</v>
      </c>
      <c r="H42" s="231">
        <v>3</v>
      </c>
      <c r="I42" s="232">
        <v>9397000</v>
      </c>
      <c r="J42" s="4">
        <v>3</v>
      </c>
      <c r="K42" s="5">
        <v>7297000</v>
      </c>
      <c r="L42" s="4">
        <v>2</v>
      </c>
      <c r="M42" s="5">
        <v>14298000</v>
      </c>
      <c r="N42" s="231">
        <v>5</v>
      </c>
      <c r="O42" s="232">
        <v>21595000</v>
      </c>
      <c r="P42" s="4">
        <v>7</v>
      </c>
      <c r="Q42" s="5">
        <v>18693000</v>
      </c>
      <c r="R42" s="4">
        <v>2</v>
      </c>
      <c r="S42" s="5">
        <v>15498000</v>
      </c>
      <c r="T42" s="231">
        <v>9</v>
      </c>
      <c r="U42" s="232">
        <v>34191000</v>
      </c>
      <c r="V42" s="4">
        <v>5</v>
      </c>
      <c r="W42" s="5">
        <v>11995000</v>
      </c>
      <c r="X42" s="4"/>
      <c r="Y42" s="5"/>
      <c r="Z42" s="231">
        <v>5</v>
      </c>
      <c r="AA42" s="232">
        <v>11995000</v>
      </c>
      <c r="AB42" s="4">
        <v>12</v>
      </c>
      <c r="AC42" s="5">
        <v>29388000</v>
      </c>
      <c r="AD42" s="4">
        <v>6</v>
      </c>
      <c r="AE42" s="5">
        <v>26594000</v>
      </c>
      <c r="AF42" s="231">
        <v>18</v>
      </c>
      <c r="AG42" s="232">
        <v>55982000</v>
      </c>
      <c r="AH42" s="4">
        <v>3</v>
      </c>
      <c r="AI42" s="5">
        <v>6597000</v>
      </c>
      <c r="AJ42" s="4">
        <v>4</v>
      </c>
      <c r="AK42" s="5">
        <v>21396000</v>
      </c>
      <c r="AL42" s="231">
        <v>7</v>
      </c>
      <c r="AM42" s="232">
        <v>27993000</v>
      </c>
      <c r="AN42" s="4">
        <v>6</v>
      </c>
      <c r="AO42" s="5">
        <v>14394000</v>
      </c>
      <c r="AP42" s="4">
        <v>2</v>
      </c>
      <c r="AQ42" s="5">
        <v>13598000</v>
      </c>
      <c r="AR42" s="231">
        <v>8</v>
      </c>
      <c r="AS42" s="232">
        <v>27992000</v>
      </c>
      <c r="AT42" s="4">
        <v>55</v>
      </c>
      <c r="AU42" s="6">
        <v>189145000</v>
      </c>
    </row>
    <row r="43" spans="1:47" x14ac:dyDescent="0.2">
      <c r="A43" s="1"/>
      <c r="B43" s="2">
        <v>6010710</v>
      </c>
      <c r="C43" s="3" t="s">
        <v>331</v>
      </c>
      <c r="D43" s="4"/>
      <c r="E43" s="5"/>
      <c r="F43" s="4">
        <v>1</v>
      </c>
      <c r="G43" s="5">
        <v>5499000</v>
      </c>
      <c r="H43" s="231">
        <v>1</v>
      </c>
      <c r="I43" s="232">
        <v>5499000</v>
      </c>
      <c r="J43" s="4">
        <v>9</v>
      </c>
      <c r="K43" s="5">
        <v>21591000</v>
      </c>
      <c r="L43" s="4"/>
      <c r="M43" s="5"/>
      <c r="N43" s="231">
        <v>9</v>
      </c>
      <c r="O43" s="232">
        <v>21591000</v>
      </c>
      <c r="P43" s="4">
        <v>5</v>
      </c>
      <c r="Q43" s="5">
        <v>11295000</v>
      </c>
      <c r="R43" s="4">
        <v>2</v>
      </c>
      <c r="S43" s="5">
        <v>9598000</v>
      </c>
      <c r="T43" s="231">
        <v>7</v>
      </c>
      <c r="U43" s="232">
        <v>20893000</v>
      </c>
      <c r="V43" s="4">
        <v>4</v>
      </c>
      <c r="W43" s="5">
        <v>8596000</v>
      </c>
      <c r="X43" s="4">
        <v>2</v>
      </c>
      <c r="Y43" s="5">
        <v>14298000</v>
      </c>
      <c r="Z43" s="231">
        <v>6</v>
      </c>
      <c r="AA43" s="232">
        <v>22894000</v>
      </c>
      <c r="AB43" s="4">
        <v>4</v>
      </c>
      <c r="AC43" s="5">
        <v>9796000</v>
      </c>
      <c r="AD43" s="4">
        <v>1</v>
      </c>
      <c r="AE43" s="5">
        <v>5899000</v>
      </c>
      <c r="AF43" s="231">
        <v>5</v>
      </c>
      <c r="AG43" s="232">
        <v>15695000</v>
      </c>
      <c r="AH43" s="4">
        <v>2</v>
      </c>
      <c r="AI43" s="5">
        <v>4998000</v>
      </c>
      <c r="AJ43" s="4">
        <v>1</v>
      </c>
      <c r="AK43" s="5">
        <v>3899000</v>
      </c>
      <c r="AL43" s="231">
        <v>3</v>
      </c>
      <c r="AM43" s="232">
        <v>8897000</v>
      </c>
      <c r="AN43" s="4">
        <v>4</v>
      </c>
      <c r="AO43" s="5">
        <v>8996000</v>
      </c>
      <c r="AP43" s="4">
        <v>1</v>
      </c>
      <c r="AQ43" s="5">
        <v>3599000</v>
      </c>
      <c r="AR43" s="231">
        <v>5</v>
      </c>
      <c r="AS43" s="232">
        <v>12595000</v>
      </c>
      <c r="AT43" s="4">
        <v>36</v>
      </c>
      <c r="AU43" s="6">
        <v>108064000</v>
      </c>
    </row>
    <row r="44" spans="1:47" x14ac:dyDescent="0.2">
      <c r="A44" s="1"/>
      <c r="B44" s="2">
        <v>6010709</v>
      </c>
      <c r="C44" s="3" t="s">
        <v>332</v>
      </c>
      <c r="D44" s="4">
        <v>6</v>
      </c>
      <c r="E44" s="5">
        <v>13994000</v>
      </c>
      <c r="F44" s="4">
        <v>4</v>
      </c>
      <c r="G44" s="5">
        <v>21296000</v>
      </c>
      <c r="H44" s="231">
        <v>10</v>
      </c>
      <c r="I44" s="232">
        <v>35290000</v>
      </c>
      <c r="J44" s="4">
        <v>6</v>
      </c>
      <c r="K44" s="5">
        <v>15294000</v>
      </c>
      <c r="L44" s="4">
        <v>2</v>
      </c>
      <c r="M44" s="5">
        <v>11798000</v>
      </c>
      <c r="N44" s="231">
        <v>8</v>
      </c>
      <c r="O44" s="232">
        <v>27092000</v>
      </c>
      <c r="P44" s="4">
        <v>11</v>
      </c>
      <c r="Q44" s="5">
        <v>26589000</v>
      </c>
      <c r="R44" s="4">
        <v>1</v>
      </c>
      <c r="S44" s="5">
        <v>3899000</v>
      </c>
      <c r="T44" s="231">
        <v>12</v>
      </c>
      <c r="U44" s="232">
        <v>30488000</v>
      </c>
      <c r="V44" s="4">
        <v>2</v>
      </c>
      <c r="W44" s="5">
        <v>5098000</v>
      </c>
      <c r="X44" s="4">
        <v>1</v>
      </c>
      <c r="Y44" s="5">
        <v>3899000</v>
      </c>
      <c r="Z44" s="231">
        <v>3</v>
      </c>
      <c r="AA44" s="232">
        <v>8997000</v>
      </c>
      <c r="AB44" s="4">
        <v>9</v>
      </c>
      <c r="AC44" s="5">
        <v>20991000</v>
      </c>
      <c r="AD44" s="4">
        <v>11</v>
      </c>
      <c r="AE44" s="5">
        <v>54589000</v>
      </c>
      <c r="AF44" s="231">
        <v>20</v>
      </c>
      <c r="AG44" s="232">
        <v>75580000</v>
      </c>
      <c r="AH44" s="4">
        <v>17</v>
      </c>
      <c r="AI44" s="5">
        <v>38283000</v>
      </c>
      <c r="AJ44" s="4">
        <v>5</v>
      </c>
      <c r="AK44" s="5">
        <v>26895000</v>
      </c>
      <c r="AL44" s="231">
        <v>22</v>
      </c>
      <c r="AM44" s="232">
        <v>65178000</v>
      </c>
      <c r="AN44" s="4">
        <v>13</v>
      </c>
      <c r="AO44" s="5">
        <v>28587000</v>
      </c>
      <c r="AP44" s="4">
        <v>4</v>
      </c>
      <c r="AQ44" s="5">
        <v>20396000</v>
      </c>
      <c r="AR44" s="231">
        <v>17</v>
      </c>
      <c r="AS44" s="232">
        <v>48983000</v>
      </c>
      <c r="AT44" s="4">
        <v>92</v>
      </c>
      <c r="AU44" s="6">
        <v>291608000</v>
      </c>
    </row>
    <row r="45" spans="1:47" x14ac:dyDescent="0.2">
      <c r="A45" s="233"/>
      <c r="B45" s="2">
        <v>6010711</v>
      </c>
      <c r="C45" s="3" t="s">
        <v>152</v>
      </c>
      <c r="D45" s="4"/>
      <c r="E45" s="5"/>
      <c r="F45" s="4"/>
      <c r="G45" s="5"/>
      <c r="H45" s="231"/>
      <c r="I45" s="232"/>
      <c r="J45" s="4"/>
      <c r="K45" s="5"/>
      <c r="L45" s="4"/>
      <c r="M45" s="5"/>
      <c r="N45" s="231"/>
      <c r="O45" s="232"/>
      <c r="P45" s="4">
        <v>1</v>
      </c>
      <c r="Q45" s="5">
        <v>2099000</v>
      </c>
      <c r="R45" s="4"/>
      <c r="S45" s="5"/>
      <c r="T45" s="231">
        <v>1</v>
      </c>
      <c r="U45" s="232">
        <v>2099000</v>
      </c>
      <c r="V45" s="4"/>
      <c r="W45" s="5"/>
      <c r="X45" s="4">
        <v>1</v>
      </c>
      <c r="Y45" s="5">
        <v>3899000</v>
      </c>
      <c r="Z45" s="231">
        <v>1</v>
      </c>
      <c r="AA45" s="232">
        <v>3899000</v>
      </c>
      <c r="AB45" s="4">
        <v>1</v>
      </c>
      <c r="AC45" s="5">
        <v>2299000</v>
      </c>
      <c r="AD45" s="4">
        <v>1</v>
      </c>
      <c r="AE45" s="5">
        <v>7999000</v>
      </c>
      <c r="AF45" s="231">
        <v>2</v>
      </c>
      <c r="AG45" s="232">
        <v>10298000</v>
      </c>
      <c r="AH45" s="4"/>
      <c r="AI45" s="5"/>
      <c r="AJ45" s="4">
        <v>2</v>
      </c>
      <c r="AK45" s="5">
        <v>15898000</v>
      </c>
      <c r="AL45" s="231">
        <v>2</v>
      </c>
      <c r="AM45" s="232">
        <v>15898000</v>
      </c>
      <c r="AN45" s="4"/>
      <c r="AO45" s="5"/>
      <c r="AP45" s="4"/>
      <c r="AQ45" s="5"/>
      <c r="AR45" s="231"/>
      <c r="AS45" s="232"/>
      <c r="AT45" s="4">
        <v>6</v>
      </c>
      <c r="AU45" s="6">
        <v>32194000</v>
      </c>
    </row>
    <row r="46" spans="1:47" x14ac:dyDescent="0.2">
      <c r="A46" s="233" t="s">
        <v>61</v>
      </c>
      <c r="B46" s="2">
        <v>6150702</v>
      </c>
      <c r="C46" s="3" t="s">
        <v>285</v>
      </c>
      <c r="D46" s="4"/>
      <c r="E46" s="5"/>
      <c r="F46" s="4">
        <v>1</v>
      </c>
      <c r="G46" s="5">
        <v>6899000</v>
      </c>
      <c r="H46" s="231">
        <v>1</v>
      </c>
      <c r="I46" s="232">
        <v>6899000</v>
      </c>
      <c r="J46" s="4"/>
      <c r="K46" s="5"/>
      <c r="L46" s="4"/>
      <c r="M46" s="5"/>
      <c r="N46" s="231"/>
      <c r="O46" s="232"/>
      <c r="P46" s="4"/>
      <c r="Q46" s="5"/>
      <c r="R46" s="4">
        <v>1</v>
      </c>
      <c r="S46" s="5">
        <v>5899000</v>
      </c>
      <c r="T46" s="231">
        <v>1</v>
      </c>
      <c r="U46" s="232">
        <v>5899000</v>
      </c>
      <c r="V46" s="4"/>
      <c r="W46" s="5"/>
      <c r="X46" s="4"/>
      <c r="Y46" s="5"/>
      <c r="Z46" s="231"/>
      <c r="AA46" s="232"/>
      <c r="AB46" s="4"/>
      <c r="AC46" s="5"/>
      <c r="AD46" s="4">
        <v>1</v>
      </c>
      <c r="AE46" s="5">
        <v>5899000</v>
      </c>
      <c r="AF46" s="231">
        <v>1</v>
      </c>
      <c r="AG46" s="232">
        <v>5899000</v>
      </c>
      <c r="AH46" s="4"/>
      <c r="AI46" s="5"/>
      <c r="AJ46" s="4"/>
      <c r="AK46" s="5"/>
      <c r="AL46" s="231"/>
      <c r="AM46" s="232"/>
      <c r="AN46" s="4"/>
      <c r="AO46" s="5"/>
      <c r="AP46" s="4"/>
      <c r="AQ46" s="5"/>
      <c r="AR46" s="231"/>
      <c r="AS46" s="232"/>
      <c r="AT46" s="4">
        <v>3</v>
      </c>
      <c r="AU46" s="6">
        <v>18697000</v>
      </c>
    </row>
    <row r="47" spans="1:47" x14ac:dyDescent="0.2">
      <c r="A47" s="233" t="s">
        <v>199</v>
      </c>
      <c r="B47" s="2">
        <v>6100702</v>
      </c>
      <c r="C47" s="3" t="s">
        <v>342</v>
      </c>
      <c r="D47" s="4"/>
      <c r="E47" s="5"/>
      <c r="F47" s="4"/>
      <c r="G47" s="5"/>
      <c r="H47" s="231"/>
      <c r="I47" s="232"/>
      <c r="J47" s="4"/>
      <c r="K47" s="5"/>
      <c r="L47" s="4"/>
      <c r="M47" s="5"/>
      <c r="N47" s="231"/>
      <c r="O47" s="232"/>
      <c r="P47" s="4"/>
      <c r="Q47" s="5"/>
      <c r="R47" s="4">
        <v>1</v>
      </c>
      <c r="S47" s="5">
        <v>9999000</v>
      </c>
      <c r="T47" s="231">
        <v>1</v>
      </c>
      <c r="U47" s="232">
        <v>9999000</v>
      </c>
      <c r="V47" s="4"/>
      <c r="W47" s="5"/>
      <c r="X47" s="4"/>
      <c r="Y47" s="5"/>
      <c r="Z47" s="231"/>
      <c r="AA47" s="232"/>
      <c r="AB47" s="4"/>
      <c r="AC47" s="5"/>
      <c r="AD47" s="4"/>
      <c r="AE47" s="5"/>
      <c r="AF47" s="231"/>
      <c r="AG47" s="232"/>
      <c r="AH47" s="4"/>
      <c r="AI47" s="5"/>
      <c r="AJ47" s="4">
        <v>2</v>
      </c>
      <c r="AK47" s="5">
        <v>9898000</v>
      </c>
      <c r="AL47" s="231">
        <v>2</v>
      </c>
      <c r="AM47" s="232">
        <v>9898000</v>
      </c>
      <c r="AN47" s="4">
        <v>1</v>
      </c>
      <c r="AO47" s="5">
        <v>2299000</v>
      </c>
      <c r="AP47" s="4">
        <v>2</v>
      </c>
      <c r="AQ47" s="5">
        <v>16998000</v>
      </c>
      <c r="AR47" s="231">
        <v>3</v>
      </c>
      <c r="AS47" s="232">
        <v>19297000</v>
      </c>
      <c r="AT47" s="4">
        <v>6</v>
      </c>
      <c r="AU47" s="6">
        <v>39194000</v>
      </c>
    </row>
    <row r="48" spans="1:47" x14ac:dyDescent="0.2">
      <c r="A48" s="234" t="s">
        <v>333</v>
      </c>
      <c r="B48" s="235"/>
      <c r="C48" s="235"/>
      <c r="D48" s="236">
        <v>45</v>
      </c>
      <c r="E48" s="237">
        <v>111655000</v>
      </c>
      <c r="F48" s="236">
        <v>26</v>
      </c>
      <c r="G48" s="237">
        <v>164874000</v>
      </c>
      <c r="H48" s="235">
        <v>71</v>
      </c>
      <c r="I48" s="237">
        <v>276529000</v>
      </c>
      <c r="J48" s="236">
        <v>61</v>
      </c>
      <c r="K48" s="237">
        <v>150039000</v>
      </c>
      <c r="L48" s="236">
        <v>32</v>
      </c>
      <c r="M48" s="237">
        <v>176768000</v>
      </c>
      <c r="N48" s="235">
        <v>93</v>
      </c>
      <c r="O48" s="237">
        <v>326807000</v>
      </c>
      <c r="P48" s="236">
        <v>60</v>
      </c>
      <c r="Q48" s="237">
        <v>149340000</v>
      </c>
      <c r="R48" s="236">
        <v>33</v>
      </c>
      <c r="S48" s="237">
        <v>212967000</v>
      </c>
      <c r="T48" s="235">
        <v>93</v>
      </c>
      <c r="U48" s="237">
        <v>362307000</v>
      </c>
      <c r="V48" s="236">
        <v>57</v>
      </c>
      <c r="W48" s="237">
        <v>140543000</v>
      </c>
      <c r="X48" s="236">
        <v>28</v>
      </c>
      <c r="Y48" s="237">
        <v>198772000</v>
      </c>
      <c r="Z48" s="235">
        <v>85</v>
      </c>
      <c r="AA48" s="237">
        <v>339315000</v>
      </c>
      <c r="AB48" s="236">
        <v>93</v>
      </c>
      <c r="AC48" s="237">
        <v>227907000</v>
      </c>
      <c r="AD48" s="236">
        <v>81</v>
      </c>
      <c r="AE48" s="237">
        <v>530719000</v>
      </c>
      <c r="AF48" s="235">
        <v>174</v>
      </c>
      <c r="AG48" s="237">
        <v>758626000</v>
      </c>
      <c r="AH48" s="236">
        <v>82</v>
      </c>
      <c r="AI48" s="237">
        <v>195718000</v>
      </c>
      <c r="AJ48" s="236">
        <v>60</v>
      </c>
      <c r="AK48" s="237">
        <v>361540000</v>
      </c>
      <c r="AL48" s="235">
        <v>142</v>
      </c>
      <c r="AM48" s="237">
        <v>557258000</v>
      </c>
      <c r="AN48" s="236">
        <v>62</v>
      </c>
      <c r="AO48" s="237">
        <v>148938000</v>
      </c>
      <c r="AP48" s="236">
        <v>36</v>
      </c>
      <c r="AQ48" s="237">
        <v>233664000</v>
      </c>
      <c r="AR48" s="235">
        <v>98</v>
      </c>
      <c r="AS48" s="237">
        <v>382602000</v>
      </c>
      <c r="AT48" s="236">
        <v>756</v>
      </c>
      <c r="AU48" s="238">
        <v>3003444000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2026-09-07T23:36:11Z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