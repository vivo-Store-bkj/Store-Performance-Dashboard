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4D4D02DF-4FF7-5846-8EA2-C5CD8AD21CD9}" xr6:coauthVersionLast="47" xr6:coauthVersionMax="47" xr10:uidLastSave="{00000000-0000-0000-0000-000000000000}"/>
  <bookViews>
    <workbookView xWindow="0" yWindow="600" windowWidth="32740" windowHeight="15440" xr2:uid="{00000000-000D-0000-FFFF-FFFF00000000}"/>
  </bookViews>
  <sheets>
    <sheet name="Sheet1" sheetId="1" r:id="rId1"/>
    <sheet name="SALES VALUE PER TYPE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AL47" i="2"/>
  <c r="AK47" i="2"/>
  <c r="AH47" i="2"/>
  <c r="AE47" i="2"/>
  <c r="AB47" i="2"/>
  <c r="Z47" i="2"/>
  <c r="U47" i="2"/>
  <c r="T47" i="2"/>
  <c r="S47" i="2"/>
  <c r="P47" i="2"/>
  <c r="J47" i="2"/>
  <c r="I47" i="2"/>
  <c r="H47" i="2"/>
  <c r="E47" i="2"/>
  <c r="D47" i="2"/>
  <c r="C47" i="2"/>
  <c r="B47" i="2"/>
  <c r="A47" i="2"/>
  <c r="AK46" i="2"/>
  <c r="AJ46" i="2"/>
  <c r="AG46" i="2"/>
  <c r="Y46" i="2"/>
  <c r="X46" i="2"/>
  <c r="I46" i="2"/>
  <c r="H46" i="2"/>
  <c r="G46" i="2"/>
  <c r="E46" i="2"/>
  <c r="D46" i="2"/>
  <c r="C46" i="2"/>
  <c r="B46" i="2"/>
  <c r="A46" i="2"/>
  <c r="AO45" i="2"/>
  <c r="AL45" i="2"/>
  <c r="AK45" i="2"/>
  <c r="AJ45" i="2"/>
  <c r="AI45" i="2"/>
  <c r="AF45" i="2"/>
  <c r="AE45" i="2"/>
  <c r="AD45" i="2"/>
  <c r="AC45" i="2"/>
  <c r="Z45" i="2"/>
  <c r="Y45" i="2"/>
  <c r="X45" i="2"/>
  <c r="W45" i="2"/>
  <c r="T45" i="2"/>
  <c r="S45" i="2"/>
  <c r="R45" i="2"/>
  <c r="Q45" i="2"/>
  <c r="N45" i="2"/>
  <c r="M45" i="2"/>
  <c r="L45" i="2"/>
  <c r="K45" i="2"/>
  <c r="H45" i="2"/>
  <c r="G45" i="2"/>
  <c r="F45" i="2"/>
  <c r="E45" i="2"/>
  <c r="D45" i="2"/>
  <c r="C45" i="2"/>
  <c r="AM45" i="2" s="1"/>
  <c r="B45" i="2"/>
  <c r="A45" i="2"/>
  <c r="AO44" i="2"/>
  <c r="AN44" i="2"/>
  <c r="AL44" i="2"/>
  <c r="AK44" i="2"/>
  <c r="AJ44" i="2"/>
  <c r="AI44" i="2"/>
  <c r="AH44" i="2"/>
  <c r="AF44" i="2"/>
  <c r="AE44" i="2"/>
  <c r="AD44" i="2"/>
  <c r="AC44" i="2"/>
  <c r="AB44" i="2"/>
  <c r="Z44" i="2"/>
  <c r="Y44" i="2"/>
  <c r="X44" i="2"/>
  <c r="W44" i="2"/>
  <c r="V44" i="2"/>
  <c r="T44" i="2"/>
  <c r="S44" i="2"/>
  <c r="R44" i="2"/>
  <c r="Q44" i="2"/>
  <c r="P44" i="2"/>
  <c r="N44" i="2"/>
  <c r="M44" i="2"/>
  <c r="L44" i="2"/>
  <c r="K44" i="2"/>
  <c r="J44" i="2"/>
  <c r="H44" i="2"/>
  <c r="G44" i="2"/>
  <c r="F44" i="2"/>
  <c r="E44" i="2"/>
  <c r="D44" i="2"/>
  <c r="C44" i="2"/>
  <c r="AM44" i="2" s="1"/>
  <c r="B44" i="2"/>
  <c r="A44" i="2"/>
  <c r="E43" i="2"/>
  <c r="D43" i="2"/>
  <c r="C43" i="2"/>
  <c r="AB43" i="2" s="1"/>
  <c r="B43" i="2"/>
  <c r="A43" i="2"/>
  <c r="E42" i="2"/>
  <c r="D42" i="2"/>
  <c r="C42" i="2"/>
  <c r="AF42" i="2" s="1"/>
  <c r="B42" i="2"/>
  <c r="A42" i="2"/>
  <c r="E41" i="2"/>
  <c r="D41" i="2"/>
  <c r="C41" i="2"/>
  <c r="AF41" i="2" s="1"/>
  <c r="B41" i="2"/>
  <c r="A41" i="2"/>
  <c r="AA40" i="2"/>
  <c r="M40" i="2"/>
  <c r="E40" i="2"/>
  <c r="D40" i="2"/>
  <c r="C40" i="2"/>
  <c r="X40" i="2" s="1"/>
  <c r="B40" i="2"/>
  <c r="A40" i="2"/>
  <c r="AO39" i="2"/>
  <c r="AM39" i="2"/>
  <c r="AK39" i="2"/>
  <c r="AJ39" i="2"/>
  <c r="AI39" i="2"/>
  <c r="AG39" i="2"/>
  <c r="AF39" i="2"/>
  <c r="AD39" i="2"/>
  <c r="AC39" i="2"/>
  <c r="AA39" i="2"/>
  <c r="Z39" i="2"/>
  <c r="Y39" i="2"/>
  <c r="W39" i="2"/>
  <c r="U39" i="2"/>
  <c r="T39" i="2"/>
  <c r="S39" i="2"/>
  <c r="R39" i="2"/>
  <c r="O39" i="2"/>
  <c r="N39" i="2"/>
  <c r="M39" i="2"/>
  <c r="L39" i="2"/>
  <c r="K39" i="2"/>
  <c r="H39" i="2"/>
  <c r="G39" i="2"/>
  <c r="F39" i="2"/>
  <c r="E39" i="2"/>
  <c r="D39" i="2"/>
  <c r="C39" i="2"/>
  <c r="B39" i="2"/>
  <c r="A39" i="2"/>
  <c r="AO38" i="2"/>
  <c r="AN38" i="2"/>
  <c r="AL38" i="2"/>
  <c r="AK38" i="2"/>
  <c r="AJ38" i="2"/>
  <c r="AI38" i="2"/>
  <c r="AH38" i="2"/>
  <c r="AF38" i="2"/>
  <c r="AE38" i="2"/>
  <c r="AD38" i="2"/>
  <c r="AC38" i="2"/>
  <c r="AB38" i="2"/>
  <c r="Z38" i="2"/>
  <c r="Y38" i="2"/>
  <c r="X38" i="2"/>
  <c r="W38" i="2"/>
  <c r="V38" i="2"/>
  <c r="T38" i="2"/>
  <c r="S38" i="2"/>
  <c r="R38" i="2"/>
  <c r="Q38" i="2"/>
  <c r="P38" i="2"/>
  <c r="N38" i="2"/>
  <c r="M38" i="2"/>
  <c r="L38" i="2"/>
  <c r="K38" i="2"/>
  <c r="J38" i="2"/>
  <c r="H38" i="2"/>
  <c r="G38" i="2"/>
  <c r="F38" i="2"/>
  <c r="E38" i="2"/>
  <c r="D38" i="2"/>
  <c r="C38" i="2"/>
  <c r="AM38" i="2" s="1"/>
  <c r="B38" i="2"/>
  <c r="A38" i="2"/>
  <c r="AB37" i="2"/>
  <c r="AA37" i="2"/>
  <c r="M37" i="2"/>
  <c r="L37" i="2"/>
  <c r="E37" i="2"/>
  <c r="D37" i="2"/>
  <c r="C37" i="2"/>
  <c r="AN37" i="2" s="1"/>
  <c r="B37" i="2"/>
  <c r="A37" i="2"/>
  <c r="AO36" i="2"/>
  <c r="AN36" i="2"/>
  <c r="AM36" i="2"/>
  <c r="AL36" i="2"/>
  <c r="AF36" i="2"/>
  <c r="AD36" i="2"/>
  <c r="AA36" i="2"/>
  <c r="Z36" i="2"/>
  <c r="T36" i="2"/>
  <c r="R36" i="2"/>
  <c r="Q36" i="2"/>
  <c r="P36" i="2"/>
  <c r="J36" i="2"/>
  <c r="I36" i="2"/>
  <c r="E36" i="2"/>
  <c r="D36" i="2"/>
  <c r="C36" i="2"/>
  <c r="B36" i="2"/>
  <c r="A36" i="2"/>
  <c r="AN35" i="2"/>
  <c r="AM35" i="2"/>
  <c r="AL35" i="2"/>
  <c r="AK35" i="2"/>
  <c r="AF35" i="2"/>
  <c r="AE35" i="2"/>
  <c r="AC35" i="2"/>
  <c r="Z35" i="2"/>
  <c r="Y35" i="2"/>
  <c r="V35" i="2"/>
  <c r="S35" i="2"/>
  <c r="Q35" i="2"/>
  <c r="P35" i="2"/>
  <c r="O35" i="2"/>
  <c r="J35" i="2"/>
  <c r="I35" i="2"/>
  <c r="H35" i="2"/>
  <c r="E35" i="2"/>
  <c r="D35" i="2"/>
  <c r="C35" i="2"/>
  <c r="B35" i="2"/>
  <c r="A35" i="2"/>
  <c r="AN34" i="2"/>
  <c r="AL34" i="2"/>
  <c r="AK34" i="2"/>
  <c r="AJ34" i="2"/>
  <c r="AI34" i="2"/>
  <c r="AH34" i="2"/>
  <c r="AF34" i="2"/>
  <c r="AE34" i="2"/>
  <c r="AD34" i="2"/>
  <c r="AC34" i="2"/>
  <c r="AB34" i="2"/>
  <c r="Z34" i="2"/>
  <c r="Y34" i="2"/>
  <c r="X34" i="2"/>
  <c r="W34" i="2"/>
  <c r="V34" i="2"/>
  <c r="T34" i="2"/>
  <c r="S34" i="2"/>
  <c r="R34" i="2"/>
  <c r="Q34" i="2"/>
  <c r="P34" i="2"/>
  <c r="N34" i="2"/>
  <c r="M34" i="2"/>
  <c r="L34" i="2"/>
  <c r="K34" i="2"/>
  <c r="J34" i="2"/>
  <c r="H34" i="2"/>
  <c r="G34" i="2"/>
  <c r="F34" i="2"/>
  <c r="E34" i="2"/>
  <c r="D34" i="2"/>
  <c r="C34" i="2"/>
  <c r="AO34" i="2" s="1"/>
  <c r="B34" i="2"/>
  <c r="A34" i="2"/>
  <c r="AO33" i="2"/>
  <c r="AN33" i="2"/>
  <c r="AM33" i="2"/>
  <c r="AG33" i="2"/>
  <c r="AE33" i="2"/>
  <c r="AD33" i="2"/>
  <c r="AA33" i="2"/>
  <c r="W33" i="2"/>
  <c r="S33" i="2"/>
  <c r="R33" i="2"/>
  <c r="Q33" i="2"/>
  <c r="K33" i="2"/>
  <c r="J33" i="2"/>
  <c r="I33" i="2"/>
  <c r="E33" i="2"/>
  <c r="D33" i="2"/>
  <c r="C33" i="2"/>
  <c r="AK33" i="2" s="1"/>
  <c r="B33" i="2"/>
  <c r="A33" i="2"/>
  <c r="AN32" i="2"/>
  <c r="AM32" i="2"/>
  <c r="AF32" i="2"/>
  <c r="AD32" i="2"/>
  <c r="AC32" i="2"/>
  <c r="V32" i="2"/>
  <c r="R32" i="2"/>
  <c r="Q32" i="2"/>
  <c r="J32" i="2"/>
  <c r="I32" i="2"/>
  <c r="H32" i="2"/>
  <c r="E32" i="2"/>
  <c r="D32" i="2"/>
  <c r="C32" i="2"/>
  <c r="AL32" i="2" s="1"/>
  <c r="B32" i="2"/>
  <c r="A32" i="2"/>
  <c r="AM31" i="2"/>
  <c r="AE31" i="2"/>
  <c r="AC31" i="2"/>
  <c r="U31" i="2"/>
  <c r="Q31" i="2"/>
  <c r="I31" i="2"/>
  <c r="H31" i="2"/>
  <c r="E31" i="2"/>
  <c r="D31" i="2"/>
  <c r="C31" i="2"/>
  <c r="AI31" i="2" s="1"/>
  <c r="B31" i="2"/>
  <c r="A31" i="2"/>
  <c r="AN30" i="2"/>
  <c r="AM30" i="2"/>
  <c r="AK30" i="2"/>
  <c r="AJ30" i="2"/>
  <c r="AH30" i="2"/>
  <c r="AG30" i="2"/>
  <c r="AF30" i="2"/>
  <c r="AD30" i="2"/>
  <c r="AB30" i="2"/>
  <c r="AA30" i="2"/>
  <c r="Z30" i="2"/>
  <c r="Y30" i="2"/>
  <c r="V30" i="2"/>
  <c r="U30" i="2"/>
  <c r="T30" i="2"/>
  <c r="S30" i="2"/>
  <c r="R30" i="2"/>
  <c r="O30" i="2"/>
  <c r="N30" i="2"/>
  <c r="M30" i="2"/>
  <c r="L30" i="2"/>
  <c r="J30" i="2"/>
  <c r="H30" i="2"/>
  <c r="G30" i="2"/>
  <c r="F30" i="2"/>
  <c r="E30" i="2"/>
  <c r="D30" i="2"/>
  <c r="C30" i="2"/>
  <c r="B30" i="2"/>
  <c r="A30" i="2"/>
  <c r="AM29" i="2"/>
  <c r="AJ29" i="2"/>
  <c r="AI29" i="2"/>
  <c r="AG29" i="2"/>
  <c r="AF29" i="2"/>
  <c r="AA29" i="2"/>
  <c r="Z29" i="2"/>
  <c r="Y29" i="2"/>
  <c r="U29" i="2"/>
  <c r="T29" i="2"/>
  <c r="R29" i="2"/>
  <c r="O29" i="2"/>
  <c r="N29" i="2"/>
  <c r="M29" i="2"/>
  <c r="L29" i="2"/>
  <c r="H29" i="2"/>
  <c r="G29" i="2"/>
  <c r="F29" i="2"/>
  <c r="E29" i="2"/>
  <c r="D29" i="2"/>
  <c r="C29" i="2"/>
  <c r="B29" i="2"/>
  <c r="A29" i="2"/>
  <c r="AO28" i="2"/>
  <c r="AN28" i="2"/>
  <c r="AL28" i="2"/>
  <c r="AK28" i="2"/>
  <c r="AJ28" i="2"/>
  <c r="AI28" i="2"/>
  <c r="AH28" i="2"/>
  <c r="AF28" i="2"/>
  <c r="AE28" i="2"/>
  <c r="AD28" i="2"/>
  <c r="AC28" i="2"/>
  <c r="AB28" i="2"/>
  <c r="Z28" i="2"/>
  <c r="Y28" i="2"/>
  <c r="X28" i="2"/>
  <c r="W28" i="2"/>
  <c r="V28" i="2"/>
  <c r="T28" i="2"/>
  <c r="S28" i="2"/>
  <c r="R28" i="2"/>
  <c r="Q28" i="2"/>
  <c r="P28" i="2"/>
  <c r="N28" i="2"/>
  <c r="M28" i="2"/>
  <c r="L28" i="2"/>
  <c r="K28" i="2"/>
  <c r="J28" i="2"/>
  <c r="H28" i="2"/>
  <c r="G28" i="2"/>
  <c r="F28" i="2"/>
  <c r="E28" i="2"/>
  <c r="D28" i="2"/>
  <c r="C28" i="2"/>
  <c r="AM28" i="2" s="1"/>
  <c r="B28" i="2"/>
  <c r="A28" i="2"/>
  <c r="AO27" i="2"/>
  <c r="AN27" i="2"/>
  <c r="AK27" i="2"/>
  <c r="AJ27" i="2"/>
  <c r="AI27" i="2"/>
  <c r="AH27" i="2"/>
  <c r="AE27" i="2"/>
  <c r="AD27" i="2"/>
  <c r="AC27" i="2"/>
  <c r="AB27" i="2"/>
  <c r="Y27" i="2"/>
  <c r="X27" i="2"/>
  <c r="W27" i="2"/>
  <c r="V27" i="2"/>
  <c r="S27" i="2"/>
  <c r="R27" i="2"/>
  <c r="Q27" i="2"/>
  <c r="P27" i="2"/>
  <c r="M27" i="2"/>
  <c r="L27" i="2"/>
  <c r="K27" i="2"/>
  <c r="J27" i="2"/>
  <c r="G27" i="2"/>
  <c r="F27" i="2"/>
  <c r="E27" i="2"/>
  <c r="D27" i="2"/>
  <c r="C27" i="2"/>
  <c r="AL27" i="2" s="1"/>
  <c r="B27" i="2"/>
  <c r="A27" i="2"/>
  <c r="AJ26" i="2"/>
  <c r="AI26" i="2"/>
  <c r="AB26" i="2"/>
  <c r="AA26" i="2"/>
  <c r="R26" i="2"/>
  <c r="Q26" i="2"/>
  <c r="J26" i="2"/>
  <c r="I26" i="2"/>
  <c r="E26" i="2"/>
  <c r="D26" i="2"/>
  <c r="C26" i="2"/>
  <c r="B26" i="2"/>
  <c r="A26" i="2"/>
  <c r="AL25" i="2"/>
  <c r="AI25" i="2"/>
  <c r="AH25" i="2"/>
  <c r="AB25" i="2"/>
  <c r="AA25" i="2"/>
  <c r="Z25" i="2"/>
  <c r="T25" i="2"/>
  <c r="Q25" i="2"/>
  <c r="P25" i="2"/>
  <c r="J25" i="2"/>
  <c r="I25" i="2"/>
  <c r="H25" i="2"/>
  <c r="E25" i="2"/>
  <c r="D25" i="2"/>
  <c r="C25" i="2"/>
  <c r="AO25" i="2" s="1"/>
  <c r="B25" i="2"/>
  <c r="A25" i="2"/>
  <c r="AN24" i="2"/>
  <c r="AK24" i="2"/>
  <c r="AH24" i="2"/>
  <c r="AG24" i="2"/>
  <c r="AF24" i="2"/>
  <c r="AA24" i="2"/>
  <c r="Z24" i="2"/>
  <c r="Y24" i="2"/>
  <c r="V24" i="2"/>
  <c r="S24" i="2"/>
  <c r="P24" i="2"/>
  <c r="O24" i="2"/>
  <c r="N24" i="2"/>
  <c r="I24" i="2"/>
  <c r="H24" i="2"/>
  <c r="G24" i="2"/>
  <c r="E24" i="2"/>
  <c r="D24" i="2"/>
  <c r="C24" i="2"/>
  <c r="AM24" i="2" s="1"/>
  <c r="B24" i="2"/>
  <c r="A24" i="2"/>
  <c r="AM23" i="2"/>
  <c r="AL23" i="2"/>
  <c r="AJ23" i="2"/>
  <c r="AG23" i="2"/>
  <c r="AF23" i="2"/>
  <c r="AE23" i="2"/>
  <c r="AD23" i="2"/>
  <c r="Z23" i="2"/>
  <c r="Y23" i="2"/>
  <c r="X23" i="2"/>
  <c r="U23" i="2"/>
  <c r="T23" i="2"/>
  <c r="R23" i="2"/>
  <c r="O23" i="2"/>
  <c r="N23" i="2"/>
  <c r="M23" i="2"/>
  <c r="L23" i="2"/>
  <c r="H23" i="2"/>
  <c r="G23" i="2"/>
  <c r="F23" i="2"/>
  <c r="E23" i="2"/>
  <c r="D23" i="2"/>
  <c r="C23" i="2"/>
  <c r="B23" i="2"/>
  <c r="A23" i="2"/>
  <c r="AO22" i="2"/>
  <c r="AN22" i="2"/>
  <c r="AL22" i="2"/>
  <c r="AK22" i="2"/>
  <c r="AJ22" i="2"/>
  <c r="AI22" i="2"/>
  <c r="AH22" i="2"/>
  <c r="AF22" i="2"/>
  <c r="AE22" i="2"/>
  <c r="AD22" i="2"/>
  <c r="AC22" i="2"/>
  <c r="AB22" i="2"/>
  <c r="Z22" i="2"/>
  <c r="Y22" i="2"/>
  <c r="X22" i="2"/>
  <c r="W22" i="2"/>
  <c r="V22" i="2"/>
  <c r="T22" i="2"/>
  <c r="S22" i="2"/>
  <c r="R22" i="2"/>
  <c r="Q22" i="2"/>
  <c r="P22" i="2"/>
  <c r="N22" i="2"/>
  <c r="M22" i="2"/>
  <c r="L22" i="2"/>
  <c r="K22" i="2"/>
  <c r="J22" i="2"/>
  <c r="H22" i="2"/>
  <c r="G22" i="2"/>
  <c r="F22" i="2"/>
  <c r="E22" i="2"/>
  <c r="D22" i="2"/>
  <c r="C22" i="2"/>
  <c r="AM22" i="2" s="1"/>
  <c r="B22" i="2"/>
  <c r="A22" i="2"/>
  <c r="AO21" i="2"/>
  <c r="AN21" i="2"/>
  <c r="AK21" i="2"/>
  <c r="AJ21" i="2"/>
  <c r="AI21" i="2"/>
  <c r="AH21" i="2"/>
  <c r="AE21" i="2"/>
  <c r="AD21" i="2"/>
  <c r="AC21" i="2"/>
  <c r="AB21" i="2"/>
  <c r="Y21" i="2"/>
  <c r="X21" i="2"/>
  <c r="W21" i="2"/>
  <c r="V21" i="2"/>
  <c r="S21" i="2"/>
  <c r="R21" i="2"/>
  <c r="Q21" i="2"/>
  <c r="P21" i="2"/>
  <c r="M21" i="2"/>
  <c r="L21" i="2"/>
  <c r="K21" i="2"/>
  <c r="J21" i="2"/>
  <c r="G21" i="2"/>
  <c r="F21" i="2"/>
  <c r="E21" i="2"/>
  <c r="D21" i="2"/>
  <c r="C21" i="2"/>
  <c r="AL21" i="2" s="1"/>
  <c r="B21" i="2"/>
  <c r="A21" i="2"/>
  <c r="AJ20" i="2"/>
  <c r="AI20" i="2"/>
  <c r="AB20" i="2"/>
  <c r="AA20" i="2"/>
  <c r="R20" i="2"/>
  <c r="Q20" i="2"/>
  <c r="J20" i="2"/>
  <c r="I20" i="2"/>
  <c r="E20" i="2"/>
  <c r="D20" i="2"/>
  <c r="C20" i="2"/>
  <c r="B20" i="2"/>
  <c r="A20" i="2"/>
  <c r="AL19" i="2"/>
  <c r="AI19" i="2"/>
  <c r="AH19" i="2"/>
  <c r="AB19" i="2"/>
  <c r="AA19" i="2"/>
  <c r="Z19" i="2"/>
  <c r="T19" i="2"/>
  <c r="Q19" i="2"/>
  <c r="P19" i="2"/>
  <c r="J19" i="2"/>
  <c r="I19" i="2"/>
  <c r="H19" i="2"/>
  <c r="E19" i="2"/>
  <c r="D19" i="2"/>
  <c r="C19" i="2"/>
  <c r="AO19" i="2" s="1"/>
  <c r="B19" i="2"/>
  <c r="A19" i="2"/>
  <c r="AN18" i="2"/>
  <c r="AK18" i="2"/>
  <c r="AH18" i="2"/>
  <c r="AG18" i="2"/>
  <c r="AF18" i="2"/>
  <c r="AA18" i="2"/>
  <c r="Z18" i="2"/>
  <c r="Y18" i="2"/>
  <c r="V18" i="2"/>
  <c r="S18" i="2"/>
  <c r="P18" i="2"/>
  <c r="O18" i="2"/>
  <c r="N18" i="2"/>
  <c r="I18" i="2"/>
  <c r="H18" i="2"/>
  <c r="G18" i="2"/>
  <c r="E18" i="2"/>
  <c r="D18" i="2"/>
  <c r="C18" i="2"/>
  <c r="AM18" i="2" s="1"/>
  <c r="B18" i="2"/>
  <c r="A18" i="2"/>
  <c r="AM17" i="2"/>
  <c r="AL17" i="2"/>
  <c r="AJ17" i="2"/>
  <c r="AG17" i="2"/>
  <c r="AF17" i="2"/>
  <c r="AE17" i="2"/>
  <c r="AD17" i="2"/>
  <c r="Z17" i="2"/>
  <c r="Y17" i="2"/>
  <c r="X17" i="2"/>
  <c r="U17" i="2"/>
  <c r="T17" i="2"/>
  <c r="R17" i="2"/>
  <c r="O17" i="2"/>
  <c r="N17" i="2"/>
  <c r="M17" i="2"/>
  <c r="L17" i="2"/>
  <c r="H17" i="2"/>
  <c r="G17" i="2"/>
  <c r="F17" i="2"/>
  <c r="E17" i="2"/>
  <c r="D17" i="2"/>
  <c r="C17" i="2"/>
  <c r="B17" i="2"/>
  <c r="A17" i="2"/>
  <c r="AO16" i="2"/>
  <c r="AN16" i="2"/>
  <c r="AL16" i="2"/>
  <c r="AK16" i="2"/>
  <c r="AJ16" i="2"/>
  <c r="AI16" i="2"/>
  <c r="AH16" i="2"/>
  <c r="AF16" i="2"/>
  <c r="AE16" i="2"/>
  <c r="AD16" i="2"/>
  <c r="AC16" i="2"/>
  <c r="AB16" i="2"/>
  <c r="Z16" i="2"/>
  <c r="Y16" i="2"/>
  <c r="X16" i="2"/>
  <c r="W16" i="2"/>
  <c r="V16" i="2"/>
  <c r="T16" i="2"/>
  <c r="S16" i="2"/>
  <c r="R16" i="2"/>
  <c r="Q16" i="2"/>
  <c r="P16" i="2"/>
  <c r="N16" i="2"/>
  <c r="M16" i="2"/>
  <c r="L16" i="2"/>
  <c r="K16" i="2"/>
  <c r="J16" i="2"/>
  <c r="H16" i="2"/>
  <c r="G16" i="2"/>
  <c r="F16" i="2"/>
  <c r="E16" i="2"/>
  <c r="D16" i="2"/>
  <c r="C16" i="2"/>
  <c r="AM16" i="2" s="1"/>
  <c r="B16" i="2"/>
  <c r="A16" i="2"/>
  <c r="AK15" i="2"/>
  <c r="AD15" i="2"/>
  <c r="W15" i="2"/>
  <c r="P15" i="2"/>
  <c r="I15" i="2"/>
  <c r="E15" i="2"/>
  <c r="D15" i="2"/>
  <c r="C15" i="2"/>
  <c r="X15" i="2" s="1"/>
  <c r="B15" i="2"/>
  <c r="A15" i="2"/>
  <c r="AL14" i="2"/>
  <c r="AJ14" i="2"/>
  <c r="AD14" i="2"/>
  <c r="AC14" i="2"/>
  <c r="W14" i="2"/>
  <c r="V14" i="2"/>
  <c r="P14" i="2"/>
  <c r="O14" i="2"/>
  <c r="I14" i="2"/>
  <c r="H14" i="2"/>
  <c r="E14" i="2"/>
  <c r="D14" i="2"/>
  <c r="C14" i="2"/>
  <c r="AN14" i="2" s="1"/>
  <c r="B14" i="2"/>
  <c r="A14" i="2"/>
  <c r="AL13" i="2"/>
  <c r="AK13" i="2"/>
  <c r="AI13" i="2"/>
  <c r="AE13" i="2"/>
  <c r="AC13" i="2"/>
  <c r="AB13" i="2"/>
  <c r="W13" i="2"/>
  <c r="V13" i="2"/>
  <c r="U13" i="2"/>
  <c r="P13" i="2"/>
  <c r="O13" i="2"/>
  <c r="N13" i="2"/>
  <c r="I13" i="2"/>
  <c r="H13" i="2"/>
  <c r="G13" i="2"/>
  <c r="E13" i="2"/>
  <c r="D13" i="2"/>
  <c r="C13" i="2"/>
  <c r="AO13" i="2" s="1"/>
  <c r="B13" i="2"/>
  <c r="A13" i="2"/>
  <c r="AN12" i="2"/>
  <c r="AK12" i="2"/>
  <c r="AJ12" i="2"/>
  <c r="AH12" i="2"/>
  <c r="AG12" i="2"/>
  <c r="AD12" i="2"/>
  <c r="AB12" i="2"/>
  <c r="AA12" i="2"/>
  <c r="Z12" i="2"/>
  <c r="V12" i="2"/>
  <c r="U12" i="2"/>
  <c r="T12" i="2"/>
  <c r="S12" i="2"/>
  <c r="O12" i="2"/>
  <c r="N12" i="2"/>
  <c r="M12" i="2"/>
  <c r="L12" i="2"/>
  <c r="H12" i="2"/>
  <c r="G12" i="2"/>
  <c r="F12" i="2"/>
  <c r="E12" i="2"/>
  <c r="D12" i="2"/>
  <c r="C12" i="2"/>
  <c r="AM12" i="2" s="1"/>
  <c r="B12" i="2"/>
  <c r="A12" i="2"/>
  <c r="AO11" i="2"/>
  <c r="AM11" i="2"/>
  <c r="AK11" i="2"/>
  <c r="AJ11" i="2"/>
  <c r="AI11" i="2"/>
  <c r="AG11" i="2"/>
  <c r="AF11" i="2"/>
  <c r="AD11" i="2"/>
  <c r="AC11" i="2"/>
  <c r="AA11" i="2"/>
  <c r="Z11" i="2"/>
  <c r="Y11" i="2"/>
  <c r="W11" i="2"/>
  <c r="U11" i="2"/>
  <c r="T11" i="2"/>
  <c r="S11" i="2"/>
  <c r="R11" i="2"/>
  <c r="O11" i="2"/>
  <c r="N11" i="2"/>
  <c r="M11" i="2"/>
  <c r="L11" i="2"/>
  <c r="K11" i="2"/>
  <c r="H11" i="2"/>
  <c r="G11" i="2"/>
  <c r="F11" i="2"/>
  <c r="E11" i="2"/>
  <c r="D11" i="2"/>
  <c r="C11" i="2"/>
  <c r="B11" i="2"/>
  <c r="A11" i="2"/>
  <c r="AO10" i="2"/>
  <c r="AN10" i="2"/>
  <c r="AL10" i="2"/>
  <c r="AK10" i="2"/>
  <c r="AJ10" i="2"/>
  <c r="AI10" i="2"/>
  <c r="AH10" i="2"/>
  <c r="AF10" i="2"/>
  <c r="AE10" i="2"/>
  <c r="AD10" i="2"/>
  <c r="AC10" i="2"/>
  <c r="AB10" i="2"/>
  <c r="Z10" i="2"/>
  <c r="Y10" i="2"/>
  <c r="X10" i="2"/>
  <c r="W10" i="2"/>
  <c r="V10" i="2"/>
  <c r="T10" i="2"/>
  <c r="S10" i="2"/>
  <c r="R10" i="2"/>
  <c r="Q10" i="2"/>
  <c r="P10" i="2"/>
  <c r="N10" i="2"/>
  <c r="M10" i="2"/>
  <c r="L10" i="2"/>
  <c r="K10" i="2"/>
  <c r="J10" i="2"/>
  <c r="H10" i="2"/>
  <c r="G10" i="2"/>
  <c r="F10" i="2"/>
  <c r="E10" i="2"/>
  <c r="D10" i="2"/>
  <c r="C10" i="2"/>
  <c r="AM10" i="2" s="1"/>
  <c r="B10" i="2"/>
  <c r="A10" i="2"/>
  <c r="AO9" i="2"/>
  <c r="AN9" i="2"/>
  <c r="AM9" i="2"/>
  <c r="AK9" i="2"/>
  <c r="AH9" i="2"/>
  <c r="AG9" i="2"/>
  <c r="AE9" i="2"/>
  <c r="AD9" i="2"/>
  <c r="AA9" i="2"/>
  <c r="Y9" i="2"/>
  <c r="X9" i="2"/>
  <c r="W9" i="2"/>
  <c r="T9" i="2"/>
  <c r="S9" i="2"/>
  <c r="R9" i="2"/>
  <c r="Q9" i="2"/>
  <c r="N9" i="2"/>
  <c r="M9" i="2"/>
  <c r="L9" i="2"/>
  <c r="K9" i="2"/>
  <c r="H9" i="2"/>
  <c r="G9" i="2"/>
  <c r="F9" i="2"/>
  <c r="E9" i="2"/>
  <c r="D9" i="2"/>
  <c r="C9" i="2"/>
  <c r="AJ9" i="2" s="1"/>
  <c r="B9" i="2"/>
  <c r="A9" i="2"/>
  <c r="AO8" i="2"/>
  <c r="AN8" i="2"/>
  <c r="AL8" i="2"/>
  <c r="AK8" i="2"/>
  <c r="AJ8" i="2"/>
  <c r="AI8" i="2"/>
  <c r="AH8" i="2"/>
  <c r="AF8" i="2"/>
  <c r="AE8" i="2"/>
  <c r="AD8" i="2"/>
  <c r="AC8" i="2"/>
  <c r="AB8" i="2"/>
  <c r="Z8" i="2"/>
  <c r="Y8" i="2"/>
  <c r="X8" i="2"/>
  <c r="W8" i="2"/>
  <c r="V8" i="2"/>
  <c r="T8" i="2"/>
  <c r="S8" i="2"/>
  <c r="R8" i="2"/>
  <c r="Q8" i="2"/>
  <c r="P8" i="2"/>
  <c r="N8" i="2"/>
  <c r="M8" i="2"/>
  <c r="L8" i="2"/>
  <c r="K8" i="2"/>
  <c r="J8" i="2"/>
  <c r="H8" i="2"/>
  <c r="G8" i="2"/>
  <c r="F8" i="2"/>
  <c r="E8" i="2"/>
  <c r="D8" i="2"/>
  <c r="C8" i="2"/>
  <c r="AM8" i="2" s="1"/>
  <c r="B8" i="2"/>
  <c r="A8" i="2"/>
  <c r="E7" i="2"/>
  <c r="D7" i="2"/>
  <c r="C7" i="2"/>
  <c r="AK7" i="2" s="1"/>
  <c r="B7" i="2"/>
  <c r="A7" i="2"/>
  <c r="AL6" i="2"/>
  <c r="AF6" i="2"/>
  <c r="AA6" i="2"/>
  <c r="Z6" i="2"/>
  <c r="T6" i="2"/>
  <c r="N6" i="2"/>
  <c r="I6" i="2"/>
  <c r="H6" i="2"/>
  <c r="E6" i="2"/>
  <c r="D6" i="2"/>
  <c r="C6" i="2"/>
  <c r="AJ6" i="2" s="1"/>
  <c r="B6" i="2"/>
  <c r="A6" i="2"/>
  <c r="AL5" i="2"/>
  <c r="AK5" i="2"/>
  <c r="AF5" i="2"/>
  <c r="AE5" i="2"/>
  <c r="Z5" i="2"/>
  <c r="Y5" i="2"/>
  <c r="T5" i="2"/>
  <c r="S5" i="2"/>
  <c r="N5" i="2"/>
  <c r="M5" i="2"/>
  <c r="I5" i="2"/>
  <c r="H5" i="2"/>
  <c r="G5" i="2"/>
  <c r="E5" i="2"/>
  <c r="D5" i="2"/>
  <c r="C5" i="2"/>
  <c r="AO5" i="2" s="1"/>
  <c r="B5" i="2"/>
  <c r="A5" i="2"/>
  <c r="AL3" i="2"/>
  <c r="AJ3" i="2"/>
  <c r="AH3" i="2"/>
  <c r="AF3" i="2"/>
  <c r="AD3" i="2"/>
  <c r="AB3" i="2"/>
  <c r="Z3" i="2"/>
  <c r="X3" i="2"/>
  <c r="V3" i="2"/>
  <c r="T3" i="2"/>
  <c r="R3" i="2"/>
  <c r="P3" i="2"/>
  <c r="N3" i="2"/>
  <c r="L3" i="2"/>
  <c r="J3" i="2"/>
  <c r="H3" i="2"/>
  <c r="F3" i="2"/>
  <c r="N2" i="2"/>
  <c r="F2" i="2"/>
  <c r="AQ47" i="1"/>
  <c r="AE47" i="1"/>
  <c r="M47" i="1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AM47" i="1"/>
  <c r="O47" i="1"/>
  <c r="I47" i="1"/>
  <c r="R46" i="1"/>
  <c r="L46" i="1"/>
  <c r="AM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I46" i="1"/>
  <c r="L45" i="1"/>
  <c r="AE44" i="1"/>
  <c r="M44" i="1"/>
  <c r="AU43" i="1"/>
  <c r="R43" i="1"/>
  <c r="BP42" i="1"/>
  <c r="AM42" i="1"/>
  <c r="AF42" i="1"/>
  <c r="R42" i="1"/>
  <c r="BG41" i="1"/>
  <c r="I41" i="1"/>
  <c r="O40" i="1"/>
  <c r="AI39" i="1"/>
  <c r="AQ38" i="1"/>
  <c r="AE38" i="1"/>
  <c r="M38" i="1"/>
  <c r="AQ36" i="1"/>
  <c r="AE36" i="1"/>
  <c r="M36" i="1"/>
  <c r="AQ34" i="1"/>
  <c r="AE34" i="1"/>
  <c r="M34" i="1"/>
  <c r="AE45" i="1"/>
  <c r="M45" i="1"/>
  <c r="O44" i="1"/>
  <c r="L43" i="1"/>
  <c r="BJ42" i="1"/>
  <c r="L42" i="1"/>
  <c r="AM41" i="1"/>
  <c r="AE41" i="1"/>
  <c r="AE40" i="1"/>
  <c r="I40" i="1"/>
  <c r="BM39" i="1"/>
  <c r="AQ39" i="1"/>
  <c r="BP38" i="1"/>
  <c r="BJ38" i="1"/>
  <c r="BD38" i="1"/>
  <c r="AF38" i="1"/>
  <c r="BM37" i="1"/>
  <c r="BG37" i="1"/>
  <c r="AU37" i="1"/>
  <c r="AI37" i="1"/>
  <c r="BP36" i="1"/>
  <c r="BJ36" i="1"/>
  <c r="BD36" i="1"/>
  <c r="AF36" i="1"/>
  <c r="BM35" i="1"/>
  <c r="BG35" i="1"/>
  <c r="AU35" i="1"/>
  <c r="AI35" i="1"/>
  <c r="BP34" i="1"/>
  <c r="BJ34" i="1"/>
  <c r="BD34" i="1"/>
  <c r="AF34" i="1"/>
  <c r="BM33" i="1"/>
  <c r="BG33" i="1"/>
  <c r="AU33" i="1"/>
  <c r="AI33" i="1"/>
  <c r="BP32" i="1"/>
  <c r="BJ32" i="1"/>
  <c r="BD32" i="1"/>
  <c r="AF32" i="1"/>
  <c r="BM31" i="1"/>
  <c r="BG31" i="1"/>
  <c r="AU31" i="1"/>
  <c r="AI31" i="1"/>
  <c r="BP30" i="1"/>
  <c r="BJ30" i="1"/>
  <c r="BD30" i="1"/>
  <c r="AQ43" i="1"/>
  <c r="AE43" i="1"/>
  <c r="BD42" i="1"/>
  <c r="AU41" i="1"/>
  <c r="AI41" i="1"/>
  <c r="M41" i="1"/>
  <c r="BP40" i="1"/>
  <c r="O39" i="1"/>
  <c r="AU38" i="1"/>
  <c r="AM38" i="1"/>
  <c r="BP37" i="1"/>
  <c r="R37" i="1"/>
  <c r="L36" i="1"/>
  <c r="BJ35" i="1"/>
  <c r="I35" i="1"/>
  <c r="BM34" i="1"/>
  <c r="O34" i="1"/>
  <c r="BD33" i="1"/>
  <c r="O33" i="1"/>
  <c r="AI32" i="1"/>
  <c r="M32" i="1"/>
  <c r="BD31" i="1"/>
  <c r="M31" i="1"/>
  <c r="AU30" i="1"/>
  <c r="AQ29" i="1"/>
  <c r="AE29" i="1"/>
  <c r="M29" i="1"/>
  <c r="AQ27" i="1"/>
  <c r="AE27" i="1"/>
  <c r="M27" i="1"/>
  <c r="AQ25" i="1"/>
  <c r="AE25" i="1"/>
  <c r="M25" i="1"/>
  <c r="AQ23" i="1"/>
  <c r="AE23" i="1"/>
  <c r="M23" i="1"/>
  <c r="AQ46" i="1"/>
  <c r="R45" i="1"/>
  <c r="I44" i="1"/>
  <c r="AI43" i="1"/>
  <c r="M43" i="1"/>
  <c r="O42" i="1"/>
  <c r="O41" i="1"/>
  <c r="AF40" i="1"/>
  <c r="AU39" i="1"/>
  <c r="R39" i="1"/>
  <c r="L38" i="1"/>
  <c r="BJ37" i="1"/>
  <c r="I37" i="1"/>
  <c r="BM36" i="1"/>
  <c r="O36" i="1"/>
  <c r="BD35" i="1"/>
  <c r="L35" i="1"/>
  <c r="BG34" i="1"/>
  <c r="AM33" i="1"/>
  <c r="AE33" i="1"/>
  <c r="I33" i="1"/>
  <c r="BM32" i="1"/>
  <c r="AQ32" i="1"/>
  <c r="O32" i="1"/>
  <c r="AQ31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AF23" i="1"/>
  <c r="BM22" i="1"/>
  <c r="BG22" i="1"/>
  <c r="AU22" i="1"/>
  <c r="AI22" i="1"/>
  <c r="BP21" i="1"/>
  <c r="BJ21" i="1"/>
  <c r="BD21" i="1"/>
  <c r="AF21" i="1"/>
  <c r="BM20" i="1"/>
  <c r="BG20" i="1"/>
  <c r="AU20" i="1"/>
  <c r="AI20" i="1"/>
  <c r="M46" i="1"/>
  <c r="AQ45" i="1"/>
  <c r="AQ44" i="1"/>
  <c r="AQ41" i="1"/>
  <c r="L41" i="1"/>
  <c r="AQ40" i="1"/>
  <c r="L40" i="1"/>
  <c r="L39" i="1"/>
  <c r="R38" i="1"/>
  <c r="AM37" i="1"/>
  <c r="M37" i="1"/>
  <c r="AU36" i="1"/>
  <c r="AI36" i="1"/>
  <c r="I36" i="1"/>
  <c r="R34" i="1"/>
  <c r="R33" i="1"/>
  <c r="BP31" i="1"/>
  <c r="AF30" i="1"/>
  <c r="R29" i="1"/>
  <c r="AQ28" i="1"/>
  <c r="O28" i="1"/>
  <c r="AU27" i="1"/>
  <c r="AM27" i="1"/>
  <c r="BP26" i="1"/>
  <c r="R26" i="1"/>
  <c r="L25" i="1"/>
  <c r="BJ24" i="1"/>
  <c r="I24" i="1"/>
  <c r="BM23" i="1"/>
  <c r="O23" i="1"/>
  <c r="BD22" i="1"/>
  <c r="M22" i="1"/>
  <c r="AU21" i="1"/>
  <c r="R21" i="1"/>
  <c r="BP20" i="1"/>
  <c r="AM20" i="1"/>
  <c r="AF20" i="1"/>
  <c r="BM19" i="1"/>
  <c r="BG19" i="1"/>
  <c r="AU19" i="1"/>
  <c r="AI19" i="1"/>
  <c r="BP18" i="1"/>
  <c r="BJ18" i="1"/>
  <c r="BD18" i="1"/>
  <c r="AF18" i="1"/>
  <c r="BM17" i="1"/>
  <c r="BG17" i="1"/>
  <c r="AU17" i="1"/>
  <c r="AI17" i="1"/>
  <c r="BP16" i="1"/>
  <c r="BJ16" i="1"/>
  <c r="BD16" i="1"/>
  <c r="AF16" i="1"/>
  <c r="BM15" i="1"/>
  <c r="BG15" i="1"/>
  <c r="AU15" i="1"/>
  <c r="AI15" i="1"/>
  <c r="BP14" i="1"/>
  <c r="BJ14" i="1"/>
  <c r="BD14" i="1"/>
  <c r="AF14" i="1"/>
  <c r="BM13" i="1"/>
  <c r="AM46" i="1"/>
  <c r="O46" i="1"/>
  <c r="AQ42" i="1"/>
  <c r="I42" i="1"/>
  <c r="R41" i="1"/>
  <c r="BD40" i="1"/>
  <c r="M40" i="1"/>
  <c r="M39" i="1"/>
  <c r="BG38" i="1"/>
  <c r="AI38" i="1"/>
  <c r="I38" i="1"/>
  <c r="BG36" i="1"/>
  <c r="AQ35" i="1"/>
  <c r="AE35" i="1"/>
  <c r="O35" i="1"/>
  <c r="AU34" i="1"/>
  <c r="AI34" i="1"/>
  <c r="I34" i="1"/>
  <c r="AQ33" i="1"/>
  <c r="L32" i="1"/>
  <c r="AM31" i="1"/>
  <c r="R31" i="1"/>
  <c r="AQ30" i="1"/>
  <c r="O30" i="1"/>
  <c r="AU29" i="1"/>
  <c r="AM29" i="1"/>
  <c r="BP28" i="1"/>
  <c r="R28" i="1"/>
  <c r="L27" i="1"/>
  <c r="BJ26" i="1"/>
  <c r="I26" i="1"/>
  <c r="BM25" i="1"/>
  <c r="O25" i="1"/>
  <c r="BD24" i="1"/>
  <c r="L24" i="1"/>
  <c r="BG23" i="1"/>
  <c r="AQ22" i="1"/>
  <c r="L21" i="1"/>
  <c r="BJ20" i="1"/>
  <c r="O20" i="1"/>
  <c r="I20" i="1"/>
  <c r="R19" i="1"/>
  <c r="L19" i="1"/>
  <c r="O45" i="1"/>
  <c r="BG43" i="1"/>
  <c r="M42" i="1"/>
  <c r="BJ40" i="1"/>
  <c r="BG39" i="1"/>
  <c r="AF37" i="1"/>
  <c r="L37" i="1"/>
  <c r="AM36" i="1"/>
  <c r="R35" i="1"/>
  <c r="AM34" i="1"/>
  <c r="AM32" i="1"/>
  <c r="AF31" i="1"/>
  <c r="O31" i="1"/>
  <c r="R30" i="1"/>
  <c r="BG29" i="1"/>
  <c r="AI29" i="1"/>
  <c r="I29" i="1"/>
  <c r="BD28" i="1"/>
  <c r="AE28" i="1"/>
  <c r="O27" i="1"/>
  <c r="AF26" i="1"/>
  <c r="BP24" i="1"/>
  <c r="AM23" i="1"/>
  <c r="BP22" i="1"/>
  <c r="I21" i="1"/>
  <c r="BJ19" i="1"/>
  <c r="AM18" i="1"/>
  <c r="AE18" i="1"/>
  <c r="AE17" i="1"/>
  <c r="I17" i="1"/>
  <c r="BM16" i="1"/>
  <c r="AQ16" i="1"/>
  <c r="O16" i="1"/>
  <c r="AQ15" i="1"/>
  <c r="L14" i="1"/>
  <c r="BJ13" i="1"/>
  <c r="BD13" i="1"/>
  <c r="AF13" i="1"/>
  <c r="BM12" i="1"/>
  <c r="BG12" i="1"/>
  <c r="AU12" i="1"/>
  <c r="AI12" i="1"/>
  <c r="BP11" i="1"/>
  <c r="BJ11" i="1"/>
  <c r="BD11" i="1"/>
  <c r="AF11" i="1"/>
  <c r="BM10" i="1"/>
  <c r="BG10" i="1"/>
  <c r="AU10" i="1"/>
  <c r="AI10" i="1"/>
  <c r="BP9" i="1"/>
  <c r="BJ9" i="1"/>
  <c r="BD9" i="1"/>
  <c r="AF9" i="1"/>
  <c r="BM8" i="1"/>
  <c r="BG8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L31" i="1"/>
  <c r="BD26" i="1"/>
  <c r="O26" i="1"/>
  <c r="AM25" i="1"/>
  <c r="AM21" i="1"/>
  <c r="AQ20" i="1"/>
  <c r="M20" i="1"/>
  <c r="AQ19" i="1"/>
  <c r="O19" i="1"/>
  <c r="I18" i="1"/>
  <c r="O17" i="1"/>
  <c r="AI16" i="1"/>
  <c r="M16" i="1"/>
  <c r="BD15" i="1"/>
  <c r="AU14" i="1"/>
  <c r="R14" i="1"/>
  <c r="R44" i="1"/>
  <c r="AE42" i="1"/>
  <c r="AM39" i="1"/>
  <c r="AE37" i="1"/>
  <c r="L34" i="1"/>
  <c r="BP33" i="1"/>
  <c r="R32" i="1"/>
  <c r="AE26" i="1"/>
  <c r="AF24" i="1"/>
  <c r="O22" i="1"/>
  <c r="AE20" i="1"/>
  <c r="M15" i="1"/>
  <c r="BP13" i="1"/>
  <c r="AQ13" i="1"/>
  <c r="AE13" i="1"/>
  <c r="M13" i="1"/>
  <c r="I45" i="1"/>
  <c r="AM43" i="1"/>
  <c r="O43" i="1"/>
  <c r="BM38" i="1"/>
  <c r="AF35" i="1"/>
  <c r="AE32" i="1"/>
  <c r="BM30" i="1"/>
  <c r="L30" i="1"/>
  <c r="BM29" i="1"/>
  <c r="BJ28" i="1"/>
  <c r="AM28" i="1"/>
  <c r="M28" i="1"/>
  <c r="BG27" i="1"/>
  <c r="AI27" i="1"/>
  <c r="I27" i="1"/>
  <c r="BG25" i="1"/>
  <c r="AQ24" i="1"/>
  <c r="AE24" i="1"/>
  <c r="O24" i="1"/>
  <c r="AU23" i="1"/>
  <c r="AI23" i="1"/>
  <c r="I23" i="1"/>
  <c r="L22" i="1"/>
  <c r="L20" i="1"/>
  <c r="AM44" i="1"/>
  <c r="L44" i="1"/>
  <c r="BM43" i="1"/>
  <c r="I43" i="1"/>
  <c r="AM40" i="1"/>
  <c r="R40" i="1"/>
  <c r="AE39" i="1"/>
  <c r="I39" i="1"/>
  <c r="BD37" i="1"/>
  <c r="AQ37" i="1"/>
  <c r="BG32" i="1"/>
  <c r="AU32" i="1"/>
  <c r="I31" i="1"/>
  <c r="I30" i="1"/>
  <c r="L28" i="1"/>
  <c r="R27" i="1"/>
  <c r="AM26" i="1"/>
  <c r="M26" i="1"/>
  <c r="AU25" i="1"/>
  <c r="AI25" i="1"/>
  <c r="I25" i="1"/>
  <c r="R23" i="1"/>
  <c r="AF22" i="1"/>
  <c r="BM21" i="1"/>
  <c r="O21" i="1"/>
  <c r="BM41" i="1"/>
  <c r="O38" i="1"/>
  <c r="BJ33" i="1"/>
  <c r="AF33" i="1"/>
  <c r="M33" i="1"/>
  <c r="O29" i="1"/>
  <c r="I28" i="1"/>
  <c r="BM27" i="1"/>
  <c r="L26" i="1"/>
  <c r="R25" i="1"/>
  <c r="AM24" i="1"/>
  <c r="M24" i="1"/>
  <c r="BJ22" i="1"/>
  <c r="AE22" i="1"/>
  <c r="I22" i="1"/>
  <c r="AI21" i="1"/>
  <c r="M21" i="1"/>
  <c r="R20" i="1"/>
  <c r="BD19" i="1"/>
  <c r="BM18" i="1"/>
  <c r="AE46" i="1"/>
  <c r="O37" i="1"/>
  <c r="R36" i="1"/>
  <c r="BP35" i="1"/>
  <c r="AM35" i="1"/>
  <c r="L33" i="1"/>
  <c r="I32" i="1"/>
  <c r="BJ31" i="1"/>
  <c r="BG30" i="1"/>
  <c r="AE30" i="1"/>
  <c r="L29" i="1"/>
  <c r="AF28" i="1"/>
  <c r="L23" i="1"/>
  <c r="AM22" i="1"/>
  <c r="R22" i="1"/>
  <c r="AQ21" i="1"/>
  <c r="AE21" i="1"/>
  <c r="BD20" i="1"/>
  <c r="I19" i="1"/>
  <c r="AU18" i="1"/>
  <c r="R18" i="1"/>
  <c r="BP17" i="1"/>
  <c r="AM17" i="1"/>
  <c r="AF17" i="1"/>
  <c r="R17" i="1"/>
  <c r="BG16" i="1"/>
  <c r="I16" i="1"/>
  <c r="O15" i="1"/>
  <c r="AI14" i="1"/>
  <c r="M14" i="1"/>
  <c r="AM13" i="1"/>
  <c r="O13" i="1"/>
  <c r="I13" i="1"/>
  <c r="R12" i="1"/>
  <c r="L12" i="1"/>
  <c r="AM11" i="1"/>
  <c r="O11" i="1"/>
  <c r="I11" i="1"/>
  <c r="R10" i="1"/>
  <c r="L10" i="1"/>
  <c r="AM9" i="1"/>
  <c r="O9" i="1"/>
  <c r="I9" i="1"/>
  <c r="R8" i="1"/>
  <c r="L8" i="1"/>
  <c r="AM7" i="1"/>
  <c r="O7" i="1"/>
  <c r="I7" i="1"/>
  <c r="R6" i="1"/>
  <c r="L6" i="1"/>
  <c r="AM5" i="1"/>
  <c r="O5" i="1"/>
  <c r="I5" i="1"/>
  <c r="M35" i="1"/>
  <c r="AE31" i="1"/>
  <c r="AM30" i="1"/>
  <c r="M30" i="1"/>
  <c r="AQ26" i="1"/>
  <c r="R24" i="1"/>
  <c r="BG21" i="1"/>
  <c r="AI18" i="1"/>
  <c r="AM19" i="1"/>
  <c r="M19" i="1"/>
  <c r="AQ18" i="1"/>
  <c r="O18" i="1"/>
  <c r="AU16" i="1"/>
  <c r="R16" i="1"/>
  <c r="I15" i="1"/>
  <c r="AM14" i="1"/>
  <c r="BD12" i="1"/>
  <c r="AF12" i="1"/>
  <c r="R11" i="1"/>
  <c r="BD10" i="1"/>
  <c r="BM9" i="1"/>
  <c r="L9" i="1"/>
  <c r="BP8" i="1"/>
  <c r="AF8" i="1"/>
  <c r="BG7" i="1"/>
  <c r="BJ6" i="1"/>
  <c r="R5" i="1"/>
  <c r="AE7" i="1"/>
  <c r="M7" i="1"/>
  <c r="L18" i="1"/>
  <c r="M17" i="1"/>
  <c r="L16" i="1"/>
  <c r="BP15" i="1"/>
  <c r="BP19" i="1"/>
  <c r="AF19" i="1"/>
  <c r="BG18" i="1"/>
  <c r="M18" i="1"/>
  <c r="BD17" i="1"/>
  <c r="AQ17" i="1"/>
  <c r="AE16" i="1"/>
  <c r="I14" i="1"/>
  <c r="R13" i="1"/>
  <c r="AQ12" i="1"/>
  <c r="AE12" i="1"/>
  <c r="AQ11" i="1"/>
  <c r="AI11" i="1"/>
  <c r="I10" i="1"/>
  <c r="AU9" i="1"/>
  <c r="AM8" i="1"/>
  <c r="AE8" i="1"/>
  <c r="M8" i="1"/>
  <c r="AQ6" i="1"/>
  <c r="O6" i="1"/>
  <c r="AQ5" i="1"/>
  <c r="AI5" i="1"/>
  <c r="BJ12" i="1"/>
  <c r="BG9" i="1"/>
  <c r="AI9" i="1"/>
  <c r="BJ8" i="1"/>
  <c r="I8" i="1"/>
  <c r="L7" i="1"/>
  <c r="BD6" i="1"/>
  <c r="AE6" i="1"/>
  <c r="BG5" i="1"/>
  <c r="R15" i="1"/>
  <c r="BG14" i="1"/>
  <c r="AQ14" i="1"/>
  <c r="M12" i="1"/>
  <c r="BM11" i="1"/>
  <c r="M11" i="1"/>
  <c r="AF10" i="1"/>
  <c r="R9" i="1"/>
  <c r="AU5" i="1"/>
  <c r="AE5" i="1"/>
  <c r="AM6" i="1"/>
  <c r="M6" i="1"/>
  <c r="AU13" i="1"/>
  <c r="AU11" i="1"/>
  <c r="AE11" i="1"/>
  <c r="AF6" i="1"/>
  <c r="BP10" i="1"/>
  <c r="BJ17" i="1"/>
  <c r="AM15" i="1"/>
  <c r="I12" i="1"/>
  <c r="L11" i="1"/>
  <c r="AQ10" i="1"/>
  <c r="AE10" i="1"/>
  <c r="O10" i="1"/>
  <c r="AQ9" i="1"/>
  <c r="AE9" i="1"/>
  <c r="L17" i="1"/>
  <c r="AF15" i="1"/>
  <c r="L15" i="1"/>
  <c r="BM14" i="1"/>
  <c r="AE14" i="1"/>
  <c r="O14" i="1"/>
  <c r="AI13" i="1"/>
  <c r="BP12" i="1"/>
  <c r="AM12" i="1"/>
  <c r="BD8" i="1"/>
  <c r="AU7" i="1"/>
  <c r="AI7" i="1"/>
  <c r="BM5" i="1"/>
  <c r="M5" i="1"/>
  <c r="BJ15" i="1"/>
  <c r="AE15" i="1"/>
  <c r="L13" i="1"/>
  <c r="BG11" i="1"/>
  <c r="BJ10" i="1"/>
  <c r="AM10" i="1"/>
  <c r="M10" i="1"/>
  <c r="M9" i="1"/>
  <c r="AQ8" i="1"/>
  <c r="BM7" i="1"/>
  <c r="R7" i="1"/>
  <c r="I6" i="1"/>
  <c r="L5" i="1"/>
  <c r="AE19" i="1"/>
  <c r="AM16" i="1"/>
  <c r="BG13" i="1"/>
  <c r="O12" i="1"/>
  <c r="AQ7" i="1"/>
  <c r="BP6" i="1"/>
  <c r="O8" i="1"/>
  <c r="P8" i="1" l="1"/>
  <c r="BQ6" i="1"/>
  <c r="P12" i="1"/>
  <c r="BH13" i="1"/>
  <c r="L48" i="1"/>
  <c r="K6" i="1"/>
  <c r="AJ6" i="1"/>
  <c r="AK6" i="1" s="1"/>
  <c r="AL6" i="1" s="1"/>
  <c r="J6" i="1"/>
  <c r="U6" i="1"/>
  <c r="Z7" i="1"/>
  <c r="T7" i="1"/>
  <c r="AV7" i="1"/>
  <c r="AW7" i="1" s="1"/>
  <c r="AX7" i="1" s="1"/>
  <c r="S7" i="1"/>
  <c r="AD7" i="1"/>
  <c r="BN7" i="1"/>
  <c r="AR9" i="1"/>
  <c r="AS9" i="1" s="1"/>
  <c r="AT9" i="1" s="1"/>
  <c r="N9" i="1"/>
  <c r="Q9" i="1"/>
  <c r="X9" i="1"/>
  <c r="Y9" i="1" s="1"/>
  <c r="Q10" i="1"/>
  <c r="X10" i="1"/>
  <c r="Y10" i="1" s="1"/>
  <c r="AR10" i="1"/>
  <c r="AS10" i="1" s="1"/>
  <c r="AT10" i="1" s="1"/>
  <c r="N10" i="1"/>
  <c r="BK10" i="1"/>
  <c r="BH11" i="1"/>
  <c r="BK15" i="1"/>
  <c r="M48" i="1"/>
  <c r="AR5" i="1"/>
  <c r="N5" i="1"/>
  <c r="Q5" i="1"/>
  <c r="X5" i="1"/>
  <c r="BM48" i="1"/>
  <c r="BN5" i="1"/>
  <c r="BE8" i="1"/>
  <c r="BQ12" i="1"/>
  <c r="P14" i="1"/>
  <c r="BN14" i="1"/>
  <c r="AG15" i="1"/>
  <c r="AH15" i="1" s="1"/>
  <c r="P10" i="1"/>
  <c r="K12" i="1"/>
  <c r="J12" i="1"/>
  <c r="AJ12" i="1"/>
  <c r="AK12" i="1" s="1"/>
  <c r="AL12" i="1" s="1"/>
  <c r="U12" i="1"/>
  <c r="BK17" i="1"/>
  <c r="BQ10" i="1"/>
  <c r="AG6" i="1"/>
  <c r="AH6" i="1" s="1"/>
  <c r="Q6" i="1"/>
  <c r="X6" i="1"/>
  <c r="Y6" i="1" s="1"/>
  <c r="AR6" i="1"/>
  <c r="AS6" i="1" s="1"/>
  <c r="AT6" i="1" s="1"/>
  <c r="N6" i="1"/>
  <c r="AE48" i="1"/>
  <c r="AU48" i="1"/>
  <c r="Z9" i="1"/>
  <c r="T9" i="1"/>
  <c r="AV9" i="1"/>
  <c r="AW9" i="1" s="1"/>
  <c r="AX9" i="1" s="1"/>
  <c r="AD9" i="1"/>
  <c r="S9" i="1"/>
  <c r="AG10" i="1"/>
  <c r="AH10" i="1" s="1"/>
  <c r="AR11" i="1"/>
  <c r="AS11" i="1" s="1"/>
  <c r="AT11" i="1" s="1"/>
  <c r="N11" i="1"/>
  <c r="Q11" i="1"/>
  <c r="X11" i="1"/>
  <c r="Y11" i="1" s="1"/>
  <c r="BN11" i="1"/>
  <c r="Q12" i="1"/>
  <c r="X12" i="1"/>
  <c r="Y12" i="1" s="1"/>
  <c r="AR12" i="1"/>
  <c r="AS12" i="1" s="1"/>
  <c r="AT12" i="1" s="1"/>
  <c r="N12" i="1"/>
  <c r="BH14" i="1"/>
  <c r="T15" i="1"/>
  <c r="AV15" i="1"/>
  <c r="AW15" i="1" s="1"/>
  <c r="AX15" i="1" s="1"/>
  <c r="S15" i="1"/>
  <c r="Z15" i="1"/>
  <c r="BG48" i="1"/>
  <c r="BH5" i="1"/>
  <c r="BE6" i="1"/>
  <c r="K8" i="1"/>
  <c r="AJ8" i="1"/>
  <c r="AK8" i="1" s="1"/>
  <c r="AL8" i="1" s="1"/>
  <c r="U8" i="1"/>
  <c r="J8" i="1"/>
  <c r="BK8" i="1"/>
  <c r="BH9" i="1"/>
  <c r="BK12" i="1"/>
  <c r="AI48" i="1"/>
  <c r="AQ48" i="1"/>
  <c r="P6" i="1"/>
  <c r="Q8" i="1"/>
  <c r="X8" i="1"/>
  <c r="Y8" i="1" s="1"/>
  <c r="N8" i="1"/>
  <c r="AR8" i="1"/>
  <c r="AS8" i="1" s="1"/>
  <c r="AT8" i="1" s="1"/>
  <c r="K10" i="1"/>
  <c r="AJ10" i="1"/>
  <c r="AK10" i="1" s="1"/>
  <c r="AL10" i="1" s="1"/>
  <c r="J10" i="1"/>
  <c r="U10" i="1"/>
  <c r="Z13" i="1"/>
  <c r="T13" i="1"/>
  <c r="S13" i="1"/>
  <c r="AD13" i="1"/>
  <c r="AV13" i="1"/>
  <c r="AW13" i="1" s="1"/>
  <c r="AX13" i="1" s="1"/>
  <c r="K14" i="1"/>
  <c r="U14" i="1"/>
  <c r="J14" i="1"/>
  <c r="AJ14" i="1"/>
  <c r="AK14" i="1" s="1"/>
  <c r="AL14" i="1" s="1"/>
  <c r="AC14" i="1"/>
  <c r="BE17" i="1"/>
  <c r="AR18" i="1"/>
  <c r="AS18" i="1" s="1"/>
  <c r="AT18" i="1" s="1"/>
  <c r="N18" i="1"/>
  <c r="X18" i="1"/>
  <c r="Y18" i="1" s="1"/>
  <c r="Q18" i="1"/>
  <c r="BH18" i="1"/>
  <c r="AG19" i="1"/>
  <c r="AH19" i="1" s="1"/>
  <c r="BQ19" i="1"/>
  <c r="BQ15" i="1"/>
  <c r="Q17" i="1"/>
  <c r="X17" i="1"/>
  <c r="Y17" i="1" s="1"/>
  <c r="AR17" i="1"/>
  <c r="AS17" i="1" s="1"/>
  <c r="AT17" i="1" s="1"/>
  <c r="N17" i="1"/>
  <c r="AR7" i="1"/>
  <c r="AS7" i="1" s="1"/>
  <c r="AT7" i="1" s="1"/>
  <c r="N7" i="1"/>
  <c r="X7" i="1"/>
  <c r="Y7" i="1" s="1"/>
  <c r="Q7" i="1"/>
  <c r="R48" i="1"/>
  <c r="Z5" i="1"/>
  <c r="T5" i="1"/>
  <c r="AV5" i="1"/>
  <c r="AD5" i="1"/>
  <c r="S5" i="1"/>
  <c r="BK6" i="1"/>
  <c r="BH7" i="1"/>
  <c r="AG8" i="1"/>
  <c r="AH8" i="1" s="1"/>
  <c r="BQ8" i="1"/>
  <c r="BN9" i="1"/>
  <c r="BE10" i="1"/>
  <c r="Z11" i="1"/>
  <c r="T11" i="1"/>
  <c r="AD11" i="1"/>
  <c r="AV11" i="1"/>
  <c r="AW11" i="1" s="1"/>
  <c r="AX11" i="1" s="1"/>
  <c r="S11" i="1"/>
  <c r="AG12" i="1"/>
  <c r="AH12" i="1" s="1"/>
  <c r="BE12" i="1"/>
  <c r="K15" i="1"/>
  <c r="AJ15" i="1"/>
  <c r="AK15" i="1" s="1"/>
  <c r="AL15" i="1" s="1"/>
  <c r="U15" i="1"/>
  <c r="J15" i="1"/>
  <c r="Z16" i="1"/>
  <c r="T16" i="1"/>
  <c r="AD16" i="1"/>
  <c r="AV16" i="1"/>
  <c r="AW16" i="1" s="1"/>
  <c r="AX16" i="1" s="1"/>
  <c r="S16" i="1"/>
  <c r="P18" i="1"/>
  <c r="Q19" i="1"/>
  <c r="X19" i="1"/>
  <c r="Y19" i="1" s="1"/>
  <c r="AR19" i="1"/>
  <c r="AS19" i="1" s="1"/>
  <c r="AT19" i="1" s="1"/>
  <c r="N19" i="1"/>
  <c r="BH21" i="1"/>
  <c r="S24" i="1"/>
  <c r="AV24" i="1"/>
  <c r="AW24" i="1" s="1"/>
  <c r="AX24" i="1" s="1"/>
  <c r="T24" i="1"/>
  <c r="Z24" i="1"/>
  <c r="AR30" i="1"/>
  <c r="AS30" i="1" s="1"/>
  <c r="AT30" i="1" s="1"/>
  <c r="Q30" i="1"/>
  <c r="X30" i="1"/>
  <c r="Y30" i="1" s="1"/>
  <c r="N30" i="1"/>
  <c r="Q35" i="1"/>
  <c r="N35" i="1"/>
  <c r="AR35" i="1"/>
  <c r="AS35" i="1" s="1"/>
  <c r="AT35" i="1" s="1"/>
  <c r="X35" i="1"/>
  <c r="Y35" i="1" s="1"/>
  <c r="I48" i="1"/>
  <c r="U5" i="1"/>
  <c r="AJ5" i="1"/>
  <c r="J5" i="1"/>
  <c r="K5" i="1"/>
  <c r="O48" i="1"/>
  <c r="P5" i="1"/>
  <c r="AM48" i="1"/>
  <c r="AV6" i="1"/>
  <c r="AW6" i="1" s="1"/>
  <c r="AX6" i="1" s="1"/>
  <c r="Z6" i="1"/>
  <c r="S6" i="1"/>
  <c r="T6" i="1"/>
  <c r="U7" i="1"/>
  <c r="K7" i="1"/>
  <c r="J7" i="1"/>
  <c r="AJ7" i="1"/>
  <c r="AK7" i="1" s="1"/>
  <c r="AL7" i="1" s="1"/>
  <c r="AC7" i="1"/>
  <c r="P7" i="1"/>
  <c r="AV8" i="1"/>
  <c r="AW8" i="1" s="1"/>
  <c r="AX8" i="1" s="1"/>
  <c r="T8" i="1"/>
  <c r="S8" i="1"/>
  <c r="Z8" i="1"/>
  <c r="U9" i="1"/>
  <c r="K9" i="1"/>
  <c r="AJ9" i="1"/>
  <c r="AK9" i="1" s="1"/>
  <c r="AL9" i="1" s="1"/>
  <c r="J9" i="1"/>
  <c r="P9" i="1"/>
  <c r="AV10" i="1"/>
  <c r="AW10" i="1" s="1"/>
  <c r="AX10" i="1" s="1"/>
  <c r="T10" i="1"/>
  <c r="S10" i="1"/>
  <c r="Z10" i="1"/>
  <c r="U11" i="1"/>
  <c r="AJ11" i="1"/>
  <c r="AK11" i="1" s="1"/>
  <c r="AL11" i="1" s="1"/>
  <c r="J11" i="1"/>
  <c r="K11" i="1"/>
  <c r="P11" i="1"/>
  <c r="AV12" i="1"/>
  <c r="AW12" i="1" s="1"/>
  <c r="AX12" i="1" s="1"/>
  <c r="T12" i="1"/>
  <c r="S12" i="1"/>
  <c r="Z12" i="1"/>
  <c r="U13" i="1"/>
  <c r="J13" i="1"/>
  <c r="AJ13" i="1"/>
  <c r="AK13" i="1" s="1"/>
  <c r="AL13" i="1" s="1"/>
  <c r="AC13" i="1"/>
  <c r="K13" i="1"/>
  <c r="P13" i="1"/>
  <c r="AR14" i="1"/>
  <c r="AS14" i="1" s="1"/>
  <c r="AT14" i="1" s="1"/>
  <c r="N14" i="1"/>
  <c r="X14" i="1"/>
  <c r="Y14" i="1" s="1"/>
  <c r="Q14" i="1"/>
  <c r="P15" i="1"/>
  <c r="AJ16" i="1"/>
  <c r="AK16" i="1" s="1"/>
  <c r="AL16" i="1" s="1"/>
  <c r="U16" i="1"/>
  <c r="K16" i="1"/>
  <c r="J16" i="1"/>
  <c r="BH16" i="1"/>
  <c r="AV17" i="1"/>
  <c r="AW17" i="1" s="1"/>
  <c r="AX17" i="1" s="1"/>
  <c r="S17" i="1"/>
  <c r="Z17" i="1"/>
  <c r="T17" i="1"/>
  <c r="AG17" i="1"/>
  <c r="AH17" i="1" s="1"/>
  <c r="BQ17" i="1"/>
  <c r="Z18" i="1"/>
  <c r="T18" i="1"/>
  <c r="AD18" i="1"/>
  <c r="AV18" i="1"/>
  <c r="AW18" i="1" s="1"/>
  <c r="AX18" i="1" s="1"/>
  <c r="S18" i="1"/>
  <c r="K19" i="1"/>
  <c r="AJ19" i="1"/>
  <c r="AK19" i="1" s="1"/>
  <c r="AL19" i="1" s="1"/>
  <c r="J19" i="1"/>
  <c r="U19" i="1"/>
  <c r="BE20" i="1"/>
  <c r="T22" i="1"/>
  <c r="AV22" i="1"/>
  <c r="AW22" i="1" s="1"/>
  <c r="AX22" i="1" s="1"/>
  <c r="Z22" i="1"/>
  <c r="S22" i="1"/>
  <c r="AG28" i="1"/>
  <c r="AH28" i="1" s="1"/>
  <c r="BH30" i="1"/>
  <c r="BK31" i="1"/>
  <c r="U32" i="1"/>
  <c r="AJ32" i="1"/>
  <c r="AK32" i="1" s="1"/>
  <c r="AL32" i="1" s="1"/>
  <c r="AC32" i="1"/>
  <c r="K32" i="1"/>
  <c r="J32" i="1"/>
  <c r="BQ35" i="1"/>
  <c r="S36" i="1"/>
  <c r="Z36" i="1"/>
  <c r="T36" i="1"/>
  <c r="AV36" i="1"/>
  <c r="AW36" i="1" s="1"/>
  <c r="AX36" i="1" s="1"/>
  <c r="AD36" i="1"/>
  <c r="P37" i="1"/>
  <c r="BN18" i="1"/>
  <c r="BE19" i="1"/>
  <c r="Z20" i="1"/>
  <c r="T20" i="1"/>
  <c r="AV20" i="1"/>
  <c r="AW20" i="1" s="1"/>
  <c r="AX20" i="1" s="1"/>
  <c r="AD20" i="1"/>
  <c r="S20" i="1"/>
  <c r="AR21" i="1"/>
  <c r="AS21" i="1" s="1"/>
  <c r="AT21" i="1" s="1"/>
  <c r="N21" i="1"/>
  <c r="Q21" i="1"/>
  <c r="X21" i="1"/>
  <c r="Y21" i="1" s="1"/>
  <c r="K22" i="1"/>
  <c r="AJ22" i="1"/>
  <c r="AK22" i="1" s="1"/>
  <c r="AL22" i="1" s="1"/>
  <c r="U22" i="1"/>
  <c r="J22" i="1"/>
  <c r="BK22" i="1"/>
  <c r="Q24" i="1"/>
  <c r="N24" i="1"/>
  <c r="X24" i="1"/>
  <c r="Y24" i="1" s="1"/>
  <c r="AR24" i="1"/>
  <c r="AS24" i="1" s="1"/>
  <c r="AT24" i="1" s="1"/>
  <c r="S25" i="1"/>
  <c r="Z25" i="1"/>
  <c r="T25" i="1"/>
  <c r="AV25" i="1"/>
  <c r="AW25" i="1" s="1"/>
  <c r="AX25" i="1" s="1"/>
  <c r="AD25" i="1"/>
  <c r="BN27" i="1"/>
  <c r="J28" i="1"/>
  <c r="K28" i="1"/>
  <c r="AJ28" i="1"/>
  <c r="AK28" i="1" s="1"/>
  <c r="AL28" i="1" s="1"/>
  <c r="U28" i="1"/>
  <c r="P29" i="1"/>
  <c r="Q33" i="1"/>
  <c r="X33" i="1"/>
  <c r="Y33" i="1" s="1"/>
  <c r="AR33" i="1"/>
  <c r="AS33" i="1" s="1"/>
  <c r="AT33" i="1" s="1"/>
  <c r="N33" i="1"/>
  <c r="AG33" i="1"/>
  <c r="AH33" i="1" s="1"/>
  <c r="BK33" i="1"/>
  <c r="P38" i="1"/>
  <c r="BN41" i="1"/>
  <c r="P21" i="1"/>
  <c r="BN21" i="1"/>
  <c r="AG22" i="1"/>
  <c r="AH22" i="1" s="1"/>
  <c r="S23" i="1"/>
  <c r="Z23" i="1"/>
  <c r="T23" i="1"/>
  <c r="AD23" i="1"/>
  <c r="AV23" i="1"/>
  <c r="AW23" i="1" s="1"/>
  <c r="AX23" i="1" s="1"/>
  <c r="K25" i="1"/>
  <c r="AJ25" i="1"/>
  <c r="AK25" i="1" s="1"/>
  <c r="AL25" i="1" s="1"/>
  <c r="J25" i="1"/>
  <c r="U25" i="1"/>
  <c r="AC25" i="1"/>
  <c r="Q26" i="1"/>
  <c r="AR26" i="1"/>
  <c r="AS26" i="1" s="1"/>
  <c r="AT26" i="1" s="1"/>
  <c r="N26" i="1"/>
  <c r="X26" i="1"/>
  <c r="Y26" i="1" s="1"/>
  <c r="S27" i="1"/>
  <c r="Z27" i="1"/>
  <c r="T27" i="1"/>
  <c r="AV27" i="1"/>
  <c r="AW27" i="1" s="1"/>
  <c r="AX27" i="1" s="1"/>
  <c r="AD27" i="1"/>
  <c r="J30" i="1"/>
  <c r="K30" i="1"/>
  <c r="U30" i="1"/>
  <c r="AJ30" i="1"/>
  <c r="AK30" i="1" s="1"/>
  <c r="AL30" i="1" s="1"/>
  <c r="K31" i="1"/>
  <c r="AJ31" i="1"/>
  <c r="AK31" i="1" s="1"/>
  <c r="AL31" i="1" s="1"/>
  <c r="U31" i="1"/>
  <c r="J31" i="1"/>
  <c r="BH32" i="1"/>
  <c r="BE37" i="1"/>
  <c r="J39" i="1"/>
  <c r="AJ39" i="1"/>
  <c r="AK39" i="1" s="1"/>
  <c r="AL39" i="1" s="1"/>
  <c r="K39" i="1"/>
  <c r="U39" i="1"/>
  <c r="S40" i="1"/>
  <c r="T40" i="1"/>
  <c r="Z40" i="1"/>
  <c r="AV40" i="1"/>
  <c r="AW40" i="1" s="1"/>
  <c r="AX40" i="1" s="1"/>
  <c r="K43" i="1"/>
  <c r="J43" i="1"/>
  <c r="AJ43" i="1"/>
  <c r="AK43" i="1" s="1"/>
  <c r="AL43" i="1" s="1"/>
  <c r="U43" i="1"/>
  <c r="AC43" i="1"/>
  <c r="BN43" i="1"/>
  <c r="K23" i="1"/>
  <c r="J23" i="1"/>
  <c r="U23" i="1"/>
  <c r="AC23" i="1"/>
  <c r="AJ23" i="1"/>
  <c r="AK23" i="1" s="1"/>
  <c r="AL23" i="1" s="1"/>
  <c r="P24" i="1"/>
  <c r="BH25" i="1"/>
  <c r="AC27" i="1"/>
  <c r="U27" i="1"/>
  <c r="K27" i="1"/>
  <c r="J27" i="1"/>
  <c r="AJ27" i="1"/>
  <c r="AK27" i="1" s="1"/>
  <c r="AL27" i="1" s="1"/>
  <c r="BH27" i="1"/>
  <c r="Q28" i="1"/>
  <c r="AR28" i="1"/>
  <c r="AS28" i="1" s="1"/>
  <c r="AT28" i="1" s="1"/>
  <c r="X28" i="1"/>
  <c r="Y28" i="1" s="1"/>
  <c r="N28" i="1"/>
  <c r="BK28" i="1"/>
  <c r="BN29" i="1"/>
  <c r="BN30" i="1"/>
  <c r="AG35" i="1"/>
  <c r="AH35" i="1" s="1"/>
  <c r="BN38" i="1"/>
  <c r="P43" i="1"/>
  <c r="K45" i="1"/>
  <c r="U45" i="1"/>
  <c r="J45" i="1"/>
  <c r="AJ45" i="1"/>
  <c r="AK45" i="1" s="1"/>
  <c r="AL45" i="1" s="1"/>
  <c r="AR13" i="1"/>
  <c r="AS13" i="1" s="1"/>
  <c r="AT13" i="1" s="1"/>
  <c r="N13" i="1"/>
  <c r="X13" i="1"/>
  <c r="Y13" i="1" s="1"/>
  <c r="Q13" i="1"/>
  <c r="BQ13" i="1"/>
  <c r="Q15" i="1"/>
  <c r="N15" i="1"/>
  <c r="AR15" i="1"/>
  <c r="AS15" i="1" s="1"/>
  <c r="AT15" i="1" s="1"/>
  <c r="X15" i="1"/>
  <c r="Y15" i="1" s="1"/>
  <c r="P22" i="1"/>
  <c r="AG24" i="1"/>
  <c r="AH24" i="1" s="1"/>
  <c r="Z32" i="1"/>
  <c r="T32" i="1"/>
  <c r="S32" i="1"/>
  <c r="AV32" i="1"/>
  <c r="AW32" i="1" s="1"/>
  <c r="AX32" i="1" s="1"/>
  <c r="AD32" i="1"/>
  <c r="BQ33" i="1"/>
  <c r="Z44" i="1"/>
  <c r="T44" i="1"/>
  <c r="S44" i="1"/>
  <c r="AV44" i="1"/>
  <c r="AW44" i="1" s="1"/>
  <c r="AX44" i="1" s="1"/>
  <c r="AD44" i="1"/>
  <c r="Z14" i="1"/>
  <c r="T14" i="1"/>
  <c r="AV14" i="1"/>
  <c r="AW14" i="1" s="1"/>
  <c r="AX14" i="1" s="1"/>
  <c r="S14" i="1"/>
  <c r="AD14" i="1"/>
  <c r="BE15" i="1"/>
  <c r="AR16" i="1"/>
  <c r="AS16" i="1" s="1"/>
  <c r="AT16" i="1" s="1"/>
  <c r="N16" i="1"/>
  <c r="Q16" i="1"/>
  <c r="X16" i="1"/>
  <c r="Y16" i="1" s="1"/>
  <c r="P17" i="1"/>
  <c r="J18" i="1"/>
  <c r="K18" i="1"/>
  <c r="U18" i="1"/>
  <c r="AJ18" i="1"/>
  <c r="AK18" i="1" s="1"/>
  <c r="AL18" i="1" s="1"/>
  <c r="P19" i="1"/>
  <c r="N20" i="1"/>
  <c r="AR20" i="1"/>
  <c r="AS20" i="1" s="1"/>
  <c r="AT20" i="1" s="1"/>
  <c r="X20" i="1"/>
  <c r="Y20" i="1" s="1"/>
  <c r="Q20" i="1"/>
  <c r="P26" i="1"/>
  <c r="BE26" i="1"/>
  <c r="AF48" i="1"/>
  <c r="AG48" i="1" s="1"/>
  <c r="AH48" i="1" s="1"/>
  <c r="AG5" i="1"/>
  <c r="AH5" i="1" s="1"/>
  <c r="BD48" i="1"/>
  <c r="BE5" i="1"/>
  <c r="BJ48" i="1"/>
  <c r="BK5" i="1"/>
  <c r="BP48" i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BH12" i="1"/>
  <c r="BN12" i="1"/>
  <c r="AG13" i="1"/>
  <c r="AH13" i="1" s="1"/>
  <c r="BE13" i="1"/>
  <c r="BK13" i="1"/>
  <c r="P16" i="1"/>
  <c r="BN16" i="1"/>
  <c r="K17" i="1"/>
  <c r="J17" i="1"/>
  <c r="U17" i="1"/>
  <c r="AJ17" i="1"/>
  <c r="AK17" i="1" s="1"/>
  <c r="AL17" i="1" s="1"/>
  <c r="BK19" i="1"/>
  <c r="K21" i="1"/>
  <c r="U21" i="1"/>
  <c r="AJ21" i="1"/>
  <c r="AK21" i="1" s="1"/>
  <c r="AL21" i="1" s="1"/>
  <c r="J21" i="1"/>
  <c r="BQ22" i="1"/>
  <c r="BQ24" i="1"/>
  <c r="AG26" i="1"/>
  <c r="AH26" i="1" s="1"/>
  <c r="P27" i="1"/>
  <c r="BE28" i="1"/>
  <c r="AJ29" i="1"/>
  <c r="AK29" i="1" s="1"/>
  <c r="AL29" i="1" s="1"/>
  <c r="J29" i="1"/>
  <c r="AC29" i="1"/>
  <c r="U29" i="1"/>
  <c r="K29" i="1"/>
  <c r="BH29" i="1"/>
  <c r="AV30" i="1"/>
  <c r="AW30" i="1" s="1"/>
  <c r="AX30" i="1" s="1"/>
  <c r="Z30" i="1"/>
  <c r="T30" i="1"/>
  <c r="S30" i="1"/>
  <c r="P31" i="1"/>
  <c r="AG31" i="1"/>
  <c r="AH31" i="1" s="1"/>
  <c r="S35" i="1"/>
  <c r="AV35" i="1"/>
  <c r="AW35" i="1" s="1"/>
  <c r="AX35" i="1" s="1"/>
  <c r="T35" i="1"/>
  <c r="Z35" i="1"/>
  <c r="AG37" i="1"/>
  <c r="AH37" i="1" s="1"/>
  <c r="BH39" i="1"/>
  <c r="BK40" i="1"/>
  <c r="Q42" i="1"/>
  <c r="X42" i="1"/>
  <c r="Y42" i="1" s="1"/>
  <c r="N42" i="1"/>
  <c r="AR42" i="1"/>
  <c r="AS42" i="1" s="1"/>
  <c r="AT42" i="1" s="1"/>
  <c r="BH43" i="1"/>
  <c r="P45" i="1"/>
  <c r="AV19" i="1"/>
  <c r="AW19" i="1" s="1"/>
  <c r="AX19" i="1" s="1"/>
  <c r="Z19" i="1"/>
  <c r="T19" i="1"/>
  <c r="S19" i="1"/>
  <c r="U20" i="1"/>
  <c r="AC20" i="1"/>
  <c r="K20" i="1"/>
  <c r="J20" i="1"/>
  <c r="AJ20" i="1"/>
  <c r="AK20" i="1" s="1"/>
  <c r="AL20" i="1" s="1"/>
  <c r="P20" i="1"/>
  <c r="BK20" i="1"/>
  <c r="BH23" i="1"/>
  <c r="BE24" i="1"/>
  <c r="P25" i="1"/>
  <c r="BN25" i="1"/>
  <c r="J26" i="1"/>
  <c r="K26" i="1"/>
  <c r="AJ26" i="1"/>
  <c r="AK26" i="1" s="1"/>
  <c r="AL26" i="1" s="1"/>
  <c r="U26" i="1"/>
  <c r="BK26" i="1"/>
  <c r="Z28" i="1"/>
  <c r="S28" i="1"/>
  <c r="AD28" i="1"/>
  <c r="AV28" i="1"/>
  <c r="AW28" i="1" s="1"/>
  <c r="AX28" i="1" s="1"/>
  <c r="T28" i="1"/>
  <c r="BQ28" i="1"/>
  <c r="P30" i="1"/>
  <c r="T31" i="1"/>
  <c r="AV31" i="1"/>
  <c r="AW31" i="1" s="1"/>
  <c r="AX31" i="1" s="1"/>
  <c r="Z31" i="1"/>
  <c r="S31" i="1"/>
  <c r="U34" i="1"/>
  <c r="AJ34" i="1"/>
  <c r="AK34" i="1" s="1"/>
  <c r="AL34" i="1" s="1"/>
  <c r="AC34" i="1"/>
  <c r="K34" i="1"/>
  <c r="J34" i="1"/>
  <c r="P35" i="1"/>
  <c r="BH36" i="1"/>
  <c r="AC38" i="1"/>
  <c r="U38" i="1"/>
  <c r="K38" i="1"/>
  <c r="AJ38" i="1"/>
  <c r="AK38" i="1" s="1"/>
  <c r="AL38" i="1" s="1"/>
  <c r="J38" i="1"/>
  <c r="BH38" i="1"/>
  <c r="AR39" i="1"/>
  <c r="AS39" i="1" s="1"/>
  <c r="AT39" i="1" s="1"/>
  <c r="Q39" i="1"/>
  <c r="X39" i="1"/>
  <c r="Y39" i="1" s="1"/>
  <c r="N39" i="1"/>
  <c r="Q40" i="1"/>
  <c r="AR40" i="1"/>
  <c r="AS40" i="1" s="1"/>
  <c r="AT40" i="1" s="1"/>
  <c r="X40" i="1"/>
  <c r="Y40" i="1" s="1"/>
  <c r="N40" i="1"/>
  <c r="BE40" i="1"/>
  <c r="Z41" i="1"/>
  <c r="T41" i="1"/>
  <c r="AD41" i="1"/>
  <c r="AV41" i="1"/>
  <c r="AW41" i="1" s="1"/>
  <c r="AX41" i="1" s="1"/>
  <c r="S41" i="1"/>
  <c r="K42" i="1"/>
  <c r="J42" i="1"/>
  <c r="AJ42" i="1"/>
  <c r="AK42" i="1" s="1"/>
  <c r="AL42" i="1" s="1"/>
  <c r="U42" i="1"/>
  <c r="P46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Q20" i="1"/>
  <c r="Z21" i="1"/>
  <c r="T21" i="1"/>
  <c r="AV21" i="1"/>
  <c r="AW21" i="1" s="1"/>
  <c r="AX21" i="1" s="1"/>
  <c r="S21" i="1"/>
  <c r="AD21" i="1"/>
  <c r="Q22" i="1"/>
  <c r="N22" i="1"/>
  <c r="X22" i="1"/>
  <c r="Y22" i="1" s="1"/>
  <c r="AR22" i="1"/>
  <c r="AS22" i="1" s="1"/>
  <c r="AT22" i="1" s="1"/>
  <c r="BE22" i="1"/>
  <c r="P23" i="1"/>
  <c r="BN23" i="1"/>
  <c r="J24" i="1"/>
  <c r="K24" i="1"/>
  <c r="U24" i="1"/>
  <c r="AJ24" i="1"/>
  <c r="AK24" i="1" s="1"/>
  <c r="AL24" i="1" s="1"/>
  <c r="BK24" i="1"/>
  <c r="Z26" i="1"/>
  <c r="S26" i="1"/>
  <c r="AV26" i="1"/>
  <c r="AW26" i="1" s="1"/>
  <c r="AX26" i="1" s="1"/>
  <c r="T26" i="1"/>
  <c r="AD26" i="1"/>
  <c r="BQ26" i="1"/>
  <c r="P28" i="1"/>
  <c r="S29" i="1"/>
  <c r="Z29" i="1"/>
  <c r="T29" i="1"/>
  <c r="AD29" i="1"/>
  <c r="AV29" i="1"/>
  <c r="AW29" i="1" s="1"/>
  <c r="AX29" i="1" s="1"/>
  <c r="AG30" i="1"/>
  <c r="AH30" i="1" s="1"/>
  <c r="BQ31" i="1"/>
  <c r="AV33" i="1"/>
  <c r="AW33" i="1" s="1"/>
  <c r="AX33" i="1" s="1"/>
  <c r="S33" i="1"/>
  <c r="T33" i="1"/>
  <c r="Z33" i="1"/>
  <c r="S34" i="1"/>
  <c r="Z34" i="1"/>
  <c r="T34" i="1"/>
  <c r="AD34" i="1"/>
  <c r="AV34" i="1"/>
  <c r="AW34" i="1" s="1"/>
  <c r="AX34" i="1" s="1"/>
  <c r="U36" i="1"/>
  <c r="AJ36" i="1"/>
  <c r="AK36" i="1" s="1"/>
  <c r="AL36" i="1" s="1"/>
  <c r="J36" i="1"/>
  <c r="AC36" i="1"/>
  <c r="K36" i="1"/>
  <c r="Q37" i="1"/>
  <c r="AR37" i="1"/>
  <c r="AS37" i="1" s="1"/>
  <c r="AT37" i="1" s="1"/>
  <c r="N37" i="1"/>
  <c r="X37" i="1"/>
  <c r="Y37" i="1" s="1"/>
  <c r="S38" i="1"/>
  <c r="Z38" i="1"/>
  <c r="T38" i="1"/>
  <c r="AV38" i="1"/>
  <c r="AW38" i="1" s="1"/>
  <c r="AX38" i="1" s="1"/>
  <c r="AD38" i="1"/>
  <c r="AR46" i="1"/>
  <c r="AS46" i="1" s="1"/>
  <c r="AT46" i="1" s="1"/>
  <c r="N46" i="1"/>
  <c r="X46" i="1"/>
  <c r="Y46" i="1" s="1"/>
  <c r="Q46" i="1"/>
  <c r="BH20" i="1"/>
  <c r="BN20" i="1"/>
  <c r="AG21" i="1"/>
  <c r="AH21" i="1" s="1"/>
  <c r="BE21" i="1"/>
  <c r="BK21" i="1"/>
  <c r="BQ21" i="1"/>
  <c r="BH22" i="1"/>
  <c r="BN22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P32" i="1"/>
  <c r="BN32" i="1"/>
  <c r="K33" i="1"/>
  <c r="J33" i="1"/>
  <c r="U33" i="1"/>
  <c r="AJ33" i="1"/>
  <c r="AK33" i="1" s="1"/>
  <c r="AL33" i="1" s="1"/>
  <c r="BH34" i="1"/>
  <c r="BE35" i="1"/>
  <c r="P36" i="1"/>
  <c r="BN36" i="1"/>
  <c r="J37" i="1"/>
  <c r="K37" i="1"/>
  <c r="AJ37" i="1"/>
  <c r="AK37" i="1" s="1"/>
  <c r="AL37" i="1" s="1"/>
  <c r="U37" i="1"/>
  <c r="BK37" i="1"/>
  <c r="Z39" i="1"/>
  <c r="T39" i="1"/>
  <c r="S39" i="1"/>
  <c r="AD39" i="1"/>
  <c r="AV39" i="1"/>
  <c r="AW39" i="1" s="1"/>
  <c r="AX39" i="1" s="1"/>
  <c r="AG40" i="1"/>
  <c r="AH40" i="1" s="1"/>
  <c r="P41" i="1"/>
  <c r="P42" i="1"/>
  <c r="AR43" i="1"/>
  <c r="AS43" i="1" s="1"/>
  <c r="AT43" i="1" s="1"/>
  <c r="N43" i="1"/>
  <c r="Q43" i="1"/>
  <c r="X43" i="1"/>
  <c r="Y43" i="1" s="1"/>
  <c r="K44" i="1"/>
  <c r="AJ44" i="1"/>
  <c r="AK44" i="1" s="1"/>
  <c r="AL44" i="1" s="1"/>
  <c r="U44" i="1"/>
  <c r="J44" i="1"/>
  <c r="Z45" i="1"/>
  <c r="T45" i="1"/>
  <c r="AD45" i="1"/>
  <c r="AV45" i="1"/>
  <c r="AW45" i="1" s="1"/>
  <c r="AX45" i="1" s="1"/>
  <c r="S45" i="1"/>
  <c r="AR23" i="1"/>
  <c r="AS23" i="1" s="1"/>
  <c r="AT23" i="1" s="1"/>
  <c r="N23" i="1"/>
  <c r="X23" i="1"/>
  <c r="Y23" i="1" s="1"/>
  <c r="Q23" i="1"/>
  <c r="AR25" i="1"/>
  <c r="AS25" i="1" s="1"/>
  <c r="AT25" i="1" s="1"/>
  <c r="N25" i="1"/>
  <c r="X25" i="1"/>
  <c r="Y25" i="1" s="1"/>
  <c r="Q25" i="1"/>
  <c r="AR27" i="1"/>
  <c r="AS27" i="1" s="1"/>
  <c r="AT27" i="1" s="1"/>
  <c r="N27" i="1"/>
  <c r="X27" i="1"/>
  <c r="Y27" i="1" s="1"/>
  <c r="Q27" i="1"/>
  <c r="AR29" i="1"/>
  <c r="AS29" i="1" s="1"/>
  <c r="AT29" i="1" s="1"/>
  <c r="N29" i="1"/>
  <c r="Q29" i="1"/>
  <c r="X29" i="1"/>
  <c r="Y29" i="1" s="1"/>
  <c r="Q31" i="1"/>
  <c r="N31" i="1"/>
  <c r="AR31" i="1"/>
  <c r="AS31" i="1" s="1"/>
  <c r="AT31" i="1" s="1"/>
  <c r="X31" i="1"/>
  <c r="Y31" i="1" s="1"/>
  <c r="BE31" i="1"/>
  <c r="AR32" i="1"/>
  <c r="AS32" i="1" s="1"/>
  <c r="AT32" i="1" s="1"/>
  <c r="N32" i="1"/>
  <c r="X32" i="1"/>
  <c r="Y32" i="1" s="1"/>
  <c r="Q32" i="1"/>
  <c r="P33" i="1"/>
  <c r="BE33" i="1"/>
  <c r="P34" i="1"/>
  <c r="BN34" i="1"/>
  <c r="J35" i="1"/>
  <c r="K35" i="1"/>
  <c r="AJ35" i="1"/>
  <c r="AK35" i="1" s="1"/>
  <c r="AL35" i="1" s="1"/>
  <c r="U35" i="1"/>
  <c r="BK35" i="1"/>
  <c r="Z37" i="1"/>
  <c r="S37" i="1"/>
  <c r="AD37" i="1"/>
  <c r="AV37" i="1"/>
  <c r="AW37" i="1" s="1"/>
  <c r="AX37" i="1" s="1"/>
  <c r="T37" i="1"/>
  <c r="BQ37" i="1"/>
  <c r="P39" i="1"/>
  <c r="BQ40" i="1"/>
  <c r="AR41" i="1"/>
  <c r="AS41" i="1" s="1"/>
  <c r="AT41" i="1" s="1"/>
  <c r="N41" i="1"/>
  <c r="X41" i="1"/>
  <c r="Y41" i="1" s="1"/>
  <c r="Q41" i="1"/>
  <c r="BE42" i="1"/>
  <c r="BE30" i="1"/>
  <c r="BK30" i="1"/>
  <c r="BQ30" i="1"/>
  <c r="BH31" i="1"/>
  <c r="BN31" i="1"/>
  <c r="AG32" i="1"/>
  <c r="AH32" i="1" s="1"/>
  <c r="BE32" i="1"/>
  <c r="BK32" i="1"/>
  <c r="BQ32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BN39" i="1"/>
  <c r="K40" i="1"/>
  <c r="J40" i="1"/>
  <c r="U40" i="1"/>
  <c r="AJ40" i="1"/>
  <c r="AK40" i="1" s="1"/>
  <c r="AL40" i="1" s="1"/>
  <c r="BK42" i="1"/>
  <c r="P44" i="1"/>
  <c r="Q45" i="1"/>
  <c r="AR45" i="1"/>
  <c r="AS45" i="1" s="1"/>
  <c r="AT45" i="1" s="1"/>
  <c r="N45" i="1"/>
  <c r="X45" i="1"/>
  <c r="Y45" i="1" s="1"/>
  <c r="AR34" i="1"/>
  <c r="AS34" i="1" s="1"/>
  <c r="AT34" i="1" s="1"/>
  <c r="N34" i="1"/>
  <c r="X34" i="1"/>
  <c r="Y34" i="1" s="1"/>
  <c r="Q34" i="1"/>
  <c r="AR36" i="1"/>
  <c r="AS36" i="1" s="1"/>
  <c r="AT36" i="1" s="1"/>
  <c r="N36" i="1"/>
  <c r="X36" i="1"/>
  <c r="Y36" i="1" s="1"/>
  <c r="Q36" i="1"/>
  <c r="AR38" i="1"/>
  <c r="AS38" i="1" s="1"/>
  <c r="AT38" i="1" s="1"/>
  <c r="N38" i="1"/>
  <c r="X38" i="1"/>
  <c r="Y38" i="1" s="1"/>
  <c r="Q38" i="1"/>
  <c r="P40" i="1"/>
  <c r="J41" i="1"/>
  <c r="AJ41" i="1"/>
  <c r="AK41" i="1" s="1"/>
  <c r="AL41" i="1" s="1"/>
  <c r="K41" i="1"/>
  <c r="U41" i="1"/>
  <c r="BH41" i="1"/>
  <c r="AV42" i="1"/>
  <c r="AW42" i="1" s="1"/>
  <c r="AX42" i="1" s="1"/>
  <c r="Z42" i="1"/>
  <c r="S42" i="1"/>
  <c r="AD42" i="1"/>
  <c r="T42" i="1"/>
  <c r="AG42" i="1"/>
  <c r="AH42" i="1" s="1"/>
  <c r="BQ42" i="1"/>
  <c r="Z43" i="1"/>
  <c r="T43" i="1"/>
  <c r="AV43" i="1"/>
  <c r="AW43" i="1" s="1"/>
  <c r="AX43" i="1" s="1"/>
  <c r="S43" i="1"/>
  <c r="AD43" i="1"/>
  <c r="AR44" i="1"/>
  <c r="AS44" i="1" s="1"/>
  <c r="AT44" i="1" s="1"/>
  <c r="N44" i="1"/>
  <c r="Q44" i="1"/>
  <c r="X44" i="1"/>
  <c r="Y44" i="1" s="1"/>
  <c r="AJ46" i="1"/>
  <c r="AK46" i="1" s="1"/>
  <c r="AL46" i="1" s="1"/>
  <c r="K46" i="1"/>
  <c r="U46" i="1"/>
  <c r="J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6" i="1"/>
  <c r="T46" i="1"/>
  <c r="AV46" i="1"/>
  <c r="AW46" i="1" s="1"/>
  <c r="AX46" i="1" s="1"/>
  <c r="AD46" i="1"/>
  <c r="S46" i="1"/>
  <c r="AJ47" i="1"/>
  <c r="AK47" i="1" s="1"/>
  <c r="AL47" i="1" s="1"/>
  <c r="K47" i="1"/>
  <c r="J47" i="1"/>
  <c r="U47" i="1"/>
  <c r="P47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S47" i="1"/>
  <c r="AV47" i="1"/>
  <c r="AW47" i="1" s="1"/>
  <c r="AX47" i="1" s="1"/>
  <c r="Z47" i="1"/>
  <c r="T47" i="1"/>
  <c r="X47" i="1"/>
  <c r="Y47" i="1" s="1"/>
  <c r="Q47" i="1"/>
  <c r="AR47" i="1"/>
  <c r="AS47" i="1" s="1"/>
  <c r="AT47" i="1" s="1"/>
  <c r="N47" i="1"/>
  <c r="AC5" i="1"/>
  <c r="AC11" i="1"/>
  <c r="AD17" i="1"/>
  <c r="AC18" i="1"/>
  <c r="AC17" i="1"/>
  <c r="AD30" i="1"/>
  <c r="AC8" i="1"/>
  <c r="AD10" i="1"/>
  <c r="BL48" i="1"/>
  <c r="BC48" i="1"/>
  <c r="G48" i="1"/>
  <c r="BF48" i="1"/>
  <c r="BO48" i="1"/>
  <c r="AD8" i="1"/>
  <c r="AC9" i="1"/>
  <c r="AC10" i="1"/>
  <c r="AC12" i="1"/>
  <c r="AD15" i="1"/>
  <c r="AD22" i="1"/>
  <c r="AC6" i="1"/>
  <c r="BI48" i="1"/>
  <c r="AD6" i="1"/>
  <c r="AD12" i="1"/>
  <c r="AC16" i="1"/>
  <c r="AC21" i="1"/>
  <c r="AD24" i="1"/>
  <c r="AD31" i="1"/>
  <c r="AC35" i="1"/>
  <c r="AC41" i="1"/>
  <c r="AD35" i="1"/>
  <c r="AC37" i="1"/>
  <c r="AC42" i="1"/>
  <c r="AC47" i="1"/>
  <c r="AD47" i="1"/>
  <c r="AC19" i="1"/>
  <c r="H48" i="1"/>
  <c r="AC15" i="1"/>
  <c r="AD19" i="1"/>
  <c r="AC24" i="1"/>
  <c r="AC26" i="1"/>
  <c r="AC40" i="1"/>
  <c r="AC22" i="1"/>
  <c r="AC30" i="1"/>
  <c r="AD33" i="1"/>
  <c r="AC28" i="1"/>
  <c r="AC33" i="1"/>
  <c r="AC31" i="1"/>
  <c r="AC45" i="1"/>
  <c r="AC39" i="1"/>
  <c r="AD40" i="1"/>
  <c r="AC46" i="1"/>
  <c r="AC44" i="1"/>
  <c r="I7" i="2"/>
  <c r="I48" i="2" s="1"/>
  <c r="AA7" i="2"/>
  <c r="O6" i="2"/>
  <c r="AG6" i="2"/>
  <c r="V7" i="2"/>
  <c r="Q15" i="2"/>
  <c r="AM15" i="2"/>
  <c r="U5" i="2"/>
  <c r="V6" i="2"/>
  <c r="AH6" i="2"/>
  <c r="K7" i="2"/>
  <c r="AI7" i="2"/>
  <c r="J14" i="2"/>
  <c r="R15" i="2"/>
  <c r="AN15" i="2"/>
  <c r="AK20" i="2"/>
  <c r="AE20" i="2"/>
  <c r="Y20" i="2"/>
  <c r="S20" i="2"/>
  <c r="M20" i="2"/>
  <c r="G20" i="2"/>
  <c r="AL20" i="2"/>
  <c r="AF20" i="2"/>
  <c r="Z20" i="2"/>
  <c r="T20" i="2"/>
  <c r="N20" i="2"/>
  <c r="H20" i="2"/>
  <c r="U20" i="2"/>
  <c r="AM20" i="2"/>
  <c r="AK26" i="2"/>
  <c r="AE26" i="2"/>
  <c r="Y26" i="2"/>
  <c r="S26" i="2"/>
  <c r="M26" i="2"/>
  <c r="G26" i="2"/>
  <c r="AL26" i="2"/>
  <c r="AF26" i="2"/>
  <c r="Z26" i="2"/>
  <c r="T26" i="2"/>
  <c r="N26" i="2"/>
  <c r="H26" i="2"/>
  <c r="U26" i="2"/>
  <c r="AC26" i="2"/>
  <c r="AM26" i="2"/>
  <c r="P5" i="2"/>
  <c r="AH5" i="2"/>
  <c r="K6" i="2"/>
  <c r="W6" i="2"/>
  <c r="AI6" i="2"/>
  <c r="F7" i="2"/>
  <c r="AD7" i="2"/>
  <c r="F5" i="2"/>
  <c r="L5" i="2"/>
  <c r="R5" i="2"/>
  <c r="X5" i="2"/>
  <c r="AD5" i="2"/>
  <c r="AJ5" i="2"/>
  <c r="G6" i="2"/>
  <c r="G48" i="2" s="1"/>
  <c r="M6" i="2"/>
  <c r="M48" i="2" s="1"/>
  <c r="S6" i="2"/>
  <c r="S48" i="2" s="1"/>
  <c r="Y6" i="2"/>
  <c r="AE6" i="2"/>
  <c r="AK6" i="2"/>
  <c r="H7" i="2"/>
  <c r="H48" i="2" s="1"/>
  <c r="N7" i="2"/>
  <c r="T7" i="2"/>
  <c r="T48" i="2" s="1"/>
  <c r="Z7" i="2"/>
  <c r="Z48" i="2" s="1"/>
  <c r="AF7" i="2"/>
  <c r="AL7" i="2"/>
  <c r="AL48" i="2" s="1"/>
  <c r="I8" i="2"/>
  <c r="O8" i="2"/>
  <c r="U8" i="2"/>
  <c r="AA8" i="2"/>
  <c r="AG8" i="2"/>
  <c r="J9" i="2"/>
  <c r="P9" i="2"/>
  <c r="V9" i="2"/>
  <c r="AC9" i="2"/>
  <c r="AN11" i="2"/>
  <c r="AH11" i="2"/>
  <c r="AB11" i="2"/>
  <c r="V11" i="2"/>
  <c r="P11" i="2"/>
  <c r="J11" i="2"/>
  <c r="I11" i="2"/>
  <c r="Q11" i="2"/>
  <c r="X11" i="2"/>
  <c r="AE11" i="2"/>
  <c r="AL11" i="2"/>
  <c r="J12" i="2"/>
  <c r="R12" i="2"/>
  <c r="Y12" i="2"/>
  <c r="AF12" i="2"/>
  <c r="M13" i="2"/>
  <c r="T13" i="2"/>
  <c r="AA13" i="2"/>
  <c r="AH13" i="2"/>
  <c r="F14" i="2"/>
  <c r="N14" i="2"/>
  <c r="U14" i="2"/>
  <c r="AB14" i="2"/>
  <c r="AI14" i="2"/>
  <c r="G15" i="2"/>
  <c r="O15" i="2"/>
  <c r="V15" i="2"/>
  <c r="AC15" i="2"/>
  <c r="AJ15" i="2"/>
  <c r="AN17" i="2"/>
  <c r="AH17" i="2"/>
  <c r="AB17" i="2"/>
  <c r="V17" i="2"/>
  <c r="P17" i="2"/>
  <c r="J17" i="2"/>
  <c r="AO17" i="2"/>
  <c r="AI17" i="2"/>
  <c r="AC17" i="2"/>
  <c r="W17" i="2"/>
  <c r="Q17" i="2"/>
  <c r="K17" i="2"/>
  <c r="I17" i="2"/>
  <c r="S17" i="2"/>
  <c r="AA17" i="2"/>
  <c r="AK17" i="2"/>
  <c r="M18" i="2"/>
  <c r="U18" i="2"/>
  <c r="AE18" i="2"/>
  <c r="O19" i="2"/>
  <c r="W19" i="2"/>
  <c r="AG19" i="2"/>
  <c r="F20" i="2"/>
  <c r="P20" i="2"/>
  <c r="X20" i="2"/>
  <c r="AH20" i="2"/>
  <c r="AN23" i="2"/>
  <c r="AH23" i="2"/>
  <c r="AB23" i="2"/>
  <c r="V23" i="2"/>
  <c r="P23" i="2"/>
  <c r="J23" i="2"/>
  <c r="AO23" i="2"/>
  <c r="AI23" i="2"/>
  <c r="AC23" i="2"/>
  <c r="W23" i="2"/>
  <c r="Q23" i="2"/>
  <c r="K23" i="2"/>
  <c r="I23" i="2"/>
  <c r="S23" i="2"/>
  <c r="AA23" i="2"/>
  <c r="AK23" i="2"/>
  <c r="M24" i="2"/>
  <c r="U24" i="2"/>
  <c r="AE24" i="2"/>
  <c r="O25" i="2"/>
  <c r="W25" i="2"/>
  <c r="AG25" i="2"/>
  <c r="F26" i="2"/>
  <c r="P26" i="2"/>
  <c r="X26" i="2"/>
  <c r="AH26" i="2"/>
  <c r="AN29" i="2"/>
  <c r="AH29" i="2"/>
  <c r="AB29" i="2"/>
  <c r="V29" i="2"/>
  <c r="AK29" i="2"/>
  <c r="AD29" i="2"/>
  <c r="W29" i="2"/>
  <c r="P29" i="2"/>
  <c r="J29" i="2"/>
  <c r="AL29" i="2"/>
  <c r="AE29" i="2"/>
  <c r="X29" i="2"/>
  <c r="Q29" i="2"/>
  <c r="K29" i="2"/>
  <c r="I29" i="2"/>
  <c r="S29" i="2"/>
  <c r="AC29" i="2"/>
  <c r="AO29" i="2"/>
  <c r="G31" i="2"/>
  <c r="P31" i="2"/>
  <c r="AB31" i="2"/>
  <c r="AL31" i="2"/>
  <c r="P32" i="2"/>
  <c r="Z32" i="2"/>
  <c r="P33" i="2"/>
  <c r="Y33" i="2"/>
  <c r="F37" i="2"/>
  <c r="Y37" i="2"/>
  <c r="I40" i="2"/>
  <c r="K41" i="2"/>
  <c r="Z41" i="2"/>
  <c r="L42" i="2"/>
  <c r="K43" i="2"/>
  <c r="AN46" i="2"/>
  <c r="AH46" i="2"/>
  <c r="AB46" i="2"/>
  <c r="V46" i="2"/>
  <c r="P46" i="2"/>
  <c r="J46" i="2"/>
  <c r="AO46" i="2"/>
  <c r="AI46" i="2"/>
  <c r="AC46" i="2"/>
  <c r="W46" i="2"/>
  <c r="Q46" i="2"/>
  <c r="K46" i="2"/>
  <c r="AL46" i="2"/>
  <c r="AD46" i="2"/>
  <c r="T46" i="2"/>
  <c r="L46" i="2"/>
  <c r="AM46" i="2"/>
  <c r="AE46" i="2"/>
  <c r="U46" i="2"/>
  <c r="M46" i="2"/>
  <c r="AA46" i="2"/>
  <c r="O46" i="2"/>
  <c r="Z46" i="2"/>
  <c r="N46" i="2"/>
  <c r="AF46" i="2"/>
  <c r="R46" i="2"/>
  <c r="F46" i="2"/>
  <c r="S46" i="2"/>
  <c r="O41" i="2"/>
  <c r="AK42" i="2"/>
  <c r="AE42" i="2"/>
  <c r="Y42" i="2"/>
  <c r="S42" i="2"/>
  <c r="M42" i="2"/>
  <c r="G42" i="2"/>
  <c r="AI42" i="2"/>
  <c r="AB42" i="2"/>
  <c r="U42" i="2"/>
  <c r="N42" i="2"/>
  <c r="F42" i="2"/>
  <c r="AJ42" i="2"/>
  <c r="AC42" i="2"/>
  <c r="V42" i="2"/>
  <c r="O42" i="2"/>
  <c r="H42" i="2"/>
  <c r="AM42" i="2"/>
  <c r="AA42" i="2"/>
  <c r="Q42" i="2"/>
  <c r="AN42" i="2"/>
  <c r="AD42" i="2"/>
  <c r="R42" i="2"/>
  <c r="I42" i="2"/>
  <c r="P42" i="2"/>
  <c r="AG42" i="2"/>
  <c r="AL43" i="2"/>
  <c r="AF43" i="2"/>
  <c r="Z43" i="2"/>
  <c r="T43" i="2"/>
  <c r="N43" i="2"/>
  <c r="H43" i="2"/>
  <c r="AJ43" i="2"/>
  <c r="AC43" i="2"/>
  <c r="V43" i="2"/>
  <c r="O43" i="2"/>
  <c r="G43" i="2"/>
  <c r="AK43" i="2"/>
  <c r="AD43" i="2"/>
  <c r="W43" i="2"/>
  <c r="P43" i="2"/>
  <c r="I43" i="2"/>
  <c r="AI43" i="2"/>
  <c r="Y43" i="2"/>
  <c r="M43" i="2"/>
  <c r="AM43" i="2"/>
  <c r="AA43" i="2"/>
  <c r="Q43" i="2"/>
  <c r="L43" i="2"/>
  <c r="AE43" i="2"/>
  <c r="AO40" i="2"/>
  <c r="AI40" i="2"/>
  <c r="AC40" i="2"/>
  <c r="W40" i="2"/>
  <c r="Q40" i="2"/>
  <c r="K40" i="2"/>
  <c r="AM40" i="2"/>
  <c r="AF40" i="2"/>
  <c r="Y40" i="2"/>
  <c r="R40" i="2"/>
  <c r="J40" i="2"/>
  <c r="AN40" i="2"/>
  <c r="AG40" i="2"/>
  <c r="Z40" i="2"/>
  <c r="S40" i="2"/>
  <c r="L40" i="2"/>
  <c r="AL40" i="2"/>
  <c r="AB40" i="2"/>
  <c r="P40" i="2"/>
  <c r="G40" i="2"/>
  <c r="AD40" i="2"/>
  <c r="T40" i="2"/>
  <c r="H40" i="2"/>
  <c r="N40" i="2"/>
  <c r="AE40" i="2"/>
  <c r="AJ41" i="2"/>
  <c r="AD41" i="2"/>
  <c r="X41" i="2"/>
  <c r="R41" i="2"/>
  <c r="L41" i="2"/>
  <c r="F41" i="2"/>
  <c r="AO41" i="2"/>
  <c r="AH41" i="2"/>
  <c r="AA41" i="2"/>
  <c r="T41" i="2"/>
  <c r="M41" i="2"/>
  <c r="AI41" i="2"/>
  <c r="AB41" i="2"/>
  <c r="U41" i="2"/>
  <c r="N41" i="2"/>
  <c r="G41" i="2"/>
  <c r="AM41" i="2"/>
  <c r="AC41" i="2"/>
  <c r="Q41" i="2"/>
  <c r="H41" i="2"/>
  <c r="AN41" i="2"/>
  <c r="AE41" i="2"/>
  <c r="S41" i="2"/>
  <c r="I41" i="2"/>
  <c r="P41" i="2"/>
  <c r="AG41" i="2"/>
  <c r="T42" i="2"/>
  <c r="AH42" i="2"/>
  <c r="R43" i="2"/>
  <c r="AG43" i="2"/>
  <c r="O7" i="2"/>
  <c r="AL15" i="2"/>
  <c r="AF15" i="2"/>
  <c r="Z15" i="2"/>
  <c r="T15" i="2"/>
  <c r="N15" i="2"/>
  <c r="H15" i="2"/>
  <c r="AA5" i="2"/>
  <c r="AN6" i="2"/>
  <c r="AG15" i="2"/>
  <c r="AL37" i="2"/>
  <c r="AF37" i="2"/>
  <c r="Z37" i="2"/>
  <c r="T37" i="2"/>
  <c r="N37" i="2"/>
  <c r="H37" i="2"/>
  <c r="AJ37" i="2"/>
  <c r="AC37" i="2"/>
  <c r="V37" i="2"/>
  <c r="O37" i="2"/>
  <c r="G37" i="2"/>
  <c r="AK37" i="2"/>
  <c r="AD37" i="2"/>
  <c r="W37" i="2"/>
  <c r="P37" i="2"/>
  <c r="I37" i="2"/>
  <c r="AO37" i="2"/>
  <c r="AE37" i="2"/>
  <c r="S37" i="2"/>
  <c r="J37" i="2"/>
  <c r="AG37" i="2"/>
  <c r="U37" i="2"/>
  <c r="K37" i="2"/>
  <c r="Q37" i="2"/>
  <c r="AH37" i="2"/>
  <c r="O40" i="2"/>
  <c r="AH40" i="2"/>
  <c r="V41" i="2"/>
  <c r="AK41" i="2"/>
  <c r="W42" i="2"/>
  <c r="AL42" i="2"/>
  <c r="S43" i="2"/>
  <c r="AH43" i="2"/>
  <c r="U7" i="2"/>
  <c r="AM7" i="2"/>
  <c r="AG5" i="2"/>
  <c r="Q7" i="2"/>
  <c r="V5" i="2"/>
  <c r="AN5" i="2"/>
  <c r="L7" i="2"/>
  <c r="AJ13" i="2"/>
  <c r="AD13" i="2"/>
  <c r="X13" i="2"/>
  <c r="R13" i="2"/>
  <c r="L13" i="2"/>
  <c r="F13" i="2"/>
  <c r="J13" i="2"/>
  <c r="Q13" i="2"/>
  <c r="Y13" i="2"/>
  <c r="AF13" i="2"/>
  <c r="AM13" i="2"/>
  <c r="K14" i="2"/>
  <c r="R14" i="2"/>
  <c r="Z14" i="2"/>
  <c r="AG14" i="2"/>
  <c r="L15" i="2"/>
  <c r="S15" i="2"/>
  <c r="AA15" i="2"/>
  <c r="AH15" i="2"/>
  <c r="AO15" i="2"/>
  <c r="AJ19" i="2"/>
  <c r="AD19" i="2"/>
  <c r="X19" i="2"/>
  <c r="R19" i="2"/>
  <c r="L19" i="2"/>
  <c r="F19" i="2"/>
  <c r="AK19" i="2"/>
  <c r="AE19" i="2"/>
  <c r="Y19" i="2"/>
  <c r="S19" i="2"/>
  <c r="M19" i="2"/>
  <c r="G19" i="2"/>
  <c r="K19" i="2"/>
  <c r="U19" i="2"/>
  <c r="AC19" i="2"/>
  <c r="AM19" i="2"/>
  <c r="L20" i="2"/>
  <c r="V20" i="2"/>
  <c r="AD20" i="2"/>
  <c r="AN20" i="2"/>
  <c r="AJ25" i="2"/>
  <c r="AD25" i="2"/>
  <c r="X25" i="2"/>
  <c r="R25" i="2"/>
  <c r="L25" i="2"/>
  <c r="F25" i="2"/>
  <c r="AK25" i="2"/>
  <c r="AE25" i="2"/>
  <c r="Y25" i="2"/>
  <c r="S25" i="2"/>
  <c r="M25" i="2"/>
  <c r="G25" i="2"/>
  <c r="K25" i="2"/>
  <c r="U25" i="2"/>
  <c r="AC25" i="2"/>
  <c r="AM25" i="2"/>
  <c r="L26" i="2"/>
  <c r="V26" i="2"/>
  <c r="AD26" i="2"/>
  <c r="AN26" i="2"/>
  <c r="N31" i="2"/>
  <c r="W31" i="2"/>
  <c r="AK32" i="2"/>
  <c r="AE32" i="2"/>
  <c r="Y32" i="2"/>
  <c r="S32" i="2"/>
  <c r="M32" i="2"/>
  <c r="G32" i="2"/>
  <c r="AO32" i="2"/>
  <c r="AH32" i="2"/>
  <c r="AA32" i="2"/>
  <c r="T32" i="2"/>
  <c r="L32" i="2"/>
  <c r="AI32" i="2"/>
  <c r="AB32" i="2"/>
  <c r="U32" i="2"/>
  <c r="N32" i="2"/>
  <c r="F32" i="2"/>
  <c r="K32" i="2"/>
  <c r="W32" i="2"/>
  <c r="AG32" i="2"/>
  <c r="R37" i="2"/>
  <c r="AI37" i="2"/>
  <c r="U40" i="2"/>
  <c r="AJ40" i="2"/>
  <c r="W41" i="2"/>
  <c r="AL41" i="2"/>
  <c r="J42" i="2"/>
  <c r="X42" i="2"/>
  <c r="AO42" i="2"/>
  <c r="F43" i="2"/>
  <c r="U43" i="2"/>
  <c r="AN43" i="2"/>
  <c r="AG7" i="2"/>
  <c r="U6" i="2"/>
  <c r="AM6" i="2"/>
  <c r="J7" i="2"/>
  <c r="P7" i="2"/>
  <c r="AB7" i="2"/>
  <c r="AH7" i="2"/>
  <c r="AN7" i="2"/>
  <c r="J15" i="2"/>
  <c r="AE15" i="2"/>
  <c r="O5" i="2"/>
  <c r="AM5" i="2"/>
  <c r="J6" i="2"/>
  <c r="P6" i="2"/>
  <c r="AB6" i="2"/>
  <c r="W7" i="2"/>
  <c r="AC7" i="2"/>
  <c r="AO7" i="2"/>
  <c r="AK14" i="2"/>
  <c r="AK48" i="2" s="1"/>
  <c r="AE14" i="2"/>
  <c r="Y14" i="2"/>
  <c r="S14" i="2"/>
  <c r="M14" i="2"/>
  <c r="G14" i="2"/>
  <c r="Q14" i="2"/>
  <c r="X14" i="2"/>
  <c r="AF14" i="2"/>
  <c r="AF48" i="2" s="1"/>
  <c r="AM14" i="2"/>
  <c r="K15" i="2"/>
  <c r="Y15" i="2"/>
  <c r="K20" i="2"/>
  <c r="AC20" i="2"/>
  <c r="K26" i="2"/>
  <c r="AJ31" i="2"/>
  <c r="AD31" i="2"/>
  <c r="X31" i="2"/>
  <c r="R31" i="2"/>
  <c r="L31" i="2"/>
  <c r="F31" i="2"/>
  <c r="AN31" i="2"/>
  <c r="AG31" i="2"/>
  <c r="Z31" i="2"/>
  <c r="S31" i="2"/>
  <c r="K31" i="2"/>
  <c r="AO31" i="2"/>
  <c r="AH31" i="2"/>
  <c r="AA31" i="2"/>
  <c r="T31" i="2"/>
  <c r="M31" i="2"/>
  <c r="J31" i="2"/>
  <c r="V31" i="2"/>
  <c r="AF31" i="2"/>
  <c r="J5" i="2"/>
  <c r="AB5" i="2"/>
  <c r="Q6" i="2"/>
  <c r="AC6" i="2"/>
  <c r="AO6" i="2"/>
  <c r="AO48" i="2" s="1"/>
  <c r="R7" i="2"/>
  <c r="X7" i="2"/>
  <c r="AJ7" i="2"/>
  <c r="K5" i="2"/>
  <c r="Q5" i="2"/>
  <c r="W5" i="2"/>
  <c r="AC5" i="2"/>
  <c r="AI5" i="2"/>
  <c r="F6" i="2"/>
  <c r="L6" i="2"/>
  <c r="R6" i="2"/>
  <c r="X6" i="2"/>
  <c r="AD6" i="2"/>
  <c r="G7" i="2"/>
  <c r="M7" i="2"/>
  <c r="S7" i="2"/>
  <c r="Y7" i="2"/>
  <c r="Y48" i="2" s="1"/>
  <c r="AE7" i="2"/>
  <c r="AE48" i="2" s="1"/>
  <c r="AL9" i="2"/>
  <c r="AF9" i="2"/>
  <c r="Z9" i="2"/>
  <c r="I9" i="2"/>
  <c r="O9" i="2"/>
  <c r="U9" i="2"/>
  <c r="AB9" i="2"/>
  <c r="AI9" i="2"/>
  <c r="AO12" i="2"/>
  <c r="AI12" i="2"/>
  <c r="AC12" i="2"/>
  <c r="W12" i="2"/>
  <c r="Q12" i="2"/>
  <c r="K12" i="2"/>
  <c r="I12" i="2"/>
  <c r="P12" i="2"/>
  <c r="X12" i="2"/>
  <c r="AE12" i="2"/>
  <c r="AL12" i="2"/>
  <c r="K13" i="2"/>
  <c r="S13" i="2"/>
  <c r="Z13" i="2"/>
  <c r="AG13" i="2"/>
  <c r="AN13" i="2"/>
  <c r="L14" i="2"/>
  <c r="T14" i="2"/>
  <c r="AA14" i="2"/>
  <c r="AH14" i="2"/>
  <c r="AO14" i="2"/>
  <c r="F15" i="2"/>
  <c r="M15" i="2"/>
  <c r="U15" i="2"/>
  <c r="AB15" i="2"/>
  <c r="AI15" i="2"/>
  <c r="AO18" i="2"/>
  <c r="AI18" i="2"/>
  <c r="AC18" i="2"/>
  <c r="W18" i="2"/>
  <c r="Q18" i="2"/>
  <c r="K18" i="2"/>
  <c r="AJ18" i="2"/>
  <c r="AD18" i="2"/>
  <c r="X18" i="2"/>
  <c r="R18" i="2"/>
  <c r="L18" i="2"/>
  <c r="F18" i="2"/>
  <c r="J18" i="2"/>
  <c r="T18" i="2"/>
  <c r="AB18" i="2"/>
  <c r="AL18" i="2"/>
  <c r="N19" i="2"/>
  <c r="V19" i="2"/>
  <c r="AF19" i="2"/>
  <c r="AN19" i="2"/>
  <c r="O20" i="2"/>
  <c r="W20" i="2"/>
  <c r="AG20" i="2"/>
  <c r="AO20" i="2"/>
  <c r="AO24" i="2"/>
  <c r="AI24" i="2"/>
  <c r="AC24" i="2"/>
  <c r="W24" i="2"/>
  <c r="Q24" i="2"/>
  <c r="K24" i="2"/>
  <c r="AJ24" i="2"/>
  <c r="AD24" i="2"/>
  <c r="X24" i="2"/>
  <c r="R24" i="2"/>
  <c r="L24" i="2"/>
  <c r="F24" i="2"/>
  <c r="J24" i="2"/>
  <c r="T24" i="2"/>
  <c r="AB24" i="2"/>
  <c r="AL24" i="2"/>
  <c r="N25" i="2"/>
  <c r="V25" i="2"/>
  <c r="AF25" i="2"/>
  <c r="AN25" i="2"/>
  <c r="O26" i="2"/>
  <c r="W26" i="2"/>
  <c r="AG26" i="2"/>
  <c r="AO26" i="2"/>
  <c r="O31" i="2"/>
  <c r="Y31" i="2"/>
  <c r="AK31" i="2"/>
  <c r="O32" i="2"/>
  <c r="X32" i="2"/>
  <c r="AJ32" i="2"/>
  <c r="AL33" i="2"/>
  <c r="AF33" i="2"/>
  <c r="Z33" i="2"/>
  <c r="T33" i="2"/>
  <c r="N33" i="2"/>
  <c r="H33" i="2"/>
  <c r="AI33" i="2"/>
  <c r="AB33" i="2"/>
  <c r="U33" i="2"/>
  <c r="M33" i="2"/>
  <c r="F33" i="2"/>
  <c r="AJ33" i="2"/>
  <c r="AC33" i="2"/>
  <c r="V33" i="2"/>
  <c r="O33" i="2"/>
  <c r="G33" i="2"/>
  <c r="L33" i="2"/>
  <c r="X33" i="2"/>
  <c r="AH33" i="2"/>
  <c r="X37" i="2"/>
  <c r="AM37" i="2"/>
  <c r="F40" i="2"/>
  <c r="V40" i="2"/>
  <c r="AK40" i="2"/>
  <c r="J41" i="2"/>
  <c r="Y41" i="2"/>
  <c r="K42" i="2"/>
  <c r="Z42" i="2"/>
  <c r="J43" i="2"/>
  <c r="X43" i="2"/>
  <c r="AO43" i="2"/>
  <c r="I21" i="2"/>
  <c r="O21" i="2"/>
  <c r="U21" i="2"/>
  <c r="AA21" i="2"/>
  <c r="AG21" i="2"/>
  <c r="AM21" i="2"/>
  <c r="I27" i="2"/>
  <c r="O27" i="2"/>
  <c r="U27" i="2"/>
  <c r="AA27" i="2"/>
  <c r="AG27" i="2"/>
  <c r="AM27" i="2"/>
  <c r="AK36" i="2"/>
  <c r="AE36" i="2"/>
  <c r="Y36" i="2"/>
  <c r="S36" i="2"/>
  <c r="M36" i="2"/>
  <c r="G36" i="2"/>
  <c r="AI36" i="2"/>
  <c r="AB36" i="2"/>
  <c r="U36" i="2"/>
  <c r="N36" i="2"/>
  <c r="F36" i="2"/>
  <c r="AJ36" i="2"/>
  <c r="AC36" i="2"/>
  <c r="V36" i="2"/>
  <c r="O36" i="2"/>
  <c r="H36" i="2"/>
  <c r="L36" i="2"/>
  <c r="X36" i="2"/>
  <c r="AH36" i="2"/>
  <c r="AO47" i="2"/>
  <c r="AI47" i="2"/>
  <c r="AC47" i="2"/>
  <c r="W47" i="2"/>
  <c r="Q47" i="2"/>
  <c r="K47" i="2"/>
  <c r="AJ47" i="2"/>
  <c r="AD47" i="2"/>
  <c r="X47" i="2"/>
  <c r="R47" i="2"/>
  <c r="L47" i="2"/>
  <c r="F47" i="2"/>
  <c r="AN47" i="2"/>
  <c r="AF47" i="2"/>
  <c r="V47" i="2"/>
  <c r="N47" i="2"/>
  <c r="AG47" i="2"/>
  <c r="Y47" i="2"/>
  <c r="O47" i="2"/>
  <c r="G47" i="2"/>
  <c r="M47" i="2"/>
  <c r="AA47" i="2"/>
  <c r="AM47" i="2"/>
  <c r="I10" i="2"/>
  <c r="O10" i="2"/>
  <c r="U10" i="2"/>
  <c r="AA10" i="2"/>
  <c r="AG10" i="2"/>
  <c r="I16" i="2"/>
  <c r="O16" i="2"/>
  <c r="U16" i="2"/>
  <c r="AA16" i="2"/>
  <c r="AG16" i="2"/>
  <c r="H21" i="2"/>
  <c r="N21" i="2"/>
  <c r="N48" i="2" s="1"/>
  <c r="T21" i="2"/>
  <c r="Z21" i="2"/>
  <c r="AF21" i="2"/>
  <c r="I22" i="2"/>
  <c r="O22" i="2"/>
  <c r="U22" i="2"/>
  <c r="AA22" i="2"/>
  <c r="AG22" i="2"/>
  <c r="H27" i="2"/>
  <c r="N27" i="2"/>
  <c r="T27" i="2"/>
  <c r="Z27" i="2"/>
  <c r="AF27" i="2"/>
  <c r="I28" i="2"/>
  <c r="O28" i="2"/>
  <c r="U28" i="2"/>
  <c r="AA28" i="2"/>
  <c r="AG28" i="2"/>
  <c r="AO30" i="2"/>
  <c r="AI30" i="2"/>
  <c r="AC30" i="2"/>
  <c r="W30" i="2"/>
  <c r="Q30" i="2"/>
  <c r="K30" i="2"/>
  <c r="I30" i="2"/>
  <c r="P30" i="2"/>
  <c r="X30" i="2"/>
  <c r="AE30" i="2"/>
  <c r="AL30" i="2"/>
  <c r="AJ35" i="2"/>
  <c r="AD35" i="2"/>
  <c r="X35" i="2"/>
  <c r="R35" i="2"/>
  <c r="L35" i="2"/>
  <c r="F35" i="2"/>
  <c r="AO35" i="2"/>
  <c r="AH35" i="2"/>
  <c r="AA35" i="2"/>
  <c r="T35" i="2"/>
  <c r="M35" i="2"/>
  <c r="AI35" i="2"/>
  <c r="AB35" i="2"/>
  <c r="U35" i="2"/>
  <c r="N35" i="2"/>
  <c r="G35" i="2"/>
  <c r="K35" i="2"/>
  <c r="W35" i="2"/>
  <c r="AG35" i="2"/>
  <c r="K36" i="2"/>
  <c r="W36" i="2"/>
  <c r="AG36" i="2"/>
  <c r="I34" i="2"/>
  <c r="O34" i="2"/>
  <c r="U34" i="2"/>
  <c r="AA34" i="2"/>
  <c r="AG34" i="2"/>
  <c r="AM34" i="2"/>
  <c r="AN39" i="2"/>
  <c r="AH39" i="2"/>
  <c r="AB39" i="2"/>
  <c r="V39" i="2"/>
  <c r="P39" i="2"/>
  <c r="J39" i="2"/>
  <c r="I39" i="2"/>
  <c r="Q39" i="2"/>
  <c r="X39" i="2"/>
  <c r="AE39" i="2"/>
  <c r="AL39" i="2"/>
  <c r="I38" i="2"/>
  <c r="O38" i="2"/>
  <c r="U38" i="2"/>
  <c r="AA38" i="2"/>
  <c r="AG38" i="2"/>
  <c r="I44" i="2"/>
  <c r="O44" i="2"/>
  <c r="U44" i="2"/>
  <c r="AA44" i="2"/>
  <c r="AG44" i="2"/>
  <c r="J45" i="2"/>
  <c r="P45" i="2"/>
  <c r="V45" i="2"/>
  <c r="AB45" i="2"/>
  <c r="AH45" i="2"/>
  <c r="AN45" i="2"/>
  <c r="I45" i="2"/>
  <c r="O45" i="2"/>
  <c r="U45" i="2"/>
  <c r="AA45" i="2"/>
  <c r="AG45" i="2"/>
  <c r="AA43" i="1" l="1"/>
  <c r="AZ43" i="1"/>
  <c r="BA43" i="1" s="1"/>
  <c r="BB43" i="1" s="1"/>
  <c r="AB43" i="1"/>
  <c r="AA42" i="1"/>
  <c r="AB42" i="1"/>
  <c r="AZ42" i="1"/>
  <c r="BA42" i="1" s="1"/>
  <c r="BB42" i="1" s="1"/>
  <c r="AN35" i="1"/>
  <c r="AO35" i="1" s="1"/>
  <c r="AP35" i="1" s="1"/>
  <c r="V35" i="1"/>
  <c r="W35" i="1"/>
  <c r="AZ34" i="1"/>
  <c r="BA34" i="1" s="1"/>
  <c r="BB34" i="1" s="1"/>
  <c r="AB34" i="1"/>
  <c r="AA34" i="1"/>
  <c r="AA21" i="1"/>
  <c r="AZ21" i="1"/>
  <c r="BA21" i="1" s="1"/>
  <c r="BB21" i="1" s="1"/>
  <c r="AB21" i="1"/>
  <c r="AN26" i="1"/>
  <c r="AO26" i="1" s="1"/>
  <c r="AP26" i="1" s="1"/>
  <c r="V26" i="1"/>
  <c r="W26" i="1"/>
  <c r="AB30" i="1"/>
  <c r="AZ30" i="1"/>
  <c r="BA30" i="1" s="1"/>
  <c r="BB30" i="1" s="1"/>
  <c r="AA30" i="1"/>
  <c r="BQ48" i="1"/>
  <c r="V32" i="1"/>
  <c r="W32" i="1"/>
  <c r="AN32" i="1"/>
  <c r="AO32" i="1" s="1"/>
  <c r="AP32" i="1" s="1"/>
  <c r="AN11" i="1"/>
  <c r="AO11" i="1" s="1"/>
  <c r="AP11" i="1" s="1"/>
  <c r="W11" i="1"/>
  <c r="V11" i="1"/>
  <c r="U48" i="1"/>
  <c r="V5" i="1"/>
  <c r="AN5" i="1"/>
  <c r="W5" i="1"/>
  <c r="AB16" i="1"/>
  <c r="AZ16" i="1"/>
  <c r="BA16" i="1" s="1"/>
  <c r="BB16" i="1" s="1"/>
  <c r="AA16" i="1"/>
  <c r="W8" i="1"/>
  <c r="AN8" i="1"/>
  <c r="AO8" i="1" s="1"/>
  <c r="AP8" i="1" s="1"/>
  <c r="V8" i="1"/>
  <c r="AB15" i="1"/>
  <c r="AA15" i="1"/>
  <c r="AZ15" i="1"/>
  <c r="BA15" i="1" s="1"/>
  <c r="BB15" i="1" s="1"/>
  <c r="AC48" i="1"/>
  <c r="AZ47" i="1"/>
  <c r="BA47" i="1" s="1"/>
  <c r="BB47" i="1" s="1"/>
  <c r="AB47" i="1"/>
  <c r="AA47" i="1"/>
  <c r="AA46" i="1"/>
  <c r="AB46" i="1"/>
  <c r="AZ46" i="1"/>
  <c r="BA46" i="1" s="1"/>
  <c r="BB46" i="1" s="1"/>
  <c r="W46" i="1"/>
  <c r="V46" i="1"/>
  <c r="AN46" i="1"/>
  <c r="AO46" i="1" s="1"/>
  <c r="AP46" i="1" s="1"/>
  <c r="AZ45" i="1"/>
  <c r="BA45" i="1" s="1"/>
  <c r="BB45" i="1" s="1"/>
  <c r="AB45" i="1"/>
  <c r="AA45" i="1"/>
  <c r="AN37" i="1"/>
  <c r="AO37" i="1" s="1"/>
  <c r="AP37" i="1" s="1"/>
  <c r="V37" i="1"/>
  <c r="W37" i="1"/>
  <c r="AZ26" i="1"/>
  <c r="BA26" i="1" s="1"/>
  <c r="BB26" i="1" s="1"/>
  <c r="AB26" i="1"/>
  <c r="AA26" i="1"/>
  <c r="AZ41" i="1"/>
  <c r="BA41" i="1" s="1"/>
  <c r="BB41" i="1" s="1"/>
  <c r="AA41" i="1"/>
  <c r="AB41" i="1"/>
  <c r="AA31" i="1"/>
  <c r="AB31" i="1"/>
  <c r="AZ31" i="1"/>
  <c r="BA31" i="1" s="1"/>
  <c r="BB31" i="1" s="1"/>
  <c r="W17" i="1"/>
  <c r="V17" i="1"/>
  <c r="AN17" i="1"/>
  <c r="AO17" i="1" s="1"/>
  <c r="AP17" i="1" s="1"/>
  <c r="AZ40" i="1"/>
  <c r="BA40" i="1" s="1"/>
  <c r="BB40" i="1" s="1"/>
  <c r="AB40" i="1"/>
  <c r="AA40" i="1"/>
  <c r="AN28" i="1"/>
  <c r="AO28" i="1" s="1"/>
  <c r="AP28" i="1" s="1"/>
  <c r="V28" i="1"/>
  <c r="W28" i="1"/>
  <c r="AB10" i="1"/>
  <c r="AA10" i="1"/>
  <c r="AZ10" i="1"/>
  <c r="BA10" i="1" s="1"/>
  <c r="BB10" i="1" s="1"/>
  <c r="W7" i="1"/>
  <c r="AN7" i="1"/>
  <c r="AO7" i="1" s="1"/>
  <c r="AP7" i="1" s="1"/>
  <c r="V7" i="1"/>
  <c r="K48" i="1"/>
  <c r="J48" i="1"/>
  <c r="AD48" i="1"/>
  <c r="AA9" i="1"/>
  <c r="AB9" i="1"/>
  <c r="AZ9" i="1"/>
  <c r="BA9" i="1" s="1"/>
  <c r="BB9" i="1" s="1"/>
  <c r="AN36" i="1"/>
  <c r="AO36" i="1" s="1"/>
  <c r="AP36" i="1" s="1"/>
  <c r="V36" i="1"/>
  <c r="W36" i="1"/>
  <c r="AZ33" i="1"/>
  <c r="BA33" i="1" s="1"/>
  <c r="BB33" i="1" s="1"/>
  <c r="AA33" i="1"/>
  <c r="AB33" i="1"/>
  <c r="AN20" i="1"/>
  <c r="AO20" i="1" s="1"/>
  <c r="AP20" i="1" s="1"/>
  <c r="W20" i="1"/>
  <c r="V20" i="1"/>
  <c r="BK48" i="1"/>
  <c r="AN43" i="1"/>
  <c r="AO43" i="1" s="1"/>
  <c r="AP43" i="1" s="1"/>
  <c r="V43" i="1"/>
  <c r="W43" i="1"/>
  <c r="P48" i="1"/>
  <c r="W15" i="1"/>
  <c r="V15" i="1"/>
  <c r="AN15" i="1"/>
  <c r="AO15" i="1" s="1"/>
  <c r="AP15" i="1" s="1"/>
  <c r="AV48" i="1"/>
  <c r="AW48" i="1" s="1"/>
  <c r="AX48" i="1" s="1"/>
  <c r="AW5" i="1"/>
  <c r="AX5" i="1" s="1"/>
  <c r="AN14" i="1"/>
  <c r="AO14" i="1" s="1"/>
  <c r="AP14" i="1" s="1"/>
  <c r="W14" i="1"/>
  <c r="V14" i="1"/>
  <c r="AA13" i="1"/>
  <c r="AZ13" i="1"/>
  <c r="BA13" i="1" s="1"/>
  <c r="BB13" i="1" s="1"/>
  <c r="AB13" i="1"/>
  <c r="AY48" i="1"/>
  <c r="AR48" i="1"/>
  <c r="AS48" i="1" s="1"/>
  <c r="AT48" i="1" s="1"/>
  <c r="AS5" i="1"/>
  <c r="AT5" i="1" s="1"/>
  <c r="AA7" i="1"/>
  <c r="AZ7" i="1"/>
  <c r="BA7" i="1" s="1"/>
  <c r="BB7" i="1" s="1"/>
  <c r="AB7" i="1"/>
  <c r="W41" i="1"/>
  <c r="AN41" i="1"/>
  <c r="AO41" i="1" s="1"/>
  <c r="AP41" i="1" s="1"/>
  <c r="V41" i="1"/>
  <c r="W40" i="1"/>
  <c r="V40" i="1"/>
  <c r="AN40" i="1"/>
  <c r="AO40" i="1" s="1"/>
  <c r="AP40" i="1" s="1"/>
  <c r="W44" i="1"/>
  <c r="AN44" i="1"/>
  <c r="AO44" i="1" s="1"/>
  <c r="AP44" i="1" s="1"/>
  <c r="V44" i="1"/>
  <c r="AN38" i="1"/>
  <c r="AO38" i="1" s="1"/>
  <c r="AP38" i="1" s="1"/>
  <c r="V38" i="1"/>
  <c r="W38" i="1"/>
  <c r="AN21" i="1"/>
  <c r="AO21" i="1" s="1"/>
  <c r="AP21" i="1" s="1"/>
  <c r="W21" i="1"/>
  <c r="V21" i="1"/>
  <c r="W18" i="1"/>
  <c r="AN18" i="1"/>
  <c r="AO18" i="1" s="1"/>
  <c r="AP18" i="1" s="1"/>
  <c r="V18" i="1"/>
  <c r="AA44" i="1"/>
  <c r="AB44" i="1"/>
  <c r="AZ44" i="1"/>
  <c r="BA44" i="1" s="1"/>
  <c r="BB44" i="1" s="1"/>
  <c r="AB32" i="1"/>
  <c r="AZ32" i="1"/>
  <c r="BA32" i="1" s="1"/>
  <c r="BB32" i="1" s="1"/>
  <c r="AA32" i="1"/>
  <c r="AN27" i="1"/>
  <c r="AO27" i="1" s="1"/>
  <c r="AP27" i="1" s="1"/>
  <c r="V27" i="1"/>
  <c r="W27" i="1"/>
  <c r="W23" i="1"/>
  <c r="V23" i="1"/>
  <c r="AN23" i="1"/>
  <c r="AO23" i="1" s="1"/>
  <c r="AP23" i="1" s="1"/>
  <c r="AN30" i="1"/>
  <c r="AO30" i="1" s="1"/>
  <c r="AP30" i="1" s="1"/>
  <c r="V30" i="1"/>
  <c r="W30" i="1"/>
  <c r="AA27" i="1"/>
  <c r="AZ27" i="1"/>
  <c r="BA27" i="1" s="1"/>
  <c r="BB27" i="1" s="1"/>
  <c r="AB27" i="1"/>
  <c r="AB25" i="1"/>
  <c r="AZ25" i="1"/>
  <c r="BA25" i="1" s="1"/>
  <c r="BB25" i="1" s="1"/>
  <c r="AA25" i="1"/>
  <c r="W19" i="1"/>
  <c r="V19" i="1"/>
  <c r="AN19" i="1"/>
  <c r="AO19" i="1" s="1"/>
  <c r="AP19" i="1" s="1"/>
  <c r="AZ17" i="1"/>
  <c r="BA17" i="1" s="1"/>
  <c r="BB17" i="1" s="1"/>
  <c r="AA17" i="1"/>
  <c r="AB17" i="1"/>
  <c r="V16" i="1"/>
  <c r="W16" i="1"/>
  <c r="AN16" i="1"/>
  <c r="AO16" i="1" s="1"/>
  <c r="AP16" i="1" s="1"/>
  <c r="V13" i="1"/>
  <c r="AN13" i="1"/>
  <c r="AO13" i="1" s="1"/>
  <c r="AP13" i="1" s="1"/>
  <c r="W13" i="1"/>
  <c r="AN9" i="1"/>
  <c r="AO9" i="1" s="1"/>
  <c r="AP9" i="1" s="1"/>
  <c r="V9" i="1"/>
  <c r="W9" i="1"/>
  <c r="W10" i="1"/>
  <c r="AN10" i="1"/>
  <c r="AO10" i="1" s="1"/>
  <c r="AP10" i="1" s="1"/>
  <c r="V10" i="1"/>
  <c r="N48" i="1"/>
  <c r="Q48" i="1"/>
  <c r="W6" i="1"/>
  <c r="AN6" i="1"/>
  <c r="AO6" i="1" s="1"/>
  <c r="AP6" i="1" s="1"/>
  <c r="V6" i="1"/>
  <c r="AZ37" i="1"/>
  <c r="BA37" i="1" s="1"/>
  <c r="BB37" i="1" s="1"/>
  <c r="AB37" i="1"/>
  <c r="AA37" i="1"/>
  <c r="AN33" i="1"/>
  <c r="AO33" i="1" s="1"/>
  <c r="AP33" i="1" s="1"/>
  <c r="W33" i="1"/>
  <c r="V33" i="1"/>
  <c r="AA38" i="1"/>
  <c r="AZ38" i="1"/>
  <c r="BA38" i="1" s="1"/>
  <c r="BB38" i="1" s="1"/>
  <c r="AB38" i="1"/>
  <c r="AN24" i="1"/>
  <c r="AO24" i="1" s="1"/>
  <c r="AP24" i="1" s="1"/>
  <c r="V24" i="1"/>
  <c r="W24" i="1"/>
  <c r="AZ35" i="1"/>
  <c r="BA35" i="1" s="1"/>
  <c r="BB35" i="1" s="1"/>
  <c r="AB35" i="1"/>
  <c r="AA35" i="1"/>
  <c r="W29" i="1"/>
  <c r="AN29" i="1"/>
  <c r="AO29" i="1" s="1"/>
  <c r="AP29" i="1" s="1"/>
  <c r="V29" i="1"/>
  <c r="BE48" i="1"/>
  <c r="AA14" i="1"/>
  <c r="AB14" i="1"/>
  <c r="AZ14" i="1"/>
  <c r="BA14" i="1" s="1"/>
  <c r="BB14" i="1" s="1"/>
  <c r="AN25" i="1"/>
  <c r="AO25" i="1" s="1"/>
  <c r="AP25" i="1" s="1"/>
  <c r="V25" i="1"/>
  <c r="W25" i="1"/>
  <c r="AA20" i="1"/>
  <c r="AZ20" i="1"/>
  <c r="BA20" i="1" s="1"/>
  <c r="BB20" i="1" s="1"/>
  <c r="AB20" i="1"/>
  <c r="AZ12" i="1"/>
  <c r="BA12" i="1" s="1"/>
  <c r="BB12" i="1" s="1"/>
  <c r="AB12" i="1"/>
  <c r="AA12" i="1"/>
  <c r="AB8" i="1"/>
  <c r="AA8" i="1"/>
  <c r="AZ8" i="1"/>
  <c r="BA8" i="1" s="1"/>
  <c r="BB8" i="1" s="1"/>
  <c r="AZ6" i="1"/>
  <c r="BA6" i="1" s="1"/>
  <c r="BB6" i="1" s="1"/>
  <c r="AB6" i="1"/>
  <c r="AA6" i="1"/>
  <c r="AZ24" i="1"/>
  <c r="BA24" i="1" s="1"/>
  <c r="BB24" i="1" s="1"/>
  <c r="AB24" i="1"/>
  <c r="AA24" i="1"/>
  <c r="Z48" i="1"/>
  <c r="AA5" i="1"/>
  <c r="AB5" i="1"/>
  <c r="AZ5" i="1"/>
  <c r="BA5" i="1" s="1"/>
  <c r="BB5" i="1" s="1"/>
  <c r="BN48" i="1"/>
  <c r="AZ28" i="1"/>
  <c r="BA28" i="1" s="1"/>
  <c r="BB28" i="1" s="1"/>
  <c r="AB28" i="1"/>
  <c r="AA28" i="1"/>
  <c r="V39" i="1"/>
  <c r="W39" i="1"/>
  <c r="AN39" i="1"/>
  <c r="AO39" i="1" s="1"/>
  <c r="AP39" i="1" s="1"/>
  <c r="W47" i="1"/>
  <c r="AN47" i="1"/>
  <c r="AO47" i="1" s="1"/>
  <c r="AP47" i="1" s="1"/>
  <c r="V47" i="1"/>
  <c r="AB39" i="1"/>
  <c r="AA39" i="1"/>
  <c r="AZ39" i="1"/>
  <c r="BA39" i="1" s="1"/>
  <c r="BB39" i="1" s="1"/>
  <c r="AB29" i="1"/>
  <c r="AA29" i="1"/>
  <c r="AZ29" i="1"/>
  <c r="BA29" i="1" s="1"/>
  <c r="BB29" i="1" s="1"/>
  <c r="W42" i="1"/>
  <c r="AN42" i="1"/>
  <c r="AO42" i="1" s="1"/>
  <c r="AP42" i="1" s="1"/>
  <c r="V42" i="1"/>
  <c r="W34" i="1"/>
  <c r="AN34" i="1"/>
  <c r="AO34" i="1" s="1"/>
  <c r="AP34" i="1" s="1"/>
  <c r="V34" i="1"/>
  <c r="AZ19" i="1"/>
  <c r="BA19" i="1" s="1"/>
  <c r="BB19" i="1" s="1"/>
  <c r="AB19" i="1"/>
  <c r="AA19" i="1"/>
  <c r="W45" i="1"/>
  <c r="AN45" i="1"/>
  <c r="AO45" i="1" s="1"/>
  <c r="AP45" i="1" s="1"/>
  <c r="V45" i="1"/>
  <c r="W31" i="1"/>
  <c r="AN31" i="1"/>
  <c r="AO31" i="1" s="1"/>
  <c r="AP31" i="1" s="1"/>
  <c r="V31" i="1"/>
  <c r="AZ23" i="1"/>
  <c r="BA23" i="1" s="1"/>
  <c r="BB23" i="1" s="1"/>
  <c r="AA23" i="1"/>
  <c r="AB23" i="1"/>
  <c r="W22" i="1"/>
  <c r="V22" i="1"/>
  <c r="AN22" i="1"/>
  <c r="AO22" i="1" s="1"/>
  <c r="AP22" i="1" s="1"/>
  <c r="AZ36" i="1"/>
  <c r="BA36" i="1" s="1"/>
  <c r="BB36" i="1" s="1"/>
  <c r="AB36" i="1"/>
  <c r="AA36" i="1"/>
  <c r="AA22" i="1"/>
  <c r="AB22" i="1"/>
  <c r="AZ22" i="1"/>
  <c r="BA22" i="1" s="1"/>
  <c r="BB22" i="1" s="1"/>
  <c r="AZ18" i="1"/>
  <c r="BA18" i="1" s="1"/>
  <c r="BB18" i="1" s="1"/>
  <c r="AA18" i="1"/>
  <c r="AB18" i="1"/>
  <c r="AJ48" i="1"/>
  <c r="AK48" i="1" s="1"/>
  <c r="AL48" i="1" s="1"/>
  <c r="AK5" i="1"/>
  <c r="AL5" i="1" s="1"/>
  <c r="AA11" i="1"/>
  <c r="AB11" i="1"/>
  <c r="AZ11" i="1"/>
  <c r="BA11" i="1" s="1"/>
  <c r="BB11" i="1" s="1"/>
  <c r="T48" i="1"/>
  <c r="S48" i="1"/>
  <c r="BH48" i="1"/>
  <c r="W12" i="1"/>
  <c r="V12" i="1"/>
  <c r="AN12" i="1"/>
  <c r="AO12" i="1" s="1"/>
  <c r="AP12" i="1" s="1"/>
  <c r="X48" i="1"/>
  <c r="Y48" i="1" s="1"/>
  <c r="Y5" i="1"/>
  <c r="W48" i="2"/>
  <c r="Q48" i="2"/>
  <c r="AC48" i="2"/>
  <c r="X48" i="2"/>
  <c r="AG48" i="2"/>
  <c r="R48" i="2"/>
  <c r="L48" i="2"/>
  <c r="F48" i="2"/>
  <c r="AH48" i="2"/>
  <c r="AN48" i="2"/>
  <c r="AA48" i="2"/>
  <c r="AJ48" i="2"/>
  <c r="P48" i="2"/>
  <c r="K48" i="2"/>
  <c r="AB48" i="2"/>
  <c r="AM48" i="2"/>
  <c r="AI48" i="2"/>
  <c r="J48" i="2"/>
  <c r="O48" i="2"/>
  <c r="V48" i="2"/>
  <c r="AD48" i="2"/>
  <c r="U48" i="2"/>
  <c r="W48" i="1" l="1"/>
  <c r="V48" i="1"/>
  <c r="AA48" i="1"/>
  <c r="AZ48" i="1"/>
  <c r="BA48" i="1" s="1"/>
  <c r="BB48" i="1" s="1"/>
  <c r="AB48" i="1"/>
  <c r="AN48" i="1"/>
  <c r="AO48" i="1" s="1"/>
  <c r="AP48" i="1" s="1"/>
  <c r="AO5" i="1"/>
  <c r="AP5" i="1" s="1"/>
</calcChain>
</file>

<file path=xl/sharedStrings.xml><?xml version="1.0" encoding="utf-8"?>
<sst xmlns="http://schemas.openxmlformats.org/spreadsheetml/2006/main" count="265" uniqueCount="117">
  <si>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</si>
  <si>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</si>
  <si>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</si>
  <si>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</si>
  <si>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</si>
  <si>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</si>
  <si>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</si>
  <si>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</si>
  <si>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</si>
  <si>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</si>
  <si>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</si>
  <si>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</si>
  <si>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</si>
  <si>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</si>
  <si>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</si>
  <si>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</si>
  <si>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</si>
  <si>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</si>
  <si>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</si>
  <si>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</si>
  <si>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</si>
  <si>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</si>
  <si>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</si>
  <si>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</si>
  <si>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</si>
  <si>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</si>
  <si>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</si>
  <si>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</si>
  <si>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</si>
  <si>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</si>
  <si>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</si>
  <si>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</si>
  <si>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</si>
  <si>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</si>
  <si>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</si>
  <si>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</si>
  <si>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</si>
  <si>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</si>
  <si>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</si>
  <si>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</si>
  <si>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</si>
  <si>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</si>
  <si>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</si>
  <si>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</si>
  <si>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</si>
  <si>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</si>
  <si>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</si>
  <si>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</si>
  <si>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</si>
  <si>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</si>
  <si>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</si>
  <si>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</si>
  <si>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</si>
  <si>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</si>
  <si>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</si>
  <si>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</si>
  <si>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</si>
  <si>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</si>
  <si>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</si>
  <si>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</si>
  <si>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</si>
  <si>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</si>
  <si>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</si>
  <si>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</si>
  <si>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</si>
  <si>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</si>
  <si>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</si>
  <si>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</si>
  <si>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</si>
  <si>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</si>
  <si>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</si>
  <si>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</si>
  <si>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</si>
  <si>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</si>
  <si>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</si>
  <si>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</si>
  <si>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</si>
  <si>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</si>
  <si>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</si>
  <si>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</si>
  <si>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</si>
  <si>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</si>
  <si>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</si>
  <si>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</si>
  <si>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</si>
  <si>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</si>
  <si>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</si>
  <si>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</si>
  <si>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</si>
  <si>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</si>
  <si>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</si>
  <si>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</si>
  <si>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</si>
  <si>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</si>
  <si>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</si>
  <si>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</si>
  <si>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</si>
  <si>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</si>
  <si>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</si>
  <si>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</si>
  <si>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</si>
  <si>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</si>
  <si>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</si>
  <si>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</si>
  <si>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</si>
  <si>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</si>
  <si>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</si>
  <si>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</si>
  <si>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</si>
  <si>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</si>
  <si>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</si>
  <si>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</si>
  <si>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Value</t>
  </si>
  <si>
    <t>Qty</t>
  </si>
  <si>
    <t>HEADSTORE</t>
  </si>
  <si>
    <t>ID STORE</t>
  </si>
  <si>
    <t>SALES QTY &amp; VALUE PER TYPE (RUPIAH) - LINKED FROM 'SALES PERTYPE' PIVOT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</si>
</sst>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6" x14ac:knownFonts="1">
    <font>
      <sz val="12"/>
      <color theme="1"/>
      <name val="Aptos Narrow"/>
      <charset val="134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  <font>
      <sz val="12"/>
      <color theme="1"/>
      <name val="Aptos Narrow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</fills>
  <borders count="43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192">
    <xf numFmtId="0" fontId="0" fillId="0" borderId="0" xfId="0"/>
    <xf numFmtId="164" fontId="1" fillId="12" borderId="30" xfId="0" applyNumberFormat="1" applyFont="1" applyFill="1" applyBorder="1" applyAlignment="1">
      <alignment horizontal="left" vertical="center"/>
    </xf>
    <xf numFmtId="0" fontId="2" fillId="4" borderId="37" xfId="0" applyFont="1" applyFill="1" applyBorder="1" applyAlignment="1">
      <alignment horizontal="center"/>
    </xf>
    <xf numFmtId="0" fontId="2" fillId="4" borderId="38" xfId="0" applyFont="1" applyFill="1" applyBorder="1" applyAlignment="1">
      <alignment horizontal="center"/>
    </xf>
    <xf numFmtId="1" fontId="2" fillId="4" borderId="39" xfId="0" applyNumberFormat="1" applyFont="1" applyFill="1" applyBorder="1" applyAlignment="1">
      <alignment horizontal="center"/>
    </xf>
    <xf numFmtId="3" fontId="2" fillId="4" borderId="40" xfId="0" applyNumberFormat="1" applyFont="1" applyFill="1" applyBorder="1" applyAlignment="1">
      <alignment horizontal="center"/>
    </xf>
    <xf numFmtId="9" fontId="2" fillId="4" borderId="41" xfId="0" applyNumberFormat="1" applyFont="1" applyFill="1" applyBorder="1" applyAlignment="1">
      <alignment horizontal="center"/>
    </xf>
    <xf numFmtId="1" fontId="2" fillId="4" borderId="37" xfId="0" applyNumberFormat="1" applyFont="1" applyFill="1" applyBorder="1" applyAlignment="1">
      <alignment horizontal="center"/>
    </xf>
    <xf numFmtId="9" fontId="2" fillId="4" borderId="37" xfId="0" applyNumberFormat="1" applyFont="1" applyFill="1" applyBorder="1" applyAlignment="1">
      <alignment horizontal="center"/>
    </xf>
    <xf numFmtId="3" fontId="2" fillId="4" borderId="37" xfId="0" applyNumberFormat="1" applyFont="1" applyFill="1" applyBorder="1" applyAlignment="1">
      <alignment horizontal="center"/>
    </xf>
    <xf numFmtId="3" fontId="2" fillId="4" borderId="38" xfId="0" applyNumberFormat="1" applyFont="1" applyFill="1" applyBorder="1" applyAlignment="1">
      <alignment horizontal="center"/>
    </xf>
    <xf numFmtId="165" fontId="2" fillId="4" borderId="39" xfId="0" applyNumberFormat="1" applyFont="1" applyFill="1" applyBorder="1" applyAlignment="1">
      <alignment horizontal="center"/>
    </xf>
    <xf numFmtId="9" fontId="2" fillId="4" borderId="38" xfId="0" applyNumberFormat="1" applyFont="1" applyFill="1" applyBorder="1" applyAlignment="1">
      <alignment horizontal="center"/>
    </xf>
    <xf numFmtId="166" fontId="2" fillId="4" borderId="39" xfId="0" applyNumberFormat="1" applyFont="1" applyFill="1" applyBorder="1" applyAlignment="1">
      <alignment horizontal="center"/>
    </xf>
    <xf numFmtId="1" fontId="2" fillId="4" borderId="41" xfId="0" applyNumberFormat="1" applyFont="1" applyFill="1" applyBorder="1" applyAlignment="1">
      <alignment horizontal="center"/>
    </xf>
    <xf numFmtId="0" fontId="2" fillId="4" borderId="39" xfId="0" applyFont="1" applyFill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9" fontId="2" fillId="4" borderId="42" xfId="0" applyNumberFormat="1" applyFont="1" applyFill="1" applyBorder="1" applyAlignment="1">
      <alignment horizontal="center"/>
    </xf>
    <xf numFmtId="0" fontId="4" fillId="0" borderId="0" xfId="2"/>
    <xf numFmtId="0" fontId="10" fillId="2" borderId="2" xfId="0" applyFont="1" applyFill="1" applyBorder="1" applyAlignment="1">
      <alignment horizontal="right" vertical="center"/>
    </xf>
    <xf numFmtId="0" fontId="10" fillId="2" borderId="3" xfId="0" applyFont="1" applyFill="1" applyBorder="1" applyAlignment="1">
      <alignment vertical="center"/>
    </xf>
    <xf numFmtId="0" fontId="10" fillId="2" borderId="9" xfId="0" applyFont="1" applyFill="1" applyBorder="1" applyAlignment="1">
      <alignment horizontal="right" vertical="center" wrapText="1"/>
    </xf>
    <xf numFmtId="9" fontId="10" fillId="2" borderId="10" xfId="1" applyFont="1" applyFill="1" applyBorder="1" applyAlignment="1">
      <alignment vertical="center" wrapText="1"/>
    </xf>
    <xf numFmtId="0" fontId="13" fillId="5" borderId="25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6" borderId="25" xfId="0" applyFont="1" applyFill="1" applyBorder="1" applyAlignment="1">
      <alignment horizontal="center" vertical="center" wrapText="1"/>
    </xf>
    <xf numFmtId="0" fontId="13" fillId="6" borderId="27" xfId="0" applyFont="1" applyFill="1" applyBorder="1" applyAlignment="1">
      <alignment horizontal="center" vertical="center" wrapText="1"/>
    </xf>
    <xf numFmtId="0" fontId="13" fillId="6" borderId="23" xfId="0" applyFont="1" applyFill="1" applyBorder="1" applyAlignment="1">
      <alignment horizontal="center" vertical="center" wrapText="1"/>
    </xf>
    <xf numFmtId="0" fontId="13" fillId="6" borderId="24" xfId="0" applyFont="1" applyFill="1" applyBorder="1" applyAlignment="1">
      <alignment horizontal="center" vertical="center" wrapText="1"/>
    </xf>
    <xf numFmtId="0" fontId="13" fillId="7" borderId="25" xfId="0" applyFont="1" applyFill="1" applyBorder="1" applyAlignment="1">
      <alignment horizontal="center" vertical="center" wrapText="1"/>
    </xf>
    <xf numFmtId="0" fontId="13" fillId="7" borderId="27" xfId="0" applyFont="1" applyFill="1" applyBorder="1" applyAlignment="1">
      <alignment horizontal="center" vertical="center" wrapText="1"/>
    </xf>
    <xf numFmtId="9" fontId="13" fillId="7" borderId="23" xfId="1" applyFont="1" applyFill="1" applyBorder="1" applyAlignment="1">
      <alignment horizontal="center" vertical="center" wrapText="1"/>
    </xf>
    <xf numFmtId="9" fontId="13" fillId="7" borderId="24" xfId="1" applyFont="1" applyFill="1" applyBorder="1" applyAlignment="1">
      <alignment horizontal="center" vertical="center" wrapText="1"/>
    </xf>
    <xf numFmtId="9" fontId="13" fillId="8" borderId="25" xfId="1" applyFont="1" applyFill="1" applyBorder="1" applyAlignment="1">
      <alignment horizontal="center" vertical="center" wrapText="1"/>
    </xf>
    <xf numFmtId="9" fontId="13" fillId="8" borderId="26" xfId="1" applyFont="1" applyFill="1" applyBorder="1" applyAlignment="1">
      <alignment horizontal="center" vertical="center" wrapText="1"/>
    </xf>
    <xf numFmtId="9" fontId="13" fillId="9" borderId="25" xfId="1" applyFont="1" applyFill="1" applyBorder="1" applyAlignment="1">
      <alignment horizontal="center" vertical="center" wrapText="1"/>
    </xf>
    <xf numFmtId="9" fontId="13" fillId="9" borderId="27" xfId="1" applyFont="1" applyFill="1" applyBorder="1" applyAlignment="1">
      <alignment horizontal="center" vertical="center" wrapText="1"/>
    </xf>
    <xf numFmtId="9" fontId="13" fillId="9" borderId="23" xfId="1" applyFont="1" applyFill="1" applyBorder="1" applyAlignment="1">
      <alignment horizontal="center" vertical="center" wrapText="1"/>
    </xf>
    <xf numFmtId="9" fontId="13" fillId="9" borderId="24" xfId="1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13" fillId="10" borderId="27" xfId="0" applyFont="1" applyFill="1" applyBorder="1" applyAlignment="1">
      <alignment horizontal="center" vertical="center" wrapText="1"/>
    </xf>
    <xf numFmtId="0" fontId="13" fillId="10" borderId="23" xfId="0" applyFont="1" applyFill="1" applyBorder="1" applyAlignment="1">
      <alignment horizontal="center" vertical="center" wrapText="1"/>
    </xf>
    <xf numFmtId="0" fontId="13" fillId="10" borderId="24" xfId="0" applyFont="1" applyFill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4" fillId="0" borderId="30" xfId="0" applyFont="1" applyBorder="1" applyAlignment="1">
      <alignment vertical="center"/>
    </xf>
    <xf numFmtId="0" fontId="14" fillId="0" borderId="30" xfId="0" applyFont="1" applyBorder="1" applyAlignment="1">
      <alignment horizontal="center" vertical="center"/>
    </xf>
    <xf numFmtId="0" fontId="15" fillId="0" borderId="30" xfId="0" applyFont="1" applyBorder="1"/>
    <xf numFmtId="0" fontId="14" fillId="0" borderId="31" xfId="0" applyFont="1" applyBorder="1" applyAlignment="1">
      <alignment horizontal="center" vertical="center"/>
    </xf>
    <xf numFmtId="1" fontId="15" fillId="0" borderId="32" xfId="0" applyNumberFormat="1" applyFont="1" applyBorder="1" applyAlignment="1">
      <alignment horizontal="center" vertical="center"/>
    </xf>
    <xf numFmtId="3" fontId="15" fillId="0" borderId="33" xfId="1" applyNumberFormat="1" applyFont="1" applyBorder="1" applyAlignment="1">
      <alignment horizontal="center" vertical="center"/>
    </xf>
    <xf numFmtId="9" fontId="15" fillId="0" borderId="34" xfId="1" applyFont="1" applyFill="1" applyBorder="1" applyAlignment="1">
      <alignment horizontal="center" vertical="center"/>
    </xf>
    <xf numFmtId="1" fontId="15" fillId="0" borderId="30" xfId="0" applyNumberFormat="1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9" fontId="15" fillId="0" borderId="30" xfId="1" applyFont="1" applyFill="1" applyBorder="1" applyAlignment="1">
      <alignment horizontal="center" vertical="center"/>
    </xf>
    <xf numFmtId="1" fontId="15" fillId="0" borderId="30" xfId="1" applyNumberFormat="1" applyFont="1" applyFill="1" applyBorder="1" applyAlignment="1">
      <alignment horizontal="center" vertical="center"/>
    </xf>
    <xf numFmtId="3" fontId="15" fillId="0" borderId="30" xfId="1" applyNumberFormat="1" applyFont="1" applyFill="1" applyBorder="1" applyAlignment="1">
      <alignment horizontal="center" vertical="center"/>
    </xf>
    <xf numFmtId="3" fontId="15" fillId="0" borderId="31" xfId="1" applyNumberFormat="1" applyFont="1" applyFill="1" applyBorder="1" applyAlignment="1">
      <alignment horizontal="center" vertical="center"/>
    </xf>
    <xf numFmtId="165" fontId="15" fillId="0" borderId="32" xfId="0" applyNumberFormat="1" applyFont="1" applyBorder="1" applyAlignment="1">
      <alignment horizontal="center" vertical="center"/>
    </xf>
    <xf numFmtId="9" fontId="14" fillId="0" borderId="34" xfId="1" applyFont="1" applyFill="1" applyBorder="1" applyAlignment="1">
      <alignment horizontal="center" vertical="center"/>
    </xf>
    <xf numFmtId="1" fontId="14" fillId="0" borderId="30" xfId="1" applyNumberFormat="1" applyFont="1" applyFill="1" applyBorder="1" applyAlignment="1">
      <alignment horizontal="center" vertical="center"/>
    </xf>
    <xf numFmtId="3" fontId="14" fillId="0" borderId="30" xfId="1" applyNumberFormat="1" applyFont="1" applyFill="1" applyBorder="1" applyAlignment="1">
      <alignment horizontal="center" vertical="center"/>
    </xf>
    <xf numFmtId="9" fontId="14" fillId="0" borderId="31" xfId="1" applyFont="1" applyFill="1" applyBorder="1" applyAlignment="1">
      <alignment horizontal="center" vertical="center"/>
    </xf>
    <xf numFmtId="166" fontId="15" fillId="0" borderId="32" xfId="1" applyNumberFormat="1" applyFont="1" applyFill="1" applyBorder="1" applyAlignment="1">
      <alignment horizontal="center" vertical="center"/>
    </xf>
    <xf numFmtId="3" fontId="15" fillId="0" borderId="33" xfId="0" applyNumberFormat="1" applyFont="1" applyBorder="1" applyAlignment="1">
      <alignment horizontal="center" vertical="center"/>
    </xf>
    <xf numFmtId="1" fontId="15" fillId="0" borderId="34" xfId="1" applyNumberFormat="1" applyFont="1" applyFill="1" applyBorder="1" applyAlignment="1">
      <alignment horizontal="center" vertical="center"/>
    </xf>
    <xf numFmtId="9" fontId="15" fillId="0" borderId="31" xfId="1" applyFont="1" applyFill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1" fontId="15" fillId="0" borderId="34" xfId="0" applyNumberFormat="1" applyFont="1" applyBorder="1" applyAlignment="1">
      <alignment horizontal="center" vertical="center"/>
    </xf>
    <xf numFmtId="3" fontId="15" fillId="0" borderId="30" xfId="0" applyNumberFormat="1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3" fontId="15" fillId="0" borderId="30" xfId="1" applyNumberFormat="1" applyFont="1" applyBorder="1" applyAlignment="1">
      <alignment horizontal="center" vertical="center"/>
    </xf>
    <xf numFmtId="9" fontId="15" fillId="0" borderId="35" xfId="1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5" fillId="0" borderId="9" xfId="0" applyFont="1" applyBorder="1"/>
    <xf numFmtId="0" fontId="14" fillId="0" borderId="9" xfId="0" applyFont="1" applyBorder="1" applyAlignment="1">
      <alignment vertical="center"/>
    </xf>
    <xf numFmtId="0" fontId="14" fillId="12" borderId="9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1" fontId="15" fillId="0" borderId="11" xfId="0" applyNumberFormat="1" applyFont="1" applyBorder="1" applyAlignment="1">
      <alignment horizontal="center" vertical="center"/>
    </xf>
    <xf numFmtId="3" fontId="15" fillId="0" borderId="12" xfId="1" applyNumberFormat="1" applyFont="1" applyBorder="1" applyAlignment="1">
      <alignment horizontal="center" vertical="center"/>
    </xf>
    <xf numFmtId="9" fontId="15" fillId="0" borderId="13" xfId="1" applyFont="1" applyFill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9" fontId="15" fillId="0" borderId="9" xfId="1" applyFont="1" applyFill="1" applyBorder="1" applyAlignment="1">
      <alignment horizontal="center" vertical="center"/>
    </xf>
    <xf numFmtId="1" fontId="15" fillId="0" borderId="9" xfId="1" applyNumberFormat="1" applyFont="1" applyFill="1" applyBorder="1" applyAlignment="1">
      <alignment horizontal="center" vertical="center"/>
    </xf>
    <xf numFmtId="3" fontId="15" fillId="0" borderId="9" xfId="1" applyNumberFormat="1" applyFont="1" applyFill="1" applyBorder="1" applyAlignment="1">
      <alignment horizontal="center" vertical="center"/>
    </xf>
    <xf numFmtId="3" fontId="15" fillId="0" borderId="10" xfId="1" applyNumberFormat="1" applyFont="1" applyFill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9" fontId="14" fillId="0" borderId="13" xfId="1" applyFont="1" applyFill="1" applyBorder="1" applyAlignment="1">
      <alignment horizontal="center" vertical="center"/>
    </xf>
    <xf numFmtId="1" fontId="14" fillId="0" borderId="9" xfId="1" applyNumberFormat="1" applyFont="1" applyFill="1" applyBorder="1" applyAlignment="1">
      <alignment horizontal="center" vertical="center"/>
    </xf>
    <xf numFmtId="3" fontId="14" fillId="0" borderId="9" xfId="1" applyNumberFormat="1" applyFont="1" applyFill="1" applyBorder="1" applyAlignment="1">
      <alignment horizontal="center" vertical="center"/>
    </xf>
    <xf numFmtId="9" fontId="14" fillId="0" borderId="10" xfId="1" applyFont="1" applyFill="1" applyBorder="1" applyAlignment="1">
      <alignment horizontal="center" vertical="center"/>
    </xf>
    <xf numFmtId="166" fontId="15" fillId="0" borderId="11" xfId="1" applyNumberFormat="1" applyFont="1" applyFill="1" applyBorder="1" applyAlignment="1">
      <alignment horizontal="center" vertical="center"/>
    </xf>
    <xf numFmtId="3" fontId="15" fillId="0" borderId="12" xfId="0" applyNumberFormat="1" applyFont="1" applyBorder="1" applyAlignment="1">
      <alignment horizontal="center" vertical="center"/>
    </xf>
    <xf numFmtId="1" fontId="15" fillId="0" borderId="13" xfId="1" applyNumberFormat="1" applyFont="1" applyFill="1" applyBorder="1" applyAlignment="1">
      <alignment horizontal="center" vertical="center"/>
    </xf>
    <xf numFmtId="9" fontId="15" fillId="0" borderId="10" xfId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1" fontId="15" fillId="0" borderId="13" xfId="0" applyNumberFormat="1" applyFont="1" applyBorder="1" applyAlignment="1">
      <alignment horizontal="center" vertical="center"/>
    </xf>
    <xf numFmtId="3" fontId="15" fillId="0" borderId="9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3" fontId="15" fillId="0" borderId="9" xfId="1" applyNumberFormat="1" applyFont="1" applyBorder="1" applyAlignment="1">
      <alignment horizontal="center" vertical="center"/>
    </xf>
    <xf numFmtId="9" fontId="15" fillId="0" borderId="14" xfId="1" applyFont="1" applyFill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5" fillId="0" borderId="16" xfId="0" applyFont="1" applyBorder="1"/>
    <xf numFmtId="0" fontId="14" fillId="0" borderId="16" xfId="0" applyFont="1" applyBorder="1" applyAlignment="1">
      <alignment vertical="center"/>
    </xf>
    <xf numFmtId="0" fontId="14" fillId="0" borderId="16" xfId="0" applyFont="1" applyBorder="1" applyAlignment="1">
      <alignment horizontal="left" vertical="center"/>
    </xf>
    <xf numFmtId="0" fontId="14" fillId="0" borderId="17" xfId="0" applyFont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 vertical="center"/>
    </xf>
    <xf numFmtId="3" fontId="15" fillId="0" borderId="19" xfId="1" applyNumberFormat="1" applyFont="1" applyBorder="1" applyAlignment="1">
      <alignment horizontal="center" vertical="center"/>
    </xf>
    <xf numFmtId="9" fontId="15" fillId="0" borderId="20" xfId="1" applyFont="1" applyFill="1" applyBorder="1" applyAlignment="1">
      <alignment horizontal="center" vertical="center"/>
    </xf>
    <xf numFmtId="1" fontId="15" fillId="0" borderId="16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9" fontId="15" fillId="0" borderId="16" xfId="1" applyFont="1" applyFill="1" applyBorder="1" applyAlignment="1">
      <alignment horizontal="center" vertical="center"/>
    </xf>
    <xf numFmtId="1" fontId="15" fillId="0" borderId="16" xfId="1" applyNumberFormat="1" applyFont="1" applyFill="1" applyBorder="1" applyAlignment="1">
      <alignment horizontal="center" vertical="center"/>
    </xf>
    <xf numFmtId="3" fontId="15" fillId="0" borderId="16" xfId="1" applyNumberFormat="1" applyFont="1" applyFill="1" applyBorder="1" applyAlignment="1">
      <alignment horizontal="center" vertical="center"/>
    </xf>
    <xf numFmtId="3" fontId="15" fillId="0" borderId="17" xfId="1" applyNumberFormat="1" applyFont="1" applyFill="1" applyBorder="1" applyAlignment="1">
      <alignment horizontal="center" vertical="center"/>
    </xf>
    <xf numFmtId="165" fontId="15" fillId="0" borderId="18" xfId="0" applyNumberFormat="1" applyFont="1" applyBorder="1" applyAlignment="1">
      <alignment horizontal="center" vertical="center"/>
    </xf>
    <xf numFmtId="9" fontId="14" fillId="0" borderId="20" xfId="1" applyFont="1" applyFill="1" applyBorder="1" applyAlignment="1">
      <alignment horizontal="center" vertical="center"/>
    </xf>
    <xf numFmtId="1" fontId="14" fillId="0" borderId="16" xfId="1" applyNumberFormat="1" applyFont="1" applyFill="1" applyBorder="1" applyAlignment="1">
      <alignment horizontal="center" vertical="center"/>
    </xf>
    <xf numFmtId="3" fontId="14" fillId="0" borderId="16" xfId="1" applyNumberFormat="1" applyFont="1" applyFill="1" applyBorder="1" applyAlignment="1">
      <alignment horizontal="center" vertical="center"/>
    </xf>
    <xf numFmtId="9" fontId="14" fillId="0" borderId="17" xfId="1" applyFont="1" applyFill="1" applyBorder="1" applyAlignment="1">
      <alignment horizontal="center" vertical="center"/>
    </xf>
    <xf numFmtId="166" fontId="15" fillId="0" borderId="18" xfId="1" applyNumberFormat="1" applyFont="1" applyFill="1" applyBorder="1" applyAlignment="1">
      <alignment horizontal="center" vertical="center"/>
    </xf>
    <xf numFmtId="3" fontId="15" fillId="0" borderId="19" xfId="0" applyNumberFormat="1" applyFont="1" applyBorder="1" applyAlignment="1">
      <alignment horizontal="center" vertical="center"/>
    </xf>
    <xf numFmtId="1" fontId="15" fillId="0" borderId="20" xfId="1" applyNumberFormat="1" applyFont="1" applyFill="1" applyBorder="1" applyAlignment="1">
      <alignment horizontal="center" vertical="center"/>
    </xf>
    <xf numFmtId="9" fontId="15" fillId="0" borderId="17" xfId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1" fontId="15" fillId="0" borderId="20" xfId="0" applyNumberFormat="1" applyFont="1" applyBorder="1" applyAlignment="1">
      <alignment horizontal="center" vertical="center"/>
    </xf>
    <xf numFmtId="3" fontId="15" fillId="0" borderId="16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3" fontId="15" fillId="0" borderId="16" xfId="1" applyNumberFormat="1" applyFont="1" applyBorder="1" applyAlignment="1">
      <alignment horizontal="center" vertical="center"/>
    </xf>
    <xf numFmtId="9" fontId="15" fillId="0" borderId="21" xfId="1" applyFont="1" applyFill="1" applyBorder="1" applyAlignment="1">
      <alignment horizontal="center" vertical="center"/>
    </xf>
    <xf numFmtId="0" fontId="4" fillId="0" borderId="0" xfId="3"/>
    <xf numFmtId="0" fontId="2" fillId="15" borderId="0" xfId="3" applyFont="1" applyFill="1" applyAlignment="1">
      <alignment horizontal="center"/>
    </xf>
    <xf numFmtId="0" fontId="7" fillId="16" borderId="0" xfId="3" applyFont="1" applyFill="1" applyAlignment="1">
      <alignment horizontal="center"/>
    </xf>
    <xf numFmtId="0" fontId="6" fillId="0" borderId="0" xfId="3" applyFont="1" applyAlignment="1">
      <alignment horizontal="center"/>
    </xf>
    <xf numFmtId="0" fontId="6" fillId="0" borderId="0" xfId="3" applyFont="1"/>
    <xf numFmtId="167" fontId="6" fillId="0" borderId="0" xfId="3" applyNumberFormat="1" applyFont="1"/>
    <xf numFmtId="0" fontId="6" fillId="13" borderId="0" xfId="3" applyFont="1" applyFill="1" applyAlignment="1">
      <alignment horizontal="center"/>
    </xf>
    <xf numFmtId="0" fontId="6" fillId="13" borderId="0" xfId="3" applyFont="1" applyFill="1"/>
    <xf numFmtId="167" fontId="6" fillId="13" borderId="0" xfId="3" applyNumberFormat="1" applyFont="1" applyFill="1"/>
    <xf numFmtId="0" fontId="5" fillId="14" borderId="0" xfId="3" applyFont="1" applyFill="1"/>
    <xf numFmtId="167" fontId="5" fillId="14" borderId="0" xfId="3" applyNumberFormat="1" applyFont="1" applyFill="1"/>
    <xf numFmtId="0" fontId="2" fillId="15" borderId="0" xfId="3" applyFont="1" applyFill="1" applyAlignment="1">
      <alignment horizontal="center"/>
    </xf>
    <xf numFmtId="0" fontId="8" fillId="16" borderId="0" xfId="3" applyFont="1" applyFill="1" applyAlignment="1">
      <alignment horizontal="center"/>
    </xf>
    <xf numFmtId="0" fontId="9" fillId="15" borderId="0" xfId="3" applyFont="1" applyFill="1" applyAlignment="1">
      <alignment horizontal="center"/>
    </xf>
    <xf numFmtId="0" fontId="2" fillId="3" borderId="0" xfId="3" applyFont="1" applyFill="1" applyAlignment="1">
      <alignment horizontal="center"/>
    </xf>
    <xf numFmtId="0" fontId="11" fillId="4" borderId="4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left" indent="1"/>
    </xf>
    <xf numFmtId="0" fontId="2" fillId="4" borderId="37" xfId="0" applyFont="1" applyFill="1" applyBorder="1" applyAlignment="1">
      <alignment horizontal="center"/>
    </xf>
    <xf numFmtId="0" fontId="12" fillId="3" borderId="1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vertical="center"/>
    </xf>
    <xf numFmtId="0" fontId="11" fillId="3" borderId="16" xfId="0" applyFont="1" applyFill="1" applyBorder="1" applyAlignment="1">
      <alignment horizontal="center" vertical="center" wrapText="1"/>
    </xf>
    <xf numFmtId="0" fontId="13" fillId="11" borderId="23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3" fillId="11" borderId="25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3" fillId="11" borderId="27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0" fontId="13" fillId="11" borderId="28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1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E6704B23-7E47-314B-AF2D-F9E9CD13A1DE}"/>
    <cellStyle name="Normal 2 3" xfId="3" xr:uid="{D197CE4B-7BF6-C24D-BBF1-3F3C2D620699}"/>
    <cellStyle name="Percent" xfId="1" builtinId="5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6%20Store%20perfomance.xlsx" TargetMode="External"/><Relationship Id="rId2" Type="http://schemas.openxmlformats.org/officeDocument/2006/relationships/externalLinkPath" Target="/Users/michael/Desktop/01%20Sales%20&amp;%20Performance/2026-08-06%20Store%20perfomance.xlsx" TargetMode="External"/><Relationship Id="rId1" Type="http://schemas.openxmlformats.org/officeDocument/2006/relationships/externalLinkPath" Target="/Users/michael/Desktop/01%20Sales%20&amp;%20Performance/2026-08-06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9%20Store%20perfomance.xlsx" TargetMode="External"/><Relationship Id="rId2" Type="http://schemas.openxmlformats.org/officeDocument/2006/relationships/externalLinkPath" Target="/Users/michael/Desktop/01%20Sales%20&amp;%20Performance/2026-08-09%20Store%20perfomance.xlsx" TargetMode="External"/><Relationship Id="rId1" Type="http://schemas.openxmlformats.org/officeDocument/2006/relationships/externalLinkPath" Target="/Users/michael/Desktop/01%20Sales%20&amp;%20Performance/2026-08-09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A5" t="str">
            <v>Sum of SRP</v>
          </cell>
        </row>
      </sheetData>
      <sheetData sheetId="17"/>
      <sheetData sheetId="18">
        <row r="5">
          <cell r="A5" t="str">
            <v>Sum of Qty</v>
          </cell>
        </row>
      </sheetData>
      <sheetData sheetId="19">
        <row r="5">
          <cell r="A5" t="str">
            <v>Sum of Qty</v>
          </cell>
        </row>
      </sheetData>
      <sheetData sheetId="20"/>
      <sheetData sheetId="21"/>
      <sheetData sheetId="22">
        <row r="6">
          <cell r="A6" t="str">
            <v>Sum of Qty</v>
          </cell>
        </row>
      </sheetData>
      <sheetData sheetId="23"/>
      <sheetData sheetId="24">
        <row r="7">
          <cell r="D7" t="str">
            <v>3mio&lt;</v>
          </cell>
          <cell r="L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6</v>
          </cell>
          <cell r="E10">
            <v>14994000</v>
          </cell>
          <cell r="F10">
            <v>19</v>
          </cell>
          <cell r="G10">
            <v>51581000</v>
          </cell>
          <cell r="J10">
            <v>5</v>
          </cell>
          <cell r="K10">
            <v>10495000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36</v>
          </cell>
          <cell r="AM10">
            <v>110164000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12</v>
          </cell>
          <cell r="G11">
            <v>31988000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  <cell r="AL11">
            <v>27</v>
          </cell>
          <cell r="AM11">
            <v>87073000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11</v>
          </cell>
          <cell r="G12">
            <v>27989000</v>
          </cell>
          <cell r="J12">
            <v>4</v>
          </cell>
          <cell r="K12">
            <v>8396000</v>
          </cell>
          <cell r="L12">
            <v>2</v>
          </cell>
          <cell r="M12">
            <v>18998000</v>
          </cell>
          <cell r="N12">
            <v>6</v>
          </cell>
          <cell r="O12">
            <v>26194000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33</v>
          </cell>
          <cell r="AM12">
            <v>132967000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13</v>
          </cell>
          <cell r="G13">
            <v>33987000</v>
          </cell>
          <cell r="J13">
            <v>5</v>
          </cell>
          <cell r="K13">
            <v>10495000</v>
          </cell>
          <cell r="L13">
            <v>1</v>
          </cell>
          <cell r="M13">
            <v>9999000</v>
          </cell>
          <cell r="N13">
            <v>7</v>
          </cell>
          <cell r="O13">
            <v>32293000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L13">
            <v>36</v>
          </cell>
          <cell r="AM13">
            <v>123964000</v>
          </cell>
        </row>
        <row r="14">
          <cell r="B14">
            <v>6170703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7</v>
          </cell>
          <cell r="AM14">
            <v>46193000</v>
          </cell>
        </row>
        <row r="15">
          <cell r="B15">
            <v>6240704</v>
          </cell>
          <cell r="J15">
            <v>4</v>
          </cell>
          <cell r="K15">
            <v>8396000</v>
          </cell>
          <cell r="AL15">
            <v>4</v>
          </cell>
          <cell r="AM15">
            <v>8396000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33</v>
          </cell>
          <cell r="AM16">
            <v>146067000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AJ17">
            <v>3</v>
          </cell>
          <cell r="AK17">
            <v>22197000</v>
          </cell>
          <cell r="AL17">
            <v>15</v>
          </cell>
          <cell r="AM17">
            <v>87785000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1</v>
          </cell>
          <cell r="O18">
            <v>4299000</v>
          </cell>
          <cell r="AL18">
            <v>6</v>
          </cell>
          <cell r="AM18">
            <v>16894000</v>
          </cell>
        </row>
        <row r="19">
          <cell r="B19">
            <v>6240706</v>
          </cell>
          <cell r="D19">
            <v>1</v>
          </cell>
          <cell r="E19">
            <v>2299000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7</v>
          </cell>
          <cell r="AM19">
            <v>24293000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7</v>
          </cell>
          <cell r="AM20">
            <v>29193000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2</v>
          </cell>
          <cell r="K21">
            <v>4198000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9</v>
          </cell>
          <cell r="AM21">
            <v>33491000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3</v>
          </cell>
          <cell r="O22">
            <v>12497000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16</v>
          </cell>
          <cell r="AM22">
            <v>56084000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  <cell r="AL23">
            <v>13</v>
          </cell>
          <cell r="AM23">
            <v>65487000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4</v>
          </cell>
          <cell r="O24">
            <v>18596000</v>
          </cell>
          <cell r="P24">
            <v>1</v>
          </cell>
          <cell r="Q24">
            <v>3599000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11</v>
          </cell>
          <cell r="AM24">
            <v>51889000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7</v>
          </cell>
          <cell r="G25">
            <v>18793000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  <cell r="AL25">
            <v>18</v>
          </cell>
          <cell r="AM25">
            <v>64082000</v>
          </cell>
        </row>
        <row r="26">
          <cell r="B26">
            <v>6190704</v>
          </cell>
          <cell r="D26">
            <v>3</v>
          </cell>
          <cell r="E26">
            <v>7197000</v>
          </cell>
          <cell r="F26">
            <v>10</v>
          </cell>
          <cell r="G26">
            <v>25590000</v>
          </cell>
          <cell r="J26">
            <v>16</v>
          </cell>
          <cell r="K26">
            <v>33584000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43</v>
          </cell>
          <cell r="AM26">
            <v>150357000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13</v>
          </cell>
          <cell r="AM27">
            <v>45187000</v>
          </cell>
        </row>
        <row r="28">
          <cell r="B28">
            <v>6190707</v>
          </cell>
          <cell r="D28">
            <v>11</v>
          </cell>
          <cell r="E28">
            <v>26789000</v>
          </cell>
          <cell r="F28">
            <v>12</v>
          </cell>
          <cell r="G28">
            <v>32388000</v>
          </cell>
          <cell r="J28">
            <v>5</v>
          </cell>
          <cell r="K28">
            <v>10495000</v>
          </cell>
          <cell r="N28">
            <v>7</v>
          </cell>
          <cell r="O28">
            <v>34093000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  <cell r="AL28">
            <v>41</v>
          </cell>
          <cell r="AM28">
            <v>146059000</v>
          </cell>
        </row>
        <row r="29">
          <cell r="B29">
            <v>6190706</v>
          </cell>
          <cell r="D29">
            <v>6</v>
          </cell>
          <cell r="E29">
            <v>14994000</v>
          </cell>
          <cell r="F29">
            <v>12</v>
          </cell>
          <cell r="G29">
            <v>31188000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2</v>
          </cell>
          <cell r="Y29">
            <v>10998000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1</v>
          </cell>
          <cell r="AK29">
            <v>6899000</v>
          </cell>
          <cell r="AL29">
            <v>43</v>
          </cell>
          <cell r="AM29">
            <v>220057000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12</v>
          </cell>
          <cell r="AM30">
            <v>43688000</v>
          </cell>
        </row>
        <row r="31">
          <cell r="B31">
            <v>6190708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2</v>
          </cell>
          <cell r="AM31">
            <v>14298000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6</v>
          </cell>
          <cell r="G32">
            <v>15994000</v>
          </cell>
          <cell r="J32">
            <v>12</v>
          </cell>
          <cell r="K32">
            <v>25188000</v>
          </cell>
          <cell r="L32">
            <v>2</v>
          </cell>
          <cell r="M32">
            <v>19998000</v>
          </cell>
          <cell r="N32">
            <v>4</v>
          </cell>
          <cell r="O32">
            <v>17596000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  <cell r="AL32">
            <v>35</v>
          </cell>
          <cell r="AM32">
            <v>133765000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  <cell r="AL33">
            <v>6</v>
          </cell>
          <cell r="AM33">
            <v>18894000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  <cell r="AL34">
            <v>13</v>
          </cell>
          <cell r="AM34">
            <v>84987000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1</v>
          </cell>
          <cell r="K35">
            <v>2099000</v>
          </cell>
          <cell r="L35">
            <v>2</v>
          </cell>
          <cell r="M35">
            <v>19998000</v>
          </cell>
          <cell r="N35">
            <v>1</v>
          </cell>
          <cell r="O35">
            <v>3899000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3</v>
          </cell>
          <cell r="AK35">
            <v>20697000</v>
          </cell>
          <cell r="AL35">
            <v>15</v>
          </cell>
          <cell r="AM35">
            <v>107185000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5</v>
          </cell>
          <cell r="G37">
            <v>13595000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18</v>
          </cell>
          <cell r="AM37">
            <v>92082000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5</v>
          </cell>
          <cell r="G38">
            <v>12795000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J38">
            <v>1</v>
          </cell>
          <cell r="AK38">
            <v>6899000</v>
          </cell>
          <cell r="AL38">
            <v>24</v>
          </cell>
          <cell r="AM38">
            <v>95076000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11</v>
          </cell>
          <cell r="AM39">
            <v>51289000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14</v>
          </cell>
          <cell r="AM40">
            <v>79386000</v>
          </cell>
        </row>
        <row r="41">
          <cell r="B41">
            <v>6020711</v>
          </cell>
          <cell r="D41">
            <v>6</v>
          </cell>
          <cell r="E41">
            <v>14094000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  <cell r="AL41">
            <v>29</v>
          </cell>
          <cell r="AM41">
            <v>149071000</v>
          </cell>
        </row>
        <row r="42">
          <cell r="B42">
            <v>6020706</v>
          </cell>
          <cell r="D42">
            <v>12</v>
          </cell>
          <cell r="E42">
            <v>29688000</v>
          </cell>
          <cell r="F42">
            <v>5</v>
          </cell>
          <cell r="G42">
            <v>13995000</v>
          </cell>
          <cell r="J42">
            <v>4</v>
          </cell>
          <cell r="K42">
            <v>8396000</v>
          </cell>
          <cell r="N42">
            <v>7</v>
          </cell>
          <cell r="O42">
            <v>31693000</v>
          </cell>
          <cell r="R42">
            <v>2</v>
          </cell>
          <cell r="S42">
            <v>7198000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36</v>
          </cell>
          <cell r="AM42">
            <v>126464000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16</v>
          </cell>
          <cell r="AM43">
            <v>63184000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29</v>
          </cell>
          <cell r="AM44">
            <v>120271000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37</v>
          </cell>
          <cell r="K45">
            <v>77663000</v>
          </cell>
          <cell r="N45">
            <v>5</v>
          </cell>
          <cell r="O45">
            <v>20895000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54</v>
          </cell>
          <cell r="AM45">
            <v>139246000</v>
          </cell>
        </row>
        <row r="46">
          <cell r="B46">
            <v>6010702</v>
          </cell>
          <cell r="D46">
            <v>18</v>
          </cell>
          <cell r="E46">
            <v>42882000</v>
          </cell>
          <cell r="F46">
            <v>23</v>
          </cell>
          <cell r="G46">
            <v>61177000</v>
          </cell>
          <cell r="J46">
            <v>34</v>
          </cell>
          <cell r="K46">
            <v>71366000</v>
          </cell>
          <cell r="L46">
            <v>2</v>
          </cell>
          <cell r="M46">
            <v>19998000</v>
          </cell>
          <cell r="N46">
            <v>16</v>
          </cell>
          <cell r="O46">
            <v>71784000</v>
          </cell>
          <cell r="T46">
            <v>1</v>
          </cell>
          <cell r="U46">
            <v>7999000</v>
          </cell>
          <cell r="X46">
            <v>2</v>
          </cell>
          <cell r="Y46">
            <v>11798000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100</v>
          </cell>
          <cell r="AM46">
            <v>311500000</v>
          </cell>
        </row>
        <row r="47">
          <cell r="B47">
            <v>6010701</v>
          </cell>
          <cell r="D47">
            <v>20</v>
          </cell>
          <cell r="E47">
            <v>47180000</v>
          </cell>
          <cell r="F47">
            <v>14</v>
          </cell>
          <cell r="G47">
            <v>37186000</v>
          </cell>
          <cell r="J47">
            <v>20</v>
          </cell>
          <cell r="K47">
            <v>41980000</v>
          </cell>
          <cell r="L47">
            <v>2</v>
          </cell>
          <cell r="M47">
            <v>19998000</v>
          </cell>
          <cell r="N47">
            <v>23</v>
          </cell>
          <cell r="O47">
            <v>103277000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92</v>
          </cell>
          <cell r="AM47">
            <v>345108000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6</v>
          </cell>
          <cell r="G48">
            <v>15994000</v>
          </cell>
          <cell r="J48">
            <v>22</v>
          </cell>
          <cell r="K48">
            <v>46178000</v>
          </cell>
          <cell r="N48">
            <v>7</v>
          </cell>
          <cell r="O48">
            <v>29493000</v>
          </cell>
          <cell r="R48">
            <v>1</v>
          </cell>
          <cell r="S48">
            <v>3599000</v>
          </cell>
          <cell r="X48">
            <v>2</v>
          </cell>
          <cell r="Y48">
            <v>11798000</v>
          </cell>
          <cell r="AL48">
            <v>46</v>
          </cell>
          <cell r="AM48">
            <v>126654000</v>
          </cell>
        </row>
        <row r="49">
          <cell r="B49">
            <v>6010709</v>
          </cell>
          <cell r="D49">
            <v>26</v>
          </cell>
          <cell r="E49">
            <v>61874000</v>
          </cell>
          <cell r="F49">
            <v>22</v>
          </cell>
          <cell r="G49">
            <v>57978000</v>
          </cell>
          <cell r="J49">
            <v>42</v>
          </cell>
          <cell r="K49">
            <v>88158000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5</v>
          </cell>
          <cell r="W49">
            <v>17995000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J49">
            <v>1</v>
          </cell>
          <cell r="AK49">
            <v>6899000</v>
          </cell>
          <cell r="AL49">
            <v>113</v>
          </cell>
          <cell r="AM49">
            <v>325487000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3</v>
          </cell>
          <cell r="O50">
            <v>12097000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19</v>
          </cell>
          <cell r="AM50">
            <v>152281000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  <cell r="AL52">
            <v>3</v>
          </cell>
          <cell r="AM52">
            <v>13397000</v>
          </cell>
        </row>
      </sheetData>
      <sheetData sheetId="25"/>
      <sheetData sheetId="26"/>
      <sheetData sheetId="27"/>
      <sheetData sheetId="28"/>
      <sheetData sheetId="29"/>
      <sheetData sheetId="30">
        <row r="2">
          <cell r="E2" t="str">
            <v>DEVICE</v>
          </cell>
        </row>
      </sheetData>
      <sheetData sheetId="31"/>
      <sheetData sheetId="32"/>
      <sheetData sheetId="33"/>
      <sheetData sheetId="34"/>
      <sheetData sheetId="35">
        <row r="6">
          <cell r="A6" t="str">
            <v>Sum of Qty</v>
          </cell>
        </row>
      </sheetData>
      <sheetData sheetId="36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A5" t="str">
            <v>Sum of SRP</v>
          </cell>
        </row>
      </sheetData>
      <sheetData sheetId="17"/>
      <sheetData sheetId="18">
        <row r="5">
          <cell r="A5" t="str">
            <v>Sum of Qty</v>
          </cell>
        </row>
      </sheetData>
      <sheetData sheetId="19">
        <row r="5">
          <cell r="A5" t="str">
            <v>Sum of Qty</v>
          </cell>
        </row>
      </sheetData>
      <sheetData sheetId="20"/>
      <sheetData sheetId="21"/>
      <sheetData sheetId="22">
        <row r="6">
          <cell r="A6" t="str">
            <v>Sum of Qty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1"/>
      <sheetData sheetId="32"/>
      <sheetData sheetId="33"/>
      <sheetData sheetId="34"/>
      <sheetData sheetId="35">
        <row r="6">
          <cell r="A6" t="str">
            <v>Sum of Qty</v>
          </cell>
        </row>
      </sheetData>
      <sheetData sheetId="36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262858000</v>
          </cell>
          <cell r="D17">
            <v>42</v>
          </cell>
          <cell r="E17">
            <v>6258523.8095238097</v>
          </cell>
        </row>
        <row r="18">
          <cell r="A18">
            <v>6010701</v>
          </cell>
          <cell r="B18" t="str">
            <v>6010701-MVS ROXY SHOWROOM 21</v>
          </cell>
          <cell r="C18">
            <v>320708000</v>
          </cell>
          <cell r="D18">
            <v>92</v>
          </cell>
          <cell r="E18">
            <v>3485956.5217391304</v>
          </cell>
        </row>
        <row r="19">
          <cell r="A19">
            <v>6010702</v>
          </cell>
          <cell r="B19" t="str">
            <v>6010702-ME ROXY PAMERAN TIMUR</v>
          </cell>
          <cell r="C19">
            <v>265120000</v>
          </cell>
          <cell r="D19">
            <v>80</v>
          </cell>
          <cell r="E19">
            <v>3314000</v>
          </cell>
        </row>
        <row r="20">
          <cell r="A20">
            <v>6010703</v>
          </cell>
          <cell r="B20" t="str">
            <v>6010703-VIVO STORE WINSHOP</v>
          </cell>
          <cell r="C20">
            <v>95768000</v>
          </cell>
          <cell r="D20">
            <v>32</v>
          </cell>
          <cell r="E20">
            <v>2992750</v>
          </cell>
        </row>
        <row r="21">
          <cell r="A21">
            <v>6020711</v>
          </cell>
          <cell r="B21" t="str">
            <v>6020711-vivostore emporium</v>
          </cell>
          <cell r="C21">
            <v>139472000</v>
          </cell>
          <cell r="D21">
            <v>28</v>
          </cell>
          <cell r="E21">
            <v>4981142.8571428573</v>
          </cell>
        </row>
        <row r="22">
          <cell r="A22">
            <v>6010711</v>
          </cell>
          <cell r="B22" t="str">
            <v>6010711-LIPPO MALL PURI 1FK02</v>
          </cell>
          <cell r="C22">
            <v>34595000</v>
          </cell>
          <cell r="D22">
            <v>5</v>
          </cell>
          <cell r="E22">
            <v>6919000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162161000</v>
          </cell>
          <cell r="D23">
            <v>39</v>
          </cell>
          <cell r="E23">
            <v>4157974.358974359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89474000</v>
          </cell>
          <cell r="D24">
            <v>26</v>
          </cell>
          <cell r="E24">
            <v>3441307.6923076925</v>
          </cell>
        </row>
        <row r="25">
          <cell r="A25">
            <v>6080712</v>
          </cell>
          <cell r="B25" t="str">
            <v>6080712-MVS ITC DEPOK VIVO STORE 2</v>
          </cell>
          <cell r="C25">
            <v>186677000</v>
          </cell>
          <cell r="D25">
            <v>23</v>
          </cell>
          <cell r="E25">
            <v>8116391.3043478262</v>
          </cell>
        </row>
        <row r="26">
          <cell r="A26">
            <v>6040702</v>
          </cell>
          <cell r="B26" t="str">
            <v>6040702-TRAN STUDIO MALL 2F059</v>
          </cell>
          <cell r="C26">
            <v>108287000</v>
          </cell>
          <cell r="D26">
            <v>13</v>
          </cell>
          <cell r="E26">
            <v>8329769.230769231</v>
          </cell>
        </row>
        <row r="27">
          <cell r="A27">
            <v>6040703</v>
          </cell>
          <cell r="B27" t="str">
            <v>6040703-SAWANGAN 1F1-0320</v>
          </cell>
          <cell r="C27">
            <v>156376000</v>
          </cell>
          <cell r="D27">
            <v>24</v>
          </cell>
          <cell r="E27">
            <v>6515666.666666667</v>
          </cell>
        </row>
        <row r="28">
          <cell r="A28">
            <v>6050701</v>
          </cell>
          <cell r="B28" t="str">
            <v>6050701-MVS X6 DS0824</v>
          </cell>
          <cell r="C28">
            <v>132079000</v>
          </cell>
          <cell r="D28">
            <v>21</v>
          </cell>
          <cell r="E28">
            <v>6289476.1904761903</v>
          </cell>
        </row>
        <row r="29">
          <cell r="A29">
            <v>6220701</v>
          </cell>
          <cell r="B29" t="str">
            <v>6220701-MVS MBH-VIP VIVO STORE-DD284</v>
          </cell>
          <cell r="C29">
            <v>181076000</v>
          </cell>
          <cell r="D29">
            <v>24</v>
          </cell>
          <cell r="E29">
            <v>7544833.333333333</v>
          </cell>
        </row>
        <row r="30">
          <cell r="A30">
            <v>6180706</v>
          </cell>
          <cell r="B30" t="str">
            <v>6180706-MVS MALL CCM</v>
          </cell>
          <cell r="C30">
            <v>314050000</v>
          </cell>
          <cell r="D30">
            <v>50</v>
          </cell>
          <cell r="E30">
            <v>6281000</v>
          </cell>
        </row>
        <row r="31">
          <cell r="A31">
            <v>6180707</v>
          </cell>
          <cell r="B31" t="str">
            <v>6180707-SC BTM</v>
          </cell>
          <cell r="C31">
            <v>85388000</v>
          </cell>
          <cell r="D31">
            <v>12</v>
          </cell>
          <cell r="E31">
            <v>7115666.666666667</v>
          </cell>
        </row>
        <row r="32">
          <cell r="A32">
            <v>6170707</v>
          </cell>
          <cell r="B32" t="str">
            <v>6170707-LG BLOK D NO. 01D</v>
          </cell>
          <cell r="C32">
            <v>136267000</v>
          </cell>
          <cell r="D32">
            <v>33</v>
          </cell>
          <cell r="E32">
            <v>4129303.0303030303</v>
          </cell>
        </row>
        <row r="33">
          <cell r="A33">
            <v>6170706</v>
          </cell>
          <cell r="B33" t="str">
            <v>A200802-CHARLES</v>
          </cell>
          <cell r="C33">
            <v>124369000</v>
          </cell>
          <cell r="D33">
            <v>31</v>
          </cell>
          <cell r="E33">
            <v>4011903.2258064514</v>
          </cell>
        </row>
        <row r="34">
          <cell r="A34">
            <v>6240704</v>
          </cell>
          <cell r="B34" t="str">
            <v>6240704-TANGCITY LG017 WEST LOBBY</v>
          </cell>
          <cell r="C34">
            <v>42388000</v>
          </cell>
          <cell r="D34">
            <v>12</v>
          </cell>
          <cell r="E34">
            <v>3532333.3333333335</v>
          </cell>
        </row>
        <row r="35">
          <cell r="A35">
            <v>6240703</v>
          </cell>
          <cell r="B35" t="str">
            <v>6240703-TANGCITY LG009 CENTER</v>
          </cell>
          <cell r="C35">
            <v>155064000</v>
          </cell>
          <cell r="D35">
            <v>36</v>
          </cell>
          <cell r="E35">
            <v>4307333.333333333</v>
          </cell>
        </row>
        <row r="36">
          <cell r="A36">
            <v>6240705</v>
          </cell>
          <cell r="B36" t="str">
            <v>6240705-CIPUTRA 2FC15</v>
          </cell>
          <cell r="C36">
            <v>47788000</v>
          </cell>
          <cell r="D36">
            <v>12</v>
          </cell>
          <cell r="E36">
            <v>3982333.3333333335</v>
          </cell>
        </row>
        <row r="37">
          <cell r="A37">
            <v>6240709</v>
          </cell>
          <cell r="B37" t="str">
            <v>6240709-ITC BSD 1F49-50</v>
          </cell>
          <cell r="C37">
            <v>33194000</v>
          </cell>
          <cell r="D37">
            <v>6</v>
          </cell>
          <cell r="E37">
            <v>5532333.333333333</v>
          </cell>
        </row>
        <row r="38">
          <cell r="A38">
            <v>6240708</v>
          </cell>
          <cell r="B38" t="str">
            <v>6240708-ITC BSD 1F09-14</v>
          </cell>
          <cell r="C38">
            <v>13794000</v>
          </cell>
          <cell r="D38">
            <v>6</v>
          </cell>
          <cell r="E38">
            <v>2299000</v>
          </cell>
        </row>
        <row r="39">
          <cell r="A39">
            <v>6240707</v>
          </cell>
          <cell r="B39" t="str">
            <v>6240707-SUPERMALL UGN3A仓库</v>
          </cell>
          <cell r="C39">
            <v>84687000</v>
          </cell>
          <cell r="D39">
            <v>13</v>
          </cell>
          <cell r="E39">
            <v>6514384.615384615</v>
          </cell>
        </row>
        <row r="40">
          <cell r="A40">
            <v>6240706</v>
          </cell>
          <cell r="B40" t="str">
            <v>6240706-SUPERMALL LGC3A</v>
          </cell>
          <cell r="C40">
            <v>59688000</v>
          </cell>
          <cell r="D40">
            <v>12</v>
          </cell>
          <cell r="E40">
            <v>4974000</v>
          </cell>
        </row>
        <row r="41">
          <cell r="A41">
            <v>6170703</v>
          </cell>
          <cell r="B41" t="str">
            <v>6170703-4004 MVS-BNT-CCM STORE</v>
          </cell>
          <cell r="C41">
            <v>75587000</v>
          </cell>
          <cell r="D41">
            <v>13</v>
          </cell>
          <cell r="E41">
            <v>5814384.615384615</v>
          </cell>
        </row>
        <row r="42">
          <cell r="A42">
            <v>6190701</v>
          </cell>
          <cell r="B42" t="str">
            <v>6190701-VIVO STORE UG</v>
          </cell>
          <cell r="C42">
            <v>223772000</v>
          </cell>
          <cell r="D42">
            <v>28</v>
          </cell>
          <cell r="E42">
            <v>7991857.1428571427</v>
          </cell>
        </row>
        <row r="43">
          <cell r="A43">
            <v>6190704</v>
          </cell>
          <cell r="B43" t="str">
            <v>A300201-VIVO STORE 1 BEC</v>
          </cell>
          <cell r="C43">
            <v>121866000</v>
          </cell>
          <cell r="D43">
            <v>34</v>
          </cell>
          <cell r="E43">
            <v>3584294.1176470588</v>
          </cell>
        </row>
        <row r="44">
          <cell r="A44">
            <v>6190707</v>
          </cell>
          <cell r="B44" t="str">
            <v>A300202-VIVO STORE LU</v>
          </cell>
          <cell r="C44">
            <v>301040000</v>
          </cell>
          <cell r="D44">
            <v>60</v>
          </cell>
          <cell r="E44">
            <v>5017333.333333333</v>
          </cell>
        </row>
        <row r="45">
          <cell r="A45">
            <v>6100702</v>
          </cell>
          <cell r="B45" t="str">
            <v>6100702-VS Jogja City Mall</v>
          </cell>
          <cell r="C45">
            <v>102382000</v>
          </cell>
          <cell r="D45">
            <v>18</v>
          </cell>
          <cell r="E45">
            <v>5687888.888888889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106681000</v>
          </cell>
          <cell r="D47">
            <v>19</v>
          </cell>
          <cell r="E47">
            <v>5614789.4736842103</v>
          </cell>
        </row>
        <row r="48">
          <cell r="A48">
            <v>6140705</v>
          </cell>
          <cell r="B48" t="str">
            <v>6140705-QUEENCITY 2F027</v>
          </cell>
          <cell r="C48">
            <v>160177000</v>
          </cell>
          <cell r="D48">
            <v>23</v>
          </cell>
          <cell r="E48">
            <v>6964217.3913043477</v>
          </cell>
        </row>
        <row r="49">
          <cell r="A49">
            <v>6190705</v>
          </cell>
          <cell r="B49" t="str">
            <v>A300105-VIVO STORE LG F20</v>
          </cell>
          <cell r="C49">
            <v>74479000</v>
          </cell>
          <cell r="D49">
            <v>21</v>
          </cell>
          <cell r="E49">
            <v>3546619.0476190476</v>
          </cell>
        </row>
        <row r="50">
          <cell r="A50">
            <v>6190706</v>
          </cell>
          <cell r="B50" t="str">
            <v>A300102-VIVO STORE 4 BEC</v>
          </cell>
          <cell r="C50">
            <v>180354000</v>
          </cell>
          <cell r="D50">
            <v>46</v>
          </cell>
          <cell r="E50">
            <v>3920739.1304347827</v>
          </cell>
        </row>
        <row r="51">
          <cell r="A51">
            <v>6240702</v>
          </cell>
          <cell r="B51" t="str">
            <v>A200902-LG BLOK B NO. 01B</v>
          </cell>
          <cell r="C51">
            <v>124568000</v>
          </cell>
          <cell r="D51">
            <v>32</v>
          </cell>
          <cell r="E51">
            <v>3892750</v>
          </cell>
        </row>
        <row r="52">
          <cell r="A52">
            <v>6240701</v>
          </cell>
          <cell r="B52" t="str">
            <v>A200803-LG BLOK A-B NO. 12</v>
          </cell>
          <cell r="C52">
            <v>150761000</v>
          </cell>
          <cell r="D52">
            <v>39</v>
          </cell>
          <cell r="E52">
            <v>3865666.6666666665</v>
          </cell>
        </row>
        <row r="53">
          <cell r="A53">
            <v>6040701</v>
          </cell>
          <cell r="B53" t="str">
            <v>A200402-ITC-VIVO STORE 1</v>
          </cell>
          <cell r="C53">
            <v>134673000</v>
          </cell>
          <cell r="D53">
            <v>27</v>
          </cell>
          <cell r="E53">
            <v>4987888.888888889</v>
          </cell>
        </row>
        <row r="54">
          <cell r="A54">
            <v>6010710</v>
          </cell>
          <cell r="B54" t="str">
            <v>A100304-PAMERAN SELATAN</v>
          </cell>
          <cell r="C54">
            <v>134460000</v>
          </cell>
          <cell r="D54">
            <v>40</v>
          </cell>
          <cell r="E54">
            <v>3361500</v>
          </cell>
        </row>
        <row r="55">
          <cell r="A55">
            <v>6010709</v>
          </cell>
          <cell r="B55" t="str">
            <v>A100303-PAMERAN UTARA</v>
          </cell>
          <cell r="C55">
            <v>336982000</v>
          </cell>
          <cell r="D55">
            <v>118</v>
          </cell>
          <cell r="E55">
            <v>2855779.661016949</v>
          </cell>
        </row>
        <row r="56">
          <cell r="C56">
            <v>5459110000</v>
          </cell>
          <cell r="D56">
            <v>1190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4" workbookViewId="0">
      <selection activeCell="J14" sqref="J14"/>
    </sheetView>
  </sheetViews>
  <sheetFormatPr baseColWidth="10" defaultColWidth="11" defaultRowHeight="16" x14ac:dyDescent="0.2"/>
  <cols>
    <col min="4" max="4" width="50.83203125" customWidth="1"/>
  </cols>
  <sheetData>
    <row r="1" spans="1:69" ht="16" customHeight="1" x14ac:dyDescent="0.2">
      <c r="A1" s="175" t="s">
        <v>0</v>
      </c>
      <c r="B1" s="176"/>
      <c r="C1" s="176"/>
      <c r="D1" s="19" t="s">
        <v>1</v>
      </c>
      <c r="E1" s="19" t="s">
        <v>2</v>
      </c>
      <c r="F1" s="20" t="s">
        <v>3</v>
      </c>
      <c r="G1" s="179" t="s">
        <v>4</v>
      </c>
      <c r="H1" s="180"/>
      <c r="I1" s="179" t="s">
        <v>5</v>
      </c>
      <c r="J1" s="184"/>
      <c r="K1" s="185"/>
      <c r="L1" s="185"/>
      <c r="M1" s="185"/>
      <c r="N1" s="185"/>
      <c r="O1" s="185"/>
      <c r="P1" s="185"/>
      <c r="Q1" s="185"/>
      <c r="R1" s="185"/>
      <c r="S1" s="185"/>
      <c r="T1" s="186"/>
      <c r="U1" s="179" t="s">
        <v>6</v>
      </c>
      <c r="V1" s="184"/>
      <c r="W1" s="185"/>
      <c r="X1" s="185"/>
      <c r="Y1" s="185"/>
      <c r="Z1" s="185"/>
      <c r="AA1" s="185"/>
      <c r="AB1" s="186"/>
      <c r="AC1" s="179" t="s">
        <v>7</v>
      </c>
      <c r="AD1" s="180"/>
      <c r="AE1" s="179" t="s">
        <v>8</v>
      </c>
      <c r="AF1" s="184"/>
      <c r="AG1" s="185"/>
      <c r="AH1" s="186"/>
      <c r="AI1" s="149" t="s">
        <v>9</v>
      </c>
      <c r="AJ1" s="150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90"/>
      <c r="BC1" s="149" t="s">
        <v>10</v>
      </c>
      <c r="BD1" s="150"/>
      <c r="BE1" s="151"/>
      <c r="BF1" s="151"/>
      <c r="BG1" s="151"/>
      <c r="BH1" s="151"/>
      <c r="BI1" s="151"/>
      <c r="BJ1" s="151"/>
      <c r="BK1" s="151"/>
      <c r="BL1" s="151"/>
      <c r="BM1" s="151"/>
      <c r="BN1" s="151"/>
      <c r="BO1" s="151"/>
      <c r="BP1" s="151"/>
      <c r="BQ1" s="152"/>
    </row>
    <row r="2" spans="1:69" ht="16" customHeight="1" x14ac:dyDescent="0.2">
      <c r="A2" s="177"/>
      <c r="B2" s="178"/>
      <c r="C2" s="178"/>
      <c r="D2" s="21">
        <v>30</v>
      </c>
      <c r="E2" s="21">
        <v>9</v>
      </c>
      <c r="F2" s="22">
        <f>E2/D2</f>
        <v>0.3</v>
      </c>
      <c r="G2" s="181"/>
      <c r="H2" s="182"/>
      <c r="I2" s="181"/>
      <c r="J2" s="187"/>
      <c r="K2" s="188"/>
      <c r="L2" s="188"/>
      <c r="M2" s="188"/>
      <c r="N2" s="188"/>
      <c r="O2" s="188"/>
      <c r="P2" s="188"/>
      <c r="Q2" s="188"/>
      <c r="R2" s="188"/>
      <c r="S2" s="188"/>
      <c r="T2" s="189"/>
      <c r="U2" s="181"/>
      <c r="V2" s="187"/>
      <c r="W2" s="188"/>
      <c r="X2" s="188"/>
      <c r="Y2" s="188"/>
      <c r="Z2" s="188"/>
      <c r="AA2" s="188"/>
      <c r="AB2" s="189"/>
      <c r="AC2" s="181"/>
      <c r="AD2" s="182"/>
      <c r="AE2" s="181"/>
      <c r="AF2" s="187"/>
      <c r="AG2" s="188"/>
      <c r="AH2" s="189"/>
      <c r="AI2" s="153"/>
      <c r="AJ2" s="154"/>
      <c r="AK2" s="155"/>
      <c r="AL2" s="155"/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  <c r="BB2" s="191"/>
      <c r="BC2" s="153" t="s">
        <v>11</v>
      </c>
      <c r="BD2" s="154"/>
      <c r="BE2" s="155"/>
      <c r="BF2" s="155" t="s">
        <v>12</v>
      </c>
      <c r="BG2" s="155"/>
      <c r="BH2" s="155"/>
      <c r="BI2" s="155" t="s">
        <v>13</v>
      </c>
      <c r="BJ2" s="155"/>
      <c r="BK2" s="155"/>
      <c r="BL2" s="155" t="s">
        <v>14</v>
      </c>
      <c r="BM2" s="155"/>
      <c r="BN2" s="155"/>
      <c r="BO2" s="155" t="s">
        <v>15</v>
      </c>
      <c r="BP2" s="155"/>
      <c r="BQ2" s="156"/>
    </row>
    <row r="3" spans="1:69" ht="16" customHeight="1" x14ac:dyDescent="0.2">
      <c r="A3" s="159" t="s">
        <v>16</v>
      </c>
      <c r="B3" s="161" t="s">
        <v>17</v>
      </c>
      <c r="C3" s="161" t="s">
        <v>18</v>
      </c>
      <c r="D3" s="161" t="s">
        <v>19</v>
      </c>
      <c r="E3" s="161" t="s">
        <v>20</v>
      </c>
      <c r="F3" s="166" t="s">
        <v>21</v>
      </c>
      <c r="G3" s="168"/>
      <c r="H3" s="183"/>
      <c r="I3" s="168"/>
      <c r="J3" s="170"/>
      <c r="K3" s="164"/>
      <c r="L3" s="164"/>
      <c r="M3" s="164"/>
      <c r="N3" s="164"/>
      <c r="O3" s="164"/>
      <c r="P3" s="164"/>
      <c r="Q3" s="164"/>
      <c r="R3" s="164"/>
      <c r="S3" s="164"/>
      <c r="T3" s="172"/>
      <c r="U3" s="168"/>
      <c r="V3" s="170"/>
      <c r="W3" s="164"/>
      <c r="X3" s="164"/>
      <c r="Y3" s="164"/>
      <c r="Z3" s="164"/>
      <c r="AA3" s="164"/>
      <c r="AB3" s="172"/>
      <c r="AC3" s="168"/>
      <c r="AD3" s="183"/>
      <c r="AE3" s="168"/>
      <c r="AF3" s="170"/>
      <c r="AG3" s="164"/>
      <c r="AH3" s="172"/>
      <c r="AI3" s="168" t="s">
        <v>22</v>
      </c>
      <c r="AJ3" s="170"/>
      <c r="AK3" s="164"/>
      <c r="AL3" s="164"/>
      <c r="AM3" s="164" t="s">
        <v>23</v>
      </c>
      <c r="AN3" s="164"/>
      <c r="AO3" s="164"/>
      <c r="AP3" s="164"/>
      <c r="AQ3" s="164" t="s">
        <v>24</v>
      </c>
      <c r="AR3" s="164"/>
      <c r="AS3" s="164"/>
      <c r="AT3" s="164"/>
      <c r="AU3" s="164" t="s">
        <v>25</v>
      </c>
      <c r="AV3" s="164"/>
      <c r="AW3" s="164"/>
      <c r="AX3" s="164"/>
      <c r="AY3" s="164" t="s">
        <v>26</v>
      </c>
      <c r="AZ3" s="164"/>
      <c r="BA3" s="164"/>
      <c r="BB3" s="172"/>
      <c r="BC3" s="168" t="s">
        <v>27</v>
      </c>
      <c r="BD3" s="170" t="s">
        <v>28</v>
      </c>
      <c r="BE3" s="164" t="s">
        <v>29</v>
      </c>
      <c r="BF3" s="164" t="s">
        <v>30</v>
      </c>
      <c r="BG3" s="164" t="s">
        <v>28</v>
      </c>
      <c r="BH3" s="164" t="s">
        <v>29</v>
      </c>
      <c r="BI3" s="164" t="s">
        <v>31</v>
      </c>
      <c r="BJ3" s="164" t="s">
        <v>28</v>
      </c>
      <c r="BK3" s="164" t="s">
        <v>29</v>
      </c>
      <c r="BL3" s="164" t="s">
        <v>32</v>
      </c>
      <c r="BM3" s="164" t="s">
        <v>28</v>
      </c>
      <c r="BN3" s="164" t="s">
        <v>29</v>
      </c>
      <c r="BO3" s="164" t="s">
        <v>33</v>
      </c>
      <c r="BP3" s="164" t="s">
        <v>28</v>
      </c>
      <c r="BQ3" s="173" t="s">
        <v>29</v>
      </c>
    </row>
    <row r="4" spans="1:69" ht="28" x14ac:dyDescent="0.2">
      <c r="A4" s="160"/>
      <c r="B4" s="162"/>
      <c r="C4" s="163"/>
      <c r="D4" s="162"/>
      <c r="E4" s="162"/>
      <c r="F4" s="167"/>
      <c r="G4" s="23" t="s">
        <v>22</v>
      </c>
      <c r="H4" s="24" t="s">
        <v>25</v>
      </c>
      <c r="I4" s="25" t="s">
        <v>22</v>
      </c>
      <c r="J4" s="26" t="s">
        <v>29</v>
      </c>
      <c r="K4" s="27" t="s">
        <v>34</v>
      </c>
      <c r="L4" s="27" t="s">
        <v>35</v>
      </c>
      <c r="M4" s="27" t="s">
        <v>24</v>
      </c>
      <c r="N4" s="27" t="s">
        <v>29</v>
      </c>
      <c r="O4" s="27" t="s">
        <v>8</v>
      </c>
      <c r="P4" s="27" t="s">
        <v>29</v>
      </c>
      <c r="Q4" s="27" t="s">
        <v>36</v>
      </c>
      <c r="R4" s="27" t="s">
        <v>25</v>
      </c>
      <c r="S4" s="27" t="s">
        <v>29</v>
      </c>
      <c r="T4" s="28" t="s">
        <v>34</v>
      </c>
      <c r="U4" s="29" t="s">
        <v>22</v>
      </c>
      <c r="V4" s="30" t="s">
        <v>29</v>
      </c>
      <c r="W4" s="31" t="s">
        <v>34</v>
      </c>
      <c r="X4" s="31" t="s">
        <v>24</v>
      </c>
      <c r="Y4" s="31" t="s">
        <v>34</v>
      </c>
      <c r="Z4" s="31" t="s">
        <v>25</v>
      </c>
      <c r="AA4" s="31" t="s">
        <v>34</v>
      </c>
      <c r="AB4" s="32" t="s">
        <v>29</v>
      </c>
      <c r="AC4" s="33" t="s">
        <v>22</v>
      </c>
      <c r="AD4" s="34" t="s">
        <v>25</v>
      </c>
      <c r="AE4" s="35" t="s">
        <v>37</v>
      </c>
      <c r="AF4" s="36" t="s">
        <v>38</v>
      </c>
      <c r="AG4" s="37" t="s">
        <v>34</v>
      </c>
      <c r="AH4" s="38" t="s">
        <v>29</v>
      </c>
      <c r="AI4" s="39" t="s">
        <v>37</v>
      </c>
      <c r="AJ4" s="40" t="s">
        <v>38</v>
      </c>
      <c r="AK4" s="41" t="s">
        <v>34</v>
      </c>
      <c r="AL4" s="41" t="s">
        <v>29</v>
      </c>
      <c r="AM4" s="41" t="s">
        <v>37</v>
      </c>
      <c r="AN4" s="41" t="s">
        <v>38</v>
      </c>
      <c r="AO4" s="41" t="s">
        <v>34</v>
      </c>
      <c r="AP4" s="41" t="s">
        <v>29</v>
      </c>
      <c r="AQ4" s="41" t="s">
        <v>37</v>
      </c>
      <c r="AR4" s="41" t="s">
        <v>38</v>
      </c>
      <c r="AS4" s="41" t="s">
        <v>34</v>
      </c>
      <c r="AT4" s="41" t="s">
        <v>39</v>
      </c>
      <c r="AU4" s="41" t="s">
        <v>37</v>
      </c>
      <c r="AV4" s="41" t="s">
        <v>38</v>
      </c>
      <c r="AW4" s="41" t="s">
        <v>34</v>
      </c>
      <c r="AX4" s="41" t="s">
        <v>29</v>
      </c>
      <c r="AY4" s="41" t="s">
        <v>37</v>
      </c>
      <c r="AZ4" s="41" t="s">
        <v>38</v>
      </c>
      <c r="BA4" s="41" t="s">
        <v>34</v>
      </c>
      <c r="BB4" s="42" t="s">
        <v>29</v>
      </c>
      <c r="BC4" s="169"/>
      <c r="BD4" s="171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74"/>
    </row>
    <row r="5" spans="1:69" x14ac:dyDescent="0.2">
      <c r="A5" s="43">
        <v>1</v>
      </c>
      <c r="B5" s="44" t="s">
        <v>40</v>
      </c>
      <c r="C5" s="45">
        <v>6010708</v>
      </c>
      <c r="D5" s="46" t="s">
        <v>41</v>
      </c>
      <c r="E5" s="1" t="s">
        <v>42</v>
      </c>
      <c r="F5" s="47">
        <v>3</v>
      </c>
      <c r="G5" s="48">
        <f>IFERROR(VLOOKUP(C5,'[2]TARGET THIS MONTH'!C:E,3,0),0)</f>
        <v>120</v>
      </c>
      <c r="H5" s="49">
        <f>IFERROR(VLOOKUP(C5,'[2]TARGET THIS MONTH'!C:M,11,0),0)</f>
        <v>840000000</v>
      </c>
      <c r="I5" s="48">
        <f>IFERROR(GETPIVOTDATA("Sum of Qty",'[2]DEVICE &amp; VALUE'!$A$6,"ID Store",$C5),0)</f>
        <v>29</v>
      </c>
      <c r="J5" s="50">
        <f t="shared" ref="J5:J48" si="0">I5/G5</f>
        <v>0.24166666666666667</v>
      </c>
      <c r="K5" s="51">
        <f t="shared" ref="K5:K48" si="1">I5-G5</f>
        <v>-91</v>
      </c>
      <c r="L5" s="52">
        <f>IFERROR(GETPIVOTDATA("Sum of Qty",[2]PF!$A$5,"ID Store",$C5),0)</f>
        <v>6</v>
      </c>
      <c r="M5" s="52">
        <f>IFERROR(GETPIVOTDATA("Sum of Qty",'[2]DEVICE &amp; VALUE'!$A$6,"ID Store",$C5,"Segment Price","3mio&gt;"),0)</f>
        <v>14</v>
      </c>
      <c r="N5" s="53">
        <f t="shared" ref="N5:N47" si="2">IFERROR(M5/I5,0)</f>
        <v>0.48275862068965519</v>
      </c>
      <c r="O5" s="54">
        <f>IFERROR(GETPIVOTDATA("Sum of Qty",[2]IQOO!$A$6,"ID Store",$C5),0)</f>
        <v>1</v>
      </c>
      <c r="P5" s="53">
        <f t="shared" ref="P5:P47" si="3">IFERROR(O5/I5,0)</f>
        <v>3.4482758620689655E-2</v>
      </c>
      <c r="Q5" s="53">
        <f t="shared" ref="Q5:Q47" si="4">IFERROR(M5/I5,0)</f>
        <v>0.48275862068965519</v>
      </c>
      <c r="R5" s="55">
        <f>IFERROR(GETPIVOTDATA("Sum of SRP",'[2]DEVICE &amp; VALUE'!$A$6,"ID Store",$C5),0)</f>
        <v>120271000</v>
      </c>
      <c r="S5" s="53">
        <f t="shared" ref="S5:S47" si="5">IFERROR(R5/H5,0)</f>
        <v>0.14317976190476189</v>
      </c>
      <c r="T5" s="56">
        <f t="shared" ref="T5:T48" si="6">R5-H5</f>
        <v>-719729000</v>
      </c>
      <c r="U5" s="57">
        <f t="shared" ref="U5:U47" si="7">I5/$E$2*$D$2</f>
        <v>96.666666666666671</v>
      </c>
      <c r="V5" s="58">
        <f t="shared" ref="V5:V47" si="8">IFERROR(U5/G5,0)</f>
        <v>0.80555555555555558</v>
      </c>
      <c r="W5" s="59">
        <f t="shared" ref="W5:W48" si="9">U5-G5</f>
        <v>-23.333333333333329</v>
      </c>
      <c r="X5" s="59">
        <f t="shared" ref="X5:X47" si="10">M5/$E$2*$D$2</f>
        <v>46.666666666666664</v>
      </c>
      <c r="Y5" s="59">
        <f t="shared" ref="Y5:Y48" si="11">X5-G5</f>
        <v>-73.333333333333343</v>
      </c>
      <c r="Z5" s="60">
        <f t="shared" ref="Z5:Z47" si="12">R5/$E$2*$D$2</f>
        <v>400903333.33333331</v>
      </c>
      <c r="AA5" s="60">
        <f t="shared" ref="AA5:AA48" si="13">Z5-H5</f>
        <v>-439096666.66666669</v>
      </c>
      <c r="AB5" s="61">
        <f t="shared" ref="AB5:AB47" si="14">IFERROR(Z5/H5,0)</f>
        <v>0.47726587301587298</v>
      </c>
      <c r="AC5" s="62">
        <f t="shared" ref="AC5:AC47" si="15">IFERROR(($G5-$I5)/($D$2-$E$2),0)</f>
        <v>4.333333333333333</v>
      </c>
      <c r="AD5" s="63">
        <f t="shared" ref="AD5:AD47" si="16">IFERROR(($H5-$R5)/($D$2-$E$2),0)</f>
        <v>34272809.523809522</v>
      </c>
      <c r="AE5" s="48">
        <f>IFERROR(GETPIVOTDATA("Sum of Qty",'[2]DATA LAST MONTH IQOO'!$A$6,"ID Store",$C5),0)</f>
        <v>6</v>
      </c>
      <c r="AF5" s="64">
        <f>IFERROR(GETPIVOTDATA("Sum of Qty",[2]IQOO!$A$6,"ID Store",$C5),0)</f>
        <v>1</v>
      </c>
      <c r="AG5" s="51">
        <f t="shared" ref="AG5:AG48" si="17">AF5-AE5</f>
        <v>-5</v>
      </c>
      <c r="AH5" s="65">
        <f t="shared" ref="AH5:AH47" si="18">IFERROR(AG5/AE5,0)</f>
        <v>-0.83333333333333337</v>
      </c>
      <c r="AI5" s="66">
        <f>IFERROR(GETPIVOTDATA("Sum of Qty",'[2]DATA LAST MONTH DEVICE'!$A$6,"ID Store",$C5),0)</f>
        <v>42</v>
      </c>
      <c r="AJ5" s="67">
        <f t="shared" ref="AJ5:AJ47" si="19">I5</f>
        <v>29</v>
      </c>
      <c r="AK5" s="51">
        <f t="shared" ref="AK5:AK48" si="20">AJ5-AI5</f>
        <v>-13</v>
      </c>
      <c r="AL5" s="53">
        <f t="shared" ref="AL5:AL47" si="21">IFERROR(AK5/AI5,0)</f>
        <v>-0.30952380952380953</v>
      </c>
      <c r="AM5" s="52">
        <f>IFERROR(GETPIVOTDATA("Sum of Qty",'[2]Store 3mio+ last month'!$A$6,"ID Store",$C5),0)</f>
        <v>110</v>
      </c>
      <c r="AN5" s="51">
        <f t="shared" ref="AN5:AN47" si="22">VLOOKUP(C:C,C:U,19,0)</f>
        <v>96.666666666666671</v>
      </c>
      <c r="AO5" s="51">
        <f t="shared" ref="AO5:AO48" si="23">AN5-AM5</f>
        <v>-13.333333333333329</v>
      </c>
      <c r="AP5" s="53">
        <f t="shared" ref="AP5:AP47" si="24">IFERROR(AO5/AM5,0)</f>
        <v>-0.12121212121212117</v>
      </c>
      <c r="AQ5" s="52">
        <f>IFERROR(GETPIVOTDATA("Sum of Qty",'[2]DATA LAST MONTH DEVICE'!$A$6,"ID Store",$C5,"Segment Price","3mio&gt;"),0)</f>
        <v>22</v>
      </c>
      <c r="AR5" s="54">
        <f t="shared" ref="AR5:AR47" si="25">M5</f>
        <v>14</v>
      </c>
      <c r="AS5" s="54">
        <f t="shared" ref="AS5:AS48" si="26">AR5-AQ5</f>
        <v>-8</v>
      </c>
      <c r="AT5" s="53">
        <f t="shared" ref="AT5:AT47" si="27">IFERROR(AS5/AQ5,0)</f>
        <v>-0.36363636363636365</v>
      </c>
      <c r="AU5" s="68">
        <f>IFERROR(GETPIVOTDATA("Sum of SRP",'[2]DATA LAST MONTH DEVICE'!$A$6,"ID Store",$C5),0)</f>
        <v>262858000</v>
      </c>
      <c r="AV5" s="68">
        <f t="shared" ref="AV5:AV47" si="28">R5</f>
        <v>120271000</v>
      </c>
      <c r="AW5" s="68">
        <f t="shared" ref="AW5:AW48" si="29">AV5-AU5</f>
        <v>-142587000</v>
      </c>
      <c r="AX5" s="53">
        <f t="shared" ref="AX5:AX47" si="30">IFERROR(AW5/AU5,0)</f>
        <v>-0.542448774623561</v>
      </c>
      <c r="AY5" s="68">
        <f>IFERROR(VLOOKUP(C5,'[2]DATA SALES LAST MONTH'!A:E,5,0),0)</f>
        <v>6258523.8095238097</v>
      </c>
      <c r="AZ5" s="55">
        <f t="shared" ref="AZ5:AZ47" si="31">IFERROR(Z5/U5,0)</f>
        <v>4147275.8620689651</v>
      </c>
      <c r="BA5" s="55">
        <f t="shared" ref="BA5:BA48" si="32">AZ5-AY5</f>
        <v>-2111247.9474548446</v>
      </c>
      <c r="BB5" s="65">
        <f t="shared" ref="BB5:BB47" si="33">IFERROR(BA5/AY5,0)</f>
        <v>-0.3373396046272264</v>
      </c>
      <c r="BC5" s="48">
        <f>IFERROR(VLOOKUP(C5,'[2]TARGET THIS MONTH'!C:U,15,0),0)</f>
        <v>12</v>
      </c>
      <c r="BD5" s="69">
        <f>IFERROR(GETPIVOTDATA("Sum of Qty",[2]ACC!$A$5,"ID Store",$C5),0)</f>
        <v>18</v>
      </c>
      <c r="BE5" s="53">
        <f t="shared" ref="BE5:BE47" si="34">IFERROR(BD5/BC5,0)</f>
        <v>1.5</v>
      </c>
      <c r="BF5" s="70">
        <f>IFERROR(VLOOKUP(C5,'[2]TARGET THIS MONTH'!C:U,16,0),0)</f>
        <v>4200000</v>
      </c>
      <c r="BG5" s="70">
        <f>IFERROR(GETPIVOTDATA("Sum of SRP",'[2]Insurance by Store'!$A$5,"ID Store",$C5,"Product Type","Qoala"),0)</f>
        <v>477000</v>
      </c>
      <c r="BH5" s="53">
        <f t="shared" ref="BH5:BH47" si="35">IFERROR(BG5/BF5,0)</f>
        <v>0.11357142857142857</v>
      </c>
      <c r="BI5" s="70">
        <f>IFERROR(VLOOKUP(C5,'[2]TARGET THIS MONTH'!C:U,17,0),0)</f>
        <v>840000</v>
      </c>
      <c r="BJ5" s="70">
        <f>IFERROR(GETPIVOTDATA("Sum of SRP",'[2]Insurance by Store'!$A$5,"ID Store",$C5,"Product Type","Vivo Care"),0)</f>
        <v>0</v>
      </c>
      <c r="BK5" s="53">
        <f t="shared" ref="BK5:BK47" si="36">IFERROR(BJ5/BI5,0)</f>
        <v>0</v>
      </c>
      <c r="BL5" s="51">
        <f>IFERROR(VLOOKUP(C5,'[2]TARGET THIS MONTH'!C:U,18,0),0)</f>
        <v>3.6</v>
      </c>
      <c r="BM5" s="52">
        <f>IFERROR(GETPIVOTDATA("Sum of Qty",'[2]Operator by Store'!$A$5,"ID Store",$C5,"Product Type","Indosat"),0)</f>
        <v>0</v>
      </c>
      <c r="BN5" s="53">
        <f t="shared" ref="BN5:BN47" si="37">IFERROR(BM5/BL5,0)</f>
        <v>0</v>
      </c>
      <c r="BO5" s="51">
        <f>VLOOKUP(C5,'[2]TARGET THIS MONTH'!C:U,19,0)</f>
        <v>36</v>
      </c>
      <c r="BP5" s="52">
        <f>IFERROR(GETPIVOTDATA("Sum of Qty",'[2]Operator by Store'!$A$5,"ID Store",$C5,"Product Type","Telkomsel"),0)</f>
        <v>0</v>
      </c>
      <c r="BQ5" s="71">
        <f t="shared" ref="BQ5:BQ47" si="38">IFERROR(BP5/BO5,0)</f>
        <v>0</v>
      </c>
    </row>
    <row r="6" spans="1:69" x14ac:dyDescent="0.2">
      <c r="A6" s="72">
        <v>2</v>
      </c>
      <c r="B6" s="73" t="s">
        <v>40</v>
      </c>
      <c r="C6" s="74">
        <v>6010701</v>
      </c>
      <c r="D6" s="75" t="s">
        <v>43</v>
      </c>
      <c r="E6" s="76" t="s">
        <v>44</v>
      </c>
      <c r="F6" s="77">
        <v>6</v>
      </c>
      <c r="G6" s="78">
        <f>IFERROR(VLOOKUP(C6,'[2]TARGET THIS MONTH'!C:E,3,0),0)</f>
        <v>260</v>
      </c>
      <c r="H6" s="79">
        <f>IFERROR(VLOOKUP(C6,'[2]TARGET THIS MONTH'!C:M,11,0),0)</f>
        <v>962000000</v>
      </c>
      <c r="I6" s="78">
        <f>IFERROR(GETPIVOTDATA("Sum of Qty",'[2]DEVICE &amp; VALUE'!$A$6,"ID Store",$C6),0)</f>
        <v>92</v>
      </c>
      <c r="J6" s="80">
        <f t="shared" si="0"/>
        <v>0.35384615384615387</v>
      </c>
      <c r="K6" s="81">
        <f t="shared" si="1"/>
        <v>-168</v>
      </c>
      <c r="L6" s="82">
        <f>IFERROR(GETPIVOTDATA("Sum of Qty",[2]PF!$A$5,"ID Store",$C6),0)</f>
        <v>29</v>
      </c>
      <c r="M6" s="82">
        <f>IFERROR(GETPIVOTDATA("Sum of Qty",'[2]DEVICE &amp; VALUE'!$A$6,"ID Store",$C6,"Segment Price","3mio&gt;"),0)</f>
        <v>38</v>
      </c>
      <c r="N6" s="83">
        <f t="shared" si="2"/>
        <v>0.41304347826086957</v>
      </c>
      <c r="O6" s="84">
        <f>IFERROR(GETPIVOTDATA("Sum of Qty",[2]IQOO!$A$6,"ID Store",$C6),0)</f>
        <v>2</v>
      </c>
      <c r="P6" s="83">
        <f t="shared" si="3"/>
        <v>2.1739130434782608E-2</v>
      </c>
      <c r="Q6" s="83">
        <f t="shared" si="4"/>
        <v>0.41304347826086957</v>
      </c>
      <c r="R6" s="85">
        <f>IFERROR(GETPIVOTDATA("Sum of SRP",'[2]DEVICE &amp; VALUE'!$A$6,"ID Store",$C6),0)</f>
        <v>345108000</v>
      </c>
      <c r="S6" s="83">
        <f t="shared" si="5"/>
        <v>0.35874012474012473</v>
      </c>
      <c r="T6" s="86">
        <f t="shared" si="6"/>
        <v>-616892000</v>
      </c>
      <c r="U6" s="87">
        <f t="shared" si="7"/>
        <v>306.66666666666663</v>
      </c>
      <c r="V6" s="88">
        <f t="shared" si="8"/>
        <v>1.1794871794871793</v>
      </c>
      <c r="W6" s="89">
        <f t="shared" si="9"/>
        <v>46.666666666666629</v>
      </c>
      <c r="X6" s="89">
        <f t="shared" si="10"/>
        <v>126.66666666666667</v>
      </c>
      <c r="Y6" s="89">
        <f t="shared" si="11"/>
        <v>-133.33333333333331</v>
      </c>
      <c r="Z6" s="90">
        <f t="shared" si="12"/>
        <v>1150360000</v>
      </c>
      <c r="AA6" s="90">
        <f t="shared" si="13"/>
        <v>188360000</v>
      </c>
      <c r="AB6" s="91">
        <f t="shared" si="14"/>
        <v>1.1958004158004159</v>
      </c>
      <c r="AC6" s="92">
        <f t="shared" si="15"/>
        <v>8</v>
      </c>
      <c r="AD6" s="93">
        <f t="shared" si="16"/>
        <v>29375809.523809522</v>
      </c>
      <c r="AE6" s="78">
        <f>IFERROR(GETPIVOTDATA("Sum of Qty",'[2]DATA LAST MONTH IQOO'!$A$6,"ID Store",$C6),0)</f>
        <v>5</v>
      </c>
      <c r="AF6" s="94">
        <f>IFERROR(GETPIVOTDATA("Sum of Qty",[2]IQOO!$A$6,"ID Store",$C6),0)</f>
        <v>2</v>
      </c>
      <c r="AG6" s="81">
        <f t="shared" si="17"/>
        <v>-3</v>
      </c>
      <c r="AH6" s="95">
        <f t="shared" si="18"/>
        <v>-0.6</v>
      </c>
      <c r="AI6" s="96">
        <f>IFERROR(GETPIVOTDATA("Sum of Qty",'[2]DATA LAST MONTH DEVICE'!$A$6,"ID Store",$C6),0)</f>
        <v>92</v>
      </c>
      <c r="AJ6" s="97">
        <f t="shared" si="19"/>
        <v>92</v>
      </c>
      <c r="AK6" s="81">
        <f t="shared" si="20"/>
        <v>0</v>
      </c>
      <c r="AL6" s="83">
        <f t="shared" si="21"/>
        <v>0</v>
      </c>
      <c r="AM6" s="82">
        <f>IFERROR(GETPIVOTDATA("Sum of Qty",'[2]Store 3mio+ last month'!$A$6,"ID Store",$C6),0)</f>
        <v>270</v>
      </c>
      <c r="AN6" s="81">
        <f t="shared" si="22"/>
        <v>306.66666666666663</v>
      </c>
      <c r="AO6" s="81">
        <f t="shared" si="23"/>
        <v>36.666666666666629</v>
      </c>
      <c r="AP6" s="83">
        <f t="shared" si="24"/>
        <v>0.13580246913580232</v>
      </c>
      <c r="AQ6" s="82">
        <f>IFERROR(GETPIVOTDATA("Sum of Qty",'[2]DATA LAST MONTH DEVICE'!$A$6,"ID Store",$C6,"Segment Price","3mio&gt;"),0)</f>
        <v>37</v>
      </c>
      <c r="AR6" s="84">
        <f t="shared" si="25"/>
        <v>38</v>
      </c>
      <c r="AS6" s="84">
        <f t="shared" si="26"/>
        <v>1</v>
      </c>
      <c r="AT6" s="83">
        <f t="shared" si="27"/>
        <v>2.7027027027027029E-2</v>
      </c>
      <c r="AU6" s="98">
        <f>IFERROR(GETPIVOTDATA("Sum of SRP",'[2]DATA LAST MONTH DEVICE'!$A$6,"ID Store",$C6),0)</f>
        <v>320708000</v>
      </c>
      <c r="AV6" s="98">
        <f t="shared" si="28"/>
        <v>345108000</v>
      </c>
      <c r="AW6" s="98">
        <f t="shared" si="29"/>
        <v>24400000</v>
      </c>
      <c r="AX6" s="83">
        <f t="shared" si="30"/>
        <v>7.6081669306659022E-2</v>
      </c>
      <c r="AY6" s="98">
        <f>IFERROR(VLOOKUP(C6,'[2]DATA SALES LAST MONTH'!A:E,5,0),0)</f>
        <v>3485956.5217391304</v>
      </c>
      <c r="AZ6" s="85">
        <f t="shared" si="31"/>
        <v>3751173.9130434785</v>
      </c>
      <c r="BA6" s="85">
        <f t="shared" si="32"/>
        <v>265217.39130434813</v>
      </c>
      <c r="BB6" s="95">
        <f t="shared" si="33"/>
        <v>7.6081669306659105E-2</v>
      </c>
      <c r="BC6" s="78">
        <f>IFERROR(VLOOKUP(C6,'[2]TARGET THIS MONTH'!C:U,15,0),0)</f>
        <v>26</v>
      </c>
      <c r="BD6" s="99">
        <f>IFERROR(GETPIVOTDATA("Sum of Qty",[2]ACC!$A$5,"ID Store",$C6),0)</f>
        <v>30</v>
      </c>
      <c r="BE6" s="83">
        <f t="shared" si="34"/>
        <v>1.1538461538461537</v>
      </c>
      <c r="BF6" s="100">
        <f>IFERROR(VLOOKUP(C6,'[2]TARGET THIS MONTH'!C:U,16,0),0)</f>
        <v>4810000</v>
      </c>
      <c r="BG6" s="100">
        <f>IFERROR(GETPIVOTDATA("Sum of SRP",'[2]Insurance by Store'!$A$5,"ID Store",$C6,"Product Type","Qoala"),0)</f>
        <v>2930000</v>
      </c>
      <c r="BH6" s="83">
        <f t="shared" si="35"/>
        <v>0.60914760914760913</v>
      </c>
      <c r="BI6" s="100">
        <f>IFERROR(VLOOKUP(C6,'[2]TARGET THIS MONTH'!C:U,17,0),0)</f>
        <v>962000</v>
      </c>
      <c r="BJ6" s="100">
        <f>IFERROR(GETPIVOTDATA("Sum of SRP",'[2]Insurance by Store'!$A$5,"ID Store",$C6,"Product Type","Vivo Care"),0)</f>
        <v>0</v>
      </c>
      <c r="BK6" s="83">
        <f t="shared" si="36"/>
        <v>0</v>
      </c>
      <c r="BL6" s="81">
        <f>IFERROR(VLOOKUP(C6,'[2]TARGET THIS MONTH'!C:U,18,0),0)</f>
        <v>7.8</v>
      </c>
      <c r="BM6" s="82">
        <f>IFERROR(GETPIVOTDATA("Sum of Qty",'[2]Operator by Store'!$A$5,"ID Store",$C6,"Product Type","Indosat"),0)</f>
        <v>1</v>
      </c>
      <c r="BN6" s="83">
        <f t="shared" si="37"/>
        <v>0.12820512820512822</v>
      </c>
      <c r="BO6" s="81">
        <f>VLOOKUP(C6,'[2]TARGET THIS MONTH'!C:U,19,0)</f>
        <v>78</v>
      </c>
      <c r="BP6" s="82">
        <f>IFERROR(GETPIVOTDATA("Sum of Qty",'[2]Operator by Store'!$A$5,"ID Store",$C6,"Product Type","Telkomsel"),0)</f>
        <v>0</v>
      </c>
      <c r="BQ6" s="101">
        <f t="shared" si="38"/>
        <v>0</v>
      </c>
    </row>
    <row r="7" spans="1:69" x14ac:dyDescent="0.2">
      <c r="A7" s="72">
        <v>3</v>
      </c>
      <c r="B7" s="73" t="s">
        <v>40</v>
      </c>
      <c r="C7" s="74">
        <v>6010702</v>
      </c>
      <c r="D7" s="75" t="s">
        <v>45</v>
      </c>
      <c r="E7" s="76" t="s">
        <v>44</v>
      </c>
      <c r="F7" s="77">
        <v>7</v>
      </c>
      <c r="G7" s="78">
        <f>IFERROR(VLOOKUP(C7,'[2]TARGET THIS MONTH'!C:E,3,0),0)</f>
        <v>260</v>
      </c>
      <c r="H7" s="79">
        <f>IFERROR(VLOOKUP(C7,'[2]TARGET THIS MONTH'!C:M,11,0),0)</f>
        <v>962000000</v>
      </c>
      <c r="I7" s="78">
        <f>IFERROR(GETPIVOTDATA("Sum of Qty",'[2]DEVICE &amp; VALUE'!$A$6,"ID Store",$C7),0)</f>
        <v>100</v>
      </c>
      <c r="J7" s="80">
        <f t="shared" si="0"/>
        <v>0.38461538461538464</v>
      </c>
      <c r="K7" s="81">
        <f t="shared" si="1"/>
        <v>-160</v>
      </c>
      <c r="L7" s="82">
        <f>IFERROR(GETPIVOTDATA("Sum of Qty",[2]PF!$A$5,"ID Store",$C7),0)</f>
        <v>18</v>
      </c>
      <c r="M7" s="82">
        <f>IFERROR(GETPIVOTDATA("Sum of Qty",'[2]DEVICE &amp; VALUE'!$A$6,"ID Store",$C7,"Segment Price","3mio&gt;"),0)</f>
        <v>25</v>
      </c>
      <c r="N7" s="83">
        <f t="shared" si="2"/>
        <v>0.25</v>
      </c>
      <c r="O7" s="84">
        <f>IFERROR(GETPIVOTDATA("Sum of Qty",[2]IQOO!$A$6,"ID Store",$C7),0)</f>
        <v>3</v>
      </c>
      <c r="P7" s="83">
        <f t="shared" si="3"/>
        <v>0.03</v>
      </c>
      <c r="Q7" s="83">
        <f t="shared" si="4"/>
        <v>0.25</v>
      </c>
      <c r="R7" s="85">
        <f>IFERROR(GETPIVOTDATA("Sum of SRP",'[2]DEVICE &amp; VALUE'!$A$6,"ID Store",$C7),0)</f>
        <v>311500000</v>
      </c>
      <c r="S7" s="83">
        <f t="shared" si="5"/>
        <v>0.32380457380457378</v>
      </c>
      <c r="T7" s="86">
        <f t="shared" si="6"/>
        <v>-650500000</v>
      </c>
      <c r="U7" s="87">
        <f t="shared" si="7"/>
        <v>333.33333333333331</v>
      </c>
      <c r="V7" s="88">
        <f t="shared" si="8"/>
        <v>1.2820512820512819</v>
      </c>
      <c r="W7" s="89">
        <f t="shared" si="9"/>
        <v>73.333333333333314</v>
      </c>
      <c r="X7" s="89">
        <f t="shared" si="10"/>
        <v>83.333333333333329</v>
      </c>
      <c r="Y7" s="89">
        <f t="shared" si="11"/>
        <v>-176.66666666666669</v>
      </c>
      <c r="Z7" s="90">
        <f t="shared" si="12"/>
        <v>1038333333.3333334</v>
      </c>
      <c r="AA7" s="90">
        <f t="shared" si="13"/>
        <v>76333333.333333373</v>
      </c>
      <c r="AB7" s="91">
        <f t="shared" si="14"/>
        <v>1.0793485793485793</v>
      </c>
      <c r="AC7" s="92">
        <f t="shared" si="15"/>
        <v>7.6190476190476186</v>
      </c>
      <c r="AD7" s="93">
        <f t="shared" si="16"/>
        <v>30976190.476190478</v>
      </c>
      <c r="AE7" s="78">
        <f>IFERROR(GETPIVOTDATA("Sum of Qty",'[2]DATA LAST MONTH IQOO'!$A$6,"ID Store",$C7),0)</f>
        <v>3</v>
      </c>
      <c r="AF7" s="94">
        <f>IFERROR(GETPIVOTDATA("Sum of Qty",[2]IQOO!$A$6,"ID Store",$C7),0)</f>
        <v>3</v>
      </c>
      <c r="AG7" s="81">
        <f t="shared" si="17"/>
        <v>0</v>
      </c>
      <c r="AH7" s="95">
        <f t="shared" si="18"/>
        <v>0</v>
      </c>
      <c r="AI7" s="96">
        <f>IFERROR(GETPIVOTDATA("Sum of Qty",'[2]DATA LAST MONTH DEVICE'!$A$6,"ID Store",$C7),0)</f>
        <v>80</v>
      </c>
      <c r="AJ7" s="97">
        <f t="shared" si="19"/>
        <v>100</v>
      </c>
      <c r="AK7" s="81">
        <f t="shared" si="20"/>
        <v>20</v>
      </c>
      <c r="AL7" s="83">
        <f t="shared" si="21"/>
        <v>0.25</v>
      </c>
      <c r="AM7" s="82">
        <f>IFERROR(GETPIVOTDATA("Sum of Qty",'[2]Store 3mio+ last month'!$A$6,"ID Store",$C7),0)</f>
        <v>270</v>
      </c>
      <c r="AN7" s="81">
        <f t="shared" si="22"/>
        <v>333.33333333333331</v>
      </c>
      <c r="AO7" s="81">
        <f t="shared" si="23"/>
        <v>63.333333333333314</v>
      </c>
      <c r="AP7" s="83">
        <f t="shared" si="24"/>
        <v>0.23456790123456783</v>
      </c>
      <c r="AQ7" s="82">
        <f>IFERROR(GETPIVOTDATA("Sum of Qty",'[2]DATA LAST MONTH DEVICE'!$A$6,"ID Store",$C7,"Segment Price","3mio&gt;"),0)</f>
        <v>24</v>
      </c>
      <c r="AR7" s="84">
        <f t="shared" si="25"/>
        <v>25</v>
      </c>
      <c r="AS7" s="84">
        <f t="shared" si="26"/>
        <v>1</v>
      </c>
      <c r="AT7" s="83">
        <f t="shared" si="27"/>
        <v>4.1666666666666664E-2</v>
      </c>
      <c r="AU7" s="98">
        <f>IFERROR(GETPIVOTDATA("Sum of SRP",'[2]DATA LAST MONTH DEVICE'!$A$6,"ID Store",$C7),0)</f>
        <v>265120000</v>
      </c>
      <c r="AV7" s="98">
        <f t="shared" si="28"/>
        <v>311500000</v>
      </c>
      <c r="AW7" s="98">
        <f t="shared" si="29"/>
        <v>46380000</v>
      </c>
      <c r="AX7" s="83">
        <f t="shared" si="30"/>
        <v>0.17493964996982497</v>
      </c>
      <c r="AY7" s="98">
        <f>IFERROR(VLOOKUP(C7,'[2]DATA SALES LAST MONTH'!A:E,5,0),0)</f>
        <v>3314000</v>
      </c>
      <c r="AZ7" s="85">
        <f t="shared" si="31"/>
        <v>3115000.0000000005</v>
      </c>
      <c r="BA7" s="85">
        <f t="shared" si="32"/>
        <v>-198999.99999999953</v>
      </c>
      <c r="BB7" s="95">
        <f t="shared" si="33"/>
        <v>-6.0048280024139873E-2</v>
      </c>
      <c r="BC7" s="78">
        <f>IFERROR(VLOOKUP(C7,'[2]TARGET THIS MONTH'!C:U,15,0),0)</f>
        <v>26</v>
      </c>
      <c r="BD7" s="99">
        <f>IFERROR(GETPIVOTDATA("Sum of Qty",[2]ACC!$A$5,"ID Store",$C7),0)</f>
        <v>28</v>
      </c>
      <c r="BE7" s="83">
        <f t="shared" si="34"/>
        <v>1.0769230769230769</v>
      </c>
      <c r="BF7" s="100">
        <f>IFERROR(VLOOKUP(C7,'[2]TARGET THIS MONTH'!C:U,16,0),0)</f>
        <v>4810000</v>
      </c>
      <c r="BG7" s="100">
        <f>IFERROR(GETPIVOTDATA("Sum of SRP",'[2]Insurance by Store'!$A$5,"ID Store",$C7,"Product Type","Qoala"),0)</f>
        <v>2067000</v>
      </c>
      <c r="BH7" s="83">
        <f t="shared" si="35"/>
        <v>0.42972972972972973</v>
      </c>
      <c r="BI7" s="100">
        <f>IFERROR(VLOOKUP(C7,'[2]TARGET THIS MONTH'!C:U,17,0),0)</f>
        <v>962000</v>
      </c>
      <c r="BJ7" s="100">
        <f>IFERROR(GETPIVOTDATA("Sum of SRP",'[2]Insurance by Store'!$A$5,"ID Store",$C7,"Product Type","Vivo Care"),0)</f>
        <v>0</v>
      </c>
      <c r="BK7" s="83">
        <f t="shared" si="36"/>
        <v>0</v>
      </c>
      <c r="BL7" s="81">
        <f>IFERROR(VLOOKUP(C7,'[2]TARGET THIS MONTH'!C:U,18,0),0)</f>
        <v>7.8</v>
      </c>
      <c r="BM7" s="82">
        <f>IFERROR(GETPIVOTDATA("Sum of Qty",'[2]Operator by Store'!$A$5,"ID Store",$C7,"Product Type","Indosat"),0)</f>
        <v>2</v>
      </c>
      <c r="BN7" s="83">
        <f t="shared" si="37"/>
        <v>0.25641025641025644</v>
      </c>
      <c r="BO7" s="81">
        <f>VLOOKUP(C7,'[2]TARGET THIS MONTH'!C:U,19,0)</f>
        <v>78</v>
      </c>
      <c r="BP7" s="82">
        <f>IFERROR(GETPIVOTDATA("Sum of Qty",'[2]Operator by Store'!$A$5,"ID Store",$C7,"Product Type","Telkomsel"),0)</f>
        <v>0</v>
      </c>
      <c r="BQ7" s="101">
        <f t="shared" si="38"/>
        <v>0</v>
      </c>
    </row>
    <row r="8" spans="1:69" x14ac:dyDescent="0.2">
      <c r="A8" s="72">
        <v>4</v>
      </c>
      <c r="B8" s="73" t="s">
        <v>40</v>
      </c>
      <c r="C8" s="74">
        <v>6010703</v>
      </c>
      <c r="D8" s="75" t="s">
        <v>46</v>
      </c>
      <c r="E8" s="76" t="s">
        <v>47</v>
      </c>
      <c r="F8" s="77">
        <v>3</v>
      </c>
      <c r="G8" s="78">
        <f>IFERROR(VLOOKUP(C8,'[2]TARGET THIS MONTH'!C:E,3,0),0)</f>
        <v>120</v>
      </c>
      <c r="H8" s="79">
        <f>IFERROR(VLOOKUP(C8,'[2]TARGET THIS MONTH'!C:M,11,0),0)</f>
        <v>420000000</v>
      </c>
      <c r="I8" s="78">
        <f>IFERROR(GETPIVOTDATA("Sum of Qty",'[2]DEVICE &amp; VALUE'!$A$6,"ID Store",$C8),0)</f>
        <v>54</v>
      </c>
      <c r="J8" s="80">
        <f t="shared" si="0"/>
        <v>0.45</v>
      </c>
      <c r="K8" s="81">
        <f t="shared" si="1"/>
        <v>-66</v>
      </c>
      <c r="L8" s="82">
        <f>IFERROR(GETPIVOTDATA("Sum of Qty",[2]PF!$A$5,"ID Store",$C8),0)</f>
        <v>7</v>
      </c>
      <c r="M8" s="82">
        <f>IFERROR(GETPIVOTDATA("Sum of Qty",'[2]DEVICE &amp; VALUE'!$A$6,"ID Store",$C8,"Segment Price","3mio&gt;"),0)</f>
        <v>8</v>
      </c>
      <c r="N8" s="83">
        <f t="shared" si="2"/>
        <v>0.14814814814814814</v>
      </c>
      <c r="O8" s="84">
        <f>IFERROR(GETPIVOTDATA("Sum of Qty",[2]IQOO!$A$6,"ID Store",$C8),0)</f>
        <v>1</v>
      </c>
      <c r="P8" s="83">
        <f t="shared" si="3"/>
        <v>1.8518518518518517E-2</v>
      </c>
      <c r="Q8" s="83">
        <f t="shared" si="4"/>
        <v>0.14814814814814814</v>
      </c>
      <c r="R8" s="85">
        <f>IFERROR(GETPIVOTDATA("Sum of SRP",'[2]DEVICE &amp; VALUE'!$A$6,"ID Store",$C8),0)</f>
        <v>139246000</v>
      </c>
      <c r="S8" s="83">
        <f t="shared" si="5"/>
        <v>0.33153809523809524</v>
      </c>
      <c r="T8" s="86">
        <f t="shared" si="6"/>
        <v>-280754000</v>
      </c>
      <c r="U8" s="87">
        <f t="shared" si="7"/>
        <v>180</v>
      </c>
      <c r="V8" s="88">
        <f t="shared" si="8"/>
        <v>1.5</v>
      </c>
      <c r="W8" s="89">
        <f t="shared" si="9"/>
        <v>60</v>
      </c>
      <c r="X8" s="89">
        <f t="shared" si="10"/>
        <v>26.666666666666664</v>
      </c>
      <c r="Y8" s="89">
        <f t="shared" si="11"/>
        <v>-93.333333333333343</v>
      </c>
      <c r="Z8" s="90">
        <f t="shared" si="12"/>
        <v>464153333.33333331</v>
      </c>
      <c r="AA8" s="90">
        <f t="shared" si="13"/>
        <v>44153333.333333313</v>
      </c>
      <c r="AB8" s="91">
        <f t="shared" si="14"/>
        <v>1.1051269841269842</v>
      </c>
      <c r="AC8" s="92">
        <f t="shared" si="15"/>
        <v>3.1428571428571428</v>
      </c>
      <c r="AD8" s="93">
        <f t="shared" si="16"/>
        <v>13369238.095238095</v>
      </c>
      <c r="AE8" s="78">
        <f>IFERROR(GETPIVOTDATA("Sum of Qty",'[2]DATA LAST MONTH IQOO'!$A$6,"ID Store",$C8),0)</f>
        <v>3</v>
      </c>
      <c r="AF8" s="94">
        <f>IFERROR(GETPIVOTDATA("Sum of Qty",[2]IQOO!$A$6,"ID Store",$C8),0)</f>
        <v>1</v>
      </c>
      <c r="AG8" s="81">
        <f t="shared" si="17"/>
        <v>-2</v>
      </c>
      <c r="AH8" s="95">
        <f t="shared" si="18"/>
        <v>-0.66666666666666663</v>
      </c>
      <c r="AI8" s="96">
        <f>IFERROR(GETPIVOTDATA("Sum of Qty",'[2]DATA LAST MONTH DEVICE'!$A$6,"ID Store",$C8),0)</f>
        <v>32</v>
      </c>
      <c r="AJ8" s="97">
        <f t="shared" si="19"/>
        <v>54</v>
      </c>
      <c r="AK8" s="81">
        <f t="shared" si="20"/>
        <v>22</v>
      </c>
      <c r="AL8" s="83">
        <f t="shared" si="21"/>
        <v>0.6875</v>
      </c>
      <c r="AM8" s="82">
        <f>IFERROR(GETPIVOTDATA("Sum of Qty",'[2]Store 3mio+ last month'!$A$6,"ID Store",$C8),0)</f>
        <v>105</v>
      </c>
      <c r="AN8" s="81">
        <f t="shared" si="22"/>
        <v>180</v>
      </c>
      <c r="AO8" s="81">
        <f t="shared" si="23"/>
        <v>75</v>
      </c>
      <c r="AP8" s="83">
        <f t="shared" si="24"/>
        <v>0.7142857142857143</v>
      </c>
      <c r="AQ8" s="82">
        <f>IFERROR(GETPIVOTDATA("Sum of Qty",'[2]DATA LAST MONTH DEVICE'!$A$6,"ID Store",$C8,"Segment Price","3mio&gt;"),0)</f>
        <v>10</v>
      </c>
      <c r="AR8" s="84">
        <f t="shared" si="25"/>
        <v>8</v>
      </c>
      <c r="AS8" s="84">
        <f t="shared" si="26"/>
        <v>-2</v>
      </c>
      <c r="AT8" s="83">
        <f t="shared" si="27"/>
        <v>-0.2</v>
      </c>
      <c r="AU8" s="98">
        <f>IFERROR(GETPIVOTDATA("Sum of SRP",'[2]DATA LAST MONTH DEVICE'!$A$6,"ID Store",$C8),0)</f>
        <v>95768000</v>
      </c>
      <c r="AV8" s="98">
        <f t="shared" si="28"/>
        <v>139246000</v>
      </c>
      <c r="AW8" s="98">
        <f t="shared" si="29"/>
        <v>43478000</v>
      </c>
      <c r="AX8" s="83">
        <f t="shared" si="30"/>
        <v>0.45399298304235236</v>
      </c>
      <c r="AY8" s="98">
        <f>IFERROR(VLOOKUP(C8,'[2]DATA SALES LAST MONTH'!A:E,5,0),0)</f>
        <v>2992750</v>
      </c>
      <c r="AZ8" s="85">
        <f t="shared" si="31"/>
        <v>2578629.6296296297</v>
      </c>
      <c r="BA8" s="85">
        <f t="shared" si="32"/>
        <v>-414120.37037037034</v>
      </c>
      <c r="BB8" s="95">
        <f t="shared" si="33"/>
        <v>-0.13837452856749488</v>
      </c>
      <c r="BC8" s="78">
        <f>IFERROR(VLOOKUP(C8,'[2]TARGET THIS MONTH'!C:U,15,0),0)</f>
        <v>12</v>
      </c>
      <c r="BD8" s="99">
        <f>IFERROR(GETPIVOTDATA("Sum of Qty",[2]ACC!$A$5,"ID Store",$C8),0)</f>
        <v>14</v>
      </c>
      <c r="BE8" s="83">
        <f t="shared" si="34"/>
        <v>1.1666666666666667</v>
      </c>
      <c r="BF8" s="100">
        <f>IFERROR(VLOOKUP(C8,'[2]TARGET THIS MONTH'!C:U,16,0),0)</f>
        <v>2100000</v>
      </c>
      <c r="BG8" s="100">
        <f>IFERROR(GETPIVOTDATA("Sum of SRP",'[2]Insurance by Store'!$A$5,"ID Store",$C8,"Product Type","Qoala"),0)</f>
        <v>954000</v>
      </c>
      <c r="BH8" s="83">
        <f t="shared" si="35"/>
        <v>0.45428571428571429</v>
      </c>
      <c r="BI8" s="100">
        <f>IFERROR(VLOOKUP(C8,'[2]TARGET THIS MONTH'!C:U,17,0),0)</f>
        <v>420000</v>
      </c>
      <c r="BJ8" s="100">
        <f>IFERROR(GETPIVOTDATA("Sum of SRP",'[2]Insurance by Store'!$A$5,"ID Store",$C8,"Product Type","Vivo Care"),0)</f>
        <v>0</v>
      </c>
      <c r="BK8" s="83">
        <f t="shared" si="36"/>
        <v>0</v>
      </c>
      <c r="BL8" s="81">
        <f>IFERROR(VLOOKUP(C8,'[2]TARGET THIS MONTH'!C:U,18,0),0)</f>
        <v>3.6</v>
      </c>
      <c r="BM8" s="82">
        <f>IFERROR(GETPIVOTDATA("Sum of Qty",'[2]Operator by Store'!$A$5,"ID Store",$C8,"Product Type","Indosat"),0)</f>
        <v>1</v>
      </c>
      <c r="BN8" s="83">
        <f t="shared" si="37"/>
        <v>0.27777777777777779</v>
      </c>
      <c r="BO8" s="81">
        <f>VLOOKUP(C8,'[2]TARGET THIS MONTH'!C:U,19,0)</f>
        <v>36</v>
      </c>
      <c r="BP8" s="82">
        <f>IFERROR(GETPIVOTDATA("Sum of Qty",'[2]Operator by Store'!$A$5,"ID Store",$C8,"Product Type","Telkomsel"),0)</f>
        <v>0</v>
      </c>
      <c r="BQ8" s="101">
        <f t="shared" si="38"/>
        <v>0</v>
      </c>
    </row>
    <row r="9" spans="1:69" x14ac:dyDescent="0.2">
      <c r="A9" s="72">
        <v>5</v>
      </c>
      <c r="B9" s="73" t="s">
        <v>40</v>
      </c>
      <c r="C9" s="74">
        <v>6010709</v>
      </c>
      <c r="D9" s="75" t="s">
        <v>48</v>
      </c>
      <c r="E9" s="76" t="s">
        <v>47</v>
      </c>
      <c r="F9" s="77">
        <v>7</v>
      </c>
      <c r="G9" s="78">
        <f>IFERROR(VLOOKUP(C9,'[2]TARGET THIS MONTH'!C:E,3,0),0)</f>
        <v>320</v>
      </c>
      <c r="H9" s="79">
        <f>IFERROR(VLOOKUP(C9,'[2]TARGET THIS MONTH'!C:M,11,0),0)</f>
        <v>1120000000</v>
      </c>
      <c r="I9" s="78">
        <f>IFERROR(GETPIVOTDATA("Sum of Qty",'[2]DEVICE &amp; VALUE'!$A$6,"ID Store",$C9),0)</f>
        <v>113</v>
      </c>
      <c r="J9" s="80">
        <f t="shared" si="0"/>
        <v>0.35312500000000002</v>
      </c>
      <c r="K9" s="81">
        <f t="shared" si="1"/>
        <v>-207</v>
      </c>
      <c r="L9" s="82">
        <f>IFERROR(GETPIVOTDATA("Sum of Qty",[2]PF!$A$5,"ID Store",$C9),0)</f>
        <v>15</v>
      </c>
      <c r="M9" s="82">
        <f>IFERROR(GETPIVOTDATA("Sum of Qty",'[2]DEVICE &amp; VALUE'!$A$6,"ID Store",$C9,"Segment Price","3mio&gt;"),0)</f>
        <v>23</v>
      </c>
      <c r="N9" s="83">
        <f t="shared" si="2"/>
        <v>0.20353982300884957</v>
      </c>
      <c r="O9" s="84">
        <f>IFERROR(GETPIVOTDATA("Sum of Qty",[2]IQOO!$A$6,"ID Store",$C9),0)</f>
        <v>1</v>
      </c>
      <c r="P9" s="83">
        <f t="shared" si="3"/>
        <v>8.8495575221238937E-3</v>
      </c>
      <c r="Q9" s="83">
        <f t="shared" si="4"/>
        <v>0.20353982300884957</v>
      </c>
      <c r="R9" s="85">
        <f>IFERROR(GETPIVOTDATA("Sum of SRP",'[2]DEVICE &amp; VALUE'!$A$6,"ID Store",$C9),0)</f>
        <v>325487000</v>
      </c>
      <c r="S9" s="83">
        <f t="shared" si="5"/>
        <v>0.29061339285714288</v>
      </c>
      <c r="T9" s="86">
        <f t="shared" si="6"/>
        <v>-794513000</v>
      </c>
      <c r="U9" s="87">
        <f t="shared" si="7"/>
        <v>376.66666666666669</v>
      </c>
      <c r="V9" s="88">
        <f t="shared" si="8"/>
        <v>1.1770833333333335</v>
      </c>
      <c r="W9" s="89">
        <f t="shared" si="9"/>
        <v>56.666666666666686</v>
      </c>
      <c r="X9" s="89">
        <f t="shared" si="10"/>
        <v>76.666666666666657</v>
      </c>
      <c r="Y9" s="89">
        <f t="shared" si="11"/>
        <v>-243.33333333333334</v>
      </c>
      <c r="Z9" s="90">
        <f t="shared" si="12"/>
        <v>1084956666.6666667</v>
      </c>
      <c r="AA9" s="90">
        <f t="shared" si="13"/>
        <v>-35043333.333333254</v>
      </c>
      <c r="AB9" s="91">
        <f t="shared" si="14"/>
        <v>0.96871130952380957</v>
      </c>
      <c r="AC9" s="92">
        <f t="shared" si="15"/>
        <v>9.8571428571428577</v>
      </c>
      <c r="AD9" s="93">
        <f t="shared" si="16"/>
        <v>37833952.380952381</v>
      </c>
      <c r="AE9" s="78">
        <f>IFERROR(GETPIVOTDATA("Sum of Qty",'[2]DATA LAST MONTH IQOO'!$A$6,"ID Store",$C9),0)</f>
        <v>8</v>
      </c>
      <c r="AF9" s="94">
        <f>IFERROR(GETPIVOTDATA("Sum of Qty",[2]IQOO!$A$6,"ID Store",$C9),0)</f>
        <v>1</v>
      </c>
      <c r="AG9" s="81">
        <f t="shared" si="17"/>
        <v>-7</v>
      </c>
      <c r="AH9" s="95">
        <f t="shared" si="18"/>
        <v>-0.875</v>
      </c>
      <c r="AI9" s="96">
        <f>IFERROR(GETPIVOTDATA("Sum of Qty",'[2]DATA LAST MONTH DEVICE'!$A$6,"ID Store",$C9),0)</f>
        <v>118</v>
      </c>
      <c r="AJ9" s="97">
        <f t="shared" si="19"/>
        <v>113</v>
      </c>
      <c r="AK9" s="81">
        <f t="shared" si="20"/>
        <v>-5</v>
      </c>
      <c r="AL9" s="83">
        <f t="shared" si="21"/>
        <v>-4.2372881355932202E-2</v>
      </c>
      <c r="AM9" s="82">
        <f>IFERROR(GETPIVOTDATA("Sum of Qty",'[2]Store 3mio+ last month'!$A$6,"ID Store",$C9),0)</f>
        <v>353</v>
      </c>
      <c r="AN9" s="81">
        <f t="shared" si="22"/>
        <v>376.66666666666669</v>
      </c>
      <c r="AO9" s="81">
        <f t="shared" si="23"/>
        <v>23.666666666666686</v>
      </c>
      <c r="AP9" s="83">
        <f t="shared" si="24"/>
        <v>6.7044381491973615E-2</v>
      </c>
      <c r="AQ9" s="82">
        <f>IFERROR(GETPIVOTDATA("Sum of Qty",'[2]DATA LAST MONTH DEVICE'!$A$6,"ID Store",$C9,"Segment Price","3mio&gt;"),0)</f>
        <v>26</v>
      </c>
      <c r="AR9" s="84">
        <f t="shared" si="25"/>
        <v>23</v>
      </c>
      <c r="AS9" s="84">
        <f t="shared" si="26"/>
        <v>-3</v>
      </c>
      <c r="AT9" s="83">
        <f t="shared" si="27"/>
        <v>-0.11538461538461539</v>
      </c>
      <c r="AU9" s="98">
        <f>IFERROR(GETPIVOTDATA("Sum of SRP",'[2]DATA LAST MONTH DEVICE'!$A$6,"ID Store",$C9),0)</f>
        <v>336982000</v>
      </c>
      <c r="AV9" s="98">
        <f t="shared" si="28"/>
        <v>325487000</v>
      </c>
      <c r="AW9" s="98">
        <f t="shared" si="29"/>
        <v>-11495000</v>
      </c>
      <c r="AX9" s="83">
        <f t="shared" si="30"/>
        <v>-3.4111614270198411E-2</v>
      </c>
      <c r="AY9" s="98">
        <f>IFERROR(VLOOKUP(C9,'[2]DATA SALES LAST MONTH'!A:E,5,0),0)</f>
        <v>2855779.661016949</v>
      </c>
      <c r="AZ9" s="85">
        <f t="shared" si="31"/>
        <v>2880415.9292035401</v>
      </c>
      <c r="BA9" s="85">
        <f t="shared" si="32"/>
        <v>24636.2681865911</v>
      </c>
      <c r="BB9" s="95">
        <f t="shared" si="33"/>
        <v>8.6268098771380957E-3</v>
      </c>
      <c r="BC9" s="78">
        <f>IFERROR(VLOOKUP(C9,'[2]TARGET THIS MONTH'!C:U,15,0),0)</f>
        <v>32</v>
      </c>
      <c r="BD9" s="99">
        <f>IFERROR(GETPIVOTDATA("Sum of Qty",[2]ACC!$A$5,"ID Store",$C9),0)</f>
        <v>25</v>
      </c>
      <c r="BE9" s="83">
        <f t="shared" si="34"/>
        <v>0.78125</v>
      </c>
      <c r="BF9" s="100">
        <f>IFERROR(VLOOKUP(C9,'[2]TARGET THIS MONTH'!C:U,16,0),0)</f>
        <v>5600000</v>
      </c>
      <c r="BG9" s="100">
        <f>IFERROR(GETPIVOTDATA("Sum of SRP",'[2]Insurance by Store'!$A$5,"ID Store",$C9,"Product Type","Qoala"),0)</f>
        <v>1749000</v>
      </c>
      <c r="BH9" s="83">
        <f t="shared" si="35"/>
        <v>0.31232142857142858</v>
      </c>
      <c r="BI9" s="100">
        <f>IFERROR(VLOOKUP(C9,'[2]TARGET THIS MONTH'!C:U,17,0),0)</f>
        <v>1120000</v>
      </c>
      <c r="BJ9" s="100">
        <f>IFERROR(GETPIVOTDATA("Sum of SRP",'[2]Insurance by Store'!$A$5,"ID Store",$C9,"Product Type","Vivo Care"),0)</f>
        <v>0</v>
      </c>
      <c r="BK9" s="83">
        <f t="shared" si="36"/>
        <v>0</v>
      </c>
      <c r="BL9" s="81">
        <f>IFERROR(VLOOKUP(C9,'[2]TARGET THIS MONTH'!C:U,18,0),0)</f>
        <v>9.6</v>
      </c>
      <c r="BM9" s="82">
        <f>IFERROR(GETPIVOTDATA("Sum of Qty",'[2]Operator by Store'!$A$5,"ID Store",$C9,"Product Type","Indosat"),0)</f>
        <v>2</v>
      </c>
      <c r="BN9" s="83">
        <f t="shared" si="37"/>
        <v>0.20833333333333334</v>
      </c>
      <c r="BO9" s="81">
        <f>VLOOKUP(C9,'[2]TARGET THIS MONTH'!C:U,19,0)</f>
        <v>96</v>
      </c>
      <c r="BP9" s="82">
        <f>IFERROR(GETPIVOTDATA("Sum of Qty",'[2]Operator by Store'!$A$5,"ID Store",$C9,"Product Type","Telkomsel"),0)</f>
        <v>0</v>
      </c>
      <c r="BQ9" s="101">
        <f t="shared" si="38"/>
        <v>0</v>
      </c>
    </row>
    <row r="10" spans="1:69" x14ac:dyDescent="0.2">
      <c r="A10" s="72">
        <v>6</v>
      </c>
      <c r="B10" s="73" t="s">
        <v>40</v>
      </c>
      <c r="C10" s="74">
        <v>6010710</v>
      </c>
      <c r="D10" s="75" t="s">
        <v>49</v>
      </c>
      <c r="E10" s="102" t="s">
        <v>47</v>
      </c>
      <c r="F10" s="77">
        <v>3</v>
      </c>
      <c r="G10" s="78">
        <f>IFERROR(VLOOKUP(C10,'[2]TARGET THIS MONTH'!C:E,3,0),0)</f>
        <v>110</v>
      </c>
      <c r="H10" s="79">
        <f>IFERROR(VLOOKUP(C10,'[2]TARGET THIS MONTH'!C:M,11,0),0)</f>
        <v>385000000</v>
      </c>
      <c r="I10" s="78">
        <f>IFERROR(GETPIVOTDATA("Sum of Qty",'[2]DEVICE &amp; VALUE'!$A$6,"ID Store",$C10),0)</f>
        <v>46</v>
      </c>
      <c r="J10" s="80">
        <f t="shared" si="0"/>
        <v>0.41818181818181815</v>
      </c>
      <c r="K10" s="81">
        <f t="shared" si="1"/>
        <v>-64</v>
      </c>
      <c r="L10" s="82">
        <f>IFERROR(GETPIVOTDATA("Sum of Qty",[2]PF!$A$5,"ID Store",$C10),0)</f>
        <v>10</v>
      </c>
      <c r="M10" s="82">
        <f>IFERROR(GETPIVOTDATA("Sum of Qty",'[2]DEVICE &amp; VALUE'!$A$6,"ID Store",$C10,"Segment Price","3mio&gt;"),0)</f>
        <v>10</v>
      </c>
      <c r="N10" s="83">
        <f t="shared" si="2"/>
        <v>0.21739130434782608</v>
      </c>
      <c r="O10" s="84">
        <f>IFERROR(GETPIVOTDATA("Sum of Qty",[2]IQOO!$A$6,"ID Store",$C10),0)</f>
        <v>0</v>
      </c>
      <c r="P10" s="83">
        <f t="shared" si="3"/>
        <v>0</v>
      </c>
      <c r="Q10" s="83">
        <f t="shared" si="4"/>
        <v>0.21739130434782608</v>
      </c>
      <c r="R10" s="85">
        <f>IFERROR(GETPIVOTDATA("Sum of SRP",'[2]DEVICE &amp; VALUE'!$A$6,"ID Store",$C10),0)</f>
        <v>126654000</v>
      </c>
      <c r="S10" s="83">
        <f t="shared" si="5"/>
        <v>0.32897142857142858</v>
      </c>
      <c r="T10" s="86">
        <f t="shared" si="6"/>
        <v>-258346000</v>
      </c>
      <c r="U10" s="87">
        <f t="shared" si="7"/>
        <v>153.33333333333331</v>
      </c>
      <c r="V10" s="88">
        <f t="shared" si="8"/>
        <v>1.3939393939393938</v>
      </c>
      <c r="W10" s="89">
        <f t="shared" si="9"/>
        <v>43.333333333333314</v>
      </c>
      <c r="X10" s="89">
        <f t="shared" si="10"/>
        <v>33.333333333333336</v>
      </c>
      <c r="Y10" s="89">
        <f t="shared" si="11"/>
        <v>-76.666666666666657</v>
      </c>
      <c r="Z10" s="90">
        <f t="shared" si="12"/>
        <v>422180000</v>
      </c>
      <c r="AA10" s="90">
        <f t="shared" si="13"/>
        <v>37180000</v>
      </c>
      <c r="AB10" s="91">
        <f t="shared" si="14"/>
        <v>1.0965714285714285</v>
      </c>
      <c r="AC10" s="92">
        <f t="shared" si="15"/>
        <v>3.0476190476190474</v>
      </c>
      <c r="AD10" s="93">
        <f t="shared" si="16"/>
        <v>12302190.476190476</v>
      </c>
      <c r="AE10" s="78">
        <f>IFERROR(GETPIVOTDATA("Sum of Qty",'[2]DATA LAST MONTH IQOO'!$A$6,"ID Store",$C10),0)</f>
        <v>1</v>
      </c>
      <c r="AF10" s="94">
        <f>IFERROR(GETPIVOTDATA("Sum of Qty",[2]IQOO!$A$6,"ID Store",$C10),0)</f>
        <v>0</v>
      </c>
      <c r="AG10" s="81">
        <f t="shared" si="17"/>
        <v>-1</v>
      </c>
      <c r="AH10" s="95">
        <f t="shared" si="18"/>
        <v>-1</v>
      </c>
      <c r="AI10" s="96">
        <f>IFERROR(GETPIVOTDATA("Sum of Qty",'[2]DATA LAST MONTH DEVICE'!$A$6,"ID Store",$C10),0)</f>
        <v>40</v>
      </c>
      <c r="AJ10" s="97">
        <f t="shared" si="19"/>
        <v>46</v>
      </c>
      <c r="AK10" s="81">
        <f t="shared" si="20"/>
        <v>6</v>
      </c>
      <c r="AL10" s="83">
        <f t="shared" si="21"/>
        <v>0.15</v>
      </c>
      <c r="AM10" s="82">
        <f>IFERROR(GETPIVOTDATA("Sum of Qty",'[2]Store 3mio+ last month'!$A$6,"ID Store",$C10),0)</f>
        <v>120</v>
      </c>
      <c r="AN10" s="81">
        <f t="shared" si="22"/>
        <v>153.33333333333331</v>
      </c>
      <c r="AO10" s="81">
        <f t="shared" si="23"/>
        <v>33.333333333333314</v>
      </c>
      <c r="AP10" s="83">
        <f t="shared" si="24"/>
        <v>0.27777777777777762</v>
      </c>
      <c r="AQ10" s="82">
        <f>IFERROR(GETPIVOTDATA("Sum of Qty",'[2]DATA LAST MONTH DEVICE'!$A$6,"ID Store",$C10,"Segment Price","3mio&gt;"),0)</f>
        <v>12</v>
      </c>
      <c r="AR10" s="84">
        <f t="shared" si="25"/>
        <v>10</v>
      </c>
      <c r="AS10" s="84">
        <f t="shared" si="26"/>
        <v>-2</v>
      </c>
      <c r="AT10" s="83">
        <f t="shared" si="27"/>
        <v>-0.16666666666666666</v>
      </c>
      <c r="AU10" s="98">
        <f>IFERROR(GETPIVOTDATA("Sum of SRP",'[2]DATA LAST MONTH DEVICE'!$A$6,"ID Store",$C10),0)</f>
        <v>134460000</v>
      </c>
      <c r="AV10" s="98">
        <f t="shared" si="28"/>
        <v>126654000</v>
      </c>
      <c r="AW10" s="98">
        <f t="shared" si="29"/>
        <v>-7806000</v>
      </c>
      <c r="AX10" s="83">
        <f t="shared" si="30"/>
        <v>-5.8054439982150825E-2</v>
      </c>
      <c r="AY10" s="98">
        <f>IFERROR(VLOOKUP(C10,'[2]DATA SALES LAST MONTH'!A:E,5,0),0)</f>
        <v>3361500</v>
      </c>
      <c r="AZ10" s="85">
        <f t="shared" si="31"/>
        <v>2753347.826086957</v>
      </c>
      <c r="BA10" s="85">
        <f t="shared" si="32"/>
        <v>-608152.17391304299</v>
      </c>
      <c r="BB10" s="95">
        <f t="shared" si="33"/>
        <v>-0.18091690433230492</v>
      </c>
      <c r="BC10" s="78">
        <f>IFERROR(VLOOKUP(C10,'[2]TARGET THIS MONTH'!C:U,15,0),0)</f>
        <v>11</v>
      </c>
      <c r="BD10" s="99">
        <f>IFERROR(GETPIVOTDATA("Sum of Qty",[2]ACC!$A$5,"ID Store",$C10),0)</f>
        <v>6</v>
      </c>
      <c r="BE10" s="83">
        <f t="shared" si="34"/>
        <v>0.54545454545454541</v>
      </c>
      <c r="BF10" s="100">
        <f>IFERROR(VLOOKUP(C10,'[2]TARGET THIS MONTH'!C:U,16,0),0)</f>
        <v>1925000</v>
      </c>
      <c r="BG10" s="100">
        <f>IFERROR(GETPIVOTDATA("Sum of SRP",'[2]Insurance by Store'!$A$5,"ID Store",$C10,"Product Type","Qoala"),0)</f>
        <v>795000</v>
      </c>
      <c r="BH10" s="83">
        <f t="shared" si="35"/>
        <v>0.41298701298701301</v>
      </c>
      <c r="BI10" s="100">
        <f>IFERROR(VLOOKUP(C10,'[2]TARGET THIS MONTH'!C:U,17,0),0)</f>
        <v>385000</v>
      </c>
      <c r="BJ10" s="100">
        <f>IFERROR(GETPIVOTDATA("Sum of SRP",'[2]Insurance by Store'!$A$5,"ID Store",$C10,"Product Type","Vivo Care"),0)</f>
        <v>0</v>
      </c>
      <c r="BK10" s="83">
        <f t="shared" si="36"/>
        <v>0</v>
      </c>
      <c r="BL10" s="81">
        <f>IFERROR(VLOOKUP(C10,'[2]TARGET THIS MONTH'!C:U,18,0),0)</f>
        <v>3.3</v>
      </c>
      <c r="BM10" s="82">
        <f>IFERROR(GETPIVOTDATA("Sum of Qty",'[2]Operator by Store'!$A$5,"ID Store",$C10,"Product Type","Indosat"),0)</f>
        <v>0</v>
      </c>
      <c r="BN10" s="83">
        <f t="shared" si="37"/>
        <v>0</v>
      </c>
      <c r="BO10" s="81">
        <f>VLOOKUP(C10,'[2]TARGET THIS MONTH'!C:U,19,0)</f>
        <v>33</v>
      </c>
      <c r="BP10" s="82">
        <f>IFERROR(GETPIVOTDATA("Sum of Qty",'[2]Operator by Store'!$A$5,"ID Store",$C10,"Product Type","Telkomsel"),0)</f>
        <v>0</v>
      </c>
      <c r="BQ10" s="101">
        <f t="shared" si="38"/>
        <v>0</v>
      </c>
    </row>
    <row r="11" spans="1:69" x14ac:dyDescent="0.2">
      <c r="A11" s="72">
        <v>7</v>
      </c>
      <c r="B11" s="73" t="s">
        <v>40</v>
      </c>
      <c r="C11" s="74">
        <v>6020711</v>
      </c>
      <c r="D11" s="75" t="s">
        <v>50</v>
      </c>
      <c r="E11" s="103" t="s">
        <v>51</v>
      </c>
      <c r="F11" s="77">
        <v>3</v>
      </c>
      <c r="G11" s="78">
        <f>IFERROR(VLOOKUP(C11,'[2]TARGET THIS MONTH'!C:E,3,0),0)</f>
        <v>120</v>
      </c>
      <c r="H11" s="79">
        <f>IFERROR(VLOOKUP(C11,'[2]TARGET THIS MONTH'!C:M,11,0),0)</f>
        <v>840000000</v>
      </c>
      <c r="I11" s="78">
        <f>IFERROR(GETPIVOTDATA("Sum of Qty",'[2]DEVICE &amp; VALUE'!$A$6,"ID Store",$C11),0)</f>
        <v>29</v>
      </c>
      <c r="J11" s="80">
        <f t="shared" si="0"/>
        <v>0.24166666666666667</v>
      </c>
      <c r="K11" s="81">
        <f t="shared" si="1"/>
        <v>-91</v>
      </c>
      <c r="L11" s="82">
        <f>IFERROR(GETPIVOTDATA("Sum of Qty",[2]PF!$A$5,"ID Store",$C11),0)</f>
        <v>4</v>
      </c>
      <c r="M11" s="82">
        <f>IFERROR(GETPIVOTDATA("Sum of Qty",'[2]DEVICE &amp; VALUE'!$A$6,"ID Store",$C11,"Segment Price","3mio&gt;"),0)</f>
        <v>13</v>
      </c>
      <c r="N11" s="83">
        <f t="shared" si="2"/>
        <v>0.44827586206896552</v>
      </c>
      <c r="O11" s="84">
        <f>IFERROR(GETPIVOTDATA("Sum of Qty",[2]IQOO!$A$6,"ID Store",$C11),0)</f>
        <v>1</v>
      </c>
      <c r="P11" s="83">
        <f t="shared" si="3"/>
        <v>3.4482758620689655E-2</v>
      </c>
      <c r="Q11" s="83">
        <f t="shared" si="4"/>
        <v>0.44827586206896552</v>
      </c>
      <c r="R11" s="85">
        <f>IFERROR(GETPIVOTDATA("Sum of SRP",'[2]DEVICE &amp; VALUE'!$A$6,"ID Store",$C11),0)</f>
        <v>149071000</v>
      </c>
      <c r="S11" s="83">
        <f t="shared" si="5"/>
        <v>0.1774654761904762</v>
      </c>
      <c r="T11" s="86">
        <f t="shared" si="6"/>
        <v>-690929000</v>
      </c>
      <c r="U11" s="87">
        <f t="shared" si="7"/>
        <v>96.666666666666671</v>
      </c>
      <c r="V11" s="88">
        <f t="shared" si="8"/>
        <v>0.80555555555555558</v>
      </c>
      <c r="W11" s="89">
        <f t="shared" si="9"/>
        <v>-23.333333333333329</v>
      </c>
      <c r="X11" s="89">
        <f t="shared" si="10"/>
        <v>43.333333333333336</v>
      </c>
      <c r="Y11" s="89">
        <f t="shared" si="11"/>
        <v>-76.666666666666657</v>
      </c>
      <c r="Z11" s="90">
        <f t="shared" si="12"/>
        <v>496903333.33333331</v>
      </c>
      <c r="AA11" s="90">
        <f t="shared" si="13"/>
        <v>-343096666.66666669</v>
      </c>
      <c r="AB11" s="91">
        <f t="shared" si="14"/>
        <v>0.5915515873015873</v>
      </c>
      <c r="AC11" s="92">
        <f t="shared" si="15"/>
        <v>4.333333333333333</v>
      </c>
      <c r="AD11" s="93">
        <f t="shared" si="16"/>
        <v>32901380.952380951</v>
      </c>
      <c r="AE11" s="78">
        <f>IFERROR(GETPIVOTDATA("Sum of Qty",'[2]DATA LAST MONTH IQOO'!$A$6,"ID Store",$C11),0)</f>
        <v>1</v>
      </c>
      <c r="AF11" s="94">
        <f>IFERROR(GETPIVOTDATA("Sum of Qty",[2]IQOO!$A$6,"ID Store",$C11),0)</f>
        <v>1</v>
      </c>
      <c r="AG11" s="81">
        <f t="shared" si="17"/>
        <v>0</v>
      </c>
      <c r="AH11" s="95">
        <f t="shared" si="18"/>
        <v>0</v>
      </c>
      <c r="AI11" s="96">
        <f>IFERROR(GETPIVOTDATA("Sum of Qty",'[2]DATA LAST MONTH DEVICE'!$A$6,"ID Store",$C11),0)</f>
        <v>28</v>
      </c>
      <c r="AJ11" s="97">
        <f t="shared" si="19"/>
        <v>29</v>
      </c>
      <c r="AK11" s="81">
        <f t="shared" si="20"/>
        <v>1</v>
      </c>
      <c r="AL11" s="83">
        <f t="shared" si="21"/>
        <v>3.5714285714285712E-2</v>
      </c>
      <c r="AM11" s="82">
        <f>IFERROR(GETPIVOTDATA("Sum of Qty",'[2]Store 3mio+ last month'!$A$6,"ID Store",$C11),0)</f>
        <v>111</v>
      </c>
      <c r="AN11" s="81">
        <f t="shared" si="22"/>
        <v>96.666666666666671</v>
      </c>
      <c r="AO11" s="81">
        <f t="shared" si="23"/>
        <v>-14.333333333333329</v>
      </c>
      <c r="AP11" s="83">
        <f t="shared" si="24"/>
        <v>-0.12912912912912908</v>
      </c>
      <c r="AQ11" s="82">
        <f>IFERROR(GETPIVOTDATA("Sum of Qty",'[2]DATA LAST MONTH DEVICE'!$A$6,"ID Store",$C11,"Segment Price","3mio&gt;"),0)</f>
        <v>16</v>
      </c>
      <c r="AR11" s="84">
        <f t="shared" si="25"/>
        <v>13</v>
      </c>
      <c r="AS11" s="84">
        <f t="shared" si="26"/>
        <v>-3</v>
      </c>
      <c r="AT11" s="83">
        <f t="shared" si="27"/>
        <v>-0.1875</v>
      </c>
      <c r="AU11" s="98">
        <f>IFERROR(GETPIVOTDATA("Sum of SRP",'[2]DATA LAST MONTH DEVICE'!$A$6,"ID Store",$C11),0)</f>
        <v>139472000</v>
      </c>
      <c r="AV11" s="98">
        <f t="shared" si="28"/>
        <v>149071000</v>
      </c>
      <c r="AW11" s="98">
        <f t="shared" si="29"/>
        <v>9599000</v>
      </c>
      <c r="AX11" s="83">
        <f t="shared" si="30"/>
        <v>6.8823849948376731E-2</v>
      </c>
      <c r="AY11" s="98">
        <f>IFERROR(VLOOKUP(C11,'[2]DATA SALES LAST MONTH'!A:E,5,0),0)</f>
        <v>4981142.8571428573</v>
      </c>
      <c r="AZ11" s="85">
        <f t="shared" si="31"/>
        <v>5140379.3103448274</v>
      </c>
      <c r="BA11" s="85">
        <f t="shared" si="32"/>
        <v>159236.45320197009</v>
      </c>
      <c r="BB11" s="95">
        <f t="shared" si="33"/>
        <v>3.1967855122570568E-2</v>
      </c>
      <c r="BC11" s="78">
        <f>IFERROR(VLOOKUP(C11,'[2]TARGET THIS MONTH'!C:U,15,0),0)</f>
        <v>12</v>
      </c>
      <c r="BD11" s="99">
        <f>IFERROR(GETPIVOTDATA("Sum of Qty",[2]ACC!$A$5,"ID Store",$C11),0)</f>
        <v>12</v>
      </c>
      <c r="BE11" s="83">
        <f t="shared" si="34"/>
        <v>1</v>
      </c>
      <c r="BF11" s="100">
        <f>IFERROR(VLOOKUP(C11,'[2]TARGET THIS MONTH'!C:U,16,0),0)</f>
        <v>4200000</v>
      </c>
      <c r="BG11" s="100">
        <f>IFERROR(GETPIVOTDATA("Sum of SRP",'[2]Insurance by Store'!$A$5,"ID Store",$C11,"Product Type","Qoala"),0)</f>
        <v>647000</v>
      </c>
      <c r="BH11" s="83">
        <f t="shared" si="35"/>
        <v>0.15404761904761904</v>
      </c>
      <c r="BI11" s="100">
        <f>IFERROR(VLOOKUP(C11,'[2]TARGET THIS MONTH'!C:U,17,0),0)</f>
        <v>840000</v>
      </c>
      <c r="BJ11" s="100">
        <f>IFERROR(GETPIVOTDATA("Sum of SRP",'[2]Insurance by Store'!$A$5,"ID Store",$C11,"Product Type","Vivo Care"),0)</f>
        <v>1000000</v>
      </c>
      <c r="BK11" s="83">
        <f t="shared" si="36"/>
        <v>1.1904761904761905</v>
      </c>
      <c r="BL11" s="81">
        <f>IFERROR(VLOOKUP(C11,'[2]TARGET THIS MONTH'!C:U,18,0),0)</f>
        <v>3.6</v>
      </c>
      <c r="BM11" s="82">
        <f>IFERROR(GETPIVOTDATA("Sum of Qty",'[2]Operator by Store'!$A$5,"ID Store",$C11,"Product Type","Indosat"),0)</f>
        <v>0</v>
      </c>
      <c r="BN11" s="83">
        <f t="shared" si="37"/>
        <v>0</v>
      </c>
      <c r="BO11" s="81">
        <f>VLOOKUP(C11,'[2]TARGET THIS MONTH'!C:U,19,0)</f>
        <v>36</v>
      </c>
      <c r="BP11" s="82">
        <f>IFERROR(GETPIVOTDATA("Sum of Qty",'[2]Operator by Store'!$A$5,"ID Store",$C11,"Product Type","Telkomsel"),0)</f>
        <v>0</v>
      </c>
      <c r="BQ11" s="101">
        <f t="shared" si="38"/>
        <v>0</v>
      </c>
    </row>
    <row r="12" spans="1:69" x14ac:dyDescent="0.2">
      <c r="A12" s="72">
        <v>8</v>
      </c>
      <c r="B12" s="73" t="s">
        <v>40</v>
      </c>
      <c r="C12" s="74">
        <v>6010711</v>
      </c>
      <c r="D12" s="75" t="s">
        <v>52</v>
      </c>
      <c r="E12" s="102" t="s">
        <v>53</v>
      </c>
      <c r="F12" s="77">
        <v>3</v>
      </c>
      <c r="G12" s="78">
        <f>IFERROR(VLOOKUP(C12,'[2]TARGET THIS MONTH'!C:E,3,0),0)</f>
        <v>50</v>
      </c>
      <c r="H12" s="79">
        <f>IFERROR(VLOOKUP(C12,'[2]TARGET THIS MONTH'!C:M,11,0),0)</f>
        <v>350000000</v>
      </c>
      <c r="I12" s="78">
        <f>IFERROR(GETPIVOTDATA("Sum of Qty",'[2]DEVICE &amp; VALUE'!$A$6,"ID Store",$C12),0)</f>
        <v>19</v>
      </c>
      <c r="J12" s="80">
        <f t="shared" si="0"/>
        <v>0.38</v>
      </c>
      <c r="K12" s="81">
        <f t="shared" si="1"/>
        <v>-31</v>
      </c>
      <c r="L12" s="82">
        <f>IFERROR(GETPIVOTDATA("Sum of Qty",[2]PF!$A$5,"ID Store",$C12),0)</f>
        <v>4</v>
      </c>
      <c r="M12" s="82">
        <f>IFERROR(GETPIVOTDATA("Sum of Qty",'[2]DEVICE &amp; VALUE'!$A$6,"ID Store",$C12,"Segment Price","3mio&gt;"),0)</f>
        <v>10</v>
      </c>
      <c r="N12" s="83">
        <f t="shared" si="2"/>
        <v>0.52631578947368418</v>
      </c>
      <c r="O12" s="84">
        <f>IFERROR(GETPIVOTDATA("Sum of Qty",[2]IQOO!$A$6,"ID Store",$C12),0)</f>
        <v>1</v>
      </c>
      <c r="P12" s="83">
        <f t="shared" si="3"/>
        <v>5.2631578947368418E-2</v>
      </c>
      <c r="Q12" s="83">
        <f t="shared" si="4"/>
        <v>0.52631578947368418</v>
      </c>
      <c r="R12" s="85">
        <f>IFERROR(GETPIVOTDATA("Sum of SRP",'[2]DEVICE &amp; VALUE'!$A$6,"ID Store",$C12),0)</f>
        <v>152281000</v>
      </c>
      <c r="S12" s="83">
        <f t="shared" si="5"/>
        <v>0.43508857142857144</v>
      </c>
      <c r="T12" s="86">
        <f t="shared" si="6"/>
        <v>-197719000</v>
      </c>
      <c r="U12" s="87">
        <f t="shared" si="7"/>
        <v>63.333333333333336</v>
      </c>
      <c r="V12" s="88">
        <f t="shared" si="8"/>
        <v>1.2666666666666666</v>
      </c>
      <c r="W12" s="89">
        <f t="shared" si="9"/>
        <v>13.333333333333336</v>
      </c>
      <c r="X12" s="89">
        <f t="shared" si="10"/>
        <v>33.333333333333336</v>
      </c>
      <c r="Y12" s="89">
        <f t="shared" si="11"/>
        <v>-16.666666666666664</v>
      </c>
      <c r="Z12" s="90">
        <f t="shared" si="12"/>
        <v>507603333.33333337</v>
      </c>
      <c r="AA12" s="90">
        <f t="shared" si="13"/>
        <v>157603333.33333337</v>
      </c>
      <c r="AB12" s="91">
        <f t="shared" si="14"/>
        <v>1.4502952380952383</v>
      </c>
      <c r="AC12" s="92">
        <f t="shared" si="15"/>
        <v>1.4761904761904763</v>
      </c>
      <c r="AD12" s="93">
        <f t="shared" si="16"/>
        <v>9415190.4761904757</v>
      </c>
      <c r="AE12" s="78">
        <f>IFERROR(GETPIVOTDATA("Sum of Qty",'[2]DATA LAST MONTH IQOO'!$A$6,"ID Store",$C12),0)</f>
        <v>1</v>
      </c>
      <c r="AF12" s="94">
        <f>IFERROR(GETPIVOTDATA("Sum of Qty",[2]IQOO!$A$6,"ID Store",$C12),0)</f>
        <v>1</v>
      </c>
      <c r="AG12" s="81">
        <f t="shared" si="17"/>
        <v>0</v>
      </c>
      <c r="AH12" s="95">
        <f t="shared" si="18"/>
        <v>0</v>
      </c>
      <c r="AI12" s="96">
        <f>IFERROR(GETPIVOTDATA("Sum of Qty",'[2]DATA LAST MONTH DEVICE'!$A$6,"ID Store",$C12),0)</f>
        <v>5</v>
      </c>
      <c r="AJ12" s="97">
        <f t="shared" si="19"/>
        <v>19</v>
      </c>
      <c r="AK12" s="81">
        <f t="shared" si="20"/>
        <v>14</v>
      </c>
      <c r="AL12" s="83">
        <f t="shared" si="21"/>
        <v>2.8</v>
      </c>
      <c r="AM12" s="82">
        <f>IFERROR(GETPIVOTDATA("Sum of Qty",'[2]Store 3mio+ last month'!$A$6,"ID Store",$C12),0)</f>
        <v>38</v>
      </c>
      <c r="AN12" s="81">
        <f t="shared" si="22"/>
        <v>63.333333333333336</v>
      </c>
      <c r="AO12" s="81">
        <f t="shared" si="23"/>
        <v>25.333333333333336</v>
      </c>
      <c r="AP12" s="83">
        <f t="shared" si="24"/>
        <v>0.66666666666666674</v>
      </c>
      <c r="AQ12" s="82">
        <f>IFERROR(GETPIVOTDATA("Sum of Qty",'[2]DATA LAST MONTH DEVICE'!$A$6,"ID Store",$C12,"Segment Price","3mio&gt;"),0)</f>
        <v>4</v>
      </c>
      <c r="AR12" s="84">
        <f t="shared" si="25"/>
        <v>10</v>
      </c>
      <c r="AS12" s="84">
        <f t="shared" si="26"/>
        <v>6</v>
      </c>
      <c r="AT12" s="83">
        <f t="shared" si="27"/>
        <v>1.5</v>
      </c>
      <c r="AU12" s="98">
        <f>IFERROR(GETPIVOTDATA("Sum of SRP",'[2]DATA LAST MONTH DEVICE'!$A$6,"ID Store",$C12),0)</f>
        <v>34595000</v>
      </c>
      <c r="AV12" s="98">
        <f t="shared" si="28"/>
        <v>152281000</v>
      </c>
      <c r="AW12" s="98">
        <f t="shared" si="29"/>
        <v>117686000</v>
      </c>
      <c r="AX12" s="83">
        <f t="shared" si="30"/>
        <v>3.4018210724093079</v>
      </c>
      <c r="AY12" s="98">
        <f>IFERROR(VLOOKUP(C12,'[2]DATA SALES LAST MONTH'!A:E,5,0),0)</f>
        <v>6919000</v>
      </c>
      <c r="AZ12" s="85">
        <f t="shared" si="31"/>
        <v>8014789.4736842113</v>
      </c>
      <c r="BA12" s="85">
        <f t="shared" si="32"/>
        <v>1095789.4736842113</v>
      </c>
      <c r="BB12" s="95">
        <f t="shared" si="33"/>
        <v>0.15837396642350213</v>
      </c>
      <c r="BC12" s="78">
        <f>IFERROR(VLOOKUP(C12,'[2]TARGET THIS MONTH'!C:U,15,0),0)</f>
        <v>5</v>
      </c>
      <c r="BD12" s="99">
        <f>IFERROR(GETPIVOTDATA("Sum of Qty",[2]ACC!$A$5,"ID Store",$C12),0)</f>
        <v>4</v>
      </c>
      <c r="BE12" s="83">
        <f t="shared" si="34"/>
        <v>0.8</v>
      </c>
      <c r="BF12" s="100">
        <f>IFERROR(VLOOKUP(C12,'[2]TARGET THIS MONTH'!C:U,16,0),0)</f>
        <v>1750000</v>
      </c>
      <c r="BG12" s="100">
        <f>IFERROR(GETPIVOTDATA("Sum of SRP",'[2]Insurance by Store'!$A$5,"ID Store",$C12,"Product Type","Qoala"),0)</f>
        <v>817000</v>
      </c>
      <c r="BH12" s="83">
        <f t="shared" si="35"/>
        <v>0.46685714285714286</v>
      </c>
      <c r="BI12" s="100">
        <f>IFERROR(VLOOKUP(C12,'[2]TARGET THIS MONTH'!C:U,17,0),0)</f>
        <v>350000</v>
      </c>
      <c r="BJ12" s="100">
        <f>IFERROR(GETPIVOTDATA("Sum of SRP",'[2]Insurance by Store'!$A$5,"ID Store",$C12,"Product Type","Vivo Care"),0)</f>
        <v>0</v>
      </c>
      <c r="BK12" s="83">
        <f t="shared" si="36"/>
        <v>0</v>
      </c>
      <c r="BL12" s="81">
        <f>IFERROR(VLOOKUP(C12,'[2]TARGET THIS MONTH'!C:U,18,0),0)</f>
        <v>1.5</v>
      </c>
      <c r="BM12" s="82">
        <f>IFERROR(GETPIVOTDATA("Sum of Qty",'[2]Operator by Store'!$A$5,"ID Store",$C12,"Product Type","Indosat"),0)</f>
        <v>0</v>
      </c>
      <c r="BN12" s="83">
        <f t="shared" si="37"/>
        <v>0</v>
      </c>
      <c r="BO12" s="81">
        <f>VLOOKUP(C12,'[2]TARGET THIS MONTH'!C:U,19,0)</f>
        <v>15</v>
      </c>
      <c r="BP12" s="82">
        <f>IFERROR(GETPIVOTDATA("Sum of Qty",'[2]Operator by Store'!$A$5,"ID Store",$C12,"Product Type","Telkomsel"),0)</f>
        <v>0</v>
      </c>
      <c r="BQ12" s="101">
        <f t="shared" si="38"/>
        <v>0</v>
      </c>
    </row>
    <row r="13" spans="1:69" x14ac:dyDescent="0.2">
      <c r="A13" s="72">
        <v>9</v>
      </c>
      <c r="B13" s="73" t="s">
        <v>40</v>
      </c>
      <c r="C13" s="74">
        <v>6020706</v>
      </c>
      <c r="D13" s="75" t="s">
        <v>54</v>
      </c>
      <c r="E13" s="102" t="s">
        <v>55</v>
      </c>
      <c r="F13" s="77">
        <v>3</v>
      </c>
      <c r="G13" s="78">
        <f>IFERROR(VLOOKUP(C13,'[2]TARGET THIS MONTH'!C:E,3,0),0)</f>
        <v>100</v>
      </c>
      <c r="H13" s="79">
        <f>IFERROR(VLOOKUP(C13,'[2]TARGET THIS MONTH'!C:M,11,0),0)</f>
        <v>430000000</v>
      </c>
      <c r="I13" s="78">
        <f>IFERROR(GETPIVOTDATA("Sum of Qty",'[2]DEVICE &amp; VALUE'!$A$6,"ID Store",$C13),0)</f>
        <v>36</v>
      </c>
      <c r="J13" s="80">
        <f t="shared" si="0"/>
        <v>0.36</v>
      </c>
      <c r="K13" s="81">
        <f t="shared" si="1"/>
        <v>-64</v>
      </c>
      <c r="L13" s="82">
        <f>IFERROR(GETPIVOTDATA("Sum of Qty",[2]PF!$A$5,"ID Store",$C13),0)</f>
        <v>11</v>
      </c>
      <c r="M13" s="82">
        <f>IFERROR(GETPIVOTDATA("Sum of Qty",'[2]DEVICE &amp; VALUE'!$A$6,"ID Store",$C13,"Segment Price","3mio&gt;"),0)</f>
        <v>15</v>
      </c>
      <c r="N13" s="83">
        <f t="shared" si="2"/>
        <v>0.41666666666666669</v>
      </c>
      <c r="O13" s="84">
        <f>IFERROR(GETPIVOTDATA("Sum of Qty",[2]IQOO!$A$6,"ID Store",$C13),0)</f>
        <v>1</v>
      </c>
      <c r="P13" s="83">
        <f t="shared" si="3"/>
        <v>2.7777777777777776E-2</v>
      </c>
      <c r="Q13" s="83">
        <f t="shared" si="4"/>
        <v>0.41666666666666669</v>
      </c>
      <c r="R13" s="85">
        <f>IFERROR(GETPIVOTDATA("Sum of SRP",'[2]DEVICE &amp; VALUE'!$A$6,"ID Store",$C13),0)</f>
        <v>126464000</v>
      </c>
      <c r="S13" s="83">
        <f t="shared" si="5"/>
        <v>0.29410232558139537</v>
      </c>
      <c r="T13" s="86">
        <f t="shared" si="6"/>
        <v>-303536000</v>
      </c>
      <c r="U13" s="87">
        <f t="shared" si="7"/>
        <v>120</v>
      </c>
      <c r="V13" s="88">
        <f t="shared" si="8"/>
        <v>1.2</v>
      </c>
      <c r="W13" s="89">
        <f t="shared" si="9"/>
        <v>20</v>
      </c>
      <c r="X13" s="89">
        <f t="shared" si="10"/>
        <v>50</v>
      </c>
      <c r="Y13" s="89">
        <f t="shared" si="11"/>
        <v>-50</v>
      </c>
      <c r="Z13" s="90">
        <f t="shared" si="12"/>
        <v>421546666.66666669</v>
      </c>
      <c r="AA13" s="90">
        <f t="shared" si="13"/>
        <v>-8453333.3333333135</v>
      </c>
      <c r="AB13" s="91">
        <f t="shared" si="14"/>
        <v>0.98034108527131791</v>
      </c>
      <c r="AC13" s="92">
        <f t="shared" si="15"/>
        <v>3.0476190476190474</v>
      </c>
      <c r="AD13" s="93">
        <f t="shared" si="16"/>
        <v>14454095.238095239</v>
      </c>
      <c r="AE13" s="78">
        <f>IFERROR(GETPIVOTDATA("Sum of Qty",'[2]DATA LAST MONTH IQOO'!$A$6,"ID Store",$C13),0)</f>
        <v>8</v>
      </c>
      <c r="AF13" s="94">
        <f>IFERROR(GETPIVOTDATA("Sum of Qty",[2]IQOO!$A$6,"ID Store",$C13),0)</f>
        <v>1</v>
      </c>
      <c r="AG13" s="81">
        <f t="shared" si="17"/>
        <v>-7</v>
      </c>
      <c r="AH13" s="95">
        <f t="shared" si="18"/>
        <v>-0.875</v>
      </c>
      <c r="AI13" s="96">
        <f>IFERROR(GETPIVOTDATA("Sum of Qty",'[2]DATA LAST MONTH DEVICE'!$A$6,"ID Store",$C13),0)</f>
        <v>39</v>
      </c>
      <c r="AJ13" s="97">
        <f t="shared" si="19"/>
        <v>36</v>
      </c>
      <c r="AK13" s="81">
        <f t="shared" si="20"/>
        <v>-3</v>
      </c>
      <c r="AL13" s="83">
        <f t="shared" si="21"/>
        <v>-7.6923076923076927E-2</v>
      </c>
      <c r="AM13" s="82">
        <f>IFERROR(GETPIVOTDATA("Sum of Qty",'[2]Store 3mio+ last month'!$A$6,"ID Store",$C13),0)</f>
        <v>108</v>
      </c>
      <c r="AN13" s="81">
        <f t="shared" si="22"/>
        <v>120</v>
      </c>
      <c r="AO13" s="81">
        <f t="shared" si="23"/>
        <v>12</v>
      </c>
      <c r="AP13" s="83">
        <f t="shared" si="24"/>
        <v>0.1111111111111111</v>
      </c>
      <c r="AQ13" s="82">
        <f>IFERROR(GETPIVOTDATA("Sum of Qty",'[2]DATA LAST MONTH DEVICE'!$A$6,"ID Store",$C13,"Segment Price","3mio&gt;"),0)</f>
        <v>20</v>
      </c>
      <c r="AR13" s="84">
        <f t="shared" si="25"/>
        <v>15</v>
      </c>
      <c r="AS13" s="84">
        <f t="shared" si="26"/>
        <v>-5</v>
      </c>
      <c r="AT13" s="83">
        <f t="shared" si="27"/>
        <v>-0.25</v>
      </c>
      <c r="AU13" s="98">
        <f>IFERROR(GETPIVOTDATA("Sum of SRP",'[2]DATA LAST MONTH DEVICE'!$A$6,"ID Store",$C13),0)</f>
        <v>162161000</v>
      </c>
      <c r="AV13" s="98">
        <f t="shared" si="28"/>
        <v>126464000</v>
      </c>
      <c r="AW13" s="98">
        <f t="shared" si="29"/>
        <v>-35697000</v>
      </c>
      <c r="AX13" s="83">
        <f t="shared" si="30"/>
        <v>-0.22013307762038961</v>
      </c>
      <c r="AY13" s="98">
        <f>IFERROR(VLOOKUP(C13,'[2]DATA SALES LAST MONTH'!A:E,5,0),0)</f>
        <v>4157974.358974359</v>
      </c>
      <c r="AZ13" s="85">
        <f t="shared" si="31"/>
        <v>3512888.888888889</v>
      </c>
      <c r="BA13" s="85">
        <f t="shared" si="32"/>
        <v>-645085.47008547001</v>
      </c>
      <c r="BB13" s="95">
        <f t="shared" si="33"/>
        <v>-0.15514416742208872</v>
      </c>
      <c r="BC13" s="78">
        <f>IFERROR(VLOOKUP(C13,'[2]TARGET THIS MONTH'!C:U,15,0),0)</f>
        <v>10</v>
      </c>
      <c r="BD13" s="99">
        <f>IFERROR(GETPIVOTDATA("Sum of Qty",[2]ACC!$A$5,"ID Store",$C13),0)</f>
        <v>5</v>
      </c>
      <c r="BE13" s="83">
        <f t="shared" si="34"/>
        <v>0.5</v>
      </c>
      <c r="BF13" s="100">
        <f>IFERROR(VLOOKUP(C13,'[2]TARGET THIS MONTH'!C:U,16,0),0)</f>
        <v>2150000</v>
      </c>
      <c r="BG13" s="100">
        <f>IFERROR(GETPIVOTDATA("Sum of SRP",'[2]Insurance by Store'!$A$5,"ID Store",$C13,"Product Type","Qoala"),0)</f>
        <v>1464000</v>
      </c>
      <c r="BH13" s="83">
        <f t="shared" si="35"/>
        <v>0.68093023255813956</v>
      </c>
      <c r="BI13" s="100">
        <f>IFERROR(VLOOKUP(C13,'[2]TARGET THIS MONTH'!C:U,17,0),0)</f>
        <v>430000</v>
      </c>
      <c r="BJ13" s="100">
        <f>IFERROR(GETPIVOTDATA("Sum of SRP",'[2]Insurance by Store'!$A$5,"ID Store",$C13,"Product Type","Vivo Care"),0)</f>
        <v>0</v>
      </c>
      <c r="BK13" s="83">
        <f t="shared" si="36"/>
        <v>0</v>
      </c>
      <c r="BL13" s="81">
        <f>IFERROR(VLOOKUP(C13,'[2]TARGET THIS MONTH'!C:U,18,0),0)</f>
        <v>3</v>
      </c>
      <c r="BM13" s="82">
        <f>IFERROR(GETPIVOTDATA("Sum of Qty",'[2]Operator by Store'!$A$5,"ID Store",$C13,"Product Type","Indosat"),0)</f>
        <v>0</v>
      </c>
      <c r="BN13" s="83">
        <f t="shared" si="37"/>
        <v>0</v>
      </c>
      <c r="BO13" s="81">
        <f>VLOOKUP(C13,'[2]TARGET THIS MONTH'!C:U,19,0)</f>
        <v>30</v>
      </c>
      <c r="BP13" s="82">
        <f>IFERROR(GETPIVOTDATA("Sum of Qty",'[2]Operator by Store'!$A$5,"ID Store",$C13,"Product Type","Telkomsel"),0)</f>
        <v>0</v>
      </c>
      <c r="BQ13" s="101">
        <f t="shared" si="38"/>
        <v>0</v>
      </c>
    </row>
    <row r="14" spans="1:69" x14ac:dyDescent="0.2">
      <c r="A14" s="72">
        <v>10</v>
      </c>
      <c r="B14" s="73" t="s">
        <v>40</v>
      </c>
      <c r="C14" s="74">
        <v>6020704</v>
      </c>
      <c r="D14" s="75" t="s">
        <v>56</v>
      </c>
      <c r="E14" s="102" t="s">
        <v>55</v>
      </c>
      <c r="F14" s="77">
        <v>3</v>
      </c>
      <c r="G14" s="78">
        <f>IFERROR(VLOOKUP(C14,'[2]TARGET THIS MONTH'!C:E,3,0),0)</f>
        <v>60</v>
      </c>
      <c r="H14" s="79">
        <f>IFERROR(VLOOKUP(C14,'[2]TARGET THIS MONTH'!C:M,11,0),0)</f>
        <v>258000000</v>
      </c>
      <c r="I14" s="78">
        <f>IFERROR(GETPIVOTDATA("Sum of Qty",'[2]DEVICE &amp; VALUE'!$A$6,"ID Store",$C14),0)</f>
        <v>16</v>
      </c>
      <c r="J14" s="80">
        <f t="shared" si="0"/>
        <v>0.26666666666666666</v>
      </c>
      <c r="K14" s="81">
        <f t="shared" si="1"/>
        <v>-44</v>
      </c>
      <c r="L14" s="82">
        <f>IFERROR(GETPIVOTDATA("Sum of Qty",[2]PF!$A$5,"ID Store",$C14),0)</f>
        <v>4</v>
      </c>
      <c r="M14" s="82">
        <f>IFERROR(GETPIVOTDATA("Sum of Qty",'[2]DEVICE &amp; VALUE'!$A$6,"ID Store",$C14,"Segment Price","3mio&gt;"),0)</f>
        <v>8</v>
      </c>
      <c r="N14" s="83">
        <f t="shared" si="2"/>
        <v>0.5</v>
      </c>
      <c r="O14" s="84">
        <f>IFERROR(GETPIVOTDATA("Sum of Qty",[2]IQOO!$A$6,"ID Store",$C14),0)</f>
        <v>1</v>
      </c>
      <c r="P14" s="83">
        <f t="shared" si="3"/>
        <v>6.25E-2</v>
      </c>
      <c r="Q14" s="83">
        <f t="shared" si="4"/>
        <v>0.5</v>
      </c>
      <c r="R14" s="85">
        <f>IFERROR(GETPIVOTDATA("Sum of SRP",'[2]DEVICE &amp; VALUE'!$A$6,"ID Store",$C14),0)</f>
        <v>63184000</v>
      </c>
      <c r="S14" s="83">
        <f t="shared" si="5"/>
        <v>0.24489922480620155</v>
      </c>
      <c r="T14" s="86">
        <f t="shared" si="6"/>
        <v>-194816000</v>
      </c>
      <c r="U14" s="87">
        <f t="shared" si="7"/>
        <v>53.333333333333329</v>
      </c>
      <c r="V14" s="88">
        <f t="shared" si="8"/>
        <v>0.88888888888888884</v>
      </c>
      <c r="W14" s="89">
        <f t="shared" si="9"/>
        <v>-6.6666666666666714</v>
      </c>
      <c r="X14" s="89">
        <f t="shared" si="10"/>
        <v>26.666666666666664</v>
      </c>
      <c r="Y14" s="89">
        <f t="shared" si="11"/>
        <v>-33.333333333333336</v>
      </c>
      <c r="Z14" s="90">
        <f t="shared" si="12"/>
        <v>210613333.33333331</v>
      </c>
      <c r="AA14" s="90">
        <f t="shared" si="13"/>
        <v>-47386666.666666687</v>
      </c>
      <c r="AB14" s="91">
        <f t="shared" si="14"/>
        <v>0.81633074935400507</v>
      </c>
      <c r="AC14" s="92">
        <f t="shared" si="15"/>
        <v>2.0952380952380953</v>
      </c>
      <c r="AD14" s="93">
        <f t="shared" si="16"/>
        <v>9276952.3809523806</v>
      </c>
      <c r="AE14" s="78">
        <f>IFERROR(GETPIVOTDATA("Sum of Qty",'[2]DATA LAST MONTH IQOO'!$A$6,"ID Store",$C14),0)</f>
        <v>2</v>
      </c>
      <c r="AF14" s="94">
        <f>IFERROR(GETPIVOTDATA("Sum of Qty",[2]IQOO!$A$6,"ID Store",$C14),0)</f>
        <v>1</v>
      </c>
      <c r="AG14" s="81">
        <f t="shared" si="17"/>
        <v>-1</v>
      </c>
      <c r="AH14" s="95">
        <f t="shared" si="18"/>
        <v>-0.5</v>
      </c>
      <c r="AI14" s="96">
        <f>IFERROR(GETPIVOTDATA("Sum of Qty",'[2]DATA LAST MONTH DEVICE'!$A$6,"ID Store",$C14),0)</f>
        <v>26</v>
      </c>
      <c r="AJ14" s="97">
        <f t="shared" si="19"/>
        <v>16</v>
      </c>
      <c r="AK14" s="81">
        <f t="shared" si="20"/>
        <v>-10</v>
      </c>
      <c r="AL14" s="83">
        <f t="shared" si="21"/>
        <v>-0.38461538461538464</v>
      </c>
      <c r="AM14" s="82">
        <f>IFERROR(GETPIVOTDATA("Sum of Qty",'[2]Store 3mio+ last month'!$A$6,"ID Store",$C14),0)</f>
        <v>54</v>
      </c>
      <c r="AN14" s="81">
        <f t="shared" si="22"/>
        <v>53.333333333333329</v>
      </c>
      <c r="AO14" s="81">
        <f t="shared" si="23"/>
        <v>-0.6666666666666714</v>
      </c>
      <c r="AP14" s="83">
        <f t="shared" si="24"/>
        <v>-1.2345679012345767E-2</v>
      </c>
      <c r="AQ14" s="82">
        <f>IFERROR(GETPIVOTDATA("Sum of Qty",'[2]DATA LAST MONTH DEVICE'!$A$6,"ID Store",$C14,"Segment Price","3mio&gt;"),0)</f>
        <v>10</v>
      </c>
      <c r="AR14" s="84">
        <f t="shared" si="25"/>
        <v>8</v>
      </c>
      <c r="AS14" s="84">
        <f t="shared" si="26"/>
        <v>-2</v>
      </c>
      <c r="AT14" s="83">
        <f t="shared" si="27"/>
        <v>-0.2</v>
      </c>
      <c r="AU14" s="98">
        <f>IFERROR(GETPIVOTDATA("Sum of SRP",'[2]DATA LAST MONTH DEVICE'!$A$6,"ID Store",$C14),0)</f>
        <v>89474000</v>
      </c>
      <c r="AV14" s="98">
        <f t="shared" si="28"/>
        <v>63184000</v>
      </c>
      <c r="AW14" s="98">
        <f t="shared" si="29"/>
        <v>-26290000</v>
      </c>
      <c r="AX14" s="83">
        <f t="shared" si="30"/>
        <v>-0.29382837472338336</v>
      </c>
      <c r="AY14" s="98">
        <f>IFERROR(VLOOKUP(C14,'[2]DATA SALES LAST MONTH'!A:E,5,0),0)</f>
        <v>3441307.6923076925</v>
      </c>
      <c r="AZ14" s="85">
        <f t="shared" si="31"/>
        <v>3949000</v>
      </c>
      <c r="BA14" s="85">
        <f t="shared" si="32"/>
        <v>507692.30769230751</v>
      </c>
      <c r="BB14" s="95">
        <f t="shared" si="33"/>
        <v>0.14752889107450204</v>
      </c>
      <c r="BC14" s="78">
        <f>IFERROR(VLOOKUP(C14,'[2]TARGET THIS MONTH'!C:U,15,0),0)</f>
        <v>6</v>
      </c>
      <c r="BD14" s="99">
        <f>IFERROR(GETPIVOTDATA("Sum of Qty",[2]ACC!$A$5,"ID Store",$C14),0)</f>
        <v>1</v>
      </c>
      <c r="BE14" s="83">
        <f t="shared" si="34"/>
        <v>0.16666666666666666</v>
      </c>
      <c r="BF14" s="100">
        <f>IFERROR(VLOOKUP(C14,'[2]TARGET THIS MONTH'!C:U,16,0),0)</f>
        <v>1290000</v>
      </c>
      <c r="BG14" s="100">
        <f>IFERROR(GETPIVOTDATA("Sum of SRP",'[2]Insurance by Store'!$A$5,"ID Store",$C14,"Product Type","Qoala"),0)</f>
        <v>249000</v>
      </c>
      <c r="BH14" s="83">
        <f t="shared" si="35"/>
        <v>0.19302325581395349</v>
      </c>
      <c r="BI14" s="100">
        <f>IFERROR(VLOOKUP(C14,'[2]TARGET THIS MONTH'!C:U,17,0),0)</f>
        <v>258000</v>
      </c>
      <c r="BJ14" s="100">
        <f>IFERROR(GETPIVOTDATA("Sum of SRP",'[2]Insurance by Store'!$A$5,"ID Store",$C14,"Product Type","Vivo Care"),0)</f>
        <v>0</v>
      </c>
      <c r="BK14" s="83">
        <f t="shared" si="36"/>
        <v>0</v>
      </c>
      <c r="BL14" s="81">
        <f>IFERROR(VLOOKUP(C14,'[2]TARGET THIS MONTH'!C:U,18,0),0)</f>
        <v>1.8</v>
      </c>
      <c r="BM14" s="82">
        <f>IFERROR(GETPIVOTDATA("Sum of Qty",'[2]Operator by Store'!$A$5,"ID Store",$C14,"Product Type","Indosat"),0)</f>
        <v>0</v>
      </c>
      <c r="BN14" s="83">
        <f t="shared" si="37"/>
        <v>0</v>
      </c>
      <c r="BO14" s="81">
        <f>VLOOKUP(C14,'[2]TARGET THIS MONTH'!C:U,19,0)</f>
        <v>18</v>
      </c>
      <c r="BP14" s="82">
        <f>IFERROR(GETPIVOTDATA("Sum of Qty",'[2]Operator by Store'!$A$5,"ID Store",$C14,"Product Type","Telkomsel"),0)</f>
        <v>0</v>
      </c>
      <c r="BQ14" s="101">
        <f t="shared" si="38"/>
        <v>0</v>
      </c>
    </row>
    <row r="15" spans="1:69" x14ac:dyDescent="0.2">
      <c r="A15" s="72">
        <v>11</v>
      </c>
      <c r="B15" s="73" t="s">
        <v>57</v>
      </c>
      <c r="C15" s="74">
        <v>6040701</v>
      </c>
      <c r="D15" s="75" t="s">
        <v>58</v>
      </c>
      <c r="E15" s="102" t="s">
        <v>59</v>
      </c>
      <c r="F15" s="77">
        <v>3</v>
      </c>
      <c r="G15" s="78">
        <f>IFERROR(VLOOKUP(C15,'[2]TARGET THIS MONTH'!C:E,3,0),0)</f>
        <v>50</v>
      </c>
      <c r="H15" s="79">
        <f>IFERROR(VLOOKUP(C15,'[2]TARGET THIS MONTH'!C:M,11,0),0)</f>
        <v>215000000</v>
      </c>
      <c r="I15" s="78">
        <f>IFERROR(GETPIVOTDATA("Sum of Qty",'[2]DEVICE &amp; VALUE'!$A$6,"ID Store",$C15),0)</f>
        <v>24</v>
      </c>
      <c r="J15" s="80">
        <f t="shared" si="0"/>
        <v>0.48</v>
      </c>
      <c r="K15" s="81">
        <f t="shared" si="1"/>
        <v>-26</v>
      </c>
      <c r="L15" s="82">
        <f>IFERROR(GETPIVOTDATA("Sum of Qty",[2]PF!$A$5,"ID Store",$C15),0)</f>
        <v>8</v>
      </c>
      <c r="M15" s="82">
        <f>IFERROR(GETPIVOTDATA("Sum of Qty",'[2]DEVICE &amp; VALUE'!$A$6,"ID Store",$C15,"Segment Price","3mio&gt;"),0)</f>
        <v>12</v>
      </c>
      <c r="N15" s="83">
        <f t="shared" si="2"/>
        <v>0.5</v>
      </c>
      <c r="O15" s="84">
        <f>IFERROR(GETPIVOTDATA("Sum of Qty",[2]IQOO!$A$6,"ID Store",$C15),0)</f>
        <v>1</v>
      </c>
      <c r="P15" s="83">
        <f t="shared" si="3"/>
        <v>4.1666666666666664E-2</v>
      </c>
      <c r="Q15" s="83">
        <f t="shared" si="4"/>
        <v>0.5</v>
      </c>
      <c r="R15" s="85">
        <f>IFERROR(GETPIVOTDATA("Sum of SRP",'[2]DEVICE &amp; VALUE'!$A$6,"ID Store",$C15),0)</f>
        <v>95076000</v>
      </c>
      <c r="S15" s="83">
        <f t="shared" si="5"/>
        <v>0.44221395348837211</v>
      </c>
      <c r="T15" s="86">
        <f t="shared" si="6"/>
        <v>-119924000</v>
      </c>
      <c r="U15" s="87">
        <f t="shared" si="7"/>
        <v>80</v>
      </c>
      <c r="V15" s="88">
        <f t="shared" si="8"/>
        <v>1.6</v>
      </c>
      <c r="W15" s="89">
        <f t="shared" si="9"/>
        <v>30</v>
      </c>
      <c r="X15" s="89">
        <f t="shared" si="10"/>
        <v>40</v>
      </c>
      <c r="Y15" s="89">
        <f t="shared" si="11"/>
        <v>-10</v>
      </c>
      <c r="Z15" s="90">
        <f t="shared" si="12"/>
        <v>316920000</v>
      </c>
      <c r="AA15" s="90">
        <f t="shared" si="13"/>
        <v>101920000</v>
      </c>
      <c r="AB15" s="91">
        <f t="shared" si="14"/>
        <v>1.4740465116279069</v>
      </c>
      <c r="AC15" s="92">
        <f t="shared" si="15"/>
        <v>1.2380952380952381</v>
      </c>
      <c r="AD15" s="93">
        <f t="shared" si="16"/>
        <v>5710666.666666667</v>
      </c>
      <c r="AE15" s="78">
        <f>IFERROR(GETPIVOTDATA("Sum of Qty",'[2]DATA LAST MONTH IQOO'!$A$6,"ID Store",$C15),0)</f>
        <v>6</v>
      </c>
      <c r="AF15" s="94">
        <f>IFERROR(GETPIVOTDATA("Sum of Qty",[2]IQOO!$A$6,"ID Store",$C15),0)</f>
        <v>1</v>
      </c>
      <c r="AG15" s="81">
        <f t="shared" si="17"/>
        <v>-5</v>
      </c>
      <c r="AH15" s="95">
        <f t="shared" si="18"/>
        <v>-0.83333333333333337</v>
      </c>
      <c r="AI15" s="96">
        <f>IFERROR(GETPIVOTDATA("Sum of Qty",'[2]DATA LAST MONTH DEVICE'!$A$6,"ID Store",$C15),0)</f>
        <v>27</v>
      </c>
      <c r="AJ15" s="97">
        <f t="shared" si="19"/>
        <v>24</v>
      </c>
      <c r="AK15" s="81">
        <f t="shared" si="20"/>
        <v>-3</v>
      </c>
      <c r="AL15" s="83">
        <f t="shared" si="21"/>
        <v>-0.1111111111111111</v>
      </c>
      <c r="AM15" s="82">
        <f>IFERROR(GETPIVOTDATA("Sum of Qty",'[2]Store 3mio+ last month'!$A$6,"ID Store",$C15),0)</f>
        <v>56</v>
      </c>
      <c r="AN15" s="81">
        <f t="shared" si="22"/>
        <v>80</v>
      </c>
      <c r="AO15" s="81">
        <f t="shared" si="23"/>
        <v>24</v>
      </c>
      <c r="AP15" s="83">
        <f t="shared" si="24"/>
        <v>0.42857142857142855</v>
      </c>
      <c r="AQ15" s="82">
        <f>IFERROR(GETPIVOTDATA("Sum of Qty",'[2]DATA LAST MONTH DEVICE'!$A$6,"ID Store",$C15,"Segment Price","3mio&gt;"),0)</f>
        <v>15</v>
      </c>
      <c r="AR15" s="84">
        <f t="shared" si="25"/>
        <v>12</v>
      </c>
      <c r="AS15" s="84">
        <f t="shared" si="26"/>
        <v>-3</v>
      </c>
      <c r="AT15" s="83">
        <f t="shared" si="27"/>
        <v>-0.2</v>
      </c>
      <c r="AU15" s="98">
        <f>IFERROR(GETPIVOTDATA("Sum of SRP",'[2]DATA LAST MONTH DEVICE'!$A$6,"ID Store",$C15),0)</f>
        <v>134673000</v>
      </c>
      <c r="AV15" s="98">
        <f t="shared" si="28"/>
        <v>95076000</v>
      </c>
      <c r="AW15" s="98">
        <f t="shared" si="29"/>
        <v>-39597000</v>
      </c>
      <c r="AX15" s="83">
        <f t="shared" si="30"/>
        <v>-0.29402330088436435</v>
      </c>
      <c r="AY15" s="98">
        <f>IFERROR(VLOOKUP(C15,'[2]DATA SALES LAST MONTH'!A:E,5,0),0)</f>
        <v>4987888.888888889</v>
      </c>
      <c r="AZ15" s="85">
        <f t="shared" si="31"/>
        <v>3961500</v>
      </c>
      <c r="BA15" s="85">
        <f t="shared" si="32"/>
        <v>-1026388.888888889</v>
      </c>
      <c r="BB15" s="95">
        <f t="shared" si="33"/>
        <v>-0.2057762134949099</v>
      </c>
      <c r="BC15" s="78">
        <f>IFERROR(VLOOKUP(C15,'[2]TARGET THIS MONTH'!C:U,15,0),0)</f>
        <v>5</v>
      </c>
      <c r="BD15" s="99">
        <f>IFERROR(GETPIVOTDATA("Sum of Qty",[2]ACC!$A$5,"ID Store",$C15),0)</f>
        <v>0</v>
      </c>
      <c r="BE15" s="83">
        <f t="shared" si="34"/>
        <v>0</v>
      </c>
      <c r="BF15" s="100">
        <f>IFERROR(VLOOKUP(C15,'[2]TARGET THIS MONTH'!C:U,16,0),0)</f>
        <v>1075000</v>
      </c>
      <c r="BG15" s="100">
        <f>IFERROR(GETPIVOTDATA("Sum of SRP",'[2]Insurance by Store'!$A$5,"ID Store",$C15,"Product Type","Qoala"),0)</f>
        <v>318000</v>
      </c>
      <c r="BH15" s="83">
        <f t="shared" si="35"/>
        <v>0.29581395348837208</v>
      </c>
      <c r="BI15" s="100">
        <f>IFERROR(VLOOKUP(C15,'[2]TARGET THIS MONTH'!C:U,17,0),0)</f>
        <v>215000</v>
      </c>
      <c r="BJ15" s="100">
        <f>IFERROR(GETPIVOTDATA("Sum of SRP",'[2]Insurance by Store'!$A$5,"ID Store",$C15,"Product Type","Vivo Care"),0)</f>
        <v>0</v>
      </c>
      <c r="BK15" s="83">
        <f t="shared" si="36"/>
        <v>0</v>
      </c>
      <c r="BL15" s="81">
        <f>IFERROR(VLOOKUP(C15,'[2]TARGET THIS MONTH'!C:U,18,0),0)</f>
        <v>1.5</v>
      </c>
      <c r="BM15" s="82">
        <f>IFERROR(GETPIVOTDATA("Sum of Qty",'[2]Operator by Store'!$A$5,"ID Store",$C15,"Product Type","Indosat"),0)</f>
        <v>0</v>
      </c>
      <c r="BN15" s="83">
        <f t="shared" si="37"/>
        <v>0</v>
      </c>
      <c r="BO15" s="81">
        <f>VLOOKUP(C15,'[2]TARGET THIS MONTH'!C:U,19,0)</f>
        <v>15</v>
      </c>
      <c r="BP15" s="82">
        <f>IFERROR(GETPIVOTDATA("Sum of Qty",'[2]Operator by Store'!$A$5,"ID Store",$C15,"Product Type","Telkomsel"),0)</f>
        <v>0</v>
      </c>
      <c r="BQ15" s="101">
        <f t="shared" si="38"/>
        <v>0</v>
      </c>
    </row>
    <row r="16" spans="1:69" x14ac:dyDescent="0.2">
      <c r="A16" s="72">
        <v>12</v>
      </c>
      <c r="B16" s="73" t="s">
        <v>57</v>
      </c>
      <c r="C16" s="74">
        <v>6080712</v>
      </c>
      <c r="D16" s="75" t="s">
        <v>60</v>
      </c>
      <c r="E16" s="102" t="s">
        <v>59</v>
      </c>
      <c r="F16" s="77">
        <v>3</v>
      </c>
      <c r="G16" s="78">
        <f>IFERROR(VLOOKUP(C16,'[2]TARGET THIS MONTH'!C:E,3,0),0)</f>
        <v>60</v>
      </c>
      <c r="H16" s="79">
        <f>IFERROR(VLOOKUP(C16,'[2]TARGET THIS MONTH'!C:M,11,0),0)</f>
        <v>258000000</v>
      </c>
      <c r="I16" s="78">
        <f>IFERROR(GETPIVOTDATA("Sum of Qty",'[2]DEVICE &amp; VALUE'!$A$6,"ID Store",$C16),0)</f>
        <v>18</v>
      </c>
      <c r="J16" s="80">
        <f t="shared" si="0"/>
        <v>0.3</v>
      </c>
      <c r="K16" s="81">
        <f t="shared" si="1"/>
        <v>-42</v>
      </c>
      <c r="L16" s="82">
        <f>IFERROR(GETPIVOTDATA("Sum of Qty",[2]PF!$A$5,"ID Store",$C16),0)</f>
        <v>5</v>
      </c>
      <c r="M16" s="82">
        <f>IFERROR(GETPIVOTDATA("Sum of Qty",'[2]DEVICE &amp; VALUE'!$A$6,"ID Store",$C16,"Segment Price","3mio&gt;"),0)</f>
        <v>11</v>
      </c>
      <c r="N16" s="83">
        <f t="shared" si="2"/>
        <v>0.61111111111111116</v>
      </c>
      <c r="O16" s="84">
        <f>IFERROR(GETPIVOTDATA("Sum of Qty",[2]IQOO!$A$6,"ID Store",$C16),0)</f>
        <v>1</v>
      </c>
      <c r="P16" s="83">
        <f t="shared" si="3"/>
        <v>5.5555555555555552E-2</v>
      </c>
      <c r="Q16" s="83">
        <f t="shared" si="4"/>
        <v>0.61111111111111116</v>
      </c>
      <c r="R16" s="85">
        <f>IFERROR(GETPIVOTDATA("Sum of SRP",'[2]DEVICE &amp; VALUE'!$A$6,"ID Store",$C16),0)</f>
        <v>92082000</v>
      </c>
      <c r="S16" s="83">
        <f t="shared" si="5"/>
        <v>0.35690697674418603</v>
      </c>
      <c r="T16" s="86">
        <f t="shared" si="6"/>
        <v>-165918000</v>
      </c>
      <c r="U16" s="87">
        <f t="shared" si="7"/>
        <v>60</v>
      </c>
      <c r="V16" s="88">
        <f t="shared" si="8"/>
        <v>1</v>
      </c>
      <c r="W16" s="89">
        <f t="shared" si="9"/>
        <v>0</v>
      </c>
      <c r="X16" s="89">
        <f t="shared" si="10"/>
        <v>36.666666666666671</v>
      </c>
      <c r="Y16" s="89">
        <f t="shared" si="11"/>
        <v>-23.333333333333329</v>
      </c>
      <c r="Z16" s="90">
        <f t="shared" si="12"/>
        <v>306940000</v>
      </c>
      <c r="AA16" s="90">
        <f t="shared" si="13"/>
        <v>48940000</v>
      </c>
      <c r="AB16" s="91">
        <f t="shared" si="14"/>
        <v>1.1896899224806201</v>
      </c>
      <c r="AC16" s="92">
        <f t="shared" si="15"/>
        <v>2</v>
      </c>
      <c r="AD16" s="93">
        <f t="shared" si="16"/>
        <v>7900857.1428571427</v>
      </c>
      <c r="AE16" s="78">
        <f>IFERROR(GETPIVOTDATA("Sum of Qty",'[2]DATA LAST MONTH IQOO'!$A$6,"ID Store",$C16),0)</f>
        <v>4</v>
      </c>
      <c r="AF16" s="94">
        <f>IFERROR(GETPIVOTDATA("Sum of Qty",[2]IQOO!$A$6,"ID Store",$C16),0)</f>
        <v>1</v>
      </c>
      <c r="AG16" s="81">
        <f t="shared" si="17"/>
        <v>-3</v>
      </c>
      <c r="AH16" s="95">
        <f t="shared" si="18"/>
        <v>-0.75</v>
      </c>
      <c r="AI16" s="96">
        <f>IFERROR(GETPIVOTDATA("Sum of Qty",'[2]DATA LAST MONTH DEVICE'!$A$6,"ID Store",$C16),0)</f>
        <v>23</v>
      </c>
      <c r="AJ16" s="97">
        <f t="shared" si="19"/>
        <v>18</v>
      </c>
      <c r="AK16" s="81">
        <f t="shared" si="20"/>
        <v>-5</v>
      </c>
      <c r="AL16" s="83">
        <f t="shared" si="21"/>
        <v>-0.21739130434782608</v>
      </c>
      <c r="AM16" s="82">
        <f>IFERROR(GETPIVOTDATA("Sum of Qty",'[2]Store 3mio+ last month'!$A$6,"ID Store",$C16),0)</f>
        <v>65</v>
      </c>
      <c r="AN16" s="81">
        <f t="shared" si="22"/>
        <v>60</v>
      </c>
      <c r="AO16" s="81">
        <f t="shared" si="23"/>
        <v>-5</v>
      </c>
      <c r="AP16" s="83">
        <f t="shared" si="24"/>
        <v>-7.6923076923076927E-2</v>
      </c>
      <c r="AQ16" s="82">
        <f>IFERROR(GETPIVOTDATA("Sum of Qty",'[2]DATA LAST MONTH DEVICE'!$A$6,"ID Store",$C16,"Segment Price","3mio&gt;"),0)</f>
        <v>17</v>
      </c>
      <c r="AR16" s="84">
        <f t="shared" si="25"/>
        <v>11</v>
      </c>
      <c r="AS16" s="84">
        <f t="shared" si="26"/>
        <v>-6</v>
      </c>
      <c r="AT16" s="83">
        <f t="shared" si="27"/>
        <v>-0.35294117647058826</v>
      </c>
      <c r="AU16" s="98">
        <f>IFERROR(GETPIVOTDATA("Sum of SRP",'[2]DATA LAST MONTH DEVICE'!$A$6,"ID Store",$C16),0)</f>
        <v>186677000</v>
      </c>
      <c r="AV16" s="98">
        <f t="shared" si="28"/>
        <v>92082000</v>
      </c>
      <c r="AW16" s="98">
        <f t="shared" si="29"/>
        <v>-94595000</v>
      </c>
      <c r="AX16" s="83">
        <f t="shared" si="30"/>
        <v>-0.50673087739785838</v>
      </c>
      <c r="AY16" s="98">
        <f>IFERROR(VLOOKUP(C16,'[2]DATA SALES LAST MONTH'!A:E,5,0),0)</f>
        <v>8116391.3043478262</v>
      </c>
      <c r="AZ16" s="85">
        <f t="shared" si="31"/>
        <v>5115666.666666667</v>
      </c>
      <c r="BA16" s="85">
        <f t="shared" si="32"/>
        <v>-3000724.6376811592</v>
      </c>
      <c r="BB16" s="95">
        <f t="shared" si="33"/>
        <v>-0.36971167667504118</v>
      </c>
      <c r="BC16" s="78">
        <f>IFERROR(VLOOKUP(C16,'[2]TARGET THIS MONTH'!C:U,15,0),0)</f>
        <v>6</v>
      </c>
      <c r="BD16" s="99">
        <f>IFERROR(GETPIVOTDATA("Sum of Qty",[2]ACC!$A$5,"ID Store",$C16),0)</f>
        <v>2</v>
      </c>
      <c r="BE16" s="83">
        <f t="shared" si="34"/>
        <v>0.33333333333333331</v>
      </c>
      <c r="BF16" s="100">
        <f>IFERROR(VLOOKUP(C16,'[2]TARGET THIS MONTH'!C:U,16,0),0)</f>
        <v>1290000</v>
      </c>
      <c r="BG16" s="100">
        <f>IFERROR(GETPIVOTDATA("Sum of SRP",'[2]Insurance by Store'!$A$5,"ID Store",$C16,"Product Type","Qoala"),0)</f>
        <v>408000</v>
      </c>
      <c r="BH16" s="83">
        <f t="shared" si="35"/>
        <v>0.31627906976744186</v>
      </c>
      <c r="BI16" s="100">
        <f>IFERROR(VLOOKUP(C16,'[2]TARGET THIS MONTH'!C:U,17,0),0)</f>
        <v>258000</v>
      </c>
      <c r="BJ16" s="100">
        <f>IFERROR(GETPIVOTDATA("Sum of SRP",'[2]Insurance by Store'!$A$5,"ID Store",$C16,"Product Type","Vivo Care"),0)</f>
        <v>0</v>
      </c>
      <c r="BK16" s="83">
        <f t="shared" si="36"/>
        <v>0</v>
      </c>
      <c r="BL16" s="81">
        <f>IFERROR(VLOOKUP(C16,'[2]TARGET THIS MONTH'!C:U,18,0),0)</f>
        <v>1.8</v>
      </c>
      <c r="BM16" s="82">
        <f>IFERROR(GETPIVOTDATA("Sum of Qty",'[2]Operator by Store'!$A$5,"ID Store",$C16,"Product Type","Indosat"),0)</f>
        <v>2</v>
      </c>
      <c r="BN16" s="83">
        <f t="shared" si="37"/>
        <v>1.1111111111111112</v>
      </c>
      <c r="BO16" s="81">
        <f>VLOOKUP(C16,'[2]TARGET THIS MONTH'!C:U,19,0)</f>
        <v>18</v>
      </c>
      <c r="BP16" s="82">
        <f>IFERROR(GETPIVOTDATA("Sum of Qty",'[2]Operator by Store'!$A$5,"ID Store",$C16,"Product Type","Telkomsel"),0)</f>
        <v>0</v>
      </c>
      <c r="BQ16" s="101">
        <f t="shared" si="38"/>
        <v>0</v>
      </c>
    </row>
    <row r="17" spans="1:69" x14ac:dyDescent="0.2">
      <c r="A17" s="72">
        <v>13</v>
      </c>
      <c r="B17" s="73" t="s">
        <v>57</v>
      </c>
      <c r="C17" s="74">
        <v>6040702</v>
      </c>
      <c r="D17" s="75" t="s">
        <v>61</v>
      </c>
      <c r="E17" s="102" t="s">
        <v>59</v>
      </c>
      <c r="F17" s="77">
        <v>2</v>
      </c>
      <c r="G17" s="78">
        <f>IFERROR(VLOOKUP(C17,'[2]TARGET THIS MONTH'!C:E,3,0),0)</f>
        <v>30</v>
      </c>
      <c r="H17" s="79">
        <f>IFERROR(VLOOKUP(C17,'[2]TARGET THIS MONTH'!C:M,11,0),0)</f>
        <v>210000000</v>
      </c>
      <c r="I17" s="78">
        <f>IFERROR(GETPIVOTDATA("Sum of Qty",'[2]DEVICE &amp; VALUE'!$A$6,"ID Store",$C17),0)</f>
        <v>11</v>
      </c>
      <c r="J17" s="80">
        <f t="shared" si="0"/>
        <v>0.36666666666666664</v>
      </c>
      <c r="K17" s="81">
        <f t="shared" si="1"/>
        <v>-19</v>
      </c>
      <c r="L17" s="82">
        <f>IFERROR(GETPIVOTDATA("Sum of Qty",[2]PF!$A$5,"ID Store",$C17),0)</f>
        <v>3</v>
      </c>
      <c r="M17" s="82">
        <f>IFERROR(GETPIVOTDATA("Sum of Qty",'[2]DEVICE &amp; VALUE'!$A$6,"ID Store",$C17,"Segment Price","3mio&gt;"),0)</f>
        <v>6</v>
      </c>
      <c r="N17" s="83">
        <f t="shared" si="2"/>
        <v>0.54545454545454541</v>
      </c>
      <c r="O17" s="84">
        <f>IFERROR(GETPIVOTDATA("Sum of Qty",[2]IQOO!$A$6,"ID Store",$C17),0)</f>
        <v>1</v>
      </c>
      <c r="P17" s="83">
        <f t="shared" si="3"/>
        <v>9.0909090909090912E-2</v>
      </c>
      <c r="Q17" s="83">
        <f t="shared" si="4"/>
        <v>0.54545454545454541</v>
      </c>
      <c r="R17" s="85">
        <f>IFERROR(GETPIVOTDATA("Sum of SRP",'[2]DEVICE &amp; VALUE'!$A$6,"ID Store",$C17),0)</f>
        <v>51289000</v>
      </c>
      <c r="S17" s="83">
        <f t="shared" si="5"/>
        <v>0.24423333333333333</v>
      </c>
      <c r="T17" s="86">
        <f t="shared" si="6"/>
        <v>-158711000</v>
      </c>
      <c r="U17" s="87">
        <f t="shared" si="7"/>
        <v>36.666666666666671</v>
      </c>
      <c r="V17" s="88">
        <f t="shared" si="8"/>
        <v>1.2222222222222223</v>
      </c>
      <c r="W17" s="89">
        <f t="shared" si="9"/>
        <v>6.6666666666666714</v>
      </c>
      <c r="X17" s="89">
        <f t="shared" si="10"/>
        <v>20</v>
      </c>
      <c r="Y17" s="89">
        <f t="shared" si="11"/>
        <v>-10</v>
      </c>
      <c r="Z17" s="90">
        <f t="shared" si="12"/>
        <v>170963333.33333334</v>
      </c>
      <c r="AA17" s="90">
        <f t="shared" si="13"/>
        <v>-39036666.666666657</v>
      </c>
      <c r="AB17" s="91">
        <f t="shared" si="14"/>
        <v>0.81411111111111112</v>
      </c>
      <c r="AC17" s="92">
        <f t="shared" si="15"/>
        <v>0.90476190476190477</v>
      </c>
      <c r="AD17" s="93">
        <f t="shared" si="16"/>
        <v>7557666.666666667</v>
      </c>
      <c r="AE17" s="78">
        <f>IFERROR(GETPIVOTDATA("Sum of Qty",'[2]DATA LAST MONTH IQOO'!$A$6,"ID Store",$C17),0)</f>
        <v>4</v>
      </c>
      <c r="AF17" s="94">
        <f>IFERROR(GETPIVOTDATA("Sum of Qty",[2]IQOO!$A$6,"ID Store",$C17),0)</f>
        <v>1</v>
      </c>
      <c r="AG17" s="81">
        <f t="shared" si="17"/>
        <v>-3</v>
      </c>
      <c r="AH17" s="95">
        <f t="shared" si="18"/>
        <v>-0.75</v>
      </c>
      <c r="AI17" s="96">
        <f>IFERROR(GETPIVOTDATA("Sum of Qty",'[2]DATA LAST MONTH DEVICE'!$A$6,"ID Store",$C17),0)</f>
        <v>13</v>
      </c>
      <c r="AJ17" s="97">
        <f t="shared" si="19"/>
        <v>11</v>
      </c>
      <c r="AK17" s="81">
        <f t="shared" si="20"/>
        <v>-2</v>
      </c>
      <c r="AL17" s="83">
        <f t="shared" si="21"/>
        <v>-0.15384615384615385</v>
      </c>
      <c r="AM17" s="82">
        <f>IFERROR(GETPIVOTDATA("Sum of Qty",'[2]Store 3mio+ last month'!$A$6,"ID Store",$C17),0)</f>
        <v>28</v>
      </c>
      <c r="AN17" s="81">
        <f t="shared" si="22"/>
        <v>36.666666666666671</v>
      </c>
      <c r="AO17" s="81">
        <f t="shared" si="23"/>
        <v>8.6666666666666714</v>
      </c>
      <c r="AP17" s="83">
        <f t="shared" si="24"/>
        <v>0.3095238095238097</v>
      </c>
      <c r="AQ17" s="82">
        <f>IFERROR(GETPIVOTDATA("Sum of Qty",'[2]DATA LAST MONTH DEVICE'!$A$6,"ID Store",$C17,"Segment Price","3mio&gt;"),0)</f>
        <v>9</v>
      </c>
      <c r="AR17" s="84">
        <f t="shared" si="25"/>
        <v>6</v>
      </c>
      <c r="AS17" s="84">
        <f t="shared" si="26"/>
        <v>-3</v>
      </c>
      <c r="AT17" s="83">
        <f t="shared" si="27"/>
        <v>-0.33333333333333331</v>
      </c>
      <c r="AU17" s="98">
        <f>IFERROR(GETPIVOTDATA("Sum of SRP",'[2]DATA LAST MONTH DEVICE'!$A$6,"ID Store",$C17),0)</f>
        <v>108287000</v>
      </c>
      <c r="AV17" s="98">
        <f t="shared" si="28"/>
        <v>51289000</v>
      </c>
      <c r="AW17" s="98">
        <f t="shared" si="29"/>
        <v>-56998000</v>
      </c>
      <c r="AX17" s="83">
        <f t="shared" si="30"/>
        <v>-0.52636050495442666</v>
      </c>
      <c r="AY17" s="98">
        <f>IFERROR(VLOOKUP(C17,'[2]DATA SALES LAST MONTH'!A:E,5,0),0)</f>
        <v>8329769.230769231</v>
      </c>
      <c r="AZ17" s="85">
        <f t="shared" si="31"/>
        <v>4662636.3636363633</v>
      </c>
      <c r="BA17" s="85">
        <f t="shared" si="32"/>
        <v>-3667132.8671328677</v>
      </c>
      <c r="BB17" s="95">
        <f t="shared" si="33"/>
        <v>-0.44024423312795885</v>
      </c>
      <c r="BC17" s="78">
        <f>IFERROR(VLOOKUP(C17,'[2]TARGET THIS MONTH'!C:U,15,0),0)</f>
        <v>3</v>
      </c>
      <c r="BD17" s="99">
        <f>IFERROR(GETPIVOTDATA("Sum of Qty",[2]ACC!$A$5,"ID Store",$C17),0)</f>
        <v>3</v>
      </c>
      <c r="BE17" s="83">
        <f t="shared" si="34"/>
        <v>1</v>
      </c>
      <c r="BF17" s="100">
        <f>IFERROR(VLOOKUP(C17,'[2]TARGET THIS MONTH'!C:U,16,0),0)</f>
        <v>1050000</v>
      </c>
      <c r="BG17" s="100">
        <f>IFERROR(GETPIVOTDATA("Sum of SRP",'[2]Insurance by Store'!$A$5,"ID Store",$C17,"Product Type","Qoala"),0)</f>
        <v>0</v>
      </c>
      <c r="BH17" s="83">
        <f t="shared" si="35"/>
        <v>0</v>
      </c>
      <c r="BI17" s="100">
        <f>IFERROR(VLOOKUP(C17,'[2]TARGET THIS MONTH'!C:U,17,0),0)</f>
        <v>210000</v>
      </c>
      <c r="BJ17" s="100">
        <f>IFERROR(GETPIVOTDATA("Sum of SRP",'[2]Insurance by Store'!$A$5,"ID Store",$C17,"Product Type","Vivo Care"),0)</f>
        <v>0</v>
      </c>
      <c r="BK17" s="83">
        <f t="shared" si="36"/>
        <v>0</v>
      </c>
      <c r="BL17" s="81">
        <f>IFERROR(VLOOKUP(C17,'[2]TARGET THIS MONTH'!C:U,18,0),0)</f>
        <v>0.9</v>
      </c>
      <c r="BM17" s="82">
        <f>IFERROR(GETPIVOTDATA("Sum of Qty",'[2]Operator by Store'!$A$5,"ID Store",$C17,"Product Type","Indosat"),0)</f>
        <v>0</v>
      </c>
      <c r="BN17" s="83">
        <f t="shared" si="37"/>
        <v>0</v>
      </c>
      <c r="BO17" s="81">
        <f>VLOOKUP(C17,'[2]TARGET THIS MONTH'!C:U,19,0)</f>
        <v>9</v>
      </c>
      <c r="BP17" s="82">
        <f>IFERROR(GETPIVOTDATA("Sum of Qty",'[2]Operator by Store'!$A$5,"ID Store",$C17,"Product Type","Telkomsel"),0)</f>
        <v>0</v>
      </c>
      <c r="BQ17" s="101">
        <f t="shared" si="38"/>
        <v>0</v>
      </c>
    </row>
    <row r="18" spans="1:69" x14ac:dyDescent="0.2">
      <c r="A18" s="72">
        <v>14</v>
      </c>
      <c r="B18" s="73" t="s">
        <v>57</v>
      </c>
      <c r="C18" s="74">
        <v>6040703</v>
      </c>
      <c r="D18" s="75" t="s">
        <v>62</v>
      </c>
      <c r="E18" s="102" t="s">
        <v>59</v>
      </c>
      <c r="F18" s="77">
        <v>2</v>
      </c>
      <c r="G18" s="78">
        <f>IFERROR(VLOOKUP(C18,'[2]TARGET THIS MONTH'!C:E,3,0),0)</f>
        <v>40</v>
      </c>
      <c r="H18" s="79">
        <f>IFERROR(VLOOKUP(C18,'[2]TARGET THIS MONTH'!C:M,11,0),0)</f>
        <v>220000000</v>
      </c>
      <c r="I18" s="78">
        <f>IFERROR(GETPIVOTDATA("Sum of Qty",'[2]DEVICE &amp; VALUE'!$A$6,"ID Store",$C18),0)</f>
        <v>14</v>
      </c>
      <c r="J18" s="80">
        <f t="shared" si="0"/>
        <v>0.35</v>
      </c>
      <c r="K18" s="81">
        <f t="shared" si="1"/>
        <v>-26</v>
      </c>
      <c r="L18" s="82">
        <f>IFERROR(GETPIVOTDATA("Sum of Qty",[2]PF!$A$5,"ID Store",$C18),0)</f>
        <v>2</v>
      </c>
      <c r="M18" s="82">
        <f>IFERROR(GETPIVOTDATA("Sum of Qty",'[2]DEVICE &amp; VALUE'!$A$6,"ID Store",$C18,"Segment Price","3mio&gt;"),0)</f>
        <v>7</v>
      </c>
      <c r="N18" s="83">
        <f t="shared" si="2"/>
        <v>0.5</v>
      </c>
      <c r="O18" s="84">
        <f>IFERROR(GETPIVOTDATA("Sum of Qty",[2]IQOO!$A$6,"ID Store",$C18),0)</f>
        <v>2</v>
      </c>
      <c r="P18" s="83">
        <f t="shared" si="3"/>
        <v>0.14285714285714285</v>
      </c>
      <c r="Q18" s="83">
        <f t="shared" si="4"/>
        <v>0.5</v>
      </c>
      <c r="R18" s="85">
        <f>IFERROR(GETPIVOTDATA("Sum of SRP",'[2]DEVICE &amp; VALUE'!$A$6,"ID Store",$C18),0)</f>
        <v>79386000</v>
      </c>
      <c r="S18" s="83">
        <f t="shared" si="5"/>
        <v>0.36084545454545452</v>
      </c>
      <c r="T18" s="86">
        <f t="shared" si="6"/>
        <v>-140614000</v>
      </c>
      <c r="U18" s="87">
        <f t="shared" si="7"/>
        <v>46.666666666666664</v>
      </c>
      <c r="V18" s="88">
        <f t="shared" si="8"/>
        <v>1.1666666666666665</v>
      </c>
      <c r="W18" s="89">
        <f t="shared" si="9"/>
        <v>6.6666666666666643</v>
      </c>
      <c r="X18" s="89">
        <f t="shared" si="10"/>
        <v>23.333333333333332</v>
      </c>
      <c r="Y18" s="89">
        <f t="shared" si="11"/>
        <v>-16.666666666666668</v>
      </c>
      <c r="Z18" s="90">
        <f t="shared" si="12"/>
        <v>264619999.99999997</v>
      </c>
      <c r="AA18" s="90">
        <f t="shared" si="13"/>
        <v>44619999.99999997</v>
      </c>
      <c r="AB18" s="91">
        <f t="shared" si="14"/>
        <v>1.2028181818181818</v>
      </c>
      <c r="AC18" s="92">
        <f t="shared" si="15"/>
        <v>1.2380952380952381</v>
      </c>
      <c r="AD18" s="93">
        <f t="shared" si="16"/>
        <v>6695904.7619047621</v>
      </c>
      <c r="AE18" s="78">
        <f>IFERROR(GETPIVOTDATA("Sum of Qty",'[2]DATA LAST MONTH IQOO'!$A$6,"ID Store",$C18),0)</f>
        <v>5</v>
      </c>
      <c r="AF18" s="94">
        <f>IFERROR(GETPIVOTDATA("Sum of Qty",[2]IQOO!$A$6,"ID Store",$C18),0)</f>
        <v>2</v>
      </c>
      <c r="AG18" s="81">
        <f t="shared" si="17"/>
        <v>-3</v>
      </c>
      <c r="AH18" s="95">
        <f t="shared" si="18"/>
        <v>-0.6</v>
      </c>
      <c r="AI18" s="96">
        <f>IFERROR(GETPIVOTDATA("Sum of Qty",'[2]DATA LAST MONTH DEVICE'!$A$6,"ID Store",$C18),0)</f>
        <v>24</v>
      </c>
      <c r="AJ18" s="97">
        <f t="shared" si="19"/>
        <v>14</v>
      </c>
      <c r="AK18" s="81">
        <f t="shared" si="20"/>
        <v>-10</v>
      </c>
      <c r="AL18" s="83">
        <f t="shared" si="21"/>
        <v>-0.41666666666666669</v>
      </c>
      <c r="AM18" s="82">
        <f>IFERROR(GETPIVOTDATA("Sum of Qty",'[2]Store 3mio+ last month'!$A$6,"ID Store",$C18),0)</f>
        <v>44</v>
      </c>
      <c r="AN18" s="81">
        <f t="shared" si="22"/>
        <v>46.666666666666664</v>
      </c>
      <c r="AO18" s="81">
        <f t="shared" si="23"/>
        <v>2.6666666666666643</v>
      </c>
      <c r="AP18" s="83">
        <f t="shared" si="24"/>
        <v>6.0606060606060552E-2</v>
      </c>
      <c r="AQ18" s="82">
        <f>IFERROR(GETPIVOTDATA("Sum of Qty",'[2]DATA LAST MONTH DEVICE'!$A$6,"ID Store",$C18,"Segment Price","3mio&gt;"),0)</f>
        <v>17</v>
      </c>
      <c r="AR18" s="84">
        <f t="shared" si="25"/>
        <v>7</v>
      </c>
      <c r="AS18" s="84">
        <f t="shared" si="26"/>
        <v>-10</v>
      </c>
      <c r="AT18" s="83">
        <f t="shared" si="27"/>
        <v>-0.58823529411764708</v>
      </c>
      <c r="AU18" s="98">
        <f>IFERROR(GETPIVOTDATA("Sum of SRP",'[2]DATA LAST MONTH DEVICE'!$A$6,"ID Store",$C18),0)</f>
        <v>156376000</v>
      </c>
      <c r="AV18" s="98">
        <f t="shared" si="28"/>
        <v>79386000</v>
      </c>
      <c r="AW18" s="98">
        <f t="shared" si="29"/>
        <v>-76990000</v>
      </c>
      <c r="AX18" s="83">
        <f t="shared" si="30"/>
        <v>-0.49233897784826314</v>
      </c>
      <c r="AY18" s="98">
        <f>IFERROR(VLOOKUP(C18,'[2]DATA SALES LAST MONTH'!A:E,5,0),0)</f>
        <v>6515666.666666667</v>
      </c>
      <c r="AZ18" s="85">
        <f t="shared" si="31"/>
        <v>5670428.5714285709</v>
      </c>
      <c r="BA18" s="85">
        <f t="shared" si="32"/>
        <v>-845238.09523809608</v>
      </c>
      <c r="BB18" s="95">
        <f t="shared" si="33"/>
        <v>-0.12972396202559411</v>
      </c>
      <c r="BC18" s="78">
        <f>IFERROR(VLOOKUP(C18,'[2]TARGET THIS MONTH'!C:U,15,0),0)</f>
        <v>4</v>
      </c>
      <c r="BD18" s="99">
        <f>IFERROR(GETPIVOTDATA("Sum of Qty",[2]ACC!$A$5,"ID Store",$C18),0)</f>
        <v>3</v>
      </c>
      <c r="BE18" s="83">
        <f t="shared" si="34"/>
        <v>0.75</v>
      </c>
      <c r="BF18" s="100">
        <f>IFERROR(VLOOKUP(C18,'[2]TARGET THIS MONTH'!C:U,16,0),0)</f>
        <v>1100000</v>
      </c>
      <c r="BG18" s="100">
        <f>IFERROR(GETPIVOTDATA("Sum of SRP",'[2]Insurance by Store'!$A$5,"ID Store",$C18,"Product Type","Qoala"),0)</f>
        <v>817000</v>
      </c>
      <c r="BH18" s="83">
        <f t="shared" si="35"/>
        <v>0.74272727272727268</v>
      </c>
      <c r="BI18" s="100">
        <f>IFERROR(VLOOKUP(C18,'[2]TARGET THIS MONTH'!C:U,17,0),0)</f>
        <v>220000</v>
      </c>
      <c r="BJ18" s="100">
        <f>IFERROR(GETPIVOTDATA("Sum of SRP",'[2]Insurance by Store'!$A$5,"ID Store",$C18,"Product Type","Vivo Care"),0)</f>
        <v>0</v>
      </c>
      <c r="BK18" s="83">
        <f t="shared" si="36"/>
        <v>0</v>
      </c>
      <c r="BL18" s="81">
        <f>IFERROR(VLOOKUP(C18,'[2]TARGET THIS MONTH'!C:U,18,0),0)</f>
        <v>1.2</v>
      </c>
      <c r="BM18" s="82">
        <f>IFERROR(GETPIVOTDATA("Sum of Qty",'[2]Operator by Store'!$A$5,"ID Store",$C18,"Product Type","Indosat"),0)</f>
        <v>0</v>
      </c>
      <c r="BN18" s="83">
        <f t="shared" si="37"/>
        <v>0</v>
      </c>
      <c r="BO18" s="81">
        <f>VLOOKUP(C18,'[2]TARGET THIS MONTH'!C:U,19,0)</f>
        <v>12</v>
      </c>
      <c r="BP18" s="82">
        <f>IFERROR(GETPIVOTDATA("Sum of Qty",'[2]Operator by Store'!$A$5,"ID Store",$C18,"Product Type","Telkomsel"),0)</f>
        <v>0</v>
      </c>
      <c r="BQ18" s="101">
        <f t="shared" si="38"/>
        <v>0</v>
      </c>
    </row>
    <row r="19" spans="1:69" x14ac:dyDescent="0.2">
      <c r="A19" s="72">
        <v>15</v>
      </c>
      <c r="B19" s="73" t="s">
        <v>63</v>
      </c>
      <c r="C19" s="74">
        <v>6050701</v>
      </c>
      <c r="D19" s="75" t="s">
        <v>64</v>
      </c>
      <c r="E19" s="102" t="s">
        <v>65</v>
      </c>
      <c r="F19" s="77">
        <v>2</v>
      </c>
      <c r="G19" s="78">
        <f>IFERROR(VLOOKUP(C19,'[2]TARGET THIS MONTH'!C:E,3,0),0)</f>
        <v>60</v>
      </c>
      <c r="H19" s="79">
        <f>IFERROR(VLOOKUP(C19,'[2]TARGET THIS MONTH'!C:M,11,0),0)</f>
        <v>330000000</v>
      </c>
      <c r="I19" s="78">
        <f>IFERROR(GETPIVOTDATA("Sum of Qty",'[2]DEVICE &amp; VALUE'!$A$6,"ID Store",$C19),0)</f>
        <v>13</v>
      </c>
      <c r="J19" s="80">
        <f t="shared" si="0"/>
        <v>0.21666666666666667</v>
      </c>
      <c r="K19" s="81">
        <f t="shared" si="1"/>
        <v>-47</v>
      </c>
      <c r="L19" s="82">
        <f>IFERROR(GETPIVOTDATA("Sum of Qty",[2]PF!$A$5,"ID Store",$C19),0)</f>
        <v>1</v>
      </c>
      <c r="M19" s="82">
        <f>IFERROR(GETPIVOTDATA("Sum of Qty",'[2]DEVICE &amp; VALUE'!$A$6,"ID Store",$C19,"Segment Price","3mio&gt;"),0)</f>
        <v>7</v>
      </c>
      <c r="N19" s="83">
        <f t="shared" si="2"/>
        <v>0.53846153846153844</v>
      </c>
      <c r="O19" s="84">
        <f>IFERROR(GETPIVOTDATA("Sum of Qty",[2]IQOO!$A$6,"ID Store",$C19),0)</f>
        <v>2</v>
      </c>
      <c r="P19" s="83">
        <f t="shared" si="3"/>
        <v>0.15384615384615385</v>
      </c>
      <c r="Q19" s="83">
        <f t="shared" si="4"/>
        <v>0.53846153846153844</v>
      </c>
      <c r="R19" s="85">
        <f>IFERROR(GETPIVOTDATA("Sum of SRP",'[2]DEVICE &amp; VALUE'!$A$6,"ID Store",$C19),0)</f>
        <v>65487000</v>
      </c>
      <c r="S19" s="83">
        <f t="shared" si="5"/>
        <v>0.19844545454545454</v>
      </c>
      <c r="T19" s="86">
        <f t="shared" si="6"/>
        <v>-264513000</v>
      </c>
      <c r="U19" s="87">
        <f t="shared" si="7"/>
        <v>43.333333333333336</v>
      </c>
      <c r="V19" s="88">
        <f t="shared" si="8"/>
        <v>0.72222222222222221</v>
      </c>
      <c r="W19" s="89">
        <f t="shared" si="9"/>
        <v>-16.666666666666664</v>
      </c>
      <c r="X19" s="89">
        <f t="shared" si="10"/>
        <v>23.333333333333332</v>
      </c>
      <c r="Y19" s="89">
        <f t="shared" si="11"/>
        <v>-36.666666666666671</v>
      </c>
      <c r="Z19" s="90">
        <f t="shared" si="12"/>
        <v>218290000</v>
      </c>
      <c r="AA19" s="90">
        <f t="shared" si="13"/>
        <v>-111710000</v>
      </c>
      <c r="AB19" s="91">
        <f t="shared" si="14"/>
        <v>0.66148484848484845</v>
      </c>
      <c r="AC19" s="92">
        <f t="shared" si="15"/>
        <v>2.2380952380952381</v>
      </c>
      <c r="AD19" s="93">
        <f t="shared" si="16"/>
        <v>12595857.142857144</v>
      </c>
      <c r="AE19" s="78">
        <f>IFERROR(GETPIVOTDATA("Sum of Qty",'[2]DATA LAST MONTH IQOO'!$A$6,"ID Store",$C19),0)</f>
        <v>6</v>
      </c>
      <c r="AF19" s="94">
        <f>IFERROR(GETPIVOTDATA("Sum of Qty",[2]IQOO!$A$6,"ID Store",$C19),0)</f>
        <v>2</v>
      </c>
      <c r="AG19" s="81">
        <f t="shared" si="17"/>
        <v>-4</v>
      </c>
      <c r="AH19" s="95">
        <f t="shared" si="18"/>
        <v>-0.66666666666666663</v>
      </c>
      <c r="AI19" s="96">
        <f>IFERROR(GETPIVOTDATA("Sum of Qty",'[2]DATA LAST MONTH DEVICE'!$A$6,"ID Store",$C19),0)</f>
        <v>21</v>
      </c>
      <c r="AJ19" s="97">
        <f t="shared" si="19"/>
        <v>13</v>
      </c>
      <c r="AK19" s="81">
        <f t="shared" si="20"/>
        <v>-8</v>
      </c>
      <c r="AL19" s="83">
        <f t="shared" si="21"/>
        <v>-0.38095238095238093</v>
      </c>
      <c r="AM19" s="82">
        <f>IFERROR(GETPIVOTDATA("Sum of Qty",'[2]Store 3mio+ last month'!$A$6,"ID Store",$C19),0)</f>
        <v>54</v>
      </c>
      <c r="AN19" s="81">
        <f t="shared" si="22"/>
        <v>43.333333333333336</v>
      </c>
      <c r="AO19" s="81">
        <f t="shared" si="23"/>
        <v>-10.666666666666664</v>
      </c>
      <c r="AP19" s="83">
        <f t="shared" si="24"/>
        <v>-0.19753086419753083</v>
      </c>
      <c r="AQ19" s="82">
        <f>IFERROR(GETPIVOTDATA("Sum of Qty",'[2]DATA LAST MONTH DEVICE'!$A$6,"ID Store",$C19,"Segment Price","3mio&gt;"),0)</f>
        <v>17</v>
      </c>
      <c r="AR19" s="84">
        <f t="shared" si="25"/>
        <v>7</v>
      </c>
      <c r="AS19" s="84">
        <f t="shared" si="26"/>
        <v>-10</v>
      </c>
      <c r="AT19" s="83">
        <f t="shared" si="27"/>
        <v>-0.58823529411764708</v>
      </c>
      <c r="AU19" s="98">
        <f>IFERROR(GETPIVOTDATA("Sum of SRP",'[2]DATA LAST MONTH DEVICE'!$A$6,"ID Store",$C19),0)</f>
        <v>132079000</v>
      </c>
      <c r="AV19" s="98">
        <f t="shared" si="28"/>
        <v>65487000</v>
      </c>
      <c r="AW19" s="98">
        <f t="shared" si="29"/>
        <v>-66592000</v>
      </c>
      <c r="AX19" s="83">
        <f t="shared" si="30"/>
        <v>-0.50418310253711796</v>
      </c>
      <c r="AY19" s="98">
        <f>IFERROR(VLOOKUP(C19,'[2]DATA SALES LAST MONTH'!A:E,5,0),0)</f>
        <v>6289476.1904761903</v>
      </c>
      <c r="AZ19" s="85">
        <f t="shared" si="31"/>
        <v>5037461.538461538</v>
      </c>
      <c r="BA19" s="85">
        <f t="shared" si="32"/>
        <v>-1252014.6520146523</v>
      </c>
      <c r="BB19" s="95">
        <f t="shared" si="33"/>
        <v>-0.19906501179072902</v>
      </c>
      <c r="BC19" s="78">
        <f>IFERROR(VLOOKUP(C19,'[2]TARGET THIS MONTH'!C:U,15,0),0)</f>
        <v>6</v>
      </c>
      <c r="BD19" s="99">
        <f>IFERROR(GETPIVOTDATA("Sum of Qty",[2]ACC!$A$5,"ID Store",$C19),0)</f>
        <v>3</v>
      </c>
      <c r="BE19" s="83">
        <f t="shared" si="34"/>
        <v>0.5</v>
      </c>
      <c r="BF19" s="100">
        <f>IFERROR(VLOOKUP(C19,'[2]TARGET THIS MONTH'!C:U,16,0),0)</f>
        <v>1650000</v>
      </c>
      <c r="BG19" s="100">
        <f>IFERROR(GETPIVOTDATA("Sum of SRP",'[2]Insurance by Store'!$A$5,"ID Store",$C19,"Product Type","Qoala"),0)</f>
        <v>0</v>
      </c>
      <c r="BH19" s="83">
        <f t="shared" si="35"/>
        <v>0</v>
      </c>
      <c r="BI19" s="100">
        <f>IFERROR(VLOOKUP(C19,'[2]TARGET THIS MONTH'!C:U,17,0),0)</f>
        <v>330000</v>
      </c>
      <c r="BJ19" s="100">
        <f>IFERROR(GETPIVOTDATA("Sum of SRP",'[2]Insurance by Store'!$A$5,"ID Store",$C19,"Product Type","Vivo Care"),0)</f>
        <v>0</v>
      </c>
      <c r="BK19" s="83">
        <f t="shared" si="36"/>
        <v>0</v>
      </c>
      <c r="BL19" s="81">
        <f>IFERROR(VLOOKUP(C19,'[2]TARGET THIS MONTH'!C:U,18,0),0)</f>
        <v>1.8</v>
      </c>
      <c r="BM19" s="82">
        <f>IFERROR(GETPIVOTDATA("Sum of Qty",'[2]Operator by Store'!$A$5,"ID Store",$C19,"Product Type","Indosat"),0)</f>
        <v>0</v>
      </c>
      <c r="BN19" s="83">
        <f t="shared" si="37"/>
        <v>0</v>
      </c>
      <c r="BO19" s="81">
        <f>VLOOKUP(C19,'[2]TARGET THIS MONTH'!C:U,19,0)</f>
        <v>18</v>
      </c>
      <c r="BP19" s="82">
        <f>IFERROR(GETPIVOTDATA("Sum of Qty",'[2]Operator by Store'!$A$5,"ID Store",$C19,"Product Type","Telkomsel"),0)</f>
        <v>0</v>
      </c>
      <c r="BQ19" s="101">
        <f t="shared" si="38"/>
        <v>0</v>
      </c>
    </row>
    <row r="20" spans="1:69" x14ac:dyDescent="0.2">
      <c r="A20" s="72">
        <v>16</v>
      </c>
      <c r="B20" s="73" t="s">
        <v>63</v>
      </c>
      <c r="C20" s="74">
        <v>6220701</v>
      </c>
      <c r="D20" s="75" t="s">
        <v>66</v>
      </c>
      <c r="E20" s="102" t="s">
        <v>65</v>
      </c>
      <c r="F20" s="77">
        <v>2</v>
      </c>
      <c r="G20" s="78">
        <f>IFERROR(VLOOKUP(C20,'[2]TARGET THIS MONTH'!C:E,3,0),0)</f>
        <v>80</v>
      </c>
      <c r="H20" s="79">
        <f>IFERROR(VLOOKUP(C20,'[2]TARGET THIS MONTH'!C:M,11,0),0)</f>
        <v>90000000</v>
      </c>
      <c r="I20" s="78">
        <f>IFERROR(GETPIVOTDATA("Sum of Qty",'[2]DEVICE &amp; VALUE'!$A$6,"ID Store",$C20),0)</f>
        <v>16</v>
      </c>
      <c r="J20" s="80">
        <f t="shared" si="0"/>
        <v>0.2</v>
      </c>
      <c r="K20" s="81">
        <f t="shared" si="1"/>
        <v>-64</v>
      </c>
      <c r="L20" s="82">
        <f>IFERROR(GETPIVOTDATA("Sum of Qty",[2]PF!$A$5,"ID Store",$C20),0)</f>
        <v>4</v>
      </c>
      <c r="M20" s="82">
        <f>IFERROR(GETPIVOTDATA("Sum of Qty",'[2]DEVICE &amp; VALUE'!$A$6,"ID Store",$C20,"Segment Price","3mio&gt;"),0)</f>
        <v>6</v>
      </c>
      <c r="N20" s="83">
        <f t="shared" si="2"/>
        <v>0.375</v>
      </c>
      <c r="O20" s="84">
        <f>IFERROR(GETPIVOTDATA("Sum of Qty",[2]IQOO!$A$6,"ID Store",$C20),0)</f>
        <v>1</v>
      </c>
      <c r="P20" s="83">
        <f t="shared" si="3"/>
        <v>6.25E-2</v>
      </c>
      <c r="Q20" s="83">
        <f t="shared" si="4"/>
        <v>0.375</v>
      </c>
      <c r="R20" s="85">
        <f>IFERROR(GETPIVOTDATA("Sum of SRP",'[2]DEVICE &amp; VALUE'!$A$6,"ID Store",$C20),0)</f>
        <v>56084000</v>
      </c>
      <c r="S20" s="83">
        <f t="shared" si="5"/>
        <v>0.62315555555555557</v>
      </c>
      <c r="T20" s="86">
        <f t="shared" si="6"/>
        <v>-33916000</v>
      </c>
      <c r="U20" s="87">
        <f t="shared" si="7"/>
        <v>53.333333333333329</v>
      </c>
      <c r="V20" s="88">
        <f t="shared" si="8"/>
        <v>0.66666666666666663</v>
      </c>
      <c r="W20" s="89">
        <f t="shared" si="9"/>
        <v>-26.666666666666671</v>
      </c>
      <c r="X20" s="89">
        <f t="shared" si="10"/>
        <v>20</v>
      </c>
      <c r="Y20" s="89">
        <f t="shared" si="11"/>
        <v>-60</v>
      </c>
      <c r="Z20" s="90">
        <f t="shared" si="12"/>
        <v>186946666.66666669</v>
      </c>
      <c r="AA20" s="90">
        <f t="shared" si="13"/>
        <v>96946666.666666687</v>
      </c>
      <c r="AB20" s="91">
        <f t="shared" si="14"/>
        <v>2.0771851851851855</v>
      </c>
      <c r="AC20" s="92">
        <f t="shared" si="15"/>
        <v>3.0476190476190474</v>
      </c>
      <c r="AD20" s="93">
        <f t="shared" si="16"/>
        <v>1615047.6190476189</v>
      </c>
      <c r="AE20" s="78">
        <f>IFERROR(GETPIVOTDATA("Sum of Qty",'[2]DATA LAST MONTH IQOO'!$A$6,"ID Store",$C20),0)</f>
        <v>5</v>
      </c>
      <c r="AF20" s="94">
        <f>IFERROR(GETPIVOTDATA("Sum of Qty",[2]IQOO!$A$6,"ID Store",$C20),0)</f>
        <v>1</v>
      </c>
      <c r="AG20" s="81">
        <f t="shared" si="17"/>
        <v>-4</v>
      </c>
      <c r="AH20" s="95">
        <f t="shared" si="18"/>
        <v>-0.8</v>
      </c>
      <c r="AI20" s="96">
        <f>IFERROR(GETPIVOTDATA("Sum of Qty",'[2]DATA LAST MONTH DEVICE'!$A$6,"ID Store",$C20),0)</f>
        <v>24</v>
      </c>
      <c r="AJ20" s="97">
        <f t="shared" si="19"/>
        <v>16</v>
      </c>
      <c r="AK20" s="81">
        <f t="shared" si="20"/>
        <v>-8</v>
      </c>
      <c r="AL20" s="83">
        <f t="shared" si="21"/>
        <v>-0.33333333333333331</v>
      </c>
      <c r="AM20" s="82">
        <f>IFERROR(GETPIVOTDATA("Sum of Qty",'[2]Store 3mio+ last month'!$A$6,"ID Store",$C20),0)</f>
        <v>64</v>
      </c>
      <c r="AN20" s="81">
        <f t="shared" si="22"/>
        <v>53.333333333333329</v>
      </c>
      <c r="AO20" s="81">
        <f t="shared" si="23"/>
        <v>-10.666666666666671</v>
      </c>
      <c r="AP20" s="83">
        <f t="shared" si="24"/>
        <v>-0.16666666666666674</v>
      </c>
      <c r="AQ20" s="82">
        <f>IFERROR(GETPIVOTDATA("Sum of Qty",'[2]DATA LAST MONTH DEVICE'!$A$6,"ID Store",$C20,"Segment Price","3mio&gt;"),0)</f>
        <v>19</v>
      </c>
      <c r="AR20" s="84">
        <f t="shared" si="25"/>
        <v>6</v>
      </c>
      <c r="AS20" s="84">
        <f t="shared" si="26"/>
        <v>-13</v>
      </c>
      <c r="AT20" s="83">
        <f t="shared" si="27"/>
        <v>-0.68421052631578949</v>
      </c>
      <c r="AU20" s="98">
        <f>IFERROR(GETPIVOTDATA("Sum of SRP",'[2]DATA LAST MONTH DEVICE'!$A$6,"ID Store",$C20),0)</f>
        <v>181076000</v>
      </c>
      <c r="AV20" s="98">
        <f t="shared" si="28"/>
        <v>56084000</v>
      </c>
      <c r="AW20" s="98">
        <f t="shared" si="29"/>
        <v>-124992000</v>
      </c>
      <c r="AX20" s="83">
        <f t="shared" si="30"/>
        <v>-0.69027369723210141</v>
      </c>
      <c r="AY20" s="98">
        <f>IFERROR(VLOOKUP(C20,'[2]DATA SALES LAST MONTH'!A:E,5,0),0)</f>
        <v>7544833.333333333</v>
      </c>
      <c r="AZ20" s="85">
        <f t="shared" si="31"/>
        <v>3505250.0000000005</v>
      </c>
      <c r="BA20" s="85">
        <f t="shared" si="32"/>
        <v>-4039583.3333333326</v>
      </c>
      <c r="BB20" s="95">
        <f t="shared" si="33"/>
        <v>-0.53541054584815206</v>
      </c>
      <c r="BC20" s="78">
        <f>IFERROR(VLOOKUP(C20,'[2]TARGET THIS MONTH'!C:U,15,0),0)</f>
        <v>2</v>
      </c>
      <c r="BD20" s="99">
        <f>IFERROR(GETPIVOTDATA("Sum of Qty",[2]ACC!$A$5,"ID Store",$C20),0)</f>
        <v>5</v>
      </c>
      <c r="BE20" s="83">
        <f t="shared" si="34"/>
        <v>2.5</v>
      </c>
      <c r="BF20" s="100">
        <f>IFERROR(VLOOKUP(C20,'[2]TARGET THIS MONTH'!C:U,16,0),0)</f>
        <v>450000</v>
      </c>
      <c r="BG20" s="100">
        <f>IFERROR(GETPIVOTDATA("Sum of SRP",'[2]Insurance by Store'!$A$5,"ID Store",$C20,"Product Type","Qoala"),0)</f>
        <v>329000</v>
      </c>
      <c r="BH20" s="83">
        <f t="shared" si="35"/>
        <v>0.73111111111111116</v>
      </c>
      <c r="BI20" s="100">
        <f>IFERROR(VLOOKUP(C20,'[2]TARGET THIS MONTH'!C:U,17,0),0)</f>
        <v>90000</v>
      </c>
      <c r="BJ20" s="100">
        <f>IFERROR(GETPIVOTDATA("Sum of SRP",'[2]Insurance by Store'!$A$5,"ID Store",$C20,"Product Type","Vivo Care"),0)</f>
        <v>0</v>
      </c>
      <c r="BK20" s="83">
        <f t="shared" si="36"/>
        <v>0</v>
      </c>
      <c r="BL20" s="81">
        <f>IFERROR(VLOOKUP(C20,'[2]TARGET THIS MONTH'!C:U,18,0),0)</f>
        <v>0.6</v>
      </c>
      <c r="BM20" s="82">
        <f>IFERROR(GETPIVOTDATA("Sum of Qty",'[2]Operator by Store'!$A$5,"ID Store",$C20,"Product Type","Indosat"),0)</f>
        <v>0</v>
      </c>
      <c r="BN20" s="83">
        <f t="shared" si="37"/>
        <v>0</v>
      </c>
      <c r="BO20" s="81">
        <f>VLOOKUP(C20,'[2]TARGET THIS MONTH'!C:U,19,0)</f>
        <v>6</v>
      </c>
      <c r="BP20" s="82">
        <f>IFERROR(GETPIVOTDATA("Sum of Qty",'[2]Operator by Store'!$A$5,"ID Store",$C20,"Product Type","Telkomsel"),0)</f>
        <v>0</v>
      </c>
      <c r="BQ20" s="101">
        <f t="shared" si="38"/>
        <v>0</v>
      </c>
    </row>
    <row r="21" spans="1:69" x14ac:dyDescent="0.2">
      <c r="A21" s="72">
        <v>17</v>
      </c>
      <c r="B21" s="73" t="s">
        <v>63</v>
      </c>
      <c r="C21" s="74">
        <v>6050705</v>
      </c>
      <c r="D21" s="75" t="s">
        <v>67</v>
      </c>
      <c r="E21" s="102" t="s">
        <v>65</v>
      </c>
      <c r="F21" s="77">
        <v>1</v>
      </c>
      <c r="G21" s="78">
        <f>IFERROR(VLOOKUP(C21,'[2]TARGET THIS MONTH'!C:E,3,0),0)</f>
        <v>20</v>
      </c>
      <c r="H21" s="79">
        <f>IFERROR(VLOOKUP(C21,'[2]TARGET THIS MONTH'!C:M,11,0),0)</f>
        <v>440000000</v>
      </c>
      <c r="I21" s="78">
        <f>IFERROR(GETPIVOTDATA("Sum of Qty",'[2]DEVICE &amp; VALUE'!$A$6,"ID Store",$C21),0)</f>
        <v>11</v>
      </c>
      <c r="J21" s="80">
        <f t="shared" si="0"/>
        <v>0.55000000000000004</v>
      </c>
      <c r="K21" s="81">
        <f t="shared" si="1"/>
        <v>-9</v>
      </c>
      <c r="L21" s="82">
        <f>IFERROR(GETPIVOTDATA("Sum of Qty",[2]PF!$A$5,"ID Store",$C21),0)</f>
        <v>4</v>
      </c>
      <c r="M21" s="82">
        <f>IFERROR(GETPIVOTDATA("Sum of Qty",'[2]DEVICE &amp; VALUE'!$A$6,"ID Store",$C21,"Segment Price","3mio&gt;"),0)</f>
        <v>7</v>
      </c>
      <c r="N21" s="83">
        <f t="shared" si="2"/>
        <v>0.63636363636363635</v>
      </c>
      <c r="O21" s="84">
        <f>IFERROR(GETPIVOTDATA("Sum of Qty",[2]IQOO!$A$6,"ID Store",$C21),0)</f>
        <v>1</v>
      </c>
      <c r="P21" s="83">
        <f t="shared" si="3"/>
        <v>9.0909090909090912E-2</v>
      </c>
      <c r="Q21" s="83">
        <f t="shared" si="4"/>
        <v>0.63636363636363635</v>
      </c>
      <c r="R21" s="85">
        <f>IFERROR(GETPIVOTDATA("Sum of SRP",'[2]DEVICE &amp; VALUE'!$A$6,"ID Store",$C21),0)</f>
        <v>51889000</v>
      </c>
      <c r="S21" s="83">
        <f t="shared" si="5"/>
        <v>0.11792954545454545</v>
      </c>
      <c r="T21" s="86">
        <f t="shared" si="6"/>
        <v>-388111000</v>
      </c>
      <c r="U21" s="87">
        <f t="shared" si="7"/>
        <v>36.666666666666671</v>
      </c>
      <c r="V21" s="88">
        <f t="shared" si="8"/>
        <v>1.8333333333333335</v>
      </c>
      <c r="W21" s="89">
        <f t="shared" si="9"/>
        <v>16.666666666666671</v>
      </c>
      <c r="X21" s="89">
        <f t="shared" si="10"/>
        <v>23.333333333333332</v>
      </c>
      <c r="Y21" s="89">
        <f t="shared" si="11"/>
        <v>3.3333333333333321</v>
      </c>
      <c r="Z21" s="90">
        <f t="shared" si="12"/>
        <v>172963333.33333331</v>
      </c>
      <c r="AA21" s="90">
        <f t="shared" si="13"/>
        <v>-267036666.66666669</v>
      </c>
      <c r="AB21" s="91">
        <f t="shared" si="14"/>
        <v>0.39309848484848481</v>
      </c>
      <c r="AC21" s="92">
        <f t="shared" si="15"/>
        <v>0.42857142857142855</v>
      </c>
      <c r="AD21" s="93">
        <f t="shared" si="16"/>
        <v>18481476.19047619</v>
      </c>
      <c r="AE21" s="78">
        <f>IFERROR(GETPIVOTDATA("Sum of Qty",'[2]DATA LAST MONTH IQOO'!$A$6,"ID Store",$C21),0)</f>
        <v>2</v>
      </c>
      <c r="AF21" s="94">
        <f>IFERROR(GETPIVOTDATA("Sum of Qty",[2]IQOO!$A$6,"ID Store",$C21),0)</f>
        <v>1</v>
      </c>
      <c r="AG21" s="81">
        <f t="shared" si="17"/>
        <v>-1</v>
      </c>
      <c r="AH21" s="95">
        <f t="shared" si="18"/>
        <v>-0.5</v>
      </c>
      <c r="AI21" s="96">
        <f>IFERROR(GETPIVOTDATA("Sum of Qty",'[2]DATA LAST MONTH DEVICE'!$A$6,"ID Store",$C21),0)</f>
        <v>19</v>
      </c>
      <c r="AJ21" s="97">
        <f t="shared" si="19"/>
        <v>11</v>
      </c>
      <c r="AK21" s="81">
        <f t="shared" si="20"/>
        <v>-8</v>
      </c>
      <c r="AL21" s="83">
        <f t="shared" si="21"/>
        <v>-0.42105263157894735</v>
      </c>
      <c r="AM21" s="82">
        <f>IFERROR(GETPIVOTDATA("Sum of Qty",'[2]Store 3mio+ last month'!$A$6,"ID Store",$C21),0)</f>
        <v>37</v>
      </c>
      <c r="AN21" s="81">
        <f t="shared" si="22"/>
        <v>36.666666666666671</v>
      </c>
      <c r="AO21" s="81">
        <f t="shared" si="23"/>
        <v>-0.3333333333333286</v>
      </c>
      <c r="AP21" s="83">
        <f t="shared" si="24"/>
        <v>-9.0090090090088806E-3</v>
      </c>
      <c r="AQ21" s="82">
        <f>IFERROR(GETPIVOTDATA("Sum of Qty",'[2]DATA LAST MONTH DEVICE'!$A$6,"ID Store",$C21,"Segment Price","3mio&gt;"),0)</f>
        <v>11</v>
      </c>
      <c r="AR21" s="84">
        <f t="shared" si="25"/>
        <v>7</v>
      </c>
      <c r="AS21" s="84">
        <f t="shared" si="26"/>
        <v>-4</v>
      </c>
      <c r="AT21" s="83">
        <f t="shared" si="27"/>
        <v>-0.36363636363636365</v>
      </c>
      <c r="AU21" s="98">
        <f>IFERROR(GETPIVOTDATA("Sum of SRP",'[2]DATA LAST MONTH DEVICE'!$A$6,"ID Store",$C21),0)</f>
        <v>92681000</v>
      </c>
      <c r="AV21" s="98">
        <f t="shared" si="28"/>
        <v>51889000</v>
      </c>
      <c r="AW21" s="98">
        <f t="shared" si="29"/>
        <v>-40792000</v>
      </c>
      <c r="AX21" s="83">
        <f t="shared" si="30"/>
        <v>-0.44013336066723491</v>
      </c>
      <c r="AY21" s="98">
        <f>IFERROR(VLOOKUP(C21,'[2]DATA SALES LAST MONTH'!A:E,5,0),0)</f>
        <v>0</v>
      </c>
      <c r="AZ21" s="85">
        <f t="shared" si="31"/>
        <v>4717181.8181818174</v>
      </c>
      <c r="BA21" s="85">
        <f t="shared" si="32"/>
        <v>4717181.8181818174</v>
      </c>
      <c r="BB21" s="95">
        <f t="shared" si="33"/>
        <v>0</v>
      </c>
      <c r="BC21" s="78">
        <f>IFERROR(VLOOKUP(C21,'[2]TARGET THIS MONTH'!C:U,15,0),0)</f>
        <v>8</v>
      </c>
      <c r="BD21" s="99">
        <f>IFERROR(GETPIVOTDATA("Sum of Qty",[2]ACC!$A$5,"ID Store",$C21),0)</f>
        <v>1</v>
      </c>
      <c r="BE21" s="83">
        <f t="shared" si="34"/>
        <v>0.125</v>
      </c>
      <c r="BF21" s="100">
        <f>IFERROR(VLOOKUP(C21,'[2]TARGET THIS MONTH'!C:U,16,0),0)</f>
        <v>2200000</v>
      </c>
      <c r="BG21" s="100">
        <f>IFERROR(GETPIVOTDATA("Sum of SRP",'[2]Insurance by Store'!$A$5,"ID Store",$C21,"Product Type","Qoala"),0)</f>
        <v>578000</v>
      </c>
      <c r="BH21" s="83">
        <f t="shared" si="35"/>
        <v>0.26272727272727275</v>
      </c>
      <c r="BI21" s="100">
        <f>IFERROR(VLOOKUP(C21,'[2]TARGET THIS MONTH'!C:U,17,0),0)</f>
        <v>440000</v>
      </c>
      <c r="BJ21" s="100">
        <f>IFERROR(GETPIVOTDATA("Sum of SRP",'[2]Insurance by Store'!$A$5,"ID Store",$C21,"Product Type","Vivo Care"),0)</f>
        <v>0</v>
      </c>
      <c r="BK21" s="83">
        <f t="shared" si="36"/>
        <v>0</v>
      </c>
      <c r="BL21" s="81">
        <f>IFERROR(VLOOKUP(C21,'[2]TARGET THIS MONTH'!C:U,18,0),0)</f>
        <v>2.4</v>
      </c>
      <c r="BM21" s="82">
        <f>IFERROR(GETPIVOTDATA("Sum of Qty",'[2]Operator by Store'!$A$5,"ID Store",$C21,"Product Type","Indosat"),0)</f>
        <v>0</v>
      </c>
      <c r="BN21" s="83">
        <f t="shared" si="37"/>
        <v>0</v>
      </c>
      <c r="BO21" s="81">
        <f>VLOOKUP(C21,'[2]TARGET THIS MONTH'!C:U,19,0)</f>
        <v>24</v>
      </c>
      <c r="BP21" s="82">
        <f>IFERROR(GETPIVOTDATA("Sum of Qty",'[2]Operator by Store'!$A$5,"ID Store",$C21,"Product Type","Telkomsel"),0)</f>
        <v>0</v>
      </c>
      <c r="BQ21" s="101">
        <f t="shared" si="38"/>
        <v>0</v>
      </c>
    </row>
    <row r="22" spans="1:69" x14ac:dyDescent="0.2">
      <c r="A22" s="72">
        <v>18</v>
      </c>
      <c r="B22" s="73" t="s">
        <v>63</v>
      </c>
      <c r="C22" s="74">
        <v>6050706</v>
      </c>
      <c r="D22" s="75" t="s">
        <v>68</v>
      </c>
      <c r="E22" s="102" t="s">
        <v>65</v>
      </c>
      <c r="F22" s="77">
        <v>0</v>
      </c>
      <c r="G22" s="78">
        <f>IFERROR(VLOOKUP(C22,'[2]TARGET THIS MONTH'!C:E,3,0),0)</f>
        <v>30</v>
      </c>
      <c r="H22" s="79">
        <f>IFERROR(VLOOKUP(C22,'[2]TARGET THIS MONTH'!C:M,11,0),0)</f>
        <v>165000000</v>
      </c>
      <c r="I22" s="78">
        <f>IFERROR(GETPIVOTDATA("Sum of Qty",'[2]DEVICE &amp; VALUE'!$A$6,"ID Store",$C22),0)</f>
        <v>18</v>
      </c>
      <c r="J22" s="80">
        <f t="shared" si="0"/>
        <v>0.6</v>
      </c>
      <c r="K22" s="81">
        <f t="shared" si="1"/>
        <v>-12</v>
      </c>
      <c r="L22" s="82">
        <f>IFERROR(GETPIVOTDATA("Sum of Qty",[2]PF!$A$5,"ID Store",$C22),0)</f>
        <v>3</v>
      </c>
      <c r="M22" s="82">
        <f>IFERROR(GETPIVOTDATA("Sum of Qty",'[2]DEVICE &amp; VALUE'!$A$6,"ID Store",$C22,"Segment Price","3mio&gt;"),0)</f>
        <v>5</v>
      </c>
      <c r="N22" s="83">
        <f t="shared" si="2"/>
        <v>0.27777777777777779</v>
      </c>
      <c r="O22" s="84">
        <f>IFERROR(GETPIVOTDATA("Sum of Qty",[2]IQOO!$A$6,"ID Store",$C22),0)</f>
        <v>1</v>
      </c>
      <c r="P22" s="83">
        <f t="shared" si="3"/>
        <v>5.5555555555555552E-2</v>
      </c>
      <c r="Q22" s="83">
        <f t="shared" si="4"/>
        <v>0.27777777777777779</v>
      </c>
      <c r="R22" s="85">
        <f>IFERROR(GETPIVOTDATA("Sum of SRP",'[2]DEVICE &amp; VALUE'!$A$6,"ID Store",$C22),0)</f>
        <v>64082000</v>
      </c>
      <c r="S22" s="83">
        <f t="shared" si="5"/>
        <v>0.3883757575757576</v>
      </c>
      <c r="T22" s="86">
        <f t="shared" si="6"/>
        <v>-100918000</v>
      </c>
      <c r="U22" s="87">
        <f t="shared" si="7"/>
        <v>60</v>
      </c>
      <c r="V22" s="88">
        <f t="shared" si="8"/>
        <v>2</v>
      </c>
      <c r="W22" s="89">
        <f t="shared" si="9"/>
        <v>30</v>
      </c>
      <c r="X22" s="89">
        <f t="shared" si="10"/>
        <v>16.666666666666668</v>
      </c>
      <c r="Y22" s="89">
        <f t="shared" si="11"/>
        <v>-13.333333333333332</v>
      </c>
      <c r="Z22" s="90">
        <f t="shared" si="12"/>
        <v>213606666.66666666</v>
      </c>
      <c r="AA22" s="90">
        <f t="shared" si="13"/>
        <v>48606666.666666657</v>
      </c>
      <c r="AB22" s="91">
        <f t="shared" si="14"/>
        <v>1.2945858585858585</v>
      </c>
      <c r="AC22" s="92">
        <f t="shared" si="15"/>
        <v>0.5714285714285714</v>
      </c>
      <c r="AD22" s="93">
        <f t="shared" si="16"/>
        <v>4805619.0476190476</v>
      </c>
      <c r="AE22" s="78">
        <f>IFERROR(GETPIVOTDATA("Sum of Qty",'[2]DATA LAST MONTH IQOO'!$A$6,"ID Store",$C22),0)</f>
        <v>0</v>
      </c>
      <c r="AF22" s="94">
        <f>IFERROR(GETPIVOTDATA("Sum of Qty",[2]IQOO!$A$6,"ID Store",$C22),0)</f>
        <v>1</v>
      </c>
      <c r="AG22" s="81">
        <f t="shared" si="17"/>
        <v>1</v>
      </c>
      <c r="AH22" s="95">
        <f t="shared" si="18"/>
        <v>0</v>
      </c>
      <c r="AI22" s="96">
        <f>IFERROR(GETPIVOTDATA("Sum of Qty",'[2]DATA LAST MONTH DEVICE'!$A$6,"ID Store",$C22),0)</f>
        <v>0</v>
      </c>
      <c r="AJ22" s="97">
        <f t="shared" si="19"/>
        <v>18</v>
      </c>
      <c r="AK22" s="81">
        <f t="shared" si="20"/>
        <v>18</v>
      </c>
      <c r="AL22" s="83">
        <f t="shared" si="21"/>
        <v>0</v>
      </c>
      <c r="AM22" s="82">
        <f>IFERROR(GETPIVOTDATA("Sum of Qty",'[2]Store 3mio+ last month'!$A$6,"ID Store",$C22),0)</f>
        <v>8</v>
      </c>
      <c r="AN22" s="81">
        <f t="shared" si="22"/>
        <v>60</v>
      </c>
      <c r="AO22" s="81">
        <f t="shared" si="23"/>
        <v>52</v>
      </c>
      <c r="AP22" s="83">
        <f t="shared" si="24"/>
        <v>6.5</v>
      </c>
      <c r="AQ22" s="82">
        <f>IFERROR(GETPIVOTDATA("Sum of Qty",'[2]DATA LAST MONTH DEVICE'!$A$6,"ID Store",$C22,"Segment Price","3mio&gt;"),0)</f>
        <v>0</v>
      </c>
      <c r="AR22" s="84">
        <f t="shared" si="25"/>
        <v>5</v>
      </c>
      <c r="AS22" s="84">
        <f t="shared" si="26"/>
        <v>5</v>
      </c>
      <c r="AT22" s="83">
        <f t="shared" si="27"/>
        <v>0</v>
      </c>
      <c r="AU22" s="98">
        <f>IFERROR(GETPIVOTDATA("Sum of SRP",'[2]DATA LAST MONTH DEVICE'!$A$6,"ID Store",$C22),0)</f>
        <v>0</v>
      </c>
      <c r="AV22" s="98">
        <f t="shared" si="28"/>
        <v>64082000</v>
      </c>
      <c r="AW22" s="98">
        <f t="shared" si="29"/>
        <v>64082000</v>
      </c>
      <c r="AX22" s="83">
        <f t="shared" si="30"/>
        <v>0</v>
      </c>
      <c r="AY22" s="98">
        <f>IFERROR(VLOOKUP(C22,'[2]DATA SALES LAST MONTH'!A:E,5,0),0)</f>
        <v>0</v>
      </c>
      <c r="AZ22" s="85">
        <f t="shared" si="31"/>
        <v>3560111.111111111</v>
      </c>
      <c r="BA22" s="85">
        <f t="shared" si="32"/>
        <v>3560111.111111111</v>
      </c>
      <c r="BB22" s="95">
        <f t="shared" si="33"/>
        <v>0</v>
      </c>
      <c r="BC22" s="78">
        <f>IFERROR(VLOOKUP(C22,'[2]TARGET THIS MONTH'!C:U,15,0),0)</f>
        <v>3</v>
      </c>
      <c r="BD22" s="99">
        <f>IFERROR(GETPIVOTDATA("Sum of Qty",[2]ACC!$A$5,"ID Store",$C22),0)</f>
        <v>5</v>
      </c>
      <c r="BE22" s="83">
        <f t="shared" si="34"/>
        <v>1.6666666666666667</v>
      </c>
      <c r="BF22" s="100">
        <f>IFERROR(VLOOKUP(C22,'[2]TARGET THIS MONTH'!C:U,16,0),0)</f>
        <v>825000</v>
      </c>
      <c r="BG22" s="100">
        <f>IFERROR(GETPIVOTDATA("Sum of SRP",'[2]Insurance by Store'!$A$5,"ID Store",$C22,"Product Type","Qoala"),0)</f>
        <v>159000</v>
      </c>
      <c r="BH22" s="83">
        <f t="shared" si="35"/>
        <v>0.19272727272727272</v>
      </c>
      <c r="BI22" s="100">
        <f>IFERROR(VLOOKUP(C22,'[2]TARGET THIS MONTH'!C:U,17,0),0)</f>
        <v>165000</v>
      </c>
      <c r="BJ22" s="100">
        <f>IFERROR(GETPIVOTDATA("Sum of SRP",'[2]Insurance by Store'!$A$5,"ID Store",$C22,"Product Type","Vivo Care"),0)</f>
        <v>0</v>
      </c>
      <c r="BK22" s="83">
        <f t="shared" si="36"/>
        <v>0</v>
      </c>
      <c r="BL22" s="81">
        <f>IFERROR(VLOOKUP(C22,'[2]TARGET THIS MONTH'!C:U,18,0),0)</f>
        <v>0.9</v>
      </c>
      <c r="BM22" s="82">
        <f>IFERROR(GETPIVOTDATA("Sum of Qty",'[2]Operator by Store'!$A$5,"ID Store",$C22,"Product Type","Indosat"),0)</f>
        <v>0</v>
      </c>
      <c r="BN22" s="83">
        <f t="shared" si="37"/>
        <v>0</v>
      </c>
      <c r="BO22" s="81">
        <f>VLOOKUP(C22,'[2]TARGET THIS MONTH'!C:U,19,0)</f>
        <v>9</v>
      </c>
      <c r="BP22" s="82">
        <f>IFERROR(GETPIVOTDATA("Sum of Qty",'[2]Operator by Store'!$A$5,"ID Store",$C22,"Product Type","Telkomsel"),0)</f>
        <v>0</v>
      </c>
      <c r="BQ22" s="101">
        <f t="shared" si="38"/>
        <v>0</v>
      </c>
    </row>
    <row r="23" spans="1:69" x14ac:dyDescent="0.2">
      <c r="A23" s="72">
        <v>19</v>
      </c>
      <c r="B23" s="73" t="s">
        <v>69</v>
      </c>
      <c r="C23" s="74">
        <v>6180706</v>
      </c>
      <c r="D23" s="75" t="s">
        <v>70</v>
      </c>
      <c r="E23" s="102" t="s">
        <v>71</v>
      </c>
      <c r="F23" s="77">
        <v>3</v>
      </c>
      <c r="G23" s="78">
        <f>IFERROR(VLOOKUP(C23,'[2]TARGET THIS MONTH'!C:E,3,0),0)</f>
        <v>120</v>
      </c>
      <c r="H23" s="79">
        <f>IFERROR(VLOOKUP(C23,'[2]TARGET THIS MONTH'!C:M,11,0),0)</f>
        <v>624000000</v>
      </c>
      <c r="I23" s="78">
        <f>IFERROR(GETPIVOTDATA("Sum of Qty",'[2]DEVICE &amp; VALUE'!$A$6,"ID Store",$C23),0)</f>
        <v>35</v>
      </c>
      <c r="J23" s="80">
        <f t="shared" si="0"/>
        <v>0.29166666666666669</v>
      </c>
      <c r="K23" s="81">
        <f t="shared" si="1"/>
        <v>-85</v>
      </c>
      <c r="L23" s="82">
        <f>IFERROR(GETPIVOTDATA("Sum of Qty",[2]PF!$A$5,"ID Store",$C23),0)</f>
        <v>5</v>
      </c>
      <c r="M23" s="82">
        <f>IFERROR(GETPIVOTDATA("Sum of Qty",'[2]DEVICE &amp; VALUE'!$A$6,"ID Store",$C23,"Segment Price","3mio&gt;"),0)</f>
        <v>13</v>
      </c>
      <c r="N23" s="83">
        <f t="shared" si="2"/>
        <v>0.37142857142857144</v>
      </c>
      <c r="O23" s="84">
        <f>IFERROR(GETPIVOTDATA("Sum of Qty",[2]IQOO!$A$6,"ID Store",$C23),0)</f>
        <v>2</v>
      </c>
      <c r="P23" s="83">
        <f t="shared" si="3"/>
        <v>5.7142857142857141E-2</v>
      </c>
      <c r="Q23" s="83">
        <f t="shared" si="4"/>
        <v>0.37142857142857144</v>
      </c>
      <c r="R23" s="85">
        <f>IFERROR(GETPIVOTDATA("Sum of SRP",'[2]DEVICE &amp; VALUE'!$A$6,"ID Store",$C23),0)</f>
        <v>133765000</v>
      </c>
      <c r="S23" s="83">
        <f t="shared" si="5"/>
        <v>0.21436698717948718</v>
      </c>
      <c r="T23" s="86">
        <f t="shared" si="6"/>
        <v>-490235000</v>
      </c>
      <c r="U23" s="87">
        <f t="shared" si="7"/>
        <v>116.66666666666667</v>
      </c>
      <c r="V23" s="88">
        <f t="shared" si="8"/>
        <v>0.97222222222222221</v>
      </c>
      <c r="W23" s="89">
        <f t="shared" si="9"/>
        <v>-3.3333333333333286</v>
      </c>
      <c r="X23" s="89">
        <f t="shared" si="10"/>
        <v>43.333333333333336</v>
      </c>
      <c r="Y23" s="89">
        <f t="shared" si="11"/>
        <v>-76.666666666666657</v>
      </c>
      <c r="Z23" s="90">
        <f t="shared" si="12"/>
        <v>445883333.33333331</v>
      </c>
      <c r="AA23" s="90">
        <f t="shared" si="13"/>
        <v>-178116666.66666669</v>
      </c>
      <c r="AB23" s="91">
        <f t="shared" si="14"/>
        <v>0.71455662393162389</v>
      </c>
      <c r="AC23" s="92">
        <f t="shared" si="15"/>
        <v>4.0476190476190474</v>
      </c>
      <c r="AD23" s="93">
        <f t="shared" si="16"/>
        <v>23344523.80952381</v>
      </c>
      <c r="AE23" s="78">
        <f>IFERROR(GETPIVOTDATA("Sum of Qty",'[2]DATA LAST MONTH IQOO'!$A$6,"ID Store",$C23),0)</f>
        <v>13</v>
      </c>
      <c r="AF23" s="94">
        <f>IFERROR(GETPIVOTDATA("Sum of Qty",[2]IQOO!$A$6,"ID Store",$C23),0)</f>
        <v>2</v>
      </c>
      <c r="AG23" s="81">
        <f t="shared" si="17"/>
        <v>-11</v>
      </c>
      <c r="AH23" s="95">
        <f t="shared" si="18"/>
        <v>-0.84615384615384615</v>
      </c>
      <c r="AI23" s="96">
        <f>IFERROR(GETPIVOTDATA("Sum of Qty",'[2]DATA LAST MONTH DEVICE'!$A$6,"ID Store",$C23),0)</f>
        <v>50</v>
      </c>
      <c r="AJ23" s="97">
        <f t="shared" si="19"/>
        <v>35</v>
      </c>
      <c r="AK23" s="81">
        <f t="shared" si="20"/>
        <v>-15</v>
      </c>
      <c r="AL23" s="83">
        <f t="shared" si="21"/>
        <v>-0.3</v>
      </c>
      <c r="AM23" s="82">
        <f>IFERROR(GETPIVOTDATA("Sum of Qty",'[2]Store 3mio+ last month'!$A$6,"ID Store",$C23),0)</f>
        <v>129</v>
      </c>
      <c r="AN23" s="81">
        <f t="shared" si="22"/>
        <v>116.66666666666667</v>
      </c>
      <c r="AO23" s="81">
        <f t="shared" si="23"/>
        <v>-12.333333333333329</v>
      </c>
      <c r="AP23" s="83">
        <f t="shared" si="24"/>
        <v>-9.5607235142118829E-2</v>
      </c>
      <c r="AQ23" s="82">
        <f>IFERROR(GETPIVOTDATA("Sum of Qty",'[2]DATA LAST MONTH DEVICE'!$A$6,"ID Store",$C23,"Segment Price","3mio&gt;"),0)</f>
        <v>37</v>
      </c>
      <c r="AR23" s="84">
        <f t="shared" si="25"/>
        <v>13</v>
      </c>
      <c r="AS23" s="84">
        <f t="shared" si="26"/>
        <v>-24</v>
      </c>
      <c r="AT23" s="83">
        <f t="shared" si="27"/>
        <v>-0.64864864864864868</v>
      </c>
      <c r="AU23" s="98">
        <f>IFERROR(GETPIVOTDATA("Sum of SRP",'[2]DATA LAST MONTH DEVICE'!$A$6,"ID Store",$C23),0)</f>
        <v>314050000</v>
      </c>
      <c r="AV23" s="98">
        <f t="shared" si="28"/>
        <v>133765000</v>
      </c>
      <c r="AW23" s="98">
        <f t="shared" si="29"/>
        <v>-180285000</v>
      </c>
      <c r="AX23" s="83">
        <f t="shared" si="30"/>
        <v>-0.57406463938863239</v>
      </c>
      <c r="AY23" s="98">
        <f>IFERROR(VLOOKUP(C23,'[2]DATA SALES LAST MONTH'!A:E,5,0),0)</f>
        <v>6281000</v>
      </c>
      <c r="AZ23" s="85">
        <f t="shared" si="31"/>
        <v>3821857.1428571427</v>
      </c>
      <c r="BA23" s="85">
        <f t="shared" si="32"/>
        <v>-2459142.8571428573</v>
      </c>
      <c r="BB23" s="95">
        <f t="shared" si="33"/>
        <v>-0.39152091341233197</v>
      </c>
      <c r="BC23" s="78">
        <f>IFERROR(VLOOKUP(C23,'[2]TARGET THIS MONTH'!C:U,15,0),0)</f>
        <v>12</v>
      </c>
      <c r="BD23" s="99">
        <f>IFERROR(GETPIVOTDATA("Sum of Qty",[2]ACC!$A$5,"ID Store",$C23),0)</f>
        <v>1</v>
      </c>
      <c r="BE23" s="83">
        <f t="shared" si="34"/>
        <v>8.3333333333333329E-2</v>
      </c>
      <c r="BF23" s="100">
        <f>IFERROR(VLOOKUP(C23,'[2]TARGET THIS MONTH'!C:U,16,0),0)</f>
        <v>3120000</v>
      </c>
      <c r="BG23" s="100">
        <f>IFERROR(GETPIVOTDATA("Sum of SRP",'[2]Insurance by Store'!$A$5,"ID Store",$C23,"Product Type","Qoala"),0)</f>
        <v>318000</v>
      </c>
      <c r="BH23" s="83">
        <f t="shared" si="35"/>
        <v>0.10192307692307692</v>
      </c>
      <c r="BI23" s="100">
        <f>IFERROR(VLOOKUP(C23,'[2]TARGET THIS MONTH'!C:U,17,0),0)</f>
        <v>624000</v>
      </c>
      <c r="BJ23" s="100">
        <f>IFERROR(GETPIVOTDATA("Sum of SRP",'[2]Insurance by Store'!$A$5,"ID Store",$C23,"Product Type","Vivo Care"),0)</f>
        <v>0</v>
      </c>
      <c r="BK23" s="83">
        <f t="shared" si="36"/>
        <v>0</v>
      </c>
      <c r="BL23" s="81">
        <f>IFERROR(VLOOKUP(C23,'[2]TARGET THIS MONTH'!C:U,18,0),0)</f>
        <v>3.6</v>
      </c>
      <c r="BM23" s="82">
        <f>IFERROR(GETPIVOTDATA("Sum of Qty",'[2]Operator by Store'!$A$5,"ID Store",$C23,"Product Type","Indosat"),0)</f>
        <v>0</v>
      </c>
      <c r="BN23" s="83">
        <f t="shared" si="37"/>
        <v>0</v>
      </c>
      <c r="BO23" s="81">
        <f>VLOOKUP(C23,'[2]TARGET THIS MONTH'!C:U,19,0)</f>
        <v>36</v>
      </c>
      <c r="BP23" s="82">
        <f>IFERROR(GETPIVOTDATA("Sum of Qty",'[2]Operator by Store'!$A$5,"ID Store",$C23,"Product Type","Telkomsel"),0)</f>
        <v>0</v>
      </c>
      <c r="BQ23" s="101">
        <f t="shared" si="38"/>
        <v>0</v>
      </c>
    </row>
    <row r="24" spans="1:69" x14ac:dyDescent="0.2">
      <c r="A24" s="72">
        <v>20</v>
      </c>
      <c r="B24" s="73" t="s">
        <v>69</v>
      </c>
      <c r="C24" s="74">
        <v>6180707</v>
      </c>
      <c r="D24" s="75" t="s">
        <v>72</v>
      </c>
      <c r="E24" s="102" t="s">
        <v>71</v>
      </c>
      <c r="F24" s="77">
        <v>1</v>
      </c>
      <c r="G24" s="78">
        <f>IFERROR(VLOOKUP(C24,'[2]TARGET THIS MONTH'!C:E,3,0),0)</f>
        <v>20</v>
      </c>
      <c r="H24" s="79">
        <f>IFERROR(VLOOKUP(C24,'[2]TARGET THIS MONTH'!C:M,11,0),0)</f>
        <v>100000000</v>
      </c>
      <c r="I24" s="78">
        <f>IFERROR(GETPIVOTDATA("Sum of Qty",'[2]DEVICE &amp; VALUE'!$A$6,"ID Store",$C24),0)</f>
        <v>6</v>
      </c>
      <c r="J24" s="80">
        <f t="shared" si="0"/>
        <v>0.3</v>
      </c>
      <c r="K24" s="81">
        <f t="shared" si="1"/>
        <v>-14</v>
      </c>
      <c r="L24" s="82">
        <f>IFERROR(GETPIVOTDATA("Sum of Qty",[2]PF!$A$5,"ID Store",$C24),0)</f>
        <v>2</v>
      </c>
      <c r="M24" s="82">
        <f>IFERROR(GETPIVOTDATA("Sum of Qty",'[2]DEVICE &amp; VALUE'!$A$6,"ID Store",$C24,"Segment Price","3mio&gt;"),0)</f>
        <v>2</v>
      </c>
      <c r="N24" s="83">
        <f t="shared" si="2"/>
        <v>0.33333333333333331</v>
      </c>
      <c r="O24" s="84">
        <f>IFERROR(GETPIVOTDATA("Sum of Qty",[2]IQOO!$A$6,"ID Store",$C24),0)</f>
        <v>0</v>
      </c>
      <c r="P24" s="83">
        <f t="shared" si="3"/>
        <v>0</v>
      </c>
      <c r="Q24" s="83">
        <f t="shared" si="4"/>
        <v>0.33333333333333331</v>
      </c>
      <c r="R24" s="85">
        <f>IFERROR(GETPIVOTDATA("Sum of SRP",'[2]DEVICE &amp; VALUE'!$A$6,"ID Store",$C24),0)</f>
        <v>18894000</v>
      </c>
      <c r="S24" s="83">
        <f t="shared" si="5"/>
        <v>0.18894</v>
      </c>
      <c r="T24" s="86">
        <f t="shared" si="6"/>
        <v>-81106000</v>
      </c>
      <c r="U24" s="87">
        <f t="shared" si="7"/>
        <v>20</v>
      </c>
      <c r="V24" s="88">
        <f t="shared" si="8"/>
        <v>1</v>
      </c>
      <c r="W24" s="89">
        <f t="shared" si="9"/>
        <v>0</v>
      </c>
      <c r="X24" s="89">
        <f t="shared" si="10"/>
        <v>6.6666666666666661</v>
      </c>
      <c r="Y24" s="89">
        <f t="shared" si="11"/>
        <v>-13.333333333333334</v>
      </c>
      <c r="Z24" s="90">
        <f t="shared" si="12"/>
        <v>62980000.000000007</v>
      </c>
      <c r="AA24" s="90">
        <f t="shared" si="13"/>
        <v>-37019999.999999993</v>
      </c>
      <c r="AB24" s="91">
        <f t="shared" si="14"/>
        <v>0.62980000000000003</v>
      </c>
      <c r="AC24" s="92">
        <f t="shared" si="15"/>
        <v>0.66666666666666663</v>
      </c>
      <c r="AD24" s="93">
        <f t="shared" si="16"/>
        <v>3862190.4761904762</v>
      </c>
      <c r="AE24" s="78">
        <f>IFERROR(GETPIVOTDATA("Sum of Qty",'[2]DATA LAST MONTH IQOO'!$A$6,"ID Store",$C24),0)</f>
        <v>2</v>
      </c>
      <c r="AF24" s="94">
        <f>IFERROR(GETPIVOTDATA("Sum of Qty",[2]IQOO!$A$6,"ID Store",$C24),0)</f>
        <v>0</v>
      </c>
      <c r="AG24" s="81">
        <f t="shared" si="17"/>
        <v>-2</v>
      </c>
      <c r="AH24" s="95">
        <f t="shared" si="18"/>
        <v>-1</v>
      </c>
      <c r="AI24" s="96">
        <f>IFERROR(GETPIVOTDATA("Sum of Qty",'[2]DATA LAST MONTH DEVICE'!$A$6,"ID Store",$C24),0)</f>
        <v>12</v>
      </c>
      <c r="AJ24" s="97">
        <f t="shared" si="19"/>
        <v>6</v>
      </c>
      <c r="AK24" s="81">
        <f t="shared" si="20"/>
        <v>-6</v>
      </c>
      <c r="AL24" s="83">
        <f t="shared" si="21"/>
        <v>-0.5</v>
      </c>
      <c r="AM24" s="82">
        <f>IFERROR(GETPIVOTDATA("Sum of Qty",'[2]Store 3mio+ last month'!$A$6,"ID Store",$C24),0)</f>
        <v>31</v>
      </c>
      <c r="AN24" s="81">
        <f t="shared" si="22"/>
        <v>20</v>
      </c>
      <c r="AO24" s="81">
        <f t="shared" si="23"/>
        <v>-11</v>
      </c>
      <c r="AP24" s="83">
        <f t="shared" si="24"/>
        <v>-0.35483870967741937</v>
      </c>
      <c r="AQ24" s="82">
        <f>IFERROR(GETPIVOTDATA("Sum of Qty",'[2]DATA LAST MONTH DEVICE'!$A$6,"ID Store",$C24,"Segment Price","3mio&gt;"),0)</f>
        <v>7</v>
      </c>
      <c r="AR24" s="84">
        <f t="shared" si="25"/>
        <v>2</v>
      </c>
      <c r="AS24" s="84">
        <f t="shared" si="26"/>
        <v>-5</v>
      </c>
      <c r="AT24" s="83">
        <f t="shared" si="27"/>
        <v>-0.7142857142857143</v>
      </c>
      <c r="AU24" s="98">
        <f>IFERROR(GETPIVOTDATA("Sum of SRP",'[2]DATA LAST MONTH DEVICE'!$A$6,"ID Store",$C24),0)</f>
        <v>85388000</v>
      </c>
      <c r="AV24" s="98">
        <f t="shared" si="28"/>
        <v>18894000</v>
      </c>
      <c r="AW24" s="98">
        <f t="shared" si="29"/>
        <v>-66494000</v>
      </c>
      <c r="AX24" s="83">
        <f t="shared" si="30"/>
        <v>-0.77872769007354659</v>
      </c>
      <c r="AY24" s="98">
        <f>IFERROR(VLOOKUP(C24,'[2]DATA SALES LAST MONTH'!A:E,5,0),0)</f>
        <v>7115666.666666667</v>
      </c>
      <c r="AZ24" s="85">
        <f t="shared" si="31"/>
        <v>3149000.0000000005</v>
      </c>
      <c r="BA24" s="85">
        <f t="shared" si="32"/>
        <v>-3966666.6666666665</v>
      </c>
      <c r="BB24" s="95">
        <f t="shared" si="33"/>
        <v>-0.55745538014709317</v>
      </c>
      <c r="BC24" s="78">
        <f>IFERROR(VLOOKUP(C24,'[2]TARGET THIS MONTH'!C:U,15,0),0)</f>
        <v>2</v>
      </c>
      <c r="BD24" s="99">
        <f>IFERROR(GETPIVOTDATA("Sum of Qty",[2]ACC!$A$5,"ID Store",$C24),0)</f>
        <v>0</v>
      </c>
      <c r="BE24" s="83">
        <f t="shared" si="34"/>
        <v>0</v>
      </c>
      <c r="BF24" s="100">
        <f>IFERROR(VLOOKUP(C24,'[2]TARGET THIS MONTH'!C:U,16,0),0)</f>
        <v>100000</v>
      </c>
      <c r="BG24" s="100">
        <f>IFERROR(GETPIVOTDATA("Sum of SRP",'[2]Insurance by Store'!$A$5,"ID Store",$C24,"Product Type","Qoala"),0)</f>
        <v>0</v>
      </c>
      <c r="BH24" s="83">
        <f t="shared" si="35"/>
        <v>0</v>
      </c>
      <c r="BI24" s="100">
        <f>IFERROR(VLOOKUP(C24,'[2]TARGET THIS MONTH'!C:U,17,0),0)</f>
        <v>100000</v>
      </c>
      <c r="BJ24" s="100">
        <f>IFERROR(GETPIVOTDATA("Sum of SRP",'[2]Insurance by Store'!$A$5,"ID Store",$C24,"Product Type","Vivo Care"),0)</f>
        <v>0</v>
      </c>
      <c r="BK24" s="83">
        <f t="shared" si="36"/>
        <v>0</v>
      </c>
      <c r="BL24" s="81">
        <f>IFERROR(VLOOKUP(C24,'[2]TARGET THIS MONTH'!C:U,18,0),0)</f>
        <v>0.6</v>
      </c>
      <c r="BM24" s="82">
        <f>IFERROR(GETPIVOTDATA("Sum of Qty",'[2]Operator by Store'!$A$5,"ID Store",$C24,"Product Type","Indosat"),0)</f>
        <v>0</v>
      </c>
      <c r="BN24" s="83">
        <f t="shared" si="37"/>
        <v>0</v>
      </c>
      <c r="BO24" s="81">
        <f>VLOOKUP(C24,'[2]TARGET THIS MONTH'!C:U,19,0)</f>
        <v>6</v>
      </c>
      <c r="BP24" s="82">
        <f>IFERROR(GETPIVOTDATA("Sum of Qty",'[2]Operator by Store'!$A$5,"ID Store",$C24,"Product Type","Telkomsel"),0)</f>
        <v>0</v>
      </c>
      <c r="BQ24" s="101">
        <f t="shared" si="38"/>
        <v>0</v>
      </c>
    </row>
    <row r="25" spans="1:69" x14ac:dyDescent="0.2">
      <c r="A25" s="72">
        <v>21</v>
      </c>
      <c r="B25" s="73" t="s">
        <v>73</v>
      </c>
      <c r="C25" s="74">
        <v>6170707</v>
      </c>
      <c r="D25" s="75" t="s">
        <v>74</v>
      </c>
      <c r="E25" s="103" t="s">
        <v>75</v>
      </c>
      <c r="F25" s="77">
        <v>2</v>
      </c>
      <c r="G25" s="78">
        <f>IFERROR(VLOOKUP(C25,'[2]TARGET THIS MONTH'!C:E,3,0),0)</f>
        <v>80</v>
      </c>
      <c r="H25" s="79">
        <f>IFERROR(VLOOKUP(C25,'[2]TARGET THIS MONTH'!C:M,11,0),0)</f>
        <v>344000000</v>
      </c>
      <c r="I25" s="78">
        <f>IFERROR(GETPIVOTDATA("Sum of Qty",'[2]DEVICE &amp; VALUE'!$A$6,"ID Store",$C25),0)</f>
        <v>27</v>
      </c>
      <c r="J25" s="80">
        <f t="shared" si="0"/>
        <v>0.33750000000000002</v>
      </c>
      <c r="K25" s="81">
        <f t="shared" si="1"/>
        <v>-53</v>
      </c>
      <c r="L25" s="82">
        <f>IFERROR(GETPIVOTDATA("Sum of Qty",[2]PF!$A$5,"ID Store",$C25),0)</f>
        <v>3</v>
      </c>
      <c r="M25" s="82">
        <f>IFERROR(GETPIVOTDATA("Sum of Qty",'[2]DEVICE &amp; VALUE'!$A$6,"ID Store",$C25,"Segment Price","3mio&gt;"),0)</f>
        <v>6</v>
      </c>
      <c r="N25" s="83">
        <f t="shared" si="2"/>
        <v>0.22222222222222221</v>
      </c>
      <c r="O25" s="84">
        <f>IFERROR(GETPIVOTDATA("Sum of Qty",[2]IQOO!$A$6,"ID Store",$C25),0)</f>
        <v>0</v>
      </c>
      <c r="P25" s="83">
        <f t="shared" si="3"/>
        <v>0</v>
      </c>
      <c r="Q25" s="83">
        <f t="shared" si="4"/>
        <v>0.22222222222222221</v>
      </c>
      <c r="R25" s="85">
        <f>IFERROR(GETPIVOTDATA("Sum of SRP",'[2]DEVICE &amp; VALUE'!$A$6,"ID Store",$C25),0)</f>
        <v>87073000</v>
      </c>
      <c r="S25" s="83">
        <f t="shared" si="5"/>
        <v>0.25311918604651162</v>
      </c>
      <c r="T25" s="86">
        <f t="shared" si="6"/>
        <v>-256927000</v>
      </c>
      <c r="U25" s="87">
        <f t="shared" si="7"/>
        <v>90</v>
      </c>
      <c r="V25" s="88">
        <f t="shared" si="8"/>
        <v>1.125</v>
      </c>
      <c r="W25" s="89">
        <f t="shared" si="9"/>
        <v>10</v>
      </c>
      <c r="X25" s="89">
        <f t="shared" si="10"/>
        <v>20</v>
      </c>
      <c r="Y25" s="89">
        <f t="shared" si="11"/>
        <v>-60</v>
      </c>
      <c r="Z25" s="90">
        <f t="shared" si="12"/>
        <v>290243333.33333331</v>
      </c>
      <c r="AA25" s="90">
        <f t="shared" si="13"/>
        <v>-53756666.666666687</v>
      </c>
      <c r="AB25" s="91">
        <f t="shared" si="14"/>
        <v>0.84373062015503875</v>
      </c>
      <c r="AC25" s="92">
        <f t="shared" si="15"/>
        <v>2.5238095238095237</v>
      </c>
      <c r="AD25" s="93">
        <f t="shared" si="16"/>
        <v>12234619.047619049</v>
      </c>
      <c r="AE25" s="78">
        <f>IFERROR(GETPIVOTDATA("Sum of Qty",'[2]DATA LAST MONTH IQOO'!$A$6,"ID Store",$C25),0)</f>
        <v>3</v>
      </c>
      <c r="AF25" s="94">
        <f>IFERROR(GETPIVOTDATA("Sum of Qty",[2]IQOO!$A$6,"ID Store",$C25),0)</f>
        <v>0</v>
      </c>
      <c r="AG25" s="81">
        <f t="shared" si="17"/>
        <v>-3</v>
      </c>
      <c r="AH25" s="95">
        <f t="shared" si="18"/>
        <v>-1</v>
      </c>
      <c r="AI25" s="96">
        <f>IFERROR(GETPIVOTDATA("Sum of Qty",'[2]DATA LAST MONTH DEVICE'!$A$6,"ID Store",$C25),0)</f>
        <v>33</v>
      </c>
      <c r="AJ25" s="97">
        <f t="shared" si="19"/>
        <v>27</v>
      </c>
      <c r="AK25" s="81">
        <f t="shared" si="20"/>
        <v>-6</v>
      </c>
      <c r="AL25" s="83">
        <f t="shared" si="21"/>
        <v>-0.18181818181818182</v>
      </c>
      <c r="AM25" s="82">
        <f>IFERROR(GETPIVOTDATA("Sum of Qty",'[2]Store 3mio+ last month'!$A$6,"ID Store",$C25),0)</f>
        <v>89</v>
      </c>
      <c r="AN25" s="81">
        <f t="shared" si="22"/>
        <v>90</v>
      </c>
      <c r="AO25" s="81">
        <f t="shared" si="23"/>
        <v>1</v>
      </c>
      <c r="AP25" s="83">
        <f t="shared" si="24"/>
        <v>1.1235955056179775E-2</v>
      </c>
      <c r="AQ25" s="82">
        <f>IFERROR(GETPIVOTDATA("Sum of Qty",'[2]DATA LAST MONTH DEVICE'!$A$6,"ID Store",$C25,"Segment Price","3mio&gt;"),0)</f>
        <v>17</v>
      </c>
      <c r="AR25" s="84">
        <f t="shared" si="25"/>
        <v>6</v>
      </c>
      <c r="AS25" s="84">
        <f t="shared" si="26"/>
        <v>-11</v>
      </c>
      <c r="AT25" s="83">
        <f t="shared" si="27"/>
        <v>-0.6470588235294118</v>
      </c>
      <c r="AU25" s="98">
        <f>IFERROR(GETPIVOTDATA("Sum of SRP",'[2]DATA LAST MONTH DEVICE'!$A$6,"ID Store",$C25),0)</f>
        <v>136267000</v>
      </c>
      <c r="AV25" s="98">
        <f t="shared" si="28"/>
        <v>87073000</v>
      </c>
      <c r="AW25" s="98">
        <f t="shared" si="29"/>
        <v>-49194000</v>
      </c>
      <c r="AX25" s="83">
        <f t="shared" si="30"/>
        <v>-0.36101183705519313</v>
      </c>
      <c r="AY25" s="98">
        <f>IFERROR(VLOOKUP(C25,'[2]DATA SALES LAST MONTH'!A:E,5,0),0)</f>
        <v>4129303.0303030303</v>
      </c>
      <c r="AZ25" s="85">
        <f t="shared" si="31"/>
        <v>3224925.9259259258</v>
      </c>
      <c r="BA25" s="85">
        <f t="shared" si="32"/>
        <v>-904377.10437710444</v>
      </c>
      <c r="BB25" s="95">
        <f t="shared" si="33"/>
        <v>-0.21901446751190271</v>
      </c>
      <c r="BC25" s="78">
        <f>IFERROR(VLOOKUP(C25,'[2]TARGET THIS MONTH'!C:U,15,0),0)</f>
        <v>8</v>
      </c>
      <c r="BD25" s="99">
        <f>IFERROR(GETPIVOTDATA("Sum of Qty",[2]ACC!$A$5,"ID Store",$C25),0)</f>
        <v>11</v>
      </c>
      <c r="BE25" s="83">
        <f t="shared" si="34"/>
        <v>1.375</v>
      </c>
      <c r="BF25" s="100">
        <f>IFERROR(VLOOKUP(C25,'[2]TARGET THIS MONTH'!C:U,16,0),0)</f>
        <v>1720000</v>
      </c>
      <c r="BG25" s="100">
        <f>IFERROR(GETPIVOTDATA("Sum of SRP",'[2]Insurance by Store'!$A$5,"ID Store",$C25,"Product Type","Qoala"),0)</f>
        <v>0</v>
      </c>
      <c r="BH25" s="83">
        <f t="shared" si="35"/>
        <v>0</v>
      </c>
      <c r="BI25" s="100">
        <f>IFERROR(VLOOKUP(C25,'[2]TARGET THIS MONTH'!C:U,17,0),0)</f>
        <v>344000</v>
      </c>
      <c r="BJ25" s="100">
        <f>IFERROR(GETPIVOTDATA("Sum of SRP",'[2]Insurance by Store'!$A$5,"ID Store",$C25,"Product Type","Vivo Care"),0)</f>
        <v>0</v>
      </c>
      <c r="BK25" s="83">
        <f t="shared" si="36"/>
        <v>0</v>
      </c>
      <c r="BL25" s="81">
        <f>IFERROR(VLOOKUP(C25,'[2]TARGET THIS MONTH'!C:U,18,0),0)</f>
        <v>2.4</v>
      </c>
      <c r="BM25" s="82">
        <f>IFERROR(GETPIVOTDATA("Sum of Qty",'[2]Operator by Store'!$A$5,"ID Store",$C25,"Product Type","Indosat"),0)</f>
        <v>0</v>
      </c>
      <c r="BN25" s="83">
        <f t="shared" si="37"/>
        <v>0</v>
      </c>
      <c r="BO25" s="81">
        <f>VLOOKUP(C25,'[2]TARGET THIS MONTH'!C:U,19,0)</f>
        <v>24</v>
      </c>
      <c r="BP25" s="82">
        <f>IFERROR(GETPIVOTDATA("Sum of Qty",'[2]Operator by Store'!$A$5,"ID Store",$C25,"Product Type","Telkomsel"),0)</f>
        <v>0</v>
      </c>
      <c r="BQ25" s="101">
        <f t="shared" si="38"/>
        <v>0</v>
      </c>
    </row>
    <row r="26" spans="1:69" x14ac:dyDescent="0.2">
      <c r="A26" s="72">
        <v>22</v>
      </c>
      <c r="B26" s="73" t="s">
        <v>73</v>
      </c>
      <c r="C26" s="74">
        <v>6240702</v>
      </c>
      <c r="D26" s="75" t="s">
        <v>76</v>
      </c>
      <c r="E26" s="103" t="s">
        <v>75</v>
      </c>
      <c r="F26" s="77">
        <v>3</v>
      </c>
      <c r="G26" s="78">
        <f>IFERROR(VLOOKUP(C26,'[2]TARGET THIS MONTH'!C:E,3,0),0)</f>
        <v>100</v>
      </c>
      <c r="H26" s="79">
        <f>IFERROR(VLOOKUP(C26,'[2]TARGET THIS MONTH'!C:M,11,0),0)</f>
        <v>430000000</v>
      </c>
      <c r="I26" s="78">
        <f>IFERROR(GETPIVOTDATA("Sum of Qty",'[2]DEVICE &amp; VALUE'!$A$6,"ID Store",$C26),0)</f>
        <v>33</v>
      </c>
      <c r="J26" s="80">
        <f t="shared" si="0"/>
        <v>0.33</v>
      </c>
      <c r="K26" s="81">
        <f t="shared" si="1"/>
        <v>-67</v>
      </c>
      <c r="L26" s="82">
        <f>IFERROR(GETPIVOTDATA("Sum of Qty",[2]PF!$A$5,"ID Store",$C26),0)</f>
        <v>7</v>
      </c>
      <c r="M26" s="82">
        <f>IFERROR(GETPIVOTDATA("Sum of Qty",'[2]DEVICE &amp; VALUE'!$A$6,"ID Store",$C26,"Segment Price","3mio&gt;"),0)</f>
        <v>15</v>
      </c>
      <c r="N26" s="83">
        <f t="shared" si="2"/>
        <v>0.45454545454545453</v>
      </c>
      <c r="O26" s="84">
        <f>IFERROR(GETPIVOTDATA("Sum of Qty",[2]IQOO!$A$6,"ID Store",$C26),0)</f>
        <v>0</v>
      </c>
      <c r="P26" s="83">
        <f t="shared" si="3"/>
        <v>0</v>
      </c>
      <c r="Q26" s="83">
        <f t="shared" si="4"/>
        <v>0.45454545454545453</v>
      </c>
      <c r="R26" s="85">
        <f>IFERROR(GETPIVOTDATA("Sum of SRP",'[2]DEVICE &amp; VALUE'!$A$6,"ID Store",$C26),0)</f>
        <v>132967000</v>
      </c>
      <c r="S26" s="83">
        <f t="shared" si="5"/>
        <v>0.30922558139534884</v>
      </c>
      <c r="T26" s="86">
        <f t="shared" si="6"/>
        <v>-297033000</v>
      </c>
      <c r="U26" s="87">
        <f t="shared" si="7"/>
        <v>110</v>
      </c>
      <c r="V26" s="88">
        <f t="shared" si="8"/>
        <v>1.1000000000000001</v>
      </c>
      <c r="W26" s="89">
        <f t="shared" si="9"/>
        <v>10</v>
      </c>
      <c r="X26" s="89">
        <f t="shared" si="10"/>
        <v>50</v>
      </c>
      <c r="Y26" s="89">
        <f t="shared" si="11"/>
        <v>-50</v>
      </c>
      <c r="Z26" s="90">
        <f t="shared" si="12"/>
        <v>443223333.33333337</v>
      </c>
      <c r="AA26" s="90">
        <f t="shared" si="13"/>
        <v>13223333.333333373</v>
      </c>
      <c r="AB26" s="91">
        <f t="shared" si="14"/>
        <v>1.0307519379844963</v>
      </c>
      <c r="AC26" s="92">
        <f t="shared" si="15"/>
        <v>3.1904761904761907</v>
      </c>
      <c r="AD26" s="93">
        <f t="shared" si="16"/>
        <v>14144428.571428571</v>
      </c>
      <c r="AE26" s="78">
        <f>IFERROR(GETPIVOTDATA("Sum of Qty",'[2]DATA LAST MONTH IQOO'!$A$6,"ID Store",$C26),0)</f>
        <v>6</v>
      </c>
      <c r="AF26" s="94">
        <f>IFERROR(GETPIVOTDATA("Sum of Qty",[2]IQOO!$A$6,"ID Store",$C26),0)</f>
        <v>0</v>
      </c>
      <c r="AG26" s="81">
        <f t="shared" si="17"/>
        <v>-6</v>
      </c>
      <c r="AH26" s="95">
        <f t="shared" si="18"/>
        <v>-1</v>
      </c>
      <c r="AI26" s="96">
        <f>IFERROR(GETPIVOTDATA("Sum of Qty",'[2]DATA LAST MONTH DEVICE'!$A$6,"ID Store",$C26),0)</f>
        <v>32</v>
      </c>
      <c r="AJ26" s="97">
        <f t="shared" si="19"/>
        <v>33</v>
      </c>
      <c r="AK26" s="81">
        <f t="shared" si="20"/>
        <v>1</v>
      </c>
      <c r="AL26" s="83">
        <f t="shared" si="21"/>
        <v>3.125E-2</v>
      </c>
      <c r="AM26" s="82">
        <f>IFERROR(GETPIVOTDATA("Sum of Qty",'[2]Store 3mio+ last month'!$A$6,"ID Store",$C26),0)</f>
        <v>105</v>
      </c>
      <c r="AN26" s="81">
        <f t="shared" si="22"/>
        <v>110</v>
      </c>
      <c r="AO26" s="81">
        <f t="shared" si="23"/>
        <v>5</v>
      </c>
      <c r="AP26" s="83">
        <f t="shared" si="24"/>
        <v>4.7619047619047616E-2</v>
      </c>
      <c r="AQ26" s="82">
        <f>IFERROR(GETPIVOTDATA("Sum of Qty",'[2]DATA LAST MONTH DEVICE'!$A$6,"ID Store",$C26,"Segment Price","3mio&gt;"),0)</f>
        <v>13</v>
      </c>
      <c r="AR26" s="84">
        <f t="shared" si="25"/>
        <v>15</v>
      </c>
      <c r="AS26" s="84">
        <f t="shared" si="26"/>
        <v>2</v>
      </c>
      <c r="AT26" s="83">
        <f t="shared" si="27"/>
        <v>0.15384615384615385</v>
      </c>
      <c r="AU26" s="98">
        <f>IFERROR(GETPIVOTDATA("Sum of SRP",'[2]DATA LAST MONTH DEVICE'!$A$6,"ID Store",$C26),0)</f>
        <v>124568000</v>
      </c>
      <c r="AV26" s="98">
        <f t="shared" si="28"/>
        <v>132967000</v>
      </c>
      <c r="AW26" s="98">
        <f t="shared" si="29"/>
        <v>8399000</v>
      </c>
      <c r="AX26" s="83">
        <f t="shared" si="30"/>
        <v>6.7425020872134089E-2</v>
      </c>
      <c r="AY26" s="98">
        <f>IFERROR(VLOOKUP(C26,'[2]DATA SALES LAST MONTH'!A:E,5,0),0)</f>
        <v>3892750</v>
      </c>
      <c r="AZ26" s="85">
        <f t="shared" si="31"/>
        <v>4029303.0303030307</v>
      </c>
      <c r="BA26" s="85">
        <f t="shared" si="32"/>
        <v>136553.03030303074</v>
      </c>
      <c r="BB26" s="95">
        <f t="shared" si="33"/>
        <v>3.5078808118433176E-2</v>
      </c>
      <c r="BC26" s="78">
        <f>IFERROR(VLOOKUP(C26,'[2]TARGET THIS MONTH'!C:U,15,0),0)</f>
        <v>10</v>
      </c>
      <c r="BD26" s="99">
        <f>IFERROR(GETPIVOTDATA("Sum of Qty",[2]ACC!$A$5,"ID Store",$C26),0)</f>
        <v>3</v>
      </c>
      <c r="BE26" s="83">
        <f t="shared" si="34"/>
        <v>0.3</v>
      </c>
      <c r="BF26" s="100">
        <f>IFERROR(VLOOKUP(C26,'[2]TARGET THIS MONTH'!C:U,16,0),0)</f>
        <v>2150000</v>
      </c>
      <c r="BG26" s="100">
        <f>IFERROR(GETPIVOTDATA("Sum of SRP",'[2]Insurance by Store'!$A$5,"ID Store",$C26,"Product Type","Qoala"),0)</f>
        <v>0</v>
      </c>
      <c r="BH26" s="83">
        <f t="shared" si="35"/>
        <v>0</v>
      </c>
      <c r="BI26" s="100">
        <f>IFERROR(VLOOKUP(C26,'[2]TARGET THIS MONTH'!C:U,17,0),0)</f>
        <v>430000</v>
      </c>
      <c r="BJ26" s="100">
        <f>IFERROR(GETPIVOTDATA("Sum of SRP",'[2]Insurance by Store'!$A$5,"ID Store",$C26,"Product Type","Vivo Care"),0)</f>
        <v>0</v>
      </c>
      <c r="BK26" s="83">
        <f t="shared" si="36"/>
        <v>0</v>
      </c>
      <c r="BL26" s="81">
        <f>IFERROR(VLOOKUP(C26,'[2]TARGET THIS MONTH'!C:U,18,0),0)</f>
        <v>3</v>
      </c>
      <c r="BM26" s="82">
        <f>IFERROR(GETPIVOTDATA("Sum of Qty",'[2]Operator by Store'!$A$5,"ID Store",$C26,"Product Type","Indosat"),0)</f>
        <v>0</v>
      </c>
      <c r="BN26" s="83">
        <f t="shared" si="37"/>
        <v>0</v>
      </c>
      <c r="BO26" s="81">
        <f>VLOOKUP(C26,'[2]TARGET THIS MONTH'!C:U,19,0)</f>
        <v>30</v>
      </c>
      <c r="BP26" s="82">
        <f>IFERROR(GETPIVOTDATA("Sum of Qty",'[2]Operator by Store'!$A$5,"ID Store",$C26,"Product Type","Telkomsel"),0)</f>
        <v>0</v>
      </c>
      <c r="BQ26" s="101">
        <f t="shared" si="38"/>
        <v>0</v>
      </c>
    </row>
    <row r="27" spans="1:69" x14ac:dyDescent="0.2">
      <c r="A27" s="72">
        <v>23</v>
      </c>
      <c r="B27" s="73" t="s">
        <v>73</v>
      </c>
      <c r="C27" s="74">
        <v>6240704</v>
      </c>
      <c r="D27" s="75" t="s">
        <v>77</v>
      </c>
      <c r="E27" s="103" t="s">
        <v>75</v>
      </c>
      <c r="F27" s="77">
        <v>2</v>
      </c>
      <c r="G27" s="78">
        <f>IFERROR(VLOOKUP(C27,'[2]TARGET THIS MONTH'!C:E,3,0),0)</f>
        <v>30</v>
      </c>
      <c r="H27" s="79">
        <f>IFERROR(VLOOKUP(C27,'[2]TARGET THIS MONTH'!C:M,11,0),0)</f>
        <v>129000000</v>
      </c>
      <c r="I27" s="78">
        <f>IFERROR(GETPIVOTDATA("Sum of Qty",'[2]DEVICE &amp; VALUE'!$A$6,"ID Store",$C27),0)</f>
        <v>4</v>
      </c>
      <c r="J27" s="80">
        <f t="shared" si="0"/>
        <v>0.13333333333333333</v>
      </c>
      <c r="K27" s="81">
        <f t="shared" si="1"/>
        <v>-26</v>
      </c>
      <c r="L27" s="82">
        <f>IFERROR(GETPIVOTDATA("Sum of Qty",[2]PF!$A$5,"ID Store",$C27),0)</f>
        <v>0</v>
      </c>
      <c r="M27" s="82">
        <f>IFERROR(GETPIVOTDATA("Sum of Qty",'[2]DEVICE &amp; VALUE'!$A$6,"ID Store",$C27,"Segment Price","3mio&gt;"),0)</f>
        <v>0</v>
      </c>
      <c r="N27" s="83">
        <f t="shared" si="2"/>
        <v>0</v>
      </c>
      <c r="O27" s="84">
        <f>IFERROR(GETPIVOTDATA("Sum of Qty",[2]IQOO!$A$6,"ID Store",$C27),0)</f>
        <v>0</v>
      </c>
      <c r="P27" s="83">
        <f t="shared" si="3"/>
        <v>0</v>
      </c>
      <c r="Q27" s="83">
        <f t="shared" si="4"/>
        <v>0</v>
      </c>
      <c r="R27" s="85">
        <f>IFERROR(GETPIVOTDATA("Sum of SRP",'[2]DEVICE &amp; VALUE'!$A$6,"ID Store",$C27),0)</f>
        <v>8396000</v>
      </c>
      <c r="S27" s="83">
        <f t="shared" si="5"/>
        <v>6.5085271317829457E-2</v>
      </c>
      <c r="T27" s="86">
        <f t="shared" si="6"/>
        <v>-120604000</v>
      </c>
      <c r="U27" s="87">
        <f t="shared" si="7"/>
        <v>13.333333333333332</v>
      </c>
      <c r="V27" s="88">
        <f t="shared" si="8"/>
        <v>0.44444444444444442</v>
      </c>
      <c r="W27" s="89">
        <f t="shared" si="9"/>
        <v>-16.666666666666668</v>
      </c>
      <c r="X27" s="89">
        <f t="shared" si="10"/>
        <v>0</v>
      </c>
      <c r="Y27" s="89">
        <f t="shared" si="11"/>
        <v>-30</v>
      </c>
      <c r="Z27" s="90">
        <f t="shared" si="12"/>
        <v>27986666.666666668</v>
      </c>
      <c r="AA27" s="90">
        <f t="shared" si="13"/>
        <v>-101013333.33333333</v>
      </c>
      <c r="AB27" s="91">
        <f t="shared" si="14"/>
        <v>0.21695090439276488</v>
      </c>
      <c r="AC27" s="92">
        <f t="shared" si="15"/>
        <v>1.2380952380952381</v>
      </c>
      <c r="AD27" s="93">
        <f t="shared" si="16"/>
        <v>5743047.6190476194</v>
      </c>
      <c r="AE27" s="78">
        <f>IFERROR(GETPIVOTDATA("Sum of Qty",'[2]DATA LAST MONTH IQOO'!$A$6,"ID Store",$C27),0)</f>
        <v>2</v>
      </c>
      <c r="AF27" s="94">
        <f>IFERROR(GETPIVOTDATA("Sum of Qty",[2]IQOO!$A$6,"ID Store",$C27),0)</f>
        <v>0</v>
      </c>
      <c r="AG27" s="81">
        <f t="shared" si="17"/>
        <v>-2</v>
      </c>
      <c r="AH27" s="95">
        <f t="shared" si="18"/>
        <v>-1</v>
      </c>
      <c r="AI27" s="96">
        <f>IFERROR(GETPIVOTDATA("Sum of Qty",'[2]DATA LAST MONTH DEVICE'!$A$6,"ID Store",$C27),0)</f>
        <v>12</v>
      </c>
      <c r="AJ27" s="97">
        <f t="shared" si="19"/>
        <v>4</v>
      </c>
      <c r="AK27" s="81">
        <f t="shared" si="20"/>
        <v>-8</v>
      </c>
      <c r="AL27" s="83">
        <f t="shared" si="21"/>
        <v>-0.66666666666666663</v>
      </c>
      <c r="AM27" s="82">
        <f>IFERROR(GETPIVOTDATA("Sum of Qty",'[2]Store 3mio+ last month'!$A$6,"ID Store",$C27),0)</f>
        <v>21</v>
      </c>
      <c r="AN27" s="81">
        <f t="shared" si="22"/>
        <v>13.333333333333332</v>
      </c>
      <c r="AO27" s="81">
        <f t="shared" si="23"/>
        <v>-7.6666666666666679</v>
      </c>
      <c r="AP27" s="83">
        <f t="shared" si="24"/>
        <v>-0.36507936507936511</v>
      </c>
      <c r="AQ27" s="82">
        <f>IFERROR(GETPIVOTDATA("Sum of Qty",'[2]DATA LAST MONTH DEVICE'!$A$6,"ID Store",$C27,"Segment Price","3mio&gt;"),0)</f>
        <v>7</v>
      </c>
      <c r="AR27" s="84">
        <f t="shared" si="25"/>
        <v>0</v>
      </c>
      <c r="AS27" s="84">
        <f t="shared" si="26"/>
        <v>-7</v>
      </c>
      <c r="AT27" s="83">
        <f t="shared" si="27"/>
        <v>-1</v>
      </c>
      <c r="AU27" s="98">
        <f>IFERROR(GETPIVOTDATA("Sum of SRP",'[2]DATA LAST MONTH DEVICE'!$A$6,"ID Store",$C27),0)</f>
        <v>42388000</v>
      </c>
      <c r="AV27" s="98">
        <f t="shared" si="28"/>
        <v>8396000</v>
      </c>
      <c r="AW27" s="98">
        <f t="shared" si="29"/>
        <v>-33992000</v>
      </c>
      <c r="AX27" s="83">
        <f t="shared" si="30"/>
        <v>-0.80192507313390582</v>
      </c>
      <c r="AY27" s="98">
        <f>IFERROR(VLOOKUP(C27,'[2]DATA SALES LAST MONTH'!A:E,5,0),0)</f>
        <v>3532333.3333333335</v>
      </c>
      <c r="AZ27" s="85">
        <f t="shared" si="31"/>
        <v>2099000.0000000005</v>
      </c>
      <c r="BA27" s="85">
        <f t="shared" si="32"/>
        <v>-1433333.333333333</v>
      </c>
      <c r="BB27" s="95">
        <f t="shared" si="33"/>
        <v>-0.40577521940171735</v>
      </c>
      <c r="BC27" s="78">
        <f>IFERROR(VLOOKUP(C27,'[2]TARGET THIS MONTH'!C:U,15,0),0)</f>
        <v>3</v>
      </c>
      <c r="BD27" s="99">
        <f>IFERROR(GETPIVOTDATA("Sum of Qty",[2]ACC!$A$5,"ID Store",$C27),0)</f>
        <v>1</v>
      </c>
      <c r="BE27" s="83">
        <f t="shared" si="34"/>
        <v>0.33333333333333331</v>
      </c>
      <c r="BF27" s="100">
        <f>IFERROR(VLOOKUP(C27,'[2]TARGET THIS MONTH'!C:U,16,0),0)</f>
        <v>350000</v>
      </c>
      <c r="BG27" s="100">
        <f>IFERROR(GETPIVOTDATA("Sum of SRP",'[2]Insurance by Store'!$A$5,"ID Store",$C27,"Product Type","Qoala"),0)</f>
        <v>0</v>
      </c>
      <c r="BH27" s="83">
        <f t="shared" si="35"/>
        <v>0</v>
      </c>
      <c r="BI27" s="100">
        <f>IFERROR(VLOOKUP(C27,'[2]TARGET THIS MONTH'!C:U,17,0),0)</f>
        <v>150000</v>
      </c>
      <c r="BJ27" s="100">
        <f>IFERROR(GETPIVOTDATA("Sum of SRP",'[2]Insurance by Store'!$A$5,"ID Store",$C27,"Product Type","Vivo Care"),0)</f>
        <v>0</v>
      </c>
      <c r="BK27" s="83">
        <f t="shared" si="36"/>
        <v>0</v>
      </c>
      <c r="BL27" s="81">
        <f>IFERROR(VLOOKUP(C27,'[2]TARGET THIS MONTH'!C:U,18,0),0)</f>
        <v>0.9</v>
      </c>
      <c r="BM27" s="82">
        <f>IFERROR(GETPIVOTDATA("Sum of Qty",'[2]Operator by Store'!$A$5,"ID Store",$C27,"Product Type","Indosat"),0)</f>
        <v>0</v>
      </c>
      <c r="BN27" s="83">
        <f t="shared" si="37"/>
        <v>0</v>
      </c>
      <c r="BO27" s="81">
        <f>VLOOKUP(C27,'[2]TARGET THIS MONTH'!C:U,19,0)</f>
        <v>9</v>
      </c>
      <c r="BP27" s="82">
        <f>IFERROR(GETPIVOTDATA("Sum of Qty",'[2]Operator by Store'!$A$5,"ID Store",$C27,"Product Type","Telkomsel"),0)</f>
        <v>0</v>
      </c>
      <c r="BQ27" s="101">
        <f t="shared" si="38"/>
        <v>0</v>
      </c>
    </row>
    <row r="28" spans="1:69" x14ac:dyDescent="0.2">
      <c r="A28" s="72">
        <v>24</v>
      </c>
      <c r="B28" s="73" t="s">
        <v>73</v>
      </c>
      <c r="C28" s="74">
        <v>6240701</v>
      </c>
      <c r="D28" s="75" t="s">
        <v>78</v>
      </c>
      <c r="E28" s="102" t="s">
        <v>79</v>
      </c>
      <c r="F28" s="77">
        <v>3</v>
      </c>
      <c r="G28" s="78">
        <f>IFERROR(VLOOKUP(C28,'[2]TARGET THIS MONTH'!C:E,3,0),0)</f>
        <v>90</v>
      </c>
      <c r="H28" s="79">
        <f>IFERROR(VLOOKUP(C28,'[2]TARGET THIS MONTH'!C:M,11,0),0)</f>
        <v>387000000</v>
      </c>
      <c r="I28" s="78">
        <f>IFERROR(GETPIVOTDATA("Sum of Qty",'[2]DEVICE &amp; VALUE'!$A$6,"ID Store",$C28),0)</f>
        <v>36</v>
      </c>
      <c r="J28" s="80">
        <f t="shared" si="0"/>
        <v>0.4</v>
      </c>
      <c r="K28" s="81">
        <f t="shared" si="1"/>
        <v>-54</v>
      </c>
      <c r="L28" s="82">
        <f>IFERROR(GETPIVOTDATA("Sum of Qty",[2]PF!$A$5,"ID Store",$C28),0)</f>
        <v>10</v>
      </c>
      <c r="M28" s="82">
        <f>IFERROR(GETPIVOTDATA("Sum of Qty",'[2]DEVICE &amp; VALUE'!$A$6,"ID Store",$C28,"Segment Price","3mio&gt;"),0)</f>
        <v>12</v>
      </c>
      <c r="N28" s="83">
        <f t="shared" si="2"/>
        <v>0.33333333333333331</v>
      </c>
      <c r="O28" s="84">
        <f>IFERROR(GETPIVOTDATA("Sum of Qty",[2]IQOO!$A$6,"ID Store",$C28),0)</f>
        <v>0</v>
      </c>
      <c r="P28" s="83">
        <f t="shared" si="3"/>
        <v>0</v>
      </c>
      <c r="Q28" s="83">
        <f t="shared" si="4"/>
        <v>0.33333333333333331</v>
      </c>
      <c r="R28" s="85">
        <f>IFERROR(GETPIVOTDATA("Sum of SRP",'[2]DEVICE &amp; VALUE'!$A$6,"ID Store",$C28),0)</f>
        <v>123964000</v>
      </c>
      <c r="S28" s="83">
        <f t="shared" si="5"/>
        <v>0.32032041343669249</v>
      </c>
      <c r="T28" s="86">
        <f t="shared" si="6"/>
        <v>-263036000</v>
      </c>
      <c r="U28" s="87">
        <f t="shared" si="7"/>
        <v>120</v>
      </c>
      <c r="V28" s="88">
        <f t="shared" si="8"/>
        <v>1.3333333333333333</v>
      </c>
      <c r="W28" s="89">
        <f t="shared" si="9"/>
        <v>30</v>
      </c>
      <c r="X28" s="89">
        <f t="shared" si="10"/>
        <v>40</v>
      </c>
      <c r="Y28" s="89">
        <f t="shared" si="11"/>
        <v>-50</v>
      </c>
      <c r="Z28" s="90">
        <f t="shared" si="12"/>
        <v>413213333.33333331</v>
      </c>
      <c r="AA28" s="90">
        <f t="shared" si="13"/>
        <v>26213333.333333313</v>
      </c>
      <c r="AB28" s="91">
        <f t="shared" si="14"/>
        <v>1.0677347114556417</v>
      </c>
      <c r="AC28" s="92">
        <f t="shared" si="15"/>
        <v>2.5714285714285716</v>
      </c>
      <c r="AD28" s="93">
        <f t="shared" si="16"/>
        <v>12525523.80952381</v>
      </c>
      <c r="AE28" s="78">
        <f>IFERROR(GETPIVOTDATA("Sum of Qty",'[2]DATA LAST MONTH IQOO'!$A$6,"ID Store",$C28),0)</f>
        <v>5</v>
      </c>
      <c r="AF28" s="94">
        <f>IFERROR(GETPIVOTDATA("Sum of Qty",[2]IQOO!$A$6,"ID Store",$C28),0)</f>
        <v>0</v>
      </c>
      <c r="AG28" s="81">
        <f t="shared" si="17"/>
        <v>-5</v>
      </c>
      <c r="AH28" s="95">
        <f t="shared" si="18"/>
        <v>-1</v>
      </c>
      <c r="AI28" s="96">
        <f>IFERROR(GETPIVOTDATA("Sum of Qty",'[2]DATA LAST MONTH DEVICE'!$A$6,"ID Store",$C28),0)</f>
        <v>39</v>
      </c>
      <c r="AJ28" s="97">
        <f t="shared" si="19"/>
        <v>36</v>
      </c>
      <c r="AK28" s="81">
        <f t="shared" si="20"/>
        <v>-3</v>
      </c>
      <c r="AL28" s="83">
        <f t="shared" si="21"/>
        <v>-7.6923076923076927E-2</v>
      </c>
      <c r="AM28" s="82">
        <f>IFERROR(GETPIVOTDATA("Sum of Qty",'[2]Store 3mio+ last month'!$A$6,"ID Store",$C28),0)</f>
        <v>94</v>
      </c>
      <c r="AN28" s="81">
        <f t="shared" si="22"/>
        <v>120</v>
      </c>
      <c r="AO28" s="81">
        <f t="shared" si="23"/>
        <v>26</v>
      </c>
      <c r="AP28" s="83">
        <f t="shared" si="24"/>
        <v>0.27659574468085107</v>
      </c>
      <c r="AQ28" s="82">
        <f>IFERROR(GETPIVOTDATA("Sum of Qty",'[2]DATA LAST MONTH DEVICE'!$A$6,"ID Store",$C28,"Segment Price","3mio&gt;"),0)</f>
        <v>16</v>
      </c>
      <c r="AR28" s="84">
        <f t="shared" si="25"/>
        <v>12</v>
      </c>
      <c r="AS28" s="84">
        <f t="shared" si="26"/>
        <v>-4</v>
      </c>
      <c r="AT28" s="83">
        <f t="shared" si="27"/>
        <v>-0.25</v>
      </c>
      <c r="AU28" s="98">
        <f>IFERROR(GETPIVOTDATA("Sum of SRP",'[2]DATA LAST MONTH DEVICE'!$A$6,"ID Store",$C28),0)</f>
        <v>150761000</v>
      </c>
      <c r="AV28" s="98">
        <f t="shared" si="28"/>
        <v>123964000</v>
      </c>
      <c r="AW28" s="98">
        <f t="shared" si="29"/>
        <v>-26797000</v>
      </c>
      <c r="AX28" s="83">
        <f t="shared" si="30"/>
        <v>-0.17774490750260347</v>
      </c>
      <c r="AY28" s="98">
        <f>IFERROR(VLOOKUP(C28,'[2]DATA SALES LAST MONTH'!A:E,5,0),0)</f>
        <v>3865666.6666666665</v>
      </c>
      <c r="AZ28" s="85">
        <f t="shared" si="31"/>
        <v>3443444.4444444445</v>
      </c>
      <c r="BA28" s="85">
        <f t="shared" si="32"/>
        <v>-422222.22222222202</v>
      </c>
      <c r="BB28" s="95">
        <f t="shared" si="33"/>
        <v>-0.10922364979448704</v>
      </c>
      <c r="BC28" s="78">
        <f>IFERROR(VLOOKUP(C28,'[2]TARGET THIS MONTH'!C:U,15,0),0)</f>
        <v>9</v>
      </c>
      <c r="BD28" s="99">
        <f>IFERROR(GETPIVOTDATA("Sum of Qty",[2]ACC!$A$5,"ID Store",$C28),0)</f>
        <v>1</v>
      </c>
      <c r="BE28" s="83">
        <f t="shared" si="34"/>
        <v>0.1111111111111111</v>
      </c>
      <c r="BF28" s="100">
        <f>IFERROR(VLOOKUP(C28,'[2]TARGET THIS MONTH'!C:U,16,0),0)</f>
        <v>1935000</v>
      </c>
      <c r="BG28" s="100">
        <f>IFERROR(GETPIVOTDATA("Sum of SRP",'[2]Insurance by Store'!$A$5,"ID Store",$C28,"Product Type","Qoala"),0)</f>
        <v>965000</v>
      </c>
      <c r="BH28" s="83">
        <f t="shared" si="35"/>
        <v>0.49870801033591733</v>
      </c>
      <c r="BI28" s="100">
        <f>IFERROR(VLOOKUP(C28,'[2]TARGET THIS MONTH'!C:U,17,0),0)</f>
        <v>387000</v>
      </c>
      <c r="BJ28" s="100">
        <f>IFERROR(GETPIVOTDATA("Sum of SRP",'[2]Insurance by Store'!$A$5,"ID Store",$C28,"Product Type","Vivo Care"),0)</f>
        <v>0</v>
      </c>
      <c r="BK28" s="83">
        <f t="shared" si="36"/>
        <v>0</v>
      </c>
      <c r="BL28" s="81">
        <f>IFERROR(VLOOKUP(C28,'[2]TARGET THIS MONTH'!C:U,18,0),0)</f>
        <v>2.7</v>
      </c>
      <c r="BM28" s="82">
        <f>IFERROR(GETPIVOTDATA("Sum of Qty",'[2]Operator by Store'!$A$5,"ID Store",$C28,"Product Type","Indosat"),0)</f>
        <v>0</v>
      </c>
      <c r="BN28" s="83">
        <f t="shared" si="37"/>
        <v>0</v>
      </c>
      <c r="BO28" s="81">
        <f>VLOOKUP(C28,'[2]TARGET THIS MONTH'!C:U,19,0)</f>
        <v>27</v>
      </c>
      <c r="BP28" s="82">
        <f>IFERROR(GETPIVOTDATA("Sum of Qty",'[2]Operator by Store'!$A$5,"ID Store",$C28,"Product Type","Telkomsel"),0)</f>
        <v>0</v>
      </c>
      <c r="BQ28" s="101">
        <f t="shared" si="38"/>
        <v>0</v>
      </c>
    </row>
    <row r="29" spans="1:69" x14ac:dyDescent="0.2">
      <c r="A29" s="72">
        <v>25</v>
      </c>
      <c r="B29" s="73" t="s">
        <v>73</v>
      </c>
      <c r="C29" s="74">
        <v>6170706</v>
      </c>
      <c r="D29" s="75" t="s">
        <v>80</v>
      </c>
      <c r="E29" s="102" t="s">
        <v>79</v>
      </c>
      <c r="F29" s="77">
        <v>3</v>
      </c>
      <c r="G29" s="78">
        <f>IFERROR(VLOOKUP(C29,'[2]TARGET THIS MONTH'!C:E,3,0),0)</f>
        <v>90</v>
      </c>
      <c r="H29" s="79">
        <f>IFERROR(VLOOKUP(C29,'[2]TARGET THIS MONTH'!C:M,11,0),0)</f>
        <v>387000000</v>
      </c>
      <c r="I29" s="78">
        <f>IFERROR(GETPIVOTDATA("Sum of Qty",'[2]DEVICE &amp; VALUE'!$A$6,"ID Store",$C29),0)</f>
        <v>36</v>
      </c>
      <c r="J29" s="80">
        <f t="shared" si="0"/>
        <v>0.4</v>
      </c>
      <c r="K29" s="81">
        <f t="shared" si="1"/>
        <v>-54</v>
      </c>
      <c r="L29" s="82">
        <f>IFERROR(GETPIVOTDATA("Sum of Qty",[2]PF!$A$5,"ID Store",$C29),0)</f>
        <v>3</v>
      </c>
      <c r="M29" s="82">
        <f>IFERROR(GETPIVOTDATA("Sum of Qty",'[2]DEVICE &amp; VALUE'!$A$6,"ID Store",$C29,"Segment Price","3mio&gt;"),0)</f>
        <v>6</v>
      </c>
      <c r="N29" s="83">
        <f t="shared" si="2"/>
        <v>0.16666666666666666</v>
      </c>
      <c r="O29" s="84">
        <f>IFERROR(GETPIVOTDATA("Sum of Qty",[2]IQOO!$A$6,"ID Store",$C29),0)</f>
        <v>0</v>
      </c>
      <c r="P29" s="83">
        <f t="shared" si="3"/>
        <v>0</v>
      </c>
      <c r="Q29" s="83">
        <f t="shared" si="4"/>
        <v>0.16666666666666666</v>
      </c>
      <c r="R29" s="85">
        <f>IFERROR(GETPIVOTDATA("Sum of SRP",'[2]DEVICE &amp; VALUE'!$A$6,"ID Store",$C29),0)</f>
        <v>110164000</v>
      </c>
      <c r="S29" s="83">
        <f t="shared" si="5"/>
        <v>0.28466149870801033</v>
      </c>
      <c r="T29" s="86">
        <f t="shared" si="6"/>
        <v>-276836000</v>
      </c>
      <c r="U29" s="87">
        <f t="shared" si="7"/>
        <v>120</v>
      </c>
      <c r="V29" s="88">
        <f t="shared" si="8"/>
        <v>1.3333333333333333</v>
      </c>
      <c r="W29" s="89">
        <f t="shared" si="9"/>
        <v>30</v>
      </c>
      <c r="X29" s="89">
        <f t="shared" si="10"/>
        <v>20</v>
      </c>
      <c r="Y29" s="89">
        <f t="shared" si="11"/>
        <v>-70</v>
      </c>
      <c r="Z29" s="90">
        <f t="shared" si="12"/>
        <v>367213333.33333331</v>
      </c>
      <c r="AA29" s="90">
        <f t="shared" si="13"/>
        <v>-19786666.666666687</v>
      </c>
      <c r="AB29" s="91">
        <f t="shared" si="14"/>
        <v>0.9488716623600344</v>
      </c>
      <c r="AC29" s="92">
        <f t="shared" si="15"/>
        <v>2.5714285714285716</v>
      </c>
      <c r="AD29" s="93">
        <f t="shared" si="16"/>
        <v>13182666.666666666</v>
      </c>
      <c r="AE29" s="78">
        <f>IFERROR(GETPIVOTDATA("Sum of Qty",'[2]DATA LAST MONTH IQOO'!$A$6,"ID Store",$C29),0)</f>
        <v>2</v>
      </c>
      <c r="AF29" s="94">
        <f>IFERROR(GETPIVOTDATA("Sum of Qty",[2]IQOO!$A$6,"ID Store",$C29),0)</f>
        <v>0</v>
      </c>
      <c r="AG29" s="81">
        <f t="shared" si="17"/>
        <v>-2</v>
      </c>
      <c r="AH29" s="95">
        <f t="shared" si="18"/>
        <v>-1</v>
      </c>
      <c r="AI29" s="96">
        <f>IFERROR(GETPIVOTDATA("Sum of Qty",'[2]DATA LAST MONTH DEVICE'!$A$6,"ID Store",$C29),0)</f>
        <v>31</v>
      </c>
      <c r="AJ29" s="97">
        <f t="shared" si="19"/>
        <v>36</v>
      </c>
      <c r="AK29" s="81">
        <f t="shared" si="20"/>
        <v>5</v>
      </c>
      <c r="AL29" s="83">
        <f t="shared" si="21"/>
        <v>0.16129032258064516</v>
      </c>
      <c r="AM29" s="82">
        <f>IFERROR(GETPIVOTDATA("Sum of Qty",'[2]Store 3mio+ last month'!$A$6,"ID Store",$C29),0)</f>
        <v>94</v>
      </c>
      <c r="AN29" s="81">
        <f t="shared" si="22"/>
        <v>120</v>
      </c>
      <c r="AO29" s="81">
        <f t="shared" si="23"/>
        <v>26</v>
      </c>
      <c r="AP29" s="83">
        <f t="shared" si="24"/>
        <v>0.27659574468085107</v>
      </c>
      <c r="AQ29" s="82">
        <f>IFERROR(GETPIVOTDATA("Sum of Qty",'[2]DATA LAST MONTH DEVICE'!$A$6,"ID Store",$C29,"Segment Price","3mio&gt;"),0)</f>
        <v>13</v>
      </c>
      <c r="AR29" s="84">
        <f t="shared" si="25"/>
        <v>6</v>
      </c>
      <c r="AS29" s="84">
        <f t="shared" si="26"/>
        <v>-7</v>
      </c>
      <c r="AT29" s="83">
        <f t="shared" si="27"/>
        <v>-0.53846153846153844</v>
      </c>
      <c r="AU29" s="98">
        <f>IFERROR(GETPIVOTDATA("Sum of SRP",'[2]DATA LAST MONTH DEVICE'!$A$6,"ID Store",$C29),0)</f>
        <v>124369000</v>
      </c>
      <c r="AV29" s="98">
        <f t="shared" si="28"/>
        <v>110164000</v>
      </c>
      <c r="AW29" s="98">
        <f t="shared" si="29"/>
        <v>-14205000</v>
      </c>
      <c r="AX29" s="83">
        <f t="shared" si="30"/>
        <v>-0.1142165652212368</v>
      </c>
      <c r="AY29" s="98">
        <f>IFERROR(VLOOKUP(C29,'[2]DATA SALES LAST MONTH'!A:E,5,0),0)</f>
        <v>4011903.2258064514</v>
      </c>
      <c r="AZ29" s="85">
        <f t="shared" si="31"/>
        <v>3060111.111111111</v>
      </c>
      <c r="BA29" s="85">
        <f t="shared" si="32"/>
        <v>-951792.11469534039</v>
      </c>
      <c r="BB29" s="95">
        <f t="shared" si="33"/>
        <v>-0.2372420422738428</v>
      </c>
      <c r="BC29" s="78">
        <f>IFERROR(VLOOKUP(C29,'[2]TARGET THIS MONTH'!C:U,15,0),0)</f>
        <v>9</v>
      </c>
      <c r="BD29" s="99">
        <f>IFERROR(GETPIVOTDATA("Sum of Qty",[2]ACC!$A$5,"ID Store",$C29),0)</f>
        <v>0</v>
      </c>
      <c r="BE29" s="83">
        <f t="shared" si="34"/>
        <v>0</v>
      </c>
      <c r="BF29" s="100">
        <f>IFERROR(VLOOKUP(C29,'[2]TARGET THIS MONTH'!C:U,16,0),0)</f>
        <v>1935000</v>
      </c>
      <c r="BG29" s="100">
        <f>IFERROR(GETPIVOTDATA("Sum of SRP",'[2]Insurance by Store'!$A$5,"ID Store",$C29,"Product Type","Qoala"),0)</f>
        <v>159000</v>
      </c>
      <c r="BH29" s="83">
        <f t="shared" si="35"/>
        <v>8.2170542635658914E-2</v>
      </c>
      <c r="BI29" s="100">
        <f>IFERROR(VLOOKUP(C29,'[2]TARGET THIS MONTH'!C:U,17,0),0)</f>
        <v>387000</v>
      </c>
      <c r="BJ29" s="100">
        <f>IFERROR(GETPIVOTDATA("Sum of SRP",'[2]Insurance by Store'!$A$5,"ID Store",$C29,"Product Type","Vivo Care"),0)</f>
        <v>0</v>
      </c>
      <c r="BK29" s="83">
        <f t="shared" si="36"/>
        <v>0</v>
      </c>
      <c r="BL29" s="81">
        <f>IFERROR(VLOOKUP(C29,'[2]TARGET THIS MONTH'!C:U,18,0),0)</f>
        <v>2.7</v>
      </c>
      <c r="BM29" s="82">
        <f>IFERROR(GETPIVOTDATA("Sum of Qty",'[2]Operator by Store'!$A$5,"ID Store",$C29,"Product Type","Indosat"),0)</f>
        <v>0</v>
      </c>
      <c r="BN29" s="83">
        <f t="shared" si="37"/>
        <v>0</v>
      </c>
      <c r="BO29" s="81">
        <f>VLOOKUP(C29,'[2]TARGET THIS MONTH'!C:U,19,0)</f>
        <v>27</v>
      </c>
      <c r="BP29" s="82">
        <f>IFERROR(GETPIVOTDATA("Sum of Qty",'[2]Operator by Store'!$A$5,"ID Store",$C29,"Product Type","Telkomsel"),0)</f>
        <v>0</v>
      </c>
      <c r="BQ29" s="101">
        <f t="shared" si="38"/>
        <v>0</v>
      </c>
    </row>
    <row r="30" spans="1:69" x14ac:dyDescent="0.2">
      <c r="A30" s="72">
        <v>26</v>
      </c>
      <c r="B30" s="73" t="s">
        <v>73</v>
      </c>
      <c r="C30" s="74">
        <v>6240703</v>
      </c>
      <c r="D30" s="75" t="s">
        <v>81</v>
      </c>
      <c r="E30" s="102" t="s">
        <v>79</v>
      </c>
      <c r="F30" s="77">
        <v>2</v>
      </c>
      <c r="G30" s="78">
        <f>IFERROR(VLOOKUP(C30,'[2]TARGET THIS MONTH'!C:E,3,0),0)</f>
        <v>90</v>
      </c>
      <c r="H30" s="79">
        <f>IFERROR(VLOOKUP(C30,'[2]TARGET THIS MONTH'!C:M,11,0),0)</f>
        <v>387000000</v>
      </c>
      <c r="I30" s="78">
        <f>IFERROR(GETPIVOTDATA("Sum of Qty",'[2]DEVICE &amp; VALUE'!$A$6,"ID Store",$C30),0)</f>
        <v>33</v>
      </c>
      <c r="J30" s="80">
        <f t="shared" si="0"/>
        <v>0.36666666666666664</v>
      </c>
      <c r="K30" s="81">
        <f t="shared" si="1"/>
        <v>-57</v>
      </c>
      <c r="L30" s="82">
        <f>IFERROR(GETPIVOTDATA("Sum of Qty",[2]PF!$A$5,"ID Store",$C30),0)</f>
        <v>10</v>
      </c>
      <c r="M30" s="82">
        <f>IFERROR(GETPIVOTDATA("Sum of Qty",'[2]DEVICE &amp; VALUE'!$A$6,"ID Store",$C30,"Segment Price","3mio&gt;"),0)</f>
        <v>17</v>
      </c>
      <c r="N30" s="83">
        <f t="shared" si="2"/>
        <v>0.51515151515151514</v>
      </c>
      <c r="O30" s="84">
        <f>IFERROR(GETPIVOTDATA("Sum of Qty",[2]IQOO!$A$6,"ID Store",$C30),0)</f>
        <v>0</v>
      </c>
      <c r="P30" s="83">
        <f t="shared" si="3"/>
        <v>0</v>
      </c>
      <c r="Q30" s="83">
        <f t="shared" si="4"/>
        <v>0.51515151515151514</v>
      </c>
      <c r="R30" s="85">
        <f>IFERROR(GETPIVOTDATA("Sum of SRP",'[2]DEVICE &amp; VALUE'!$A$6,"ID Store",$C30),0)</f>
        <v>146067000</v>
      </c>
      <c r="S30" s="83">
        <f t="shared" si="5"/>
        <v>0.37743410852713177</v>
      </c>
      <c r="T30" s="86">
        <f t="shared" si="6"/>
        <v>-240933000</v>
      </c>
      <c r="U30" s="87">
        <f t="shared" si="7"/>
        <v>110</v>
      </c>
      <c r="V30" s="88">
        <f t="shared" si="8"/>
        <v>1.2222222222222223</v>
      </c>
      <c r="W30" s="89">
        <f t="shared" si="9"/>
        <v>20</v>
      </c>
      <c r="X30" s="89">
        <f t="shared" si="10"/>
        <v>56.666666666666664</v>
      </c>
      <c r="Y30" s="89">
        <f t="shared" si="11"/>
        <v>-33.333333333333336</v>
      </c>
      <c r="Z30" s="90">
        <f t="shared" si="12"/>
        <v>486890000</v>
      </c>
      <c r="AA30" s="90">
        <f t="shared" si="13"/>
        <v>99890000</v>
      </c>
      <c r="AB30" s="91">
        <f t="shared" si="14"/>
        <v>1.2581136950904392</v>
      </c>
      <c r="AC30" s="92">
        <f t="shared" si="15"/>
        <v>2.7142857142857144</v>
      </c>
      <c r="AD30" s="93">
        <f t="shared" si="16"/>
        <v>11473000</v>
      </c>
      <c r="AE30" s="78">
        <f>IFERROR(GETPIVOTDATA("Sum of Qty",'[2]DATA LAST MONTH IQOO'!$A$6,"ID Store",$C30),0)</f>
        <v>4</v>
      </c>
      <c r="AF30" s="94">
        <f>IFERROR(GETPIVOTDATA("Sum of Qty",[2]IQOO!$A$6,"ID Store",$C30),0)</f>
        <v>0</v>
      </c>
      <c r="AG30" s="81">
        <f t="shared" si="17"/>
        <v>-4</v>
      </c>
      <c r="AH30" s="95">
        <f t="shared" si="18"/>
        <v>-1</v>
      </c>
      <c r="AI30" s="96">
        <f>IFERROR(GETPIVOTDATA("Sum of Qty",'[2]DATA LAST MONTH DEVICE'!$A$6,"ID Store",$C30),0)</f>
        <v>36</v>
      </c>
      <c r="AJ30" s="97">
        <f t="shared" si="19"/>
        <v>33</v>
      </c>
      <c r="AK30" s="81">
        <f t="shared" si="20"/>
        <v>-3</v>
      </c>
      <c r="AL30" s="83">
        <f t="shared" si="21"/>
        <v>-8.3333333333333329E-2</v>
      </c>
      <c r="AM30" s="82">
        <f>IFERROR(GETPIVOTDATA("Sum of Qty",'[2]Store 3mio+ last month'!$A$6,"ID Store",$C30),0)</f>
        <v>105</v>
      </c>
      <c r="AN30" s="81">
        <f t="shared" si="22"/>
        <v>110</v>
      </c>
      <c r="AO30" s="81">
        <f t="shared" si="23"/>
        <v>5</v>
      </c>
      <c r="AP30" s="83">
        <f t="shared" si="24"/>
        <v>4.7619047619047616E-2</v>
      </c>
      <c r="AQ30" s="82">
        <f>IFERROR(GETPIVOTDATA("Sum of Qty",'[2]DATA LAST MONTH DEVICE'!$A$6,"ID Store",$C30,"Segment Price","3mio&gt;"),0)</f>
        <v>20</v>
      </c>
      <c r="AR30" s="84">
        <f t="shared" si="25"/>
        <v>17</v>
      </c>
      <c r="AS30" s="84">
        <f t="shared" si="26"/>
        <v>-3</v>
      </c>
      <c r="AT30" s="83">
        <f t="shared" si="27"/>
        <v>-0.15</v>
      </c>
      <c r="AU30" s="98">
        <f>IFERROR(GETPIVOTDATA("Sum of SRP",'[2]DATA LAST MONTH DEVICE'!$A$6,"ID Store",$C30),0)</f>
        <v>155064000</v>
      </c>
      <c r="AV30" s="98">
        <f t="shared" si="28"/>
        <v>146067000</v>
      </c>
      <c r="AW30" s="98">
        <f t="shared" si="29"/>
        <v>-8997000</v>
      </c>
      <c r="AX30" s="83">
        <f t="shared" si="30"/>
        <v>-5.802120414796471E-2</v>
      </c>
      <c r="AY30" s="98">
        <f>IFERROR(VLOOKUP(C30,'[2]DATA SALES LAST MONTH'!A:E,5,0),0)</f>
        <v>4307333.333333333</v>
      </c>
      <c r="AZ30" s="85">
        <f t="shared" si="31"/>
        <v>4426272.7272727275</v>
      </c>
      <c r="BA30" s="85">
        <f t="shared" si="32"/>
        <v>118939.3939393945</v>
      </c>
      <c r="BB30" s="95">
        <f t="shared" si="33"/>
        <v>2.7613231838584083E-2</v>
      </c>
      <c r="BC30" s="78">
        <f>IFERROR(VLOOKUP(C30,'[2]TARGET THIS MONTH'!C:U,15,0),0)</f>
        <v>9</v>
      </c>
      <c r="BD30" s="99">
        <f>IFERROR(GETPIVOTDATA("Sum of Qty",[2]ACC!$A$5,"ID Store",$C30),0)</f>
        <v>1</v>
      </c>
      <c r="BE30" s="83">
        <f t="shared" si="34"/>
        <v>0.1111111111111111</v>
      </c>
      <c r="BF30" s="100">
        <f>IFERROR(VLOOKUP(C30,'[2]TARGET THIS MONTH'!C:U,16,0),0)</f>
        <v>1935000</v>
      </c>
      <c r="BG30" s="100">
        <f>IFERROR(GETPIVOTDATA("Sum of SRP",'[2]Insurance by Store'!$A$5,"ID Store",$C30,"Product Type","Qoala"),0)</f>
        <v>748000</v>
      </c>
      <c r="BH30" s="83">
        <f t="shared" si="35"/>
        <v>0.38656330749354006</v>
      </c>
      <c r="BI30" s="100">
        <f>IFERROR(VLOOKUP(C30,'[2]TARGET THIS MONTH'!C:U,17,0),0)</f>
        <v>387000</v>
      </c>
      <c r="BJ30" s="100">
        <f>IFERROR(GETPIVOTDATA("Sum of SRP",'[2]Insurance by Store'!$A$5,"ID Store",$C30,"Product Type","Vivo Care"),0)</f>
        <v>0</v>
      </c>
      <c r="BK30" s="83">
        <f t="shared" si="36"/>
        <v>0</v>
      </c>
      <c r="BL30" s="81">
        <f>IFERROR(VLOOKUP(C30,'[2]TARGET THIS MONTH'!C:U,18,0),0)</f>
        <v>2.7</v>
      </c>
      <c r="BM30" s="82">
        <f>IFERROR(GETPIVOTDATA("Sum of Qty",'[2]Operator by Store'!$A$5,"ID Store",$C30,"Product Type","Indosat"),0)</f>
        <v>0</v>
      </c>
      <c r="BN30" s="83">
        <f t="shared" si="37"/>
        <v>0</v>
      </c>
      <c r="BO30" s="81">
        <f>VLOOKUP(C30,'[2]TARGET THIS MONTH'!C:U,19,0)</f>
        <v>27</v>
      </c>
      <c r="BP30" s="82">
        <f>IFERROR(GETPIVOTDATA("Sum of Qty",'[2]Operator by Store'!$A$5,"ID Store",$C30,"Product Type","Telkomsel"),0)</f>
        <v>0</v>
      </c>
      <c r="BQ30" s="101">
        <f t="shared" si="38"/>
        <v>0</v>
      </c>
    </row>
    <row r="31" spans="1:69" x14ac:dyDescent="0.2">
      <c r="A31" s="72">
        <v>27</v>
      </c>
      <c r="B31" s="73" t="s">
        <v>73</v>
      </c>
      <c r="C31" s="74">
        <v>6170703</v>
      </c>
      <c r="D31" s="75" t="s">
        <v>82</v>
      </c>
      <c r="E31" s="103" t="s">
        <v>83</v>
      </c>
      <c r="F31" s="77">
        <v>2</v>
      </c>
      <c r="G31" s="78">
        <f>IFERROR(VLOOKUP(C31,'[2]TARGET THIS MONTH'!C:E,3,0),0)</f>
        <v>30</v>
      </c>
      <c r="H31" s="79">
        <f>IFERROR(VLOOKUP(C31,'[2]TARGET THIS MONTH'!C:M,11,0),0)</f>
        <v>150000000</v>
      </c>
      <c r="I31" s="78">
        <f>IFERROR(GETPIVOTDATA("Sum of Qty",'[2]DEVICE &amp; VALUE'!$A$6,"ID Store",$C31),0)</f>
        <v>7</v>
      </c>
      <c r="J31" s="80">
        <f t="shared" si="0"/>
        <v>0.23333333333333334</v>
      </c>
      <c r="K31" s="81">
        <f t="shared" si="1"/>
        <v>-23</v>
      </c>
      <c r="L31" s="82">
        <f>IFERROR(GETPIVOTDATA("Sum of Qty",[2]PF!$A$5,"ID Store",$C31),0)</f>
        <v>1</v>
      </c>
      <c r="M31" s="82">
        <f>IFERROR(GETPIVOTDATA("Sum of Qty",'[2]DEVICE &amp; VALUE'!$A$6,"ID Store",$C31,"Segment Price","3mio&gt;"),0)</f>
        <v>5</v>
      </c>
      <c r="N31" s="83">
        <f t="shared" si="2"/>
        <v>0.7142857142857143</v>
      </c>
      <c r="O31" s="84">
        <f>IFERROR(GETPIVOTDATA("Sum of Qty",[2]IQOO!$A$6,"ID Store",$C31),0)</f>
        <v>1</v>
      </c>
      <c r="P31" s="83">
        <f t="shared" si="3"/>
        <v>0.14285714285714285</v>
      </c>
      <c r="Q31" s="83">
        <f t="shared" si="4"/>
        <v>0.7142857142857143</v>
      </c>
      <c r="R31" s="85">
        <f>IFERROR(GETPIVOTDATA("Sum of SRP",'[2]DEVICE &amp; VALUE'!$A$6,"ID Store",$C31),0)</f>
        <v>46193000</v>
      </c>
      <c r="S31" s="83">
        <f t="shared" si="5"/>
        <v>0.30795333333333336</v>
      </c>
      <c r="T31" s="86">
        <f t="shared" si="6"/>
        <v>-103807000</v>
      </c>
      <c r="U31" s="87">
        <f t="shared" si="7"/>
        <v>23.333333333333332</v>
      </c>
      <c r="V31" s="88">
        <f t="shared" si="8"/>
        <v>0.77777777777777779</v>
      </c>
      <c r="W31" s="89">
        <f t="shared" si="9"/>
        <v>-6.6666666666666679</v>
      </c>
      <c r="X31" s="89">
        <f t="shared" si="10"/>
        <v>16.666666666666668</v>
      </c>
      <c r="Y31" s="89">
        <f t="shared" si="11"/>
        <v>-13.333333333333332</v>
      </c>
      <c r="Z31" s="90">
        <f t="shared" si="12"/>
        <v>153976666.66666669</v>
      </c>
      <c r="AA31" s="90">
        <f t="shared" si="13"/>
        <v>3976666.6666666865</v>
      </c>
      <c r="AB31" s="91">
        <f t="shared" si="14"/>
        <v>1.0265111111111112</v>
      </c>
      <c r="AC31" s="92">
        <f t="shared" si="15"/>
        <v>1.0952380952380953</v>
      </c>
      <c r="AD31" s="93">
        <f t="shared" si="16"/>
        <v>4943190.4761904757</v>
      </c>
      <c r="AE31" s="78">
        <f>IFERROR(GETPIVOTDATA("Sum of Qty",'[2]DATA LAST MONTH IQOO'!$A$6,"ID Store",$C31),0)</f>
        <v>4</v>
      </c>
      <c r="AF31" s="94">
        <f>IFERROR(GETPIVOTDATA("Sum of Qty",[2]IQOO!$A$6,"ID Store",$C31),0)</f>
        <v>1</v>
      </c>
      <c r="AG31" s="81">
        <f t="shared" si="17"/>
        <v>-3</v>
      </c>
      <c r="AH31" s="95">
        <f t="shared" si="18"/>
        <v>-0.75</v>
      </c>
      <c r="AI31" s="96">
        <f>IFERROR(GETPIVOTDATA("Sum of Qty",'[2]DATA LAST MONTH DEVICE'!$A$6,"ID Store",$C31),0)</f>
        <v>13</v>
      </c>
      <c r="AJ31" s="97">
        <f t="shared" si="19"/>
        <v>7</v>
      </c>
      <c r="AK31" s="81">
        <f t="shared" si="20"/>
        <v>-6</v>
      </c>
      <c r="AL31" s="83">
        <f t="shared" si="21"/>
        <v>-0.46153846153846156</v>
      </c>
      <c r="AM31" s="82">
        <f>IFERROR(GETPIVOTDATA("Sum of Qty",'[2]Store 3mio+ last month'!$A$6,"ID Store",$C31),0)</f>
        <v>30</v>
      </c>
      <c r="AN31" s="81">
        <f t="shared" si="22"/>
        <v>23.333333333333332</v>
      </c>
      <c r="AO31" s="81">
        <f t="shared" si="23"/>
        <v>-6.6666666666666679</v>
      </c>
      <c r="AP31" s="83">
        <f t="shared" si="24"/>
        <v>-0.22222222222222227</v>
      </c>
      <c r="AQ31" s="82">
        <f>IFERROR(GETPIVOTDATA("Sum of Qty",'[2]DATA LAST MONTH DEVICE'!$A$6,"ID Store",$C31,"Segment Price","3mio&gt;"),0)</f>
        <v>9</v>
      </c>
      <c r="AR31" s="84">
        <f t="shared" si="25"/>
        <v>5</v>
      </c>
      <c r="AS31" s="84">
        <f t="shared" si="26"/>
        <v>-4</v>
      </c>
      <c r="AT31" s="83">
        <f t="shared" si="27"/>
        <v>-0.44444444444444442</v>
      </c>
      <c r="AU31" s="98">
        <f>IFERROR(GETPIVOTDATA("Sum of SRP",'[2]DATA LAST MONTH DEVICE'!$A$6,"ID Store",$C31),0)</f>
        <v>75587000</v>
      </c>
      <c r="AV31" s="98">
        <f t="shared" si="28"/>
        <v>46193000</v>
      </c>
      <c r="AW31" s="98">
        <f t="shared" si="29"/>
        <v>-29394000</v>
      </c>
      <c r="AX31" s="83">
        <f t="shared" si="30"/>
        <v>-0.38887639408893065</v>
      </c>
      <c r="AY31" s="98">
        <f>IFERROR(VLOOKUP(C31,'[2]DATA SALES LAST MONTH'!A:E,5,0),0)</f>
        <v>5814384.615384615</v>
      </c>
      <c r="AZ31" s="85">
        <f t="shared" si="31"/>
        <v>6599000.0000000009</v>
      </c>
      <c r="BA31" s="85">
        <f t="shared" si="32"/>
        <v>784615.3846153859</v>
      </c>
      <c r="BB31" s="95">
        <f t="shared" si="33"/>
        <v>0.13494383954912906</v>
      </c>
      <c r="BC31" s="78">
        <f>IFERROR(VLOOKUP(C31,'[2]TARGET THIS MONTH'!C:U,15,0),0)</f>
        <v>3</v>
      </c>
      <c r="BD31" s="99">
        <f>IFERROR(GETPIVOTDATA("Sum of Qty",[2]ACC!$A$5,"ID Store",$C31),0)</f>
        <v>0</v>
      </c>
      <c r="BE31" s="83">
        <f t="shared" si="34"/>
        <v>0</v>
      </c>
      <c r="BF31" s="100">
        <f>IFERROR(VLOOKUP(C31,'[2]TARGET THIS MONTH'!C:U,16,0),0)</f>
        <v>200000</v>
      </c>
      <c r="BG31" s="100">
        <f>IFERROR(GETPIVOTDATA("Sum of SRP",'[2]Insurance by Store'!$A$5,"ID Store",$C31,"Product Type","Qoala"),0)</f>
        <v>0</v>
      </c>
      <c r="BH31" s="83">
        <f t="shared" si="35"/>
        <v>0</v>
      </c>
      <c r="BI31" s="100">
        <f>IFERROR(VLOOKUP(C31,'[2]TARGET THIS MONTH'!C:U,17,0),0)</f>
        <v>100000</v>
      </c>
      <c r="BJ31" s="100">
        <f>IFERROR(GETPIVOTDATA("Sum of SRP",'[2]Insurance by Store'!$A$5,"ID Store",$C31,"Product Type","Vivo Care"),0)</f>
        <v>0</v>
      </c>
      <c r="BK31" s="83">
        <f t="shared" si="36"/>
        <v>0</v>
      </c>
      <c r="BL31" s="81">
        <f>IFERROR(VLOOKUP(C31,'[2]TARGET THIS MONTH'!C:U,18,0),0)</f>
        <v>0.9</v>
      </c>
      <c r="BM31" s="82">
        <f>IFERROR(GETPIVOTDATA("Sum of Qty",'[2]Operator by Store'!$A$5,"ID Store",$C31,"Product Type","Indosat"),0)</f>
        <v>0</v>
      </c>
      <c r="BN31" s="83">
        <f t="shared" si="37"/>
        <v>0</v>
      </c>
      <c r="BO31" s="81">
        <f>VLOOKUP(C31,'[2]TARGET THIS MONTH'!C:U,19,0)</f>
        <v>9</v>
      </c>
      <c r="BP31" s="82">
        <f>IFERROR(GETPIVOTDATA("Sum of Qty",'[2]Operator by Store'!$A$5,"ID Store",$C31,"Product Type","Telkomsel"),0)</f>
        <v>0</v>
      </c>
      <c r="BQ31" s="101">
        <f t="shared" si="38"/>
        <v>0</v>
      </c>
    </row>
    <row r="32" spans="1:69" x14ac:dyDescent="0.2">
      <c r="A32" s="72">
        <v>28</v>
      </c>
      <c r="B32" s="73" t="s">
        <v>73</v>
      </c>
      <c r="C32" s="74">
        <v>6240705</v>
      </c>
      <c r="D32" s="75" t="s">
        <v>84</v>
      </c>
      <c r="E32" s="102" t="s">
        <v>79</v>
      </c>
      <c r="F32" s="77">
        <v>2</v>
      </c>
      <c r="G32" s="78">
        <f>IFERROR(VLOOKUP(C32,'[2]TARGET THIS MONTH'!C:E,3,0),0)</f>
        <v>40</v>
      </c>
      <c r="H32" s="79">
        <f>IFERROR(VLOOKUP(C32,'[2]TARGET THIS MONTH'!C:M,11,0),0)</f>
        <v>172000000</v>
      </c>
      <c r="I32" s="78">
        <f>IFERROR(GETPIVOTDATA("Sum of Qty",'[2]DEVICE &amp; VALUE'!$A$6,"ID Store",$C32),0)</f>
        <v>15</v>
      </c>
      <c r="J32" s="80">
        <f t="shared" si="0"/>
        <v>0.375</v>
      </c>
      <c r="K32" s="81">
        <f t="shared" si="1"/>
        <v>-25</v>
      </c>
      <c r="L32" s="82">
        <f>IFERROR(GETPIVOTDATA("Sum of Qty",[2]PF!$A$5,"ID Store",$C32),0)</f>
        <v>4</v>
      </c>
      <c r="M32" s="82">
        <f>IFERROR(GETPIVOTDATA("Sum of Qty",'[2]DEVICE &amp; VALUE'!$A$6,"ID Store",$C32,"Segment Price","3mio&gt;"),0)</f>
        <v>11</v>
      </c>
      <c r="N32" s="83">
        <f t="shared" si="2"/>
        <v>0.73333333333333328</v>
      </c>
      <c r="O32" s="84">
        <f>IFERROR(GETPIVOTDATA("Sum of Qty",[2]IQOO!$A$6,"ID Store",$C32),0)</f>
        <v>2</v>
      </c>
      <c r="P32" s="83">
        <f t="shared" si="3"/>
        <v>0.13333333333333333</v>
      </c>
      <c r="Q32" s="83">
        <f t="shared" si="4"/>
        <v>0.73333333333333328</v>
      </c>
      <c r="R32" s="85">
        <f>IFERROR(GETPIVOTDATA("Sum of SRP",'[2]DEVICE &amp; VALUE'!$A$6,"ID Store",$C32),0)</f>
        <v>87785000</v>
      </c>
      <c r="S32" s="83">
        <f t="shared" si="5"/>
        <v>0.51037790697674423</v>
      </c>
      <c r="T32" s="86">
        <f t="shared" si="6"/>
        <v>-84215000</v>
      </c>
      <c r="U32" s="87">
        <f t="shared" si="7"/>
        <v>50</v>
      </c>
      <c r="V32" s="88">
        <f t="shared" si="8"/>
        <v>1.25</v>
      </c>
      <c r="W32" s="89">
        <f t="shared" si="9"/>
        <v>10</v>
      </c>
      <c r="X32" s="89">
        <f t="shared" si="10"/>
        <v>36.666666666666671</v>
      </c>
      <c r="Y32" s="89">
        <f t="shared" si="11"/>
        <v>-3.3333333333333286</v>
      </c>
      <c r="Z32" s="90">
        <f t="shared" si="12"/>
        <v>292616666.66666663</v>
      </c>
      <c r="AA32" s="90">
        <f t="shared" si="13"/>
        <v>120616666.66666663</v>
      </c>
      <c r="AB32" s="91">
        <f t="shared" si="14"/>
        <v>1.7012596899224803</v>
      </c>
      <c r="AC32" s="92">
        <f t="shared" si="15"/>
        <v>1.1904761904761905</v>
      </c>
      <c r="AD32" s="93">
        <f t="shared" si="16"/>
        <v>4010238.0952380951</v>
      </c>
      <c r="AE32" s="78">
        <f>IFERROR(GETPIVOTDATA("Sum of Qty",'[2]DATA LAST MONTH IQOO'!$A$6,"ID Store",$C32),0)</f>
        <v>4</v>
      </c>
      <c r="AF32" s="94">
        <f>IFERROR(GETPIVOTDATA("Sum of Qty",[2]IQOO!$A$6,"ID Store",$C32),0)</f>
        <v>2</v>
      </c>
      <c r="AG32" s="81">
        <f t="shared" si="17"/>
        <v>-2</v>
      </c>
      <c r="AH32" s="95">
        <f t="shared" si="18"/>
        <v>-0.5</v>
      </c>
      <c r="AI32" s="96">
        <f>IFERROR(GETPIVOTDATA("Sum of Qty",'[2]DATA LAST MONTH DEVICE'!$A$6,"ID Store",$C32),0)</f>
        <v>12</v>
      </c>
      <c r="AJ32" s="97">
        <f t="shared" si="19"/>
        <v>15</v>
      </c>
      <c r="AK32" s="81">
        <f t="shared" si="20"/>
        <v>3</v>
      </c>
      <c r="AL32" s="83">
        <f t="shared" si="21"/>
        <v>0.25</v>
      </c>
      <c r="AM32" s="82">
        <f>IFERROR(GETPIVOTDATA("Sum of Qty",'[2]Store 3mio+ last month'!$A$6,"ID Store",$C32),0)</f>
        <v>38</v>
      </c>
      <c r="AN32" s="81">
        <f t="shared" si="22"/>
        <v>50</v>
      </c>
      <c r="AO32" s="81">
        <f t="shared" si="23"/>
        <v>12</v>
      </c>
      <c r="AP32" s="83">
        <f t="shared" si="24"/>
        <v>0.31578947368421051</v>
      </c>
      <c r="AQ32" s="82">
        <f>IFERROR(GETPIVOTDATA("Sum of Qty",'[2]DATA LAST MONTH DEVICE'!$A$6,"ID Store",$C32,"Segment Price","3mio&gt;"),0)</f>
        <v>7</v>
      </c>
      <c r="AR32" s="84">
        <f t="shared" si="25"/>
        <v>11</v>
      </c>
      <c r="AS32" s="84">
        <f t="shared" si="26"/>
        <v>4</v>
      </c>
      <c r="AT32" s="83">
        <f t="shared" si="27"/>
        <v>0.5714285714285714</v>
      </c>
      <c r="AU32" s="98">
        <f>IFERROR(GETPIVOTDATA("Sum of SRP",'[2]DATA LAST MONTH DEVICE'!$A$6,"ID Store",$C32),0)</f>
        <v>47788000</v>
      </c>
      <c r="AV32" s="98">
        <f t="shared" si="28"/>
        <v>87785000</v>
      </c>
      <c r="AW32" s="98">
        <f t="shared" si="29"/>
        <v>39997000</v>
      </c>
      <c r="AX32" s="83">
        <f t="shared" si="30"/>
        <v>0.83696743952456687</v>
      </c>
      <c r="AY32" s="98">
        <f>IFERROR(VLOOKUP(C32,'[2]DATA SALES LAST MONTH'!A:E,5,0),0)</f>
        <v>3982333.3333333335</v>
      </c>
      <c r="AZ32" s="85">
        <f t="shared" si="31"/>
        <v>5852333.3333333321</v>
      </c>
      <c r="BA32" s="85">
        <f t="shared" si="32"/>
        <v>1869999.9999999986</v>
      </c>
      <c r="BB32" s="95">
        <f t="shared" si="33"/>
        <v>0.4695739516196531</v>
      </c>
      <c r="BC32" s="78">
        <f>IFERROR(VLOOKUP(C32,'[2]TARGET THIS MONTH'!C:U,15,0),0)</f>
        <v>4</v>
      </c>
      <c r="BD32" s="99">
        <f>IFERROR(GETPIVOTDATA("Sum of Qty",[2]ACC!$A$5,"ID Store",$C32),0)</f>
        <v>0</v>
      </c>
      <c r="BE32" s="83">
        <f t="shared" si="34"/>
        <v>0</v>
      </c>
      <c r="BF32" s="100">
        <f>IFERROR(VLOOKUP(C32,'[2]TARGET THIS MONTH'!C:U,16,0),0)</f>
        <v>100000</v>
      </c>
      <c r="BG32" s="100">
        <f>IFERROR(GETPIVOTDATA("Sum of SRP",'[2]Insurance by Store'!$A$5,"ID Store",$C32,"Product Type","Qoala"),0)</f>
        <v>0</v>
      </c>
      <c r="BH32" s="83">
        <f t="shared" si="35"/>
        <v>0</v>
      </c>
      <c r="BI32" s="100">
        <f>IFERROR(VLOOKUP(C32,'[2]TARGET THIS MONTH'!C:U,17,0),0)</f>
        <v>50000</v>
      </c>
      <c r="BJ32" s="100">
        <f>IFERROR(GETPIVOTDATA("Sum of SRP",'[2]Insurance by Store'!$A$5,"ID Store",$C32,"Product Type","Vivo Care"),0)</f>
        <v>0</v>
      </c>
      <c r="BK32" s="83">
        <f t="shared" si="36"/>
        <v>0</v>
      </c>
      <c r="BL32" s="81">
        <f>IFERROR(VLOOKUP(C32,'[2]TARGET THIS MONTH'!C:U,18,0),0)</f>
        <v>1.2</v>
      </c>
      <c r="BM32" s="82">
        <f>IFERROR(GETPIVOTDATA("Sum of Qty",'[2]Operator by Store'!$A$5,"ID Store",$C32,"Product Type","Indosat"),0)</f>
        <v>0</v>
      </c>
      <c r="BN32" s="83">
        <f t="shared" si="37"/>
        <v>0</v>
      </c>
      <c r="BO32" s="81">
        <f>VLOOKUP(C32,'[2]TARGET THIS MONTH'!C:U,19,0)</f>
        <v>12</v>
      </c>
      <c r="BP32" s="82">
        <f>IFERROR(GETPIVOTDATA("Sum of Qty",'[2]Operator by Store'!$A$5,"ID Store",$C32,"Product Type","Telkomsel"),0)</f>
        <v>0</v>
      </c>
      <c r="BQ32" s="101">
        <f t="shared" si="38"/>
        <v>0</v>
      </c>
    </row>
    <row r="33" spans="1:69" x14ac:dyDescent="0.2">
      <c r="A33" s="72">
        <v>29</v>
      </c>
      <c r="B33" s="73" t="s">
        <v>73</v>
      </c>
      <c r="C33" s="74">
        <v>6240709</v>
      </c>
      <c r="D33" s="75" t="s">
        <v>85</v>
      </c>
      <c r="E33" s="103" t="s">
        <v>75</v>
      </c>
      <c r="F33" s="77">
        <v>2</v>
      </c>
      <c r="G33" s="78">
        <f>IFERROR(VLOOKUP(C33,'[2]TARGET THIS MONTH'!C:E,3,0),0)</f>
        <v>30</v>
      </c>
      <c r="H33" s="79">
        <f>IFERROR(VLOOKUP(C33,'[2]TARGET THIS MONTH'!C:M,11,0),0)</f>
        <v>150000000</v>
      </c>
      <c r="I33" s="78">
        <f>IFERROR(GETPIVOTDATA("Sum of Qty",'[2]DEVICE &amp; VALUE'!$A$6,"ID Store",$C33),0)</f>
        <v>7</v>
      </c>
      <c r="J33" s="80">
        <f t="shared" si="0"/>
        <v>0.23333333333333334</v>
      </c>
      <c r="K33" s="81">
        <f t="shared" si="1"/>
        <v>-23</v>
      </c>
      <c r="L33" s="82">
        <f>IFERROR(GETPIVOTDATA("Sum of Qty",[2]PF!$A$5,"ID Store",$C33),0)</f>
        <v>4</v>
      </c>
      <c r="M33" s="82">
        <f>IFERROR(GETPIVOTDATA("Sum of Qty",'[2]DEVICE &amp; VALUE'!$A$6,"ID Store",$C33,"Segment Price","3mio&gt;"),0)</f>
        <v>5</v>
      </c>
      <c r="N33" s="83">
        <f t="shared" si="2"/>
        <v>0.7142857142857143</v>
      </c>
      <c r="O33" s="84">
        <f>IFERROR(GETPIVOTDATA("Sum of Qty",[2]IQOO!$A$6,"ID Store",$C33),0)</f>
        <v>0</v>
      </c>
      <c r="P33" s="83">
        <f t="shared" si="3"/>
        <v>0</v>
      </c>
      <c r="Q33" s="83">
        <f t="shared" si="4"/>
        <v>0.7142857142857143</v>
      </c>
      <c r="R33" s="85">
        <f>IFERROR(GETPIVOTDATA("Sum of SRP",'[2]DEVICE &amp; VALUE'!$A$6,"ID Store",$C33),0)</f>
        <v>29193000</v>
      </c>
      <c r="S33" s="83">
        <f t="shared" si="5"/>
        <v>0.19461999999999999</v>
      </c>
      <c r="T33" s="86">
        <f t="shared" si="6"/>
        <v>-120807000</v>
      </c>
      <c r="U33" s="87">
        <f t="shared" si="7"/>
        <v>23.333333333333332</v>
      </c>
      <c r="V33" s="88">
        <f t="shared" si="8"/>
        <v>0.77777777777777779</v>
      </c>
      <c r="W33" s="89">
        <f t="shared" si="9"/>
        <v>-6.6666666666666679</v>
      </c>
      <c r="X33" s="89">
        <f t="shared" si="10"/>
        <v>16.666666666666668</v>
      </c>
      <c r="Y33" s="89">
        <f t="shared" si="11"/>
        <v>-13.333333333333332</v>
      </c>
      <c r="Z33" s="90">
        <f t="shared" si="12"/>
        <v>97310000</v>
      </c>
      <c r="AA33" s="90">
        <f t="shared" si="13"/>
        <v>-52690000</v>
      </c>
      <c r="AB33" s="91">
        <f t="shared" si="14"/>
        <v>0.64873333333333338</v>
      </c>
      <c r="AC33" s="92">
        <f t="shared" si="15"/>
        <v>1.0952380952380953</v>
      </c>
      <c r="AD33" s="93">
        <f t="shared" si="16"/>
        <v>5752714.2857142854</v>
      </c>
      <c r="AE33" s="78">
        <f>IFERROR(GETPIVOTDATA("Sum of Qty",'[2]DATA LAST MONTH IQOO'!$A$6,"ID Store",$C33),0)</f>
        <v>2</v>
      </c>
      <c r="AF33" s="94">
        <f>IFERROR(GETPIVOTDATA("Sum of Qty",[2]IQOO!$A$6,"ID Store",$C33),0)</f>
        <v>0</v>
      </c>
      <c r="AG33" s="81">
        <f t="shared" si="17"/>
        <v>-2</v>
      </c>
      <c r="AH33" s="95">
        <f t="shared" si="18"/>
        <v>-1</v>
      </c>
      <c r="AI33" s="96">
        <f>IFERROR(GETPIVOTDATA("Sum of Qty",'[2]DATA LAST MONTH DEVICE'!$A$6,"ID Store",$C33),0)</f>
        <v>6</v>
      </c>
      <c r="AJ33" s="97">
        <f t="shared" si="19"/>
        <v>7</v>
      </c>
      <c r="AK33" s="81">
        <f t="shared" si="20"/>
        <v>1</v>
      </c>
      <c r="AL33" s="83">
        <f t="shared" si="21"/>
        <v>0.16666666666666666</v>
      </c>
      <c r="AM33" s="82">
        <f>IFERROR(GETPIVOTDATA("Sum of Qty",'[2]Store 3mio+ last month'!$A$6,"ID Store",$C33),0)</f>
        <v>20</v>
      </c>
      <c r="AN33" s="81">
        <f t="shared" si="22"/>
        <v>23.333333333333332</v>
      </c>
      <c r="AO33" s="81">
        <f t="shared" si="23"/>
        <v>3.3333333333333321</v>
      </c>
      <c r="AP33" s="83">
        <f t="shared" si="24"/>
        <v>0.1666666666666666</v>
      </c>
      <c r="AQ33" s="82">
        <f>IFERROR(GETPIVOTDATA("Sum of Qty",'[2]DATA LAST MONTH DEVICE'!$A$6,"ID Store",$C33,"Segment Price","3mio&gt;"),0)</f>
        <v>5</v>
      </c>
      <c r="AR33" s="84">
        <f t="shared" si="25"/>
        <v>5</v>
      </c>
      <c r="AS33" s="84">
        <f t="shared" si="26"/>
        <v>0</v>
      </c>
      <c r="AT33" s="83">
        <f t="shared" si="27"/>
        <v>0</v>
      </c>
      <c r="AU33" s="98">
        <f>IFERROR(GETPIVOTDATA("Sum of SRP",'[2]DATA LAST MONTH DEVICE'!$A$6,"ID Store",$C33),0)</f>
        <v>33194000</v>
      </c>
      <c r="AV33" s="98">
        <f t="shared" si="28"/>
        <v>29193000</v>
      </c>
      <c r="AW33" s="98">
        <f t="shared" si="29"/>
        <v>-4001000</v>
      </c>
      <c r="AX33" s="83">
        <f t="shared" si="30"/>
        <v>-0.12053383141531603</v>
      </c>
      <c r="AY33" s="98">
        <f>IFERROR(VLOOKUP(C33,'[2]DATA SALES LAST MONTH'!A:E,5,0),0)</f>
        <v>5532333.333333333</v>
      </c>
      <c r="AZ33" s="85">
        <f t="shared" si="31"/>
        <v>4170428.5714285718</v>
      </c>
      <c r="BA33" s="85">
        <f t="shared" si="32"/>
        <v>-1361904.7619047612</v>
      </c>
      <c r="BB33" s="95">
        <f t="shared" si="33"/>
        <v>-0.24617185549884218</v>
      </c>
      <c r="BC33" s="78">
        <f>IFERROR(VLOOKUP(C33,'[2]TARGET THIS MONTH'!C:U,15,0),0)</f>
        <v>3</v>
      </c>
      <c r="BD33" s="99">
        <f>IFERROR(GETPIVOTDATA("Sum of Qty",[2]ACC!$A$5,"ID Store",$C33),0)</f>
        <v>0</v>
      </c>
      <c r="BE33" s="83">
        <f t="shared" si="34"/>
        <v>0</v>
      </c>
      <c r="BF33" s="100">
        <f>IFERROR(VLOOKUP(C33,'[2]TARGET THIS MONTH'!C:U,16,0),0)</f>
        <v>750000</v>
      </c>
      <c r="BG33" s="100">
        <f>IFERROR(GETPIVOTDATA("Sum of SRP",'[2]Insurance by Store'!$A$5,"ID Store",$C33,"Product Type","Qoala"),0)</f>
        <v>329000</v>
      </c>
      <c r="BH33" s="83">
        <f t="shared" si="35"/>
        <v>0.43866666666666665</v>
      </c>
      <c r="BI33" s="100">
        <f>IFERROR(VLOOKUP(C33,'[2]TARGET THIS MONTH'!C:U,17,0),0)</f>
        <v>150000</v>
      </c>
      <c r="BJ33" s="100">
        <f>IFERROR(GETPIVOTDATA("Sum of SRP",'[2]Insurance by Store'!$A$5,"ID Store",$C33,"Product Type","Vivo Care"),0)</f>
        <v>0</v>
      </c>
      <c r="BK33" s="83">
        <f t="shared" si="36"/>
        <v>0</v>
      </c>
      <c r="BL33" s="81">
        <f>IFERROR(VLOOKUP(C33,'[2]TARGET THIS MONTH'!C:U,18,0),0)</f>
        <v>0.9</v>
      </c>
      <c r="BM33" s="82">
        <f>IFERROR(GETPIVOTDATA("Sum of Qty",'[2]Operator by Store'!$A$5,"ID Store",$C33,"Product Type","Indosat"),0)</f>
        <v>0</v>
      </c>
      <c r="BN33" s="83">
        <f t="shared" si="37"/>
        <v>0</v>
      </c>
      <c r="BO33" s="81">
        <f>VLOOKUP(C33,'[2]TARGET THIS MONTH'!C:U,19,0)</f>
        <v>9</v>
      </c>
      <c r="BP33" s="82">
        <f>IFERROR(GETPIVOTDATA("Sum of Qty",'[2]Operator by Store'!$A$5,"ID Store",$C33,"Product Type","Telkomsel"),0)</f>
        <v>0</v>
      </c>
      <c r="BQ33" s="101">
        <f t="shared" si="38"/>
        <v>0</v>
      </c>
    </row>
    <row r="34" spans="1:69" x14ac:dyDescent="0.2">
      <c r="A34" s="72">
        <v>30</v>
      </c>
      <c r="B34" s="73" t="s">
        <v>73</v>
      </c>
      <c r="C34" s="74">
        <v>6240708</v>
      </c>
      <c r="D34" s="75" t="s">
        <v>86</v>
      </c>
      <c r="E34" s="103" t="s">
        <v>75</v>
      </c>
      <c r="F34" s="77">
        <v>2</v>
      </c>
      <c r="G34" s="78">
        <f>IFERROR(VLOOKUP(C34,'[2]TARGET THIS MONTH'!C:E,3,0),0)</f>
        <v>30</v>
      </c>
      <c r="H34" s="79">
        <f>IFERROR(VLOOKUP(C34,'[2]TARGET THIS MONTH'!C:M,11,0),0)</f>
        <v>150000000</v>
      </c>
      <c r="I34" s="78">
        <f>IFERROR(GETPIVOTDATA("Sum of Qty",'[2]DEVICE &amp; VALUE'!$A$6,"ID Store",$C34),0)</f>
        <v>9</v>
      </c>
      <c r="J34" s="80">
        <f t="shared" si="0"/>
        <v>0.3</v>
      </c>
      <c r="K34" s="81">
        <f t="shared" si="1"/>
        <v>-21</v>
      </c>
      <c r="L34" s="82">
        <f>IFERROR(GETPIVOTDATA("Sum of Qty",[2]PF!$A$5,"ID Store",$C34),0)</f>
        <v>3</v>
      </c>
      <c r="M34" s="82">
        <f>IFERROR(GETPIVOTDATA("Sum of Qty",'[2]DEVICE &amp; VALUE'!$A$6,"ID Store",$C34,"Segment Price","3mio&gt;"),0)</f>
        <v>5</v>
      </c>
      <c r="N34" s="83">
        <f t="shared" si="2"/>
        <v>0.55555555555555558</v>
      </c>
      <c r="O34" s="84">
        <f>IFERROR(GETPIVOTDATA("Sum of Qty",[2]IQOO!$A$6,"ID Store",$C34),0)</f>
        <v>0</v>
      </c>
      <c r="P34" s="83">
        <f t="shared" si="3"/>
        <v>0</v>
      </c>
      <c r="Q34" s="83">
        <f t="shared" si="4"/>
        <v>0.55555555555555558</v>
      </c>
      <c r="R34" s="85">
        <f>IFERROR(GETPIVOTDATA("Sum of SRP",'[2]DEVICE &amp; VALUE'!$A$6,"ID Store",$C34),0)</f>
        <v>33491000</v>
      </c>
      <c r="S34" s="83">
        <f t="shared" si="5"/>
        <v>0.22327333333333332</v>
      </c>
      <c r="T34" s="86">
        <f t="shared" si="6"/>
        <v>-116509000</v>
      </c>
      <c r="U34" s="87">
        <f t="shared" si="7"/>
        <v>30</v>
      </c>
      <c r="V34" s="88">
        <f t="shared" si="8"/>
        <v>1</v>
      </c>
      <c r="W34" s="89">
        <f t="shared" si="9"/>
        <v>0</v>
      </c>
      <c r="X34" s="89">
        <f t="shared" si="10"/>
        <v>16.666666666666668</v>
      </c>
      <c r="Y34" s="89">
        <f t="shared" si="11"/>
        <v>-13.333333333333332</v>
      </c>
      <c r="Z34" s="90">
        <f t="shared" si="12"/>
        <v>111636666.66666666</v>
      </c>
      <c r="AA34" s="90">
        <f t="shared" si="13"/>
        <v>-38363333.333333343</v>
      </c>
      <c r="AB34" s="91">
        <f t="shared" si="14"/>
        <v>0.74424444444444438</v>
      </c>
      <c r="AC34" s="92">
        <f t="shared" si="15"/>
        <v>1</v>
      </c>
      <c r="AD34" s="93">
        <f t="shared" si="16"/>
        <v>5548047.6190476194</v>
      </c>
      <c r="AE34" s="78">
        <f>IFERROR(GETPIVOTDATA("Sum of Qty",'[2]DATA LAST MONTH IQOO'!$A$6,"ID Store",$C34),0)</f>
        <v>0</v>
      </c>
      <c r="AF34" s="94">
        <f>IFERROR(GETPIVOTDATA("Sum of Qty",[2]IQOO!$A$6,"ID Store",$C34),0)</f>
        <v>0</v>
      </c>
      <c r="AG34" s="81">
        <f t="shared" si="17"/>
        <v>0</v>
      </c>
      <c r="AH34" s="95">
        <f t="shared" si="18"/>
        <v>0</v>
      </c>
      <c r="AI34" s="96">
        <f>IFERROR(GETPIVOTDATA("Sum of Qty",'[2]DATA LAST MONTH DEVICE'!$A$6,"ID Store",$C34),0)</f>
        <v>6</v>
      </c>
      <c r="AJ34" s="97">
        <f t="shared" si="19"/>
        <v>9</v>
      </c>
      <c r="AK34" s="81">
        <f t="shared" si="20"/>
        <v>3</v>
      </c>
      <c r="AL34" s="83">
        <f t="shared" si="21"/>
        <v>0.5</v>
      </c>
      <c r="AM34" s="82">
        <f>IFERROR(GETPIVOTDATA("Sum of Qty",'[2]Store 3mio+ last month'!$A$6,"ID Store",$C34),0)</f>
        <v>40</v>
      </c>
      <c r="AN34" s="81">
        <f t="shared" si="22"/>
        <v>30</v>
      </c>
      <c r="AO34" s="81">
        <f t="shared" si="23"/>
        <v>-10</v>
      </c>
      <c r="AP34" s="83">
        <f t="shared" si="24"/>
        <v>-0.25</v>
      </c>
      <c r="AQ34" s="82">
        <f>IFERROR(GETPIVOTDATA("Sum of Qty",'[2]DATA LAST MONTH DEVICE'!$A$6,"ID Store",$C34,"Segment Price","3mio&gt;"),0)</f>
        <v>0</v>
      </c>
      <c r="AR34" s="84">
        <f t="shared" si="25"/>
        <v>5</v>
      </c>
      <c r="AS34" s="84">
        <f t="shared" si="26"/>
        <v>5</v>
      </c>
      <c r="AT34" s="83">
        <f t="shared" si="27"/>
        <v>0</v>
      </c>
      <c r="AU34" s="98">
        <f>IFERROR(GETPIVOTDATA("Sum of SRP",'[2]DATA LAST MONTH DEVICE'!$A$6,"ID Store",$C34),0)</f>
        <v>13794000</v>
      </c>
      <c r="AV34" s="98">
        <f t="shared" si="28"/>
        <v>33491000</v>
      </c>
      <c r="AW34" s="98">
        <f t="shared" si="29"/>
        <v>19697000</v>
      </c>
      <c r="AX34" s="83">
        <f t="shared" si="30"/>
        <v>1.4279396839205452</v>
      </c>
      <c r="AY34" s="98">
        <f>IFERROR(VLOOKUP(C34,'[2]DATA SALES LAST MONTH'!A:E,5,0),0)</f>
        <v>2299000</v>
      </c>
      <c r="AZ34" s="85">
        <f t="shared" si="31"/>
        <v>3721222.222222222</v>
      </c>
      <c r="BA34" s="85">
        <f t="shared" si="32"/>
        <v>1422222.222222222</v>
      </c>
      <c r="BB34" s="95">
        <f t="shared" si="33"/>
        <v>0.61862645594703003</v>
      </c>
      <c r="BC34" s="78">
        <f>IFERROR(VLOOKUP(C34,'[2]TARGET THIS MONTH'!C:U,15,0),0)</f>
        <v>3</v>
      </c>
      <c r="BD34" s="99">
        <f>IFERROR(GETPIVOTDATA("Sum of Qty",[2]ACC!$A$5,"ID Store",$C34),0)</f>
        <v>1</v>
      </c>
      <c r="BE34" s="83">
        <f t="shared" si="34"/>
        <v>0.33333333333333331</v>
      </c>
      <c r="BF34" s="100">
        <f>IFERROR(VLOOKUP(C34,'[2]TARGET THIS MONTH'!C:U,16,0),0)</f>
        <v>750000</v>
      </c>
      <c r="BG34" s="100">
        <f>IFERROR(GETPIVOTDATA("Sum of SRP",'[2]Insurance by Store'!$A$5,"ID Store",$C34,"Product Type","Qoala"),0)</f>
        <v>249000</v>
      </c>
      <c r="BH34" s="83">
        <f t="shared" si="35"/>
        <v>0.33200000000000002</v>
      </c>
      <c r="BI34" s="100">
        <f>IFERROR(VLOOKUP(C34,'[2]TARGET THIS MONTH'!C:U,17,0),0)</f>
        <v>150000</v>
      </c>
      <c r="BJ34" s="100">
        <f>IFERROR(GETPIVOTDATA("Sum of SRP",'[2]Insurance by Store'!$A$5,"ID Store",$C34,"Product Type","Vivo Care"),0)</f>
        <v>0</v>
      </c>
      <c r="BK34" s="83">
        <f t="shared" si="36"/>
        <v>0</v>
      </c>
      <c r="BL34" s="81">
        <f>IFERROR(VLOOKUP(C34,'[2]TARGET THIS MONTH'!C:U,18,0),0)</f>
        <v>0.9</v>
      </c>
      <c r="BM34" s="82">
        <f>IFERROR(GETPIVOTDATA("Sum of Qty",'[2]Operator by Store'!$A$5,"ID Store",$C34,"Product Type","Indosat"),0)</f>
        <v>0</v>
      </c>
      <c r="BN34" s="83">
        <f t="shared" si="37"/>
        <v>0</v>
      </c>
      <c r="BO34" s="81">
        <f>VLOOKUP(C34,'[2]TARGET THIS MONTH'!C:U,19,0)</f>
        <v>9</v>
      </c>
      <c r="BP34" s="82">
        <f>IFERROR(GETPIVOTDATA("Sum of Qty",'[2]Operator by Store'!$A$5,"ID Store",$C34,"Product Type","Telkomsel"),0)</f>
        <v>0</v>
      </c>
      <c r="BQ34" s="101">
        <f t="shared" si="38"/>
        <v>0</v>
      </c>
    </row>
    <row r="35" spans="1:69" x14ac:dyDescent="0.2">
      <c r="A35" s="72">
        <v>31</v>
      </c>
      <c r="B35" s="73" t="s">
        <v>73</v>
      </c>
      <c r="C35" s="74">
        <v>6240707</v>
      </c>
      <c r="D35" s="75" t="s">
        <v>87</v>
      </c>
      <c r="E35" s="102" t="s">
        <v>88</v>
      </c>
      <c r="F35" s="77">
        <v>2</v>
      </c>
      <c r="G35" s="78">
        <f>IFERROR(VLOOKUP(C35,'[2]TARGET THIS MONTH'!C:E,3,0),0)</f>
        <v>30</v>
      </c>
      <c r="H35" s="79">
        <f>IFERROR(VLOOKUP(C35,'[2]TARGET THIS MONTH'!C:M,11,0),0)</f>
        <v>165000000</v>
      </c>
      <c r="I35" s="78">
        <f>IFERROR(GETPIVOTDATA("Sum of Qty",'[2]DEVICE &amp; VALUE'!$A$6,"ID Store",$C35),0)</f>
        <v>6</v>
      </c>
      <c r="J35" s="80">
        <f t="shared" si="0"/>
        <v>0.2</v>
      </c>
      <c r="K35" s="81">
        <f t="shared" si="1"/>
        <v>-24</v>
      </c>
      <c r="L35" s="82">
        <f>IFERROR(GETPIVOTDATA("Sum of Qty",[2]PF!$A$5,"ID Store",$C35),0)</f>
        <v>1</v>
      </c>
      <c r="M35" s="82">
        <f>IFERROR(GETPIVOTDATA("Sum of Qty",'[2]DEVICE &amp; VALUE'!$A$6,"ID Store",$C35,"Segment Price","3mio&gt;"),0)</f>
        <v>1</v>
      </c>
      <c r="N35" s="83">
        <f t="shared" si="2"/>
        <v>0.16666666666666666</v>
      </c>
      <c r="O35" s="84">
        <f>IFERROR(GETPIVOTDATA("Sum of Qty",[2]IQOO!$A$6,"ID Store",$C35),0)</f>
        <v>0</v>
      </c>
      <c r="P35" s="83">
        <f t="shared" si="3"/>
        <v>0</v>
      </c>
      <c r="Q35" s="83">
        <f t="shared" si="4"/>
        <v>0.16666666666666666</v>
      </c>
      <c r="R35" s="85">
        <f>IFERROR(GETPIVOTDATA("Sum of SRP",'[2]DEVICE &amp; VALUE'!$A$6,"ID Store",$C35),0)</f>
        <v>16894000</v>
      </c>
      <c r="S35" s="83">
        <f t="shared" si="5"/>
        <v>0.10238787878787879</v>
      </c>
      <c r="T35" s="86">
        <f t="shared" si="6"/>
        <v>-148106000</v>
      </c>
      <c r="U35" s="87">
        <f t="shared" si="7"/>
        <v>20</v>
      </c>
      <c r="V35" s="88">
        <f t="shared" si="8"/>
        <v>0.66666666666666663</v>
      </c>
      <c r="W35" s="89">
        <f t="shared" si="9"/>
        <v>-10</v>
      </c>
      <c r="X35" s="89">
        <f t="shared" si="10"/>
        <v>3.333333333333333</v>
      </c>
      <c r="Y35" s="89">
        <f t="shared" si="11"/>
        <v>-26.666666666666668</v>
      </c>
      <c r="Z35" s="90">
        <f t="shared" si="12"/>
        <v>56313333.333333328</v>
      </c>
      <c r="AA35" s="90">
        <f t="shared" si="13"/>
        <v>-108686666.66666667</v>
      </c>
      <c r="AB35" s="91">
        <f t="shared" si="14"/>
        <v>0.34129292929292926</v>
      </c>
      <c r="AC35" s="92">
        <f t="shared" si="15"/>
        <v>1.1428571428571428</v>
      </c>
      <c r="AD35" s="93">
        <f t="shared" si="16"/>
        <v>7052666.666666667</v>
      </c>
      <c r="AE35" s="78">
        <f>IFERROR(GETPIVOTDATA("Sum of Qty",'[2]DATA LAST MONTH IQOO'!$A$6,"ID Store",$C35),0)</f>
        <v>3</v>
      </c>
      <c r="AF35" s="94">
        <f>IFERROR(GETPIVOTDATA("Sum of Qty",[2]IQOO!$A$6,"ID Store",$C35),0)</f>
        <v>0</v>
      </c>
      <c r="AG35" s="81">
        <f t="shared" si="17"/>
        <v>-3</v>
      </c>
      <c r="AH35" s="95">
        <f t="shared" si="18"/>
        <v>-1</v>
      </c>
      <c r="AI35" s="96">
        <f>IFERROR(GETPIVOTDATA("Sum of Qty",'[2]DATA LAST MONTH DEVICE'!$A$6,"ID Store",$C35),0)</f>
        <v>13</v>
      </c>
      <c r="AJ35" s="97">
        <f t="shared" si="19"/>
        <v>6</v>
      </c>
      <c r="AK35" s="81">
        <f t="shared" si="20"/>
        <v>-7</v>
      </c>
      <c r="AL35" s="83">
        <f t="shared" si="21"/>
        <v>-0.53846153846153844</v>
      </c>
      <c r="AM35" s="82">
        <f>IFERROR(GETPIVOTDATA("Sum of Qty",'[2]Store 3mio+ last month'!$A$6,"ID Store",$C35),0)</f>
        <v>20</v>
      </c>
      <c r="AN35" s="81">
        <f t="shared" si="22"/>
        <v>20</v>
      </c>
      <c r="AO35" s="81">
        <f t="shared" si="23"/>
        <v>0</v>
      </c>
      <c r="AP35" s="83">
        <f t="shared" si="24"/>
        <v>0</v>
      </c>
      <c r="AQ35" s="82">
        <f>IFERROR(GETPIVOTDATA("Sum of Qty",'[2]DATA LAST MONTH DEVICE'!$A$6,"ID Store",$C35,"Segment Price","3mio&gt;"),0)</f>
        <v>8</v>
      </c>
      <c r="AR35" s="84">
        <f t="shared" si="25"/>
        <v>1</v>
      </c>
      <c r="AS35" s="84">
        <f t="shared" si="26"/>
        <v>-7</v>
      </c>
      <c r="AT35" s="83">
        <f t="shared" si="27"/>
        <v>-0.875</v>
      </c>
      <c r="AU35" s="98">
        <f>IFERROR(GETPIVOTDATA("Sum of SRP",'[2]DATA LAST MONTH DEVICE'!$A$6,"ID Store",$C35),0)</f>
        <v>84687000</v>
      </c>
      <c r="AV35" s="98">
        <f t="shared" si="28"/>
        <v>16894000</v>
      </c>
      <c r="AW35" s="98">
        <f t="shared" si="29"/>
        <v>-67793000</v>
      </c>
      <c r="AX35" s="83">
        <f t="shared" si="30"/>
        <v>-0.80051247535040793</v>
      </c>
      <c r="AY35" s="98">
        <f>IFERROR(VLOOKUP(C35,'[2]DATA SALES LAST MONTH'!A:E,5,0),0)</f>
        <v>6514384.615384615</v>
      </c>
      <c r="AZ35" s="85">
        <f t="shared" si="31"/>
        <v>2815666.6666666665</v>
      </c>
      <c r="BA35" s="85">
        <f t="shared" si="32"/>
        <v>-3698717.9487179485</v>
      </c>
      <c r="BB35" s="95">
        <f t="shared" si="33"/>
        <v>-0.56777702992588397</v>
      </c>
      <c r="BC35" s="78">
        <f>IFERROR(VLOOKUP(C35,'[2]TARGET THIS MONTH'!C:U,15,0),0)</f>
        <v>3</v>
      </c>
      <c r="BD35" s="99">
        <f>IFERROR(GETPIVOTDATA("Sum of Qty",[2]ACC!$A$5,"ID Store",$C35),0)</f>
        <v>1</v>
      </c>
      <c r="BE35" s="83">
        <f t="shared" si="34"/>
        <v>0.33333333333333331</v>
      </c>
      <c r="BF35" s="100">
        <f>IFERROR(VLOOKUP(C35,'[2]TARGET THIS MONTH'!C:U,16,0),0)</f>
        <v>825000</v>
      </c>
      <c r="BG35" s="100">
        <f>IFERROR(GETPIVOTDATA("Sum of SRP",'[2]Insurance by Store'!$A$5,"ID Store",$C35,"Product Type","Qoala"),0)</f>
        <v>0</v>
      </c>
      <c r="BH35" s="83">
        <f t="shared" si="35"/>
        <v>0</v>
      </c>
      <c r="BI35" s="100">
        <f>IFERROR(VLOOKUP(C35,'[2]TARGET THIS MONTH'!C:U,17,0),0)</f>
        <v>165000</v>
      </c>
      <c r="BJ35" s="100">
        <f>IFERROR(GETPIVOTDATA("Sum of SRP",'[2]Insurance by Store'!$A$5,"ID Store",$C35,"Product Type","Vivo Care"),0)</f>
        <v>0</v>
      </c>
      <c r="BK35" s="83">
        <f t="shared" si="36"/>
        <v>0</v>
      </c>
      <c r="BL35" s="81">
        <f>IFERROR(VLOOKUP(C35,'[2]TARGET THIS MONTH'!C:U,18,0),0)</f>
        <v>0.9</v>
      </c>
      <c r="BM35" s="82">
        <f>IFERROR(GETPIVOTDATA("Sum of Qty",'[2]Operator by Store'!$A$5,"ID Store",$C35,"Product Type","Indosat"),0)</f>
        <v>0</v>
      </c>
      <c r="BN35" s="83">
        <f t="shared" si="37"/>
        <v>0</v>
      </c>
      <c r="BO35" s="81">
        <f>VLOOKUP(C35,'[2]TARGET THIS MONTH'!C:U,19,0)</f>
        <v>9</v>
      </c>
      <c r="BP35" s="82">
        <f>IFERROR(GETPIVOTDATA("Sum of Qty",'[2]Operator by Store'!$A$5,"ID Store",$C35,"Product Type","Telkomsel"),0)</f>
        <v>0</v>
      </c>
      <c r="BQ35" s="101">
        <f t="shared" si="38"/>
        <v>0</v>
      </c>
    </row>
    <row r="36" spans="1:69" x14ac:dyDescent="0.2">
      <c r="A36" s="72">
        <v>32</v>
      </c>
      <c r="B36" s="73" t="s">
        <v>73</v>
      </c>
      <c r="C36" s="74">
        <v>6240706</v>
      </c>
      <c r="D36" s="75" t="s">
        <v>89</v>
      </c>
      <c r="E36" s="102" t="s">
        <v>88</v>
      </c>
      <c r="F36" s="77">
        <v>2</v>
      </c>
      <c r="G36" s="78">
        <f>IFERROR(VLOOKUP(C36,'[2]TARGET THIS MONTH'!C:E,3,0),0)</f>
        <v>30</v>
      </c>
      <c r="H36" s="79">
        <f>IFERROR(VLOOKUP(C36,'[2]TARGET THIS MONTH'!C:M,11,0),0)</f>
        <v>165000000</v>
      </c>
      <c r="I36" s="78">
        <f>IFERROR(GETPIVOTDATA("Sum of Qty",'[2]DEVICE &amp; VALUE'!$A$6,"ID Store",$C36),0)</f>
        <v>7</v>
      </c>
      <c r="J36" s="80">
        <f t="shared" si="0"/>
        <v>0.23333333333333334</v>
      </c>
      <c r="K36" s="81">
        <f t="shared" si="1"/>
        <v>-23</v>
      </c>
      <c r="L36" s="82">
        <f>IFERROR(GETPIVOTDATA("Sum of Qty",[2]PF!$A$5,"ID Store",$C36),0)</f>
        <v>2</v>
      </c>
      <c r="M36" s="82">
        <f>IFERROR(GETPIVOTDATA("Sum of Qty",'[2]DEVICE &amp; VALUE'!$A$6,"ID Store",$C36,"Segment Price","3mio&gt;"),0)</f>
        <v>3</v>
      </c>
      <c r="N36" s="83">
        <f t="shared" si="2"/>
        <v>0.42857142857142855</v>
      </c>
      <c r="O36" s="84">
        <f>IFERROR(GETPIVOTDATA("Sum of Qty",[2]IQOO!$A$6,"ID Store",$C36),0)</f>
        <v>0</v>
      </c>
      <c r="P36" s="83">
        <f t="shared" si="3"/>
        <v>0</v>
      </c>
      <c r="Q36" s="83">
        <f t="shared" si="4"/>
        <v>0.42857142857142855</v>
      </c>
      <c r="R36" s="85">
        <f>IFERROR(GETPIVOTDATA("Sum of SRP",'[2]DEVICE &amp; VALUE'!$A$6,"ID Store",$C36),0)</f>
        <v>24293000</v>
      </c>
      <c r="S36" s="83">
        <f t="shared" si="5"/>
        <v>0.14723030303030302</v>
      </c>
      <c r="T36" s="86">
        <f t="shared" si="6"/>
        <v>-140707000</v>
      </c>
      <c r="U36" s="87">
        <f t="shared" si="7"/>
        <v>23.333333333333332</v>
      </c>
      <c r="V36" s="88">
        <f t="shared" si="8"/>
        <v>0.77777777777777779</v>
      </c>
      <c r="W36" s="89">
        <f t="shared" si="9"/>
        <v>-6.6666666666666679</v>
      </c>
      <c r="X36" s="89">
        <f t="shared" si="10"/>
        <v>10</v>
      </c>
      <c r="Y36" s="89">
        <f t="shared" si="11"/>
        <v>-20</v>
      </c>
      <c r="Z36" s="90">
        <f t="shared" si="12"/>
        <v>80976666.666666657</v>
      </c>
      <c r="AA36" s="90">
        <f t="shared" si="13"/>
        <v>-84023333.333333343</v>
      </c>
      <c r="AB36" s="91">
        <f t="shared" si="14"/>
        <v>0.49076767676767669</v>
      </c>
      <c r="AC36" s="92">
        <f t="shared" si="15"/>
        <v>1.0952380952380953</v>
      </c>
      <c r="AD36" s="93">
        <f t="shared" si="16"/>
        <v>6700333.333333333</v>
      </c>
      <c r="AE36" s="78">
        <f>IFERROR(GETPIVOTDATA("Sum of Qty",'[2]DATA LAST MONTH IQOO'!$A$6,"ID Store",$C36),0)</f>
        <v>2</v>
      </c>
      <c r="AF36" s="94">
        <f>IFERROR(GETPIVOTDATA("Sum of Qty",[2]IQOO!$A$6,"ID Store",$C36),0)</f>
        <v>0</v>
      </c>
      <c r="AG36" s="81">
        <f t="shared" si="17"/>
        <v>-2</v>
      </c>
      <c r="AH36" s="95">
        <f t="shared" si="18"/>
        <v>-1</v>
      </c>
      <c r="AI36" s="96">
        <f>IFERROR(GETPIVOTDATA("Sum of Qty",'[2]DATA LAST MONTH DEVICE'!$A$6,"ID Store",$C36),0)</f>
        <v>12</v>
      </c>
      <c r="AJ36" s="97">
        <f t="shared" si="19"/>
        <v>7</v>
      </c>
      <c r="AK36" s="81">
        <f t="shared" si="20"/>
        <v>-5</v>
      </c>
      <c r="AL36" s="83">
        <f t="shared" si="21"/>
        <v>-0.41666666666666669</v>
      </c>
      <c r="AM36" s="82">
        <f>IFERROR(GETPIVOTDATA("Sum of Qty",'[2]Store 3mio+ last month'!$A$6,"ID Store",$C36),0)</f>
        <v>30</v>
      </c>
      <c r="AN36" s="81">
        <f t="shared" si="22"/>
        <v>23.333333333333332</v>
      </c>
      <c r="AO36" s="81">
        <f t="shared" si="23"/>
        <v>-6.6666666666666679</v>
      </c>
      <c r="AP36" s="83">
        <f t="shared" si="24"/>
        <v>-0.22222222222222227</v>
      </c>
      <c r="AQ36" s="82">
        <f>IFERROR(GETPIVOTDATA("Sum of Qty",'[2]DATA LAST MONTH DEVICE'!$A$6,"ID Store",$C36,"Segment Price","3mio&gt;"),0)</f>
        <v>9</v>
      </c>
      <c r="AR36" s="84">
        <f t="shared" si="25"/>
        <v>3</v>
      </c>
      <c r="AS36" s="84">
        <f t="shared" si="26"/>
        <v>-6</v>
      </c>
      <c r="AT36" s="83">
        <f t="shared" si="27"/>
        <v>-0.66666666666666663</v>
      </c>
      <c r="AU36" s="98">
        <f>IFERROR(GETPIVOTDATA("Sum of SRP",'[2]DATA LAST MONTH DEVICE'!$A$6,"ID Store",$C36),0)</f>
        <v>59688000</v>
      </c>
      <c r="AV36" s="98">
        <f t="shared" si="28"/>
        <v>24293000</v>
      </c>
      <c r="AW36" s="98">
        <f t="shared" si="29"/>
        <v>-35395000</v>
      </c>
      <c r="AX36" s="83">
        <f t="shared" si="30"/>
        <v>-0.5930002680605817</v>
      </c>
      <c r="AY36" s="98">
        <f>IFERROR(VLOOKUP(C36,'[2]DATA SALES LAST MONTH'!A:E,5,0),0)</f>
        <v>4974000</v>
      </c>
      <c r="AZ36" s="85">
        <f t="shared" si="31"/>
        <v>3470428.5714285714</v>
      </c>
      <c r="BA36" s="85">
        <f t="shared" si="32"/>
        <v>-1503571.4285714286</v>
      </c>
      <c r="BB36" s="95">
        <f t="shared" si="33"/>
        <v>-0.30228617381814005</v>
      </c>
      <c r="BC36" s="78">
        <f>IFERROR(VLOOKUP(C36,'[2]TARGET THIS MONTH'!C:U,15,0),0)</f>
        <v>3</v>
      </c>
      <c r="BD36" s="99">
        <f>IFERROR(GETPIVOTDATA("Sum of Qty",[2]ACC!$A$5,"ID Store",$C36),0)</f>
        <v>1</v>
      </c>
      <c r="BE36" s="83">
        <f t="shared" si="34"/>
        <v>0.33333333333333331</v>
      </c>
      <c r="BF36" s="100">
        <f>IFERROR(VLOOKUP(C36,'[2]TARGET THIS MONTH'!C:U,16,0),0)</f>
        <v>825000</v>
      </c>
      <c r="BG36" s="100">
        <f>IFERROR(GETPIVOTDATA("Sum of SRP",'[2]Insurance by Store'!$A$5,"ID Store",$C36,"Product Type","Qoala"),0)</f>
        <v>0</v>
      </c>
      <c r="BH36" s="83">
        <f t="shared" si="35"/>
        <v>0</v>
      </c>
      <c r="BI36" s="100">
        <f>IFERROR(VLOOKUP(C36,'[2]TARGET THIS MONTH'!C:U,17,0),0)</f>
        <v>165000</v>
      </c>
      <c r="BJ36" s="100">
        <f>IFERROR(GETPIVOTDATA("Sum of SRP",'[2]Insurance by Store'!$A$5,"ID Store",$C36,"Product Type","Vivo Care"),0)</f>
        <v>0</v>
      </c>
      <c r="BK36" s="83">
        <f t="shared" si="36"/>
        <v>0</v>
      </c>
      <c r="BL36" s="81">
        <f>IFERROR(VLOOKUP(C36,'[2]TARGET THIS MONTH'!C:U,18,0),0)</f>
        <v>0.9</v>
      </c>
      <c r="BM36" s="82">
        <f>IFERROR(GETPIVOTDATA("Sum of Qty",'[2]Operator by Store'!$A$5,"ID Store",$C36,"Product Type","Indosat"),0)</f>
        <v>0</v>
      </c>
      <c r="BN36" s="83">
        <f t="shared" si="37"/>
        <v>0</v>
      </c>
      <c r="BO36" s="81">
        <f>VLOOKUP(C36,'[2]TARGET THIS MONTH'!C:U,19,0)</f>
        <v>9</v>
      </c>
      <c r="BP36" s="82">
        <f>IFERROR(GETPIVOTDATA("Sum of Qty",'[2]Operator by Store'!$A$5,"ID Store",$C36,"Product Type","Telkomsel"),0)</f>
        <v>0</v>
      </c>
      <c r="BQ36" s="101">
        <f t="shared" si="38"/>
        <v>0</v>
      </c>
    </row>
    <row r="37" spans="1:69" x14ac:dyDescent="0.2">
      <c r="A37" s="72">
        <v>33</v>
      </c>
      <c r="B37" s="73" t="s">
        <v>90</v>
      </c>
      <c r="C37" s="74">
        <v>6190701</v>
      </c>
      <c r="D37" s="75" t="s">
        <v>91</v>
      </c>
      <c r="E37" s="102" t="s">
        <v>92</v>
      </c>
      <c r="F37" s="77">
        <v>1</v>
      </c>
      <c r="G37" s="78">
        <f>IFERROR(VLOOKUP(C37,'[2]TARGET THIS MONTH'!C:E,3,0),0)</f>
        <v>50</v>
      </c>
      <c r="H37" s="79">
        <f>IFERROR(VLOOKUP(C37,'[2]TARGET THIS MONTH'!C:M,11,0),0)</f>
        <v>215000000</v>
      </c>
      <c r="I37" s="78">
        <f>IFERROR(GETPIVOTDATA("Sum of Qty",'[2]DEVICE &amp; VALUE'!$A$6,"ID Store",$C37),0)</f>
        <v>13</v>
      </c>
      <c r="J37" s="80">
        <f t="shared" si="0"/>
        <v>0.26</v>
      </c>
      <c r="K37" s="81">
        <f t="shared" si="1"/>
        <v>-37</v>
      </c>
      <c r="L37" s="82">
        <f>IFERROR(GETPIVOTDATA("Sum of Qty",[2]PF!$A$5,"ID Store",$C37),0)</f>
        <v>3</v>
      </c>
      <c r="M37" s="82">
        <f>IFERROR(GETPIVOTDATA("Sum of Qty",'[2]DEVICE &amp; VALUE'!$A$6,"ID Store",$C37,"Segment Price","3mio&gt;"),0)</f>
        <v>6</v>
      </c>
      <c r="N37" s="83">
        <f t="shared" si="2"/>
        <v>0.46153846153846156</v>
      </c>
      <c r="O37" s="84">
        <f>IFERROR(GETPIVOTDATA("Sum of Qty",[2]IQOO!$A$6,"ID Store",$C37),0)</f>
        <v>1</v>
      </c>
      <c r="P37" s="83">
        <f t="shared" si="3"/>
        <v>7.6923076923076927E-2</v>
      </c>
      <c r="Q37" s="83">
        <f t="shared" si="4"/>
        <v>0.46153846153846156</v>
      </c>
      <c r="R37" s="85">
        <f>IFERROR(GETPIVOTDATA("Sum of SRP",'[2]DEVICE &amp; VALUE'!$A$6,"ID Store",$C37),0)</f>
        <v>45187000</v>
      </c>
      <c r="S37" s="83">
        <f t="shared" si="5"/>
        <v>0.21017209302325582</v>
      </c>
      <c r="T37" s="86">
        <f t="shared" si="6"/>
        <v>-169813000</v>
      </c>
      <c r="U37" s="87">
        <f t="shared" si="7"/>
        <v>43.333333333333336</v>
      </c>
      <c r="V37" s="88">
        <f t="shared" si="8"/>
        <v>0.8666666666666667</v>
      </c>
      <c r="W37" s="89">
        <f t="shared" si="9"/>
        <v>-6.6666666666666643</v>
      </c>
      <c r="X37" s="89">
        <f t="shared" si="10"/>
        <v>20</v>
      </c>
      <c r="Y37" s="89">
        <f t="shared" si="11"/>
        <v>-30</v>
      </c>
      <c r="Z37" s="90">
        <f t="shared" si="12"/>
        <v>150623333.33333334</v>
      </c>
      <c r="AA37" s="90">
        <f t="shared" si="13"/>
        <v>-64376666.666666657</v>
      </c>
      <c r="AB37" s="91">
        <f t="shared" si="14"/>
        <v>0.70057364341085271</v>
      </c>
      <c r="AC37" s="92">
        <f t="shared" si="15"/>
        <v>1.7619047619047619</v>
      </c>
      <c r="AD37" s="93">
        <f t="shared" si="16"/>
        <v>8086333.333333333</v>
      </c>
      <c r="AE37" s="78">
        <f>IFERROR(GETPIVOTDATA("Sum of Qty",'[2]DATA LAST MONTH IQOO'!$A$6,"ID Store",$C37),0)</f>
        <v>6</v>
      </c>
      <c r="AF37" s="94">
        <f>IFERROR(GETPIVOTDATA("Sum of Qty",[2]IQOO!$A$6,"ID Store",$C37),0)</f>
        <v>1</v>
      </c>
      <c r="AG37" s="81">
        <f t="shared" si="17"/>
        <v>-5</v>
      </c>
      <c r="AH37" s="95">
        <f t="shared" si="18"/>
        <v>-0.83333333333333337</v>
      </c>
      <c r="AI37" s="96">
        <f>IFERROR(GETPIVOTDATA("Sum of Qty",'[2]DATA LAST MONTH DEVICE'!$A$6,"ID Store",$C37),0)</f>
        <v>28</v>
      </c>
      <c r="AJ37" s="97">
        <f t="shared" si="19"/>
        <v>13</v>
      </c>
      <c r="AK37" s="81">
        <f t="shared" si="20"/>
        <v>-15</v>
      </c>
      <c r="AL37" s="83">
        <f t="shared" si="21"/>
        <v>-0.5357142857142857</v>
      </c>
      <c r="AM37" s="82">
        <f>IFERROR(GETPIVOTDATA("Sum of Qty",'[2]Store 3mio+ last month'!$A$6,"ID Store",$C37),0)</f>
        <v>53</v>
      </c>
      <c r="AN37" s="81">
        <f t="shared" si="22"/>
        <v>43.333333333333336</v>
      </c>
      <c r="AO37" s="81">
        <f t="shared" si="23"/>
        <v>-9.6666666666666643</v>
      </c>
      <c r="AP37" s="83">
        <f t="shared" si="24"/>
        <v>-0.1823899371069182</v>
      </c>
      <c r="AQ37" s="82">
        <f>IFERROR(GETPIVOTDATA("Sum of Qty",'[2]DATA LAST MONTH DEVICE'!$A$6,"ID Store",$C37,"Segment Price","3mio&gt;"),0)</f>
        <v>17</v>
      </c>
      <c r="AR37" s="84">
        <f t="shared" si="25"/>
        <v>6</v>
      </c>
      <c r="AS37" s="84">
        <f t="shared" si="26"/>
        <v>-11</v>
      </c>
      <c r="AT37" s="83">
        <f t="shared" si="27"/>
        <v>-0.6470588235294118</v>
      </c>
      <c r="AU37" s="98">
        <f>IFERROR(GETPIVOTDATA("Sum of SRP",'[2]DATA LAST MONTH DEVICE'!$A$6,"ID Store",$C37),0)</f>
        <v>223772000</v>
      </c>
      <c r="AV37" s="98">
        <f t="shared" si="28"/>
        <v>45187000</v>
      </c>
      <c r="AW37" s="98">
        <f t="shared" si="29"/>
        <v>-178585000</v>
      </c>
      <c r="AX37" s="83">
        <f t="shared" si="30"/>
        <v>-0.7980667822605152</v>
      </c>
      <c r="AY37" s="98">
        <f>IFERROR(VLOOKUP(C37,'[2]DATA SALES LAST MONTH'!A:E,5,0),0)</f>
        <v>7991857.1428571427</v>
      </c>
      <c r="AZ37" s="85">
        <f t="shared" si="31"/>
        <v>3475923.076923077</v>
      </c>
      <c r="BA37" s="85">
        <f t="shared" si="32"/>
        <v>-4515934.0659340657</v>
      </c>
      <c r="BB37" s="95">
        <f t="shared" si="33"/>
        <v>-0.56506691563803269</v>
      </c>
      <c r="BC37" s="78">
        <f>IFERROR(VLOOKUP(C37,'[2]TARGET THIS MONTH'!C:U,15,0),0)</f>
        <v>5</v>
      </c>
      <c r="BD37" s="99">
        <f>IFERROR(GETPIVOTDATA("Sum of Qty",[2]ACC!$A$5,"ID Store",$C37),0)</f>
        <v>4</v>
      </c>
      <c r="BE37" s="83">
        <f t="shared" si="34"/>
        <v>0.8</v>
      </c>
      <c r="BF37" s="100">
        <f>IFERROR(VLOOKUP(C37,'[2]TARGET THIS MONTH'!C:U,16,0),0)</f>
        <v>1075000</v>
      </c>
      <c r="BG37" s="100">
        <f>IFERROR(GETPIVOTDATA("Sum of SRP",'[2]Insurance by Store'!$A$5,"ID Store",$C37,"Product Type","Qoala"),0)</f>
        <v>0</v>
      </c>
      <c r="BH37" s="83">
        <f t="shared" si="35"/>
        <v>0</v>
      </c>
      <c r="BI37" s="100">
        <f>IFERROR(VLOOKUP(C37,'[2]TARGET THIS MONTH'!C:U,17,0),0)</f>
        <v>215000</v>
      </c>
      <c r="BJ37" s="100">
        <f>IFERROR(GETPIVOTDATA("Sum of SRP",'[2]Insurance by Store'!$A$5,"ID Store",$C37,"Product Type","Vivo Care"),0)</f>
        <v>0</v>
      </c>
      <c r="BK37" s="83">
        <f t="shared" si="36"/>
        <v>0</v>
      </c>
      <c r="BL37" s="81">
        <f>IFERROR(VLOOKUP(C37,'[2]TARGET THIS MONTH'!C:U,18,0),0)</f>
        <v>1.5</v>
      </c>
      <c r="BM37" s="82">
        <f>IFERROR(GETPIVOTDATA("Sum of Qty",'[2]Operator by Store'!$A$5,"ID Store",$C37,"Product Type","Indosat"),0)</f>
        <v>0</v>
      </c>
      <c r="BN37" s="83">
        <f t="shared" si="37"/>
        <v>0</v>
      </c>
      <c r="BO37" s="81">
        <f>VLOOKUP(C37,'[2]TARGET THIS MONTH'!C:U,19,0)</f>
        <v>15</v>
      </c>
      <c r="BP37" s="82">
        <f>IFERROR(GETPIVOTDATA("Sum of Qty",'[2]Operator by Store'!$A$5,"ID Store",$C37,"Product Type","Telkomsel"),0)</f>
        <v>0</v>
      </c>
      <c r="BQ37" s="101">
        <f t="shared" si="38"/>
        <v>0</v>
      </c>
    </row>
    <row r="38" spans="1:69" x14ac:dyDescent="0.2">
      <c r="A38" s="72">
        <v>34</v>
      </c>
      <c r="B38" s="73" t="s">
        <v>90</v>
      </c>
      <c r="C38" s="74">
        <v>6190706</v>
      </c>
      <c r="D38" s="75" t="s">
        <v>93</v>
      </c>
      <c r="E38" s="102" t="s">
        <v>92</v>
      </c>
      <c r="F38" s="77">
        <v>4</v>
      </c>
      <c r="G38" s="78">
        <f>IFERROR(VLOOKUP(C38,'[2]TARGET THIS MONTH'!C:E,3,0),0)</f>
        <v>110</v>
      </c>
      <c r="H38" s="79">
        <f>IFERROR(VLOOKUP(C38,'[2]TARGET THIS MONTH'!C:M,11,0),0)</f>
        <v>473000000</v>
      </c>
      <c r="I38" s="78">
        <f>IFERROR(GETPIVOTDATA("Sum of Qty",'[2]DEVICE &amp; VALUE'!$A$6,"ID Store",$C38),0)</f>
        <v>43</v>
      </c>
      <c r="J38" s="80">
        <f t="shared" si="0"/>
        <v>0.39090909090909093</v>
      </c>
      <c r="K38" s="81">
        <f t="shared" si="1"/>
        <v>-67</v>
      </c>
      <c r="L38" s="82">
        <f>IFERROR(GETPIVOTDATA("Sum of Qty",[2]PF!$A$5,"ID Store",$C38),0)</f>
        <v>11</v>
      </c>
      <c r="M38" s="82">
        <f>IFERROR(GETPIVOTDATA("Sum of Qty",'[2]DEVICE &amp; VALUE'!$A$6,"ID Store",$C38,"Segment Price","3mio&gt;"),0)</f>
        <v>21</v>
      </c>
      <c r="N38" s="83">
        <f t="shared" si="2"/>
        <v>0.48837209302325579</v>
      </c>
      <c r="O38" s="84">
        <f>IFERROR(GETPIVOTDATA("Sum of Qty",[2]IQOO!$A$6,"ID Store",$C38),0)</f>
        <v>1</v>
      </c>
      <c r="P38" s="83">
        <f t="shared" si="3"/>
        <v>2.3255813953488372E-2</v>
      </c>
      <c r="Q38" s="83">
        <f t="shared" si="4"/>
        <v>0.48837209302325579</v>
      </c>
      <c r="R38" s="85">
        <f>IFERROR(GETPIVOTDATA("Sum of SRP",'[2]DEVICE &amp; VALUE'!$A$6,"ID Store",$C38),0)</f>
        <v>220057000</v>
      </c>
      <c r="S38" s="83">
        <f t="shared" si="5"/>
        <v>0.46523678646934463</v>
      </c>
      <c r="T38" s="86">
        <f t="shared" si="6"/>
        <v>-252943000</v>
      </c>
      <c r="U38" s="87">
        <f t="shared" si="7"/>
        <v>143.33333333333334</v>
      </c>
      <c r="V38" s="88">
        <f t="shared" si="8"/>
        <v>1.3030303030303032</v>
      </c>
      <c r="W38" s="89">
        <f t="shared" si="9"/>
        <v>33.333333333333343</v>
      </c>
      <c r="X38" s="89">
        <f t="shared" si="10"/>
        <v>70</v>
      </c>
      <c r="Y38" s="89">
        <f t="shared" si="11"/>
        <v>-40</v>
      </c>
      <c r="Z38" s="90">
        <f t="shared" si="12"/>
        <v>733523333.33333325</v>
      </c>
      <c r="AA38" s="90">
        <f t="shared" si="13"/>
        <v>260523333.33333325</v>
      </c>
      <c r="AB38" s="91">
        <f t="shared" si="14"/>
        <v>1.5507892882311485</v>
      </c>
      <c r="AC38" s="92">
        <f t="shared" si="15"/>
        <v>3.1904761904761907</v>
      </c>
      <c r="AD38" s="93">
        <f t="shared" si="16"/>
        <v>12044904.761904761</v>
      </c>
      <c r="AE38" s="78">
        <f>IFERROR(GETPIVOTDATA("Sum of Qty",'[2]DATA LAST MONTH IQOO'!$A$6,"ID Store",$C38),0)</f>
        <v>2</v>
      </c>
      <c r="AF38" s="94">
        <f>IFERROR(GETPIVOTDATA("Sum of Qty",[2]IQOO!$A$6,"ID Store",$C38),0)</f>
        <v>1</v>
      </c>
      <c r="AG38" s="81">
        <f t="shared" si="17"/>
        <v>-1</v>
      </c>
      <c r="AH38" s="95">
        <f t="shared" si="18"/>
        <v>-0.5</v>
      </c>
      <c r="AI38" s="96">
        <f>IFERROR(GETPIVOTDATA("Sum of Qty",'[2]DATA LAST MONTH DEVICE'!$A$6,"ID Store",$C38),0)</f>
        <v>46</v>
      </c>
      <c r="AJ38" s="97">
        <f t="shared" si="19"/>
        <v>43</v>
      </c>
      <c r="AK38" s="81">
        <f t="shared" si="20"/>
        <v>-3</v>
      </c>
      <c r="AL38" s="83">
        <f t="shared" si="21"/>
        <v>-6.5217391304347824E-2</v>
      </c>
      <c r="AM38" s="82">
        <f>IFERROR(GETPIVOTDATA("Sum of Qty",'[2]Store 3mio+ last month'!$A$6,"ID Store",$C38),0)</f>
        <v>116</v>
      </c>
      <c r="AN38" s="81">
        <f t="shared" si="22"/>
        <v>143.33333333333334</v>
      </c>
      <c r="AO38" s="81">
        <f t="shared" si="23"/>
        <v>27.333333333333343</v>
      </c>
      <c r="AP38" s="83">
        <f t="shared" si="24"/>
        <v>0.23563218390804605</v>
      </c>
      <c r="AQ38" s="82">
        <f>IFERROR(GETPIVOTDATA("Sum of Qty",'[2]DATA LAST MONTH DEVICE'!$A$6,"ID Store",$C38,"Segment Price","3mio&gt;"),0)</f>
        <v>19</v>
      </c>
      <c r="AR38" s="84">
        <f t="shared" si="25"/>
        <v>21</v>
      </c>
      <c r="AS38" s="84">
        <f t="shared" si="26"/>
        <v>2</v>
      </c>
      <c r="AT38" s="83">
        <f t="shared" si="27"/>
        <v>0.10526315789473684</v>
      </c>
      <c r="AU38" s="98">
        <f>IFERROR(GETPIVOTDATA("Sum of SRP",'[2]DATA LAST MONTH DEVICE'!$A$6,"ID Store",$C38),0)</f>
        <v>180354000</v>
      </c>
      <c r="AV38" s="98">
        <f t="shared" si="28"/>
        <v>220057000</v>
      </c>
      <c r="AW38" s="98">
        <f t="shared" si="29"/>
        <v>39703000</v>
      </c>
      <c r="AX38" s="83">
        <f t="shared" si="30"/>
        <v>0.22013928163500671</v>
      </c>
      <c r="AY38" s="98">
        <f>IFERROR(VLOOKUP(C38,'[2]DATA SALES LAST MONTH'!A:E,5,0),0)</f>
        <v>3920739.1304347827</v>
      </c>
      <c r="AZ38" s="85">
        <f t="shared" si="31"/>
        <v>5117604.6511627901</v>
      </c>
      <c r="BA38" s="85">
        <f t="shared" si="32"/>
        <v>1196865.5207280074</v>
      </c>
      <c r="BB38" s="95">
        <f t="shared" si="33"/>
        <v>0.30526527802814651</v>
      </c>
      <c r="BC38" s="78">
        <f>IFERROR(VLOOKUP(C38,'[2]TARGET THIS MONTH'!C:U,15,0),0)</f>
        <v>11</v>
      </c>
      <c r="BD38" s="99">
        <f>IFERROR(GETPIVOTDATA("Sum of Qty",[2]ACC!$A$5,"ID Store",$C38),0)</f>
        <v>4</v>
      </c>
      <c r="BE38" s="83">
        <f t="shared" si="34"/>
        <v>0.36363636363636365</v>
      </c>
      <c r="BF38" s="100">
        <f>IFERROR(VLOOKUP(C38,'[2]TARGET THIS MONTH'!C:U,16,0),0)</f>
        <v>2365000</v>
      </c>
      <c r="BG38" s="100">
        <f>IFERROR(GETPIVOTDATA("Sum of SRP",'[2]Insurance by Store'!$A$5,"ID Store",$C38,"Product Type","Qoala"),0)</f>
        <v>1157000</v>
      </c>
      <c r="BH38" s="83">
        <f t="shared" si="35"/>
        <v>0.48921775898520087</v>
      </c>
      <c r="BI38" s="100">
        <f>IFERROR(VLOOKUP(C38,'[2]TARGET THIS MONTH'!C:U,17,0),0)</f>
        <v>473000</v>
      </c>
      <c r="BJ38" s="100">
        <f>IFERROR(GETPIVOTDATA("Sum of SRP",'[2]Insurance by Store'!$A$5,"ID Store",$C38,"Product Type","Vivo Care"),0)</f>
        <v>0</v>
      </c>
      <c r="BK38" s="83">
        <f t="shared" si="36"/>
        <v>0</v>
      </c>
      <c r="BL38" s="81">
        <f>IFERROR(VLOOKUP(C38,'[2]TARGET THIS MONTH'!C:U,18,0),0)</f>
        <v>3.3</v>
      </c>
      <c r="BM38" s="82">
        <f>IFERROR(GETPIVOTDATA("Sum of Qty",'[2]Operator by Store'!$A$5,"ID Store",$C38,"Product Type","Indosat"),0)</f>
        <v>2</v>
      </c>
      <c r="BN38" s="83">
        <f t="shared" si="37"/>
        <v>0.60606060606060608</v>
      </c>
      <c r="BO38" s="81">
        <f>VLOOKUP(C38,'[2]TARGET THIS MONTH'!C:U,19,0)</f>
        <v>33</v>
      </c>
      <c r="BP38" s="82">
        <f>IFERROR(GETPIVOTDATA("Sum of Qty",'[2]Operator by Store'!$A$5,"ID Store",$C38,"Product Type","Telkomsel"),0)</f>
        <v>0</v>
      </c>
      <c r="BQ38" s="101">
        <f t="shared" si="38"/>
        <v>0</v>
      </c>
    </row>
    <row r="39" spans="1:69" x14ac:dyDescent="0.2">
      <c r="A39" s="72">
        <v>35</v>
      </c>
      <c r="B39" s="73" t="s">
        <v>90</v>
      </c>
      <c r="C39" s="74">
        <v>6190705</v>
      </c>
      <c r="D39" s="75" t="s">
        <v>94</v>
      </c>
      <c r="E39" s="102" t="s">
        <v>92</v>
      </c>
      <c r="F39" s="77">
        <v>2</v>
      </c>
      <c r="G39" s="78">
        <f>IFERROR(VLOOKUP(C39,'[2]TARGET THIS MONTH'!C:E,3,0),0)</f>
        <v>60</v>
      </c>
      <c r="H39" s="79">
        <f>IFERROR(VLOOKUP(C39,'[2]TARGET THIS MONTH'!C:M,11,0),0)</f>
        <v>258000000</v>
      </c>
      <c r="I39" s="78">
        <f>IFERROR(GETPIVOTDATA("Sum of Qty",'[2]DEVICE &amp; VALUE'!$A$6,"ID Store",$C39),0)</f>
        <v>12</v>
      </c>
      <c r="J39" s="80">
        <f t="shared" si="0"/>
        <v>0.2</v>
      </c>
      <c r="K39" s="81">
        <f t="shared" si="1"/>
        <v>-48</v>
      </c>
      <c r="L39" s="82">
        <f>IFERROR(GETPIVOTDATA("Sum of Qty",[2]PF!$A$5,"ID Store",$C39),0)</f>
        <v>3</v>
      </c>
      <c r="M39" s="82">
        <f>IFERROR(GETPIVOTDATA("Sum of Qty",'[2]DEVICE &amp; VALUE'!$A$6,"ID Store",$C39,"Segment Price","3mio&gt;"),0)</f>
        <v>5</v>
      </c>
      <c r="N39" s="83">
        <f t="shared" si="2"/>
        <v>0.41666666666666669</v>
      </c>
      <c r="O39" s="84">
        <f>IFERROR(GETPIVOTDATA("Sum of Qty",[2]IQOO!$A$6,"ID Store",$C39),0)</f>
        <v>1</v>
      </c>
      <c r="P39" s="83">
        <f t="shared" si="3"/>
        <v>8.3333333333333329E-2</v>
      </c>
      <c r="Q39" s="83">
        <f t="shared" si="4"/>
        <v>0.41666666666666669</v>
      </c>
      <c r="R39" s="85">
        <f>IFERROR(GETPIVOTDATA("Sum of SRP",'[2]DEVICE &amp; VALUE'!$A$6,"ID Store",$C39),0)</f>
        <v>43688000</v>
      </c>
      <c r="S39" s="83">
        <f t="shared" si="5"/>
        <v>0.16933333333333334</v>
      </c>
      <c r="T39" s="86">
        <f t="shared" si="6"/>
        <v>-214312000</v>
      </c>
      <c r="U39" s="87">
        <f t="shared" si="7"/>
        <v>40</v>
      </c>
      <c r="V39" s="88">
        <f t="shared" si="8"/>
        <v>0.66666666666666663</v>
      </c>
      <c r="W39" s="89">
        <f t="shared" si="9"/>
        <v>-20</v>
      </c>
      <c r="X39" s="89">
        <f t="shared" si="10"/>
        <v>16.666666666666668</v>
      </c>
      <c r="Y39" s="89">
        <f t="shared" si="11"/>
        <v>-43.333333333333329</v>
      </c>
      <c r="Z39" s="90">
        <f t="shared" si="12"/>
        <v>145626666.66666666</v>
      </c>
      <c r="AA39" s="90">
        <f t="shared" si="13"/>
        <v>-112373333.33333334</v>
      </c>
      <c r="AB39" s="91">
        <f t="shared" si="14"/>
        <v>0.56444444444444442</v>
      </c>
      <c r="AC39" s="92">
        <f t="shared" si="15"/>
        <v>2.2857142857142856</v>
      </c>
      <c r="AD39" s="93">
        <f t="shared" si="16"/>
        <v>10205333.333333334</v>
      </c>
      <c r="AE39" s="78">
        <f>IFERROR(GETPIVOTDATA("Sum of Qty",'[2]DATA LAST MONTH IQOO'!$A$6,"ID Store",$C39),0)</f>
        <v>2</v>
      </c>
      <c r="AF39" s="94">
        <f>IFERROR(GETPIVOTDATA("Sum of Qty",[2]IQOO!$A$6,"ID Store",$C39),0)</f>
        <v>1</v>
      </c>
      <c r="AG39" s="81">
        <f t="shared" si="17"/>
        <v>-1</v>
      </c>
      <c r="AH39" s="95">
        <f t="shared" si="18"/>
        <v>-0.5</v>
      </c>
      <c r="AI39" s="96">
        <f>IFERROR(GETPIVOTDATA("Sum of Qty",'[2]DATA LAST MONTH DEVICE'!$A$6,"ID Store",$C39),0)</f>
        <v>21</v>
      </c>
      <c r="AJ39" s="97">
        <f t="shared" si="19"/>
        <v>12</v>
      </c>
      <c r="AK39" s="81">
        <f t="shared" si="20"/>
        <v>-9</v>
      </c>
      <c r="AL39" s="83">
        <f t="shared" si="21"/>
        <v>-0.42857142857142855</v>
      </c>
      <c r="AM39" s="82">
        <f>IFERROR(GETPIVOTDATA("Sum of Qty",'[2]Store 3mio+ last month'!$A$6,"ID Store",$C39),0)</f>
        <v>70</v>
      </c>
      <c r="AN39" s="81">
        <f t="shared" si="22"/>
        <v>40</v>
      </c>
      <c r="AO39" s="81">
        <f t="shared" si="23"/>
        <v>-30</v>
      </c>
      <c r="AP39" s="83">
        <f t="shared" si="24"/>
        <v>-0.42857142857142855</v>
      </c>
      <c r="AQ39" s="82">
        <f>IFERROR(GETPIVOTDATA("Sum of Qty",'[2]DATA LAST MONTH DEVICE'!$A$6,"ID Store",$C39,"Segment Price","3mio&gt;"),0)</f>
        <v>7</v>
      </c>
      <c r="AR39" s="84">
        <f t="shared" si="25"/>
        <v>5</v>
      </c>
      <c r="AS39" s="84">
        <f t="shared" si="26"/>
        <v>-2</v>
      </c>
      <c r="AT39" s="83">
        <f t="shared" si="27"/>
        <v>-0.2857142857142857</v>
      </c>
      <c r="AU39" s="98">
        <f>IFERROR(GETPIVOTDATA("Sum of SRP",'[2]DATA LAST MONTH DEVICE'!$A$6,"ID Store",$C39),0)</f>
        <v>74479000</v>
      </c>
      <c r="AV39" s="98">
        <f t="shared" si="28"/>
        <v>43688000</v>
      </c>
      <c r="AW39" s="98">
        <f t="shared" si="29"/>
        <v>-30791000</v>
      </c>
      <c r="AX39" s="83">
        <f t="shared" si="30"/>
        <v>-0.41341854751003637</v>
      </c>
      <c r="AY39" s="98">
        <f>IFERROR(VLOOKUP(C39,'[2]DATA SALES LAST MONTH'!A:E,5,0),0)</f>
        <v>3546619.0476190476</v>
      </c>
      <c r="AZ39" s="85">
        <f t="shared" si="31"/>
        <v>3640666.6666666665</v>
      </c>
      <c r="BA39" s="85">
        <f t="shared" si="32"/>
        <v>94047.619047618937</v>
      </c>
      <c r="BB39" s="95">
        <f t="shared" si="33"/>
        <v>2.6517541857436294E-2</v>
      </c>
      <c r="BC39" s="78">
        <f>IFERROR(VLOOKUP(C39,'[2]TARGET THIS MONTH'!C:U,15,0),0)</f>
        <v>6</v>
      </c>
      <c r="BD39" s="99">
        <f>IFERROR(GETPIVOTDATA("Sum of Qty",[2]ACC!$A$5,"ID Store",$C39),0)</f>
        <v>1</v>
      </c>
      <c r="BE39" s="83">
        <f t="shared" si="34"/>
        <v>0.16666666666666666</v>
      </c>
      <c r="BF39" s="100">
        <f>IFERROR(VLOOKUP(C39,'[2]TARGET THIS MONTH'!C:U,16,0),0)</f>
        <v>1290000</v>
      </c>
      <c r="BG39" s="100">
        <f>IFERROR(GETPIVOTDATA("Sum of SRP",'[2]Insurance by Store'!$A$5,"ID Store",$C39,"Product Type","Qoala"),0)</f>
        <v>408000</v>
      </c>
      <c r="BH39" s="83">
        <f t="shared" si="35"/>
        <v>0.31627906976744186</v>
      </c>
      <c r="BI39" s="100">
        <f>IFERROR(VLOOKUP(C39,'[2]TARGET THIS MONTH'!C:U,17,0),0)</f>
        <v>258000</v>
      </c>
      <c r="BJ39" s="100">
        <f>IFERROR(GETPIVOTDATA("Sum of SRP",'[2]Insurance by Store'!$A$5,"ID Store",$C39,"Product Type","Vivo Care"),0)</f>
        <v>0</v>
      </c>
      <c r="BK39" s="83">
        <f t="shared" si="36"/>
        <v>0</v>
      </c>
      <c r="BL39" s="81">
        <f>IFERROR(VLOOKUP(C39,'[2]TARGET THIS MONTH'!C:U,18,0),0)</f>
        <v>1.8</v>
      </c>
      <c r="BM39" s="82">
        <f>IFERROR(GETPIVOTDATA("Sum of Qty",'[2]Operator by Store'!$A$5,"ID Store",$C39,"Product Type","Indosat"),0)</f>
        <v>0</v>
      </c>
      <c r="BN39" s="83">
        <f t="shared" si="37"/>
        <v>0</v>
      </c>
      <c r="BO39" s="81">
        <f>VLOOKUP(C39,'[2]TARGET THIS MONTH'!C:U,19,0)</f>
        <v>18</v>
      </c>
      <c r="BP39" s="82">
        <f>IFERROR(GETPIVOTDATA("Sum of Qty",'[2]Operator by Store'!$A$5,"ID Store",$C39,"Product Type","Telkomsel"),0)</f>
        <v>0</v>
      </c>
      <c r="BQ39" s="101">
        <f t="shared" si="38"/>
        <v>0</v>
      </c>
    </row>
    <row r="40" spans="1:69" x14ac:dyDescent="0.2">
      <c r="A40" s="72">
        <v>36</v>
      </c>
      <c r="B40" s="73" t="s">
        <v>90</v>
      </c>
      <c r="C40" s="74">
        <v>6190704</v>
      </c>
      <c r="D40" s="75" t="s">
        <v>95</v>
      </c>
      <c r="E40" s="102" t="s">
        <v>96</v>
      </c>
      <c r="F40" s="77">
        <v>4</v>
      </c>
      <c r="G40" s="78">
        <f>IFERROR(VLOOKUP(C40,'[2]TARGET THIS MONTH'!C:E,3,0),0)</f>
        <v>120</v>
      </c>
      <c r="H40" s="79">
        <f>IFERROR(VLOOKUP(C40,'[2]TARGET THIS MONTH'!C:M,11,0),0)</f>
        <v>516000000</v>
      </c>
      <c r="I40" s="78">
        <f>IFERROR(GETPIVOTDATA("Sum of Qty",'[2]DEVICE &amp; VALUE'!$A$6,"ID Store",$C40),0)</f>
        <v>43</v>
      </c>
      <c r="J40" s="80">
        <f t="shared" si="0"/>
        <v>0.35833333333333334</v>
      </c>
      <c r="K40" s="81">
        <f t="shared" si="1"/>
        <v>-77</v>
      </c>
      <c r="L40" s="82">
        <f>IFERROR(GETPIVOTDATA("Sum of Qty",[2]PF!$A$5,"ID Store",$C40),0)</f>
        <v>7</v>
      </c>
      <c r="M40" s="82">
        <f>IFERROR(GETPIVOTDATA("Sum of Qty",'[2]DEVICE &amp; VALUE'!$A$6,"ID Store",$C40,"Segment Price","3mio&gt;"),0)</f>
        <v>14</v>
      </c>
      <c r="N40" s="83">
        <f t="shared" si="2"/>
        <v>0.32558139534883723</v>
      </c>
      <c r="O40" s="84">
        <f>IFERROR(GETPIVOTDATA("Sum of Qty",[2]IQOO!$A$6,"ID Store",$C40),0)</f>
        <v>1</v>
      </c>
      <c r="P40" s="83">
        <f t="shared" si="3"/>
        <v>2.3255813953488372E-2</v>
      </c>
      <c r="Q40" s="83">
        <f t="shared" si="4"/>
        <v>0.32558139534883723</v>
      </c>
      <c r="R40" s="85">
        <f>IFERROR(GETPIVOTDATA("Sum of SRP",'[2]DEVICE &amp; VALUE'!$A$6,"ID Store",$C40),0)</f>
        <v>150357000</v>
      </c>
      <c r="S40" s="83">
        <f t="shared" si="5"/>
        <v>0.29138953488372094</v>
      </c>
      <c r="T40" s="86">
        <f t="shared" si="6"/>
        <v>-365643000</v>
      </c>
      <c r="U40" s="87">
        <f t="shared" si="7"/>
        <v>143.33333333333334</v>
      </c>
      <c r="V40" s="88">
        <f t="shared" si="8"/>
        <v>1.1944444444444444</v>
      </c>
      <c r="W40" s="89">
        <f t="shared" si="9"/>
        <v>23.333333333333343</v>
      </c>
      <c r="X40" s="89">
        <f t="shared" si="10"/>
        <v>46.666666666666664</v>
      </c>
      <c r="Y40" s="89">
        <f t="shared" si="11"/>
        <v>-73.333333333333343</v>
      </c>
      <c r="Z40" s="90">
        <f t="shared" si="12"/>
        <v>501190000</v>
      </c>
      <c r="AA40" s="90">
        <f t="shared" si="13"/>
        <v>-14810000</v>
      </c>
      <c r="AB40" s="91">
        <f t="shared" si="14"/>
        <v>0.97129844961240308</v>
      </c>
      <c r="AC40" s="92">
        <f t="shared" si="15"/>
        <v>3.6666666666666665</v>
      </c>
      <c r="AD40" s="93">
        <f t="shared" si="16"/>
        <v>17411571.428571429</v>
      </c>
      <c r="AE40" s="78">
        <f>IFERROR(GETPIVOTDATA("Sum of Qty",'[2]DATA LAST MONTH IQOO'!$A$6,"ID Store",$C40),0)</f>
        <v>5</v>
      </c>
      <c r="AF40" s="94">
        <f>IFERROR(GETPIVOTDATA("Sum of Qty",[2]IQOO!$A$6,"ID Store",$C40),0)</f>
        <v>1</v>
      </c>
      <c r="AG40" s="81">
        <f t="shared" si="17"/>
        <v>-4</v>
      </c>
      <c r="AH40" s="95">
        <f t="shared" si="18"/>
        <v>-0.8</v>
      </c>
      <c r="AI40" s="96">
        <f>IFERROR(GETPIVOTDATA("Sum of Qty",'[2]DATA LAST MONTH DEVICE'!$A$6,"ID Store",$C40),0)</f>
        <v>34</v>
      </c>
      <c r="AJ40" s="97">
        <f t="shared" si="19"/>
        <v>43</v>
      </c>
      <c r="AK40" s="81">
        <f t="shared" si="20"/>
        <v>9</v>
      </c>
      <c r="AL40" s="83">
        <f t="shared" si="21"/>
        <v>0.26470588235294118</v>
      </c>
      <c r="AM40" s="82">
        <f>IFERROR(GETPIVOTDATA("Sum of Qty",'[2]Store 3mio+ last month'!$A$6,"ID Store",$C40),0)</f>
        <v>112</v>
      </c>
      <c r="AN40" s="81">
        <f t="shared" si="22"/>
        <v>143.33333333333334</v>
      </c>
      <c r="AO40" s="81">
        <f t="shared" si="23"/>
        <v>31.333333333333343</v>
      </c>
      <c r="AP40" s="83">
        <f t="shared" si="24"/>
        <v>0.27976190476190482</v>
      </c>
      <c r="AQ40" s="82">
        <f>IFERROR(GETPIVOTDATA("Sum of Qty",'[2]DATA LAST MONTH DEVICE'!$A$6,"ID Store",$C40,"Segment Price","3mio&gt;"),0)</f>
        <v>13</v>
      </c>
      <c r="AR40" s="84">
        <f t="shared" si="25"/>
        <v>14</v>
      </c>
      <c r="AS40" s="84">
        <f t="shared" si="26"/>
        <v>1</v>
      </c>
      <c r="AT40" s="83">
        <f t="shared" si="27"/>
        <v>7.6923076923076927E-2</v>
      </c>
      <c r="AU40" s="98">
        <f>IFERROR(GETPIVOTDATA("Sum of SRP",'[2]DATA LAST MONTH DEVICE'!$A$6,"ID Store",$C40),0)</f>
        <v>121866000</v>
      </c>
      <c r="AV40" s="98">
        <f t="shared" si="28"/>
        <v>150357000</v>
      </c>
      <c r="AW40" s="98">
        <f t="shared" si="29"/>
        <v>28491000</v>
      </c>
      <c r="AX40" s="83">
        <f t="shared" si="30"/>
        <v>0.23378957215302054</v>
      </c>
      <c r="AY40" s="98">
        <f>IFERROR(VLOOKUP(C40,'[2]DATA SALES LAST MONTH'!A:E,5,0),0)</f>
        <v>3584294.1176470588</v>
      </c>
      <c r="AZ40" s="85">
        <f t="shared" si="31"/>
        <v>3496674.418604651</v>
      </c>
      <c r="BA40" s="85">
        <f t="shared" si="32"/>
        <v>-87619.699042407796</v>
      </c>
      <c r="BB40" s="95">
        <f t="shared" si="33"/>
        <v>-2.4445454576681479E-2</v>
      </c>
      <c r="BC40" s="78">
        <f>IFERROR(VLOOKUP(C40,'[2]TARGET THIS MONTH'!C:U,15,0),0)</f>
        <v>12</v>
      </c>
      <c r="BD40" s="99">
        <f>IFERROR(GETPIVOTDATA("Sum of Qty",[2]ACC!$A$5,"ID Store",$C40),0)</f>
        <v>6</v>
      </c>
      <c r="BE40" s="83">
        <f t="shared" si="34"/>
        <v>0.5</v>
      </c>
      <c r="BF40" s="100">
        <f>IFERROR(VLOOKUP(C40,'[2]TARGET THIS MONTH'!C:U,16,0),0)</f>
        <v>2580000</v>
      </c>
      <c r="BG40" s="100">
        <f>IFERROR(GETPIVOTDATA("Sum of SRP",'[2]Insurance by Store'!$A$5,"ID Store",$C40,"Product Type","Qoala"),0)</f>
        <v>318000</v>
      </c>
      <c r="BH40" s="83">
        <f t="shared" si="35"/>
        <v>0.12325581395348838</v>
      </c>
      <c r="BI40" s="100">
        <f>IFERROR(VLOOKUP(C40,'[2]TARGET THIS MONTH'!C:U,17,0),0)</f>
        <v>516000</v>
      </c>
      <c r="BJ40" s="100">
        <f>IFERROR(GETPIVOTDATA("Sum of SRP",'[2]Insurance by Store'!$A$5,"ID Store",$C40,"Product Type","Vivo Care"),0)</f>
        <v>0</v>
      </c>
      <c r="BK40" s="83">
        <f t="shared" si="36"/>
        <v>0</v>
      </c>
      <c r="BL40" s="81">
        <f>IFERROR(VLOOKUP(C40,'[2]TARGET THIS MONTH'!C:U,18,0),0)</f>
        <v>3.6</v>
      </c>
      <c r="BM40" s="82">
        <f>IFERROR(GETPIVOTDATA("Sum of Qty",'[2]Operator by Store'!$A$5,"ID Store",$C40,"Product Type","Indosat"),0)</f>
        <v>0</v>
      </c>
      <c r="BN40" s="83">
        <f t="shared" si="37"/>
        <v>0</v>
      </c>
      <c r="BO40" s="81">
        <f>VLOOKUP(C40,'[2]TARGET THIS MONTH'!C:U,19,0)</f>
        <v>36</v>
      </c>
      <c r="BP40" s="82">
        <f>IFERROR(GETPIVOTDATA("Sum of Qty",'[2]Operator by Store'!$A$5,"ID Store",$C40,"Product Type","Telkomsel"),0)</f>
        <v>0</v>
      </c>
      <c r="BQ40" s="101">
        <f t="shared" si="38"/>
        <v>0</v>
      </c>
    </row>
    <row r="41" spans="1:69" x14ac:dyDescent="0.2">
      <c r="A41" s="72">
        <v>37</v>
      </c>
      <c r="B41" s="73" t="s">
        <v>90</v>
      </c>
      <c r="C41" s="74">
        <v>6190707</v>
      </c>
      <c r="D41" s="75" t="s">
        <v>97</v>
      </c>
      <c r="E41" s="102" t="s">
        <v>96</v>
      </c>
      <c r="F41" s="77">
        <v>4</v>
      </c>
      <c r="G41" s="78">
        <f>IFERROR(VLOOKUP(C41,'[2]TARGET THIS MONTH'!C:E,3,0),0)</f>
        <v>120</v>
      </c>
      <c r="H41" s="79">
        <f>IFERROR(VLOOKUP(C41,'[2]TARGET THIS MONTH'!C:M,11,0),0)</f>
        <v>516000000</v>
      </c>
      <c r="I41" s="78">
        <f>IFERROR(GETPIVOTDATA("Sum of Qty",'[2]DEVICE &amp; VALUE'!$A$6,"ID Store",$C41),0)</f>
        <v>41</v>
      </c>
      <c r="J41" s="80">
        <f t="shared" si="0"/>
        <v>0.34166666666666667</v>
      </c>
      <c r="K41" s="81">
        <f t="shared" si="1"/>
        <v>-79</v>
      </c>
      <c r="L41" s="82">
        <f>IFERROR(GETPIVOTDATA("Sum of Qty",[2]PF!$A$5,"ID Store",$C41),0)</f>
        <v>8</v>
      </c>
      <c r="M41" s="82">
        <f>IFERROR(GETPIVOTDATA("Sum of Qty",'[2]DEVICE &amp; VALUE'!$A$6,"ID Store",$C41,"Segment Price","3mio&gt;"),0)</f>
        <v>13</v>
      </c>
      <c r="N41" s="83">
        <f t="shared" si="2"/>
        <v>0.31707317073170732</v>
      </c>
      <c r="O41" s="84">
        <f>IFERROR(GETPIVOTDATA("Sum of Qty",[2]IQOO!$A$6,"ID Store",$C41),0)</f>
        <v>4</v>
      </c>
      <c r="P41" s="83">
        <f t="shared" si="3"/>
        <v>9.7560975609756101E-2</v>
      </c>
      <c r="Q41" s="83">
        <f t="shared" si="4"/>
        <v>0.31707317073170732</v>
      </c>
      <c r="R41" s="85">
        <f>IFERROR(GETPIVOTDATA("Sum of SRP",'[2]DEVICE &amp; VALUE'!$A$6,"ID Store",$C41),0)</f>
        <v>146059000</v>
      </c>
      <c r="S41" s="83">
        <f t="shared" si="5"/>
        <v>0.28306007751937984</v>
      </c>
      <c r="T41" s="86">
        <f t="shared" si="6"/>
        <v>-369941000</v>
      </c>
      <c r="U41" s="87">
        <f t="shared" si="7"/>
        <v>136.66666666666666</v>
      </c>
      <c r="V41" s="88">
        <f t="shared" si="8"/>
        <v>1.1388888888888888</v>
      </c>
      <c r="W41" s="89">
        <f t="shared" si="9"/>
        <v>16.666666666666657</v>
      </c>
      <c r="X41" s="89">
        <f t="shared" si="10"/>
        <v>43.333333333333336</v>
      </c>
      <c r="Y41" s="89">
        <f t="shared" si="11"/>
        <v>-76.666666666666657</v>
      </c>
      <c r="Z41" s="90">
        <f t="shared" si="12"/>
        <v>486863333.33333331</v>
      </c>
      <c r="AA41" s="90">
        <f t="shared" si="13"/>
        <v>-29136666.666666687</v>
      </c>
      <c r="AB41" s="91">
        <f t="shared" si="14"/>
        <v>0.94353359173126616</v>
      </c>
      <c r="AC41" s="92">
        <f t="shared" si="15"/>
        <v>3.7619047619047619</v>
      </c>
      <c r="AD41" s="93">
        <f t="shared" si="16"/>
        <v>17616238.095238097</v>
      </c>
      <c r="AE41" s="78">
        <f>IFERROR(GETPIVOTDATA("Sum of Qty",'[2]DATA LAST MONTH IQOO'!$A$6,"ID Store",$C41),0)</f>
        <v>5</v>
      </c>
      <c r="AF41" s="94">
        <f>IFERROR(GETPIVOTDATA("Sum of Qty",[2]IQOO!$A$6,"ID Store",$C41),0)</f>
        <v>4</v>
      </c>
      <c r="AG41" s="81">
        <f t="shared" si="17"/>
        <v>-1</v>
      </c>
      <c r="AH41" s="95">
        <f t="shared" si="18"/>
        <v>-0.2</v>
      </c>
      <c r="AI41" s="96">
        <f>IFERROR(GETPIVOTDATA("Sum of Qty",'[2]DATA LAST MONTH DEVICE'!$A$6,"ID Store",$C41),0)</f>
        <v>60</v>
      </c>
      <c r="AJ41" s="97">
        <f t="shared" si="19"/>
        <v>41</v>
      </c>
      <c r="AK41" s="81">
        <f t="shared" si="20"/>
        <v>-19</v>
      </c>
      <c r="AL41" s="83">
        <f t="shared" si="21"/>
        <v>-0.31666666666666665</v>
      </c>
      <c r="AM41" s="82">
        <f>IFERROR(GETPIVOTDATA("Sum of Qty",'[2]Store 3mio+ last month'!$A$6,"ID Store",$C41),0)</f>
        <v>142</v>
      </c>
      <c r="AN41" s="81">
        <f t="shared" si="22"/>
        <v>136.66666666666666</v>
      </c>
      <c r="AO41" s="81">
        <f t="shared" si="23"/>
        <v>-5.3333333333333428</v>
      </c>
      <c r="AP41" s="83">
        <f t="shared" si="24"/>
        <v>-3.7558685446009453E-2</v>
      </c>
      <c r="AQ41" s="82">
        <f>IFERROR(GETPIVOTDATA("Sum of Qty",'[2]DATA LAST MONTH DEVICE'!$A$6,"ID Store",$C41,"Segment Price","3mio&gt;"),0)</f>
        <v>25</v>
      </c>
      <c r="AR41" s="84">
        <f t="shared" si="25"/>
        <v>13</v>
      </c>
      <c r="AS41" s="84">
        <f t="shared" si="26"/>
        <v>-12</v>
      </c>
      <c r="AT41" s="83">
        <f t="shared" si="27"/>
        <v>-0.48</v>
      </c>
      <c r="AU41" s="98">
        <f>IFERROR(GETPIVOTDATA("Sum of SRP",'[2]DATA LAST MONTH DEVICE'!$A$6,"ID Store",$C41),0)</f>
        <v>301040000</v>
      </c>
      <c r="AV41" s="98">
        <f t="shared" si="28"/>
        <v>146059000</v>
      </c>
      <c r="AW41" s="98">
        <f t="shared" si="29"/>
        <v>-154981000</v>
      </c>
      <c r="AX41" s="83">
        <f t="shared" si="30"/>
        <v>-0.51481862875365403</v>
      </c>
      <c r="AY41" s="98">
        <f>IFERROR(VLOOKUP(C41,'[2]DATA SALES LAST MONTH'!A:E,5,0),0)</f>
        <v>5017333.333333333</v>
      </c>
      <c r="AZ41" s="85">
        <f t="shared" si="31"/>
        <v>3562414.6341463416</v>
      </c>
      <c r="BA41" s="85">
        <f t="shared" si="32"/>
        <v>-1454918.6991869914</v>
      </c>
      <c r="BB41" s="95">
        <f t="shared" si="33"/>
        <v>-0.28997848110290825</v>
      </c>
      <c r="BC41" s="78">
        <f>IFERROR(VLOOKUP(C41,'[2]TARGET THIS MONTH'!C:U,15,0),0)</f>
        <v>12</v>
      </c>
      <c r="BD41" s="99">
        <f>IFERROR(GETPIVOTDATA("Sum of Qty",[2]ACC!$A$5,"ID Store",$C41),0)</f>
        <v>6</v>
      </c>
      <c r="BE41" s="83">
        <f t="shared" si="34"/>
        <v>0.5</v>
      </c>
      <c r="BF41" s="100">
        <f>IFERROR(VLOOKUP(C41,'[2]TARGET THIS MONTH'!C:U,16,0),0)</f>
        <v>2580000</v>
      </c>
      <c r="BG41" s="100">
        <f>IFERROR(GETPIVOTDATA("Sum of SRP",'[2]Insurance by Store'!$A$5,"ID Store",$C41,"Product Type","Qoala"),0)</f>
        <v>477000</v>
      </c>
      <c r="BH41" s="83">
        <f t="shared" si="35"/>
        <v>0.18488372093023256</v>
      </c>
      <c r="BI41" s="100">
        <f>IFERROR(VLOOKUP(C41,'[2]TARGET THIS MONTH'!C:U,17,0),0)</f>
        <v>516000</v>
      </c>
      <c r="BJ41" s="100">
        <f>IFERROR(GETPIVOTDATA("Sum of SRP",'[2]Insurance by Store'!$A$5,"ID Store",$C41,"Product Type","Vivo Care"),0)</f>
        <v>0</v>
      </c>
      <c r="BK41" s="83">
        <f t="shared" si="36"/>
        <v>0</v>
      </c>
      <c r="BL41" s="81">
        <f>IFERROR(VLOOKUP(C41,'[2]TARGET THIS MONTH'!C:U,18,0),0)</f>
        <v>3.6</v>
      </c>
      <c r="BM41" s="82">
        <f>IFERROR(GETPIVOTDATA("Sum of Qty",'[2]Operator by Store'!$A$5,"ID Store",$C41,"Product Type","Indosat"),0)</f>
        <v>2</v>
      </c>
      <c r="BN41" s="83">
        <f t="shared" si="37"/>
        <v>0.55555555555555558</v>
      </c>
      <c r="BO41" s="81">
        <f>VLOOKUP(C41,'[2]TARGET THIS MONTH'!C:U,19,0)</f>
        <v>36</v>
      </c>
      <c r="BP41" s="82">
        <f>IFERROR(GETPIVOTDATA("Sum of Qty",'[2]Operator by Store'!$A$5,"ID Store",$C41,"Product Type","Telkomsel"),0)</f>
        <v>0</v>
      </c>
      <c r="BQ41" s="101">
        <f t="shared" si="38"/>
        <v>0</v>
      </c>
    </row>
    <row r="42" spans="1:69" x14ac:dyDescent="0.2">
      <c r="A42" s="72">
        <v>38</v>
      </c>
      <c r="B42" s="73" t="s">
        <v>90</v>
      </c>
      <c r="C42" s="74">
        <v>6190708</v>
      </c>
      <c r="D42" s="75" t="s">
        <v>98</v>
      </c>
      <c r="E42" s="102" t="s">
        <v>96</v>
      </c>
      <c r="F42" s="77">
        <v>1</v>
      </c>
      <c r="G42" s="78">
        <f>IFERROR(VLOOKUP(C42,'[2]TARGET THIS MONTH'!C:E,3,0),0)</f>
        <v>20</v>
      </c>
      <c r="H42" s="79">
        <f>IFERROR(VLOOKUP(C42,'[2]TARGET THIS MONTH'!C:M,11,0),0)</f>
        <v>86000000</v>
      </c>
      <c r="I42" s="78">
        <f>IFERROR(GETPIVOTDATA("Sum of Qty",'[2]DEVICE &amp; VALUE'!$A$6,"ID Store",$C42),0)</f>
        <v>2</v>
      </c>
      <c r="J42" s="80">
        <f t="shared" si="0"/>
        <v>0.1</v>
      </c>
      <c r="K42" s="81">
        <f t="shared" si="1"/>
        <v>-18</v>
      </c>
      <c r="L42" s="82">
        <f>IFERROR(GETPIVOTDATA("Sum of Qty",[2]PF!$A$5,"ID Store",$C42),0)</f>
        <v>1</v>
      </c>
      <c r="M42" s="82">
        <f>IFERROR(GETPIVOTDATA("Sum of Qty",'[2]DEVICE &amp; VALUE'!$A$6,"ID Store",$C42,"Segment Price","3mio&gt;"),0)</f>
        <v>2</v>
      </c>
      <c r="N42" s="83">
        <f t="shared" si="2"/>
        <v>1</v>
      </c>
      <c r="O42" s="84">
        <f>IFERROR(GETPIVOTDATA("Sum of Qty",[2]IQOO!$A$6,"ID Store",$C42),0)</f>
        <v>0</v>
      </c>
      <c r="P42" s="83">
        <f t="shared" si="3"/>
        <v>0</v>
      </c>
      <c r="Q42" s="83">
        <f t="shared" si="4"/>
        <v>1</v>
      </c>
      <c r="R42" s="85">
        <f>IFERROR(GETPIVOTDATA("Sum of SRP",'[2]DEVICE &amp; VALUE'!$A$6,"ID Store",$C42),0)</f>
        <v>14298000</v>
      </c>
      <c r="S42" s="83">
        <f t="shared" si="5"/>
        <v>0.16625581395348837</v>
      </c>
      <c r="T42" s="86">
        <f t="shared" si="6"/>
        <v>-71702000</v>
      </c>
      <c r="U42" s="87">
        <f t="shared" si="7"/>
        <v>6.6666666666666661</v>
      </c>
      <c r="V42" s="88">
        <f t="shared" si="8"/>
        <v>0.33333333333333331</v>
      </c>
      <c r="W42" s="89">
        <f t="shared" si="9"/>
        <v>-13.333333333333334</v>
      </c>
      <c r="X42" s="89">
        <f t="shared" si="10"/>
        <v>6.6666666666666661</v>
      </c>
      <c r="Y42" s="89">
        <f t="shared" si="11"/>
        <v>-13.333333333333334</v>
      </c>
      <c r="Z42" s="90">
        <f t="shared" si="12"/>
        <v>47660000</v>
      </c>
      <c r="AA42" s="90">
        <f t="shared" si="13"/>
        <v>-38340000</v>
      </c>
      <c r="AB42" s="91">
        <f t="shared" si="14"/>
        <v>0.55418604651162795</v>
      </c>
      <c r="AC42" s="92">
        <f t="shared" si="15"/>
        <v>0.8571428571428571</v>
      </c>
      <c r="AD42" s="93">
        <f t="shared" si="16"/>
        <v>3414380.9523809524</v>
      </c>
      <c r="AE42" s="78">
        <f>IFERROR(GETPIVOTDATA("Sum of Qty",'[2]DATA LAST MONTH IQOO'!$A$6,"ID Store",$C42),0)</f>
        <v>3</v>
      </c>
      <c r="AF42" s="94">
        <f>IFERROR(GETPIVOTDATA("Sum of Qty",[2]IQOO!$A$6,"ID Store",$C42),0)</f>
        <v>0</v>
      </c>
      <c r="AG42" s="81">
        <f t="shared" si="17"/>
        <v>-3</v>
      </c>
      <c r="AH42" s="95">
        <f t="shared" si="18"/>
        <v>-1</v>
      </c>
      <c r="AI42" s="96">
        <f>IFERROR(GETPIVOTDATA("Sum of Qty",'[2]DATA LAST MONTH DEVICE'!$A$6,"ID Store",$C42),0)</f>
        <v>6</v>
      </c>
      <c r="AJ42" s="97">
        <f t="shared" si="19"/>
        <v>2</v>
      </c>
      <c r="AK42" s="81">
        <f t="shared" si="20"/>
        <v>-4</v>
      </c>
      <c r="AL42" s="83">
        <f t="shared" si="21"/>
        <v>-0.66666666666666663</v>
      </c>
      <c r="AM42" s="82">
        <f>IFERROR(GETPIVOTDATA("Sum of Qty",'[2]Store 3mio+ last month'!$A$6,"ID Store",$C42),0)</f>
        <v>14</v>
      </c>
      <c r="AN42" s="81">
        <f t="shared" si="22"/>
        <v>6.6666666666666661</v>
      </c>
      <c r="AO42" s="81">
        <f t="shared" si="23"/>
        <v>-7.3333333333333339</v>
      </c>
      <c r="AP42" s="83">
        <f t="shared" si="24"/>
        <v>-0.52380952380952384</v>
      </c>
      <c r="AQ42" s="82">
        <f>IFERROR(GETPIVOTDATA("Sum of Qty",'[2]DATA LAST MONTH DEVICE'!$A$6,"ID Store",$C42,"Segment Price","3mio&gt;"),0)</f>
        <v>4</v>
      </c>
      <c r="AR42" s="84">
        <f t="shared" si="25"/>
        <v>2</v>
      </c>
      <c r="AS42" s="84">
        <f t="shared" si="26"/>
        <v>-2</v>
      </c>
      <c r="AT42" s="83">
        <f t="shared" si="27"/>
        <v>-0.5</v>
      </c>
      <c r="AU42" s="98">
        <f>IFERROR(GETPIVOTDATA("Sum of SRP",'[2]DATA LAST MONTH DEVICE'!$A$6,"ID Store",$C42),0)</f>
        <v>27294000</v>
      </c>
      <c r="AV42" s="98">
        <f t="shared" si="28"/>
        <v>14298000</v>
      </c>
      <c r="AW42" s="98">
        <f t="shared" si="29"/>
        <v>-12996000</v>
      </c>
      <c r="AX42" s="83">
        <f t="shared" si="30"/>
        <v>-0.47614860408881071</v>
      </c>
      <c r="AY42" s="98">
        <f>IFERROR(VLOOKUP(C42,'[2]DATA SALES LAST MONTH'!A:E,5,0),0)</f>
        <v>0</v>
      </c>
      <c r="AZ42" s="85">
        <f t="shared" si="31"/>
        <v>7149000.0000000009</v>
      </c>
      <c r="BA42" s="85">
        <f t="shared" si="32"/>
        <v>7149000.0000000009</v>
      </c>
      <c r="BB42" s="95">
        <f t="shared" si="33"/>
        <v>0</v>
      </c>
      <c r="BC42" s="78">
        <f>IFERROR(VLOOKUP(C42,'[2]TARGET THIS MONTH'!C:U,15,0),0)</f>
        <v>2</v>
      </c>
      <c r="BD42" s="99">
        <f>IFERROR(GETPIVOTDATA("Sum of Qty",[2]ACC!$A$5,"ID Store",$C42),0)</f>
        <v>0</v>
      </c>
      <c r="BE42" s="83">
        <f t="shared" si="34"/>
        <v>0</v>
      </c>
      <c r="BF42" s="100">
        <f>IFERROR(VLOOKUP(C42,'[2]TARGET THIS MONTH'!C:U,16,0),0)</f>
        <v>430000</v>
      </c>
      <c r="BG42" s="100">
        <f>IFERROR(GETPIVOTDATA("Sum of SRP",'[2]Insurance by Store'!$A$5,"ID Store",$C42,"Product Type","Qoala"),0)</f>
        <v>0</v>
      </c>
      <c r="BH42" s="83">
        <f t="shared" si="35"/>
        <v>0</v>
      </c>
      <c r="BI42" s="100">
        <f>IFERROR(VLOOKUP(C42,'[2]TARGET THIS MONTH'!C:U,17,0),0)</f>
        <v>86000</v>
      </c>
      <c r="BJ42" s="100">
        <f>IFERROR(GETPIVOTDATA("Sum of SRP",'[2]Insurance by Store'!$A$5,"ID Store",$C42,"Product Type","Vivo Care"),0)</f>
        <v>0</v>
      </c>
      <c r="BK42" s="83">
        <f t="shared" si="36"/>
        <v>0</v>
      </c>
      <c r="BL42" s="81">
        <f>IFERROR(VLOOKUP(C42,'[2]TARGET THIS MONTH'!C:U,18,0),0)</f>
        <v>0.6</v>
      </c>
      <c r="BM42" s="82">
        <f>IFERROR(GETPIVOTDATA("Sum of Qty",'[2]Operator by Store'!$A$5,"ID Store",$C42,"Product Type","Indosat"),0)</f>
        <v>0</v>
      </c>
      <c r="BN42" s="83">
        <f t="shared" si="37"/>
        <v>0</v>
      </c>
      <c r="BO42" s="81">
        <f>VLOOKUP(C42,'[2]TARGET THIS MONTH'!C:U,19,0)</f>
        <v>6</v>
      </c>
      <c r="BP42" s="82">
        <f>IFERROR(GETPIVOTDATA("Sum of Qty",'[2]Operator by Store'!$A$5,"ID Store",$C42,"Product Type","Telkomsel"),0)</f>
        <v>0</v>
      </c>
      <c r="BQ42" s="101">
        <f t="shared" si="38"/>
        <v>0</v>
      </c>
    </row>
    <row r="43" spans="1:69" x14ac:dyDescent="0.2">
      <c r="A43" s="72">
        <v>39</v>
      </c>
      <c r="B43" s="73" t="s">
        <v>99</v>
      </c>
      <c r="C43" s="74">
        <v>6150702</v>
      </c>
      <c r="D43" s="75" t="s">
        <v>100</v>
      </c>
      <c r="E43" s="103" t="s">
        <v>101</v>
      </c>
      <c r="F43" s="77">
        <v>2</v>
      </c>
      <c r="G43" s="78">
        <f>IFERROR(VLOOKUP(C43,'[2]TARGET THIS MONTH'!C:E,3,0),0)</f>
        <v>20</v>
      </c>
      <c r="H43" s="79">
        <f>IFERROR(VLOOKUP(C43,'[2]TARGET THIS MONTH'!C:M,11,0),0)</f>
        <v>80000000</v>
      </c>
      <c r="I43" s="78">
        <f>IFERROR(GETPIVOTDATA("Sum of Qty",'[2]DEVICE &amp; VALUE'!$A$6,"ID Store",$C43),0)</f>
        <v>3</v>
      </c>
      <c r="J43" s="80">
        <f t="shared" si="0"/>
        <v>0.15</v>
      </c>
      <c r="K43" s="81">
        <f t="shared" si="1"/>
        <v>-17</v>
      </c>
      <c r="L43" s="82">
        <f>IFERROR(GETPIVOTDATA("Sum of Qty",[2]PF!$A$5,"ID Store",$C43),0)</f>
        <v>3</v>
      </c>
      <c r="M43" s="82">
        <f>IFERROR(GETPIVOTDATA("Sum of Qty",'[2]DEVICE &amp; VALUE'!$A$6,"ID Store",$C43,"Segment Price","3mio&gt;"),0)</f>
        <v>3</v>
      </c>
      <c r="N43" s="83">
        <f t="shared" si="2"/>
        <v>1</v>
      </c>
      <c r="O43" s="84">
        <f>IFERROR(GETPIVOTDATA("Sum of Qty",[2]IQOO!$A$6,"ID Store",$C43),0)</f>
        <v>0</v>
      </c>
      <c r="P43" s="83">
        <f t="shared" si="3"/>
        <v>0</v>
      </c>
      <c r="Q43" s="83">
        <f t="shared" si="4"/>
        <v>1</v>
      </c>
      <c r="R43" s="85">
        <f>IFERROR(GETPIVOTDATA("Sum of SRP",'[2]DEVICE &amp; VALUE'!$A$6,"ID Store",$C43),0)</f>
        <v>13397000</v>
      </c>
      <c r="S43" s="83">
        <f t="shared" si="5"/>
        <v>0.16746249999999999</v>
      </c>
      <c r="T43" s="86">
        <f t="shared" si="6"/>
        <v>-66603000</v>
      </c>
      <c r="U43" s="87">
        <f t="shared" si="7"/>
        <v>10</v>
      </c>
      <c r="V43" s="88">
        <f t="shared" si="8"/>
        <v>0.5</v>
      </c>
      <c r="W43" s="89">
        <f t="shared" si="9"/>
        <v>-10</v>
      </c>
      <c r="X43" s="89">
        <f t="shared" si="10"/>
        <v>10</v>
      </c>
      <c r="Y43" s="89">
        <f t="shared" si="11"/>
        <v>-10</v>
      </c>
      <c r="Z43" s="90">
        <f t="shared" si="12"/>
        <v>44656666.666666664</v>
      </c>
      <c r="AA43" s="90">
        <f t="shared" si="13"/>
        <v>-35343333.333333336</v>
      </c>
      <c r="AB43" s="91">
        <f t="shared" si="14"/>
        <v>0.55820833333333331</v>
      </c>
      <c r="AC43" s="92">
        <f t="shared" si="15"/>
        <v>0.80952380952380953</v>
      </c>
      <c r="AD43" s="93">
        <f t="shared" si="16"/>
        <v>3171571.4285714286</v>
      </c>
      <c r="AE43" s="78">
        <f>IFERROR(GETPIVOTDATA("Sum of Qty",'[2]DATA LAST MONTH IQOO'!$A$6,"ID Store",$C43),0)</f>
        <v>0</v>
      </c>
      <c r="AF43" s="94">
        <f>IFERROR(GETPIVOTDATA("Sum of Qty",[2]IQOO!$A$6,"ID Store",$C43),0)</f>
        <v>0</v>
      </c>
      <c r="AG43" s="81">
        <f t="shared" si="17"/>
        <v>0</v>
      </c>
      <c r="AH43" s="95">
        <f t="shared" si="18"/>
        <v>0</v>
      </c>
      <c r="AI43" s="96">
        <f>IFERROR(GETPIVOTDATA("Sum of Qty",'[2]DATA LAST MONTH DEVICE'!$A$6,"ID Store",$C43),0)</f>
        <v>2</v>
      </c>
      <c r="AJ43" s="97">
        <f t="shared" si="19"/>
        <v>3</v>
      </c>
      <c r="AK43" s="81">
        <f t="shared" si="20"/>
        <v>1</v>
      </c>
      <c r="AL43" s="83">
        <f t="shared" si="21"/>
        <v>0.5</v>
      </c>
      <c r="AM43" s="82">
        <f>IFERROR(GETPIVOTDATA("Sum of Qty",'[2]Store 3mio+ last month'!$A$6,"ID Store",$C43),0)</f>
        <v>8</v>
      </c>
      <c r="AN43" s="81">
        <f t="shared" si="22"/>
        <v>10</v>
      </c>
      <c r="AO43" s="81">
        <f t="shared" si="23"/>
        <v>2</v>
      </c>
      <c r="AP43" s="83">
        <f t="shared" si="24"/>
        <v>0.25</v>
      </c>
      <c r="AQ43" s="82">
        <f>IFERROR(GETPIVOTDATA("Sum of Qty",'[2]DATA LAST MONTH DEVICE'!$A$6,"ID Store",$C43,"Segment Price","3mio&gt;"),0)</f>
        <v>0</v>
      </c>
      <c r="AR43" s="84">
        <f t="shared" si="25"/>
        <v>3</v>
      </c>
      <c r="AS43" s="84">
        <f t="shared" si="26"/>
        <v>3</v>
      </c>
      <c r="AT43" s="83">
        <f t="shared" si="27"/>
        <v>0</v>
      </c>
      <c r="AU43" s="98">
        <f>IFERROR(GETPIVOTDATA("Sum of SRP",'[2]DATA LAST MONTH DEVICE'!$A$6,"ID Store",$C43),0)</f>
        <v>5198000</v>
      </c>
      <c r="AV43" s="98">
        <f t="shared" si="28"/>
        <v>13397000</v>
      </c>
      <c r="AW43" s="98">
        <f t="shared" si="29"/>
        <v>8199000</v>
      </c>
      <c r="AX43" s="83">
        <f t="shared" si="30"/>
        <v>1.5773374374759523</v>
      </c>
      <c r="AY43" s="98">
        <f>IFERROR(VLOOKUP(C43,'[2]DATA SALES LAST MONTH'!A:E,5,0),0)</f>
        <v>0</v>
      </c>
      <c r="AZ43" s="85">
        <f t="shared" si="31"/>
        <v>4465666.666666666</v>
      </c>
      <c r="BA43" s="85">
        <f t="shared" si="32"/>
        <v>4465666.666666666</v>
      </c>
      <c r="BB43" s="95">
        <f t="shared" si="33"/>
        <v>0</v>
      </c>
      <c r="BC43" s="78">
        <f>IFERROR(VLOOKUP(C43,'[2]TARGET THIS MONTH'!C:U,15,0),0)</f>
        <v>2</v>
      </c>
      <c r="BD43" s="99">
        <f>IFERROR(GETPIVOTDATA("Sum of Qty",[2]ACC!$A$5,"ID Store",$C43),0)</f>
        <v>0</v>
      </c>
      <c r="BE43" s="83">
        <f t="shared" si="34"/>
        <v>0</v>
      </c>
      <c r="BF43" s="100">
        <f>IFERROR(VLOOKUP(C43,'[2]TARGET THIS MONTH'!C:U,16,0),0)</f>
        <v>400000</v>
      </c>
      <c r="BG43" s="100">
        <f>IFERROR(GETPIVOTDATA("Sum of SRP",'[2]Insurance by Store'!$A$5,"ID Store",$C43,"Product Type","Qoala"),0)</f>
        <v>0</v>
      </c>
      <c r="BH43" s="83">
        <f t="shared" si="35"/>
        <v>0</v>
      </c>
      <c r="BI43" s="100">
        <f>IFERROR(VLOOKUP(C43,'[2]TARGET THIS MONTH'!C:U,17,0),0)</f>
        <v>80000</v>
      </c>
      <c r="BJ43" s="100">
        <f>IFERROR(GETPIVOTDATA("Sum of SRP",'[2]Insurance by Store'!$A$5,"ID Store",$C43,"Product Type","Vivo Care"),0)</f>
        <v>0</v>
      </c>
      <c r="BK43" s="83">
        <f t="shared" si="36"/>
        <v>0</v>
      </c>
      <c r="BL43" s="81">
        <f>IFERROR(VLOOKUP(C43,'[2]TARGET THIS MONTH'!C:U,18,0),0)</f>
        <v>0.6</v>
      </c>
      <c r="BM43" s="82">
        <f>IFERROR(GETPIVOTDATA("Sum of Qty",'[2]Operator by Store'!$A$5,"ID Store",$C43,"Product Type","Indosat"),0)</f>
        <v>0</v>
      </c>
      <c r="BN43" s="83">
        <f t="shared" si="37"/>
        <v>0</v>
      </c>
      <c r="BO43" s="81">
        <f>VLOOKUP(C43,'[2]TARGET THIS MONTH'!C:U,19,0)</f>
        <v>6</v>
      </c>
      <c r="BP43" s="82">
        <f>IFERROR(GETPIVOTDATA("Sum of Qty",'[2]Operator by Store'!$A$5,"ID Store",$C43,"Product Type","Telkomsel"),0)</f>
        <v>0</v>
      </c>
      <c r="BQ43" s="101">
        <f t="shared" si="38"/>
        <v>0</v>
      </c>
    </row>
    <row r="44" spans="1:69" x14ac:dyDescent="0.2">
      <c r="A44" s="72">
        <v>40</v>
      </c>
      <c r="B44" s="73" t="s">
        <v>102</v>
      </c>
      <c r="C44" s="74">
        <v>6130702</v>
      </c>
      <c r="D44" s="75" t="s">
        <v>103</v>
      </c>
      <c r="E44" s="102" t="s">
        <v>104</v>
      </c>
      <c r="F44" s="77">
        <v>3</v>
      </c>
      <c r="G44" s="78">
        <f>IFERROR(VLOOKUP(C44,'[2]TARGET THIS MONTH'!C:E,3,0),0)</f>
        <v>60</v>
      </c>
      <c r="H44" s="79">
        <f>IFERROR(VLOOKUP(C44,'[2]TARGET THIS MONTH'!C:M,11,0),0)</f>
        <v>300000000</v>
      </c>
      <c r="I44" s="78">
        <f>IFERROR(GETPIVOTDATA("Sum of Qty",'[2]DEVICE &amp; VALUE'!$A$6,"ID Store",$C44),0)</f>
        <v>13</v>
      </c>
      <c r="J44" s="80">
        <f t="shared" si="0"/>
        <v>0.21666666666666667</v>
      </c>
      <c r="K44" s="81">
        <f t="shared" si="1"/>
        <v>-47</v>
      </c>
      <c r="L44" s="82">
        <f>IFERROR(GETPIVOTDATA("Sum of Qty",[2]PF!$A$5,"ID Store",$C44),0)</f>
        <v>3</v>
      </c>
      <c r="M44" s="82">
        <f>IFERROR(GETPIVOTDATA("Sum of Qty",'[2]DEVICE &amp; VALUE'!$A$6,"ID Store",$C44,"Segment Price","3mio&gt;"),0)</f>
        <v>10</v>
      </c>
      <c r="N44" s="83">
        <f t="shared" si="2"/>
        <v>0.76923076923076927</v>
      </c>
      <c r="O44" s="84">
        <f>IFERROR(GETPIVOTDATA("Sum of Qty",[2]IQOO!$A$6,"ID Store",$C44),0)</f>
        <v>3</v>
      </c>
      <c r="P44" s="83">
        <f t="shared" si="3"/>
        <v>0.23076923076923078</v>
      </c>
      <c r="Q44" s="83">
        <f t="shared" si="4"/>
        <v>0.76923076923076927</v>
      </c>
      <c r="R44" s="85">
        <f>IFERROR(GETPIVOTDATA("Sum of SRP",'[2]DEVICE &amp; VALUE'!$A$6,"ID Store",$C44),0)</f>
        <v>84987000</v>
      </c>
      <c r="S44" s="83">
        <f t="shared" si="5"/>
        <v>0.28328999999999999</v>
      </c>
      <c r="T44" s="86">
        <f t="shared" si="6"/>
        <v>-215013000</v>
      </c>
      <c r="U44" s="87">
        <f t="shared" si="7"/>
        <v>43.333333333333336</v>
      </c>
      <c r="V44" s="88">
        <f t="shared" si="8"/>
        <v>0.72222222222222221</v>
      </c>
      <c r="W44" s="89">
        <f t="shared" si="9"/>
        <v>-16.666666666666664</v>
      </c>
      <c r="X44" s="89">
        <f t="shared" si="10"/>
        <v>33.333333333333336</v>
      </c>
      <c r="Y44" s="89">
        <f t="shared" si="11"/>
        <v>-26.666666666666664</v>
      </c>
      <c r="Z44" s="90">
        <f t="shared" si="12"/>
        <v>283290000</v>
      </c>
      <c r="AA44" s="90">
        <f t="shared" si="13"/>
        <v>-16710000</v>
      </c>
      <c r="AB44" s="91">
        <f t="shared" si="14"/>
        <v>0.94430000000000003</v>
      </c>
      <c r="AC44" s="92">
        <f t="shared" si="15"/>
        <v>2.2380952380952381</v>
      </c>
      <c r="AD44" s="93">
        <f t="shared" si="16"/>
        <v>10238714.285714285</v>
      </c>
      <c r="AE44" s="78">
        <f>IFERROR(GETPIVOTDATA("Sum of Qty",'[2]DATA LAST MONTH IQOO'!$A$6,"ID Store",$C44),0)</f>
        <v>7</v>
      </c>
      <c r="AF44" s="94">
        <f>IFERROR(GETPIVOTDATA("Sum of Qty",[2]IQOO!$A$6,"ID Store",$C44),0)</f>
        <v>3</v>
      </c>
      <c r="AG44" s="81">
        <f t="shared" si="17"/>
        <v>-4</v>
      </c>
      <c r="AH44" s="95">
        <f t="shared" si="18"/>
        <v>-0.5714285714285714</v>
      </c>
      <c r="AI44" s="96">
        <f>IFERROR(GETPIVOTDATA("Sum of Qty",'[2]DATA LAST MONTH DEVICE'!$A$6,"ID Store",$C44),0)</f>
        <v>19</v>
      </c>
      <c r="AJ44" s="97">
        <f t="shared" si="19"/>
        <v>13</v>
      </c>
      <c r="AK44" s="81">
        <f t="shared" si="20"/>
        <v>-6</v>
      </c>
      <c r="AL44" s="83">
        <f t="shared" si="21"/>
        <v>-0.31578947368421051</v>
      </c>
      <c r="AM44" s="82">
        <f>IFERROR(GETPIVOTDATA("Sum of Qty",'[2]Store 3mio+ last month'!$A$6,"ID Store",$C44),0)</f>
        <v>50</v>
      </c>
      <c r="AN44" s="81">
        <f t="shared" si="22"/>
        <v>43.333333333333336</v>
      </c>
      <c r="AO44" s="81">
        <f t="shared" si="23"/>
        <v>-6.6666666666666643</v>
      </c>
      <c r="AP44" s="83">
        <f t="shared" si="24"/>
        <v>-0.13333333333333328</v>
      </c>
      <c r="AQ44" s="82">
        <f>IFERROR(GETPIVOTDATA("Sum of Qty",'[2]DATA LAST MONTH DEVICE'!$A$6,"ID Store",$C44,"Segment Price","3mio&gt;"),0)</f>
        <v>16</v>
      </c>
      <c r="AR44" s="84">
        <f t="shared" si="25"/>
        <v>10</v>
      </c>
      <c r="AS44" s="84">
        <f t="shared" si="26"/>
        <v>-6</v>
      </c>
      <c r="AT44" s="83">
        <f t="shared" si="27"/>
        <v>-0.375</v>
      </c>
      <c r="AU44" s="98">
        <f>IFERROR(GETPIVOTDATA("Sum of SRP",'[2]DATA LAST MONTH DEVICE'!$A$6,"ID Store",$C44),0)</f>
        <v>106681000</v>
      </c>
      <c r="AV44" s="98">
        <f t="shared" si="28"/>
        <v>84987000</v>
      </c>
      <c r="AW44" s="98">
        <f t="shared" si="29"/>
        <v>-21694000</v>
      </c>
      <c r="AX44" s="83">
        <f t="shared" si="30"/>
        <v>-0.20335392431641999</v>
      </c>
      <c r="AY44" s="98">
        <f>IFERROR(VLOOKUP(C44,'[2]DATA SALES LAST MONTH'!A:E,5,0),0)</f>
        <v>5614789.4736842103</v>
      </c>
      <c r="AZ44" s="85">
        <f t="shared" si="31"/>
        <v>6537461.538461538</v>
      </c>
      <c r="BA44" s="85">
        <f t="shared" si="32"/>
        <v>922672.0647773277</v>
      </c>
      <c r="BB44" s="95">
        <f t="shared" si="33"/>
        <v>0.16432887984523231</v>
      </c>
      <c r="BC44" s="78">
        <f>IFERROR(VLOOKUP(C44,'[2]TARGET THIS MONTH'!C:U,15,0),0)</f>
        <v>6</v>
      </c>
      <c r="BD44" s="99">
        <f>IFERROR(GETPIVOTDATA("Sum of Qty",[2]ACC!$A$5,"ID Store",$C44),0)</f>
        <v>1</v>
      </c>
      <c r="BE44" s="83">
        <f t="shared" si="34"/>
        <v>0.16666666666666666</v>
      </c>
      <c r="BF44" s="100">
        <f>IFERROR(VLOOKUP(C44,'[2]TARGET THIS MONTH'!C:U,16,0),0)</f>
        <v>1500000</v>
      </c>
      <c r="BG44" s="100">
        <f>IFERROR(GETPIVOTDATA("Sum of SRP",'[2]Insurance by Store'!$A$5,"ID Store",$C44,"Product Type","Qoala"),0)</f>
        <v>329000</v>
      </c>
      <c r="BH44" s="83">
        <f t="shared" si="35"/>
        <v>0.21933333333333332</v>
      </c>
      <c r="BI44" s="100">
        <f>IFERROR(VLOOKUP(C44,'[2]TARGET THIS MONTH'!C:U,17,0),0)</f>
        <v>300000</v>
      </c>
      <c r="BJ44" s="100">
        <f>IFERROR(GETPIVOTDATA("Sum of SRP",'[2]Insurance by Store'!$A$5,"ID Store",$C44,"Product Type","Vivo Care"),0)</f>
        <v>0</v>
      </c>
      <c r="BK44" s="83">
        <f t="shared" si="36"/>
        <v>0</v>
      </c>
      <c r="BL44" s="81">
        <f>IFERROR(VLOOKUP(C44,'[2]TARGET THIS MONTH'!C:U,18,0),0)</f>
        <v>1.8</v>
      </c>
      <c r="BM44" s="82">
        <f>IFERROR(GETPIVOTDATA("Sum of Qty",'[2]Operator by Store'!$A$5,"ID Store",$C44,"Product Type","Indosat"),0)</f>
        <v>0</v>
      </c>
      <c r="BN44" s="83">
        <f t="shared" si="37"/>
        <v>0</v>
      </c>
      <c r="BO44" s="81">
        <f>VLOOKUP(C44,'[2]TARGET THIS MONTH'!C:U,19,0)</f>
        <v>18</v>
      </c>
      <c r="BP44" s="82">
        <f>IFERROR(GETPIVOTDATA("Sum of Qty",'[2]Operator by Store'!$A$5,"ID Store",$C44,"Product Type","Telkomsel"),0)</f>
        <v>0</v>
      </c>
      <c r="BQ44" s="101">
        <f t="shared" si="38"/>
        <v>0</v>
      </c>
    </row>
    <row r="45" spans="1:69" x14ac:dyDescent="0.2">
      <c r="A45" s="72">
        <v>41</v>
      </c>
      <c r="B45" s="73" t="s">
        <v>105</v>
      </c>
      <c r="C45" s="74">
        <v>6100702</v>
      </c>
      <c r="D45" s="75" t="s">
        <v>106</v>
      </c>
      <c r="E45" s="103" t="s">
        <v>101</v>
      </c>
      <c r="F45" s="77">
        <v>1</v>
      </c>
      <c r="G45" s="78">
        <f>IFERROR(VLOOKUP(C45,'[2]TARGET THIS MONTH'!C:E,3,0),0)</f>
        <v>50</v>
      </c>
      <c r="H45" s="79">
        <f>IFERROR(VLOOKUP(C45,'[2]TARGET THIS MONTH'!C:M,11,0),0)</f>
        <v>350000000</v>
      </c>
      <c r="I45" s="78">
        <f>IFERROR(GETPIVOTDATA("Sum of Qty",'[2]DEVICE &amp; VALUE'!$A$6,"ID Store",$C45),0)</f>
        <v>11</v>
      </c>
      <c r="J45" s="80">
        <f t="shared" si="0"/>
        <v>0.22</v>
      </c>
      <c r="K45" s="81">
        <f t="shared" si="1"/>
        <v>-39</v>
      </c>
      <c r="L45" s="82">
        <f>IFERROR(GETPIVOTDATA("Sum of Qty",[2]PF!$A$5,"ID Store",$C45),0)</f>
        <v>5</v>
      </c>
      <c r="M45" s="82">
        <f>IFERROR(GETPIVOTDATA("Sum of Qty",'[2]DEVICE &amp; VALUE'!$A$6,"ID Store",$C45,"Segment Price","3mio&gt;"),0)</f>
        <v>8</v>
      </c>
      <c r="N45" s="83">
        <f t="shared" si="2"/>
        <v>0.72727272727272729</v>
      </c>
      <c r="O45" s="84">
        <f>IFERROR(GETPIVOTDATA("Sum of Qty",[2]IQOO!$A$6,"ID Store",$C45),0)</f>
        <v>1</v>
      </c>
      <c r="P45" s="83">
        <f t="shared" si="3"/>
        <v>9.0909090909090912E-2</v>
      </c>
      <c r="Q45" s="83">
        <f t="shared" si="4"/>
        <v>0.72727272727272729</v>
      </c>
      <c r="R45" s="85">
        <f>IFERROR(GETPIVOTDATA("Sum of SRP",'[2]DEVICE &amp; VALUE'!$A$6,"ID Store",$C45),0)</f>
        <v>50089000</v>
      </c>
      <c r="S45" s="83">
        <f t="shared" si="5"/>
        <v>0.14311142857142858</v>
      </c>
      <c r="T45" s="86">
        <f t="shared" si="6"/>
        <v>-299911000</v>
      </c>
      <c r="U45" s="87">
        <f t="shared" si="7"/>
        <v>36.666666666666671</v>
      </c>
      <c r="V45" s="88">
        <f t="shared" si="8"/>
        <v>0.73333333333333339</v>
      </c>
      <c r="W45" s="89">
        <f t="shared" si="9"/>
        <v>-13.333333333333329</v>
      </c>
      <c r="X45" s="89">
        <f t="shared" si="10"/>
        <v>26.666666666666664</v>
      </c>
      <c r="Y45" s="89">
        <f t="shared" si="11"/>
        <v>-23.333333333333336</v>
      </c>
      <c r="Z45" s="90">
        <f t="shared" si="12"/>
        <v>166963333.33333331</v>
      </c>
      <c r="AA45" s="90">
        <f t="shared" si="13"/>
        <v>-183036666.66666669</v>
      </c>
      <c r="AB45" s="91">
        <f t="shared" si="14"/>
        <v>0.47703809523809521</v>
      </c>
      <c r="AC45" s="92">
        <f t="shared" si="15"/>
        <v>1.8571428571428572</v>
      </c>
      <c r="AD45" s="93">
        <f t="shared" si="16"/>
        <v>14281476.19047619</v>
      </c>
      <c r="AE45" s="78">
        <f>IFERROR(GETPIVOTDATA("Sum of Qty",'[2]DATA LAST MONTH IQOO'!$A$6,"ID Store",$C45),0)</f>
        <v>5</v>
      </c>
      <c r="AF45" s="94">
        <f>IFERROR(GETPIVOTDATA("Sum of Qty",[2]IQOO!$A$6,"ID Store",$C45),0)</f>
        <v>1</v>
      </c>
      <c r="AG45" s="81">
        <f t="shared" si="17"/>
        <v>-4</v>
      </c>
      <c r="AH45" s="95">
        <f t="shared" si="18"/>
        <v>-0.8</v>
      </c>
      <c r="AI45" s="96">
        <f>IFERROR(GETPIVOTDATA("Sum of Qty",'[2]DATA LAST MONTH DEVICE'!$A$6,"ID Store",$C45),0)</f>
        <v>18</v>
      </c>
      <c r="AJ45" s="97">
        <f t="shared" si="19"/>
        <v>11</v>
      </c>
      <c r="AK45" s="81">
        <f t="shared" si="20"/>
        <v>-7</v>
      </c>
      <c r="AL45" s="83">
        <f t="shared" si="21"/>
        <v>-0.3888888888888889</v>
      </c>
      <c r="AM45" s="82">
        <f>IFERROR(GETPIVOTDATA("Sum of Qty",'[2]Store 3mio+ last month'!$A$6,"ID Store",$C45),0)</f>
        <v>49</v>
      </c>
      <c r="AN45" s="81">
        <f t="shared" si="22"/>
        <v>36.666666666666671</v>
      </c>
      <c r="AO45" s="81">
        <f t="shared" si="23"/>
        <v>-12.333333333333329</v>
      </c>
      <c r="AP45" s="83">
        <f t="shared" si="24"/>
        <v>-0.25170068027210873</v>
      </c>
      <c r="AQ45" s="82">
        <f>IFERROR(GETPIVOTDATA("Sum of Qty",'[2]DATA LAST MONTH DEVICE'!$A$6,"ID Store",$C45,"Segment Price","3mio&gt;"),0)</f>
        <v>13</v>
      </c>
      <c r="AR45" s="84">
        <f t="shared" si="25"/>
        <v>8</v>
      </c>
      <c r="AS45" s="84">
        <f t="shared" si="26"/>
        <v>-5</v>
      </c>
      <c r="AT45" s="83">
        <f t="shared" si="27"/>
        <v>-0.38461538461538464</v>
      </c>
      <c r="AU45" s="98">
        <f>IFERROR(GETPIVOTDATA("Sum of SRP",'[2]DATA LAST MONTH DEVICE'!$A$6,"ID Store",$C45),0)</f>
        <v>102382000</v>
      </c>
      <c r="AV45" s="98">
        <f t="shared" si="28"/>
        <v>50089000</v>
      </c>
      <c r="AW45" s="98">
        <f t="shared" si="29"/>
        <v>-52293000</v>
      </c>
      <c r="AX45" s="83">
        <f t="shared" si="30"/>
        <v>-0.51076361079095933</v>
      </c>
      <c r="AY45" s="98">
        <f>IFERROR(VLOOKUP(C45,'[2]DATA SALES LAST MONTH'!A:E,5,0),0)</f>
        <v>5687888.888888889</v>
      </c>
      <c r="AZ45" s="85">
        <f t="shared" si="31"/>
        <v>4553545.4545454532</v>
      </c>
      <c r="BA45" s="85">
        <f t="shared" si="32"/>
        <v>-1134343.4343434358</v>
      </c>
      <c r="BB45" s="95">
        <f t="shared" si="33"/>
        <v>-0.19943136311247919</v>
      </c>
      <c r="BC45" s="78">
        <f>IFERROR(VLOOKUP(C45,'[2]TARGET THIS MONTH'!C:U,15,0),0)</f>
        <v>5</v>
      </c>
      <c r="BD45" s="99">
        <f>IFERROR(GETPIVOTDATA("Sum of Qty",[2]ACC!$A$5,"ID Store",$C45),0)</f>
        <v>0</v>
      </c>
      <c r="BE45" s="83">
        <f t="shared" si="34"/>
        <v>0</v>
      </c>
      <c r="BF45" s="100">
        <f>IFERROR(VLOOKUP(C45,'[2]TARGET THIS MONTH'!C:U,16,0),0)</f>
        <v>1750000</v>
      </c>
      <c r="BG45" s="100">
        <f>IFERROR(GETPIVOTDATA("Sum of SRP",'[2]Insurance by Store'!$A$5,"ID Store",$C45,"Product Type","Qoala"),0)</f>
        <v>0</v>
      </c>
      <c r="BH45" s="83">
        <f t="shared" si="35"/>
        <v>0</v>
      </c>
      <c r="BI45" s="100">
        <f>IFERROR(VLOOKUP(C45,'[2]TARGET THIS MONTH'!C:U,17,0),0)</f>
        <v>350000</v>
      </c>
      <c r="BJ45" s="100">
        <f>IFERROR(GETPIVOTDATA("Sum of SRP",'[2]Insurance by Store'!$A$5,"ID Store",$C45,"Product Type","Vivo Care"),0)</f>
        <v>0</v>
      </c>
      <c r="BK45" s="83">
        <f t="shared" si="36"/>
        <v>0</v>
      </c>
      <c r="BL45" s="81">
        <f>IFERROR(VLOOKUP(C45,'[2]TARGET THIS MONTH'!C:U,18,0),0)</f>
        <v>1.5</v>
      </c>
      <c r="BM45" s="82">
        <f>IFERROR(GETPIVOTDATA("Sum of Qty",'[2]Operator by Store'!$A$5,"ID Store",$C45,"Product Type","Indosat"),0)</f>
        <v>0</v>
      </c>
      <c r="BN45" s="83">
        <f t="shared" si="37"/>
        <v>0</v>
      </c>
      <c r="BO45" s="81">
        <f>VLOOKUP(C45,'[2]TARGET THIS MONTH'!C:U,19,0)</f>
        <v>15</v>
      </c>
      <c r="BP45" s="82">
        <f>IFERROR(GETPIVOTDATA("Sum of Qty",'[2]Operator by Store'!$A$5,"ID Store",$C45,"Product Type","Telkomsel"),0)</f>
        <v>0</v>
      </c>
      <c r="BQ45" s="101">
        <f t="shared" si="38"/>
        <v>0</v>
      </c>
    </row>
    <row r="46" spans="1:69" x14ac:dyDescent="0.2">
      <c r="A46" s="72">
        <v>42</v>
      </c>
      <c r="B46" s="73" t="s">
        <v>105</v>
      </c>
      <c r="C46" s="74">
        <v>6140706</v>
      </c>
      <c r="D46" s="75" t="s">
        <v>107</v>
      </c>
      <c r="E46" s="102" t="s">
        <v>108</v>
      </c>
      <c r="F46" s="77">
        <v>2</v>
      </c>
      <c r="G46" s="78">
        <f>IFERROR(VLOOKUP(C46,'[2]TARGET THIS MONTH'!C:E,3,0),0)</f>
        <v>30</v>
      </c>
      <c r="H46" s="79">
        <f>IFERROR(VLOOKUP(C46,'[2]TARGET THIS MONTH'!C:M,11,0),0)</f>
        <v>210000000</v>
      </c>
      <c r="I46" s="78">
        <f>IFERROR(GETPIVOTDATA("Sum of Qty",'[2]DEVICE &amp; VALUE'!$A$6,"ID Store",$C46),0)</f>
        <v>5</v>
      </c>
      <c r="J46" s="80">
        <f t="shared" si="0"/>
        <v>0.16666666666666666</v>
      </c>
      <c r="K46" s="81">
        <f t="shared" si="1"/>
        <v>-25</v>
      </c>
      <c r="L46" s="82">
        <f>IFERROR(GETPIVOTDATA("Sum of Qty",[2]PF!$A$5,"ID Store",$C46),0)</f>
        <v>1</v>
      </c>
      <c r="M46" s="82">
        <f>IFERROR(GETPIVOTDATA("Sum of Qty",'[2]DEVICE &amp; VALUE'!$A$6,"ID Store",$C46,"Segment Price","3mio&gt;"),0)</f>
        <v>3</v>
      </c>
      <c r="N46" s="83">
        <f t="shared" si="2"/>
        <v>0.6</v>
      </c>
      <c r="O46" s="84">
        <f>IFERROR(GETPIVOTDATA("Sum of Qty",[2]IQOO!$A$6,"ID Store",$C46),0)</f>
        <v>0</v>
      </c>
      <c r="P46" s="83">
        <f t="shared" si="3"/>
        <v>0</v>
      </c>
      <c r="Q46" s="83">
        <f t="shared" si="4"/>
        <v>0.6</v>
      </c>
      <c r="R46" s="85">
        <f>IFERROR(GETPIVOTDATA("Sum of SRP",'[2]DEVICE &amp; VALUE'!$A$6,"ID Store",$C46),0)</f>
        <v>45095000</v>
      </c>
      <c r="S46" s="83">
        <f t="shared" si="5"/>
        <v>0.21473809523809523</v>
      </c>
      <c r="T46" s="86">
        <f t="shared" si="6"/>
        <v>-164905000</v>
      </c>
      <c r="U46" s="87">
        <f t="shared" si="7"/>
        <v>16.666666666666668</v>
      </c>
      <c r="V46" s="88">
        <f t="shared" si="8"/>
        <v>0.55555555555555558</v>
      </c>
      <c r="W46" s="89">
        <f t="shared" si="9"/>
        <v>-13.333333333333332</v>
      </c>
      <c r="X46" s="89">
        <f t="shared" si="10"/>
        <v>10</v>
      </c>
      <c r="Y46" s="89">
        <f t="shared" si="11"/>
        <v>-20</v>
      </c>
      <c r="Z46" s="90">
        <f t="shared" si="12"/>
        <v>150316666.66666669</v>
      </c>
      <c r="AA46" s="90">
        <f t="shared" si="13"/>
        <v>-59683333.333333313</v>
      </c>
      <c r="AB46" s="91">
        <f t="shared" si="14"/>
        <v>0.71579365079365087</v>
      </c>
      <c r="AC46" s="92">
        <f t="shared" si="15"/>
        <v>1.1904761904761905</v>
      </c>
      <c r="AD46" s="93">
        <f t="shared" si="16"/>
        <v>7852619.0476190476</v>
      </c>
      <c r="AE46" s="78">
        <f>IFERROR(GETPIVOTDATA("Sum of Qty",'[2]DATA LAST MONTH IQOO'!$A$6,"ID Store",$C46),0)</f>
        <v>1</v>
      </c>
      <c r="AF46" s="94">
        <f>IFERROR(GETPIVOTDATA("Sum of Qty",[2]IQOO!$A$6,"ID Store",$C46),0)</f>
        <v>0</v>
      </c>
      <c r="AG46" s="81">
        <f t="shared" si="17"/>
        <v>-1</v>
      </c>
      <c r="AH46" s="95">
        <f t="shared" si="18"/>
        <v>-1</v>
      </c>
      <c r="AI46" s="96">
        <f>IFERROR(GETPIVOTDATA("Sum of Qty",'[2]DATA LAST MONTH DEVICE'!$A$6,"ID Store",$C46),0)</f>
        <v>6</v>
      </c>
      <c r="AJ46" s="97">
        <f t="shared" si="19"/>
        <v>5</v>
      </c>
      <c r="AK46" s="81">
        <f t="shared" si="20"/>
        <v>-1</v>
      </c>
      <c r="AL46" s="83">
        <f t="shared" si="21"/>
        <v>-0.16666666666666666</v>
      </c>
      <c r="AM46" s="82">
        <f>IFERROR(GETPIVOTDATA("Sum of Qty",'[2]Store 3mio+ last month'!$A$6,"ID Store",$C46),0)</f>
        <v>29</v>
      </c>
      <c r="AN46" s="81">
        <f t="shared" si="22"/>
        <v>16.666666666666668</v>
      </c>
      <c r="AO46" s="81">
        <f t="shared" si="23"/>
        <v>-12.333333333333332</v>
      </c>
      <c r="AP46" s="83">
        <f t="shared" si="24"/>
        <v>-0.42528735632183906</v>
      </c>
      <c r="AQ46" s="82">
        <f>IFERROR(GETPIVOTDATA("Sum of Qty",'[2]DATA LAST MONTH DEVICE'!$A$6,"ID Store",$C46,"Segment Price","3mio&gt;"),0)</f>
        <v>5</v>
      </c>
      <c r="AR46" s="84">
        <f t="shared" si="25"/>
        <v>3</v>
      </c>
      <c r="AS46" s="84">
        <f t="shared" si="26"/>
        <v>-2</v>
      </c>
      <c r="AT46" s="83">
        <f t="shared" si="27"/>
        <v>-0.4</v>
      </c>
      <c r="AU46" s="98">
        <f>IFERROR(GETPIVOTDATA("Sum of SRP",'[2]DATA LAST MONTH DEVICE'!$A$6,"ID Store",$C46),0)</f>
        <v>42194000</v>
      </c>
      <c r="AV46" s="98">
        <f t="shared" si="28"/>
        <v>45095000</v>
      </c>
      <c r="AW46" s="98">
        <f t="shared" si="29"/>
        <v>2901000</v>
      </c>
      <c r="AX46" s="83">
        <f t="shared" si="30"/>
        <v>6.8753851258472762E-2</v>
      </c>
      <c r="AY46" s="98">
        <f>IFERROR(VLOOKUP(C46,'[2]DATA SALES LAST MONTH'!A:E,5,0),0)</f>
        <v>0</v>
      </c>
      <c r="AZ46" s="85">
        <f t="shared" si="31"/>
        <v>9019000</v>
      </c>
      <c r="BA46" s="85">
        <f t="shared" si="32"/>
        <v>9019000</v>
      </c>
      <c r="BB46" s="95">
        <f t="shared" si="33"/>
        <v>0</v>
      </c>
      <c r="BC46" s="78">
        <f>IFERROR(VLOOKUP(C46,'[2]TARGET THIS MONTH'!C:U,15,0),0)</f>
        <v>3</v>
      </c>
      <c r="BD46" s="99">
        <f>IFERROR(GETPIVOTDATA("Sum of Qty",[2]ACC!$A$5,"ID Store",$C46),0)</f>
        <v>0</v>
      </c>
      <c r="BE46" s="83">
        <f t="shared" si="34"/>
        <v>0</v>
      </c>
      <c r="BF46" s="100">
        <f>IFERROR(VLOOKUP(C46,'[2]TARGET THIS MONTH'!C:U,16,0),0)</f>
        <v>1050000</v>
      </c>
      <c r="BG46" s="100">
        <f>IFERROR(GETPIVOTDATA("Sum of SRP",'[2]Insurance by Store'!$A$5,"ID Store",$C46,"Product Type","Qoala"),0)</f>
        <v>0</v>
      </c>
      <c r="BH46" s="83">
        <f t="shared" si="35"/>
        <v>0</v>
      </c>
      <c r="BI46" s="100">
        <f>IFERROR(VLOOKUP(C46,'[2]TARGET THIS MONTH'!C:U,17,0),0)</f>
        <v>210000</v>
      </c>
      <c r="BJ46" s="100">
        <f>IFERROR(GETPIVOTDATA("Sum of SRP",'[2]Insurance by Store'!$A$5,"ID Store",$C46,"Product Type","Vivo Care"),0)</f>
        <v>0</v>
      </c>
      <c r="BK46" s="83">
        <f t="shared" si="36"/>
        <v>0</v>
      </c>
      <c r="BL46" s="81">
        <f>IFERROR(VLOOKUP(C46,'[2]TARGET THIS MONTH'!C:U,18,0),0)</f>
        <v>0.9</v>
      </c>
      <c r="BM46" s="82">
        <f>IFERROR(GETPIVOTDATA("Sum of Qty",'[2]Operator by Store'!$A$5,"ID Store",$C46,"Product Type","Indosat"),0)</f>
        <v>0</v>
      </c>
      <c r="BN46" s="83">
        <f t="shared" si="37"/>
        <v>0</v>
      </c>
      <c r="BO46" s="81">
        <f>VLOOKUP(C46,'[2]TARGET THIS MONTH'!C:U,19,0)</f>
        <v>9</v>
      </c>
      <c r="BP46" s="82">
        <f>IFERROR(GETPIVOTDATA("Sum of Qty",'[2]Operator by Store'!$A$5,"ID Store",$C46,"Product Type","Telkomsel"),0)</f>
        <v>0</v>
      </c>
      <c r="BQ46" s="101">
        <f t="shared" si="38"/>
        <v>0</v>
      </c>
    </row>
    <row r="47" spans="1:69" x14ac:dyDescent="0.2">
      <c r="A47" s="104">
        <v>43</v>
      </c>
      <c r="B47" s="105" t="s">
        <v>105</v>
      </c>
      <c r="C47" s="106">
        <v>6140705</v>
      </c>
      <c r="D47" s="107" t="s">
        <v>109</v>
      </c>
      <c r="E47" s="108" t="s">
        <v>110</v>
      </c>
      <c r="F47" s="109">
        <v>3</v>
      </c>
      <c r="G47" s="110">
        <f>IFERROR(VLOOKUP(C47,'[2]TARGET THIS MONTH'!C:E,3,0),0)</f>
        <v>60</v>
      </c>
      <c r="H47" s="111">
        <f>IFERROR(VLOOKUP(C47,'[2]TARGET THIS MONTH'!C:M,11,0),0)</f>
        <v>420000000</v>
      </c>
      <c r="I47" s="110">
        <f>IFERROR(GETPIVOTDATA("Sum of Qty",'[2]DEVICE &amp; VALUE'!$A$6,"ID Store",$C47),0)</f>
        <v>15</v>
      </c>
      <c r="J47" s="112">
        <f t="shared" si="0"/>
        <v>0.25</v>
      </c>
      <c r="K47" s="113">
        <f t="shared" si="1"/>
        <v>-45</v>
      </c>
      <c r="L47" s="114">
        <f>IFERROR(GETPIVOTDATA("Sum of Qty",[2]PF!$A$5,"ID Store",$C47),0)</f>
        <v>1</v>
      </c>
      <c r="M47" s="114">
        <f>IFERROR(GETPIVOTDATA("Sum of Qty",'[2]DEVICE &amp; VALUE'!$A$6,"ID Store",$C47,"Segment Price","3mio&gt;"),0)</f>
        <v>12</v>
      </c>
      <c r="N47" s="115">
        <f t="shared" si="2"/>
        <v>0.8</v>
      </c>
      <c r="O47" s="116">
        <f>IFERROR(GETPIVOTDATA("Sum of Qty",[2]IQOO!$A$6,"ID Store",$C47),0)</f>
        <v>5</v>
      </c>
      <c r="P47" s="115">
        <f t="shared" si="3"/>
        <v>0.33333333333333331</v>
      </c>
      <c r="Q47" s="115">
        <f t="shared" si="4"/>
        <v>0.8</v>
      </c>
      <c r="R47" s="117">
        <f>IFERROR(GETPIVOTDATA("Sum of SRP",'[2]DEVICE &amp; VALUE'!$A$6,"ID Store",$C47),0)</f>
        <v>107185000</v>
      </c>
      <c r="S47" s="115">
        <f t="shared" si="5"/>
        <v>0.25520238095238096</v>
      </c>
      <c r="T47" s="118">
        <f t="shared" si="6"/>
        <v>-312815000</v>
      </c>
      <c r="U47" s="119">
        <f t="shared" si="7"/>
        <v>50</v>
      </c>
      <c r="V47" s="120">
        <f t="shared" si="8"/>
        <v>0.83333333333333337</v>
      </c>
      <c r="W47" s="121">
        <f t="shared" si="9"/>
        <v>-10</v>
      </c>
      <c r="X47" s="121">
        <f t="shared" si="10"/>
        <v>40</v>
      </c>
      <c r="Y47" s="121">
        <f t="shared" si="11"/>
        <v>-20</v>
      </c>
      <c r="Z47" s="122">
        <f t="shared" si="12"/>
        <v>357283333.33333331</v>
      </c>
      <c r="AA47" s="122">
        <f t="shared" si="13"/>
        <v>-62716666.666666687</v>
      </c>
      <c r="AB47" s="123">
        <f t="shared" si="14"/>
        <v>0.85067460317460308</v>
      </c>
      <c r="AC47" s="124">
        <f t="shared" si="15"/>
        <v>2.1428571428571428</v>
      </c>
      <c r="AD47" s="125">
        <f t="shared" si="16"/>
        <v>14895952.380952381</v>
      </c>
      <c r="AE47" s="110">
        <f>IFERROR(GETPIVOTDATA("Sum of Qty",'[2]DATA LAST MONTH IQOO'!$A$6,"ID Store",$C47),0)</f>
        <v>7</v>
      </c>
      <c r="AF47" s="126">
        <f>IFERROR(GETPIVOTDATA("Sum of Qty",[2]IQOO!$A$6,"ID Store",$C47),0)</f>
        <v>5</v>
      </c>
      <c r="AG47" s="113">
        <f t="shared" si="17"/>
        <v>-2</v>
      </c>
      <c r="AH47" s="127">
        <f t="shared" si="18"/>
        <v>-0.2857142857142857</v>
      </c>
      <c r="AI47" s="128">
        <f>IFERROR(GETPIVOTDATA("Sum of Qty",'[2]DATA LAST MONTH DEVICE'!$A$6,"ID Store",$C47),0)</f>
        <v>23</v>
      </c>
      <c r="AJ47" s="129">
        <f t="shared" si="19"/>
        <v>15</v>
      </c>
      <c r="AK47" s="113">
        <f t="shared" si="20"/>
        <v>-8</v>
      </c>
      <c r="AL47" s="115">
        <f t="shared" si="21"/>
        <v>-0.34782608695652173</v>
      </c>
      <c r="AM47" s="114">
        <f>IFERROR(GETPIVOTDATA("Sum of Qty",'[2]Store 3mio+ last month'!$A$6,"ID Store",$C47),0)</f>
        <v>58</v>
      </c>
      <c r="AN47" s="113">
        <f t="shared" si="22"/>
        <v>50</v>
      </c>
      <c r="AO47" s="113">
        <f t="shared" si="23"/>
        <v>-8</v>
      </c>
      <c r="AP47" s="115">
        <f t="shared" si="24"/>
        <v>-0.13793103448275862</v>
      </c>
      <c r="AQ47" s="114">
        <f>IFERROR(GETPIVOTDATA("Sum of Qty",'[2]DATA LAST MONTH DEVICE'!$A$6,"ID Store",$C47,"Segment Price","3mio&gt;"),0)</f>
        <v>20</v>
      </c>
      <c r="AR47" s="116">
        <f t="shared" si="25"/>
        <v>12</v>
      </c>
      <c r="AS47" s="116">
        <f t="shared" si="26"/>
        <v>-8</v>
      </c>
      <c r="AT47" s="115">
        <f t="shared" si="27"/>
        <v>-0.4</v>
      </c>
      <c r="AU47" s="130">
        <f>IFERROR(GETPIVOTDATA("Sum of SRP",'[2]DATA LAST MONTH DEVICE'!$A$6,"ID Store",$C47),0)</f>
        <v>160177000</v>
      </c>
      <c r="AV47" s="130">
        <f t="shared" si="28"/>
        <v>107185000</v>
      </c>
      <c r="AW47" s="130">
        <f t="shared" si="29"/>
        <v>-52992000</v>
      </c>
      <c r="AX47" s="115">
        <f t="shared" si="30"/>
        <v>-0.33083401487104891</v>
      </c>
      <c r="AY47" s="130">
        <f>IFERROR(VLOOKUP(C47,'[2]DATA SALES LAST MONTH'!A:E,5,0),0)</f>
        <v>6964217.3913043477</v>
      </c>
      <c r="AZ47" s="117">
        <f t="shared" si="31"/>
        <v>7145666.666666666</v>
      </c>
      <c r="BA47" s="117">
        <f t="shared" si="32"/>
        <v>181449.27536231838</v>
      </c>
      <c r="BB47" s="127">
        <f t="shared" si="33"/>
        <v>2.6054510531058284E-2</v>
      </c>
      <c r="BC47" s="110">
        <f>IFERROR(VLOOKUP(C47,'[2]TARGET THIS MONTH'!C:U,15,0),0)</f>
        <v>6</v>
      </c>
      <c r="BD47" s="131">
        <f>IFERROR(GETPIVOTDATA("Sum of Qty",[2]ACC!$A$5,"ID Store",$C47),0)</f>
        <v>2</v>
      </c>
      <c r="BE47" s="115">
        <f t="shared" si="34"/>
        <v>0.33333333333333331</v>
      </c>
      <c r="BF47" s="132">
        <f>IFERROR(VLOOKUP(C47,'[2]TARGET THIS MONTH'!C:U,16,0),0)</f>
        <v>2100000</v>
      </c>
      <c r="BG47" s="132">
        <f>IFERROR(GETPIVOTDATA("Sum of SRP",'[2]Insurance by Store'!$A$5,"ID Store",$C47,"Product Type","Qoala"),0)</f>
        <v>748000</v>
      </c>
      <c r="BH47" s="115">
        <f t="shared" si="35"/>
        <v>0.35619047619047617</v>
      </c>
      <c r="BI47" s="132">
        <f>IFERROR(VLOOKUP(C47,'[2]TARGET THIS MONTH'!C:U,17,0),0)</f>
        <v>420000</v>
      </c>
      <c r="BJ47" s="132">
        <f>IFERROR(GETPIVOTDATA("Sum of SRP",'[2]Insurance by Store'!$A$5,"ID Store",$C47,"Product Type","Vivo Care"),0)</f>
        <v>0</v>
      </c>
      <c r="BK47" s="115">
        <f t="shared" si="36"/>
        <v>0</v>
      </c>
      <c r="BL47" s="113">
        <f>IFERROR(VLOOKUP(C47,'[2]TARGET THIS MONTH'!C:U,18,0),0)</f>
        <v>1.8</v>
      </c>
      <c r="BM47" s="114">
        <f>IFERROR(GETPIVOTDATA("Sum of Qty",'[2]Operator by Store'!$A$5,"ID Store",$C47,"Product Type","Indosat"),0)</f>
        <v>0</v>
      </c>
      <c r="BN47" s="115">
        <f t="shared" si="37"/>
        <v>0</v>
      </c>
      <c r="BO47" s="113">
        <f>VLOOKUP(C47,'[2]TARGET THIS MONTH'!C:U,19,0)</f>
        <v>18</v>
      </c>
      <c r="BP47" s="114">
        <f>IFERROR(GETPIVOTDATA("Sum of Qty",'[2]Operator by Store'!$A$5,"ID Store",$C47,"Product Type","Telkomsel"),0)</f>
        <v>0</v>
      </c>
      <c r="BQ47" s="133">
        <f t="shared" si="38"/>
        <v>0</v>
      </c>
    </row>
    <row r="48" spans="1:69" x14ac:dyDescent="0.2">
      <c r="A48" s="157" t="s">
        <v>111</v>
      </c>
      <c r="B48" s="158"/>
      <c r="C48" s="158"/>
      <c r="D48" s="158"/>
      <c r="E48" s="158"/>
      <c r="F48" s="3">
        <f>SUM(F5:F47)</f>
        <v>114</v>
      </c>
      <c r="G48" s="4">
        <f>SUM(G5:G47)</f>
        <v>3400</v>
      </c>
      <c r="H48" s="5">
        <f>SUM(H5:H47)</f>
        <v>15659000000</v>
      </c>
      <c r="I48" s="4">
        <f>SUM(I5:I47)</f>
        <v>1121</v>
      </c>
      <c r="J48" s="6">
        <f t="shared" si="0"/>
        <v>0.32970588235294118</v>
      </c>
      <c r="K48" s="7">
        <f t="shared" si="1"/>
        <v>-2279</v>
      </c>
      <c r="L48" s="2">
        <f>SUM(L5:L47)</f>
        <v>239</v>
      </c>
      <c r="M48" s="2">
        <f>SUM(M5:M47)</f>
        <v>423</v>
      </c>
      <c r="N48" s="8">
        <f>M48/I48</f>
        <v>0.37734165923282781</v>
      </c>
      <c r="O48" s="7">
        <f>SUM(O5:O47)</f>
        <v>44</v>
      </c>
      <c r="P48" s="8">
        <f>O48/I48</f>
        <v>3.9250669045495096E-2</v>
      </c>
      <c r="Q48" s="8">
        <f>M48/I48</f>
        <v>0.37734165923282781</v>
      </c>
      <c r="R48" s="9">
        <f>SUM(R5:R47)</f>
        <v>4334179000</v>
      </c>
      <c r="S48" s="8">
        <f>R48/H48</f>
        <v>0.27678517146688802</v>
      </c>
      <c r="T48" s="10">
        <f t="shared" si="6"/>
        <v>-11324821000</v>
      </c>
      <c r="U48" s="11">
        <f>SUM(U5:U47)</f>
        <v>3736.666666666667</v>
      </c>
      <c r="V48" s="6">
        <f>U48/G48</f>
        <v>1.0990196078431373</v>
      </c>
      <c r="W48" s="7">
        <f t="shared" si="9"/>
        <v>336.66666666666697</v>
      </c>
      <c r="X48" s="7">
        <f>SUM(X5:X47)</f>
        <v>1410.0000000000002</v>
      </c>
      <c r="Y48" s="7">
        <f t="shared" si="11"/>
        <v>-1989.9999999999998</v>
      </c>
      <c r="Z48" s="9">
        <f>SUM(Z5:Z47)</f>
        <v>14447263333.333334</v>
      </c>
      <c r="AA48" s="9">
        <f t="shared" si="13"/>
        <v>-1211736666.666666</v>
      </c>
      <c r="AB48" s="12">
        <f>Z48/H48</f>
        <v>0.92261723822296027</v>
      </c>
      <c r="AC48" s="13">
        <f>SUM(AC5:AC47)</f>
        <v>108.52380952380956</v>
      </c>
      <c r="AD48" s="5">
        <f>SUM(AD5:AD47)</f>
        <v>539277190.47619033</v>
      </c>
      <c r="AE48" s="4">
        <f>SUM(AE5:AE47)</f>
        <v>165</v>
      </c>
      <c r="AF48" s="14">
        <f>SUM(AF5:AF47)</f>
        <v>44</v>
      </c>
      <c r="AG48" s="7">
        <f t="shared" si="17"/>
        <v>-121</v>
      </c>
      <c r="AH48" s="12">
        <f>AG48/AE48</f>
        <v>-0.73333333333333328</v>
      </c>
      <c r="AI48" s="15">
        <f>SUM(AI5:AI47)</f>
        <v>1223</v>
      </c>
      <c r="AJ48" s="14">
        <f>SUM(AJ5:AJ47)</f>
        <v>1121</v>
      </c>
      <c r="AK48" s="7">
        <f t="shared" si="20"/>
        <v>-102</v>
      </c>
      <c r="AL48" s="8">
        <f>AK48/AI48</f>
        <v>-8.3401471790678652E-2</v>
      </c>
      <c r="AM48" s="2">
        <f>SUM(AM5:AM47)</f>
        <v>3442</v>
      </c>
      <c r="AN48" s="7">
        <f>SUM(AN5:AN47)</f>
        <v>3736.666666666667</v>
      </c>
      <c r="AO48" s="7">
        <f t="shared" si="23"/>
        <v>294.66666666666697</v>
      </c>
      <c r="AP48" s="8">
        <f>AO48/AM48</f>
        <v>8.5609141971721953E-2</v>
      </c>
      <c r="AQ48" s="2">
        <f>SUM(AQ5:AQ47)</f>
        <v>593</v>
      </c>
      <c r="AR48" s="7">
        <f>SUM(AR5:AR47)</f>
        <v>423</v>
      </c>
      <c r="AS48" s="7">
        <f t="shared" si="26"/>
        <v>-170</v>
      </c>
      <c r="AT48" s="8">
        <f>AS48/AQ48</f>
        <v>-0.28667790893760542</v>
      </c>
      <c r="AU48" s="9">
        <f>SUM(AU5:AU47)</f>
        <v>5626477000</v>
      </c>
      <c r="AV48" s="9">
        <f>SUM(AV5:AV47)</f>
        <v>4334179000</v>
      </c>
      <c r="AW48" s="9">
        <f t="shared" si="29"/>
        <v>-1292298000</v>
      </c>
      <c r="AX48" s="8">
        <f>AW48/AU48</f>
        <v>-0.22968155739372967</v>
      </c>
      <c r="AY48" s="9">
        <f>AU48/AI48</f>
        <v>4600553.5568274735</v>
      </c>
      <c r="AZ48" s="9">
        <f>Z48/U48</f>
        <v>3866350.5798394289</v>
      </c>
      <c r="BA48" s="9">
        <f t="shared" si="32"/>
        <v>-734202.97698804457</v>
      </c>
      <c r="BB48" s="12">
        <f>BA48/AY48</f>
        <v>-0.15959013799512173</v>
      </c>
      <c r="BC48" s="4">
        <f>SUM(BC5:BC47)</f>
        <v>340</v>
      </c>
      <c r="BD48" s="16">
        <f>SUM(BD5:BD47)</f>
        <v>210</v>
      </c>
      <c r="BE48" s="8">
        <f>BD48/BC48</f>
        <v>0.61764705882352944</v>
      </c>
      <c r="BF48" s="9">
        <f>SUM(BF5:BF47)</f>
        <v>76290000</v>
      </c>
      <c r="BG48" s="9">
        <f>SUM(BG5:BG47)</f>
        <v>20963000</v>
      </c>
      <c r="BH48" s="8">
        <f>BG48/BF48</f>
        <v>0.27478044304627081</v>
      </c>
      <c r="BI48" s="9">
        <f>SUM(BI5:BI47)</f>
        <v>15508000</v>
      </c>
      <c r="BJ48" s="9">
        <f>SUM(BJ5:BJ47)</f>
        <v>1000000</v>
      </c>
      <c r="BK48" s="8">
        <f>BJ48/BI48</f>
        <v>6.4482847562548365E-2</v>
      </c>
      <c r="BL48" s="7">
        <f>SUM(BL5:BL47)</f>
        <v>102</v>
      </c>
      <c r="BM48" s="2">
        <f>SUM(BM5:BM47)</f>
        <v>12</v>
      </c>
      <c r="BN48" s="8">
        <f>BM48/BL48</f>
        <v>0.11764705882352941</v>
      </c>
      <c r="BO48" s="7">
        <f>SUM(BO5:BO47)</f>
        <v>1020</v>
      </c>
      <c r="BP48" s="2">
        <f>SUM(BP5:BP47)</f>
        <v>0</v>
      </c>
      <c r="BQ48" s="17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9C2C4-875A-8D44-BFEC-167108D945A8}">
  <dimension ref="A1:AO48"/>
  <sheetViews>
    <sheetView topLeftCell="P12" workbookViewId="0">
      <selection activeCell="AO48" sqref="AO48"/>
    </sheetView>
  </sheetViews>
  <sheetFormatPr baseColWidth="10" defaultRowHeight="13" x14ac:dyDescent="0.15"/>
  <cols>
    <col min="1" max="1" width="5.83203125" style="18" customWidth="1"/>
    <col min="2" max="2" width="23.33203125" style="18" customWidth="1"/>
    <col min="3" max="3" width="12.5" style="18" customWidth="1"/>
    <col min="4" max="4" width="36.6640625" style="18" customWidth="1"/>
    <col min="5" max="5" width="18.33203125" style="18" customWidth="1"/>
    <col min="6" max="41" width="10.33203125" style="18" customWidth="1"/>
    <col min="42" max="16384" width="10.83203125" style="18"/>
  </cols>
  <sheetData>
    <row r="1" spans="1:41" ht="16" x14ac:dyDescent="0.2">
      <c r="A1" s="147" t="s">
        <v>116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</row>
    <row r="2" spans="1:41" x14ac:dyDescent="0.15">
      <c r="A2" s="134"/>
      <c r="B2" s="134"/>
      <c r="C2" s="134"/>
      <c r="D2" s="134"/>
      <c r="E2" s="134"/>
      <c r="F2" s="148" t="str">
        <f>'[1]SALES PERTYPE'!D7</f>
        <v>3mio&lt;</v>
      </c>
      <c r="G2" s="148"/>
      <c r="H2" s="148"/>
      <c r="I2" s="148"/>
      <c r="J2" s="148"/>
      <c r="K2" s="148"/>
      <c r="L2" s="148"/>
      <c r="M2" s="148"/>
      <c r="N2" s="148" t="str">
        <f>'[1]SALES PERTYPE'!L7</f>
        <v>3mio&gt;</v>
      </c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5" t="s">
        <v>111</v>
      </c>
      <c r="AO2" s="145"/>
    </row>
    <row r="3" spans="1:41" ht="30" customHeight="1" x14ac:dyDescent="0.15">
      <c r="A3" s="148" t="s">
        <v>16</v>
      </c>
      <c r="B3" s="148" t="s">
        <v>17</v>
      </c>
      <c r="C3" s="148" t="s">
        <v>115</v>
      </c>
      <c r="D3" s="148" t="s">
        <v>19</v>
      </c>
      <c r="E3" s="148" t="s">
        <v>114</v>
      </c>
      <c r="F3" s="146" t="str">
        <f>'[1]SALES PERTYPE'!D8</f>
        <v>Y05</v>
      </c>
      <c r="G3" s="146"/>
      <c r="H3" s="146" t="str">
        <f>'[1]SALES PERTYPE'!F8</f>
        <v>Y11d</v>
      </c>
      <c r="I3" s="146"/>
      <c r="J3" s="146" t="str">
        <f>'[1]SALES PERTYPE'!H8</f>
        <v>Watch GT 2</v>
      </c>
      <c r="K3" s="146"/>
      <c r="L3" s="146" t="str">
        <f>'[1]SALES PERTYPE'!J8</f>
        <v>Y05e</v>
      </c>
      <c r="M3" s="146"/>
      <c r="N3" s="146" t="str">
        <f>'[1]SALES PERTYPE'!L8</f>
        <v>V70</v>
      </c>
      <c r="O3" s="146"/>
      <c r="P3" s="146" t="str">
        <f>'[1]SALES PERTYPE'!N8</f>
        <v>Y31d Pro</v>
      </c>
      <c r="Q3" s="146"/>
      <c r="R3" s="146" t="str">
        <f>'[1]SALES PERTYPE'!P8</f>
        <v>Y11d</v>
      </c>
      <c r="S3" s="146"/>
      <c r="T3" s="146" t="str">
        <f>'[1]SALES PERTYPE'!R8</f>
        <v xml:space="preserve">Y31d </v>
      </c>
      <c r="U3" s="146"/>
      <c r="V3" s="146" t="str">
        <f>'[1]SALES PERTYPE'!T8</f>
        <v>V70 FE</v>
      </c>
      <c r="W3" s="146"/>
      <c r="X3" s="146" t="str">
        <f>'[1]SALES PERTYPE'!V8</f>
        <v>Y31d</v>
      </c>
      <c r="Y3" s="146"/>
      <c r="Z3" s="146" t="str">
        <f>'[1]SALES PERTYPE'!X8</f>
        <v>Y500</v>
      </c>
      <c r="AA3" s="146"/>
      <c r="AB3" s="146" t="str">
        <f>'[1]SALES PERTYPE'!Z8</f>
        <v>IQOO 15R</v>
      </c>
      <c r="AC3" s="146"/>
      <c r="AD3" s="146" t="str">
        <f>'[1]SALES PERTYPE'!AB8</f>
        <v>V60 Lite</v>
      </c>
      <c r="AE3" s="146"/>
      <c r="AF3" s="146" t="str">
        <f>'[1]SALES PERTYPE'!AD8</f>
        <v>X300 Ultra</v>
      </c>
      <c r="AG3" s="146"/>
      <c r="AH3" s="146" t="str">
        <f>'[1]SALES PERTYPE'!AF8</f>
        <v>IQOO 15</v>
      </c>
      <c r="AI3" s="146"/>
      <c r="AJ3" s="146" t="str">
        <f>'[1]SALES PERTYPE'!AH8</f>
        <v>IQOO Z11x</v>
      </c>
      <c r="AK3" s="146"/>
      <c r="AL3" s="146" t="str">
        <f>'[1]SALES PERTYPE'!AJ8</f>
        <v>IQOO Z11</v>
      </c>
      <c r="AM3" s="146"/>
      <c r="AN3" s="145" t="s">
        <v>111</v>
      </c>
      <c r="AO3" s="145"/>
    </row>
    <row r="4" spans="1:41" x14ac:dyDescent="0.15">
      <c r="A4" s="148"/>
      <c r="B4" s="148"/>
      <c r="C4" s="148"/>
      <c r="D4" s="148"/>
      <c r="E4" s="148"/>
      <c r="F4" s="136" t="s">
        <v>113</v>
      </c>
      <c r="G4" s="136" t="s">
        <v>112</v>
      </c>
      <c r="H4" s="136" t="s">
        <v>113</v>
      </c>
      <c r="I4" s="136" t="s">
        <v>112</v>
      </c>
      <c r="J4" s="136" t="s">
        <v>113</v>
      </c>
      <c r="K4" s="136" t="s">
        <v>112</v>
      </c>
      <c r="L4" s="136" t="s">
        <v>113</v>
      </c>
      <c r="M4" s="136" t="s">
        <v>112</v>
      </c>
      <c r="N4" s="136" t="s">
        <v>113</v>
      </c>
      <c r="O4" s="136" t="s">
        <v>112</v>
      </c>
      <c r="P4" s="136" t="s">
        <v>113</v>
      </c>
      <c r="Q4" s="136" t="s">
        <v>112</v>
      </c>
      <c r="R4" s="136" t="s">
        <v>113</v>
      </c>
      <c r="S4" s="136" t="s">
        <v>112</v>
      </c>
      <c r="T4" s="136" t="s">
        <v>113</v>
      </c>
      <c r="U4" s="136" t="s">
        <v>112</v>
      </c>
      <c r="V4" s="136" t="s">
        <v>113</v>
      </c>
      <c r="W4" s="136" t="s">
        <v>112</v>
      </c>
      <c r="X4" s="136" t="s">
        <v>113</v>
      </c>
      <c r="Y4" s="136" t="s">
        <v>112</v>
      </c>
      <c r="Z4" s="136" t="s">
        <v>113</v>
      </c>
      <c r="AA4" s="136" t="s">
        <v>112</v>
      </c>
      <c r="AB4" s="136" t="s">
        <v>113</v>
      </c>
      <c r="AC4" s="136" t="s">
        <v>112</v>
      </c>
      <c r="AD4" s="136" t="s">
        <v>113</v>
      </c>
      <c r="AE4" s="136" t="s">
        <v>112</v>
      </c>
      <c r="AF4" s="136" t="s">
        <v>113</v>
      </c>
      <c r="AG4" s="136" t="s">
        <v>112</v>
      </c>
      <c r="AH4" s="136" t="s">
        <v>113</v>
      </c>
      <c r="AI4" s="136" t="s">
        <v>112</v>
      </c>
      <c r="AJ4" s="136" t="s">
        <v>113</v>
      </c>
      <c r="AK4" s="136" t="s">
        <v>112</v>
      </c>
      <c r="AL4" s="136" t="s">
        <v>113</v>
      </c>
      <c r="AM4" s="136" t="s">
        <v>112</v>
      </c>
      <c r="AN4" s="135" t="s">
        <v>113</v>
      </c>
      <c r="AO4" s="135" t="s">
        <v>112</v>
      </c>
    </row>
    <row r="5" spans="1:41" x14ac:dyDescent="0.15">
      <c r="A5" s="137">
        <f>'[1]ACHIEVEMENT STORE'!A5</f>
        <v>1</v>
      </c>
      <c r="B5" s="138" t="str">
        <f>'[1]ACHIEVEMENT STORE'!B5</f>
        <v>601 雅加达西北 JKT BU</v>
      </c>
      <c r="C5" s="137">
        <f>'[1]ACHIEVEMENT STORE'!C5</f>
        <v>6010708</v>
      </c>
      <c r="D5" s="138" t="str">
        <f>'[1]ACHIEVEMENT STORE'!D5</f>
        <v>6010708-MVS SHOWROOM CENTRAL PARK</v>
      </c>
      <c r="E5" s="138" t="str">
        <f>'[1]ACHIEVEMENT STORE'!E5</f>
        <v>NANDI FEBRIANA</v>
      </c>
      <c r="F5" s="139">
        <f>IFERROR(INDEX('[1]SALES PERTYPE'!$D$10:$D$52,MATCH($C5,'[1]SALES PERTYPE'!$B$10:$B$52,0)),0)</f>
        <v>7</v>
      </c>
      <c r="G5" s="139">
        <f>IFERROR(INDEX('[1]SALES PERTYPE'!$E$10:$E$52,MATCH($C5,'[1]SALES PERTYPE'!$B$10:$B$52,0)),0)</f>
        <v>18193000</v>
      </c>
      <c r="H5" s="139">
        <f>IFERROR(INDEX('[1]SALES PERTYPE'!$F$10:$F$52,MATCH($C5,'[1]SALES PERTYPE'!$B$10:$B$52,0)),0)</f>
        <v>4</v>
      </c>
      <c r="I5" s="139">
        <f>IFERROR(INDEX('[1]SALES PERTYPE'!$G$10:$G$52,MATCH($C5,'[1]SALES PERTYPE'!$B$10:$B$52,0)),0)</f>
        <v>10396000</v>
      </c>
      <c r="J5" s="139">
        <f>IFERROR(INDEX('[1]SALES PERTYPE'!$H$10:$H$52,MATCH($C5,'[1]SALES PERTYPE'!$B$10:$B$52,0)),0)</f>
        <v>0</v>
      </c>
      <c r="K5" s="139">
        <f>IFERROR(INDEX('[1]SALES PERTYPE'!$I$10:$I$52,MATCH($C5,'[1]SALES PERTYPE'!$B$10:$B$52,0)),0)</f>
        <v>0</v>
      </c>
      <c r="L5" s="139">
        <f>IFERROR(INDEX('[1]SALES PERTYPE'!$J$10:$J$52,MATCH($C5,'[1]SALES PERTYPE'!$B$10:$B$52,0)),0)</f>
        <v>4</v>
      </c>
      <c r="M5" s="139">
        <f>IFERROR(INDEX('[1]SALES PERTYPE'!$K$10:$K$52,MATCH($C5,'[1]SALES PERTYPE'!$B$10:$B$52,0)),0)</f>
        <v>8396000</v>
      </c>
      <c r="N5" s="139">
        <f>IFERROR(INDEX('[1]SALES PERTYPE'!$L$10:$L$52,MATCH($C5,'[1]SALES PERTYPE'!$B$10:$B$52,0)),0)</f>
        <v>1</v>
      </c>
      <c r="O5" s="139">
        <f>IFERROR(INDEX('[1]SALES PERTYPE'!$M$10:$M$52,MATCH($C5,'[1]SALES PERTYPE'!$B$10:$B$52,0)),0)</f>
        <v>9999000</v>
      </c>
      <c r="P5" s="139">
        <f>IFERROR(INDEX('[1]SALES PERTYPE'!$N$10:$N$52,MATCH($C5,'[1]SALES PERTYPE'!$B$10:$B$52,0)),0)</f>
        <v>5</v>
      </c>
      <c r="Q5" s="139">
        <f>IFERROR(INDEX('[1]SALES PERTYPE'!$O$10:$O$52,MATCH($C5,'[1]SALES PERTYPE'!$B$10:$B$52,0)),0)</f>
        <v>22695000</v>
      </c>
      <c r="R5" s="139">
        <f>IFERROR(INDEX('[1]SALES PERTYPE'!$P$10:$P$52,MATCH($C5,'[1]SALES PERTYPE'!$B$10:$B$52,0)),0)</f>
        <v>0</v>
      </c>
      <c r="S5" s="139">
        <f>IFERROR(INDEX('[1]SALES PERTYPE'!$Q$10:$Q$52,MATCH($C5,'[1]SALES PERTYPE'!$B$10:$B$52,0)),0)</f>
        <v>0</v>
      </c>
      <c r="T5" s="139">
        <f>IFERROR(INDEX('[1]SALES PERTYPE'!$R$10:$R$52,MATCH($C5,'[1]SALES PERTYPE'!$B$10:$B$52,0)),0)</f>
        <v>0</v>
      </c>
      <c r="U5" s="139">
        <f>IFERROR(INDEX('[1]SALES PERTYPE'!$S$10:$S$52,MATCH($C5,'[1]SALES PERTYPE'!$B$10:$B$52,0)),0)</f>
        <v>0</v>
      </c>
      <c r="V5" s="139">
        <f>IFERROR(INDEX('[1]SALES PERTYPE'!$T$10:$T$52,MATCH($C5,'[1]SALES PERTYPE'!$B$10:$B$52,0)),0)</f>
        <v>1</v>
      </c>
      <c r="W5" s="139">
        <f>IFERROR(INDEX('[1]SALES PERTYPE'!$U$10:$U$52,MATCH($C5,'[1]SALES PERTYPE'!$B$10:$B$52,0)),0)</f>
        <v>7999000</v>
      </c>
      <c r="X5" s="139">
        <f>IFERROR(INDEX('[1]SALES PERTYPE'!$V$10:$V$52,MATCH($C5,'[1]SALES PERTYPE'!$B$10:$B$52,0)),0)</f>
        <v>0</v>
      </c>
      <c r="Y5" s="139">
        <f>IFERROR(INDEX('[1]SALES PERTYPE'!$W$10:$W$52,MATCH($C5,'[1]SALES PERTYPE'!$B$10:$B$52,0)),0)</f>
        <v>0</v>
      </c>
      <c r="Z5" s="139">
        <f>IFERROR(INDEX('[1]SALES PERTYPE'!$X$10:$X$52,MATCH($C5,'[1]SALES PERTYPE'!$B$10:$B$52,0)),0)</f>
        <v>1</v>
      </c>
      <c r="AA5" s="139">
        <f>IFERROR(INDEX('[1]SALES PERTYPE'!$Y$10:$Y$52,MATCH($C5,'[1]SALES PERTYPE'!$B$10:$B$52,0)),0)</f>
        <v>5499000</v>
      </c>
      <c r="AB5" s="139">
        <f>IFERROR(INDEX('[1]SALES PERTYPE'!$Z$10:$Z$52,MATCH($C5,'[1]SALES PERTYPE'!$B$10:$B$52,0)),0)</f>
        <v>0</v>
      </c>
      <c r="AC5" s="139">
        <f>IFERROR(INDEX('[1]SALES PERTYPE'!$AA$10:$AA$52,MATCH($C5,'[1]SALES PERTYPE'!$B$10:$B$52,0)),0)</f>
        <v>0</v>
      </c>
      <c r="AD5" s="139">
        <f>IFERROR(INDEX('[1]SALES PERTYPE'!$AB$10:$AB$52,MATCH($C5,'[1]SALES PERTYPE'!$B$10:$B$52,0)),0)</f>
        <v>4</v>
      </c>
      <c r="AE5" s="139">
        <f>IFERROR(INDEX('[1]SALES PERTYPE'!$AC$10:$AC$52,MATCH($C5,'[1]SALES PERTYPE'!$B$10:$B$52,0)),0)</f>
        <v>22996000</v>
      </c>
      <c r="AF5" s="139">
        <f>IFERROR(INDEX('[1]SALES PERTYPE'!$AD$10:$AD$52,MATCH($C5,'[1]SALES PERTYPE'!$B$10:$B$52,0)),0)</f>
        <v>0</v>
      </c>
      <c r="AG5" s="139">
        <f>IFERROR(INDEX('[1]SALES PERTYPE'!$AE$10:$AE$52,MATCH($C5,'[1]SALES PERTYPE'!$B$10:$B$52,0)),0)</f>
        <v>0</v>
      </c>
      <c r="AH5" s="139">
        <f>IFERROR(INDEX('[1]SALES PERTYPE'!$AF$10:$AF$52,MATCH($C5,'[1]SALES PERTYPE'!$B$10:$B$52,0)),0)</f>
        <v>0</v>
      </c>
      <c r="AI5" s="139">
        <f>IFERROR(INDEX('[1]SALES PERTYPE'!$AG$10:$AG$52,MATCH($C5,'[1]SALES PERTYPE'!$B$10:$B$52,0)),0)</f>
        <v>0</v>
      </c>
      <c r="AJ5" s="139">
        <f>IFERROR(INDEX('[1]SALES PERTYPE'!$AH$10:$AH$52,MATCH($C5,'[1]SALES PERTYPE'!$B$10:$B$52,0)),0)</f>
        <v>1</v>
      </c>
      <c r="AK5" s="139">
        <f>IFERROR(INDEX('[1]SALES PERTYPE'!$AI$10:$AI$52,MATCH($C5,'[1]SALES PERTYPE'!$B$10:$B$52,0)),0)</f>
        <v>5699000</v>
      </c>
      <c r="AL5" s="139">
        <f>IFERROR(INDEX('[1]SALES PERTYPE'!$AJ$10:$AJ$52,MATCH($C5,'[1]SALES PERTYPE'!$B$10:$B$52,0)),0)</f>
        <v>1</v>
      </c>
      <c r="AM5" s="139">
        <f>IFERROR(INDEX('[1]SALES PERTYPE'!$AK$10:$AK$52,MATCH($C5,'[1]SALES PERTYPE'!$B$10:$B$52,0)),0)</f>
        <v>8399000</v>
      </c>
      <c r="AN5" s="139">
        <f>IFERROR(INDEX('[1]SALES PERTYPE'!$AL$10:$AL$52,MATCH($C5,'[1]SALES PERTYPE'!$B$10:$B$52,0)),0)</f>
        <v>29</v>
      </c>
      <c r="AO5" s="139">
        <f>IFERROR(INDEX('[1]SALES PERTYPE'!$AM$10:$AM$52,MATCH($C5,'[1]SALES PERTYPE'!$B$10:$B$52,0)),0)</f>
        <v>120271000</v>
      </c>
    </row>
    <row r="6" spans="1:41" x14ac:dyDescent="0.15">
      <c r="A6" s="140">
        <f>'[1]ACHIEVEMENT STORE'!A6</f>
        <v>2</v>
      </c>
      <c r="B6" s="141" t="str">
        <f>'[1]ACHIEVEMENT STORE'!B6</f>
        <v>601 雅加达西北 JKT BU</v>
      </c>
      <c r="C6" s="140">
        <f>'[1]ACHIEVEMENT STORE'!C6</f>
        <v>6010701</v>
      </c>
      <c r="D6" s="141" t="str">
        <f>'[1]ACHIEVEMENT STORE'!D6</f>
        <v>6010701-MVS ROXY SHOWROOM 21</v>
      </c>
      <c r="E6" s="141" t="str">
        <f>'[1]ACHIEVEMENT STORE'!E6</f>
        <v>ANGGARIA</v>
      </c>
      <c r="F6" s="142">
        <f>IFERROR(INDEX('[1]SALES PERTYPE'!$D$10:$D$52,MATCH($C6,'[1]SALES PERTYPE'!$B$10:$B$52,0)),0)</f>
        <v>20</v>
      </c>
      <c r="G6" s="142">
        <f>IFERROR(INDEX('[1]SALES PERTYPE'!$E$10:$E$52,MATCH($C6,'[1]SALES PERTYPE'!$B$10:$B$52,0)),0)</f>
        <v>47180000</v>
      </c>
      <c r="H6" s="142">
        <f>IFERROR(INDEX('[1]SALES PERTYPE'!$F$10:$F$52,MATCH($C6,'[1]SALES PERTYPE'!$B$10:$B$52,0)),0)</f>
        <v>14</v>
      </c>
      <c r="I6" s="142">
        <f>IFERROR(INDEX('[1]SALES PERTYPE'!$G$10:$G$52,MATCH($C6,'[1]SALES PERTYPE'!$B$10:$B$52,0)),0)</f>
        <v>37186000</v>
      </c>
      <c r="J6" s="142">
        <f>IFERROR(INDEX('[1]SALES PERTYPE'!$H$10:$H$52,MATCH($C6,'[1]SALES PERTYPE'!$B$10:$B$52,0)),0)</f>
        <v>0</v>
      </c>
      <c r="K6" s="142">
        <f>IFERROR(INDEX('[1]SALES PERTYPE'!$I$10:$I$52,MATCH($C6,'[1]SALES PERTYPE'!$B$10:$B$52,0)),0)</f>
        <v>0</v>
      </c>
      <c r="L6" s="142">
        <f>IFERROR(INDEX('[1]SALES PERTYPE'!$J$10:$J$52,MATCH($C6,'[1]SALES PERTYPE'!$B$10:$B$52,0)),0)</f>
        <v>20</v>
      </c>
      <c r="M6" s="142">
        <f>IFERROR(INDEX('[1]SALES PERTYPE'!$K$10:$K$52,MATCH($C6,'[1]SALES PERTYPE'!$B$10:$B$52,0)),0)</f>
        <v>41980000</v>
      </c>
      <c r="N6" s="142">
        <f>IFERROR(INDEX('[1]SALES PERTYPE'!$L$10:$L$52,MATCH($C6,'[1]SALES PERTYPE'!$B$10:$B$52,0)),0)</f>
        <v>2</v>
      </c>
      <c r="O6" s="142">
        <f>IFERROR(INDEX('[1]SALES PERTYPE'!$M$10:$M$52,MATCH($C6,'[1]SALES PERTYPE'!$B$10:$B$52,0)),0)</f>
        <v>19998000</v>
      </c>
      <c r="P6" s="142">
        <f>IFERROR(INDEX('[1]SALES PERTYPE'!$N$10:$N$52,MATCH($C6,'[1]SALES PERTYPE'!$B$10:$B$52,0)),0)</f>
        <v>23</v>
      </c>
      <c r="Q6" s="142">
        <f>IFERROR(INDEX('[1]SALES PERTYPE'!$O$10:$O$52,MATCH($C6,'[1]SALES PERTYPE'!$B$10:$B$52,0)),0)</f>
        <v>103277000</v>
      </c>
      <c r="R6" s="142">
        <f>IFERROR(INDEX('[1]SALES PERTYPE'!$P$10:$P$52,MATCH($C6,'[1]SALES PERTYPE'!$B$10:$B$52,0)),0)</f>
        <v>1</v>
      </c>
      <c r="S6" s="142">
        <f>IFERROR(INDEX('[1]SALES PERTYPE'!$Q$10:$Q$52,MATCH($C6,'[1]SALES PERTYPE'!$B$10:$B$52,0)),0)</f>
        <v>3599000</v>
      </c>
      <c r="T6" s="142">
        <f>IFERROR(INDEX('[1]SALES PERTYPE'!$R$10:$R$52,MATCH($C6,'[1]SALES PERTYPE'!$B$10:$B$52,0)),0)</f>
        <v>3</v>
      </c>
      <c r="U6" s="142">
        <f>IFERROR(INDEX('[1]SALES PERTYPE'!$S$10:$S$52,MATCH($C6,'[1]SALES PERTYPE'!$B$10:$B$52,0)),0)</f>
        <v>10797000</v>
      </c>
      <c r="V6" s="142">
        <f>IFERROR(INDEX('[1]SALES PERTYPE'!$T$10:$T$52,MATCH($C6,'[1]SALES PERTYPE'!$B$10:$B$52,0)),0)</f>
        <v>2</v>
      </c>
      <c r="W6" s="142">
        <f>IFERROR(INDEX('[1]SALES PERTYPE'!$U$10:$U$52,MATCH($C6,'[1]SALES PERTYPE'!$B$10:$B$52,0)),0)</f>
        <v>15998000</v>
      </c>
      <c r="X6" s="142">
        <f>IFERROR(INDEX('[1]SALES PERTYPE'!$V$10:$V$52,MATCH($C6,'[1]SALES PERTYPE'!$B$10:$B$52,0)),0)</f>
        <v>0</v>
      </c>
      <c r="Y6" s="142">
        <f>IFERROR(INDEX('[1]SALES PERTYPE'!$W$10:$W$52,MATCH($C6,'[1]SALES PERTYPE'!$B$10:$B$52,0)),0)</f>
        <v>0</v>
      </c>
      <c r="Z6" s="142">
        <f>IFERROR(INDEX('[1]SALES PERTYPE'!$X$10:$X$52,MATCH($C6,'[1]SALES PERTYPE'!$B$10:$B$52,0)),0)</f>
        <v>3</v>
      </c>
      <c r="AA6" s="142">
        <f>IFERROR(INDEX('[1]SALES PERTYPE'!$Y$10:$Y$52,MATCH($C6,'[1]SALES PERTYPE'!$B$10:$B$52,0)),0)</f>
        <v>18097000</v>
      </c>
      <c r="AB6" s="142">
        <f>IFERROR(INDEX('[1]SALES PERTYPE'!$Z$10:$Z$52,MATCH($C6,'[1]SALES PERTYPE'!$B$10:$B$52,0)),0)</f>
        <v>0</v>
      </c>
      <c r="AC6" s="142">
        <f>IFERROR(INDEX('[1]SALES PERTYPE'!$AA$10:$AA$52,MATCH($C6,'[1]SALES PERTYPE'!$B$10:$B$52,0)),0)</f>
        <v>0</v>
      </c>
      <c r="AD6" s="142">
        <f>IFERROR(INDEX('[1]SALES PERTYPE'!$AB$10:$AB$52,MATCH($C6,'[1]SALES PERTYPE'!$B$10:$B$52,0)),0)</f>
        <v>0</v>
      </c>
      <c r="AE6" s="142">
        <f>IFERROR(INDEX('[1]SALES PERTYPE'!$AC$10:$AC$52,MATCH($C6,'[1]SALES PERTYPE'!$B$10:$B$52,0)),0)</f>
        <v>0</v>
      </c>
      <c r="AF6" s="142">
        <f>IFERROR(INDEX('[1]SALES PERTYPE'!$AD$10:$AD$52,MATCH($C6,'[1]SALES PERTYPE'!$B$10:$B$52,0)),0)</f>
        <v>1</v>
      </c>
      <c r="AG6" s="142">
        <f>IFERROR(INDEX('[1]SALES PERTYPE'!$AE$10:$AE$52,MATCH($C6,'[1]SALES PERTYPE'!$B$10:$B$52,0)),0)</f>
        <v>25999000</v>
      </c>
      <c r="AH6" s="142">
        <f>IFERROR(INDEX('[1]SALES PERTYPE'!$AF$10:$AF$52,MATCH($C6,'[1]SALES PERTYPE'!$B$10:$B$52,0)),0)</f>
        <v>0</v>
      </c>
      <c r="AI6" s="142">
        <f>IFERROR(INDEX('[1]SALES PERTYPE'!$AG$10:$AG$52,MATCH($C6,'[1]SALES PERTYPE'!$B$10:$B$52,0)),0)</f>
        <v>0</v>
      </c>
      <c r="AJ6" s="142">
        <f>IFERROR(INDEX('[1]SALES PERTYPE'!$AH$10:$AH$52,MATCH($C6,'[1]SALES PERTYPE'!$B$10:$B$52,0)),0)</f>
        <v>1</v>
      </c>
      <c r="AK6" s="142">
        <f>IFERROR(INDEX('[1]SALES PERTYPE'!$AI$10:$AI$52,MATCH($C6,'[1]SALES PERTYPE'!$B$10:$B$52,0)),0)</f>
        <v>5699000</v>
      </c>
      <c r="AL6" s="142">
        <f>IFERROR(INDEX('[1]SALES PERTYPE'!$AJ$10:$AJ$52,MATCH($C6,'[1]SALES PERTYPE'!$B$10:$B$52,0)),0)</f>
        <v>2</v>
      </c>
      <c r="AM6" s="142">
        <f>IFERROR(INDEX('[1]SALES PERTYPE'!$AK$10:$AK$52,MATCH($C6,'[1]SALES PERTYPE'!$B$10:$B$52,0)),0)</f>
        <v>15298000</v>
      </c>
      <c r="AN6" s="142">
        <f>IFERROR(INDEX('[1]SALES PERTYPE'!$AL$10:$AL$52,MATCH($C6,'[1]SALES PERTYPE'!$B$10:$B$52,0)),0)</f>
        <v>92</v>
      </c>
      <c r="AO6" s="142">
        <f>IFERROR(INDEX('[1]SALES PERTYPE'!$AM$10:$AM$52,MATCH($C6,'[1]SALES PERTYPE'!$B$10:$B$52,0)),0)</f>
        <v>345108000</v>
      </c>
    </row>
    <row r="7" spans="1:41" x14ac:dyDescent="0.15">
      <c r="A7" s="137">
        <f>'[1]ACHIEVEMENT STORE'!A7</f>
        <v>3</v>
      </c>
      <c r="B7" s="138" t="str">
        <f>'[1]ACHIEVEMENT STORE'!B7</f>
        <v>601 雅加达西北 JKT BU</v>
      </c>
      <c r="C7" s="137">
        <f>'[1]ACHIEVEMENT STORE'!C7</f>
        <v>6010702</v>
      </c>
      <c r="D7" s="138" t="str">
        <f>'[1]ACHIEVEMENT STORE'!D7</f>
        <v>6010702-ME ROXY PAMERAN TIMUR</v>
      </c>
      <c r="E7" s="138" t="str">
        <f>'[1]ACHIEVEMENT STORE'!E7</f>
        <v>ANGGARIA</v>
      </c>
      <c r="F7" s="139">
        <f>IFERROR(INDEX('[1]SALES PERTYPE'!$D$10:$D$52,MATCH($C7,'[1]SALES PERTYPE'!$B$10:$B$52,0)),0)</f>
        <v>18</v>
      </c>
      <c r="G7" s="139">
        <f>IFERROR(INDEX('[1]SALES PERTYPE'!$E$10:$E$52,MATCH($C7,'[1]SALES PERTYPE'!$B$10:$B$52,0)),0)</f>
        <v>42882000</v>
      </c>
      <c r="H7" s="139">
        <f>IFERROR(INDEX('[1]SALES PERTYPE'!$F$10:$F$52,MATCH($C7,'[1]SALES PERTYPE'!$B$10:$B$52,0)),0)</f>
        <v>23</v>
      </c>
      <c r="I7" s="139">
        <f>IFERROR(INDEX('[1]SALES PERTYPE'!$G$10:$G$52,MATCH($C7,'[1]SALES PERTYPE'!$B$10:$B$52,0)),0)</f>
        <v>61177000</v>
      </c>
      <c r="J7" s="139">
        <f>IFERROR(INDEX('[1]SALES PERTYPE'!$H$10:$H$52,MATCH($C7,'[1]SALES PERTYPE'!$B$10:$B$52,0)),0)</f>
        <v>0</v>
      </c>
      <c r="K7" s="139">
        <f>IFERROR(INDEX('[1]SALES PERTYPE'!$I$10:$I$52,MATCH($C7,'[1]SALES PERTYPE'!$B$10:$B$52,0)),0)</f>
        <v>0</v>
      </c>
      <c r="L7" s="139">
        <f>IFERROR(INDEX('[1]SALES PERTYPE'!$J$10:$J$52,MATCH($C7,'[1]SALES PERTYPE'!$B$10:$B$52,0)),0)</f>
        <v>34</v>
      </c>
      <c r="M7" s="139">
        <f>IFERROR(INDEX('[1]SALES PERTYPE'!$K$10:$K$52,MATCH($C7,'[1]SALES PERTYPE'!$B$10:$B$52,0)),0)</f>
        <v>71366000</v>
      </c>
      <c r="N7" s="139">
        <f>IFERROR(INDEX('[1]SALES PERTYPE'!$L$10:$L$52,MATCH($C7,'[1]SALES PERTYPE'!$B$10:$B$52,0)),0)</f>
        <v>2</v>
      </c>
      <c r="O7" s="139">
        <f>IFERROR(INDEX('[1]SALES PERTYPE'!$M$10:$M$52,MATCH($C7,'[1]SALES PERTYPE'!$B$10:$B$52,0)),0)</f>
        <v>19998000</v>
      </c>
      <c r="P7" s="139">
        <f>IFERROR(INDEX('[1]SALES PERTYPE'!$N$10:$N$52,MATCH($C7,'[1]SALES PERTYPE'!$B$10:$B$52,0)),0)</f>
        <v>16</v>
      </c>
      <c r="Q7" s="139">
        <f>IFERROR(INDEX('[1]SALES PERTYPE'!$O$10:$O$52,MATCH($C7,'[1]SALES PERTYPE'!$B$10:$B$52,0)),0)</f>
        <v>71784000</v>
      </c>
      <c r="R7" s="139">
        <f>IFERROR(INDEX('[1]SALES PERTYPE'!$P$10:$P$52,MATCH($C7,'[1]SALES PERTYPE'!$B$10:$B$52,0)),0)</f>
        <v>0</v>
      </c>
      <c r="S7" s="139">
        <f>IFERROR(INDEX('[1]SALES PERTYPE'!$Q$10:$Q$52,MATCH($C7,'[1]SALES PERTYPE'!$B$10:$B$52,0)),0)</f>
        <v>0</v>
      </c>
      <c r="T7" s="139">
        <f>IFERROR(INDEX('[1]SALES PERTYPE'!$R$10:$R$52,MATCH($C7,'[1]SALES PERTYPE'!$B$10:$B$52,0)),0)</f>
        <v>0</v>
      </c>
      <c r="U7" s="139">
        <f>IFERROR(INDEX('[1]SALES PERTYPE'!$S$10:$S$52,MATCH($C7,'[1]SALES PERTYPE'!$B$10:$B$52,0)),0)</f>
        <v>0</v>
      </c>
      <c r="V7" s="139">
        <f>IFERROR(INDEX('[1]SALES PERTYPE'!$T$10:$T$52,MATCH($C7,'[1]SALES PERTYPE'!$B$10:$B$52,0)),0)</f>
        <v>1</v>
      </c>
      <c r="W7" s="139">
        <f>IFERROR(INDEX('[1]SALES PERTYPE'!$U$10:$U$52,MATCH($C7,'[1]SALES PERTYPE'!$B$10:$B$52,0)),0)</f>
        <v>7999000</v>
      </c>
      <c r="X7" s="139">
        <f>IFERROR(INDEX('[1]SALES PERTYPE'!$V$10:$V$52,MATCH($C7,'[1]SALES PERTYPE'!$B$10:$B$52,0)),0)</f>
        <v>0</v>
      </c>
      <c r="Y7" s="139">
        <f>IFERROR(INDEX('[1]SALES PERTYPE'!$W$10:$W$52,MATCH($C7,'[1]SALES PERTYPE'!$B$10:$B$52,0)),0)</f>
        <v>0</v>
      </c>
      <c r="Z7" s="139">
        <f>IFERROR(INDEX('[1]SALES PERTYPE'!$X$10:$X$52,MATCH($C7,'[1]SALES PERTYPE'!$B$10:$B$52,0)),0)</f>
        <v>2</v>
      </c>
      <c r="AA7" s="139">
        <f>IFERROR(INDEX('[1]SALES PERTYPE'!$Y$10:$Y$52,MATCH($C7,'[1]SALES PERTYPE'!$B$10:$B$52,0)),0)</f>
        <v>11798000</v>
      </c>
      <c r="AB7" s="139">
        <f>IFERROR(INDEX('[1]SALES PERTYPE'!$Z$10:$Z$52,MATCH($C7,'[1]SALES PERTYPE'!$B$10:$B$52,0)),0)</f>
        <v>0</v>
      </c>
      <c r="AC7" s="139">
        <f>IFERROR(INDEX('[1]SALES PERTYPE'!$AA$10:$AA$52,MATCH($C7,'[1]SALES PERTYPE'!$B$10:$B$52,0)),0)</f>
        <v>0</v>
      </c>
      <c r="AD7" s="139">
        <f>IFERROR(INDEX('[1]SALES PERTYPE'!$AB$10:$AB$52,MATCH($C7,'[1]SALES PERTYPE'!$B$10:$B$52,0)),0)</f>
        <v>1</v>
      </c>
      <c r="AE7" s="139">
        <f>IFERROR(INDEX('[1]SALES PERTYPE'!$AC$10:$AC$52,MATCH($C7,'[1]SALES PERTYPE'!$B$10:$B$52,0)),0)</f>
        <v>5299000</v>
      </c>
      <c r="AF7" s="139">
        <f>IFERROR(INDEX('[1]SALES PERTYPE'!$AD$10:$AD$52,MATCH($C7,'[1]SALES PERTYPE'!$B$10:$B$52,0)),0)</f>
        <v>0</v>
      </c>
      <c r="AG7" s="139">
        <f>IFERROR(INDEX('[1]SALES PERTYPE'!$AE$10:$AE$52,MATCH($C7,'[1]SALES PERTYPE'!$B$10:$B$52,0)),0)</f>
        <v>0</v>
      </c>
      <c r="AH7" s="139">
        <f>IFERROR(INDEX('[1]SALES PERTYPE'!$AF$10:$AF$52,MATCH($C7,'[1]SALES PERTYPE'!$B$10:$B$52,0)),0)</f>
        <v>0</v>
      </c>
      <c r="AI7" s="139">
        <f>IFERROR(INDEX('[1]SALES PERTYPE'!$AG$10:$AG$52,MATCH($C7,'[1]SALES PERTYPE'!$B$10:$B$52,0)),0)</f>
        <v>0</v>
      </c>
      <c r="AJ7" s="139">
        <f>IFERROR(INDEX('[1]SALES PERTYPE'!$AH$10:$AH$52,MATCH($C7,'[1]SALES PERTYPE'!$B$10:$B$52,0)),0)</f>
        <v>1</v>
      </c>
      <c r="AK7" s="139">
        <f>IFERROR(INDEX('[1]SALES PERTYPE'!$AI$10:$AI$52,MATCH($C7,'[1]SALES PERTYPE'!$B$10:$B$52,0)),0)</f>
        <v>5599000</v>
      </c>
      <c r="AL7" s="139">
        <f>IFERROR(INDEX('[1]SALES PERTYPE'!$AJ$10:$AJ$52,MATCH($C7,'[1]SALES PERTYPE'!$B$10:$B$52,0)),0)</f>
        <v>2</v>
      </c>
      <c r="AM7" s="139">
        <f>IFERROR(INDEX('[1]SALES PERTYPE'!$AK$10:$AK$52,MATCH($C7,'[1]SALES PERTYPE'!$B$10:$B$52,0)),0)</f>
        <v>13598000</v>
      </c>
      <c r="AN7" s="139">
        <f>IFERROR(INDEX('[1]SALES PERTYPE'!$AL$10:$AL$52,MATCH($C7,'[1]SALES PERTYPE'!$B$10:$B$52,0)),0)</f>
        <v>100</v>
      </c>
      <c r="AO7" s="139">
        <f>IFERROR(INDEX('[1]SALES PERTYPE'!$AM$10:$AM$52,MATCH($C7,'[1]SALES PERTYPE'!$B$10:$B$52,0)),0)</f>
        <v>311500000</v>
      </c>
    </row>
    <row r="8" spans="1:41" x14ac:dyDescent="0.15">
      <c r="A8" s="140">
        <f>'[1]ACHIEVEMENT STORE'!A8</f>
        <v>4</v>
      </c>
      <c r="B8" s="141" t="str">
        <f>'[1]ACHIEVEMENT STORE'!B8</f>
        <v>601 雅加达西北 JKT BU</v>
      </c>
      <c r="C8" s="140">
        <f>'[1]ACHIEVEMENT STORE'!C8</f>
        <v>6010703</v>
      </c>
      <c r="D8" s="141" t="str">
        <f>'[1]ACHIEVEMENT STORE'!D8</f>
        <v>6010703-VIVO STORE WINSHOP</v>
      </c>
      <c r="E8" s="141" t="str">
        <f>'[1]ACHIEVEMENT STORE'!E8</f>
        <v>NUR IRAWATI</v>
      </c>
      <c r="F8" s="142">
        <f>IFERROR(INDEX('[1]SALES PERTYPE'!$D$10:$D$52,MATCH($C8,'[1]SALES PERTYPE'!$B$10:$B$52,0)),0)</f>
        <v>3</v>
      </c>
      <c r="G8" s="142">
        <f>IFERROR(INDEX('[1]SALES PERTYPE'!$E$10:$E$52,MATCH($C8,'[1]SALES PERTYPE'!$B$10:$B$52,0)),0)</f>
        <v>7197000</v>
      </c>
      <c r="H8" s="142">
        <f>IFERROR(INDEX('[1]SALES PERTYPE'!$F$10:$F$52,MATCH($C8,'[1]SALES PERTYPE'!$B$10:$B$52,0)),0)</f>
        <v>6</v>
      </c>
      <c r="I8" s="142">
        <f>IFERROR(INDEX('[1]SALES PERTYPE'!$G$10:$G$52,MATCH($C8,'[1]SALES PERTYPE'!$B$10:$B$52,0)),0)</f>
        <v>15994000</v>
      </c>
      <c r="J8" s="142">
        <f>IFERROR(INDEX('[1]SALES PERTYPE'!$H$10:$H$52,MATCH($C8,'[1]SALES PERTYPE'!$B$10:$B$52,0)),0)</f>
        <v>0</v>
      </c>
      <c r="K8" s="142">
        <f>IFERROR(INDEX('[1]SALES PERTYPE'!$I$10:$I$52,MATCH($C8,'[1]SALES PERTYPE'!$B$10:$B$52,0)),0)</f>
        <v>0</v>
      </c>
      <c r="L8" s="142">
        <f>IFERROR(INDEX('[1]SALES PERTYPE'!$J$10:$J$52,MATCH($C8,'[1]SALES PERTYPE'!$B$10:$B$52,0)),0)</f>
        <v>37</v>
      </c>
      <c r="M8" s="142">
        <f>IFERROR(INDEX('[1]SALES PERTYPE'!$K$10:$K$52,MATCH($C8,'[1]SALES PERTYPE'!$B$10:$B$52,0)),0)</f>
        <v>77663000</v>
      </c>
      <c r="N8" s="142">
        <f>IFERROR(INDEX('[1]SALES PERTYPE'!$L$10:$L$52,MATCH($C8,'[1]SALES PERTYPE'!$B$10:$B$52,0)),0)</f>
        <v>0</v>
      </c>
      <c r="O8" s="142">
        <f>IFERROR(INDEX('[1]SALES PERTYPE'!$M$10:$M$52,MATCH($C8,'[1]SALES PERTYPE'!$B$10:$B$52,0)),0)</f>
        <v>0</v>
      </c>
      <c r="P8" s="142">
        <f>IFERROR(INDEX('[1]SALES PERTYPE'!$N$10:$N$52,MATCH($C8,'[1]SALES PERTYPE'!$B$10:$B$52,0)),0)</f>
        <v>5</v>
      </c>
      <c r="Q8" s="142">
        <f>IFERROR(INDEX('[1]SALES PERTYPE'!$O$10:$O$52,MATCH($C8,'[1]SALES PERTYPE'!$B$10:$B$52,0)),0)</f>
        <v>20895000</v>
      </c>
      <c r="R8" s="142">
        <f>IFERROR(INDEX('[1]SALES PERTYPE'!$P$10:$P$52,MATCH($C8,'[1]SALES PERTYPE'!$B$10:$B$52,0)),0)</f>
        <v>0</v>
      </c>
      <c r="S8" s="142">
        <f>IFERROR(INDEX('[1]SALES PERTYPE'!$Q$10:$Q$52,MATCH($C8,'[1]SALES PERTYPE'!$B$10:$B$52,0)),0)</f>
        <v>0</v>
      </c>
      <c r="T8" s="142">
        <f>IFERROR(INDEX('[1]SALES PERTYPE'!$R$10:$R$52,MATCH($C8,'[1]SALES PERTYPE'!$B$10:$B$52,0)),0)</f>
        <v>0</v>
      </c>
      <c r="U8" s="142">
        <f>IFERROR(INDEX('[1]SALES PERTYPE'!$S$10:$S$52,MATCH($C8,'[1]SALES PERTYPE'!$B$10:$B$52,0)),0)</f>
        <v>0</v>
      </c>
      <c r="V8" s="142">
        <f>IFERROR(INDEX('[1]SALES PERTYPE'!$T$10:$T$52,MATCH($C8,'[1]SALES PERTYPE'!$B$10:$B$52,0)),0)</f>
        <v>0</v>
      </c>
      <c r="W8" s="142">
        <f>IFERROR(INDEX('[1]SALES PERTYPE'!$U$10:$U$52,MATCH($C8,'[1]SALES PERTYPE'!$B$10:$B$52,0)),0)</f>
        <v>0</v>
      </c>
      <c r="X8" s="142">
        <f>IFERROR(INDEX('[1]SALES PERTYPE'!$V$10:$V$52,MATCH($C8,'[1]SALES PERTYPE'!$B$10:$B$52,0)),0)</f>
        <v>0</v>
      </c>
      <c r="Y8" s="142">
        <f>IFERROR(INDEX('[1]SALES PERTYPE'!$W$10:$W$52,MATCH($C8,'[1]SALES PERTYPE'!$B$10:$B$52,0)),0)</f>
        <v>0</v>
      </c>
      <c r="Z8" s="142">
        <f>IFERROR(INDEX('[1]SALES PERTYPE'!$X$10:$X$52,MATCH($C8,'[1]SALES PERTYPE'!$B$10:$B$52,0)),0)</f>
        <v>2</v>
      </c>
      <c r="AA8" s="142">
        <f>IFERROR(INDEX('[1]SALES PERTYPE'!$Y$10:$Y$52,MATCH($C8,'[1]SALES PERTYPE'!$B$10:$B$52,0)),0)</f>
        <v>11798000</v>
      </c>
      <c r="AB8" s="142">
        <f>IFERROR(INDEX('[1]SALES PERTYPE'!$Z$10:$Z$52,MATCH($C8,'[1]SALES PERTYPE'!$B$10:$B$52,0)),0)</f>
        <v>0</v>
      </c>
      <c r="AC8" s="142">
        <f>IFERROR(INDEX('[1]SALES PERTYPE'!$AA$10:$AA$52,MATCH($C8,'[1]SALES PERTYPE'!$B$10:$B$52,0)),0)</f>
        <v>0</v>
      </c>
      <c r="AD8" s="142">
        <f>IFERROR(INDEX('[1]SALES PERTYPE'!$AB$10:$AB$52,MATCH($C8,'[1]SALES PERTYPE'!$B$10:$B$52,0)),0)</f>
        <v>0</v>
      </c>
      <c r="AE8" s="142">
        <f>IFERROR(INDEX('[1]SALES PERTYPE'!$AC$10:$AC$52,MATCH($C8,'[1]SALES PERTYPE'!$B$10:$B$52,0)),0)</f>
        <v>0</v>
      </c>
      <c r="AF8" s="142">
        <f>IFERROR(INDEX('[1]SALES PERTYPE'!$AD$10:$AD$52,MATCH($C8,'[1]SALES PERTYPE'!$B$10:$B$52,0)),0)</f>
        <v>0</v>
      </c>
      <c r="AG8" s="142">
        <f>IFERROR(INDEX('[1]SALES PERTYPE'!$AE$10:$AE$52,MATCH($C8,'[1]SALES PERTYPE'!$B$10:$B$52,0)),0)</f>
        <v>0</v>
      </c>
      <c r="AH8" s="142">
        <f>IFERROR(INDEX('[1]SALES PERTYPE'!$AF$10:$AF$52,MATCH($C8,'[1]SALES PERTYPE'!$B$10:$B$52,0)),0)</f>
        <v>0</v>
      </c>
      <c r="AI8" s="142">
        <f>IFERROR(INDEX('[1]SALES PERTYPE'!$AG$10:$AG$52,MATCH($C8,'[1]SALES PERTYPE'!$B$10:$B$52,0)),0)</f>
        <v>0</v>
      </c>
      <c r="AJ8" s="142">
        <f>IFERROR(INDEX('[1]SALES PERTYPE'!$AH$10:$AH$52,MATCH($C8,'[1]SALES PERTYPE'!$B$10:$B$52,0)),0)</f>
        <v>1</v>
      </c>
      <c r="AK8" s="142">
        <f>IFERROR(INDEX('[1]SALES PERTYPE'!$AI$10:$AI$52,MATCH($C8,'[1]SALES PERTYPE'!$B$10:$B$52,0)),0)</f>
        <v>5699000</v>
      </c>
      <c r="AL8" s="142">
        <f>IFERROR(INDEX('[1]SALES PERTYPE'!$AJ$10:$AJ$52,MATCH($C8,'[1]SALES PERTYPE'!$B$10:$B$52,0)),0)</f>
        <v>0</v>
      </c>
      <c r="AM8" s="142">
        <f>IFERROR(INDEX('[1]SALES PERTYPE'!$AK$10:$AK$52,MATCH($C8,'[1]SALES PERTYPE'!$B$10:$B$52,0)),0)</f>
        <v>0</v>
      </c>
      <c r="AN8" s="142">
        <f>IFERROR(INDEX('[1]SALES PERTYPE'!$AL$10:$AL$52,MATCH($C8,'[1]SALES PERTYPE'!$B$10:$B$52,0)),0)</f>
        <v>54</v>
      </c>
      <c r="AO8" s="142">
        <f>IFERROR(INDEX('[1]SALES PERTYPE'!$AM$10:$AM$52,MATCH($C8,'[1]SALES PERTYPE'!$B$10:$B$52,0)),0)</f>
        <v>139246000</v>
      </c>
    </row>
    <row r="9" spans="1:41" x14ac:dyDescent="0.15">
      <c r="A9" s="137">
        <f>'[1]ACHIEVEMENT STORE'!A9</f>
        <v>5</v>
      </c>
      <c r="B9" s="138" t="str">
        <f>'[1]ACHIEVEMENT STORE'!B9</f>
        <v>601 雅加达西北 JKT BU</v>
      </c>
      <c r="C9" s="137">
        <f>'[1]ACHIEVEMENT STORE'!C9</f>
        <v>6010709</v>
      </c>
      <c r="D9" s="138" t="str">
        <f>'[1]ACHIEVEMENT STORE'!D9</f>
        <v>A100303-PAMERAN UTARA</v>
      </c>
      <c r="E9" s="138" t="str">
        <f>'[1]ACHIEVEMENT STORE'!E9</f>
        <v>NUR IRAWATI</v>
      </c>
      <c r="F9" s="139">
        <f>IFERROR(INDEX('[1]SALES PERTYPE'!$D$10:$D$52,MATCH($C9,'[1]SALES PERTYPE'!$B$10:$B$52,0)),0)</f>
        <v>26</v>
      </c>
      <c r="G9" s="139">
        <f>IFERROR(INDEX('[1]SALES PERTYPE'!$E$10:$E$52,MATCH($C9,'[1]SALES PERTYPE'!$B$10:$B$52,0)),0)</f>
        <v>61874000</v>
      </c>
      <c r="H9" s="139">
        <f>IFERROR(INDEX('[1]SALES PERTYPE'!$F$10:$F$52,MATCH($C9,'[1]SALES PERTYPE'!$B$10:$B$52,0)),0)</f>
        <v>22</v>
      </c>
      <c r="I9" s="139">
        <f>IFERROR(INDEX('[1]SALES PERTYPE'!$G$10:$G$52,MATCH($C9,'[1]SALES PERTYPE'!$B$10:$B$52,0)),0)</f>
        <v>57978000</v>
      </c>
      <c r="J9" s="139">
        <f>IFERROR(INDEX('[1]SALES PERTYPE'!$H$10:$H$52,MATCH($C9,'[1]SALES PERTYPE'!$B$10:$B$52,0)),0)</f>
        <v>0</v>
      </c>
      <c r="K9" s="139">
        <f>IFERROR(INDEX('[1]SALES PERTYPE'!$I$10:$I$52,MATCH($C9,'[1]SALES PERTYPE'!$B$10:$B$52,0)),0)</f>
        <v>0</v>
      </c>
      <c r="L9" s="139">
        <f>IFERROR(INDEX('[1]SALES PERTYPE'!$J$10:$J$52,MATCH($C9,'[1]SALES PERTYPE'!$B$10:$B$52,0)),0)</f>
        <v>42</v>
      </c>
      <c r="M9" s="139">
        <f>IFERROR(INDEX('[1]SALES PERTYPE'!$K$10:$K$52,MATCH($C9,'[1]SALES PERTYPE'!$B$10:$B$52,0)),0)</f>
        <v>88158000</v>
      </c>
      <c r="N9" s="139">
        <f>IFERROR(INDEX('[1]SALES PERTYPE'!$L$10:$L$52,MATCH($C9,'[1]SALES PERTYPE'!$B$10:$B$52,0)),0)</f>
        <v>2</v>
      </c>
      <c r="O9" s="139">
        <f>IFERROR(INDEX('[1]SALES PERTYPE'!$M$10:$M$52,MATCH($C9,'[1]SALES PERTYPE'!$B$10:$B$52,0)),0)</f>
        <v>18998000</v>
      </c>
      <c r="P9" s="139">
        <f>IFERROR(INDEX('[1]SALES PERTYPE'!$N$10:$N$52,MATCH($C9,'[1]SALES PERTYPE'!$B$10:$B$52,0)),0)</f>
        <v>4</v>
      </c>
      <c r="Q9" s="139">
        <f>IFERROR(INDEX('[1]SALES PERTYPE'!$O$10:$O$52,MATCH($C9,'[1]SALES PERTYPE'!$B$10:$B$52,0)),0)</f>
        <v>16796000</v>
      </c>
      <c r="R9" s="139">
        <f>IFERROR(INDEX('[1]SALES PERTYPE'!$P$10:$P$52,MATCH($C9,'[1]SALES PERTYPE'!$B$10:$B$52,0)),0)</f>
        <v>0</v>
      </c>
      <c r="S9" s="139">
        <f>IFERROR(INDEX('[1]SALES PERTYPE'!$Q$10:$Q$52,MATCH($C9,'[1]SALES PERTYPE'!$B$10:$B$52,0)),0)</f>
        <v>0</v>
      </c>
      <c r="T9" s="139">
        <f>IFERROR(INDEX('[1]SALES PERTYPE'!$R$10:$R$52,MATCH($C9,'[1]SALES PERTYPE'!$B$10:$B$52,0)),0)</f>
        <v>3</v>
      </c>
      <c r="U9" s="139">
        <f>IFERROR(INDEX('[1]SALES PERTYPE'!$S$10:$S$52,MATCH($C9,'[1]SALES PERTYPE'!$B$10:$B$52,0)),0)</f>
        <v>10797000</v>
      </c>
      <c r="V9" s="139">
        <f>IFERROR(INDEX('[1]SALES PERTYPE'!$T$10:$T$52,MATCH($C9,'[1]SALES PERTYPE'!$B$10:$B$52,0)),0)</f>
        <v>1</v>
      </c>
      <c r="W9" s="139">
        <f>IFERROR(INDEX('[1]SALES PERTYPE'!$U$10:$U$52,MATCH($C9,'[1]SALES PERTYPE'!$B$10:$B$52,0)),0)</f>
        <v>6499000</v>
      </c>
      <c r="X9" s="139">
        <f>IFERROR(INDEX('[1]SALES PERTYPE'!$V$10:$V$52,MATCH($C9,'[1]SALES PERTYPE'!$B$10:$B$52,0)),0)</f>
        <v>5</v>
      </c>
      <c r="Y9" s="139">
        <f>IFERROR(INDEX('[1]SALES PERTYPE'!$W$10:$W$52,MATCH($C9,'[1]SALES PERTYPE'!$B$10:$B$52,0)),0)</f>
        <v>17995000</v>
      </c>
      <c r="Z9" s="139">
        <f>IFERROR(INDEX('[1]SALES PERTYPE'!$X$10:$X$52,MATCH($C9,'[1]SALES PERTYPE'!$B$10:$B$52,0)),0)</f>
        <v>3</v>
      </c>
      <c r="AA9" s="139">
        <f>IFERROR(INDEX('[1]SALES PERTYPE'!$Y$10:$Y$52,MATCH($C9,'[1]SALES PERTYPE'!$B$10:$B$52,0)),0)</f>
        <v>16497000</v>
      </c>
      <c r="AB9" s="139">
        <f>IFERROR(INDEX('[1]SALES PERTYPE'!$Z$10:$Z$52,MATCH($C9,'[1]SALES PERTYPE'!$B$10:$B$52,0)),0)</f>
        <v>0</v>
      </c>
      <c r="AC9" s="139">
        <f>IFERROR(INDEX('[1]SALES PERTYPE'!$AA$10:$AA$52,MATCH($C9,'[1]SALES PERTYPE'!$B$10:$B$52,0)),0)</f>
        <v>0</v>
      </c>
      <c r="AD9" s="139">
        <f>IFERROR(INDEX('[1]SALES PERTYPE'!$AB$10:$AB$52,MATCH($C9,'[1]SALES PERTYPE'!$B$10:$B$52,0)),0)</f>
        <v>4</v>
      </c>
      <c r="AE9" s="139">
        <f>IFERROR(INDEX('[1]SALES PERTYPE'!$AC$10:$AC$52,MATCH($C9,'[1]SALES PERTYPE'!$B$10:$B$52,0)),0)</f>
        <v>22996000</v>
      </c>
      <c r="AF9" s="139">
        <f>IFERROR(INDEX('[1]SALES PERTYPE'!$AD$10:$AD$52,MATCH($C9,'[1]SALES PERTYPE'!$B$10:$B$52,0)),0)</f>
        <v>0</v>
      </c>
      <c r="AG9" s="139">
        <f>IFERROR(INDEX('[1]SALES PERTYPE'!$AE$10:$AE$52,MATCH($C9,'[1]SALES PERTYPE'!$B$10:$B$52,0)),0)</f>
        <v>0</v>
      </c>
      <c r="AH9" s="139">
        <f>IFERROR(INDEX('[1]SALES PERTYPE'!$AF$10:$AF$52,MATCH($C9,'[1]SALES PERTYPE'!$B$10:$B$52,0)),0)</f>
        <v>0</v>
      </c>
      <c r="AI9" s="139">
        <f>IFERROR(INDEX('[1]SALES PERTYPE'!$AG$10:$AG$52,MATCH($C9,'[1]SALES PERTYPE'!$B$10:$B$52,0)),0)</f>
        <v>0</v>
      </c>
      <c r="AJ9" s="139">
        <f>IFERROR(INDEX('[1]SALES PERTYPE'!$AH$10:$AH$52,MATCH($C9,'[1]SALES PERTYPE'!$B$10:$B$52,0)),0)</f>
        <v>0</v>
      </c>
      <c r="AK9" s="139">
        <f>IFERROR(INDEX('[1]SALES PERTYPE'!$AI$10:$AI$52,MATCH($C9,'[1]SALES PERTYPE'!$B$10:$B$52,0)),0)</f>
        <v>0</v>
      </c>
      <c r="AL9" s="139">
        <f>IFERROR(INDEX('[1]SALES PERTYPE'!$AJ$10:$AJ$52,MATCH($C9,'[1]SALES PERTYPE'!$B$10:$B$52,0)),0)</f>
        <v>1</v>
      </c>
      <c r="AM9" s="139">
        <f>IFERROR(INDEX('[1]SALES PERTYPE'!$AK$10:$AK$52,MATCH($C9,'[1]SALES PERTYPE'!$B$10:$B$52,0)),0)</f>
        <v>6899000</v>
      </c>
      <c r="AN9" s="139">
        <f>IFERROR(INDEX('[1]SALES PERTYPE'!$AL$10:$AL$52,MATCH($C9,'[1]SALES PERTYPE'!$B$10:$B$52,0)),0)</f>
        <v>113</v>
      </c>
      <c r="AO9" s="139">
        <f>IFERROR(INDEX('[1]SALES PERTYPE'!$AM$10:$AM$52,MATCH($C9,'[1]SALES PERTYPE'!$B$10:$B$52,0)),0)</f>
        <v>325487000</v>
      </c>
    </row>
    <row r="10" spans="1:41" x14ac:dyDescent="0.15">
      <c r="A10" s="140">
        <f>'[1]ACHIEVEMENT STORE'!A10</f>
        <v>6</v>
      </c>
      <c r="B10" s="141" t="str">
        <f>'[1]ACHIEVEMENT STORE'!B10</f>
        <v>601 雅加达西北 JKT BU</v>
      </c>
      <c r="C10" s="140">
        <f>'[1]ACHIEVEMENT STORE'!C10</f>
        <v>6010710</v>
      </c>
      <c r="D10" s="141" t="str">
        <f>'[1]ACHIEVEMENT STORE'!D10</f>
        <v>A100304-PAMERAN SELATAN</v>
      </c>
      <c r="E10" s="141" t="str">
        <f>'[1]ACHIEVEMENT STORE'!E10</f>
        <v>NUR IRAWATI</v>
      </c>
      <c r="F10" s="142">
        <f>IFERROR(INDEX('[1]SALES PERTYPE'!$D$10:$D$52,MATCH($C10,'[1]SALES PERTYPE'!$B$10:$B$52,0)),0)</f>
        <v>8</v>
      </c>
      <c r="G10" s="142">
        <f>IFERROR(INDEX('[1]SALES PERTYPE'!$E$10:$E$52,MATCH($C10,'[1]SALES PERTYPE'!$B$10:$B$52,0)),0)</f>
        <v>19592000</v>
      </c>
      <c r="H10" s="142">
        <f>IFERROR(INDEX('[1]SALES PERTYPE'!$F$10:$F$52,MATCH($C10,'[1]SALES PERTYPE'!$B$10:$B$52,0)),0)</f>
        <v>6</v>
      </c>
      <c r="I10" s="142">
        <f>IFERROR(INDEX('[1]SALES PERTYPE'!$G$10:$G$52,MATCH($C10,'[1]SALES PERTYPE'!$B$10:$B$52,0)),0)</f>
        <v>15994000</v>
      </c>
      <c r="J10" s="142">
        <f>IFERROR(INDEX('[1]SALES PERTYPE'!$H$10:$H$52,MATCH($C10,'[1]SALES PERTYPE'!$B$10:$B$52,0)),0)</f>
        <v>0</v>
      </c>
      <c r="K10" s="142">
        <f>IFERROR(INDEX('[1]SALES PERTYPE'!$I$10:$I$52,MATCH($C10,'[1]SALES PERTYPE'!$B$10:$B$52,0)),0)</f>
        <v>0</v>
      </c>
      <c r="L10" s="142">
        <f>IFERROR(INDEX('[1]SALES PERTYPE'!$J$10:$J$52,MATCH($C10,'[1]SALES PERTYPE'!$B$10:$B$52,0)),0)</f>
        <v>22</v>
      </c>
      <c r="M10" s="142">
        <f>IFERROR(INDEX('[1]SALES PERTYPE'!$K$10:$K$52,MATCH($C10,'[1]SALES PERTYPE'!$B$10:$B$52,0)),0)</f>
        <v>46178000</v>
      </c>
      <c r="N10" s="142">
        <f>IFERROR(INDEX('[1]SALES PERTYPE'!$L$10:$L$52,MATCH($C10,'[1]SALES PERTYPE'!$B$10:$B$52,0)),0)</f>
        <v>0</v>
      </c>
      <c r="O10" s="142">
        <f>IFERROR(INDEX('[1]SALES PERTYPE'!$M$10:$M$52,MATCH($C10,'[1]SALES PERTYPE'!$B$10:$B$52,0)),0)</f>
        <v>0</v>
      </c>
      <c r="P10" s="142">
        <f>IFERROR(INDEX('[1]SALES PERTYPE'!$N$10:$N$52,MATCH($C10,'[1]SALES PERTYPE'!$B$10:$B$52,0)),0)</f>
        <v>7</v>
      </c>
      <c r="Q10" s="142">
        <f>IFERROR(INDEX('[1]SALES PERTYPE'!$O$10:$O$52,MATCH($C10,'[1]SALES PERTYPE'!$B$10:$B$52,0)),0)</f>
        <v>29493000</v>
      </c>
      <c r="R10" s="142">
        <f>IFERROR(INDEX('[1]SALES PERTYPE'!$P$10:$P$52,MATCH($C10,'[1]SALES PERTYPE'!$B$10:$B$52,0)),0)</f>
        <v>0</v>
      </c>
      <c r="S10" s="142">
        <f>IFERROR(INDEX('[1]SALES PERTYPE'!$Q$10:$Q$52,MATCH($C10,'[1]SALES PERTYPE'!$B$10:$B$52,0)),0)</f>
        <v>0</v>
      </c>
      <c r="T10" s="142">
        <f>IFERROR(INDEX('[1]SALES PERTYPE'!$R$10:$R$52,MATCH($C10,'[1]SALES PERTYPE'!$B$10:$B$52,0)),0)</f>
        <v>1</v>
      </c>
      <c r="U10" s="142">
        <f>IFERROR(INDEX('[1]SALES PERTYPE'!$S$10:$S$52,MATCH($C10,'[1]SALES PERTYPE'!$B$10:$B$52,0)),0)</f>
        <v>3599000</v>
      </c>
      <c r="V10" s="142">
        <f>IFERROR(INDEX('[1]SALES PERTYPE'!$T$10:$T$52,MATCH($C10,'[1]SALES PERTYPE'!$B$10:$B$52,0)),0)</f>
        <v>0</v>
      </c>
      <c r="W10" s="142">
        <f>IFERROR(INDEX('[1]SALES PERTYPE'!$U$10:$U$52,MATCH($C10,'[1]SALES PERTYPE'!$B$10:$B$52,0)),0)</f>
        <v>0</v>
      </c>
      <c r="X10" s="142">
        <f>IFERROR(INDEX('[1]SALES PERTYPE'!$V$10:$V$52,MATCH($C10,'[1]SALES PERTYPE'!$B$10:$B$52,0)),0)</f>
        <v>0</v>
      </c>
      <c r="Y10" s="142">
        <f>IFERROR(INDEX('[1]SALES PERTYPE'!$W$10:$W$52,MATCH($C10,'[1]SALES PERTYPE'!$B$10:$B$52,0)),0)</f>
        <v>0</v>
      </c>
      <c r="Z10" s="142">
        <f>IFERROR(INDEX('[1]SALES PERTYPE'!$X$10:$X$52,MATCH($C10,'[1]SALES PERTYPE'!$B$10:$B$52,0)),0)</f>
        <v>2</v>
      </c>
      <c r="AA10" s="142">
        <f>IFERROR(INDEX('[1]SALES PERTYPE'!$Y$10:$Y$52,MATCH($C10,'[1]SALES PERTYPE'!$B$10:$B$52,0)),0)</f>
        <v>11798000</v>
      </c>
      <c r="AB10" s="142">
        <f>IFERROR(INDEX('[1]SALES PERTYPE'!$Z$10:$Z$52,MATCH($C10,'[1]SALES PERTYPE'!$B$10:$B$52,0)),0)</f>
        <v>0</v>
      </c>
      <c r="AC10" s="142">
        <f>IFERROR(INDEX('[1]SALES PERTYPE'!$AA$10:$AA$52,MATCH($C10,'[1]SALES PERTYPE'!$B$10:$B$52,0)),0)</f>
        <v>0</v>
      </c>
      <c r="AD10" s="142">
        <f>IFERROR(INDEX('[1]SALES PERTYPE'!$AB$10:$AB$52,MATCH($C10,'[1]SALES PERTYPE'!$B$10:$B$52,0)),0)</f>
        <v>0</v>
      </c>
      <c r="AE10" s="142">
        <f>IFERROR(INDEX('[1]SALES PERTYPE'!$AC$10:$AC$52,MATCH($C10,'[1]SALES PERTYPE'!$B$10:$B$52,0)),0)</f>
        <v>0</v>
      </c>
      <c r="AF10" s="142">
        <f>IFERROR(INDEX('[1]SALES PERTYPE'!$AD$10:$AD$52,MATCH($C10,'[1]SALES PERTYPE'!$B$10:$B$52,0)),0)</f>
        <v>0</v>
      </c>
      <c r="AG10" s="142">
        <f>IFERROR(INDEX('[1]SALES PERTYPE'!$AE$10:$AE$52,MATCH($C10,'[1]SALES PERTYPE'!$B$10:$B$52,0)),0)</f>
        <v>0</v>
      </c>
      <c r="AH10" s="142">
        <f>IFERROR(INDEX('[1]SALES PERTYPE'!$AF$10:$AF$52,MATCH($C10,'[1]SALES PERTYPE'!$B$10:$B$52,0)),0)</f>
        <v>0</v>
      </c>
      <c r="AI10" s="142">
        <f>IFERROR(INDEX('[1]SALES PERTYPE'!$AG$10:$AG$52,MATCH($C10,'[1]SALES PERTYPE'!$B$10:$B$52,0)),0)</f>
        <v>0</v>
      </c>
      <c r="AJ10" s="142">
        <f>IFERROR(INDEX('[1]SALES PERTYPE'!$AH$10:$AH$52,MATCH($C10,'[1]SALES PERTYPE'!$B$10:$B$52,0)),0)</f>
        <v>0</v>
      </c>
      <c r="AK10" s="142">
        <f>IFERROR(INDEX('[1]SALES PERTYPE'!$AI$10:$AI$52,MATCH($C10,'[1]SALES PERTYPE'!$B$10:$B$52,0)),0)</f>
        <v>0</v>
      </c>
      <c r="AL10" s="142">
        <f>IFERROR(INDEX('[1]SALES PERTYPE'!$AJ$10:$AJ$52,MATCH($C10,'[1]SALES PERTYPE'!$B$10:$B$52,0)),0)</f>
        <v>0</v>
      </c>
      <c r="AM10" s="142">
        <f>IFERROR(INDEX('[1]SALES PERTYPE'!$AK$10:$AK$52,MATCH($C10,'[1]SALES PERTYPE'!$B$10:$B$52,0)),0)</f>
        <v>0</v>
      </c>
      <c r="AN10" s="142">
        <f>IFERROR(INDEX('[1]SALES PERTYPE'!$AL$10:$AL$52,MATCH($C10,'[1]SALES PERTYPE'!$B$10:$B$52,0)),0)</f>
        <v>46</v>
      </c>
      <c r="AO10" s="142">
        <f>IFERROR(INDEX('[1]SALES PERTYPE'!$AM$10:$AM$52,MATCH($C10,'[1]SALES PERTYPE'!$B$10:$B$52,0)),0)</f>
        <v>126654000</v>
      </c>
    </row>
    <row r="11" spans="1:41" x14ac:dyDescent="0.15">
      <c r="A11" s="137">
        <f>'[1]ACHIEVEMENT STORE'!A11</f>
        <v>7</v>
      </c>
      <c r="B11" s="138" t="str">
        <f>'[1]ACHIEVEMENT STORE'!B11</f>
        <v>601 雅加达西北 JKT BU</v>
      </c>
      <c r="C11" s="137">
        <f>'[1]ACHIEVEMENT STORE'!C11</f>
        <v>6020711</v>
      </c>
      <c r="D11" s="138" t="str">
        <f>'[1]ACHIEVEMENT STORE'!D11</f>
        <v>6020711-vivostore emporium</v>
      </c>
      <c r="E11" s="138" t="str">
        <f>'[1]ACHIEVEMENT STORE'!E11</f>
        <v>M KHOIRUDIN</v>
      </c>
      <c r="F11" s="139">
        <f>IFERROR(INDEX('[1]SALES PERTYPE'!$D$10:$D$52,MATCH($C11,'[1]SALES PERTYPE'!$B$10:$B$52,0)),0)</f>
        <v>6</v>
      </c>
      <c r="G11" s="139">
        <f>IFERROR(INDEX('[1]SALES PERTYPE'!$E$10:$E$52,MATCH($C11,'[1]SALES PERTYPE'!$B$10:$B$52,0)),0)</f>
        <v>14094000</v>
      </c>
      <c r="H11" s="139">
        <f>IFERROR(INDEX('[1]SALES PERTYPE'!$F$10:$F$52,MATCH($C11,'[1]SALES PERTYPE'!$B$10:$B$52,0)),0)</f>
        <v>7</v>
      </c>
      <c r="I11" s="139">
        <f>IFERROR(INDEX('[1]SALES PERTYPE'!$G$10:$G$52,MATCH($C11,'[1]SALES PERTYPE'!$B$10:$B$52,0)),0)</f>
        <v>17193000</v>
      </c>
      <c r="J11" s="139">
        <f>IFERROR(INDEX('[1]SALES PERTYPE'!$H$10:$H$52,MATCH($C11,'[1]SALES PERTYPE'!$B$10:$B$52,0)),0)</f>
        <v>0</v>
      </c>
      <c r="K11" s="139">
        <f>IFERROR(INDEX('[1]SALES PERTYPE'!$I$10:$I$52,MATCH($C11,'[1]SALES PERTYPE'!$B$10:$B$52,0)),0)</f>
        <v>0</v>
      </c>
      <c r="L11" s="139">
        <f>IFERROR(INDEX('[1]SALES PERTYPE'!$J$10:$J$52,MATCH($C11,'[1]SALES PERTYPE'!$B$10:$B$52,0)),0)</f>
        <v>3</v>
      </c>
      <c r="M11" s="139">
        <f>IFERROR(INDEX('[1]SALES PERTYPE'!$K$10:$K$52,MATCH($C11,'[1]SALES PERTYPE'!$B$10:$B$52,0)),0)</f>
        <v>6297000</v>
      </c>
      <c r="N11" s="139">
        <f>IFERROR(INDEX('[1]SALES PERTYPE'!$L$10:$L$52,MATCH($C11,'[1]SALES PERTYPE'!$B$10:$B$52,0)),0)</f>
        <v>2</v>
      </c>
      <c r="O11" s="139">
        <f>IFERROR(INDEX('[1]SALES PERTYPE'!$M$10:$M$52,MATCH($C11,'[1]SALES PERTYPE'!$B$10:$B$52,0)),0)</f>
        <v>19998000</v>
      </c>
      <c r="P11" s="139">
        <f>IFERROR(INDEX('[1]SALES PERTYPE'!$N$10:$N$52,MATCH($C11,'[1]SALES PERTYPE'!$B$10:$B$52,0)),0)</f>
        <v>4</v>
      </c>
      <c r="Q11" s="139">
        <f>IFERROR(INDEX('[1]SALES PERTYPE'!$O$10:$O$52,MATCH($C11,'[1]SALES PERTYPE'!$B$10:$B$52,0)),0)</f>
        <v>19196000</v>
      </c>
      <c r="R11" s="139">
        <f>IFERROR(INDEX('[1]SALES PERTYPE'!$P$10:$P$52,MATCH($C11,'[1]SALES PERTYPE'!$B$10:$B$52,0)),0)</f>
        <v>0</v>
      </c>
      <c r="S11" s="139">
        <f>IFERROR(INDEX('[1]SALES PERTYPE'!$Q$10:$Q$52,MATCH($C11,'[1]SALES PERTYPE'!$B$10:$B$52,0)),0)</f>
        <v>0</v>
      </c>
      <c r="T11" s="139">
        <f>IFERROR(INDEX('[1]SALES PERTYPE'!$R$10:$R$52,MATCH($C11,'[1]SALES PERTYPE'!$B$10:$B$52,0)),0)</f>
        <v>0</v>
      </c>
      <c r="U11" s="139">
        <f>IFERROR(INDEX('[1]SALES PERTYPE'!$S$10:$S$52,MATCH($C11,'[1]SALES PERTYPE'!$B$10:$B$52,0)),0)</f>
        <v>0</v>
      </c>
      <c r="V11" s="139">
        <f>IFERROR(INDEX('[1]SALES PERTYPE'!$T$10:$T$52,MATCH($C11,'[1]SALES PERTYPE'!$B$10:$B$52,0)),0)</f>
        <v>4</v>
      </c>
      <c r="W11" s="139">
        <f>IFERROR(INDEX('[1]SALES PERTYPE'!$U$10:$U$52,MATCH($C11,'[1]SALES PERTYPE'!$B$10:$B$52,0)),0)</f>
        <v>29496000</v>
      </c>
      <c r="X11" s="139">
        <f>IFERROR(INDEX('[1]SALES PERTYPE'!$V$10:$V$52,MATCH($C11,'[1]SALES PERTYPE'!$B$10:$B$52,0)),0)</f>
        <v>0</v>
      </c>
      <c r="Y11" s="139">
        <f>IFERROR(INDEX('[1]SALES PERTYPE'!$W$10:$W$52,MATCH($C11,'[1]SALES PERTYPE'!$B$10:$B$52,0)),0)</f>
        <v>0</v>
      </c>
      <c r="Z11" s="139">
        <f>IFERROR(INDEX('[1]SALES PERTYPE'!$X$10:$X$52,MATCH($C11,'[1]SALES PERTYPE'!$B$10:$B$52,0)),0)</f>
        <v>0</v>
      </c>
      <c r="AA11" s="139">
        <f>IFERROR(INDEX('[1]SALES PERTYPE'!$Y$10:$Y$52,MATCH($C11,'[1]SALES PERTYPE'!$B$10:$B$52,0)),0)</f>
        <v>0</v>
      </c>
      <c r="AB11" s="139">
        <f>IFERROR(INDEX('[1]SALES PERTYPE'!$Z$10:$Z$52,MATCH($C11,'[1]SALES PERTYPE'!$B$10:$B$52,0)),0)</f>
        <v>0</v>
      </c>
      <c r="AC11" s="139">
        <f>IFERROR(INDEX('[1]SALES PERTYPE'!$AA$10:$AA$52,MATCH($C11,'[1]SALES PERTYPE'!$B$10:$B$52,0)),0)</f>
        <v>0</v>
      </c>
      <c r="AD11" s="139">
        <f>IFERROR(INDEX('[1]SALES PERTYPE'!$AB$10:$AB$52,MATCH($C11,'[1]SALES PERTYPE'!$B$10:$B$52,0)),0)</f>
        <v>1</v>
      </c>
      <c r="AE11" s="139">
        <f>IFERROR(INDEX('[1]SALES PERTYPE'!$AC$10:$AC$52,MATCH($C11,'[1]SALES PERTYPE'!$B$10:$B$52,0)),0)</f>
        <v>5899000</v>
      </c>
      <c r="AF11" s="139">
        <f>IFERROR(INDEX('[1]SALES PERTYPE'!$AD$10:$AD$52,MATCH($C11,'[1]SALES PERTYPE'!$B$10:$B$52,0)),0)</f>
        <v>1</v>
      </c>
      <c r="AG11" s="139">
        <f>IFERROR(INDEX('[1]SALES PERTYPE'!$AE$10:$AE$52,MATCH($C11,'[1]SALES PERTYPE'!$B$10:$B$52,0)),0)</f>
        <v>29999000</v>
      </c>
      <c r="AH11" s="139">
        <f>IFERROR(INDEX('[1]SALES PERTYPE'!$AF$10:$AF$52,MATCH($C11,'[1]SALES PERTYPE'!$B$10:$B$52,0)),0)</f>
        <v>0</v>
      </c>
      <c r="AI11" s="139">
        <f>IFERROR(INDEX('[1]SALES PERTYPE'!$AG$10:$AG$52,MATCH($C11,'[1]SALES PERTYPE'!$B$10:$B$52,0)),0)</f>
        <v>0</v>
      </c>
      <c r="AJ11" s="139">
        <f>IFERROR(INDEX('[1]SALES PERTYPE'!$AH$10:$AH$52,MATCH($C11,'[1]SALES PERTYPE'!$B$10:$B$52,0)),0)</f>
        <v>0</v>
      </c>
      <c r="AK11" s="139">
        <f>IFERROR(INDEX('[1]SALES PERTYPE'!$AI$10:$AI$52,MATCH($C11,'[1]SALES PERTYPE'!$B$10:$B$52,0)),0)</f>
        <v>0</v>
      </c>
      <c r="AL11" s="139">
        <f>IFERROR(INDEX('[1]SALES PERTYPE'!$AJ$10:$AJ$52,MATCH($C11,'[1]SALES PERTYPE'!$B$10:$B$52,0)),0)</f>
        <v>1</v>
      </c>
      <c r="AM11" s="139">
        <f>IFERROR(INDEX('[1]SALES PERTYPE'!$AK$10:$AK$52,MATCH($C11,'[1]SALES PERTYPE'!$B$10:$B$52,0)),0)</f>
        <v>6899000</v>
      </c>
      <c r="AN11" s="139">
        <f>IFERROR(INDEX('[1]SALES PERTYPE'!$AL$10:$AL$52,MATCH($C11,'[1]SALES PERTYPE'!$B$10:$B$52,0)),0)</f>
        <v>29</v>
      </c>
      <c r="AO11" s="139">
        <f>IFERROR(INDEX('[1]SALES PERTYPE'!$AM$10:$AM$52,MATCH($C11,'[1]SALES PERTYPE'!$B$10:$B$52,0)),0)</f>
        <v>149071000</v>
      </c>
    </row>
    <row r="12" spans="1:41" x14ac:dyDescent="0.15">
      <c r="A12" s="140">
        <f>'[1]ACHIEVEMENT STORE'!A12</f>
        <v>8</v>
      </c>
      <c r="B12" s="141" t="str">
        <f>'[1]ACHIEVEMENT STORE'!B12</f>
        <v>601 雅加达西北 JKT BU</v>
      </c>
      <c r="C12" s="140">
        <f>'[1]ACHIEVEMENT STORE'!C12</f>
        <v>6010711</v>
      </c>
      <c r="D12" s="141" t="str">
        <f>'[1]ACHIEVEMENT STORE'!D12</f>
        <v>6010711-LIPPO MALL PURI 1FK02</v>
      </c>
      <c r="E12" s="141" t="str">
        <f>'[1]ACHIEVEMENT STORE'!E12</f>
        <v>HERRU ILYASA</v>
      </c>
      <c r="F12" s="142">
        <f>IFERROR(INDEX('[1]SALES PERTYPE'!$D$10:$D$52,MATCH($C12,'[1]SALES PERTYPE'!$B$10:$B$52,0)),0)</f>
        <v>3</v>
      </c>
      <c r="G12" s="142">
        <f>IFERROR(INDEX('[1]SALES PERTYPE'!$E$10:$E$52,MATCH($C12,'[1]SALES PERTYPE'!$B$10:$B$52,0)),0)</f>
        <v>7197000</v>
      </c>
      <c r="H12" s="142">
        <f>IFERROR(INDEX('[1]SALES PERTYPE'!$F$10:$F$52,MATCH($C12,'[1]SALES PERTYPE'!$B$10:$B$52,0)),0)</f>
        <v>4</v>
      </c>
      <c r="I12" s="142">
        <f>IFERROR(INDEX('[1]SALES PERTYPE'!$G$10:$G$52,MATCH($C12,'[1]SALES PERTYPE'!$B$10:$B$52,0)),0)</f>
        <v>10796000</v>
      </c>
      <c r="J12" s="142">
        <f>IFERROR(INDEX('[1]SALES PERTYPE'!$H$10:$H$52,MATCH($C12,'[1]SALES PERTYPE'!$B$10:$B$52,0)),0)</f>
        <v>0</v>
      </c>
      <c r="K12" s="142">
        <f>IFERROR(INDEX('[1]SALES PERTYPE'!$I$10:$I$52,MATCH($C12,'[1]SALES PERTYPE'!$B$10:$B$52,0)),0)</f>
        <v>0</v>
      </c>
      <c r="L12" s="142">
        <f>IFERROR(INDEX('[1]SALES PERTYPE'!$J$10:$J$52,MATCH($C12,'[1]SALES PERTYPE'!$B$10:$B$52,0)),0)</f>
        <v>2</v>
      </c>
      <c r="M12" s="142">
        <f>IFERROR(INDEX('[1]SALES PERTYPE'!$K$10:$K$52,MATCH($C12,'[1]SALES PERTYPE'!$B$10:$B$52,0)),0)</f>
        <v>4198000</v>
      </c>
      <c r="N12" s="142">
        <f>IFERROR(INDEX('[1]SALES PERTYPE'!$L$10:$L$52,MATCH($C12,'[1]SALES PERTYPE'!$B$10:$B$52,0)),0)</f>
        <v>0</v>
      </c>
      <c r="O12" s="142">
        <f>IFERROR(INDEX('[1]SALES PERTYPE'!$M$10:$M$52,MATCH($C12,'[1]SALES PERTYPE'!$B$10:$B$52,0)),0)</f>
        <v>0</v>
      </c>
      <c r="P12" s="142">
        <f>IFERROR(INDEX('[1]SALES PERTYPE'!$N$10:$N$52,MATCH($C12,'[1]SALES PERTYPE'!$B$10:$B$52,0)),0)</f>
        <v>3</v>
      </c>
      <c r="Q12" s="142">
        <f>IFERROR(INDEX('[1]SALES PERTYPE'!$O$10:$O$52,MATCH($C12,'[1]SALES PERTYPE'!$B$10:$B$52,0)),0)</f>
        <v>12097000</v>
      </c>
      <c r="R12" s="142">
        <f>IFERROR(INDEX('[1]SALES PERTYPE'!$P$10:$P$52,MATCH($C12,'[1]SALES PERTYPE'!$B$10:$B$52,0)),0)</f>
        <v>0</v>
      </c>
      <c r="S12" s="142">
        <f>IFERROR(INDEX('[1]SALES PERTYPE'!$Q$10:$Q$52,MATCH($C12,'[1]SALES PERTYPE'!$B$10:$B$52,0)),0)</f>
        <v>0</v>
      </c>
      <c r="T12" s="142">
        <f>IFERROR(INDEX('[1]SALES PERTYPE'!$R$10:$R$52,MATCH($C12,'[1]SALES PERTYPE'!$B$10:$B$52,0)),0)</f>
        <v>0</v>
      </c>
      <c r="U12" s="142">
        <f>IFERROR(INDEX('[1]SALES PERTYPE'!$S$10:$S$52,MATCH($C12,'[1]SALES PERTYPE'!$B$10:$B$52,0)),0)</f>
        <v>0</v>
      </c>
      <c r="V12" s="142">
        <f>IFERROR(INDEX('[1]SALES PERTYPE'!$T$10:$T$52,MATCH($C12,'[1]SALES PERTYPE'!$B$10:$B$52,0)),0)</f>
        <v>0</v>
      </c>
      <c r="W12" s="142">
        <f>IFERROR(INDEX('[1]SALES PERTYPE'!$U$10:$U$52,MATCH($C12,'[1]SALES PERTYPE'!$B$10:$B$52,0)),0)</f>
        <v>0</v>
      </c>
      <c r="X12" s="142">
        <f>IFERROR(INDEX('[1]SALES PERTYPE'!$V$10:$V$52,MATCH($C12,'[1]SALES PERTYPE'!$B$10:$B$52,0)),0)</f>
        <v>0</v>
      </c>
      <c r="Y12" s="142">
        <f>IFERROR(INDEX('[1]SALES PERTYPE'!$W$10:$W$52,MATCH($C12,'[1]SALES PERTYPE'!$B$10:$B$52,0)),0)</f>
        <v>0</v>
      </c>
      <c r="Z12" s="142">
        <f>IFERROR(INDEX('[1]SALES PERTYPE'!$X$10:$X$52,MATCH($C12,'[1]SALES PERTYPE'!$B$10:$B$52,0)),0)</f>
        <v>1</v>
      </c>
      <c r="AA12" s="142">
        <f>IFERROR(INDEX('[1]SALES PERTYPE'!$Y$10:$Y$52,MATCH($C12,'[1]SALES PERTYPE'!$B$10:$B$52,0)),0)</f>
        <v>5499000</v>
      </c>
      <c r="AB12" s="142">
        <f>IFERROR(INDEX('[1]SALES PERTYPE'!$Z$10:$Z$52,MATCH($C12,'[1]SALES PERTYPE'!$B$10:$B$52,0)),0)</f>
        <v>0</v>
      </c>
      <c r="AC12" s="142">
        <f>IFERROR(INDEX('[1]SALES PERTYPE'!$AA$10:$AA$52,MATCH($C12,'[1]SALES PERTYPE'!$B$10:$B$52,0)),0)</f>
        <v>0</v>
      </c>
      <c r="AD12" s="142">
        <f>IFERROR(INDEX('[1]SALES PERTYPE'!$AB$10:$AB$52,MATCH($C12,'[1]SALES PERTYPE'!$B$10:$B$52,0)),0)</f>
        <v>1</v>
      </c>
      <c r="AE12" s="142">
        <f>IFERROR(INDEX('[1]SALES PERTYPE'!$AC$10:$AC$52,MATCH($C12,'[1]SALES PERTYPE'!$B$10:$B$52,0)),0)</f>
        <v>6499000</v>
      </c>
      <c r="AF12" s="142">
        <f>IFERROR(INDEX('[1]SALES PERTYPE'!$AD$10:$AD$52,MATCH($C12,'[1]SALES PERTYPE'!$B$10:$B$52,0)),0)</f>
        <v>3</v>
      </c>
      <c r="AG12" s="142">
        <f>IFERROR(INDEX('[1]SALES PERTYPE'!$AE$10:$AE$52,MATCH($C12,'[1]SALES PERTYPE'!$B$10:$B$52,0)),0)</f>
        <v>81997000</v>
      </c>
      <c r="AH12" s="142">
        <f>IFERROR(INDEX('[1]SALES PERTYPE'!$AF$10:$AF$52,MATCH($C12,'[1]SALES PERTYPE'!$B$10:$B$52,0)),0)</f>
        <v>1</v>
      </c>
      <c r="AI12" s="142">
        <f>IFERROR(INDEX('[1]SALES PERTYPE'!$AG$10:$AG$52,MATCH($C12,'[1]SALES PERTYPE'!$B$10:$B$52,0)),0)</f>
        <v>15999000</v>
      </c>
      <c r="AJ12" s="142">
        <f>IFERROR(INDEX('[1]SALES PERTYPE'!$AH$10:$AH$52,MATCH($C12,'[1]SALES PERTYPE'!$B$10:$B$52,0)),0)</f>
        <v>0</v>
      </c>
      <c r="AK12" s="142">
        <f>IFERROR(INDEX('[1]SALES PERTYPE'!$AI$10:$AI$52,MATCH($C12,'[1]SALES PERTYPE'!$B$10:$B$52,0)),0)</f>
        <v>0</v>
      </c>
      <c r="AL12" s="142">
        <f>IFERROR(INDEX('[1]SALES PERTYPE'!$AJ$10:$AJ$52,MATCH($C12,'[1]SALES PERTYPE'!$B$10:$B$52,0)),0)</f>
        <v>1</v>
      </c>
      <c r="AM12" s="142">
        <f>IFERROR(INDEX('[1]SALES PERTYPE'!$AK$10:$AK$52,MATCH($C12,'[1]SALES PERTYPE'!$B$10:$B$52,0)),0)</f>
        <v>7999000</v>
      </c>
      <c r="AN12" s="142">
        <f>IFERROR(INDEX('[1]SALES PERTYPE'!$AL$10:$AL$52,MATCH($C12,'[1]SALES PERTYPE'!$B$10:$B$52,0)),0)</f>
        <v>19</v>
      </c>
      <c r="AO12" s="142">
        <f>IFERROR(INDEX('[1]SALES PERTYPE'!$AM$10:$AM$52,MATCH($C12,'[1]SALES PERTYPE'!$B$10:$B$52,0)),0)</f>
        <v>152281000</v>
      </c>
    </row>
    <row r="13" spans="1:41" x14ac:dyDescent="0.15">
      <c r="A13" s="137">
        <f>'[1]ACHIEVEMENT STORE'!A13</f>
        <v>9</v>
      </c>
      <c r="B13" s="138" t="str">
        <f>'[1]ACHIEVEMENT STORE'!B13</f>
        <v>601 雅加达西北 JKT BU</v>
      </c>
      <c r="C13" s="137">
        <f>'[1]ACHIEVEMENT STORE'!C13</f>
        <v>6020706</v>
      </c>
      <c r="D13" s="138" t="str">
        <f>'[1]ACHIEVEMENT STORE'!D13</f>
        <v>6020706-MVS CEMPAKA SHOWROOM 2 (454)</v>
      </c>
      <c r="E13" s="138" t="str">
        <f>'[1]ACHIEVEMENT STORE'!E13</f>
        <v>NOVIA HARYANTI</v>
      </c>
      <c r="F13" s="139">
        <f>IFERROR(INDEX('[1]SALES PERTYPE'!$D$10:$D$52,MATCH($C13,'[1]SALES PERTYPE'!$B$10:$B$52,0)),0)</f>
        <v>12</v>
      </c>
      <c r="G13" s="139">
        <f>IFERROR(INDEX('[1]SALES PERTYPE'!$E$10:$E$52,MATCH($C13,'[1]SALES PERTYPE'!$B$10:$B$52,0)),0)</f>
        <v>29688000</v>
      </c>
      <c r="H13" s="139">
        <f>IFERROR(INDEX('[1]SALES PERTYPE'!$F$10:$F$52,MATCH($C13,'[1]SALES PERTYPE'!$B$10:$B$52,0)),0)</f>
        <v>5</v>
      </c>
      <c r="I13" s="139">
        <f>IFERROR(INDEX('[1]SALES PERTYPE'!$G$10:$G$52,MATCH($C13,'[1]SALES PERTYPE'!$B$10:$B$52,0)),0)</f>
        <v>13995000</v>
      </c>
      <c r="J13" s="139">
        <f>IFERROR(INDEX('[1]SALES PERTYPE'!$H$10:$H$52,MATCH($C13,'[1]SALES PERTYPE'!$B$10:$B$52,0)),0)</f>
        <v>0</v>
      </c>
      <c r="K13" s="139">
        <f>IFERROR(INDEX('[1]SALES PERTYPE'!$I$10:$I$52,MATCH($C13,'[1]SALES PERTYPE'!$B$10:$B$52,0)),0)</f>
        <v>0</v>
      </c>
      <c r="L13" s="139">
        <f>IFERROR(INDEX('[1]SALES PERTYPE'!$J$10:$J$52,MATCH($C13,'[1]SALES PERTYPE'!$B$10:$B$52,0)),0)</f>
        <v>4</v>
      </c>
      <c r="M13" s="139">
        <f>IFERROR(INDEX('[1]SALES PERTYPE'!$K$10:$K$52,MATCH($C13,'[1]SALES PERTYPE'!$B$10:$B$52,0)),0)</f>
        <v>8396000</v>
      </c>
      <c r="N13" s="139">
        <f>IFERROR(INDEX('[1]SALES PERTYPE'!$L$10:$L$52,MATCH($C13,'[1]SALES PERTYPE'!$B$10:$B$52,0)),0)</f>
        <v>0</v>
      </c>
      <c r="O13" s="139">
        <f>IFERROR(INDEX('[1]SALES PERTYPE'!$M$10:$M$52,MATCH($C13,'[1]SALES PERTYPE'!$B$10:$B$52,0)),0)</f>
        <v>0</v>
      </c>
      <c r="P13" s="139">
        <f>IFERROR(INDEX('[1]SALES PERTYPE'!$N$10:$N$52,MATCH($C13,'[1]SALES PERTYPE'!$B$10:$B$52,0)),0)</f>
        <v>7</v>
      </c>
      <c r="Q13" s="139">
        <f>IFERROR(INDEX('[1]SALES PERTYPE'!$O$10:$O$52,MATCH($C13,'[1]SALES PERTYPE'!$B$10:$B$52,0)),0)</f>
        <v>31693000</v>
      </c>
      <c r="R13" s="139">
        <f>IFERROR(INDEX('[1]SALES PERTYPE'!$P$10:$P$52,MATCH($C13,'[1]SALES PERTYPE'!$B$10:$B$52,0)),0)</f>
        <v>0</v>
      </c>
      <c r="S13" s="139">
        <f>IFERROR(INDEX('[1]SALES PERTYPE'!$Q$10:$Q$52,MATCH($C13,'[1]SALES PERTYPE'!$B$10:$B$52,0)),0)</f>
        <v>0</v>
      </c>
      <c r="T13" s="139">
        <f>IFERROR(INDEX('[1]SALES PERTYPE'!$R$10:$R$52,MATCH($C13,'[1]SALES PERTYPE'!$B$10:$B$52,0)),0)</f>
        <v>2</v>
      </c>
      <c r="U13" s="139">
        <f>IFERROR(INDEX('[1]SALES PERTYPE'!$S$10:$S$52,MATCH($C13,'[1]SALES PERTYPE'!$B$10:$B$52,0)),0)</f>
        <v>7198000</v>
      </c>
      <c r="V13" s="139">
        <f>IFERROR(INDEX('[1]SALES PERTYPE'!$T$10:$T$52,MATCH($C13,'[1]SALES PERTYPE'!$B$10:$B$52,0)),0)</f>
        <v>0</v>
      </c>
      <c r="W13" s="139">
        <f>IFERROR(INDEX('[1]SALES PERTYPE'!$U$10:$U$52,MATCH($C13,'[1]SALES PERTYPE'!$B$10:$B$52,0)),0)</f>
        <v>0</v>
      </c>
      <c r="X13" s="139">
        <f>IFERROR(INDEX('[1]SALES PERTYPE'!$V$10:$V$52,MATCH($C13,'[1]SALES PERTYPE'!$B$10:$B$52,0)),0)</f>
        <v>0</v>
      </c>
      <c r="Y13" s="139">
        <f>IFERROR(INDEX('[1]SALES PERTYPE'!$W$10:$W$52,MATCH($C13,'[1]SALES PERTYPE'!$B$10:$B$52,0)),0)</f>
        <v>0</v>
      </c>
      <c r="Z13" s="139">
        <f>IFERROR(INDEX('[1]SALES PERTYPE'!$X$10:$X$52,MATCH($C13,'[1]SALES PERTYPE'!$B$10:$B$52,0)),0)</f>
        <v>2</v>
      </c>
      <c r="AA13" s="139">
        <f>IFERROR(INDEX('[1]SALES PERTYPE'!$Y$10:$Y$52,MATCH($C13,'[1]SALES PERTYPE'!$B$10:$B$52,0)),0)</f>
        <v>12598000</v>
      </c>
      <c r="AB13" s="139">
        <f>IFERROR(INDEX('[1]SALES PERTYPE'!$Z$10:$Z$52,MATCH($C13,'[1]SALES PERTYPE'!$B$10:$B$52,0)),0)</f>
        <v>0</v>
      </c>
      <c r="AC13" s="139">
        <f>IFERROR(INDEX('[1]SALES PERTYPE'!$AA$10:$AA$52,MATCH($C13,'[1]SALES PERTYPE'!$B$10:$B$52,0)),0)</f>
        <v>0</v>
      </c>
      <c r="AD13" s="139">
        <f>IFERROR(INDEX('[1]SALES PERTYPE'!$AB$10:$AB$52,MATCH($C13,'[1]SALES PERTYPE'!$B$10:$B$52,0)),0)</f>
        <v>3</v>
      </c>
      <c r="AE13" s="139">
        <f>IFERROR(INDEX('[1]SALES PERTYPE'!$AC$10:$AC$52,MATCH($C13,'[1]SALES PERTYPE'!$B$10:$B$52,0)),0)</f>
        <v>17197000</v>
      </c>
      <c r="AF13" s="139">
        <f>IFERROR(INDEX('[1]SALES PERTYPE'!$AD$10:$AD$52,MATCH($C13,'[1]SALES PERTYPE'!$B$10:$B$52,0)),0)</f>
        <v>0</v>
      </c>
      <c r="AG13" s="139">
        <f>IFERROR(INDEX('[1]SALES PERTYPE'!$AE$10:$AE$52,MATCH($C13,'[1]SALES PERTYPE'!$B$10:$B$52,0)),0)</f>
        <v>0</v>
      </c>
      <c r="AH13" s="139">
        <f>IFERROR(INDEX('[1]SALES PERTYPE'!$AF$10:$AF$52,MATCH($C13,'[1]SALES PERTYPE'!$B$10:$B$52,0)),0)</f>
        <v>0</v>
      </c>
      <c r="AI13" s="139">
        <f>IFERROR(INDEX('[1]SALES PERTYPE'!$AG$10:$AG$52,MATCH($C13,'[1]SALES PERTYPE'!$B$10:$B$52,0)),0)</f>
        <v>0</v>
      </c>
      <c r="AJ13" s="139">
        <f>IFERROR(INDEX('[1]SALES PERTYPE'!$AH$10:$AH$52,MATCH($C13,'[1]SALES PERTYPE'!$B$10:$B$52,0)),0)</f>
        <v>1</v>
      </c>
      <c r="AK13" s="139">
        <f>IFERROR(INDEX('[1]SALES PERTYPE'!$AI$10:$AI$52,MATCH($C13,'[1]SALES PERTYPE'!$B$10:$B$52,0)),0)</f>
        <v>5699000</v>
      </c>
      <c r="AL13" s="139">
        <f>IFERROR(INDEX('[1]SALES PERTYPE'!$AJ$10:$AJ$52,MATCH($C13,'[1]SALES PERTYPE'!$B$10:$B$52,0)),0)</f>
        <v>0</v>
      </c>
      <c r="AM13" s="139">
        <f>IFERROR(INDEX('[1]SALES PERTYPE'!$AK$10:$AK$52,MATCH($C13,'[1]SALES PERTYPE'!$B$10:$B$52,0)),0)</f>
        <v>0</v>
      </c>
      <c r="AN13" s="139">
        <f>IFERROR(INDEX('[1]SALES PERTYPE'!$AL$10:$AL$52,MATCH($C13,'[1]SALES PERTYPE'!$B$10:$B$52,0)),0)</f>
        <v>36</v>
      </c>
      <c r="AO13" s="139">
        <f>IFERROR(INDEX('[1]SALES PERTYPE'!$AM$10:$AM$52,MATCH($C13,'[1]SALES PERTYPE'!$B$10:$B$52,0)),0)</f>
        <v>126464000</v>
      </c>
    </row>
    <row r="14" spans="1:41" x14ac:dyDescent="0.15">
      <c r="A14" s="140">
        <f>'[1]ACHIEVEMENT STORE'!A14</f>
        <v>10</v>
      </c>
      <c r="B14" s="141" t="str">
        <f>'[1]ACHIEVEMENT STORE'!B14</f>
        <v>601 雅加达西北 JKT BU</v>
      </c>
      <c r="C14" s="140">
        <f>'[1]ACHIEVEMENT STORE'!C14</f>
        <v>6020704</v>
      </c>
      <c r="D14" s="141" t="str">
        <f>'[1]ACHIEVEMENT STORE'!D14</f>
        <v>6020704-MVS CEMPAKA SHOWROOM 14 (8TOKO)</v>
      </c>
      <c r="E14" s="141" t="str">
        <f>'[1]ACHIEVEMENT STORE'!E14</f>
        <v>NOVIA HARYANTI</v>
      </c>
      <c r="F14" s="142">
        <f>IFERROR(INDEX('[1]SALES PERTYPE'!$D$10:$D$52,MATCH($C14,'[1]SALES PERTYPE'!$B$10:$B$52,0)),0)</f>
        <v>2</v>
      </c>
      <c r="G14" s="142">
        <f>IFERROR(INDEX('[1]SALES PERTYPE'!$E$10:$E$52,MATCH($C14,'[1]SALES PERTYPE'!$B$10:$B$52,0)),0)</f>
        <v>4898000</v>
      </c>
      <c r="H14" s="142">
        <f>IFERROR(INDEX('[1]SALES PERTYPE'!$F$10:$F$52,MATCH($C14,'[1]SALES PERTYPE'!$B$10:$B$52,0)),0)</f>
        <v>4</v>
      </c>
      <c r="I14" s="142">
        <f>IFERROR(INDEX('[1]SALES PERTYPE'!$G$10:$G$52,MATCH($C14,'[1]SALES PERTYPE'!$B$10:$B$52,0)),0)</f>
        <v>11196000</v>
      </c>
      <c r="J14" s="142">
        <f>IFERROR(INDEX('[1]SALES PERTYPE'!$H$10:$H$52,MATCH($C14,'[1]SALES PERTYPE'!$B$10:$B$52,0)),0)</f>
        <v>0</v>
      </c>
      <c r="K14" s="142">
        <f>IFERROR(INDEX('[1]SALES PERTYPE'!$I$10:$I$52,MATCH($C14,'[1]SALES PERTYPE'!$B$10:$B$52,0)),0)</f>
        <v>0</v>
      </c>
      <c r="L14" s="142">
        <f>IFERROR(INDEX('[1]SALES PERTYPE'!$J$10:$J$52,MATCH($C14,'[1]SALES PERTYPE'!$B$10:$B$52,0)),0)</f>
        <v>2</v>
      </c>
      <c r="M14" s="142">
        <f>IFERROR(INDEX('[1]SALES PERTYPE'!$K$10:$K$52,MATCH($C14,'[1]SALES PERTYPE'!$B$10:$B$52,0)),0)</f>
        <v>4198000</v>
      </c>
      <c r="N14" s="142">
        <f>IFERROR(INDEX('[1]SALES PERTYPE'!$L$10:$L$52,MATCH($C14,'[1]SALES PERTYPE'!$B$10:$B$52,0)),0)</f>
        <v>0</v>
      </c>
      <c r="O14" s="142">
        <f>IFERROR(INDEX('[1]SALES PERTYPE'!$M$10:$M$52,MATCH($C14,'[1]SALES PERTYPE'!$B$10:$B$52,0)),0)</f>
        <v>0</v>
      </c>
      <c r="P14" s="142">
        <f>IFERROR(INDEX('[1]SALES PERTYPE'!$N$10:$N$52,MATCH($C14,'[1]SALES PERTYPE'!$B$10:$B$52,0)),0)</f>
        <v>3</v>
      </c>
      <c r="Q14" s="142">
        <f>IFERROR(INDEX('[1]SALES PERTYPE'!$O$10:$O$52,MATCH($C14,'[1]SALES PERTYPE'!$B$10:$B$52,0)),0)</f>
        <v>12097000</v>
      </c>
      <c r="R14" s="142">
        <f>IFERROR(INDEX('[1]SALES PERTYPE'!$P$10:$P$52,MATCH($C14,'[1]SALES PERTYPE'!$B$10:$B$52,0)),0)</f>
        <v>0</v>
      </c>
      <c r="S14" s="142">
        <f>IFERROR(INDEX('[1]SALES PERTYPE'!$Q$10:$Q$52,MATCH($C14,'[1]SALES PERTYPE'!$B$10:$B$52,0)),0)</f>
        <v>0</v>
      </c>
      <c r="T14" s="142">
        <f>IFERROR(INDEX('[1]SALES PERTYPE'!$R$10:$R$52,MATCH($C14,'[1]SALES PERTYPE'!$B$10:$B$52,0)),0)</f>
        <v>1</v>
      </c>
      <c r="U14" s="142">
        <f>IFERROR(INDEX('[1]SALES PERTYPE'!$S$10:$S$52,MATCH($C14,'[1]SALES PERTYPE'!$B$10:$B$52,0)),0)</f>
        <v>3599000</v>
      </c>
      <c r="V14" s="142">
        <f>IFERROR(INDEX('[1]SALES PERTYPE'!$T$10:$T$52,MATCH($C14,'[1]SALES PERTYPE'!$B$10:$B$52,0)),0)</f>
        <v>2</v>
      </c>
      <c r="W14" s="142">
        <f>IFERROR(INDEX('[1]SALES PERTYPE'!$U$10:$U$52,MATCH($C14,'[1]SALES PERTYPE'!$B$10:$B$52,0)),0)</f>
        <v>14998000</v>
      </c>
      <c r="X14" s="142">
        <f>IFERROR(INDEX('[1]SALES PERTYPE'!$V$10:$V$52,MATCH($C14,'[1]SALES PERTYPE'!$B$10:$B$52,0)),0)</f>
        <v>0</v>
      </c>
      <c r="Y14" s="142">
        <f>IFERROR(INDEX('[1]SALES PERTYPE'!$W$10:$W$52,MATCH($C14,'[1]SALES PERTYPE'!$B$10:$B$52,0)),0)</f>
        <v>0</v>
      </c>
      <c r="Z14" s="142">
        <f>IFERROR(INDEX('[1]SALES PERTYPE'!$X$10:$X$52,MATCH($C14,'[1]SALES PERTYPE'!$B$10:$B$52,0)),0)</f>
        <v>0</v>
      </c>
      <c r="AA14" s="142">
        <f>IFERROR(INDEX('[1]SALES PERTYPE'!$Y$10:$Y$52,MATCH($C14,'[1]SALES PERTYPE'!$B$10:$B$52,0)),0)</f>
        <v>0</v>
      </c>
      <c r="AB14" s="142">
        <f>IFERROR(INDEX('[1]SALES PERTYPE'!$Z$10:$Z$52,MATCH($C14,'[1]SALES PERTYPE'!$B$10:$B$52,0)),0)</f>
        <v>0</v>
      </c>
      <c r="AC14" s="142">
        <f>IFERROR(INDEX('[1]SALES PERTYPE'!$AA$10:$AA$52,MATCH($C14,'[1]SALES PERTYPE'!$B$10:$B$52,0)),0)</f>
        <v>0</v>
      </c>
      <c r="AD14" s="142">
        <f>IFERROR(INDEX('[1]SALES PERTYPE'!$AB$10:$AB$52,MATCH($C14,'[1]SALES PERTYPE'!$B$10:$B$52,0)),0)</f>
        <v>1</v>
      </c>
      <c r="AE14" s="142">
        <f>IFERROR(INDEX('[1]SALES PERTYPE'!$AC$10:$AC$52,MATCH($C14,'[1]SALES PERTYPE'!$B$10:$B$52,0)),0)</f>
        <v>5299000</v>
      </c>
      <c r="AF14" s="142">
        <f>IFERROR(INDEX('[1]SALES PERTYPE'!$AD$10:$AD$52,MATCH($C14,'[1]SALES PERTYPE'!$B$10:$B$52,0)),0)</f>
        <v>0</v>
      </c>
      <c r="AG14" s="142">
        <f>IFERROR(INDEX('[1]SALES PERTYPE'!$AE$10:$AE$52,MATCH($C14,'[1]SALES PERTYPE'!$B$10:$B$52,0)),0)</f>
        <v>0</v>
      </c>
      <c r="AH14" s="142">
        <f>IFERROR(INDEX('[1]SALES PERTYPE'!$AF$10:$AF$52,MATCH($C14,'[1]SALES PERTYPE'!$B$10:$B$52,0)),0)</f>
        <v>0</v>
      </c>
      <c r="AI14" s="142">
        <f>IFERROR(INDEX('[1]SALES PERTYPE'!$AG$10:$AG$52,MATCH($C14,'[1]SALES PERTYPE'!$B$10:$B$52,0)),0)</f>
        <v>0</v>
      </c>
      <c r="AJ14" s="142">
        <f>IFERROR(INDEX('[1]SALES PERTYPE'!$AH$10:$AH$52,MATCH($C14,'[1]SALES PERTYPE'!$B$10:$B$52,0)),0)</f>
        <v>0</v>
      </c>
      <c r="AK14" s="142">
        <f>IFERROR(INDEX('[1]SALES PERTYPE'!$AI$10:$AI$52,MATCH($C14,'[1]SALES PERTYPE'!$B$10:$B$52,0)),0)</f>
        <v>0</v>
      </c>
      <c r="AL14" s="142">
        <f>IFERROR(INDEX('[1]SALES PERTYPE'!$AJ$10:$AJ$52,MATCH($C14,'[1]SALES PERTYPE'!$B$10:$B$52,0)),0)</f>
        <v>1</v>
      </c>
      <c r="AM14" s="142">
        <f>IFERROR(INDEX('[1]SALES PERTYPE'!$AK$10:$AK$52,MATCH($C14,'[1]SALES PERTYPE'!$B$10:$B$52,0)),0)</f>
        <v>6899000</v>
      </c>
      <c r="AN14" s="142">
        <f>IFERROR(INDEX('[1]SALES PERTYPE'!$AL$10:$AL$52,MATCH($C14,'[1]SALES PERTYPE'!$B$10:$B$52,0)),0)</f>
        <v>16</v>
      </c>
      <c r="AO14" s="142">
        <f>IFERROR(INDEX('[1]SALES PERTYPE'!$AM$10:$AM$52,MATCH($C14,'[1]SALES PERTYPE'!$B$10:$B$52,0)),0)</f>
        <v>63184000</v>
      </c>
    </row>
    <row r="15" spans="1:41" x14ac:dyDescent="0.15">
      <c r="A15" s="137">
        <f>'[1]ACHIEVEMENT STORE'!A15</f>
        <v>11</v>
      </c>
      <c r="B15" s="138" t="str">
        <f>'[1]ACHIEVEMENT STORE'!B15</f>
        <v>604 雅加达东南 JKT TS</v>
      </c>
      <c r="C15" s="137">
        <f>'[1]ACHIEVEMENT STORE'!C15</f>
        <v>6040701</v>
      </c>
      <c r="D15" s="138" t="str">
        <f>'[1]ACHIEVEMENT STORE'!D15</f>
        <v>A200402-ITC-VIVO STORE 1</v>
      </c>
      <c r="E15" s="138" t="str">
        <f>'[1]ACHIEVEMENT STORE'!E15</f>
        <v>Erlangga Pradita</v>
      </c>
      <c r="F15" s="139">
        <f>IFERROR(INDEX('[1]SALES PERTYPE'!$D$10:$D$52,MATCH($C15,'[1]SALES PERTYPE'!$B$10:$B$52,0)),0)</f>
        <v>6</v>
      </c>
      <c r="G15" s="139">
        <f>IFERROR(INDEX('[1]SALES PERTYPE'!$E$10:$E$52,MATCH($C15,'[1]SALES PERTYPE'!$B$10:$B$52,0)),0)</f>
        <v>15294000</v>
      </c>
      <c r="H15" s="139">
        <f>IFERROR(INDEX('[1]SALES PERTYPE'!$F$10:$F$52,MATCH($C15,'[1]SALES PERTYPE'!$B$10:$B$52,0)),0)</f>
        <v>5</v>
      </c>
      <c r="I15" s="139">
        <f>IFERROR(INDEX('[1]SALES PERTYPE'!$G$10:$G$52,MATCH($C15,'[1]SALES PERTYPE'!$B$10:$B$52,0)),0)</f>
        <v>12795000</v>
      </c>
      <c r="J15" s="139">
        <f>IFERROR(INDEX('[1]SALES PERTYPE'!$H$10:$H$52,MATCH($C15,'[1]SALES PERTYPE'!$B$10:$B$52,0)),0)</f>
        <v>0</v>
      </c>
      <c r="K15" s="139">
        <f>IFERROR(INDEX('[1]SALES PERTYPE'!$I$10:$I$52,MATCH($C15,'[1]SALES PERTYPE'!$B$10:$B$52,0)),0)</f>
        <v>0</v>
      </c>
      <c r="L15" s="139">
        <f>IFERROR(INDEX('[1]SALES PERTYPE'!$J$10:$J$52,MATCH($C15,'[1]SALES PERTYPE'!$B$10:$B$52,0)),0)</f>
        <v>1</v>
      </c>
      <c r="M15" s="139">
        <f>IFERROR(INDEX('[1]SALES PERTYPE'!$K$10:$K$52,MATCH($C15,'[1]SALES PERTYPE'!$B$10:$B$52,0)),0)</f>
        <v>2099000</v>
      </c>
      <c r="N15" s="139">
        <f>IFERROR(INDEX('[1]SALES PERTYPE'!$L$10:$L$52,MATCH($C15,'[1]SALES PERTYPE'!$B$10:$B$52,0)),0)</f>
        <v>0</v>
      </c>
      <c r="O15" s="139">
        <f>IFERROR(INDEX('[1]SALES PERTYPE'!$M$10:$M$52,MATCH($C15,'[1]SALES PERTYPE'!$B$10:$B$52,0)),0)</f>
        <v>0</v>
      </c>
      <c r="P15" s="139">
        <f>IFERROR(INDEX('[1]SALES PERTYPE'!$N$10:$N$52,MATCH($C15,'[1]SALES PERTYPE'!$B$10:$B$52,0)),0)</f>
        <v>7</v>
      </c>
      <c r="Q15" s="139">
        <f>IFERROR(INDEX('[1]SALES PERTYPE'!$O$10:$O$52,MATCH($C15,'[1]SALES PERTYPE'!$B$10:$B$52,0)),0)</f>
        <v>31293000</v>
      </c>
      <c r="R15" s="139">
        <f>IFERROR(INDEX('[1]SALES PERTYPE'!$P$10:$P$52,MATCH($C15,'[1]SALES PERTYPE'!$B$10:$B$52,0)),0)</f>
        <v>0</v>
      </c>
      <c r="S15" s="139">
        <f>IFERROR(INDEX('[1]SALES PERTYPE'!$Q$10:$Q$52,MATCH($C15,'[1]SALES PERTYPE'!$B$10:$B$52,0)),0)</f>
        <v>0</v>
      </c>
      <c r="T15" s="139">
        <f>IFERROR(INDEX('[1]SALES PERTYPE'!$R$10:$R$52,MATCH($C15,'[1]SALES PERTYPE'!$B$10:$B$52,0)),0)</f>
        <v>0</v>
      </c>
      <c r="U15" s="139">
        <f>IFERROR(INDEX('[1]SALES PERTYPE'!$S$10:$S$52,MATCH($C15,'[1]SALES PERTYPE'!$B$10:$B$52,0)),0)</f>
        <v>0</v>
      </c>
      <c r="V15" s="139">
        <f>IFERROR(INDEX('[1]SALES PERTYPE'!$T$10:$T$52,MATCH($C15,'[1]SALES PERTYPE'!$B$10:$B$52,0)),0)</f>
        <v>3</v>
      </c>
      <c r="W15" s="139">
        <f>IFERROR(INDEX('[1]SALES PERTYPE'!$U$10:$U$52,MATCH($C15,'[1]SALES PERTYPE'!$B$10:$B$52,0)),0)</f>
        <v>21197000</v>
      </c>
      <c r="X15" s="139">
        <f>IFERROR(INDEX('[1]SALES PERTYPE'!$V$10:$V$52,MATCH($C15,'[1]SALES PERTYPE'!$B$10:$B$52,0)),0)</f>
        <v>0</v>
      </c>
      <c r="Y15" s="139">
        <f>IFERROR(INDEX('[1]SALES PERTYPE'!$W$10:$W$52,MATCH($C15,'[1]SALES PERTYPE'!$B$10:$B$52,0)),0)</f>
        <v>0</v>
      </c>
      <c r="Z15" s="139">
        <f>IFERROR(INDEX('[1]SALES PERTYPE'!$X$10:$X$52,MATCH($C15,'[1]SALES PERTYPE'!$B$10:$B$52,0)),0)</f>
        <v>1</v>
      </c>
      <c r="AA15" s="139">
        <f>IFERROR(INDEX('[1]SALES PERTYPE'!$Y$10:$Y$52,MATCH($C15,'[1]SALES PERTYPE'!$B$10:$B$52,0)),0)</f>
        <v>5499000</v>
      </c>
      <c r="AB15" s="139">
        <f>IFERROR(INDEX('[1]SALES PERTYPE'!$Z$10:$Z$52,MATCH($C15,'[1]SALES PERTYPE'!$B$10:$B$52,0)),0)</f>
        <v>0</v>
      </c>
      <c r="AC15" s="139">
        <f>IFERROR(INDEX('[1]SALES PERTYPE'!$AA$10:$AA$52,MATCH($C15,'[1]SALES PERTYPE'!$B$10:$B$52,0)),0)</f>
        <v>0</v>
      </c>
      <c r="AD15" s="139">
        <f>IFERROR(INDEX('[1]SALES PERTYPE'!$AB$10:$AB$52,MATCH($C15,'[1]SALES PERTYPE'!$B$10:$B$52,0)),0)</f>
        <v>0</v>
      </c>
      <c r="AE15" s="139">
        <f>IFERROR(INDEX('[1]SALES PERTYPE'!$AC$10:$AC$52,MATCH($C15,'[1]SALES PERTYPE'!$B$10:$B$52,0)),0)</f>
        <v>0</v>
      </c>
      <c r="AF15" s="139">
        <f>IFERROR(INDEX('[1]SALES PERTYPE'!$AD$10:$AD$52,MATCH($C15,'[1]SALES PERTYPE'!$B$10:$B$52,0)),0)</f>
        <v>0</v>
      </c>
      <c r="AG15" s="139">
        <f>IFERROR(INDEX('[1]SALES PERTYPE'!$AE$10:$AE$52,MATCH($C15,'[1]SALES PERTYPE'!$B$10:$B$52,0)),0)</f>
        <v>0</v>
      </c>
      <c r="AH15" s="139">
        <f>IFERROR(INDEX('[1]SALES PERTYPE'!$AF$10:$AF$52,MATCH($C15,'[1]SALES PERTYPE'!$B$10:$B$52,0)),0)</f>
        <v>0</v>
      </c>
      <c r="AI15" s="139">
        <f>IFERROR(INDEX('[1]SALES PERTYPE'!$AG$10:$AG$52,MATCH($C15,'[1]SALES PERTYPE'!$B$10:$B$52,0)),0)</f>
        <v>0</v>
      </c>
      <c r="AJ15" s="139">
        <f>IFERROR(INDEX('[1]SALES PERTYPE'!$AH$10:$AH$52,MATCH($C15,'[1]SALES PERTYPE'!$B$10:$B$52,0)),0)</f>
        <v>0</v>
      </c>
      <c r="AK15" s="139">
        <f>IFERROR(INDEX('[1]SALES PERTYPE'!$AI$10:$AI$52,MATCH($C15,'[1]SALES PERTYPE'!$B$10:$B$52,0)),0)</f>
        <v>0</v>
      </c>
      <c r="AL15" s="139">
        <f>IFERROR(INDEX('[1]SALES PERTYPE'!$AJ$10:$AJ$52,MATCH($C15,'[1]SALES PERTYPE'!$B$10:$B$52,0)),0)</f>
        <v>1</v>
      </c>
      <c r="AM15" s="139">
        <f>IFERROR(INDEX('[1]SALES PERTYPE'!$AK$10:$AK$52,MATCH($C15,'[1]SALES PERTYPE'!$B$10:$B$52,0)),0)</f>
        <v>6899000</v>
      </c>
      <c r="AN15" s="139">
        <f>IFERROR(INDEX('[1]SALES PERTYPE'!$AL$10:$AL$52,MATCH($C15,'[1]SALES PERTYPE'!$B$10:$B$52,0)),0)</f>
        <v>24</v>
      </c>
      <c r="AO15" s="139">
        <f>IFERROR(INDEX('[1]SALES PERTYPE'!$AM$10:$AM$52,MATCH($C15,'[1]SALES PERTYPE'!$B$10:$B$52,0)),0)</f>
        <v>95076000</v>
      </c>
    </row>
    <row r="16" spans="1:41" x14ac:dyDescent="0.15">
      <c r="A16" s="140">
        <f>'[1]ACHIEVEMENT STORE'!A16</f>
        <v>12</v>
      </c>
      <c r="B16" s="141" t="str">
        <f>'[1]ACHIEVEMENT STORE'!B16</f>
        <v>604 雅加达东南 JKT TS</v>
      </c>
      <c r="C16" s="140">
        <f>'[1]ACHIEVEMENT STORE'!C16</f>
        <v>6080712</v>
      </c>
      <c r="D16" s="141" t="str">
        <f>'[1]ACHIEVEMENT STORE'!D16</f>
        <v>6080712-MVS ITC DEPOK VIVO STORE 2</v>
      </c>
      <c r="E16" s="141" t="str">
        <f>'[1]ACHIEVEMENT STORE'!E16</f>
        <v>Erlangga Pradita</v>
      </c>
      <c r="F16" s="142">
        <f>IFERROR(INDEX('[1]SALES PERTYPE'!$D$10:$D$52,MATCH($C16,'[1]SALES PERTYPE'!$B$10:$B$52,0)),0)</f>
        <v>1</v>
      </c>
      <c r="G16" s="142">
        <f>IFERROR(INDEX('[1]SALES PERTYPE'!$E$10:$E$52,MATCH($C16,'[1]SALES PERTYPE'!$B$10:$B$52,0)),0)</f>
        <v>2599000</v>
      </c>
      <c r="H16" s="142">
        <f>IFERROR(INDEX('[1]SALES PERTYPE'!$F$10:$F$52,MATCH($C16,'[1]SALES PERTYPE'!$B$10:$B$52,0)),0)</f>
        <v>5</v>
      </c>
      <c r="I16" s="142">
        <f>IFERROR(INDEX('[1]SALES PERTYPE'!$G$10:$G$52,MATCH($C16,'[1]SALES PERTYPE'!$B$10:$B$52,0)),0)</f>
        <v>13595000</v>
      </c>
      <c r="J16" s="142">
        <f>IFERROR(INDEX('[1]SALES PERTYPE'!$H$10:$H$52,MATCH($C16,'[1]SALES PERTYPE'!$B$10:$B$52,0)),0)</f>
        <v>0</v>
      </c>
      <c r="K16" s="142">
        <f>IFERROR(INDEX('[1]SALES PERTYPE'!$I$10:$I$52,MATCH($C16,'[1]SALES PERTYPE'!$B$10:$B$52,0)),0)</f>
        <v>0</v>
      </c>
      <c r="L16" s="142">
        <f>IFERROR(INDEX('[1]SALES PERTYPE'!$J$10:$J$52,MATCH($C16,'[1]SALES PERTYPE'!$B$10:$B$52,0)),0)</f>
        <v>1</v>
      </c>
      <c r="M16" s="142">
        <f>IFERROR(INDEX('[1]SALES PERTYPE'!$K$10:$K$52,MATCH($C16,'[1]SALES PERTYPE'!$B$10:$B$52,0)),0)</f>
        <v>2099000</v>
      </c>
      <c r="N16" s="142">
        <f>IFERROR(INDEX('[1]SALES PERTYPE'!$L$10:$L$52,MATCH($C16,'[1]SALES PERTYPE'!$B$10:$B$52,0)),0)</f>
        <v>2</v>
      </c>
      <c r="O16" s="142">
        <f>IFERROR(INDEX('[1]SALES PERTYPE'!$M$10:$M$52,MATCH($C16,'[1]SALES PERTYPE'!$B$10:$B$52,0)),0)</f>
        <v>20998000</v>
      </c>
      <c r="P16" s="142">
        <f>IFERROR(INDEX('[1]SALES PERTYPE'!$N$10:$N$52,MATCH($C16,'[1]SALES PERTYPE'!$B$10:$B$52,0)),0)</f>
        <v>3</v>
      </c>
      <c r="Q16" s="142">
        <f>IFERROR(INDEX('[1]SALES PERTYPE'!$O$10:$O$52,MATCH($C16,'[1]SALES PERTYPE'!$B$10:$B$52,0)),0)</f>
        <v>14897000</v>
      </c>
      <c r="R16" s="142">
        <f>IFERROR(INDEX('[1]SALES PERTYPE'!$P$10:$P$52,MATCH($C16,'[1]SALES PERTYPE'!$B$10:$B$52,0)),0)</f>
        <v>0</v>
      </c>
      <c r="S16" s="142">
        <f>IFERROR(INDEX('[1]SALES PERTYPE'!$Q$10:$Q$52,MATCH($C16,'[1]SALES PERTYPE'!$B$10:$B$52,0)),0)</f>
        <v>0</v>
      </c>
      <c r="T16" s="142">
        <f>IFERROR(INDEX('[1]SALES PERTYPE'!$R$10:$R$52,MATCH($C16,'[1]SALES PERTYPE'!$B$10:$B$52,0)),0)</f>
        <v>0</v>
      </c>
      <c r="U16" s="142">
        <f>IFERROR(INDEX('[1]SALES PERTYPE'!$S$10:$S$52,MATCH($C16,'[1]SALES PERTYPE'!$B$10:$B$52,0)),0)</f>
        <v>0</v>
      </c>
      <c r="V16" s="142">
        <f>IFERROR(INDEX('[1]SALES PERTYPE'!$T$10:$T$52,MATCH($C16,'[1]SALES PERTYPE'!$B$10:$B$52,0)),0)</f>
        <v>0</v>
      </c>
      <c r="W16" s="142">
        <f>IFERROR(INDEX('[1]SALES PERTYPE'!$U$10:$U$52,MATCH($C16,'[1]SALES PERTYPE'!$B$10:$B$52,0)),0)</f>
        <v>0</v>
      </c>
      <c r="X16" s="142">
        <f>IFERROR(INDEX('[1]SALES PERTYPE'!$V$10:$V$52,MATCH($C16,'[1]SALES PERTYPE'!$B$10:$B$52,0)),0)</f>
        <v>0</v>
      </c>
      <c r="Y16" s="142">
        <f>IFERROR(INDEX('[1]SALES PERTYPE'!$W$10:$W$52,MATCH($C16,'[1]SALES PERTYPE'!$B$10:$B$52,0)),0)</f>
        <v>0</v>
      </c>
      <c r="Z16" s="142">
        <f>IFERROR(INDEX('[1]SALES PERTYPE'!$X$10:$X$52,MATCH($C16,'[1]SALES PERTYPE'!$B$10:$B$52,0)),0)</f>
        <v>2</v>
      </c>
      <c r="AA16" s="142">
        <f>IFERROR(INDEX('[1]SALES PERTYPE'!$Y$10:$Y$52,MATCH($C16,'[1]SALES PERTYPE'!$B$10:$B$52,0)),0)</f>
        <v>11798000</v>
      </c>
      <c r="AB16" s="142">
        <f>IFERROR(INDEX('[1]SALES PERTYPE'!$Z$10:$Z$52,MATCH($C16,'[1]SALES PERTYPE'!$B$10:$B$52,0)),0)</f>
        <v>0</v>
      </c>
      <c r="AC16" s="142">
        <f>IFERROR(INDEX('[1]SALES PERTYPE'!$AA$10:$AA$52,MATCH($C16,'[1]SALES PERTYPE'!$B$10:$B$52,0)),0)</f>
        <v>0</v>
      </c>
      <c r="AD16" s="142">
        <f>IFERROR(INDEX('[1]SALES PERTYPE'!$AB$10:$AB$52,MATCH($C16,'[1]SALES PERTYPE'!$B$10:$B$52,0)),0)</f>
        <v>2</v>
      </c>
      <c r="AE16" s="142">
        <f>IFERROR(INDEX('[1]SALES PERTYPE'!$AC$10:$AC$52,MATCH($C16,'[1]SALES PERTYPE'!$B$10:$B$52,0)),0)</f>
        <v>11998000</v>
      </c>
      <c r="AF16" s="142">
        <f>IFERROR(INDEX('[1]SALES PERTYPE'!$AD$10:$AD$52,MATCH($C16,'[1]SALES PERTYPE'!$B$10:$B$52,0)),0)</f>
        <v>0</v>
      </c>
      <c r="AG16" s="142">
        <f>IFERROR(INDEX('[1]SALES PERTYPE'!$AE$10:$AE$52,MATCH($C16,'[1]SALES PERTYPE'!$B$10:$B$52,0)),0)</f>
        <v>0</v>
      </c>
      <c r="AH16" s="142">
        <f>IFERROR(INDEX('[1]SALES PERTYPE'!$AF$10:$AF$52,MATCH($C16,'[1]SALES PERTYPE'!$B$10:$B$52,0)),0)</f>
        <v>0</v>
      </c>
      <c r="AI16" s="142">
        <f>IFERROR(INDEX('[1]SALES PERTYPE'!$AG$10:$AG$52,MATCH($C16,'[1]SALES PERTYPE'!$B$10:$B$52,0)),0)</f>
        <v>0</v>
      </c>
      <c r="AJ16" s="142">
        <f>IFERROR(INDEX('[1]SALES PERTYPE'!$AH$10:$AH$52,MATCH($C16,'[1]SALES PERTYPE'!$B$10:$B$52,0)),0)</f>
        <v>1</v>
      </c>
      <c r="AK16" s="142">
        <f>IFERROR(INDEX('[1]SALES PERTYPE'!$AI$10:$AI$52,MATCH($C16,'[1]SALES PERTYPE'!$B$10:$B$52,0)),0)</f>
        <v>5699000</v>
      </c>
      <c r="AL16" s="142">
        <f>IFERROR(INDEX('[1]SALES PERTYPE'!$AJ$10:$AJ$52,MATCH($C16,'[1]SALES PERTYPE'!$B$10:$B$52,0)),0)</f>
        <v>1</v>
      </c>
      <c r="AM16" s="142">
        <f>IFERROR(INDEX('[1]SALES PERTYPE'!$AK$10:$AK$52,MATCH($C16,'[1]SALES PERTYPE'!$B$10:$B$52,0)),0)</f>
        <v>8399000</v>
      </c>
      <c r="AN16" s="142">
        <f>IFERROR(INDEX('[1]SALES PERTYPE'!$AL$10:$AL$52,MATCH($C16,'[1]SALES PERTYPE'!$B$10:$B$52,0)),0)</f>
        <v>18</v>
      </c>
      <c r="AO16" s="142">
        <f>IFERROR(INDEX('[1]SALES PERTYPE'!$AM$10:$AM$52,MATCH($C16,'[1]SALES PERTYPE'!$B$10:$B$52,0)),0)</f>
        <v>92082000</v>
      </c>
    </row>
    <row r="17" spans="1:41" x14ac:dyDescent="0.15">
      <c r="A17" s="137">
        <f>'[1]ACHIEVEMENT STORE'!A17</f>
        <v>13</v>
      </c>
      <c r="B17" s="138" t="str">
        <f>'[1]ACHIEVEMENT STORE'!B17</f>
        <v>604 雅加达东南 JKT TS</v>
      </c>
      <c r="C17" s="137">
        <f>'[1]ACHIEVEMENT STORE'!C17</f>
        <v>6040702</v>
      </c>
      <c r="D17" s="138" t="str">
        <f>'[1]ACHIEVEMENT STORE'!D17</f>
        <v>6040702-TRAN STUDIO MALL 2F059</v>
      </c>
      <c r="E17" s="138" t="str">
        <f>'[1]ACHIEVEMENT STORE'!E17</f>
        <v>Erlangga Pradita</v>
      </c>
      <c r="F17" s="139">
        <f>IFERROR(INDEX('[1]SALES PERTYPE'!$D$10:$D$52,MATCH($C17,'[1]SALES PERTYPE'!$B$10:$B$52,0)),0)</f>
        <v>2</v>
      </c>
      <c r="G17" s="139">
        <f>IFERROR(INDEX('[1]SALES PERTYPE'!$E$10:$E$52,MATCH($C17,'[1]SALES PERTYPE'!$B$10:$B$52,0)),0)</f>
        <v>5198000</v>
      </c>
      <c r="H17" s="139">
        <f>IFERROR(INDEX('[1]SALES PERTYPE'!$F$10:$F$52,MATCH($C17,'[1]SALES PERTYPE'!$B$10:$B$52,0)),0)</f>
        <v>0</v>
      </c>
      <c r="I17" s="139">
        <f>IFERROR(INDEX('[1]SALES PERTYPE'!$G$10:$G$52,MATCH($C17,'[1]SALES PERTYPE'!$B$10:$B$52,0)),0)</f>
        <v>0</v>
      </c>
      <c r="J17" s="139">
        <f>IFERROR(INDEX('[1]SALES PERTYPE'!$H$10:$H$52,MATCH($C17,'[1]SALES PERTYPE'!$B$10:$B$52,0)),0)</f>
        <v>0</v>
      </c>
      <c r="K17" s="139">
        <f>IFERROR(INDEX('[1]SALES PERTYPE'!$I$10:$I$52,MATCH($C17,'[1]SALES PERTYPE'!$B$10:$B$52,0)),0)</f>
        <v>0</v>
      </c>
      <c r="L17" s="139">
        <f>IFERROR(INDEX('[1]SALES PERTYPE'!$J$10:$J$52,MATCH($C17,'[1]SALES PERTYPE'!$B$10:$B$52,0)),0)</f>
        <v>3</v>
      </c>
      <c r="M17" s="139">
        <f>IFERROR(INDEX('[1]SALES PERTYPE'!$K$10:$K$52,MATCH($C17,'[1]SALES PERTYPE'!$B$10:$B$52,0)),0)</f>
        <v>6297000</v>
      </c>
      <c r="N17" s="139">
        <f>IFERROR(INDEX('[1]SALES PERTYPE'!$L$10:$L$52,MATCH($C17,'[1]SALES PERTYPE'!$B$10:$B$52,0)),0)</f>
        <v>1</v>
      </c>
      <c r="O17" s="139">
        <f>IFERROR(INDEX('[1]SALES PERTYPE'!$M$10:$M$52,MATCH($C17,'[1]SALES PERTYPE'!$B$10:$B$52,0)),0)</f>
        <v>10999000</v>
      </c>
      <c r="P17" s="139">
        <f>IFERROR(INDEX('[1]SALES PERTYPE'!$N$10:$N$52,MATCH($C17,'[1]SALES PERTYPE'!$B$10:$B$52,0)),0)</f>
        <v>0</v>
      </c>
      <c r="Q17" s="139">
        <f>IFERROR(INDEX('[1]SALES PERTYPE'!$O$10:$O$52,MATCH($C17,'[1]SALES PERTYPE'!$B$10:$B$52,0)),0)</f>
        <v>0</v>
      </c>
      <c r="R17" s="139">
        <f>IFERROR(INDEX('[1]SALES PERTYPE'!$P$10:$P$52,MATCH($C17,'[1]SALES PERTYPE'!$B$10:$B$52,0)),0)</f>
        <v>0</v>
      </c>
      <c r="S17" s="139">
        <f>IFERROR(INDEX('[1]SALES PERTYPE'!$Q$10:$Q$52,MATCH($C17,'[1]SALES PERTYPE'!$B$10:$B$52,0)),0)</f>
        <v>0</v>
      </c>
      <c r="T17" s="139">
        <f>IFERROR(INDEX('[1]SALES PERTYPE'!$R$10:$R$52,MATCH($C17,'[1]SALES PERTYPE'!$B$10:$B$52,0)),0)</f>
        <v>0</v>
      </c>
      <c r="U17" s="139">
        <f>IFERROR(INDEX('[1]SALES PERTYPE'!$S$10:$S$52,MATCH($C17,'[1]SALES PERTYPE'!$B$10:$B$52,0)),0)</f>
        <v>0</v>
      </c>
      <c r="V17" s="139">
        <f>IFERROR(INDEX('[1]SALES PERTYPE'!$T$10:$T$52,MATCH($C17,'[1]SALES PERTYPE'!$B$10:$B$52,0)),0)</f>
        <v>1</v>
      </c>
      <c r="W17" s="139">
        <f>IFERROR(INDEX('[1]SALES PERTYPE'!$U$10:$U$52,MATCH($C17,'[1]SALES PERTYPE'!$B$10:$B$52,0)),0)</f>
        <v>6499000</v>
      </c>
      <c r="X17" s="139">
        <f>IFERROR(INDEX('[1]SALES PERTYPE'!$V$10:$V$52,MATCH($C17,'[1]SALES PERTYPE'!$B$10:$B$52,0)),0)</f>
        <v>1</v>
      </c>
      <c r="Y17" s="139">
        <f>IFERROR(INDEX('[1]SALES PERTYPE'!$W$10:$W$52,MATCH($C17,'[1]SALES PERTYPE'!$B$10:$B$52,0)),0)</f>
        <v>3599000</v>
      </c>
      <c r="Z17" s="139">
        <f>IFERROR(INDEX('[1]SALES PERTYPE'!$X$10:$X$52,MATCH($C17,'[1]SALES PERTYPE'!$B$10:$B$52,0)),0)</f>
        <v>2</v>
      </c>
      <c r="AA17" s="139">
        <f>IFERROR(INDEX('[1]SALES PERTYPE'!$Y$10:$Y$52,MATCH($C17,'[1]SALES PERTYPE'!$B$10:$B$52,0)),0)</f>
        <v>11798000</v>
      </c>
      <c r="AB17" s="139">
        <f>IFERROR(INDEX('[1]SALES PERTYPE'!$Z$10:$Z$52,MATCH($C17,'[1]SALES PERTYPE'!$B$10:$B$52,0)),0)</f>
        <v>0</v>
      </c>
      <c r="AC17" s="139">
        <f>IFERROR(INDEX('[1]SALES PERTYPE'!$AA$10:$AA$52,MATCH($C17,'[1]SALES PERTYPE'!$B$10:$B$52,0)),0)</f>
        <v>0</v>
      </c>
      <c r="AD17" s="139">
        <f>IFERROR(INDEX('[1]SALES PERTYPE'!$AB$10:$AB$52,MATCH($C17,'[1]SALES PERTYPE'!$B$10:$B$52,0)),0)</f>
        <v>0</v>
      </c>
      <c r="AE17" s="139">
        <f>IFERROR(INDEX('[1]SALES PERTYPE'!$AC$10:$AC$52,MATCH($C17,'[1]SALES PERTYPE'!$B$10:$B$52,0)),0)</f>
        <v>0</v>
      </c>
      <c r="AF17" s="139">
        <f>IFERROR(INDEX('[1]SALES PERTYPE'!$AD$10:$AD$52,MATCH($C17,'[1]SALES PERTYPE'!$B$10:$B$52,0)),0)</f>
        <v>0</v>
      </c>
      <c r="AG17" s="139">
        <f>IFERROR(INDEX('[1]SALES PERTYPE'!$AE$10:$AE$52,MATCH($C17,'[1]SALES PERTYPE'!$B$10:$B$52,0)),0)</f>
        <v>0</v>
      </c>
      <c r="AH17" s="139">
        <f>IFERROR(INDEX('[1]SALES PERTYPE'!$AF$10:$AF$52,MATCH($C17,'[1]SALES PERTYPE'!$B$10:$B$52,0)),0)</f>
        <v>0</v>
      </c>
      <c r="AI17" s="139">
        <f>IFERROR(INDEX('[1]SALES PERTYPE'!$AG$10:$AG$52,MATCH($C17,'[1]SALES PERTYPE'!$B$10:$B$52,0)),0)</f>
        <v>0</v>
      </c>
      <c r="AJ17" s="139">
        <f>IFERROR(INDEX('[1]SALES PERTYPE'!$AH$10:$AH$52,MATCH($C17,'[1]SALES PERTYPE'!$B$10:$B$52,0)),0)</f>
        <v>0</v>
      </c>
      <c r="AK17" s="139">
        <f>IFERROR(INDEX('[1]SALES PERTYPE'!$AI$10:$AI$52,MATCH($C17,'[1]SALES PERTYPE'!$B$10:$B$52,0)),0)</f>
        <v>0</v>
      </c>
      <c r="AL17" s="139">
        <f>IFERROR(INDEX('[1]SALES PERTYPE'!$AJ$10:$AJ$52,MATCH($C17,'[1]SALES PERTYPE'!$B$10:$B$52,0)),0)</f>
        <v>1</v>
      </c>
      <c r="AM17" s="139">
        <f>IFERROR(INDEX('[1]SALES PERTYPE'!$AK$10:$AK$52,MATCH($C17,'[1]SALES PERTYPE'!$B$10:$B$52,0)),0)</f>
        <v>6899000</v>
      </c>
      <c r="AN17" s="139">
        <f>IFERROR(INDEX('[1]SALES PERTYPE'!$AL$10:$AL$52,MATCH($C17,'[1]SALES PERTYPE'!$B$10:$B$52,0)),0)</f>
        <v>11</v>
      </c>
      <c r="AO17" s="139">
        <f>IFERROR(INDEX('[1]SALES PERTYPE'!$AM$10:$AM$52,MATCH($C17,'[1]SALES PERTYPE'!$B$10:$B$52,0)),0)</f>
        <v>51289000</v>
      </c>
    </row>
    <row r="18" spans="1:41" x14ac:dyDescent="0.15">
      <c r="A18" s="140">
        <f>'[1]ACHIEVEMENT STORE'!A18</f>
        <v>14</v>
      </c>
      <c r="B18" s="141" t="str">
        <f>'[1]ACHIEVEMENT STORE'!B18</f>
        <v>604 雅加达东南 JKT TS</v>
      </c>
      <c r="C18" s="140">
        <f>'[1]ACHIEVEMENT STORE'!C18</f>
        <v>6040703</v>
      </c>
      <c r="D18" s="141" t="str">
        <f>'[1]ACHIEVEMENT STORE'!D18</f>
        <v>6040703-SAWANGAN 1F1-0320</v>
      </c>
      <c r="E18" s="141" t="str">
        <f>'[1]ACHIEVEMENT STORE'!E18</f>
        <v>Erlangga Pradita</v>
      </c>
      <c r="F18" s="142">
        <f>IFERROR(INDEX('[1]SALES PERTYPE'!$D$10:$D$52,MATCH($C18,'[1]SALES PERTYPE'!$B$10:$B$52,0)),0)</f>
        <v>3</v>
      </c>
      <c r="G18" s="142">
        <f>IFERROR(INDEX('[1]SALES PERTYPE'!$E$10:$E$52,MATCH($C18,'[1]SALES PERTYPE'!$B$10:$B$52,0)),0)</f>
        <v>7797000</v>
      </c>
      <c r="H18" s="142">
        <f>IFERROR(INDEX('[1]SALES PERTYPE'!$F$10:$F$52,MATCH($C18,'[1]SALES PERTYPE'!$B$10:$B$52,0)),0)</f>
        <v>2</v>
      </c>
      <c r="I18" s="142">
        <f>IFERROR(INDEX('[1]SALES PERTYPE'!$G$10:$G$52,MATCH($C18,'[1]SALES PERTYPE'!$B$10:$B$52,0)),0)</f>
        <v>5198000</v>
      </c>
      <c r="J18" s="142">
        <f>IFERROR(INDEX('[1]SALES PERTYPE'!$H$10:$H$52,MATCH($C18,'[1]SALES PERTYPE'!$B$10:$B$52,0)),0)</f>
        <v>1</v>
      </c>
      <c r="K18" s="142">
        <f>IFERROR(INDEX('[1]SALES PERTYPE'!$I$10:$I$52,MATCH($C18,'[1]SALES PERTYPE'!$B$10:$B$52,0)),0)</f>
        <v>1799000</v>
      </c>
      <c r="L18" s="142">
        <f>IFERROR(INDEX('[1]SALES PERTYPE'!$J$10:$J$52,MATCH($C18,'[1]SALES PERTYPE'!$B$10:$B$52,0)),0)</f>
        <v>1</v>
      </c>
      <c r="M18" s="142">
        <f>IFERROR(INDEX('[1]SALES PERTYPE'!$K$10:$K$52,MATCH($C18,'[1]SALES PERTYPE'!$B$10:$B$52,0)),0)</f>
        <v>2099000</v>
      </c>
      <c r="N18" s="142">
        <f>IFERROR(INDEX('[1]SALES PERTYPE'!$L$10:$L$52,MATCH($C18,'[1]SALES PERTYPE'!$B$10:$B$52,0)),0)</f>
        <v>0</v>
      </c>
      <c r="O18" s="142">
        <f>IFERROR(INDEX('[1]SALES PERTYPE'!$M$10:$M$52,MATCH($C18,'[1]SALES PERTYPE'!$B$10:$B$52,0)),0)</f>
        <v>0</v>
      </c>
      <c r="P18" s="142">
        <f>IFERROR(INDEX('[1]SALES PERTYPE'!$N$10:$N$52,MATCH($C18,'[1]SALES PERTYPE'!$B$10:$B$52,0)),0)</f>
        <v>1</v>
      </c>
      <c r="Q18" s="142">
        <f>IFERROR(INDEX('[1]SALES PERTYPE'!$O$10:$O$52,MATCH($C18,'[1]SALES PERTYPE'!$B$10:$B$52,0)),0)</f>
        <v>3899000</v>
      </c>
      <c r="R18" s="142">
        <f>IFERROR(INDEX('[1]SALES PERTYPE'!$P$10:$P$52,MATCH($C18,'[1]SALES PERTYPE'!$B$10:$B$52,0)),0)</f>
        <v>0</v>
      </c>
      <c r="S18" s="142">
        <f>IFERROR(INDEX('[1]SALES PERTYPE'!$Q$10:$Q$52,MATCH($C18,'[1]SALES PERTYPE'!$B$10:$B$52,0)),0)</f>
        <v>0</v>
      </c>
      <c r="T18" s="142">
        <f>IFERROR(INDEX('[1]SALES PERTYPE'!$R$10:$R$52,MATCH($C18,'[1]SALES PERTYPE'!$B$10:$B$52,0)),0)</f>
        <v>0</v>
      </c>
      <c r="U18" s="142">
        <f>IFERROR(INDEX('[1]SALES PERTYPE'!$S$10:$S$52,MATCH($C18,'[1]SALES PERTYPE'!$B$10:$B$52,0)),0)</f>
        <v>0</v>
      </c>
      <c r="V18" s="142">
        <f>IFERROR(INDEX('[1]SALES PERTYPE'!$T$10:$T$52,MATCH($C18,'[1]SALES PERTYPE'!$B$10:$B$52,0)),0)</f>
        <v>2</v>
      </c>
      <c r="W18" s="142">
        <f>IFERROR(INDEX('[1]SALES PERTYPE'!$U$10:$U$52,MATCH($C18,'[1]SALES PERTYPE'!$B$10:$B$52,0)),0)</f>
        <v>14998000</v>
      </c>
      <c r="X18" s="142">
        <f>IFERROR(INDEX('[1]SALES PERTYPE'!$V$10:$V$52,MATCH($C18,'[1]SALES PERTYPE'!$B$10:$B$52,0)),0)</f>
        <v>0</v>
      </c>
      <c r="Y18" s="142">
        <f>IFERROR(INDEX('[1]SALES PERTYPE'!$W$10:$W$52,MATCH($C18,'[1]SALES PERTYPE'!$B$10:$B$52,0)),0)</f>
        <v>0</v>
      </c>
      <c r="Z18" s="142">
        <f>IFERROR(INDEX('[1]SALES PERTYPE'!$X$10:$X$52,MATCH($C18,'[1]SALES PERTYPE'!$B$10:$B$52,0)),0)</f>
        <v>1</v>
      </c>
      <c r="AA18" s="142">
        <f>IFERROR(INDEX('[1]SALES PERTYPE'!$Y$10:$Y$52,MATCH($C18,'[1]SALES PERTYPE'!$B$10:$B$52,0)),0)</f>
        <v>6299000</v>
      </c>
      <c r="AB18" s="142">
        <f>IFERROR(INDEX('[1]SALES PERTYPE'!$Z$10:$Z$52,MATCH($C18,'[1]SALES PERTYPE'!$B$10:$B$52,0)),0)</f>
        <v>0</v>
      </c>
      <c r="AC18" s="142">
        <f>IFERROR(INDEX('[1]SALES PERTYPE'!$AA$10:$AA$52,MATCH($C18,'[1]SALES PERTYPE'!$B$10:$B$52,0)),0)</f>
        <v>0</v>
      </c>
      <c r="AD18" s="142">
        <f>IFERROR(INDEX('[1]SALES PERTYPE'!$AB$10:$AB$52,MATCH($C18,'[1]SALES PERTYPE'!$B$10:$B$52,0)),0)</f>
        <v>0</v>
      </c>
      <c r="AE18" s="142">
        <f>IFERROR(INDEX('[1]SALES PERTYPE'!$AC$10:$AC$52,MATCH($C18,'[1]SALES PERTYPE'!$B$10:$B$52,0)),0)</f>
        <v>0</v>
      </c>
      <c r="AF18" s="142">
        <f>IFERROR(INDEX('[1]SALES PERTYPE'!$AD$10:$AD$52,MATCH($C18,'[1]SALES PERTYPE'!$B$10:$B$52,0)),0)</f>
        <v>1</v>
      </c>
      <c r="AG18" s="142">
        <f>IFERROR(INDEX('[1]SALES PERTYPE'!$AE$10:$AE$52,MATCH($C18,'[1]SALES PERTYPE'!$B$10:$B$52,0)),0)</f>
        <v>25999000</v>
      </c>
      <c r="AH18" s="142">
        <f>IFERROR(INDEX('[1]SALES PERTYPE'!$AF$10:$AF$52,MATCH($C18,'[1]SALES PERTYPE'!$B$10:$B$52,0)),0)</f>
        <v>0</v>
      </c>
      <c r="AI18" s="142">
        <f>IFERROR(INDEX('[1]SALES PERTYPE'!$AG$10:$AG$52,MATCH($C18,'[1]SALES PERTYPE'!$B$10:$B$52,0)),0)</f>
        <v>0</v>
      </c>
      <c r="AJ18" s="142">
        <f>IFERROR(INDEX('[1]SALES PERTYPE'!$AH$10:$AH$52,MATCH($C18,'[1]SALES PERTYPE'!$B$10:$B$52,0)),0)</f>
        <v>2</v>
      </c>
      <c r="AK18" s="142">
        <f>IFERROR(INDEX('[1]SALES PERTYPE'!$AI$10:$AI$52,MATCH($C18,'[1]SALES PERTYPE'!$B$10:$B$52,0)),0)</f>
        <v>11298000</v>
      </c>
      <c r="AL18" s="142">
        <f>IFERROR(INDEX('[1]SALES PERTYPE'!$AJ$10:$AJ$52,MATCH($C18,'[1]SALES PERTYPE'!$B$10:$B$52,0)),0)</f>
        <v>0</v>
      </c>
      <c r="AM18" s="142">
        <f>IFERROR(INDEX('[1]SALES PERTYPE'!$AK$10:$AK$52,MATCH($C18,'[1]SALES PERTYPE'!$B$10:$B$52,0)),0)</f>
        <v>0</v>
      </c>
      <c r="AN18" s="142">
        <f>IFERROR(INDEX('[1]SALES PERTYPE'!$AL$10:$AL$52,MATCH($C18,'[1]SALES PERTYPE'!$B$10:$B$52,0)),0)</f>
        <v>14</v>
      </c>
      <c r="AO18" s="142">
        <f>IFERROR(INDEX('[1]SALES PERTYPE'!$AM$10:$AM$52,MATCH($C18,'[1]SALES PERTYPE'!$B$10:$B$52,0)),0)</f>
        <v>79386000</v>
      </c>
    </row>
    <row r="19" spans="1:41" x14ac:dyDescent="0.15">
      <c r="A19" s="137">
        <f>'[1]ACHIEVEMENT STORE'!A19</f>
        <v>15</v>
      </c>
      <c r="B19" s="138" t="str">
        <f>'[1]ACHIEVEMENT STORE'!B19</f>
        <v>605 勿加泗 BEKASI</v>
      </c>
      <c r="C19" s="137">
        <f>'[1]ACHIEVEMENT STORE'!C19</f>
        <v>6050701</v>
      </c>
      <c r="D19" s="138" t="str">
        <f>'[1]ACHIEVEMENT STORE'!D19</f>
        <v>6050701-MVS X6 DS0824</v>
      </c>
      <c r="E19" s="138" t="str">
        <f>'[1]ACHIEVEMENT STORE'!E19</f>
        <v>M RIZKI</v>
      </c>
      <c r="F19" s="139">
        <f>IFERROR(INDEX('[1]SALES PERTYPE'!$D$10:$D$52,MATCH($C19,'[1]SALES PERTYPE'!$B$10:$B$52,0)),0)</f>
        <v>1</v>
      </c>
      <c r="G19" s="139">
        <f>IFERROR(INDEX('[1]SALES PERTYPE'!$E$10:$E$52,MATCH($C19,'[1]SALES PERTYPE'!$B$10:$B$52,0)),0)</f>
        <v>2299000</v>
      </c>
      <c r="H19" s="139">
        <f>IFERROR(INDEX('[1]SALES PERTYPE'!$F$10:$F$52,MATCH($C19,'[1]SALES PERTYPE'!$B$10:$B$52,0)),0)</f>
        <v>4</v>
      </c>
      <c r="I19" s="139">
        <f>IFERROR(INDEX('[1]SALES PERTYPE'!$G$10:$G$52,MATCH($C19,'[1]SALES PERTYPE'!$B$10:$B$52,0)),0)</f>
        <v>11196000</v>
      </c>
      <c r="J19" s="139">
        <f>IFERROR(INDEX('[1]SALES PERTYPE'!$H$10:$H$52,MATCH($C19,'[1]SALES PERTYPE'!$B$10:$B$52,0)),0)</f>
        <v>0</v>
      </c>
      <c r="K19" s="139">
        <f>IFERROR(INDEX('[1]SALES PERTYPE'!$I$10:$I$52,MATCH($C19,'[1]SALES PERTYPE'!$B$10:$B$52,0)),0)</f>
        <v>0</v>
      </c>
      <c r="L19" s="139">
        <f>IFERROR(INDEX('[1]SALES PERTYPE'!$J$10:$J$52,MATCH($C19,'[1]SALES PERTYPE'!$B$10:$B$52,0)),0)</f>
        <v>1</v>
      </c>
      <c r="M19" s="139">
        <f>IFERROR(INDEX('[1]SALES PERTYPE'!$K$10:$K$52,MATCH($C19,'[1]SALES PERTYPE'!$B$10:$B$52,0)),0)</f>
        <v>2099000</v>
      </c>
      <c r="N19" s="139">
        <f>IFERROR(INDEX('[1]SALES PERTYPE'!$L$10:$L$52,MATCH($C19,'[1]SALES PERTYPE'!$B$10:$B$52,0)),0)</f>
        <v>2</v>
      </c>
      <c r="O19" s="139">
        <f>IFERROR(INDEX('[1]SALES PERTYPE'!$M$10:$M$52,MATCH($C19,'[1]SALES PERTYPE'!$B$10:$B$52,0)),0)</f>
        <v>19998000</v>
      </c>
      <c r="P19" s="139">
        <f>IFERROR(INDEX('[1]SALES PERTYPE'!$N$10:$N$52,MATCH($C19,'[1]SALES PERTYPE'!$B$10:$B$52,0)),0)</f>
        <v>1</v>
      </c>
      <c r="Q19" s="139">
        <f>IFERROR(INDEX('[1]SALES PERTYPE'!$O$10:$O$52,MATCH($C19,'[1]SALES PERTYPE'!$B$10:$B$52,0)),0)</f>
        <v>4299000</v>
      </c>
      <c r="R19" s="139">
        <f>IFERROR(INDEX('[1]SALES PERTYPE'!$P$10:$P$52,MATCH($C19,'[1]SALES PERTYPE'!$B$10:$B$52,0)),0)</f>
        <v>0</v>
      </c>
      <c r="S19" s="139">
        <f>IFERROR(INDEX('[1]SALES PERTYPE'!$Q$10:$Q$52,MATCH($C19,'[1]SALES PERTYPE'!$B$10:$B$52,0)),0)</f>
        <v>0</v>
      </c>
      <c r="T19" s="139">
        <f>IFERROR(INDEX('[1]SALES PERTYPE'!$R$10:$R$52,MATCH($C19,'[1]SALES PERTYPE'!$B$10:$B$52,0)),0)</f>
        <v>0</v>
      </c>
      <c r="U19" s="139">
        <f>IFERROR(INDEX('[1]SALES PERTYPE'!$S$10:$S$52,MATCH($C19,'[1]SALES PERTYPE'!$B$10:$B$52,0)),0)</f>
        <v>0</v>
      </c>
      <c r="V19" s="139">
        <f>IFERROR(INDEX('[1]SALES PERTYPE'!$T$10:$T$52,MATCH($C19,'[1]SALES PERTYPE'!$B$10:$B$52,0)),0)</f>
        <v>1</v>
      </c>
      <c r="W19" s="139">
        <f>IFERROR(INDEX('[1]SALES PERTYPE'!$U$10:$U$52,MATCH($C19,'[1]SALES PERTYPE'!$B$10:$B$52,0)),0)</f>
        <v>6499000</v>
      </c>
      <c r="X19" s="139">
        <f>IFERROR(INDEX('[1]SALES PERTYPE'!$V$10:$V$52,MATCH($C19,'[1]SALES PERTYPE'!$B$10:$B$52,0)),0)</f>
        <v>0</v>
      </c>
      <c r="Y19" s="139">
        <f>IFERROR(INDEX('[1]SALES PERTYPE'!$W$10:$W$52,MATCH($C19,'[1]SALES PERTYPE'!$B$10:$B$52,0)),0)</f>
        <v>0</v>
      </c>
      <c r="Z19" s="139">
        <f>IFERROR(INDEX('[1]SALES PERTYPE'!$X$10:$X$52,MATCH($C19,'[1]SALES PERTYPE'!$B$10:$B$52,0)),0)</f>
        <v>0</v>
      </c>
      <c r="AA19" s="139">
        <f>IFERROR(INDEX('[1]SALES PERTYPE'!$Y$10:$Y$52,MATCH($C19,'[1]SALES PERTYPE'!$B$10:$B$52,0)),0)</f>
        <v>0</v>
      </c>
      <c r="AB19" s="139">
        <f>IFERROR(INDEX('[1]SALES PERTYPE'!$Z$10:$Z$52,MATCH($C19,'[1]SALES PERTYPE'!$B$10:$B$52,0)),0)</f>
        <v>0</v>
      </c>
      <c r="AC19" s="139">
        <f>IFERROR(INDEX('[1]SALES PERTYPE'!$AA$10:$AA$52,MATCH($C19,'[1]SALES PERTYPE'!$B$10:$B$52,0)),0)</f>
        <v>0</v>
      </c>
      <c r="AD19" s="139">
        <f>IFERROR(INDEX('[1]SALES PERTYPE'!$AB$10:$AB$52,MATCH($C19,'[1]SALES PERTYPE'!$B$10:$B$52,0)),0)</f>
        <v>1</v>
      </c>
      <c r="AE19" s="139">
        <f>IFERROR(INDEX('[1]SALES PERTYPE'!$AC$10:$AC$52,MATCH($C19,'[1]SALES PERTYPE'!$B$10:$B$52,0)),0)</f>
        <v>5299000</v>
      </c>
      <c r="AF19" s="139">
        <f>IFERROR(INDEX('[1]SALES PERTYPE'!$AD$10:$AD$52,MATCH($C19,'[1]SALES PERTYPE'!$B$10:$B$52,0)),0)</f>
        <v>0</v>
      </c>
      <c r="AG19" s="139">
        <f>IFERROR(INDEX('[1]SALES PERTYPE'!$AE$10:$AE$52,MATCH($C19,'[1]SALES PERTYPE'!$B$10:$B$52,0)),0)</f>
        <v>0</v>
      </c>
      <c r="AH19" s="139">
        <f>IFERROR(INDEX('[1]SALES PERTYPE'!$AF$10:$AF$52,MATCH($C19,'[1]SALES PERTYPE'!$B$10:$B$52,0)),0)</f>
        <v>0</v>
      </c>
      <c r="AI19" s="139">
        <f>IFERROR(INDEX('[1]SALES PERTYPE'!$AG$10:$AG$52,MATCH($C19,'[1]SALES PERTYPE'!$B$10:$B$52,0)),0)</f>
        <v>0</v>
      </c>
      <c r="AJ19" s="139">
        <f>IFERROR(INDEX('[1]SALES PERTYPE'!$AH$10:$AH$52,MATCH($C19,'[1]SALES PERTYPE'!$B$10:$B$52,0)),0)</f>
        <v>0</v>
      </c>
      <c r="AK19" s="139">
        <f>IFERROR(INDEX('[1]SALES PERTYPE'!$AI$10:$AI$52,MATCH($C19,'[1]SALES PERTYPE'!$B$10:$B$52,0)),0)</f>
        <v>0</v>
      </c>
      <c r="AL19" s="139">
        <f>IFERROR(INDEX('[1]SALES PERTYPE'!$AJ$10:$AJ$52,MATCH($C19,'[1]SALES PERTYPE'!$B$10:$B$52,0)),0)</f>
        <v>2</v>
      </c>
      <c r="AM19" s="139">
        <f>IFERROR(INDEX('[1]SALES PERTYPE'!$AK$10:$AK$52,MATCH($C19,'[1]SALES PERTYPE'!$B$10:$B$52,0)),0)</f>
        <v>13798000</v>
      </c>
      <c r="AN19" s="139">
        <f>IFERROR(INDEX('[1]SALES PERTYPE'!$AL$10:$AL$52,MATCH($C19,'[1]SALES PERTYPE'!$B$10:$B$52,0)),0)</f>
        <v>13</v>
      </c>
      <c r="AO19" s="139">
        <f>IFERROR(INDEX('[1]SALES PERTYPE'!$AM$10:$AM$52,MATCH($C19,'[1]SALES PERTYPE'!$B$10:$B$52,0)),0)</f>
        <v>65487000</v>
      </c>
    </row>
    <row r="20" spans="1:41" x14ac:dyDescent="0.15">
      <c r="A20" s="140">
        <f>'[1]ACHIEVEMENT STORE'!A20</f>
        <v>16</v>
      </c>
      <c r="B20" s="141" t="str">
        <f>'[1]ACHIEVEMENT STORE'!B20</f>
        <v>605 勿加泗 BEKASI</v>
      </c>
      <c r="C20" s="140">
        <f>'[1]ACHIEVEMENT STORE'!C20</f>
        <v>6220701</v>
      </c>
      <c r="D20" s="141" t="str">
        <f>'[1]ACHIEVEMENT STORE'!D20</f>
        <v>6220701-MVS MBH-VIP VIVO STORE-DD284</v>
      </c>
      <c r="E20" s="141" t="str">
        <f>'[1]ACHIEVEMENT STORE'!E20</f>
        <v>M RIZKI</v>
      </c>
      <c r="F20" s="142">
        <f>IFERROR(INDEX('[1]SALES PERTYPE'!$D$10:$D$52,MATCH($C20,'[1]SALES PERTYPE'!$B$10:$B$52,0)),0)</f>
        <v>4</v>
      </c>
      <c r="G20" s="142">
        <f>IFERROR(INDEX('[1]SALES PERTYPE'!$E$10:$E$52,MATCH($C20,'[1]SALES PERTYPE'!$B$10:$B$52,0)),0)</f>
        <v>9496000</v>
      </c>
      <c r="H20" s="142">
        <f>IFERROR(INDEX('[1]SALES PERTYPE'!$F$10:$F$52,MATCH($C20,'[1]SALES PERTYPE'!$B$10:$B$52,0)),0)</f>
        <v>5</v>
      </c>
      <c r="I20" s="142">
        <f>IFERROR(INDEX('[1]SALES PERTYPE'!$G$10:$G$52,MATCH($C20,'[1]SALES PERTYPE'!$B$10:$B$52,0)),0)</f>
        <v>13995000</v>
      </c>
      <c r="J20" s="142">
        <f>IFERROR(INDEX('[1]SALES PERTYPE'!$H$10:$H$52,MATCH($C20,'[1]SALES PERTYPE'!$B$10:$B$52,0)),0)</f>
        <v>0</v>
      </c>
      <c r="K20" s="142">
        <f>IFERROR(INDEX('[1]SALES PERTYPE'!$I$10:$I$52,MATCH($C20,'[1]SALES PERTYPE'!$B$10:$B$52,0)),0)</f>
        <v>0</v>
      </c>
      <c r="L20" s="142">
        <f>IFERROR(INDEX('[1]SALES PERTYPE'!$J$10:$J$52,MATCH($C20,'[1]SALES PERTYPE'!$B$10:$B$52,0)),0)</f>
        <v>1</v>
      </c>
      <c r="M20" s="142">
        <f>IFERROR(INDEX('[1]SALES PERTYPE'!$K$10:$K$52,MATCH($C20,'[1]SALES PERTYPE'!$B$10:$B$52,0)),0)</f>
        <v>2099000</v>
      </c>
      <c r="N20" s="142">
        <f>IFERROR(INDEX('[1]SALES PERTYPE'!$L$10:$L$52,MATCH($C20,'[1]SALES PERTYPE'!$B$10:$B$52,0)),0)</f>
        <v>0</v>
      </c>
      <c r="O20" s="142">
        <f>IFERROR(INDEX('[1]SALES PERTYPE'!$M$10:$M$52,MATCH($C20,'[1]SALES PERTYPE'!$B$10:$B$52,0)),0)</f>
        <v>0</v>
      </c>
      <c r="P20" s="142">
        <f>IFERROR(INDEX('[1]SALES PERTYPE'!$N$10:$N$52,MATCH($C20,'[1]SALES PERTYPE'!$B$10:$B$52,0)),0)</f>
        <v>3</v>
      </c>
      <c r="Q20" s="142">
        <f>IFERROR(INDEX('[1]SALES PERTYPE'!$O$10:$O$52,MATCH($C20,'[1]SALES PERTYPE'!$B$10:$B$52,0)),0)</f>
        <v>12497000</v>
      </c>
      <c r="R20" s="142">
        <f>IFERROR(INDEX('[1]SALES PERTYPE'!$P$10:$P$52,MATCH($C20,'[1]SALES PERTYPE'!$B$10:$B$52,0)),0)</f>
        <v>0</v>
      </c>
      <c r="S20" s="142">
        <f>IFERROR(INDEX('[1]SALES PERTYPE'!$Q$10:$Q$52,MATCH($C20,'[1]SALES PERTYPE'!$B$10:$B$52,0)),0)</f>
        <v>0</v>
      </c>
      <c r="T20" s="142">
        <f>IFERROR(INDEX('[1]SALES PERTYPE'!$R$10:$R$52,MATCH($C20,'[1]SALES PERTYPE'!$B$10:$B$52,0)),0)</f>
        <v>0</v>
      </c>
      <c r="U20" s="142">
        <f>IFERROR(INDEX('[1]SALES PERTYPE'!$S$10:$S$52,MATCH($C20,'[1]SALES PERTYPE'!$B$10:$B$52,0)),0)</f>
        <v>0</v>
      </c>
      <c r="V20" s="142">
        <f>IFERROR(INDEX('[1]SALES PERTYPE'!$T$10:$T$52,MATCH($C20,'[1]SALES PERTYPE'!$B$10:$B$52,0)),0)</f>
        <v>0</v>
      </c>
      <c r="W20" s="142">
        <f>IFERROR(INDEX('[1]SALES PERTYPE'!$U$10:$U$52,MATCH($C20,'[1]SALES PERTYPE'!$B$10:$B$52,0)),0)</f>
        <v>0</v>
      </c>
      <c r="X20" s="142">
        <f>IFERROR(INDEX('[1]SALES PERTYPE'!$V$10:$V$52,MATCH($C20,'[1]SALES PERTYPE'!$B$10:$B$52,0)),0)</f>
        <v>0</v>
      </c>
      <c r="Y20" s="142">
        <f>IFERROR(INDEX('[1]SALES PERTYPE'!$W$10:$W$52,MATCH($C20,'[1]SALES PERTYPE'!$B$10:$B$52,0)),0)</f>
        <v>0</v>
      </c>
      <c r="Z20" s="142">
        <f>IFERROR(INDEX('[1]SALES PERTYPE'!$X$10:$X$52,MATCH($C20,'[1]SALES PERTYPE'!$B$10:$B$52,0)),0)</f>
        <v>1</v>
      </c>
      <c r="AA20" s="142">
        <f>IFERROR(INDEX('[1]SALES PERTYPE'!$Y$10:$Y$52,MATCH($C20,'[1]SALES PERTYPE'!$B$10:$B$52,0)),0)</f>
        <v>6299000</v>
      </c>
      <c r="AB20" s="142">
        <f>IFERROR(INDEX('[1]SALES PERTYPE'!$Z$10:$Z$52,MATCH($C20,'[1]SALES PERTYPE'!$B$10:$B$52,0)),0)</f>
        <v>0</v>
      </c>
      <c r="AC20" s="142">
        <f>IFERROR(INDEX('[1]SALES PERTYPE'!$AA$10:$AA$52,MATCH($C20,'[1]SALES PERTYPE'!$B$10:$B$52,0)),0)</f>
        <v>0</v>
      </c>
      <c r="AD20" s="142">
        <f>IFERROR(INDEX('[1]SALES PERTYPE'!$AB$10:$AB$52,MATCH($C20,'[1]SALES PERTYPE'!$B$10:$B$52,0)),0)</f>
        <v>1</v>
      </c>
      <c r="AE20" s="142">
        <f>IFERROR(INDEX('[1]SALES PERTYPE'!$AC$10:$AC$52,MATCH($C20,'[1]SALES PERTYPE'!$B$10:$B$52,0)),0)</f>
        <v>5999000</v>
      </c>
      <c r="AF20" s="142">
        <f>IFERROR(INDEX('[1]SALES PERTYPE'!$AD$10:$AD$52,MATCH($C20,'[1]SALES PERTYPE'!$B$10:$B$52,0)),0)</f>
        <v>0</v>
      </c>
      <c r="AG20" s="142">
        <f>IFERROR(INDEX('[1]SALES PERTYPE'!$AE$10:$AE$52,MATCH($C20,'[1]SALES PERTYPE'!$B$10:$B$52,0)),0)</f>
        <v>0</v>
      </c>
      <c r="AH20" s="142">
        <f>IFERROR(INDEX('[1]SALES PERTYPE'!$AF$10:$AF$52,MATCH($C20,'[1]SALES PERTYPE'!$B$10:$B$52,0)),0)</f>
        <v>0</v>
      </c>
      <c r="AI20" s="142">
        <f>IFERROR(INDEX('[1]SALES PERTYPE'!$AG$10:$AG$52,MATCH($C20,'[1]SALES PERTYPE'!$B$10:$B$52,0)),0)</f>
        <v>0</v>
      </c>
      <c r="AJ20" s="142">
        <f>IFERROR(INDEX('[1]SALES PERTYPE'!$AH$10:$AH$52,MATCH($C20,'[1]SALES PERTYPE'!$B$10:$B$52,0)),0)</f>
        <v>1</v>
      </c>
      <c r="AK20" s="142">
        <f>IFERROR(INDEX('[1]SALES PERTYPE'!$AI$10:$AI$52,MATCH($C20,'[1]SALES PERTYPE'!$B$10:$B$52,0)),0)</f>
        <v>5699000</v>
      </c>
      <c r="AL20" s="142">
        <f>IFERROR(INDEX('[1]SALES PERTYPE'!$AJ$10:$AJ$52,MATCH($C20,'[1]SALES PERTYPE'!$B$10:$B$52,0)),0)</f>
        <v>0</v>
      </c>
      <c r="AM20" s="142">
        <f>IFERROR(INDEX('[1]SALES PERTYPE'!$AK$10:$AK$52,MATCH($C20,'[1]SALES PERTYPE'!$B$10:$B$52,0)),0)</f>
        <v>0</v>
      </c>
      <c r="AN20" s="142">
        <f>IFERROR(INDEX('[1]SALES PERTYPE'!$AL$10:$AL$52,MATCH($C20,'[1]SALES PERTYPE'!$B$10:$B$52,0)),0)</f>
        <v>16</v>
      </c>
      <c r="AO20" s="142">
        <f>IFERROR(INDEX('[1]SALES PERTYPE'!$AM$10:$AM$52,MATCH($C20,'[1]SALES PERTYPE'!$B$10:$B$52,0)),0)</f>
        <v>56084000</v>
      </c>
    </row>
    <row r="21" spans="1:41" x14ac:dyDescent="0.15">
      <c r="A21" s="137">
        <f>'[1]ACHIEVEMENT STORE'!A21</f>
        <v>17</v>
      </c>
      <c r="B21" s="138" t="str">
        <f>'[1]ACHIEVEMENT STORE'!B21</f>
        <v>605 勿加泗 BEKASI</v>
      </c>
      <c r="C21" s="137">
        <f>'[1]ACHIEVEMENT STORE'!C21</f>
        <v>6050705</v>
      </c>
      <c r="D21" s="138" t="str">
        <f>'[1]ACHIEVEMENT STORE'!D21</f>
        <v>6050705-MBH 2F009</v>
      </c>
      <c r="E21" s="138" t="str">
        <f>'[1]ACHIEVEMENT STORE'!E21</f>
        <v>M RIZKI</v>
      </c>
      <c r="F21" s="139">
        <f>IFERROR(INDEX('[1]SALES PERTYPE'!$D$10:$D$52,MATCH($C21,'[1]SALES PERTYPE'!$B$10:$B$52,0)),0)</f>
        <v>0</v>
      </c>
      <c r="G21" s="139">
        <f>IFERROR(INDEX('[1]SALES PERTYPE'!$E$10:$E$52,MATCH($C21,'[1]SALES PERTYPE'!$B$10:$B$52,0)),0)</f>
        <v>0</v>
      </c>
      <c r="H21" s="139">
        <f>IFERROR(INDEX('[1]SALES PERTYPE'!$F$10:$F$52,MATCH($C21,'[1]SALES PERTYPE'!$B$10:$B$52,0)),0)</f>
        <v>3</v>
      </c>
      <c r="I21" s="139">
        <f>IFERROR(INDEX('[1]SALES PERTYPE'!$G$10:$G$52,MATCH($C21,'[1]SALES PERTYPE'!$B$10:$B$52,0)),0)</f>
        <v>7597000</v>
      </c>
      <c r="J21" s="139">
        <f>IFERROR(INDEX('[1]SALES PERTYPE'!$H$10:$H$52,MATCH($C21,'[1]SALES PERTYPE'!$B$10:$B$52,0)),0)</f>
        <v>0</v>
      </c>
      <c r="K21" s="139">
        <f>IFERROR(INDEX('[1]SALES PERTYPE'!$I$10:$I$52,MATCH($C21,'[1]SALES PERTYPE'!$B$10:$B$52,0)),0)</f>
        <v>0</v>
      </c>
      <c r="L21" s="139">
        <f>IFERROR(INDEX('[1]SALES PERTYPE'!$J$10:$J$52,MATCH($C21,'[1]SALES PERTYPE'!$B$10:$B$52,0)),0)</f>
        <v>1</v>
      </c>
      <c r="M21" s="139">
        <f>IFERROR(INDEX('[1]SALES PERTYPE'!$K$10:$K$52,MATCH($C21,'[1]SALES PERTYPE'!$B$10:$B$52,0)),0)</f>
        <v>2099000</v>
      </c>
      <c r="N21" s="139">
        <f>IFERROR(INDEX('[1]SALES PERTYPE'!$L$10:$L$52,MATCH($C21,'[1]SALES PERTYPE'!$B$10:$B$52,0)),0)</f>
        <v>0</v>
      </c>
      <c r="O21" s="139">
        <f>IFERROR(INDEX('[1]SALES PERTYPE'!$M$10:$M$52,MATCH($C21,'[1]SALES PERTYPE'!$B$10:$B$52,0)),0)</f>
        <v>0</v>
      </c>
      <c r="P21" s="139">
        <f>IFERROR(INDEX('[1]SALES PERTYPE'!$N$10:$N$52,MATCH($C21,'[1]SALES PERTYPE'!$B$10:$B$52,0)),0)</f>
        <v>4</v>
      </c>
      <c r="Q21" s="139">
        <f>IFERROR(INDEX('[1]SALES PERTYPE'!$O$10:$O$52,MATCH($C21,'[1]SALES PERTYPE'!$B$10:$B$52,0)),0)</f>
        <v>18596000</v>
      </c>
      <c r="R21" s="139">
        <f>IFERROR(INDEX('[1]SALES PERTYPE'!$P$10:$P$52,MATCH($C21,'[1]SALES PERTYPE'!$B$10:$B$52,0)),0)</f>
        <v>1</v>
      </c>
      <c r="S21" s="139">
        <f>IFERROR(INDEX('[1]SALES PERTYPE'!$Q$10:$Q$52,MATCH($C21,'[1]SALES PERTYPE'!$B$10:$B$52,0)),0)</f>
        <v>3599000</v>
      </c>
      <c r="T21" s="139">
        <f>IFERROR(INDEX('[1]SALES PERTYPE'!$R$10:$R$52,MATCH($C21,'[1]SALES PERTYPE'!$B$10:$B$52,0)),0)</f>
        <v>0</v>
      </c>
      <c r="U21" s="139">
        <f>IFERROR(INDEX('[1]SALES PERTYPE'!$S$10:$S$52,MATCH($C21,'[1]SALES PERTYPE'!$B$10:$B$52,0)),0)</f>
        <v>0</v>
      </c>
      <c r="V21" s="139">
        <f>IFERROR(INDEX('[1]SALES PERTYPE'!$T$10:$T$52,MATCH($C21,'[1]SALES PERTYPE'!$B$10:$B$52,0)),0)</f>
        <v>0</v>
      </c>
      <c r="W21" s="139">
        <f>IFERROR(INDEX('[1]SALES PERTYPE'!$U$10:$U$52,MATCH($C21,'[1]SALES PERTYPE'!$B$10:$B$52,0)),0)</f>
        <v>0</v>
      </c>
      <c r="X21" s="139">
        <f>IFERROR(INDEX('[1]SALES PERTYPE'!$V$10:$V$52,MATCH($C21,'[1]SALES PERTYPE'!$B$10:$B$52,0)),0)</f>
        <v>0</v>
      </c>
      <c r="Y21" s="139">
        <f>IFERROR(INDEX('[1]SALES PERTYPE'!$W$10:$W$52,MATCH($C21,'[1]SALES PERTYPE'!$B$10:$B$52,0)),0)</f>
        <v>0</v>
      </c>
      <c r="Z21" s="139">
        <f>IFERROR(INDEX('[1]SALES PERTYPE'!$X$10:$X$52,MATCH($C21,'[1]SALES PERTYPE'!$B$10:$B$52,0)),0)</f>
        <v>0</v>
      </c>
      <c r="AA21" s="139">
        <f>IFERROR(INDEX('[1]SALES PERTYPE'!$Y$10:$Y$52,MATCH($C21,'[1]SALES PERTYPE'!$B$10:$B$52,0)),0)</f>
        <v>0</v>
      </c>
      <c r="AB21" s="139">
        <f>IFERROR(INDEX('[1]SALES PERTYPE'!$Z$10:$Z$52,MATCH($C21,'[1]SALES PERTYPE'!$B$10:$B$52,0)),0)</f>
        <v>1</v>
      </c>
      <c r="AC21" s="139">
        <f>IFERROR(INDEX('[1]SALES PERTYPE'!$AA$10:$AA$52,MATCH($C21,'[1]SALES PERTYPE'!$B$10:$B$52,0)),0)</f>
        <v>11999000</v>
      </c>
      <c r="AD21" s="139">
        <f>IFERROR(INDEX('[1]SALES PERTYPE'!$AB$10:$AB$52,MATCH($C21,'[1]SALES PERTYPE'!$B$10:$B$52,0)),0)</f>
        <v>0</v>
      </c>
      <c r="AE21" s="139">
        <f>IFERROR(INDEX('[1]SALES PERTYPE'!$AC$10:$AC$52,MATCH($C21,'[1]SALES PERTYPE'!$B$10:$B$52,0)),0)</f>
        <v>0</v>
      </c>
      <c r="AF21" s="139">
        <f>IFERROR(INDEX('[1]SALES PERTYPE'!$AD$10:$AD$52,MATCH($C21,'[1]SALES PERTYPE'!$B$10:$B$52,0)),0)</f>
        <v>0</v>
      </c>
      <c r="AG21" s="139">
        <f>IFERROR(INDEX('[1]SALES PERTYPE'!$AE$10:$AE$52,MATCH($C21,'[1]SALES PERTYPE'!$B$10:$B$52,0)),0)</f>
        <v>0</v>
      </c>
      <c r="AH21" s="139">
        <f>IFERROR(INDEX('[1]SALES PERTYPE'!$AF$10:$AF$52,MATCH($C21,'[1]SALES PERTYPE'!$B$10:$B$52,0)),0)</f>
        <v>0</v>
      </c>
      <c r="AI21" s="139">
        <f>IFERROR(INDEX('[1]SALES PERTYPE'!$AG$10:$AG$52,MATCH($C21,'[1]SALES PERTYPE'!$B$10:$B$52,0)),0)</f>
        <v>0</v>
      </c>
      <c r="AJ21" s="139">
        <f>IFERROR(INDEX('[1]SALES PERTYPE'!$AH$10:$AH$52,MATCH($C21,'[1]SALES PERTYPE'!$B$10:$B$52,0)),0)</f>
        <v>0</v>
      </c>
      <c r="AK21" s="139">
        <f>IFERROR(INDEX('[1]SALES PERTYPE'!$AI$10:$AI$52,MATCH($C21,'[1]SALES PERTYPE'!$B$10:$B$52,0)),0)</f>
        <v>0</v>
      </c>
      <c r="AL21" s="139">
        <f>IFERROR(INDEX('[1]SALES PERTYPE'!$AJ$10:$AJ$52,MATCH($C21,'[1]SALES PERTYPE'!$B$10:$B$52,0)),0)</f>
        <v>1</v>
      </c>
      <c r="AM21" s="139">
        <f>IFERROR(INDEX('[1]SALES PERTYPE'!$AK$10:$AK$52,MATCH($C21,'[1]SALES PERTYPE'!$B$10:$B$52,0)),0)</f>
        <v>7999000</v>
      </c>
      <c r="AN21" s="139">
        <f>IFERROR(INDEX('[1]SALES PERTYPE'!$AL$10:$AL$52,MATCH($C21,'[1]SALES PERTYPE'!$B$10:$B$52,0)),0)</f>
        <v>11</v>
      </c>
      <c r="AO21" s="139">
        <f>IFERROR(INDEX('[1]SALES PERTYPE'!$AM$10:$AM$52,MATCH($C21,'[1]SALES PERTYPE'!$B$10:$B$52,0)),0)</f>
        <v>51889000</v>
      </c>
    </row>
    <row r="22" spans="1:41" x14ac:dyDescent="0.15">
      <c r="A22" s="140">
        <f>'[1]ACHIEVEMENT STORE'!A22</f>
        <v>18</v>
      </c>
      <c r="B22" s="141" t="str">
        <f>'[1]ACHIEVEMENT STORE'!B22</f>
        <v>605 勿加泗 BEKASI</v>
      </c>
      <c r="C22" s="140">
        <f>'[1]ACHIEVEMENT STORE'!C22</f>
        <v>6050706</v>
      </c>
      <c r="D22" s="141" t="str">
        <f>'[1]ACHIEVEMENT STORE'!D22</f>
        <v>6050706-AEON MALL DELTAMAS 1F081</v>
      </c>
      <c r="E22" s="141" t="str">
        <f>'[1]ACHIEVEMENT STORE'!E22</f>
        <v>M RIZKI</v>
      </c>
      <c r="F22" s="142">
        <f>IFERROR(INDEX('[1]SALES PERTYPE'!$D$10:$D$52,MATCH($C22,'[1]SALES PERTYPE'!$B$10:$B$52,0)),0)</f>
        <v>6</v>
      </c>
      <c r="G22" s="142">
        <f>IFERROR(INDEX('[1]SALES PERTYPE'!$E$10:$E$52,MATCH($C22,'[1]SALES PERTYPE'!$B$10:$B$52,0)),0)</f>
        <v>15294000</v>
      </c>
      <c r="H22" s="142">
        <f>IFERROR(INDEX('[1]SALES PERTYPE'!$F$10:$F$52,MATCH($C22,'[1]SALES PERTYPE'!$B$10:$B$52,0)),0)</f>
        <v>7</v>
      </c>
      <c r="I22" s="142">
        <f>IFERROR(INDEX('[1]SALES PERTYPE'!$G$10:$G$52,MATCH($C22,'[1]SALES PERTYPE'!$B$10:$B$52,0)),0)</f>
        <v>18793000</v>
      </c>
      <c r="J22" s="142">
        <f>IFERROR(INDEX('[1]SALES PERTYPE'!$H$10:$H$52,MATCH($C22,'[1]SALES PERTYPE'!$B$10:$B$52,0)),0)</f>
        <v>0</v>
      </c>
      <c r="K22" s="142">
        <f>IFERROR(INDEX('[1]SALES PERTYPE'!$I$10:$I$52,MATCH($C22,'[1]SALES PERTYPE'!$B$10:$B$52,0)),0)</f>
        <v>0</v>
      </c>
      <c r="L22" s="142">
        <f>IFERROR(INDEX('[1]SALES PERTYPE'!$J$10:$J$52,MATCH($C22,'[1]SALES PERTYPE'!$B$10:$B$52,0)),0)</f>
        <v>0</v>
      </c>
      <c r="M22" s="142">
        <f>IFERROR(INDEX('[1]SALES PERTYPE'!$K$10:$K$52,MATCH($C22,'[1]SALES PERTYPE'!$B$10:$B$52,0)),0)</f>
        <v>0</v>
      </c>
      <c r="N22" s="142">
        <f>IFERROR(INDEX('[1]SALES PERTYPE'!$L$10:$L$52,MATCH($C22,'[1]SALES PERTYPE'!$B$10:$B$52,0)),0)</f>
        <v>0</v>
      </c>
      <c r="O22" s="142">
        <f>IFERROR(INDEX('[1]SALES PERTYPE'!$M$10:$M$52,MATCH($C22,'[1]SALES PERTYPE'!$B$10:$B$52,0)),0)</f>
        <v>0</v>
      </c>
      <c r="P22" s="142">
        <f>IFERROR(INDEX('[1]SALES PERTYPE'!$N$10:$N$52,MATCH($C22,'[1]SALES PERTYPE'!$B$10:$B$52,0)),0)</f>
        <v>1</v>
      </c>
      <c r="Q22" s="142">
        <f>IFERROR(INDEX('[1]SALES PERTYPE'!$O$10:$O$52,MATCH($C22,'[1]SALES PERTYPE'!$B$10:$B$52,0)),0)</f>
        <v>4299000</v>
      </c>
      <c r="R22" s="142">
        <f>IFERROR(INDEX('[1]SALES PERTYPE'!$P$10:$P$52,MATCH($C22,'[1]SALES PERTYPE'!$B$10:$B$52,0)),0)</f>
        <v>0</v>
      </c>
      <c r="S22" s="142">
        <f>IFERROR(INDEX('[1]SALES PERTYPE'!$Q$10:$Q$52,MATCH($C22,'[1]SALES PERTYPE'!$B$10:$B$52,0)),0)</f>
        <v>0</v>
      </c>
      <c r="T22" s="142">
        <f>IFERROR(INDEX('[1]SALES PERTYPE'!$R$10:$R$52,MATCH($C22,'[1]SALES PERTYPE'!$B$10:$B$52,0)),0)</f>
        <v>0</v>
      </c>
      <c r="U22" s="142">
        <f>IFERROR(INDEX('[1]SALES PERTYPE'!$S$10:$S$52,MATCH($C22,'[1]SALES PERTYPE'!$B$10:$B$52,0)),0)</f>
        <v>0</v>
      </c>
      <c r="V22" s="142">
        <f>IFERROR(INDEX('[1]SALES PERTYPE'!$T$10:$T$52,MATCH($C22,'[1]SALES PERTYPE'!$B$10:$B$52,0)),0)</f>
        <v>1</v>
      </c>
      <c r="W22" s="142">
        <f>IFERROR(INDEX('[1]SALES PERTYPE'!$U$10:$U$52,MATCH($C22,'[1]SALES PERTYPE'!$B$10:$B$52,0)),0)</f>
        <v>6999000</v>
      </c>
      <c r="X22" s="142">
        <f>IFERROR(INDEX('[1]SALES PERTYPE'!$V$10:$V$52,MATCH($C22,'[1]SALES PERTYPE'!$B$10:$B$52,0)),0)</f>
        <v>0</v>
      </c>
      <c r="Y22" s="142">
        <f>IFERROR(INDEX('[1]SALES PERTYPE'!$W$10:$W$52,MATCH($C22,'[1]SALES PERTYPE'!$B$10:$B$52,0)),0)</f>
        <v>0</v>
      </c>
      <c r="Z22" s="142">
        <f>IFERROR(INDEX('[1]SALES PERTYPE'!$X$10:$X$52,MATCH($C22,'[1]SALES PERTYPE'!$B$10:$B$52,0)),0)</f>
        <v>2</v>
      </c>
      <c r="AA22" s="142">
        <f>IFERROR(INDEX('[1]SALES PERTYPE'!$Y$10:$Y$52,MATCH($C22,'[1]SALES PERTYPE'!$B$10:$B$52,0)),0)</f>
        <v>11798000</v>
      </c>
      <c r="AB22" s="142">
        <f>IFERROR(INDEX('[1]SALES PERTYPE'!$Z$10:$Z$52,MATCH($C22,'[1]SALES PERTYPE'!$B$10:$B$52,0)),0)</f>
        <v>0</v>
      </c>
      <c r="AC22" s="142">
        <f>IFERROR(INDEX('[1]SALES PERTYPE'!$AA$10:$AA$52,MATCH($C22,'[1]SALES PERTYPE'!$B$10:$B$52,0)),0)</f>
        <v>0</v>
      </c>
      <c r="AD22" s="142">
        <f>IFERROR(INDEX('[1]SALES PERTYPE'!$AB$10:$AB$52,MATCH($C22,'[1]SALES PERTYPE'!$B$10:$B$52,0)),0)</f>
        <v>0</v>
      </c>
      <c r="AE22" s="142">
        <f>IFERROR(INDEX('[1]SALES PERTYPE'!$AC$10:$AC$52,MATCH($C22,'[1]SALES PERTYPE'!$B$10:$B$52,0)),0)</f>
        <v>0</v>
      </c>
      <c r="AF22" s="142">
        <f>IFERROR(INDEX('[1]SALES PERTYPE'!$AD$10:$AD$52,MATCH($C22,'[1]SALES PERTYPE'!$B$10:$B$52,0)),0)</f>
        <v>0</v>
      </c>
      <c r="AG22" s="142">
        <f>IFERROR(INDEX('[1]SALES PERTYPE'!$AE$10:$AE$52,MATCH($C22,'[1]SALES PERTYPE'!$B$10:$B$52,0)),0)</f>
        <v>0</v>
      </c>
      <c r="AH22" s="142">
        <f>IFERROR(INDEX('[1]SALES PERTYPE'!$AF$10:$AF$52,MATCH($C22,'[1]SALES PERTYPE'!$B$10:$B$52,0)),0)</f>
        <v>0</v>
      </c>
      <c r="AI22" s="142">
        <f>IFERROR(INDEX('[1]SALES PERTYPE'!$AG$10:$AG$52,MATCH($C22,'[1]SALES PERTYPE'!$B$10:$B$52,0)),0)</f>
        <v>0</v>
      </c>
      <c r="AJ22" s="142">
        <f>IFERROR(INDEX('[1]SALES PERTYPE'!$AH$10:$AH$52,MATCH($C22,'[1]SALES PERTYPE'!$B$10:$B$52,0)),0)</f>
        <v>0</v>
      </c>
      <c r="AK22" s="142">
        <f>IFERROR(INDEX('[1]SALES PERTYPE'!$AI$10:$AI$52,MATCH($C22,'[1]SALES PERTYPE'!$B$10:$B$52,0)),0)</f>
        <v>0</v>
      </c>
      <c r="AL22" s="142">
        <f>IFERROR(INDEX('[1]SALES PERTYPE'!$AJ$10:$AJ$52,MATCH($C22,'[1]SALES PERTYPE'!$B$10:$B$52,0)),0)</f>
        <v>1</v>
      </c>
      <c r="AM22" s="142">
        <f>IFERROR(INDEX('[1]SALES PERTYPE'!$AK$10:$AK$52,MATCH($C22,'[1]SALES PERTYPE'!$B$10:$B$52,0)),0)</f>
        <v>6899000</v>
      </c>
      <c r="AN22" s="142">
        <f>IFERROR(INDEX('[1]SALES PERTYPE'!$AL$10:$AL$52,MATCH($C22,'[1]SALES PERTYPE'!$B$10:$B$52,0)),0)</f>
        <v>18</v>
      </c>
      <c r="AO22" s="142">
        <f>IFERROR(INDEX('[1]SALES PERTYPE'!$AM$10:$AM$52,MATCH($C22,'[1]SALES PERTYPE'!$B$10:$B$52,0)),0)</f>
        <v>64082000</v>
      </c>
    </row>
    <row r="23" spans="1:41" x14ac:dyDescent="0.15">
      <c r="A23" s="137">
        <f>'[1]ACHIEVEMENT STORE'!A23</f>
        <v>19</v>
      </c>
      <c r="B23" s="138" t="str">
        <f>'[1]ACHIEVEMENT STORE'!B23</f>
        <v>618 茂物 BOGOR</v>
      </c>
      <c r="C23" s="137">
        <f>'[1]ACHIEVEMENT STORE'!C23</f>
        <v>6180706</v>
      </c>
      <c r="D23" s="138" t="str">
        <f>'[1]ACHIEVEMENT STORE'!D23</f>
        <v>6180706-MVS MALL CCM</v>
      </c>
      <c r="E23" s="138" t="str">
        <f>'[1]ACHIEVEMENT STORE'!E23</f>
        <v>DANDI SURYA</v>
      </c>
      <c r="F23" s="139">
        <f>IFERROR(INDEX('[1]SALES PERTYPE'!$D$10:$D$52,MATCH($C23,'[1]SALES PERTYPE'!$B$10:$B$52,0)),0)</f>
        <v>4</v>
      </c>
      <c r="G23" s="139">
        <f>IFERROR(INDEX('[1]SALES PERTYPE'!$E$10:$E$52,MATCH($C23,'[1]SALES PERTYPE'!$B$10:$B$52,0)),0)</f>
        <v>9496000</v>
      </c>
      <c r="H23" s="139">
        <f>IFERROR(INDEX('[1]SALES PERTYPE'!$F$10:$F$52,MATCH($C23,'[1]SALES PERTYPE'!$B$10:$B$52,0)),0)</f>
        <v>6</v>
      </c>
      <c r="I23" s="139">
        <f>IFERROR(INDEX('[1]SALES PERTYPE'!$G$10:$G$52,MATCH($C23,'[1]SALES PERTYPE'!$B$10:$B$52,0)),0)</f>
        <v>15994000</v>
      </c>
      <c r="J23" s="139">
        <f>IFERROR(INDEX('[1]SALES PERTYPE'!$H$10:$H$52,MATCH($C23,'[1]SALES PERTYPE'!$B$10:$B$52,0)),0)</f>
        <v>0</v>
      </c>
      <c r="K23" s="139">
        <f>IFERROR(INDEX('[1]SALES PERTYPE'!$I$10:$I$52,MATCH($C23,'[1]SALES PERTYPE'!$B$10:$B$52,0)),0)</f>
        <v>0</v>
      </c>
      <c r="L23" s="139">
        <f>IFERROR(INDEX('[1]SALES PERTYPE'!$J$10:$J$52,MATCH($C23,'[1]SALES PERTYPE'!$B$10:$B$52,0)),0)</f>
        <v>12</v>
      </c>
      <c r="M23" s="139">
        <f>IFERROR(INDEX('[1]SALES PERTYPE'!$K$10:$K$52,MATCH($C23,'[1]SALES PERTYPE'!$B$10:$B$52,0)),0)</f>
        <v>25188000</v>
      </c>
      <c r="N23" s="139">
        <f>IFERROR(INDEX('[1]SALES PERTYPE'!$L$10:$L$52,MATCH($C23,'[1]SALES PERTYPE'!$B$10:$B$52,0)),0)</f>
        <v>2</v>
      </c>
      <c r="O23" s="139">
        <f>IFERROR(INDEX('[1]SALES PERTYPE'!$M$10:$M$52,MATCH($C23,'[1]SALES PERTYPE'!$B$10:$B$52,0)),0)</f>
        <v>19998000</v>
      </c>
      <c r="P23" s="139">
        <f>IFERROR(INDEX('[1]SALES PERTYPE'!$N$10:$N$52,MATCH($C23,'[1]SALES PERTYPE'!$B$10:$B$52,0)),0)</f>
        <v>4</v>
      </c>
      <c r="Q23" s="139">
        <f>IFERROR(INDEX('[1]SALES PERTYPE'!$O$10:$O$52,MATCH($C23,'[1]SALES PERTYPE'!$B$10:$B$52,0)),0)</f>
        <v>17596000</v>
      </c>
      <c r="R23" s="139">
        <f>IFERROR(INDEX('[1]SALES PERTYPE'!$P$10:$P$52,MATCH($C23,'[1]SALES PERTYPE'!$B$10:$B$52,0)),0)</f>
        <v>0</v>
      </c>
      <c r="S23" s="139">
        <f>IFERROR(INDEX('[1]SALES PERTYPE'!$Q$10:$Q$52,MATCH($C23,'[1]SALES PERTYPE'!$B$10:$B$52,0)),0)</f>
        <v>0</v>
      </c>
      <c r="T23" s="139">
        <f>IFERROR(INDEX('[1]SALES PERTYPE'!$R$10:$R$52,MATCH($C23,'[1]SALES PERTYPE'!$B$10:$B$52,0)),0)</f>
        <v>0</v>
      </c>
      <c r="U23" s="139">
        <f>IFERROR(INDEX('[1]SALES PERTYPE'!$S$10:$S$52,MATCH($C23,'[1]SALES PERTYPE'!$B$10:$B$52,0)),0)</f>
        <v>0</v>
      </c>
      <c r="V23" s="139">
        <f>IFERROR(INDEX('[1]SALES PERTYPE'!$T$10:$T$52,MATCH($C23,'[1]SALES PERTYPE'!$B$10:$B$52,0)),0)</f>
        <v>2</v>
      </c>
      <c r="W23" s="139">
        <f>IFERROR(INDEX('[1]SALES PERTYPE'!$U$10:$U$52,MATCH($C23,'[1]SALES PERTYPE'!$B$10:$B$52,0)),0)</f>
        <v>15998000</v>
      </c>
      <c r="X23" s="139">
        <f>IFERROR(INDEX('[1]SALES PERTYPE'!$V$10:$V$52,MATCH($C23,'[1]SALES PERTYPE'!$B$10:$B$52,0)),0)</f>
        <v>0</v>
      </c>
      <c r="Y23" s="139">
        <f>IFERROR(INDEX('[1]SALES PERTYPE'!$W$10:$W$52,MATCH($C23,'[1]SALES PERTYPE'!$B$10:$B$52,0)),0)</f>
        <v>0</v>
      </c>
      <c r="Z23" s="139">
        <f>IFERROR(INDEX('[1]SALES PERTYPE'!$X$10:$X$52,MATCH($C23,'[1]SALES PERTYPE'!$B$10:$B$52,0)),0)</f>
        <v>1</v>
      </c>
      <c r="AA23" s="139">
        <f>IFERROR(INDEX('[1]SALES PERTYPE'!$Y$10:$Y$52,MATCH($C23,'[1]SALES PERTYPE'!$B$10:$B$52,0)),0)</f>
        <v>6299000</v>
      </c>
      <c r="AB23" s="139">
        <f>IFERROR(INDEX('[1]SALES PERTYPE'!$Z$10:$Z$52,MATCH($C23,'[1]SALES PERTYPE'!$B$10:$B$52,0)),0)</f>
        <v>0</v>
      </c>
      <c r="AC23" s="139">
        <f>IFERROR(INDEX('[1]SALES PERTYPE'!$AA$10:$AA$52,MATCH($C23,'[1]SALES PERTYPE'!$B$10:$B$52,0)),0)</f>
        <v>0</v>
      </c>
      <c r="AD23" s="139">
        <f>IFERROR(INDEX('[1]SALES PERTYPE'!$AB$10:$AB$52,MATCH($C23,'[1]SALES PERTYPE'!$B$10:$B$52,0)),0)</f>
        <v>2</v>
      </c>
      <c r="AE23" s="139">
        <f>IFERROR(INDEX('[1]SALES PERTYPE'!$AC$10:$AC$52,MATCH($C23,'[1]SALES PERTYPE'!$B$10:$B$52,0)),0)</f>
        <v>10598000</v>
      </c>
      <c r="AF23" s="139">
        <f>IFERROR(INDEX('[1]SALES PERTYPE'!$AD$10:$AD$52,MATCH($C23,'[1]SALES PERTYPE'!$B$10:$B$52,0)),0)</f>
        <v>0</v>
      </c>
      <c r="AG23" s="139">
        <f>IFERROR(INDEX('[1]SALES PERTYPE'!$AE$10:$AE$52,MATCH($C23,'[1]SALES PERTYPE'!$B$10:$B$52,0)),0)</f>
        <v>0</v>
      </c>
      <c r="AH23" s="139">
        <f>IFERROR(INDEX('[1]SALES PERTYPE'!$AF$10:$AF$52,MATCH($C23,'[1]SALES PERTYPE'!$B$10:$B$52,0)),0)</f>
        <v>0</v>
      </c>
      <c r="AI23" s="139">
        <f>IFERROR(INDEX('[1]SALES PERTYPE'!$AG$10:$AG$52,MATCH($C23,'[1]SALES PERTYPE'!$B$10:$B$52,0)),0)</f>
        <v>0</v>
      </c>
      <c r="AJ23" s="139">
        <f>IFERROR(INDEX('[1]SALES PERTYPE'!$AH$10:$AH$52,MATCH($C23,'[1]SALES PERTYPE'!$B$10:$B$52,0)),0)</f>
        <v>1</v>
      </c>
      <c r="AK23" s="139">
        <f>IFERROR(INDEX('[1]SALES PERTYPE'!$AI$10:$AI$52,MATCH($C23,'[1]SALES PERTYPE'!$B$10:$B$52,0)),0)</f>
        <v>5699000</v>
      </c>
      <c r="AL23" s="139">
        <f>IFERROR(INDEX('[1]SALES PERTYPE'!$AJ$10:$AJ$52,MATCH($C23,'[1]SALES PERTYPE'!$B$10:$B$52,0)),0)</f>
        <v>1</v>
      </c>
      <c r="AM23" s="139">
        <f>IFERROR(INDEX('[1]SALES PERTYPE'!$AK$10:$AK$52,MATCH($C23,'[1]SALES PERTYPE'!$B$10:$B$52,0)),0)</f>
        <v>6899000</v>
      </c>
      <c r="AN23" s="139">
        <f>IFERROR(INDEX('[1]SALES PERTYPE'!$AL$10:$AL$52,MATCH($C23,'[1]SALES PERTYPE'!$B$10:$B$52,0)),0)</f>
        <v>35</v>
      </c>
      <c r="AO23" s="139">
        <f>IFERROR(INDEX('[1]SALES PERTYPE'!$AM$10:$AM$52,MATCH($C23,'[1]SALES PERTYPE'!$B$10:$B$52,0)),0)</f>
        <v>133765000</v>
      </c>
    </row>
    <row r="24" spans="1:41" x14ac:dyDescent="0.15">
      <c r="A24" s="140">
        <f>'[1]ACHIEVEMENT STORE'!A24</f>
        <v>20</v>
      </c>
      <c r="B24" s="141" t="str">
        <f>'[1]ACHIEVEMENT STORE'!B24</f>
        <v>618 茂物 BOGOR</v>
      </c>
      <c r="C24" s="140">
        <f>'[1]ACHIEVEMENT STORE'!C24</f>
        <v>6180707</v>
      </c>
      <c r="D24" s="141" t="str">
        <f>'[1]ACHIEVEMENT STORE'!D24</f>
        <v>6180707-SC BTM</v>
      </c>
      <c r="E24" s="141" t="str">
        <f>'[1]ACHIEVEMENT STORE'!E24</f>
        <v>DANDI SURYA</v>
      </c>
      <c r="F24" s="142">
        <f>IFERROR(INDEX('[1]SALES PERTYPE'!$D$10:$D$52,MATCH($C24,'[1]SALES PERTYPE'!$B$10:$B$52,0)),0)</f>
        <v>0</v>
      </c>
      <c r="G24" s="142">
        <f>IFERROR(INDEX('[1]SALES PERTYPE'!$E$10:$E$52,MATCH($C24,'[1]SALES PERTYPE'!$B$10:$B$52,0)),0)</f>
        <v>0</v>
      </c>
      <c r="H24" s="142">
        <f>IFERROR(INDEX('[1]SALES PERTYPE'!$F$10:$F$52,MATCH($C24,'[1]SALES PERTYPE'!$B$10:$B$52,0)),0)</f>
        <v>4</v>
      </c>
      <c r="I24" s="142">
        <f>IFERROR(INDEX('[1]SALES PERTYPE'!$G$10:$G$52,MATCH($C24,'[1]SALES PERTYPE'!$B$10:$B$52,0)),0)</f>
        <v>10396000</v>
      </c>
      <c r="J24" s="142">
        <f>IFERROR(INDEX('[1]SALES PERTYPE'!$H$10:$H$52,MATCH($C24,'[1]SALES PERTYPE'!$B$10:$B$52,0)),0)</f>
        <v>0</v>
      </c>
      <c r="K24" s="142">
        <f>IFERROR(INDEX('[1]SALES PERTYPE'!$I$10:$I$52,MATCH($C24,'[1]SALES PERTYPE'!$B$10:$B$52,0)),0)</f>
        <v>0</v>
      </c>
      <c r="L24" s="142">
        <f>IFERROR(INDEX('[1]SALES PERTYPE'!$J$10:$J$52,MATCH($C24,'[1]SALES PERTYPE'!$B$10:$B$52,0)),0)</f>
        <v>0</v>
      </c>
      <c r="M24" s="142">
        <f>IFERROR(INDEX('[1]SALES PERTYPE'!$K$10:$K$52,MATCH($C24,'[1]SALES PERTYPE'!$B$10:$B$52,0)),0)</f>
        <v>0</v>
      </c>
      <c r="N24" s="142">
        <f>IFERROR(INDEX('[1]SALES PERTYPE'!$L$10:$L$52,MATCH($C24,'[1]SALES PERTYPE'!$B$10:$B$52,0)),0)</f>
        <v>0</v>
      </c>
      <c r="O24" s="142">
        <f>IFERROR(INDEX('[1]SALES PERTYPE'!$M$10:$M$52,MATCH($C24,'[1]SALES PERTYPE'!$B$10:$B$52,0)),0)</f>
        <v>0</v>
      </c>
      <c r="P24" s="142">
        <f>IFERROR(INDEX('[1]SALES PERTYPE'!$N$10:$N$52,MATCH($C24,'[1]SALES PERTYPE'!$B$10:$B$52,0)),0)</f>
        <v>1</v>
      </c>
      <c r="Q24" s="142">
        <f>IFERROR(INDEX('[1]SALES PERTYPE'!$O$10:$O$52,MATCH($C24,'[1]SALES PERTYPE'!$B$10:$B$52,0)),0)</f>
        <v>4899000</v>
      </c>
      <c r="R24" s="142">
        <f>IFERROR(INDEX('[1]SALES PERTYPE'!$P$10:$P$52,MATCH($C24,'[1]SALES PERTYPE'!$B$10:$B$52,0)),0)</f>
        <v>0</v>
      </c>
      <c r="S24" s="142">
        <f>IFERROR(INDEX('[1]SALES PERTYPE'!$Q$10:$Q$52,MATCH($C24,'[1]SALES PERTYPE'!$B$10:$B$52,0)),0)</f>
        <v>0</v>
      </c>
      <c r="T24" s="142">
        <f>IFERROR(INDEX('[1]SALES PERTYPE'!$R$10:$R$52,MATCH($C24,'[1]SALES PERTYPE'!$B$10:$B$52,0)),0)</f>
        <v>0</v>
      </c>
      <c r="U24" s="142">
        <f>IFERROR(INDEX('[1]SALES PERTYPE'!$S$10:$S$52,MATCH($C24,'[1]SALES PERTYPE'!$B$10:$B$52,0)),0)</f>
        <v>0</v>
      </c>
      <c r="V24" s="142">
        <f>IFERROR(INDEX('[1]SALES PERTYPE'!$T$10:$T$52,MATCH($C24,'[1]SALES PERTYPE'!$B$10:$B$52,0)),0)</f>
        <v>0</v>
      </c>
      <c r="W24" s="142">
        <f>IFERROR(INDEX('[1]SALES PERTYPE'!$U$10:$U$52,MATCH($C24,'[1]SALES PERTYPE'!$B$10:$B$52,0)),0)</f>
        <v>0</v>
      </c>
      <c r="X24" s="142">
        <f>IFERROR(INDEX('[1]SALES PERTYPE'!$V$10:$V$52,MATCH($C24,'[1]SALES PERTYPE'!$B$10:$B$52,0)),0)</f>
        <v>1</v>
      </c>
      <c r="Y24" s="142">
        <f>IFERROR(INDEX('[1]SALES PERTYPE'!$W$10:$W$52,MATCH($C24,'[1]SALES PERTYPE'!$B$10:$B$52,0)),0)</f>
        <v>3599000</v>
      </c>
      <c r="Z24" s="142">
        <f>IFERROR(INDEX('[1]SALES PERTYPE'!$X$10:$X$52,MATCH($C24,'[1]SALES PERTYPE'!$B$10:$B$52,0)),0)</f>
        <v>0</v>
      </c>
      <c r="AA24" s="142">
        <f>IFERROR(INDEX('[1]SALES PERTYPE'!$Y$10:$Y$52,MATCH($C24,'[1]SALES PERTYPE'!$B$10:$B$52,0)),0)</f>
        <v>0</v>
      </c>
      <c r="AB24" s="142">
        <f>IFERROR(INDEX('[1]SALES PERTYPE'!$Z$10:$Z$52,MATCH($C24,'[1]SALES PERTYPE'!$B$10:$B$52,0)),0)</f>
        <v>0</v>
      </c>
      <c r="AC24" s="142">
        <f>IFERROR(INDEX('[1]SALES PERTYPE'!$AA$10:$AA$52,MATCH($C24,'[1]SALES PERTYPE'!$B$10:$B$52,0)),0)</f>
        <v>0</v>
      </c>
      <c r="AD24" s="142">
        <f>IFERROR(INDEX('[1]SALES PERTYPE'!$AB$10:$AB$52,MATCH($C24,'[1]SALES PERTYPE'!$B$10:$B$52,0)),0)</f>
        <v>0</v>
      </c>
      <c r="AE24" s="142">
        <f>IFERROR(INDEX('[1]SALES PERTYPE'!$AC$10:$AC$52,MATCH($C24,'[1]SALES PERTYPE'!$B$10:$B$52,0)),0)</f>
        <v>0</v>
      </c>
      <c r="AF24" s="142">
        <f>IFERROR(INDEX('[1]SALES PERTYPE'!$AD$10:$AD$52,MATCH($C24,'[1]SALES PERTYPE'!$B$10:$B$52,0)),0)</f>
        <v>0</v>
      </c>
      <c r="AG24" s="142">
        <f>IFERROR(INDEX('[1]SALES PERTYPE'!$AE$10:$AE$52,MATCH($C24,'[1]SALES PERTYPE'!$B$10:$B$52,0)),0)</f>
        <v>0</v>
      </c>
      <c r="AH24" s="142">
        <f>IFERROR(INDEX('[1]SALES PERTYPE'!$AF$10:$AF$52,MATCH($C24,'[1]SALES PERTYPE'!$B$10:$B$52,0)),0)</f>
        <v>0</v>
      </c>
      <c r="AI24" s="142">
        <f>IFERROR(INDEX('[1]SALES PERTYPE'!$AG$10:$AG$52,MATCH($C24,'[1]SALES PERTYPE'!$B$10:$B$52,0)),0)</f>
        <v>0</v>
      </c>
      <c r="AJ24" s="142">
        <f>IFERROR(INDEX('[1]SALES PERTYPE'!$AH$10:$AH$52,MATCH($C24,'[1]SALES PERTYPE'!$B$10:$B$52,0)),0)</f>
        <v>0</v>
      </c>
      <c r="AK24" s="142">
        <f>IFERROR(INDEX('[1]SALES PERTYPE'!$AI$10:$AI$52,MATCH($C24,'[1]SALES PERTYPE'!$B$10:$B$52,0)),0)</f>
        <v>0</v>
      </c>
      <c r="AL24" s="142">
        <f>IFERROR(INDEX('[1]SALES PERTYPE'!$AJ$10:$AJ$52,MATCH($C24,'[1]SALES PERTYPE'!$B$10:$B$52,0)),0)</f>
        <v>0</v>
      </c>
      <c r="AM24" s="142">
        <f>IFERROR(INDEX('[1]SALES PERTYPE'!$AK$10:$AK$52,MATCH($C24,'[1]SALES PERTYPE'!$B$10:$B$52,0)),0)</f>
        <v>0</v>
      </c>
      <c r="AN24" s="142">
        <f>IFERROR(INDEX('[1]SALES PERTYPE'!$AL$10:$AL$52,MATCH($C24,'[1]SALES PERTYPE'!$B$10:$B$52,0)),0)</f>
        <v>6</v>
      </c>
      <c r="AO24" s="142">
        <f>IFERROR(INDEX('[1]SALES PERTYPE'!$AM$10:$AM$52,MATCH($C24,'[1]SALES PERTYPE'!$B$10:$B$52,0)),0)</f>
        <v>18894000</v>
      </c>
    </row>
    <row r="25" spans="1:41" x14ac:dyDescent="0.15">
      <c r="A25" s="137">
        <f>'[1]ACHIEVEMENT STORE'!A25</f>
        <v>21</v>
      </c>
      <c r="B25" s="138" t="str">
        <f>'[1]ACHIEVEMENT STORE'!B25</f>
        <v>624-万丹BANTEN</v>
      </c>
      <c r="C25" s="137">
        <f>'[1]ACHIEVEMENT STORE'!C25</f>
        <v>6170707</v>
      </c>
      <c r="D25" s="138" t="str">
        <f>'[1]ACHIEVEMENT STORE'!D25</f>
        <v>6170707-LG BLOK D NO. 01D SKY 7</v>
      </c>
      <c r="E25" s="138" t="str">
        <f>'[1]ACHIEVEMENT STORE'!E25</f>
        <v>ARIES FITRIYANTO</v>
      </c>
      <c r="F25" s="139">
        <f>IFERROR(INDEX('[1]SALES PERTYPE'!$D$10:$D$52,MATCH($C25,'[1]SALES PERTYPE'!$B$10:$B$52,0)),0)</f>
        <v>8</v>
      </c>
      <c r="G25" s="139">
        <f>IFERROR(INDEX('[1]SALES PERTYPE'!$E$10:$E$52,MATCH($C25,'[1]SALES PERTYPE'!$B$10:$B$52,0)),0)</f>
        <v>19892000</v>
      </c>
      <c r="H25" s="139">
        <f>IFERROR(INDEX('[1]SALES PERTYPE'!$F$10:$F$52,MATCH($C25,'[1]SALES PERTYPE'!$B$10:$B$52,0)),0)</f>
        <v>12</v>
      </c>
      <c r="I25" s="139">
        <f>IFERROR(INDEX('[1]SALES PERTYPE'!$G$10:$G$52,MATCH($C25,'[1]SALES PERTYPE'!$B$10:$B$52,0)),0)</f>
        <v>31988000</v>
      </c>
      <c r="J25" s="139">
        <f>IFERROR(INDEX('[1]SALES PERTYPE'!$H$10:$H$52,MATCH($C25,'[1]SALES PERTYPE'!$B$10:$B$52,0)),0)</f>
        <v>0</v>
      </c>
      <c r="K25" s="139">
        <f>IFERROR(INDEX('[1]SALES PERTYPE'!$I$10:$I$52,MATCH($C25,'[1]SALES PERTYPE'!$B$10:$B$52,0)),0)</f>
        <v>0</v>
      </c>
      <c r="L25" s="139">
        <f>IFERROR(INDEX('[1]SALES PERTYPE'!$J$10:$J$52,MATCH($C25,'[1]SALES PERTYPE'!$B$10:$B$52,0)),0)</f>
        <v>1</v>
      </c>
      <c r="M25" s="139">
        <f>IFERROR(INDEX('[1]SALES PERTYPE'!$K$10:$K$52,MATCH($C25,'[1]SALES PERTYPE'!$B$10:$B$52,0)),0)</f>
        <v>2099000</v>
      </c>
      <c r="N25" s="139">
        <f>IFERROR(INDEX('[1]SALES PERTYPE'!$L$10:$L$52,MATCH($C25,'[1]SALES PERTYPE'!$B$10:$B$52,0)),0)</f>
        <v>0</v>
      </c>
      <c r="O25" s="139">
        <f>IFERROR(INDEX('[1]SALES PERTYPE'!$M$10:$M$52,MATCH($C25,'[1]SALES PERTYPE'!$B$10:$B$52,0)),0)</f>
        <v>0</v>
      </c>
      <c r="P25" s="139">
        <f>IFERROR(INDEX('[1]SALES PERTYPE'!$N$10:$N$52,MATCH($C25,'[1]SALES PERTYPE'!$B$10:$B$52,0)),0)</f>
        <v>2</v>
      </c>
      <c r="Q25" s="139">
        <f>IFERROR(INDEX('[1]SALES PERTYPE'!$O$10:$O$52,MATCH($C25,'[1]SALES PERTYPE'!$B$10:$B$52,0)),0)</f>
        <v>9398000</v>
      </c>
      <c r="R25" s="139">
        <f>IFERROR(INDEX('[1]SALES PERTYPE'!$P$10:$P$52,MATCH($C25,'[1]SALES PERTYPE'!$B$10:$B$52,0)),0)</f>
        <v>0</v>
      </c>
      <c r="S25" s="139">
        <f>IFERROR(INDEX('[1]SALES PERTYPE'!$Q$10:$Q$52,MATCH($C25,'[1]SALES PERTYPE'!$B$10:$B$52,0)),0)</f>
        <v>0</v>
      </c>
      <c r="T25" s="139">
        <f>IFERROR(INDEX('[1]SALES PERTYPE'!$R$10:$R$52,MATCH($C25,'[1]SALES PERTYPE'!$B$10:$B$52,0)),0)</f>
        <v>0</v>
      </c>
      <c r="U25" s="139">
        <f>IFERROR(INDEX('[1]SALES PERTYPE'!$S$10:$S$52,MATCH($C25,'[1]SALES PERTYPE'!$B$10:$B$52,0)),0)</f>
        <v>0</v>
      </c>
      <c r="V25" s="139">
        <f>IFERROR(INDEX('[1]SALES PERTYPE'!$T$10:$T$52,MATCH($C25,'[1]SALES PERTYPE'!$B$10:$B$52,0)),0)</f>
        <v>1</v>
      </c>
      <c r="W25" s="139">
        <f>IFERROR(INDEX('[1]SALES PERTYPE'!$U$10:$U$52,MATCH($C25,'[1]SALES PERTYPE'!$B$10:$B$52,0)),0)</f>
        <v>6999000</v>
      </c>
      <c r="X25" s="139">
        <f>IFERROR(INDEX('[1]SALES PERTYPE'!$V$10:$V$52,MATCH($C25,'[1]SALES PERTYPE'!$B$10:$B$52,0)),0)</f>
        <v>0</v>
      </c>
      <c r="Y25" s="139">
        <f>IFERROR(INDEX('[1]SALES PERTYPE'!$W$10:$W$52,MATCH($C25,'[1]SALES PERTYPE'!$B$10:$B$52,0)),0)</f>
        <v>0</v>
      </c>
      <c r="Z25" s="139">
        <f>IFERROR(INDEX('[1]SALES PERTYPE'!$X$10:$X$52,MATCH($C25,'[1]SALES PERTYPE'!$B$10:$B$52,0)),0)</f>
        <v>1</v>
      </c>
      <c r="AA25" s="139">
        <f>IFERROR(INDEX('[1]SALES PERTYPE'!$Y$10:$Y$52,MATCH($C25,'[1]SALES PERTYPE'!$B$10:$B$52,0)),0)</f>
        <v>5499000</v>
      </c>
      <c r="AB25" s="139">
        <f>IFERROR(INDEX('[1]SALES PERTYPE'!$Z$10:$Z$52,MATCH($C25,'[1]SALES PERTYPE'!$B$10:$B$52,0)),0)</f>
        <v>0</v>
      </c>
      <c r="AC25" s="139">
        <f>IFERROR(INDEX('[1]SALES PERTYPE'!$AA$10:$AA$52,MATCH($C25,'[1]SALES PERTYPE'!$B$10:$B$52,0)),0)</f>
        <v>0</v>
      </c>
      <c r="AD25" s="139">
        <f>IFERROR(INDEX('[1]SALES PERTYPE'!$AB$10:$AB$52,MATCH($C25,'[1]SALES PERTYPE'!$B$10:$B$52,0)),0)</f>
        <v>2</v>
      </c>
      <c r="AE25" s="139">
        <f>IFERROR(INDEX('[1]SALES PERTYPE'!$AC$10:$AC$52,MATCH($C25,'[1]SALES PERTYPE'!$B$10:$B$52,0)),0)</f>
        <v>11198000</v>
      </c>
      <c r="AF25" s="139">
        <f>IFERROR(INDEX('[1]SALES PERTYPE'!$AD$10:$AD$52,MATCH($C25,'[1]SALES PERTYPE'!$B$10:$B$52,0)),0)</f>
        <v>0</v>
      </c>
      <c r="AG25" s="139">
        <f>IFERROR(INDEX('[1]SALES PERTYPE'!$AE$10:$AE$52,MATCH($C25,'[1]SALES PERTYPE'!$B$10:$B$52,0)),0)</f>
        <v>0</v>
      </c>
      <c r="AH25" s="139">
        <f>IFERROR(INDEX('[1]SALES PERTYPE'!$AF$10:$AF$52,MATCH($C25,'[1]SALES PERTYPE'!$B$10:$B$52,0)),0)</f>
        <v>0</v>
      </c>
      <c r="AI25" s="139">
        <f>IFERROR(INDEX('[1]SALES PERTYPE'!$AG$10:$AG$52,MATCH($C25,'[1]SALES PERTYPE'!$B$10:$B$52,0)),0)</f>
        <v>0</v>
      </c>
      <c r="AJ25" s="139">
        <f>IFERROR(INDEX('[1]SALES PERTYPE'!$AH$10:$AH$52,MATCH($C25,'[1]SALES PERTYPE'!$B$10:$B$52,0)),0)</f>
        <v>0</v>
      </c>
      <c r="AK25" s="139">
        <f>IFERROR(INDEX('[1]SALES PERTYPE'!$AI$10:$AI$52,MATCH($C25,'[1]SALES PERTYPE'!$B$10:$B$52,0)),0)</f>
        <v>0</v>
      </c>
      <c r="AL25" s="139">
        <f>IFERROR(INDEX('[1]SALES PERTYPE'!$AJ$10:$AJ$52,MATCH($C25,'[1]SALES PERTYPE'!$B$10:$B$52,0)),0)</f>
        <v>0</v>
      </c>
      <c r="AM25" s="139">
        <f>IFERROR(INDEX('[1]SALES PERTYPE'!$AK$10:$AK$52,MATCH($C25,'[1]SALES PERTYPE'!$B$10:$B$52,0)),0)</f>
        <v>0</v>
      </c>
      <c r="AN25" s="139">
        <f>IFERROR(INDEX('[1]SALES PERTYPE'!$AL$10:$AL$52,MATCH($C25,'[1]SALES PERTYPE'!$B$10:$B$52,0)),0)</f>
        <v>27</v>
      </c>
      <c r="AO25" s="139">
        <f>IFERROR(INDEX('[1]SALES PERTYPE'!$AM$10:$AM$52,MATCH($C25,'[1]SALES PERTYPE'!$B$10:$B$52,0)),0)</f>
        <v>87073000</v>
      </c>
    </row>
    <row r="26" spans="1:41" x14ac:dyDescent="0.15">
      <c r="A26" s="140">
        <f>'[1]ACHIEVEMENT STORE'!A26</f>
        <v>22</v>
      </c>
      <c r="B26" s="141" t="str">
        <f>'[1]ACHIEVEMENT STORE'!B26</f>
        <v>624-万丹BANTEN</v>
      </c>
      <c r="C26" s="140">
        <f>'[1]ACHIEVEMENT STORE'!C26</f>
        <v>6240702</v>
      </c>
      <c r="D26" s="141" t="str">
        <f>'[1]ACHIEVEMENT STORE'!D26</f>
        <v>A200902-LG BLOK B NO. 01B SKY M3</v>
      </c>
      <c r="E26" s="141" t="str">
        <f>'[1]ACHIEVEMENT STORE'!E26</f>
        <v>ARIES FITRIYANTO</v>
      </c>
      <c r="F26" s="142">
        <f>IFERROR(INDEX('[1]SALES PERTYPE'!$D$10:$D$52,MATCH($C26,'[1]SALES PERTYPE'!$B$10:$B$52,0)),0)</f>
        <v>3</v>
      </c>
      <c r="G26" s="142">
        <f>IFERROR(INDEX('[1]SALES PERTYPE'!$E$10:$E$52,MATCH($C26,'[1]SALES PERTYPE'!$B$10:$B$52,0)),0)</f>
        <v>7497000</v>
      </c>
      <c r="H26" s="142">
        <f>IFERROR(INDEX('[1]SALES PERTYPE'!$F$10:$F$52,MATCH($C26,'[1]SALES PERTYPE'!$B$10:$B$52,0)),0)</f>
        <v>11</v>
      </c>
      <c r="I26" s="142">
        <f>IFERROR(INDEX('[1]SALES PERTYPE'!$G$10:$G$52,MATCH($C26,'[1]SALES PERTYPE'!$B$10:$B$52,0)),0)</f>
        <v>27989000</v>
      </c>
      <c r="J26" s="142">
        <f>IFERROR(INDEX('[1]SALES PERTYPE'!$H$10:$H$52,MATCH($C26,'[1]SALES PERTYPE'!$B$10:$B$52,0)),0)</f>
        <v>0</v>
      </c>
      <c r="K26" s="142">
        <f>IFERROR(INDEX('[1]SALES PERTYPE'!$I$10:$I$52,MATCH($C26,'[1]SALES PERTYPE'!$B$10:$B$52,0)),0)</f>
        <v>0</v>
      </c>
      <c r="L26" s="142">
        <f>IFERROR(INDEX('[1]SALES PERTYPE'!$J$10:$J$52,MATCH($C26,'[1]SALES PERTYPE'!$B$10:$B$52,0)),0)</f>
        <v>4</v>
      </c>
      <c r="M26" s="142">
        <f>IFERROR(INDEX('[1]SALES PERTYPE'!$K$10:$K$52,MATCH($C26,'[1]SALES PERTYPE'!$B$10:$B$52,0)),0)</f>
        <v>8396000</v>
      </c>
      <c r="N26" s="142">
        <f>IFERROR(INDEX('[1]SALES PERTYPE'!$L$10:$L$52,MATCH($C26,'[1]SALES PERTYPE'!$B$10:$B$52,0)),0)</f>
        <v>2</v>
      </c>
      <c r="O26" s="142">
        <f>IFERROR(INDEX('[1]SALES PERTYPE'!$M$10:$M$52,MATCH($C26,'[1]SALES PERTYPE'!$B$10:$B$52,0)),0)</f>
        <v>18998000</v>
      </c>
      <c r="P26" s="142">
        <f>IFERROR(INDEX('[1]SALES PERTYPE'!$N$10:$N$52,MATCH($C26,'[1]SALES PERTYPE'!$B$10:$B$52,0)),0)</f>
        <v>6</v>
      </c>
      <c r="Q26" s="142">
        <f>IFERROR(INDEX('[1]SALES PERTYPE'!$O$10:$O$52,MATCH($C26,'[1]SALES PERTYPE'!$B$10:$B$52,0)),0)</f>
        <v>26194000</v>
      </c>
      <c r="R26" s="142">
        <f>IFERROR(INDEX('[1]SALES PERTYPE'!$P$10:$P$52,MATCH($C26,'[1]SALES PERTYPE'!$B$10:$B$52,0)),0)</f>
        <v>0</v>
      </c>
      <c r="S26" s="142">
        <f>IFERROR(INDEX('[1]SALES PERTYPE'!$Q$10:$Q$52,MATCH($C26,'[1]SALES PERTYPE'!$B$10:$B$52,0)),0)</f>
        <v>0</v>
      </c>
      <c r="T26" s="142">
        <f>IFERROR(INDEX('[1]SALES PERTYPE'!$R$10:$R$52,MATCH($C26,'[1]SALES PERTYPE'!$B$10:$B$52,0)),0)</f>
        <v>0</v>
      </c>
      <c r="U26" s="142">
        <f>IFERROR(INDEX('[1]SALES PERTYPE'!$S$10:$S$52,MATCH($C26,'[1]SALES PERTYPE'!$B$10:$B$52,0)),0)</f>
        <v>0</v>
      </c>
      <c r="V26" s="142">
        <f>IFERROR(INDEX('[1]SALES PERTYPE'!$T$10:$T$52,MATCH($C26,'[1]SALES PERTYPE'!$B$10:$B$52,0)),0)</f>
        <v>2</v>
      </c>
      <c r="W26" s="142">
        <f>IFERROR(INDEX('[1]SALES PERTYPE'!$U$10:$U$52,MATCH($C26,'[1]SALES PERTYPE'!$B$10:$B$52,0)),0)</f>
        <v>15998000</v>
      </c>
      <c r="X26" s="142">
        <f>IFERROR(INDEX('[1]SALES PERTYPE'!$V$10:$V$52,MATCH($C26,'[1]SALES PERTYPE'!$B$10:$B$52,0)),0)</f>
        <v>0</v>
      </c>
      <c r="Y26" s="142">
        <f>IFERROR(INDEX('[1]SALES PERTYPE'!$W$10:$W$52,MATCH($C26,'[1]SALES PERTYPE'!$B$10:$B$52,0)),0)</f>
        <v>0</v>
      </c>
      <c r="Z26" s="142">
        <f>IFERROR(INDEX('[1]SALES PERTYPE'!$X$10:$X$52,MATCH($C26,'[1]SALES PERTYPE'!$B$10:$B$52,0)),0)</f>
        <v>1</v>
      </c>
      <c r="AA26" s="142">
        <f>IFERROR(INDEX('[1]SALES PERTYPE'!$Y$10:$Y$52,MATCH($C26,'[1]SALES PERTYPE'!$B$10:$B$52,0)),0)</f>
        <v>5499000</v>
      </c>
      <c r="AB26" s="142">
        <f>IFERROR(INDEX('[1]SALES PERTYPE'!$Z$10:$Z$52,MATCH($C26,'[1]SALES PERTYPE'!$B$10:$B$52,0)),0)</f>
        <v>0</v>
      </c>
      <c r="AC26" s="142">
        <f>IFERROR(INDEX('[1]SALES PERTYPE'!$AA$10:$AA$52,MATCH($C26,'[1]SALES PERTYPE'!$B$10:$B$52,0)),0)</f>
        <v>0</v>
      </c>
      <c r="AD26" s="142">
        <f>IFERROR(INDEX('[1]SALES PERTYPE'!$AB$10:$AB$52,MATCH($C26,'[1]SALES PERTYPE'!$B$10:$B$52,0)),0)</f>
        <v>4</v>
      </c>
      <c r="AE26" s="142">
        <f>IFERROR(INDEX('[1]SALES PERTYPE'!$AC$10:$AC$52,MATCH($C26,'[1]SALES PERTYPE'!$B$10:$B$52,0)),0)</f>
        <v>22396000</v>
      </c>
      <c r="AF26" s="142">
        <f>IFERROR(INDEX('[1]SALES PERTYPE'!$AD$10:$AD$52,MATCH($C26,'[1]SALES PERTYPE'!$B$10:$B$52,0)),0)</f>
        <v>0</v>
      </c>
      <c r="AG26" s="142">
        <f>IFERROR(INDEX('[1]SALES PERTYPE'!$AE$10:$AE$52,MATCH($C26,'[1]SALES PERTYPE'!$B$10:$B$52,0)),0)</f>
        <v>0</v>
      </c>
      <c r="AH26" s="142">
        <f>IFERROR(INDEX('[1]SALES PERTYPE'!$AF$10:$AF$52,MATCH($C26,'[1]SALES PERTYPE'!$B$10:$B$52,0)),0)</f>
        <v>0</v>
      </c>
      <c r="AI26" s="142">
        <f>IFERROR(INDEX('[1]SALES PERTYPE'!$AG$10:$AG$52,MATCH($C26,'[1]SALES PERTYPE'!$B$10:$B$52,0)),0)</f>
        <v>0</v>
      </c>
      <c r="AJ26" s="142">
        <f>IFERROR(INDEX('[1]SALES PERTYPE'!$AH$10:$AH$52,MATCH($C26,'[1]SALES PERTYPE'!$B$10:$B$52,0)),0)</f>
        <v>0</v>
      </c>
      <c r="AK26" s="142">
        <f>IFERROR(INDEX('[1]SALES PERTYPE'!$AI$10:$AI$52,MATCH($C26,'[1]SALES PERTYPE'!$B$10:$B$52,0)),0)</f>
        <v>0</v>
      </c>
      <c r="AL26" s="142">
        <f>IFERROR(INDEX('[1]SALES PERTYPE'!$AJ$10:$AJ$52,MATCH($C26,'[1]SALES PERTYPE'!$B$10:$B$52,0)),0)</f>
        <v>0</v>
      </c>
      <c r="AM26" s="142">
        <f>IFERROR(INDEX('[1]SALES PERTYPE'!$AK$10:$AK$52,MATCH($C26,'[1]SALES PERTYPE'!$B$10:$B$52,0)),0)</f>
        <v>0</v>
      </c>
      <c r="AN26" s="142">
        <f>IFERROR(INDEX('[1]SALES PERTYPE'!$AL$10:$AL$52,MATCH($C26,'[1]SALES PERTYPE'!$B$10:$B$52,0)),0)</f>
        <v>33</v>
      </c>
      <c r="AO26" s="142">
        <f>IFERROR(INDEX('[1]SALES PERTYPE'!$AM$10:$AM$52,MATCH($C26,'[1]SALES PERTYPE'!$B$10:$B$52,0)),0)</f>
        <v>132967000</v>
      </c>
    </row>
    <row r="27" spans="1:41" x14ac:dyDescent="0.15">
      <c r="A27" s="137">
        <f>'[1]ACHIEVEMENT STORE'!A27</f>
        <v>23</v>
      </c>
      <c r="B27" s="138" t="str">
        <f>'[1]ACHIEVEMENT STORE'!B27</f>
        <v>624-万丹BANTEN</v>
      </c>
      <c r="C27" s="137">
        <f>'[1]ACHIEVEMENT STORE'!C27</f>
        <v>6240704</v>
      </c>
      <c r="D27" s="138" t="str">
        <f>'[1]ACHIEVEMENT STORE'!D27</f>
        <v>6240704-TANGCITY LG017 WEST LOBBY</v>
      </c>
      <c r="E27" s="138" t="str">
        <f>'[1]ACHIEVEMENT STORE'!E27</f>
        <v>ARIES FITRIYANTO</v>
      </c>
      <c r="F27" s="139">
        <f>IFERROR(INDEX('[1]SALES PERTYPE'!$D$10:$D$52,MATCH($C27,'[1]SALES PERTYPE'!$B$10:$B$52,0)),0)</f>
        <v>0</v>
      </c>
      <c r="G27" s="139">
        <f>IFERROR(INDEX('[1]SALES PERTYPE'!$E$10:$E$52,MATCH($C27,'[1]SALES PERTYPE'!$B$10:$B$52,0)),0)</f>
        <v>0</v>
      </c>
      <c r="H27" s="139">
        <f>IFERROR(INDEX('[1]SALES PERTYPE'!$F$10:$F$52,MATCH($C27,'[1]SALES PERTYPE'!$B$10:$B$52,0)),0)</f>
        <v>0</v>
      </c>
      <c r="I27" s="139">
        <f>IFERROR(INDEX('[1]SALES PERTYPE'!$G$10:$G$52,MATCH($C27,'[1]SALES PERTYPE'!$B$10:$B$52,0)),0)</f>
        <v>0</v>
      </c>
      <c r="J27" s="139">
        <f>IFERROR(INDEX('[1]SALES PERTYPE'!$H$10:$H$52,MATCH($C27,'[1]SALES PERTYPE'!$B$10:$B$52,0)),0)</f>
        <v>0</v>
      </c>
      <c r="K27" s="139">
        <f>IFERROR(INDEX('[1]SALES PERTYPE'!$I$10:$I$52,MATCH($C27,'[1]SALES PERTYPE'!$B$10:$B$52,0)),0)</f>
        <v>0</v>
      </c>
      <c r="L27" s="139">
        <f>IFERROR(INDEX('[1]SALES PERTYPE'!$J$10:$J$52,MATCH($C27,'[1]SALES PERTYPE'!$B$10:$B$52,0)),0)</f>
        <v>4</v>
      </c>
      <c r="M27" s="139">
        <f>IFERROR(INDEX('[1]SALES PERTYPE'!$K$10:$K$52,MATCH($C27,'[1]SALES PERTYPE'!$B$10:$B$52,0)),0)</f>
        <v>8396000</v>
      </c>
      <c r="N27" s="139">
        <f>IFERROR(INDEX('[1]SALES PERTYPE'!$L$10:$L$52,MATCH($C27,'[1]SALES PERTYPE'!$B$10:$B$52,0)),0)</f>
        <v>0</v>
      </c>
      <c r="O27" s="139">
        <f>IFERROR(INDEX('[1]SALES PERTYPE'!$M$10:$M$52,MATCH($C27,'[1]SALES PERTYPE'!$B$10:$B$52,0)),0)</f>
        <v>0</v>
      </c>
      <c r="P27" s="139">
        <f>IFERROR(INDEX('[1]SALES PERTYPE'!$N$10:$N$52,MATCH($C27,'[1]SALES PERTYPE'!$B$10:$B$52,0)),0)</f>
        <v>0</v>
      </c>
      <c r="Q27" s="139">
        <f>IFERROR(INDEX('[1]SALES PERTYPE'!$O$10:$O$52,MATCH($C27,'[1]SALES PERTYPE'!$B$10:$B$52,0)),0)</f>
        <v>0</v>
      </c>
      <c r="R27" s="139">
        <f>IFERROR(INDEX('[1]SALES PERTYPE'!$P$10:$P$52,MATCH($C27,'[1]SALES PERTYPE'!$B$10:$B$52,0)),0)</f>
        <v>0</v>
      </c>
      <c r="S27" s="139">
        <f>IFERROR(INDEX('[1]SALES PERTYPE'!$Q$10:$Q$52,MATCH($C27,'[1]SALES PERTYPE'!$B$10:$B$52,0)),0)</f>
        <v>0</v>
      </c>
      <c r="T27" s="139">
        <f>IFERROR(INDEX('[1]SALES PERTYPE'!$R$10:$R$52,MATCH($C27,'[1]SALES PERTYPE'!$B$10:$B$52,0)),0)</f>
        <v>0</v>
      </c>
      <c r="U27" s="139">
        <f>IFERROR(INDEX('[1]SALES PERTYPE'!$S$10:$S$52,MATCH($C27,'[1]SALES PERTYPE'!$B$10:$B$52,0)),0)</f>
        <v>0</v>
      </c>
      <c r="V27" s="139">
        <f>IFERROR(INDEX('[1]SALES PERTYPE'!$T$10:$T$52,MATCH($C27,'[1]SALES PERTYPE'!$B$10:$B$52,0)),0)</f>
        <v>0</v>
      </c>
      <c r="W27" s="139">
        <f>IFERROR(INDEX('[1]SALES PERTYPE'!$U$10:$U$52,MATCH($C27,'[1]SALES PERTYPE'!$B$10:$B$52,0)),0)</f>
        <v>0</v>
      </c>
      <c r="X27" s="139">
        <f>IFERROR(INDEX('[1]SALES PERTYPE'!$V$10:$V$52,MATCH($C27,'[1]SALES PERTYPE'!$B$10:$B$52,0)),0)</f>
        <v>0</v>
      </c>
      <c r="Y27" s="139">
        <f>IFERROR(INDEX('[1]SALES PERTYPE'!$W$10:$W$52,MATCH($C27,'[1]SALES PERTYPE'!$B$10:$B$52,0)),0)</f>
        <v>0</v>
      </c>
      <c r="Z27" s="139">
        <f>IFERROR(INDEX('[1]SALES PERTYPE'!$X$10:$X$52,MATCH($C27,'[1]SALES PERTYPE'!$B$10:$B$52,0)),0)</f>
        <v>0</v>
      </c>
      <c r="AA27" s="139">
        <f>IFERROR(INDEX('[1]SALES PERTYPE'!$Y$10:$Y$52,MATCH($C27,'[1]SALES PERTYPE'!$B$10:$B$52,0)),0)</f>
        <v>0</v>
      </c>
      <c r="AB27" s="139">
        <f>IFERROR(INDEX('[1]SALES PERTYPE'!$Z$10:$Z$52,MATCH($C27,'[1]SALES PERTYPE'!$B$10:$B$52,0)),0)</f>
        <v>0</v>
      </c>
      <c r="AC27" s="139">
        <f>IFERROR(INDEX('[1]SALES PERTYPE'!$AA$10:$AA$52,MATCH($C27,'[1]SALES PERTYPE'!$B$10:$B$52,0)),0)</f>
        <v>0</v>
      </c>
      <c r="AD27" s="139">
        <f>IFERROR(INDEX('[1]SALES PERTYPE'!$AB$10:$AB$52,MATCH($C27,'[1]SALES PERTYPE'!$B$10:$B$52,0)),0)</f>
        <v>0</v>
      </c>
      <c r="AE27" s="139">
        <f>IFERROR(INDEX('[1]SALES PERTYPE'!$AC$10:$AC$52,MATCH($C27,'[1]SALES PERTYPE'!$B$10:$B$52,0)),0)</f>
        <v>0</v>
      </c>
      <c r="AF27" s="139">
        <f>IFERROR(INDEX('[1]SALES PERTYPE'!$AD$10:$AD$52,MATCH($C27,'[1]SALES PERTYPE'!$B$10:$B$52,0)),0)</f>
        <v>0</v>
      </c>
      <c r="AG27" s="139">
        <f>IFERROR(INDEX('[1]SALES PERTYPE'!$AE$10:$AE$52,MATCH($C27,'[1]SALES PERTYPE'!$B$10:$B$52,0)),0)</f>
        <v>0</v>
      </c>
      <c r="AH27" s="139">
        <f>IFERROR(INDEX('[1]SALES PERTYPE'!$AF$10:$AF$52,MATCH($C27,'[1]SALES PERTYPE'!$B$10:$B$52,0)),0)</f>
        <v>0</v>
      </c>
      <c r="AI27" s="139">
        <f>IFERROR(INDEX('[1]SALES PERTYPE'!$AG$10:$AG$52,MATCH($C27,'[1]SALES PERTYPE'!$B$10:$B$52,0)),0)</f>
        <v>0</v>
      </c>
      <c r="AJ27" s="139">
        <f>IFERROR(INDEX('[1]SALES PERTYPE'!$AH$10:$AH$52,MATCH($C27,'[1]SALES PERTYPE'!$B$10:$B$52,0)),0)</f>
        <v>0</v>
      </c>
      <c r="AK27" s="139">
        <f>IFERROR(INDEX('[1]SALES PERTYPE'!$AI$10:$AI$52,MATCH($C27,'[1]SALES PERTYPE'!$B$10:$B$52,0)),0)</f>
        <v>0</v>
      </c>
      <c r="AL27" s="139">
        <f>IFERROR(INDEX('[1]SALES PERTYPE'!$AJ$10:$AJ$52,MATCH($C27,'[1]SALES PERTYPE'!$B$10:$B$52,0)),0)</f>
        <v>0</v>
      </c>
      <c r="AM27" s="139">
        <f>IFERROR(INDEX('[1]SALES PERTYPE'!$AK$10:$AK$52,MATCH($C27,'[1]SALES PERTYPE'!$B$10:$B$52,0)),0)</f>
        <v>0</v>
      </c>
      <c r="AN27" s="139">
        <f>IFERROR(INDEX('[1]SALES PERTYPE'!$AL$10:$AL$52,MATCH($C27,'[1]SALES PERTYPE'!$B$10:$B$52,0)),0)</f>
        <v>4</v>
      </c>
      <c r="AO27" s="139">
        <f>IFERROR(INDEX('[1]SALES PERTYPE'!$AM$10:$AM$52,MATCH($C27,'[1]SALES PERTYPE'!$B$10:$B$52,0)),0)</f>
        <v>8396000</v>
      </c>
    </row>
    <row r="28" spans="1:41" x14ac:dyDescent="0.15">
      <c r="A28" s="140">
        <f>'[1]ACHIEVEMENT STORE'!A28</f>
        <v>24</v>
      </c>
      <c r="B28" s="141" t="str">
        <f>'[1]ACHIEVEMENT STORE'!B28</f>
        <v>624-万丹BANTEN</v>
      </c>
      <c r="C28" s="140">
        <f>'[1]ACHIEVEMENT STORE'!C28</f>
        <v>6240701</v>
      </c>
      <c r="D28" s="141" t="str">
        <f>'[1]ACHIEVEMENT STORE'!D28</f>
        <v>A200803-LG BLOK A-B NO. 12 SKY 5</v>
      </c>
      <c r="E28" s="141" t="str">
        <f>'[1]ACHIEVEMENT STORE'!E28</f>
        <v>DHANI EKO NUGROHO</v>
      </c>
      <c r="F28" s="142">
        <f>IFERROR(INDEX('[1]SALES PERTYPE'!$D$10:$D$52,MATCH($C28,'[1]SALES PERTYPE'!$B$10:$B$52,0)),0)</f>
        <v>6</v>
      </c>
      <c r="G28" s="142">
        <f>IFERROR(INDEX('[1]SALES PERTYPE'!$E$10:$E$52,MATCH($C28,'[1]SALES PERTYPE'!$B$10:$B$52,0)),0)</f>
        <v>15294000</v>
      </c>
      <c r="H28" s="142">
        <f>IFERROR(INDEX('[1]SALES PERTYPE'!$F$10:$F$52,MATCH($C28,'[1]SALES PERTYPE'!$B$10:$B$52,0)),0)</f>
        <v>13</v>
      </c>
      <c r="I28" s="142">
        <f>IFERROR(INDEX('[1]SALES PERTYPE'!$G$10:$G$52,MATCH($C28,'[1]SALES PERTYPE'!$B$10:$B$52,0)),0)</f>
        <v>33987000</v>
      </c>
      <c r="J28" s="142">
        <f>IFERROR(INDEX('[1]SALES PERTYPE'!$H$10:$H$52,MATCH($C28,'[1]SALES PERTYPE'!$B$10:$B$52,0)),0)</f>
        <v>0</v>
      </c>
      <c r="K28" s="142">
        <f>IFERROR(INDEX('[1]SALES PERTYPE'!$I$10:$I$52,MATCH($C28,'[1]SALES PERTYPE'!$B$10:$B$52,0)),0)</f>
        <v>0</v>
      </c>
      <c r="L28" s="142">
        <f>IFERROR(INDEX('[1]SALES PERTYPE'!$J$10:$J$52,MATCH($C28,'[1]SALES PERTYPE'!$B$10:$B$52,0)),0)</f>
        <v>5</v>
      </c>
      <c r="M28" s="142">
        <f>IFERROR(INDEX('[1]SALES PERTYPE'!$K$10:$K$52,MATCH($C28,'[1]SALES PERTYPE'!$B$10:$B$52,0)),0)</f>
        <v>10495000</v>
      </c>
      <c r="N28" s="142">
        <f>IFERROR(INDEX('[1]SALES PERTYPE'!$L$10:$L$52,MATCH($C28,'[1]SALES PERTYPE'!$B$10:$B$52,0)),0)</f>
        <v>1</v>
      </c>
      <c r="O28" s="142">
        <f>IFERROR(INDEX('[1]SALES PERTYPE'!$M$10:$M$52,MATCH($C28,'[1]SALES PERTYPE'!$B$10:$B$52,0)),0)</f>
        <v>9999000</v>
      </c>
      <c r="P28" s="142">
        <f>IFERROR(INDEX('[1]SALES PERTYPE'!$N$10:$N$52,MATCH($C28,'[1]SALES PERTYPE'!$B$10:$B$52,0)),0)</f>
        <v>7</v>
      </c>
      <c r="Q28" s="142">
        <f>IFERROR(INDEX('[1]SALES PERTYPE'!$O$10:$O$52,MATCH($C28,'[1]SALES PERTYPE'!$B$10:$B$52,0)),0)</f>
        <v>32293000</v>
      </c>
      <c r="R28" s="142">
        <f>IFERROR(INDEX('[1]SALES PERTYPE'!$P$10:$P$52,MATCH($C28,'[1]SALES PERTYPE'!$B$10:$B$52,0)),0)</f>
        <v>0</v>
      </c>
      <c r="S28" s="142">
        <f>IFERROR(INDEX('[1]SALES PERTYPE'!$Q$10:$Q$52,MATCH($C28,'[1]SALES PERTYPE'!$B$10:$B$52,0)),0)</f>
        <v>0</v>
      </c>
      <c r="T28" s="142">
        <f>IFERROR(INDEX('[1]SALES PERTYPE'!$R$10:$R$52,MATCH($C28,'[1]SALES PERTYPE'!$B$10:$B$52,0)),0)</f>
        <v>1</v>
      </c>
      <c r="U28" s="142">
        <f>IFERROR(INDEX('[1]SALES PERTYPE'!$S$10:$S$52,MATCH($C28,'[1]SALES PERTYPE'!$B$10:$B$52,0)),0)</f>
        <v>3599000</v>
      </c>
      <c r="V28" s="142">
        <f>IFERROR(INDEX('[1]SALES PERTYPE'!$T$10:$T$52,MATCH($C28,'[1]SALES PERTYPE'!$B$10:$B$52,0)),0)</f>
        <v>1</v>
      </c>
      <c r="W28" s="142">
        <f>IFERROR(INDEX('[1]SALES PERTYPE'!$U$10:$U$52,MATCH($C28,'[1]SALES PERTYPE'!$B$10:$B$52,0)),0)</f>
        <v>6499000</v>
      </c>
      <c r="X28" s="142">
        <f>IFERROR(INDEX('[1]SALES PERTYPE'!$V$10:$V$52,MATCH($C28,'[1]SALES PERTYPE'!$B$10:$B$52,0)),0)</f>
        <v>0</v>
      </c>
      <c r="Y28" s="142">
        <f>IFERROR(INDEX('[1]SALES PERTYPE'!$W$10:$W$52,MATCH($C28,'[1]SALES PERTYPE'!$B$10:$B$52,0)),0)</f>
        <v>0</v>
      </c>
      <c r="Z28" s="142">
        <f>IFERROR(INDEX('[1]SALES PERTYPE'!$X$10:$X$52,MATCH($C28,'[1]SALES PERTYPE'!$B$10:$B$52,0)),0)</f>
        <v>2</v>
      </c>
      <c r="AA28" s="142">
        <f>IFERROR(INDEX('[1]SALES PERTYPE'!$Y$10:$Y$52,MATCH($C28,'[1]SALES PERTYPE'!$B$10:$B$52,0)),0)</f>
        <v>11798000</v>
      </c>
      <c r="AB28" s="142">
        <f>IFERROR(INDEX('[1]SALES PERTYPE'!$Z$10:$Z$52,MATCH($C28,'[1]SALES PERTYPE'!$B$10:$B$52,0)),0)</f>
        <v>0</v>
      </c>
      <c r="AC28" s="142">
        <f>IFERROR(INDEX('[1]SALES PERTYPE'!$AA$10:$AA$52,MATCH($C28,'[1]SALES PERTYPE'!$B$10:$B$52,0)),0)</f>
        <v>0</v>
      </c>
      <c r="AD28" s="142">
        <f>IFERROR(INDEX('[1]SALES PERTYPE'!$AB$10:$AB$52,MATCH($C28,'[1]SALES PERTYPE'!$B$10:$B$52,0)),0)</f>
        <v>0</v>
      </c>
      <c r="AE28" s="142">
        <f>IFERROR(INDEX('[1]SALES PERTYPE'!$AC$10:$AC$52,MATCH($C28,'[1]SALES PERTYPE'!$B$10:$B$52,0)),0)</f>
        <v>0</v>
      </c>
      <c r="AF28" s="142">
        <f>IFERROR(INDEX('[1]SALES PERTYPE'!$AD$10:$AD$52,MATCH($C28,'[1]SALES PERTYPE'!$B$10:$B$52,0)),0)</f>
        <v>0</v>
      </c>
      <c r="AG28" s="142">
        <f>IFERROR(INDEX('[1]SALES PERTYPE'!$AE$10:$AE$52,MATCH($C28,'[1]SALES PERTYPE'!$B$10:$B$52,0)),0)</f>
        <v>0</v>
      </c>
      <c r="AH28" s="142">
        <f>IFERROR(INDEX('[1]SALES PERTYPE'!$AF$10:$AF$52,MATCH($C28,'[1]SALES PERTYPE'!$B$10:$B$52,0)),0)</f>
        <v>0</v>
      </c>
      <c r="AI28" s="142">
        <f>IFERROR(INDEX('[1]SALES PERTYPE'!$AG$10:$AG$52,MATCH($C28,'[1]SALES PERTYPE'!$B$10:$B$52,0)),0)</f>
        <v>0</v>
      </c>
      <c r="AJ28" s="142">
        <f>IFERROR(INDEX('[1]SALES PERTYPE'!$AH$10:$AH$52,MATCH($C28,'[1]SALES PERTYPE'!$B$10:$B$52,0)),0)</f>
        <v>0</v>
      </c>
      <c r="AK28" s="142">
        <f>IFERROR(INDEX('[1]SALES PERTYPE'!$AI$10:$AI$52,MATCH($C28,'[1]SALES PERTYPE'!$B$10:$B$52,0)),0)</f>
        <v>0</v>
      </c>
      <c r="AL28" s="142">
        <f>IFERROR(INDEX('[1]SALES PERTYPE'!$AJ$10:$AJ$52,MATCH($C28,'[1]SALES PERTYPE'!$B$10:$B$52,0)),0)</f>
        <v>0</v>
      </c>
      <c r="AM28" s="142">
        <f>IFERROR(INDEX('[1]SALES PERTYPE'!$AK$10:$AK$52,MATCH($C28,'[1]SALES PERTYPE'!$B$10:$B$52,0)),0)</f>
        <v>0</v>
      </c>
      <c r="AN28" s="142">
        <f>IFERROR(INDEX('[1]SALES PERTYPE'!$AL$10:$AL$52,MATCH($C28,'[1]SALES PERTYPE'!$B$10:$B$52,0)),0)</f>
        <v>36</v>
      </c>
      <c r="AO28" s="142">
        <f>IFERROR(INDEX('[1]SALES PERTYPE'!$AM$10:$AM$52,MATCH($C28,'[1]SALES PERTYPE'!$B$10:$B$52,0)),0)</f>
        <v>123964000</v>
      </c>
    </row>
    <row r="29" spans="1:41" x14ac:dyDescent="0.15">
      <c r="A29" s="137">
        <f>'[1]ACHIEVEMENT STORE'!A29</f>
        <v>25</v>
      </c>
      <c r="B29" s="138" t="str">
        <f>'[1]ACHIEVEMENT STORE'!B29</f>
        <v>624-万丹BANTEN</v>
      </c>
      <c r="C29" s="137">
        <f>'[1]ACHIEVEMENT STORE'!C29</f>
        <v>6170706</v>
      </c>
      <c r="D29" s="138" t="str">
        <f>'[1]ACHIEVEMENT STORE'!D29</f>
        <v>A200802-CHARLES</v>
      </c>
      <c r="E29" s="138" t="str">
        <f>'[1]ACHIEVEMENT STORE'!E29</f>
        <v>DHANI EKO NUGROHO</v>
      </c>
      <c r="F29" s="139">
        <f>IFERROR(INDEX('[1]SALES PERTYPE'!$D$10:$D$52,MATCH($C29,'[1]SALES PERTYPE'!$B$10:$B$52,0)),0)</f>
        <v>6</v>
      </c>
      <c r="G29" s="139">
        <f>IFERROR(INDEX('[1]SALES PERTYPE'!$E$10:$E$52,MATCH($C29,'[1]SALES PERTYPE'!$B$10:$B$52,0)),0)</f>
        <v>14994000</v>
      </c>
      <c r="H29" s="139">
        <f>IFERROR(INDEX('[1]SALES PERTYPE'!$F$10:$F$52,MATCH($C29,'[1]SALES PERTYPE'!$B$10:$B$52,0)),0)</f>
        <v>19</v>
      </c>
      <c r="I29" s="139">
        <f>IFERROR(INDEX('[1]SALES PERTYPE'!$G$10:$G$52,MATCH($C29,'[1]SALES PERTYPE'!$B$10:$B$52,0)),0)</f>
        <v>51581000</v>
      </c>
      <c r="J29" s="139">
        <f>IFERROR(INDEX('[1]SALES PERTYPE'!$H$10:$H$52,MATCH($C29,'[1]SALES PERTYPE'!$B$10:$B$52,0)),0)</f>
        <v>0</v>
      </c>
      <c r="K29" s="139">
        <f>IFERROR(INDEX('[1]SALES PERTYPE'!$I$10:$I$52,MATCH($C29,'[1]SALES PERTYPE'!$B$10:$B$52,0)),0)</f>
        <v>0</v>
      </c>
      <c r="L29" s="139">
        <f>IFERROR(INDEX('[1]SALES PERTYPE'!$J$10:$J$52,MATCH($C29,'[1]SALES PERTYPE'!$B$10:$B$52,0)),0)</f>
        <v>5</v>
      </c>
      <c r="M29" s="139">
        <f>IFERROR(INDEX('[1]SALES PERTYPE'!$K$10:$K$52,MATCH($C29,'[1]SALES PERTYPE'!$B$10:$B$52,0)),0)</f>
        <v>10495000</v>
      </c>
      <c r="N29" s="139">
        <f>IFERROR(INDEX('[1]SALES PERTYPE'!$L$10:$L$52,MATCH($C29,'[1]SALES PERTYPE'!$B$10:$B$52,0)),0)</f>
        <v>0</v>
      </c>
      <c r="O29" s="139">
        <f>IFERROR(INDEX('[1]SALES PERTYPE'!$M$10:$M$52,MATCH($C29,'[1]SALES PERTYPE'!$B$10:$B$52,0)),0)</f>
        <v>0</v>
      </c>
      <c r="P29" s="139">
        <f>IFERROR(INDEX('[1]SALES PERTYPE'!$N$10:$N$52,MATCH($C29,'[1]SALES PERTYPE'!$B$10:$B$52,0)),0)</f>
        <v>2</v>
      </c>
      <c r="Q29" s="139">
        <f>IFERROR(INDEX('[1]SALES PERTYPE'!$O$10:$O$52,MATCH($C29,'[1]SALES PERTYPE'!$B$10:$B$52,0)),0)</f>
        <v>7798000</v>
      </c>
      <c r="R29" s="139">
        <f>IFERROR(INDEX('[1]SALES PERTYPE'!$P$10:$P$52,MATCH($C29,'[1]SALES PERTYPE'!$B$10:$B$52,0)),0)</f>
        <v>0</v>
      </c>
      <c r="S29" s="139">
        <f>IFERROR(INDEX('[1]SALES PERTYPE'!$Q$10:$Q$52,MATCH($C29,'[1]SALES PERTYPE'!$B$10:$B$52,0)),0)</f>
        <v>0</v>
      </c>
      <c r="T29" s="139">
        <f>IFERROR(INDEX('[1]SALES PERTYPE'!$R$10:$R$52,MATCH($C29,'[1]SALES PERTYPE'!$B$10:$B$52,0)),0)</f>
        <v>0</v>
      </c>
      <c r="U29" s="139">
        <f>IFERROR(INDEX('[1]SALES PERTYPE'!$S$10:$S$52,MATCH($C29,'[1]SALES PERTYPE'!$B$10:$B$52,0)),0)</f>
        <v>0</v>
      </c>
      <c r="V29" s="139">
        <f>IFERROR(INDEX('[1]SALES PERTYPE'!$T$10:$T$52,MATCH($C29,'[1]SALES PERTYPE'!$B$10:$B$52,0)),0)</f>
        <v>1</v>
      </c>
      <c r="W29" s="139">
        <f>IFERROR(INDEX('[1]SALES PERTYPE'!$U$10:$U$52,MATCH($C29,'[1]SALES PERTYPE'!$B$10:$B$52,0)),0)</f>
        <v>7199000</v>
      </c>
      <c r="X29" s="139">
        <f>IFERROR(INDEX('[1]SALES PERTYPE'!$V$10:$V$52,MATCH($C29,'[1]SALES PERTYPE'!$B$10:$B$52,0)),0)</f>
        <v>0</v>
      </c>
      <c r="Y29" s="139">
        <f>IFERROR(INDEX('[1]SALES PERTYPE'!$W$10:$W$52,MATCH($C29,'[1]SALES PERTYPE'!$B$10:$B$52,0)),0)</f>
        <v>0</v>
      </c>
      <c r="Z29" s="139">
        <f>IFERROR(INDEX('[1]SALES PERTYPE'!$X$10:$X$52,MATCH($C29,'[1]SALES PERTYPE'!$B$10:$B$52,0)),0)</f>
        <v>1</v>
      </c>
      <c r="AA29" s="139">
        <f>IFERROR(INDEX('[1]SALES PERTYPE'!$Y$10:$Y$52,MATCH($C29,'[1]SALES PERTYPE'!$B$10:$B$52,0)),0)</f>
        <v>6299000</v>
      </c>
      <c r="AB29" s="139">
        <f>IFERROR(INDEX('[1]SALES PERTYPE'!$Z$10:$Z$52,MATCH($C29,'[1]SALES PERTYPE'!$B$10:$B$52,0)),0)</f>
        <v>0</v>
      </c>
      <c r="AC29" s="139">
        <f>IFERROR(INDEX('[1]SALES PERTYPE'!$AA$10:$AA$52,MATCH($C29,'[1]SALES PERTYPE'!$B$10:$B$52,0)),0)</f>
        <v>0</v>
      </c>
      <c r="AD29" s="139">
        <f>IFERROR(INDEX('[1]SALES PERTYPE'!$AB$10:$AB$52,MATCH($C29,'[1]SALES PERTYPE'!$B$10:$B$52,0)),0)</f>
        <v>2</v>
      </c>
      <c r="AE29" s="139">
        <f>IFERROR(INDEX('[1]SALES PERTYPE'!$AC$10:$AC$52,MATCH($C29,'[1]SALES PERTYPE'!$B$10:$B$52,0)),0)</f>
        <v>11798000</v>
      </c>
      <c r="AF29" s="139">
        <f>IFERROR(INDEX('[1]SALES PERTYPE'!$AD$10:$AD$52,MATCH($C29,'[1]SALES PERTYPE'!$B$10:$B$52,0)),0)</f>
        <v>0</v>
      </c>
      <c r="AG29" s="139">
        <f>IFERROR(INDEX('[1]SALES PERTYPE'!$AE$10:$AE$52,MATCH($C29,'[1]SALES PERTYPE'!$B$10:$B$52,0)),0)</f>
        <v>0</v>
      </c>
      <c r="AH29" s="139">
        <f>IFERROR(INDEX('[1]SALES PERTYPE'!$AF$10:$AF$52,MATCH($C29,'[1]SALES PERTYPE'!$B$10:$B$52,0)),0)</f>
        <v>0</v>
      </c>
      <c r="AI29" s="139">
        <f>IFERROR(INDEX('[1]SALES PERTYPE'!$AG$10:$AG$52,MATCH($C29,'[1]SALES PERTYPE'!$B$10:$B$52,0)),0)</f>
        <v>0</v>
      </c>
      <c r="AJ29" s="139">
        <f>IFERROR(INDEX('[1]SALES PERTYPE'!$AH$10:$AH$52,MATCH($C29,'[1]SALES PERTYPE'!$B$10:$B$52,0)),0)</f>
        <v>0</v>
      </c>
      <c r="AK29" s="139">
        <f>IFERROR(INDEX('[1]SALES PERTYPE'!$AI$10:$AI$52,MATCH($C29,'[1]SALES PERTYPE'!$B$10:$B$52,0)),0)</f>
        <v>0</v>
      </c>
      <c r="AL29" s="139">
        <f>IFERROR(INDEX('[1]SALES PERTYPE'!$AJ$10:$AJ$52,MATCH($C29,'[1]SALES PERTYPE'!$B$10:$B$52,0)),0)</f>
        <v>0</v>
      </c>
      <c r="AM29" s="139">
        <f>IFERROR(INDEX('[1]SALES PERTYPE'!$AK$10:$AK$52,MATCH($C29,'[1]SALES PERTYPE'!$B$10:$B$52,0)),0)</f>
        <v>0</v>
      </c>
      <c r="AN29" s="139">
        <f>IFERROR(INDEX('[1]SALES PERTYPE'!$AL$10:$AL$52,MATCH($C29,'[1]SALES PERTYPE'!$B$10:$B$52,0)),0)</f>
        <v>36</v>
      </c>
      <c r="AO29" s="139">
        <f>IFERROR(INDEX('[1]SALES PERTYPE'!$AM$10:$AM$52,MATCH($C29,'[1]SALES PERTYPE'!$B$10:$B$52,0)),0)</f>
        <v>110164000</v>
      </c>
    </row>
    <row r="30" spans="1:41" x14ac:dyDescent="0.15">
      <c r="A30" s="140">
        <f>'[1]ACHIEVEMENT STORE'!A30</f>
        <v>26</v>
      </c>
      <c r="B30" s="141" t="str">
        <f>'[1]ACHIEVEMENT STORE'!B30</f>
        <v>624-万丹BANTEN</v>
      </c>
      <c r="C30" s="140">
        <f>'[1]ACHIEVEMENT STORE'!C30</f>
        <v>6240703</v>
      </c>
      <c r="D30" s="141" t="str">
        <f>'[1]ACHIEVEMENT STORE'!D30</f>
        <v>6240703-TANGCITY LG009 CENTER</v>
      </c>
      <c r="E30" s="141" t="str">
        <f>'[1]ACHIEVEMENT STORE'!E30</f>
        <v>DHANI EKO NUGROHO</v>
      </c>
      <c r="F30" s="142">
        <f>IFERROR(INDEX('[1]SALES PERTYPE'!$D$10:$D$52,MATCH($C30,'[1]SALES PERTYPE'!$B$10:$B$52,0)),0)</f>
        <v>6</v>
      </c>
      <c r="G30" s="142">
        <f>IFERROR(INDEX('[1]SALES PERTYPE'!$E$10:$E$52,MATCH($C30,'[1]SALES PERTYPE'!$B$10:$B$52,0)),0)</f>
        <v>14394000</v>
      </c>
      <c r="H30" s="142">
        <f>IFERROR(INDEX('[1]SALES PERTYPE'!$F$10:$F$52,MATCH($C30,'[1]SALES PERTYPE'!$B$10:$B$52,0)),0)</f>
        <v>4</v>
      </c>
      <c r="I30" s="142">
        <f>IFERROR(INDEX('[1]SALES PERTYPE'!$G$10:$G$52,MATCH($C30,'[1]SALES PERTYPE'!$B$10:$B$52,0)),0)</f>
        <v>10796000</v>
      </c>
      <c r="J30" s="142">
        <f>IFERROR(INDEX('[1]SALES PERTYPE'!$H$10:$H$52,MATCH($C30,'[1]SALES PERTYPE'!$B$10:$B$52,0)),0)</f>
        <v>0</v>
      </c>
      <c r="K30" s="142">
        <f>IFERROR(INDEX('[1]SALES PERTYPE'!$I$10:$I$52,MATCH($C30,'[1]SALES PERTYPE'!$B$10:$B$52,0)),0)</f>
        <v>0</v>
      </c>
      <c r="L30" s="142">
        <f>IFERROR(INDEX('[1]SALES PERTYPE'!$J$10:$J$52,MATCH($C30,'[1]SALES PERTYPE'!$B$10:$B$52,0)),0)</f>
        <v>6</v>
      </c>
      <c r="M30" s="142">
        <f>IFERROR(INDEX('[1]SALES PERTYPE'!$K$10:$K$52,MATCH($C30,'[1]SALES PERTYPE'!$B$10:$B$52,0)),0)</f>
        <v>12594000</v>
      </c>
      <c r="N30" s="142">
        <f>IFERROR(INDEX('[1]SALES PERTYPE'!$L$10:$L$52,MATCH($C30,'[1]SALES PERTYPE'!$B$10:$B$52,0)),0)</f>
        <v>1</v>
      </c>
      <c r="O30" s="142">
        <f>IFERROR(INDEX('[1]SALES PERTYPE'!$M$10:$M$52,MATCH($C30,'[1]SALES PERTYPE'!$B$10:$B$52,0)),0)</f>
        <v>9999000</v>
      </c>
      <c r="P30" s="142">
        <f>IFERROR(INDEX('[1]SALES PERTYPE'!$N$10:$N$52,MATCH($C30,'[1]SALES PERTYPE'!$B$10:$B$52,0)),0)</f>
        <v>9</v>
      </c>
      <c r="Q30" s="142">
        <f>IFERROR(INDEX('[1]SALES PERTYPE'!$O$10:$O$52,MATCH($C30,'[1]SALES PERTYPE'!$B$10:$B$52,0)),0)</f>
        <v>37291000</v>
      </c>
      <c r="R30" s="142">
        <f>IFERROR(INDEX('[1]SALES PERTYPE'!$P$10:$P$52,MATCH($C30,'[1]SALES PERTYPE'!$B$10:$B$52,0)),0)</f>
        <v>1</v>
      </c>
      <c r="S30" s="142">
        <f>IFERROR(INDEX('[1]SALES PERTYPE'!$Q$10:$Q$52,MATCH($C30,'[1]SALES PERTYPE'!$B$10:$B$52,0)),0)</f>
        <v>3599000</v>
      </c>
      <c r="T30" s="142">
        <f>IFERROR(INDEX('[1]SALES PERTYPE'!$R$10:$R$52,MATCH($C30,'[1]SALES PERTYPE'!$B$10:$B$52,0)),0)</f>
        <v>0</v>
      </c>
      <c r="U30" s="142">
        <f>IFERROR(INDEX('[1]SALES PERTYPE'!$S$10:$S$52,MATCH($C30,'[1]SALES PERTYPE'!$B$10:$B$52,0)),0)</f>
        <v>0</v>
      </c>
      <c r="V30" s="142">
        <f>IFERROR(INDEX('[1]SALES PERTYPE'!$T$10:$T$52,MATCH($C30,'[1]SALES PERTYPE'!$B$10:$B$52,0)),0)</f>
        <v>1</v>
      </c>
      <c r="W30" s="142">
        <f>IFERROR(INDEX('[1]SALES PERTYPE'!$U$10:$U$52,MATCH($C30,'[1]SALES PERTYPE'!$B$10:$B$52,0)),0)</f>
        <v>7999000</v>
      </c>
      <c r="X30" s="142">
        <f>IFERROR(INDEX('[1]SALES PERTYPE'!$V$10:$V$52,MATCH($C30,'[1]SALES PERTYPE'!$B$10:$B$52,0)),0)</f>
        <v>1</v>
      </c>
      <c r="Y30" s="142">
        <f>IFERROR(INDEX('[1]SALES PERTYPE'!$W$10:$W$52,MATCH($C30,'[1]SALES PERTYPE'!$B$10:$B$52,0)),0)</f>
        <v>3599000</v>
      </c>
      <c r="Z30" s="142">
        <f>IFERROR(INDEX('[1]SALES PERTYPE'!$X$10:$X$52,MATCH($C30,'[1]SALES PERTYPE'!$B$10:$B$52,0)),0)</f>
        <v>0</v>
      </c>
      <c r="AA30" s="142">
        <f>IFERROR(INDEX('[1]SALES PERTYPE'!$Y$10:$Y$52,MATCH($C30,'[1]SALES PERTYPE'!$B$10:$B$52,0)),0)</f>
        <v>0</v>
      </c>
      <c r="AB30" s="142">
        <f>IFERROR(INDEX('[1]SALES PERTYPE'!$Z$10:$Z$52,MATCH($C30,'[1]SALES PERTYPE'!$B$10:$B$52,0)),0)</f>
        <v>0</v>
      </c>
      <c r="AC30" s="142">
        <f>IFERROR(INDEX('[1]SALES PERTYPE'!$AA$10:$AA$52,MATCH($C30,'[1]SALES PERTYPE'!$B$10:$B$52,0)),0)</f>
        <v>0</v>
      </c>
      <c r="AD30" s="142">
        <f>IFERROR(INDEX('[1]SALES PERTYPE'!$AB$10:$AB$52,MATCH($C30,'[1]SALES PERTYPE'!$B$10:$B$52,0)),0)</f>
        <v>2</v>
      </c>
      <c r="AE30" s="142">
        <f>IFERROR(INDEX('[1]SALES PERTYPE'!$AC$10:$AC$52,MATCH($C30,'[1]SALES PERTYPE'!$B$10:$B$52,0)),0)</f>
        <v>11798000</v>
      </c>
      <c r="AF30" s="142">
        <f>IFERROR(INDEX('[1]SALES PERTYPE'!$AD$10:$AD$52,MATCH($C30,'[1]SALES PERTYPE'!$B$10:$B$52,0)),0)</f>
        <v>1</v>
      </c>
      <c r="AG30" s="142">
        <f>IFERROR(INDEX('[1]SALES PERTYPE'!$AE$10:$AE$52,MATCH($C30,'[1]SALES PERTYPE'!$B$10:$B$52,0)),0)</f>
        <v>25999000</v>
      </c>
      <c r="AH30" s="142">
        <f>IFERROR(INDEX('[1]SALES PERTYPE'!$AF$10:$AF$52,MATCH($C30,'[1]SALES PERTYPE'!$B$10:$B$52,0)),0)</f>
        <v>0</v>
      </c>
      <c r="AI30" s="142">
        <f>IFERROR(INDEX('[1]SALES PERTYPE'!$AG$10:$AG$52,MATCH($C30,'[1]SALES PERTYPE'!$B$10:$B$52,0)),0)</f>
        <v>0</v>
      </c>
      <c r="AJ30" s="142">
        <f>IFERROR(INDEX('[1]SALES PERTYPE'!$AH$10:$AH$52,MATCH($C30,'[1]SALES PERTYPE'!$B$10:$B$52,0)),0)</f>
        <v>0</v>
      </c>
      <c r="AK30" s="142">
        <f>IFERROR(INDEX('[1]SALES PERTYPE'!$AI$10:$AI$52,MATCH($C30,'[1]SALES PERTYPE'!$B$10:$B$52,0)),0)</f>
        <v>0</v>
      </c>
      <c r="AL30" s="142">
        <f>IFERROR(INDEX('[1]SALES PERTYPE'!$AJ$10:$AJ$52,MATCH($C30,'[1]SALES PERTYPE'!$B$10:$B$52,0)),0)</f>
        <v>1</v>
      </c>
      <c r="AM30" s="142">
        <f>IFERROR(INDEX('[1]SALES PERTYPE'!$AK$10:$AK$52,MATCH($C30,'[1]SALES PERTYPE'!$B$10:$B$52,0)),0)</f>
        <v>7999000</v>
      </c>
      <c r="AN30" s="142">
        <f>IFERROR(INDEX('[1]SALES PERTYPE'!$AL$10:$AL$52,MATCH($C30,'[1]SALES PERTYPE'!$B$10:$B$52,0)),0)</f>
        <v>33</v>
      </c>
      <c r="AO30" s="142">
        <f>IFERROR(INDEX('[1]SALES PERTYPE'!$AM$10:$AM$52,MATCH($C30,'[1]SALES PERTYPE'!$B$10:$B$52,0)),0)</f>
        <v>146067000</v>
      </c>
    </row>
    <row r="31" spans="1:41" x14ac:dyDescent="0.15">
      <c r="A31" s="137">
        <f>'[1]ACHIEVEMENT STORE'!A31</f>
        <v>27</v>
      </c>
      <c r="B31" s="138" t="str">
        <f>'[1]ACHIEVEMENT STORE'!B31</f>
        <v>624-万丹BANTEN</v>
      </c>
      <c r="C31" s="137">
        <f>'[1]ACHIEVEMENT STORE'!C31</f>
        <v>6170703</v>
      </c>
      <c r="D31" s="138" t="str">
        <f>'[1]ACHIEVEMENT STORE'!D31</f>
        <v>6170703-4004 MVS-BNT-CCM STORE</v>
      </c>
      <c r="E31" s="138" t="str">
        <f>'[1]ACHIEVEMENT STORE'!E31</f>
        <v>DWI IRAWAN ( PIC )</v>
      </c>
      <c r="F31" s="139">
        <f>IFERROR(INDEX('[1]SALES PERTYPE'!$D$10:$D$52,MATCH($C31,'[1]SALES PERTYPE'!$B$10:$B$52,0)),0)</f>
        <v>0</v>
      </c>
      <c r="G31" s="139">
        <f>IFERROR(INDEX('[1]SALES PERTYPE'!$E$10:$E$52,MATCH($C31,'[1]SALES PERTYPE'!$B$10:$B$52,0)),0)</f>
        <v>0</v>
      </c>
      <c r="H31" s="139">
        <f>IFERROR(INDEX('[1]SALES PERTYPE'!$F$10:$F$52,MATCH($C31,'[1]SALES PERTYPE'!$B$10:$B$52,0)),0)</f>
        <v>2</v>
      </c>
      <c r="I31" s="139">
        <f>IFERROR(INDEX('[1]SALES PERTYPE'!$G$10:$G$52,MATCH($C31,'[1]SALES PERTYPE'!$B$10:$B$52,0)),0)</f>
        <v>4798000</v>
      </c>
      <c r="J31" s="139">
        <f>IFERROR(INDEX('[1]SALES PERTYPE'!$H$10:$H$52,MATCH($C31,'[1]SALES PERTYPE'!$B$10:$B$52,0)),0)</f>
        <v>0</v>
      </c>
      <c r="K31" s="139">
        <f>IFERROR(INDEX('[1]SALES PERTYPE'!$I$10:$I$52,MATCH($C31,'[1]SALES PERTYPE'!$B$10:$B$52,0)),0)</f>
        <v>0</v>
      </c>
      <c r="L31" s="139">
        <f>IFERROR(INDEX('[1]SALES PERTYPE'!$J$10:$J$52,MATCH($C31,'[1]SALES PERTYPE'!$B$10:$B$52,0)),0)</f>
        <v>0</v>
      </c>
      <c r="M31" s="139">
        <f>IFERROR(INDEX('[1]SALES PERTYPE'!$K$10:$K$52,MATCH($C31,'[1]SALES PERTYPE'!$B$10:$B$52,0)),0)</f>
        <v>0</v>
      </c>
      <c r="N31" s="139">
        <f>IFERROR(INDEX('[1]SALES PERTYPE'!$L$10:$L$52,MATCH($C31,'[1]SALES PERTYPE'!$B$10:$B$52,0)),0)</f>
        <v>1</v>
      </c>
      <c r="O31" s="139">
        <f>IFERROR(INDEX('[1]SALES PERTYPE'!$M$10:$M$52,MATCH($C31,'[1]SALES PERTYPE'!$B$10:$B$52,0)),0)</f>
        <v>9999000</v>
      </c>
      <c r="P31" s="139">
        <f>IFERROR(INDEX('[1]SALES PERTYPE'!$N$10:$N$52,MATCH($C31,'[1]SALES PERTYPE'!$B$10:$B$52,0)),0)</f>
        <v>0</v>
      </c>
      <c r="Q31" s="139">
        <f>IFERROR(INDEX('[1]SALES PERTYPE'!$O$10:$O$52,MATCH($C31,'[1]SALES PERTYPE'!$B$10:$B$52,0)),0)</f>
        <v>0</v>
      </c>
      <c r="R31" s="139">
        <f>IFERROR(INDEX('[1]SALES PERTYPE'!$P$10:$P$52,MATCH($C31,'[1]SALES PERTYPE'!$B$10:$B$52,0)),0)</f>
        <v>0</v>
      </c>
      <c r="S31" s="139">
        <f>IFERROR(INDEX('[1]SALES PERTYPE'!$Q$10:$Q$52,MATCH($C31,'[1]SALES PERTYPE'!$B$10:$B$52,0)),0)</f>
        <v>0</v>
      </c>
      <c r="T31" s="139">
        <f>IFERROR(INDEX('[1]SALES PERTYPE'!$R$10:$R$52,MATCH($C31,'[1]SALES PERTYPE'!$B$10:$B$52,0)),0)</f>
        <v>0</v>
      </c>
      <c r="U31" s="139">
        <f>IFERROR(INDEX('[1]SALES PERTYPE'!$S$10:$S$52,MATCH($C31,'[1]SALES PERTYPE'!$B$10:$B$52,0)),0)</f>
        <v>0</v>
      </c>
      <c r="V31" s="139">
        <f>IFERROR(INDEX('[1]SALES PERTYPE'!$T$10:$T$52,MATCH($C31,'[1]SALES PERTYPE'!$B$10:$B$52,0)),0)</f>
        <v>1</v>
      </c>
      <c r="W31" s="139">
        <f>IFERROR(INDEX('[1]SALES PERTYPE'!$U$10:$U$52,MATCH($C31,'[1]SALES PERTYPE'!$B$10:$B$52,0)),0)</f>
        <v>6999000</v>
      </c>
      <c r="X31" s="139">
        <f>IFERROR(INDEX('[1]SALES PERTYPE'!$V$10:$V$52,MATCH($C31,'[1]SALES PERTYPE'!$B$10:$B$52,0)),0)</f>
        <v>0</v>
      </c>
      <c r="Y31" s="139">
        <f>IFERROR(INDEX('[1]SALES PERTYPE'!$W$10:$W$52,MATCH($C31,'[1]SALES PERTYPE'!$B$10:$B$52,0)),0)</f>
        <v>0</v>
      </c>
      <c r="Z31" s="139">
        <f>IFERROR(INDEX('[1]SALES PERTYPE'!$X$10:$X$52,MATCH($C31,'[1]SALES PERTYPE'!$B$10:$B$52,0)),0)</f>
        <v>1</v>
      </c>
      <c r="AA31" s="139">
        <f>IFERROR(INDEX('[1]SALES PERTYPE'!$Y$10:$Y$52,MATCH($C31,'[1]SALES PERTYPE'!$B$10:$B$52,0)),0)</f>
        <v>5499000</v>
      </c>
      <c r="AB31" s="139">
        <f>IFERROR(INDEX('[1]SALES PERTYPE'!$Z$10:$Z$52,MATCH($C31,'[1]SALES PERTYPE'!$B$10:$B$52,0)),0)</f>
        <v>1</v>
      </c>
      <c r="AC31" s="139">
        <f>IFERROR(INDEX('[1]SALES PERTYPE'!$AA$10:$AA$52,MATCH($C31,'[1]SALES PERTYPE'!$B$10:$B$52,0)),0)</f>
        <v>11999000</v>
      </c>
      <c r="AD31" s="139">
        <f>IFERROR(INDEX('[1]SALES PERTYPE'!$AB$10:$AB$52,MATCH($C31,'[1]SALES PERTYPE'!$B$10:$B$52,0)),0)</f>
        <v>0</v>
      </c>
      <c r="AE31" s="139">
        <f>IFERROR(INDEX('[1]SALES PERTYPE'!$AC$10:$AC$52,MATCH($C31,'[1]SALES PERTYPE'!$B$10:$B$52,0)),0)</f>
        <v>0</v>
      </c>
      <c r="AF31" s="139">
        <f>IFERROR(INDEX('[1]SALES PERTYPE'!$AD$10:$AD$52,MATCH($C31,'[1]SALES PERTYPE'!$B$10:$B$52,0)),0)</f>
        <v>0</v>
      </c>
      <c r="AG31" s="139">
        <f>IFERROR(INDEX('[1]SALES PERTYPE'!$AE$10:$AE$52,MATCH($C31,'[1]SALES PERTYPE'!$B$10:$B$52,0)),0)</f>
        <v>0</v>
      </c>
      <c r="AH31" s="139">
        <f>IFERROR(INDEX('[1]SALES PERTYPE'!$AF$10:$AF$52,MATCH($C31,'[1]SALES PERTYPE'!$B$10:$B$52,0)),0)</f>
        <v>0</v>
      </c>
      <c r="AI31" s="139">
        <f>IFERROR(INDEX('[1]SALES PERTYPE'!$AG$10:$AG$52,MATCH($C31,'[1]SALES PERTYPE'!$B$10:$B$52,0)),0)</f>
        <v>0</v>
      </c>
      <c r="AJ31" s="139">
        <f>IFERROR(INDEX('[1]SALES PERTYPE'!$AH$10:$AH$52,MATCH($C31,'[1]SALES PERTYPE'!$B$10:$B$52,0)),0)</f>
        <v>0</v>
      </c>
      <c r="AK31" s="139">
        <f>IFERROR(INDEX('[1]SALES PERTYPE'!$AI$10:$AI$52,MATCH($C31,'[1]SALES PERTYPE'!$B$10:$B$52,0)),0)</f>
        <v>0</v>
      </c>
      <c r="AL31" s="139">
        <f>IFERROR(INDEX('[1]SALES PERTYPE'!$AJ$10:$AJ$52,MATCH($C31,'[1]SALES PERTYPE'!$B$10:$B$52,0)),0)</f>
        <v>1</v>
      </c>
      <c r="AM31" s="139">
        <f>IFERROR(INDEX('[1]SALES PERTYPE'!$AK$10:$AK$52,MATCH($C31,'[1]SALES PERTYPE'!$B$10:$B$52,0)),0)</f>
        <v>6899000</v>
      </c>
      <c r="AN31" s="139">
        <f>IFERROR(INDEX('[1]SALES PERTYPE'!$AL$10:$AL$52,MATCH($C31,'[1]SALES PERTYPE'!$B$10:$B$52,0)),0)</f>
        <v>7</v>
      </c>
      <c r="AO31" s="139">
        <f>IFERROR(INDEX('[1]SALES PERTYPE'!$AM$10:$AM$52,MATCH($C31,'[1]SALES PERTYPE'!$B$10:$B$52,0)),0)</f>
        <v>46193000</v>
      </c>
    </row>
    <row r="32" spans="1:41" x14ac:dyDescent="0.15">
      <c r="A32" s="140">
        <f>'[1]ACHIEVEMENT STORE'!A32</f>
        <v>28</v>
      </c>
      <c r="B32" s="141" t="str">
        <f>'[1]ACHIEVEMENT STORE'!B32</f>
        <v>624-万丹BANTEN</v>
      </c>
      <c r="C32" s="140">
        <f>'[1]ACHIEVEMENT STORE'!C32</f>
        <v>6240705</v>
      </c>
      <c r="D32" s="141" t="str">
        <f>'[1]ACHIEVEMENT STORE'!D32</f>
        <v>6240705-CIPUTRA 2FC15</v>
      </c>
      <c r="E32" s="141" t="str">
        <f>'[1]ACHIEVEMENT STORE'!E32</f>
        <v>DHANI EKO NUGROHO</v>
      </c>
      <c r="F32" s="142">
        <f>IFERROR(INDEX('[1]SALES PERTYPE'!$D$10:$D$52,MATCH($C32,'[1]SALES PERTYPE'!$B$10:$B$52,0)),0)</f>
        <v>1</v>
      </c>
      <c r="G32" s="142">
        <f>IFERROR(INDEX('[1]SALES PERTYPE'!$E$10:$E$52,MATCH($C32,'[1]SALES PERTYPE'!$B$10:$B$52,0)),0)</f>
        <v>2599000</v>
      </c>
      <c r="H32" s="142">
        <f>IFERROR(INDEX('[1]SALES PERTYPE'!$F$10:$F$52,MATCH($C32,'[1]SALES PERTYPE'!$B$10:$B$52,0)),0)</f>
        <v>2</v>
      </c>
      <c r="I32" s="142">
        <f>IFERROR(INDEX('[1]SALES PERTYPE'!$G$10:$G$52,MATCH($C32,'[1]SALES PERTYPE'!$B$10:$B$52,0)),0)</f>
        <v>5598000</v>
      </c>
      <c r="J32" s="142">
        <f>IFERROR(INDEX('[1]SALES PERTYPE'!$H$10:$H$52,MATCH($C32,'[1]SALES PERTYPE'!$B$10:$B$52,0)),0)</f>
        <v>0</v>
      </c>
      <c r="K32" s="142">
        <f>IFERROR(INDEX('[1]SALES PERTYPE'!$I$10:$I$52,MATCH($C32,'[1]SALES PERTYPE'!$B$10:$B$52,0)),0)</f>
        <v>0</v>
      </c>
      <c r="L32" s="142">
        <f>IFERROR(INDEX('[1]SALES PERTYPE'!$J$10:$J$52,MATCH($C32,'[1]SALES PERTYPE'!$B$10:$B$52,0)),0)</f>
        <v>1</v>
      </c>
      <c r="M32" s="142">
        <f>IFERROR(INDEX('[1]SALES PERTYPE'!$K$10:$K$52,MATCH($C32,'[1]SALES PERTYPE'!$B$10:$B$52,0)),0)</f>
        <v>2099000</v>
      </c>
      <c r="N32" s="142">
        <f>IFERROR(INDEX('[1]SALES PERTYPE'!$L$10:$L$52,MATCH($C32,'[1]SALES PERTYPE'!$B$10:$B$52,0)),0)</f>
        <v>2</v>
      </c>
      <c r="O32" s="142">
        <f>IFERROR(INDEX('[1]SALES PERTYPE'!$M$10:$M$52,MATCH($C32,'[1]SALES PERTYPE'!$B$10:$B$52,0)),0)</f>
        <v>19998000</v>
      </c>
      <c r="P32" s="142">
        <f>IFERROR(INDEX('[1]SALES PERTYPE'!$N$10:$N$52,MATCH($C32,'[1]SALES PERTYPE'!$B$10:$B$52,0)),0)</f>
        <v>1</v>
      </c>
      <c r="Q32" s="142">
        <f>IFERROR(INDEX('[1]SALES PERTYPE'!$O$10:$O$52,MATCH($C32,'[1]SALES PERTYPE'!$B$10:$B$52,0)),0)</f>
        <v>4299000</v>
      </c>
      <c r="R32" s="142">
        <f>IFERROR(INDEX('[1]SALES PERTYPE'!$P$10:$P$52,MATCH($C32,'[1]SALES PERTYPE'!$B$10:$B$52,0)),0)</f>
        <v>0</v>
      </c>
      <c r="S32" s="142">
        <f>IFERROR(INDEX('[1]SALES PERTYPE'!$Q$10:$Q$52,MATCH($C32,'[1]SALES PERTYPE'!$B$10:$B$52,0)),0)</f>
        <v>0</v>
      </c>
      <c r="T32" s="142">
        <f>IFERROR(INDEX('[1]SALES PERTYPE'!$R$10:$R$52,MATCH($C32,'[1]SALES PERTYPE'!$B$10:$B$52,0)),0)</f>
        <v>0</v>
      </c>
      <c r="U32" s="142">
        <f>IFERROR(INDEX('[1]SALES PERTYPE'!$S$10:$S$52,MATCH($C32,'[1]SALES PERTYPE'!$B$10:$B$52,0)),0)</f>
        <v>0</v>
      </c>
      <c r="V32" s="142">
        <f>IFERROR(INDEX('[1]SALES PERTYPE'!$T$10:$T$52,MATCH($C32,'[1]SALES PERTYPE'!$B$10:$B$52,0)),0)</f>
        <v>2</v>
      </c>
      <c r="W32" s="142">
        <f>IFERROR(INDEX('[1]SALES PERTYPE'!$U$10:$U$52,MATCH($C32,'[1]SALES PERTYPE'!$B$10:$B$52,0)),0)</f>
        <v>14498000</v>
      </c>
      <c r="X32" s="142">
        <f>IFERROR(INDEX('[1]SALES PERTYPE'!$V$10:$V$52,MATCH($C32,'[1]SALES PERTYPE'!$B$10:$B$52,0)),0)</f>
        <v>0</v>
      </c>
      <c r="Y32" s="142">
        <f>IFERROR(INDEX('[1]SALES PERTYPE'!$W$10:$W$52,MATCH($C32,'[1]SALES PERTYPE'!$B$10:$B$52,0)),0)</f>
        <v>0</v>
      </c>
      <c r="Z32" s="142">
        <f>IFERROR(INDEX('[1]SALES PERTYPE'!$X$10:$X$52,MATCH($C32,'[1]SALES PERTYPE'!$B$10:$B$52,0)),0)</f>
        <v>3</v>
      </c>
      <c r="AA32" s="142">
        <f>IFERROR(INDEX('[1]SALES PERTYPE'!$Y$10:$Y$52,MATCH($C32,'[1]SALES PERTYPE'!$B$10:$B$52,0)),0)</f>
        <v>16497000</v>
      </c>
      <c r="AB32" s="142">
        <f>IFERROR(INDEX('[1]SALES PERTYPE'!$Z$10:$Z$52,MATCH($C32,'[1]SALES PERTYPE'!$B$10:$B$52,0)),0)</f>
        <v>0</v>
      </c>
      <c r="AC32" s="142">
        <f>IFERROR(INDEX('[1]SALES PERTYPE'!$AA$10:$AA$52,MATCH($C32,'[1]SALES PERTYPE'!$B$10:$B$52,0)),0)</f>
        <v>0</v>
      </c>
      <c r="AD32" s="142">
        <f>IFERROR(INDEX('[1]SALES PERTYPE'!$AB$10:$AB$52,MATCH($C32,'[1]SALES PERTYPE'!$B$10:$B$52,0)),0)</f>
        <v>0</v>
      </c>
      <c r="AE32" s="142">
        <f>IFERROR(INDEX('[1]SALES PERTYPE'!$AC$10:$AC$52,MATCH($C32,'[1]SALES PERTYPE'!$B$10:$B$52,0)),0)</f>
        <v>0</v>
      </c>
      <c r="AF32" s="142">
        <f>IFERROR(INDEX('[1]SALES PERTYPE'!$AD$10:$AD$52,MATCH($C32,'[1]SALES PERTYPE'!$B$10:$B$52,0)),0)</f>
        <v>0</v>
      </c>
      <c r="AG32" s="142">
        <f>IFERROR(INDEX('[1]SALES PERTYPE'!$AE$10:$AE$52,MATCH($C32,'[1]SALES PERTYPE'!$B$10:$B$52,0)),0)</f>
        <v>0</v>
      </c>
      <c r="AH32" s="142">
        <f>IFERROR(INDEX('[1]SALES PERTYPE'!$AF$10:$AF$52,MATCH($C32,'[1]SALES PERTYPE'!$B$10:$B$52,0)),0)</f>
        <v>0</v>
      </c>
      <c r="AI32" s="142">
        <f>IFERROR(INDEX('[1]SALES PERTYPE'!$AG$10:$AG$52,MATCH($C32,'[1]SALES PERTYPE'!$B$10:$B$52,0)),0)</f>
        <v>0</v>
      </c>
      <c r="AJ32" s="142">
        <f>IFERROR(INDEX('[1]SALES PERTYPE'!$AH$10:$AH$52,MATCH($C32,'[1]SALES PERTYPE'!$B$10:$B$52,0)),0)</f>
        <v>0</v>
      </c>
      <c r="AK32" s="142">
        <f>IFERROR(INDEX('[1]SALES PERTYPE'!$AI$10:$AI$52,MATCH($C32,'[1]SALES PERTYPE'!$B$10:$B$52,0)),0)</f>
        <v>0</v>
      </c>
      <c r="AL32" s="142">
        <f>IFERROR(INDEX('[1]SALES PERTYPE'!$AJ$10:$AJ$52,MATCH($C32,'[1]SALES PERTYPE'!$B$10:$B$52,0)),0)</f>
        <v>3</v>
      </c>
      <c r="AM32" s="142">
        <f>IFERROR(INDEX('[1]SALES PERTYPE'!$AK$10:$AK$52,MATCH($C32,'[1]SALES PERTYPE'!$B$10:$B$52,0)),0)</f>
        <v>22197000</v>
      </c>
      <c r="AN32" s="142">
        <f>IFERROR(INDEX('[1]SALES PERTYPE'!$AL$10:$AL$52,MATCH($C32,'[1]SALES PERTYPE'!$B$10:$B$52,0)),0)</f>
        <v>15</v>
      </c>
      <c r="AO32" s="142">
        <f>IFERROR(INDEX('[1]SALES PERTYPE'!$AM$10:$AM$52,MATCH($C32,'[1]SALES PERTYPE'!$B$10:$B$52,0)),0)</f>
        <v>87785000</v>
      </c>
    </row>
    <row r="33" spans="1:41" x14ac:dyDescent="0.15">
      <c r="A33" s="137">
        <f>'[1]ACHIEVEMENT STORE'!A33</f>
        <v>29</v>
      </c>
      <c r="B33" s="138" t="str">
        <f>'[1]ACHIEVEMENT STORE'!B33</f>
        <v>624-万丹BANTEN</v>
      </c>
      <c r="C33" s="137">
        <f>'[1]ACHIEVEMENT STORE'!C33</f>
        <v>6240709</v>
      </c>
      <c r="D33" s="138" t="str">
        <f>'[1]ACHIEVEMENT STORE'!D33</f>
        <v>6240709-ITC BSD 1F49-50</v>
      </c>
      <c r="E33" s="138" t="str">
        <f>'[1]ACHIEVEMENT STORE'!E33</f>
        <v>ARIES FITRIYANTO</v>
      </c>
      <c r="F33" s="139">
        <f>IFERROR(INDEX('[1]SALES PERTYPE'!$D$10:$D$52,MATCH($C33,'[1]SALES PERTYPE'!$B$10:$B$52,0)),0)</f>
        <v>1</v>
      </c>
      <c r="G33" s="139">
        <f>IFERROR(INDEX('[1]SALES PERTYPE'!$E$10:$E$52,MATCH($C33,'[1]SALES PERTYPE'!$B$10:$B$52,0)),0)</f>
        <v>2299000</v>
      </c>
      <c r="H33" s="139">
        <f>IFERROR(INDEX('[1]SALES PERTYPE'!$F$10:$F$52,MATCH($C33,'[1]SALES PERTYPE'!$B$10:$B$52,0)),0)</f>
        <v>1</v>
      </c>
      <c r="I33" s="139">
        <f>IFERROR(INDEX('[1]SALES PERTYPE'!$G$10:$G$52,MATCH($C33,'[1]SALES PERTYPE'!$B$10:$B$52,0)),0)</f>
        <v>2399000</v>
      </c>
      <c r="J33" s="139">
        <f>IFERROR(INDEX('[1]SALES PERTYPE'!$H$10:$H$52,MATCH($C33,'[1]SALES PERTYPE'!$B$10:$B$52,0)),0)</f>
        <v>0</v>
      </c>
      <c r="K33" s="139">
        <f>IFERROR(INDEX('[1]SALES PERTYPE'!$I$10:$I$52,MATCH($C33,'[1]SALES PERTYPE'!$B$10:$B$52,0)),0)</f>
        <v>0</v>
      </c>
      <c r="L33" s="139">
        <f>IFERROR(INDEX('[1]SALES PERTYPE'!$J$10:$J$52,MATCH($C33,'[1]SALES PERTYPE'!$B$10:$B$52,0)),0)</f>
        <v>0</v>
      </c>
      <c r="M33" s="139">
        <f>IFERROR(INDEX('[1]SALES PERTYPE'!$K$10:$K$52,MATCH($C33,'[1]SALES PERTYPE'!$B$10:$B$52,0)),0)</f>
        <v>0</v>
      </c>
      <c r="N33" s="139">
        <f>IFERROR(INDEX('[1]SALES PERTYPE'!$L$10:$L$52,MATCH($C33,'[1]SALES PERTYPE'!$B$10:$B$52,0)),0)</f>
        <v>0</v>
      </c>
      <c r="O33" s="139">
        <f>IFERROR(INDEX('[1]SALES PERTYPE'!$M$10:$M$52,MATCH($C33,'[1]SALES PERTYPE'!$B$10:$B$52,0)),0)</f>
        <v>0</v>
      </c>
      <c r="P33" s="139">
        <f>IFERROR(INDEX('[1]SALES PERTYPE'!$N$10:$N$52,MATCH($C33,'[1]SALES PERTYPE'!$B$10:$B$52,0)),0)</f>
        <v>3</v>
      </c>
      <c r="Q33" s="139">
        <f>IFERROR(INDEX('[1]SALES PERTYPE'!$O$10:$O$52,MATCH($C33,'[1]SALES PERTYPE'!$B$10:$B$52,0)),0)</f>
        <v>12497000</v>
      </c>
      <c r="R33" s="139">
        <f>IFERROR(INDEX('[1]SALES PERTYPE'!$P$10:$P$52,MATCH($C33,'[1]SALES PERTYPE'!$B$10:$B$52,0)),0)</f>
        <v>0</v>
      </c>
      <c r="S33" s="139">
        <f>IFERROR(INDEX('[1]SALES PERTYPE'!$Q$10:$Q$52,MATCH($C33,'[1]SALES PERTYPE'!$B$10:$B$52,0)),0)</f>
        <v>0</v>
      </c>
      <c r="T33" s="139">
        <f>IFERROR(INDEX('[1]SALES PERTYPE'!$R$10:$R$52,MATCH($C33,'[1]SALES PERTYPE'!$B$10:$B$52,0)),0)</f>
        <v>0</v>
      </c>
      <c r="U33" s="139">
        <f>IFERROR(INDEX('[1]SALES PERTYPE'!$S$10:$S$52,MATCH($C33,'[1]SALES PERTYPE'!$B$10:$B$52,0)),0)</f>
        <v>0</v>
      </c>
      <c r="V33" s="139">
        <f>IFERROR(INDEX('[1]SALES PERTYPE'!$T$10:$T$52,MATCH($C33,'[1]SALES PERTYPE'!$B$10:$B$52,0)),0)</f>
        <v>1</v>
      </c>
      <c r="W33" s="139">
        <f>IFERROR(INDEX('[1]SALES PERTYPE'!$U$10:$U$52,MATCH($C33,'[1]SALES PERTYPE'!$B$10:$B$52,0)),0)</f>
        <v>6499000</v>
      </c>
      <c r="X33" s="139">
        <f>IFERROR(INDEX('[1]SALES PERTYPE'!$V$10:$V$52,MATCH($C33,'[1]SALES PERTYPE'!$B$10:$B$52,0)),0)</f>
        <v>0</v>
      </c>
      <c r="Y33" s="139">
        <f>IFERROR(INDEX('[1]SALES PERTYPE'!$W$10:$W$52,MATCH($C33,'[1]SALES PERTYPE'!$B$10:$B$52,0)),0)</f>
        <v>0</v>
      </c>
      <c r="Z33" s="139">
        <f>IFERROR(INDEX('[1]SALES PERTYPE'!$X$10:$X$52,MATCH($C33,'[1]SALES PERTYPE'!$B$10:$B$52,0)),0)</f>
        <v>1</v>
      </c>
      <c r="AA33" s="139">
        <f>IFERROR(INDEX('[1]SALES PERTYPE'!$Y$10:$Y$52,MATCH($C33,'[1]SALES PERTYPE'!$B$10:$B$52,0)),0)</f>
        <v>5499000</v>
      </c>
      <c r="AB33" s="139">
        <f>IFERROR(INDEX('[1]SALES PERTYPE'!$Z$10:$Z$52,MATCH($C33,'[1]SALES PERTYPE'!$B$10:$B$52,0)),0)</f>
        <v>0</v>
      </c>
      <c r="AC33" s="139">
        <f>IFERROR(INDEX('[1]SALES PERTYPE'!$AA$10:$AA$52,MATCH($C33,'[1]SALES PERTYPE'!$B$10:$B$52,0)),0)</f>
        <v>0</v>
      </c>
      <c r="AD33" s="139">
        <f>IFERROR(INDEX('[1]SALES PERTYPE'!$AB$10:$AB$52,MATCH($C33,'[1]SALES PERTYPE'!$B$10:$B$52,0)),0)</f>
        <v>0</v>
      </c>
      <c r="AE33" s="139">
        <f>IFERROR(INDEX('[1]SALES PERTYPE'!$AC$10:$AC$52,MATCH($C33,'[1]SALES PERTYPE'!$B$10:$B$52,0)),0)</f>
        <v>0</v>
      </c>
      <c r="AF33" s="139">
        <f>IFERROR(INDEX('[1]SALES PERTYPE'!$AD$10:$AD$52,MATCH($C33,'[1]SALES PERTYPE'!$B$10:$B$52,0)),0)</f>
        <v>0</v>
      </c>
      <c r="AG33" s="139">
        <f>IFERROR(INDEX('[1]SALES PERTYPE'!$AE$10:$AE$52,MATCH($C33,'[1]SALES PERTYPE'!$B$10:$B$52,0)),0)</f>
        <v>0</v>
      </c>
      <c r="AH33" s="139">
        <f>IFERROR(INDEX('[1]SALES PERTYPE'!$AF$10:$AF$52,MATCH($C33,'[1]SALES PERTYPE'!$B$10:$B$52,0)),0)</f>
        <v>0</v>
      </c>
      <c r="AI33" s="139">
        <f>IFERROR(INDEX('[1]SALES PERTYPE'!$AG$10:$AG$52,MATCH($C33,'[1]SALES PERTYPE'!$B$10:$B$52,0)),0)</f>
        <v>0</v>
      </c>
      <c r="AJ33" s="139">
        <f>IFERROR(INDEX('[1]SALES PERTYPE'!$AH$10:$AH$52,MATCH($C33,'[1]SALES PERTYPE'!$B$10:$B$52,0)),0)</f>
        <v>0</v>
      </c>
      <c r="AK33" s="139">
        <f>IFERROR(INDEX('[1]SALES PERTYPE'!$AI$10:$AI$52,MATCH($C33,'[1]SALES PERTYPE'!$B$10:$B$52,0)),0)</f>
        <v>0</v>
      </c>
      <c r="AL33" s="139">
        <f>IFERROR(INDEX('[1]SALES PERTYPE'!$AJ$10:$AJ$52,MATCH($C33,'[1]SALES PERTYPE'!$B$10:$B$52,0)),0)</f>
        <v>0</v>
      </c>
      <c r="AM33" s="139">
        <f>IFERROR(INDEX('[1]SALES PERTYPE'!$AK$10:$AK$52,MATCH($C33,'[1]SALES PERTYPE'!$B$10:$B$52,0)),0)</f>
        <v>0</v>
      </c>
      <c r="AN33" s="139">
        <f>IFERROR(INDEX('[1]SALES PERTYPE'!$AL$10:$AL$52,MATCH($C33,'[1]SALES PERTYPE'!$B$10:$B$52,0)),0)</f>
        <v>7</v>
      </c>
      <c r="AO33" s="139">
        <f>IFERROR(INDEX('[1]SALES PERTYPE'!$AM$10:$AM$52,MATCH($C33,'[1]SALES PERTYPE'!$B$10:$B$52,0)),0)</f>
        <v>29193000</v>
      </c>
    </row>
    <row r="34" spans="1:41" x14ac:dyDescent="0.15">
      <c r="A34" s="140">
        <f>'[1]ACHIEVEMENT STORE'!A34</f>
        <v>30</v>
      </c>
      <c r="B34" s="141" t="str">
        <f>'[1]ACHIEVEMENT STORE'!B34</f>
        <v>624-万丹BANTEN</v>
      </c>
      <c r="C34" s="140">
        <f>'[1]ACHIEVEMENT STORE'!C34</f>
        <v>6240708</v>
      </c>
      <c r="D34" s="141" t="str">
        <f>'[1]ACHIEVEMENT STORE'!D34</f>
        <v>6240708-ITC BSD 1F09-14</v>
      </c>
      <c r="E34" s="141" t="str">
        <f>'[1]ACHIEVEMENT STORE'!E34</f>
        <v>ARIES FITRIYANTO</v>
      </c>
      <c r="F34" s="142">
        <f>IFERROR(INDEX('[1]SALES PERTYPE'!$D$10:$D$52,MATCH($C34,'[1]SALES PERTYPE'!$B$10:$B$52,0)),0)</f>
        <v>0</v>
      </c>
      <c r="G34" s="142">
        <f>IFERROR(INDEX('[1]SALES PERTYPE'!$E$10:$E$52,MATCH($C34,'[1]SALES PERTYPE'!$B$10:$B$52,0)),0)</f>
        <v>0</v>
      </c>
      <c r="H34" s="142">
        <f>IFERROR(INDEX('[1]SALES PERTYPE'!$F$10:$F$52,MATCH($C34,'[1]SALES PERTYPE'!$B$10:$B$52,0)),0)</f>
        <v>2</v>
      </c>
      <c r="I34" s="142">
        <f>IFERROR(INDEX('[1]SALES PERTYPE'!$G$10:$G$52,MATCH($C34,'[1]SALES PERTYPE'!$B$10:$B$52,0)),0)</f>
        <v>5598000</v>
      </c>
      <c r="J34" s="142">
        <f>IFERROR(INDEX('[1]SALES PERTYPE'!$H$10:$H$52,MATCH($C34,'[1]SALES PERTYPE'!$B$10:$B$52,0)),0)</f>
        <v>0</v>
      </c>
      <c r="K34" s="142">
        <f>IFERROR(INDEX('[1]SALES PERTYPE'!$I$10:$I$52,MATCH($C34,'[1]SALES PERTYPE'!$B$10:$B$52,0)),0)</f>
        <v>0</v>
      </c>
      <c r="L34" s="142">
        <f>IFERROR(INDEX('[1]SALES PERTYPE'!$J$10:$J$52,MATCH($C34,'[1]SALES PERTYPE'!$B$10:$B$52,0)),0)</f>
        <v>2</v>
      </c>
      <c r="M34" s="142">
        <f>IFERROR(INDEX('[1]SALES PERTYPE'!$K$10:$K$52,MATCH($C34,'[1]SALES PERTYPE'!$B$10:$B$52,0)),0)</f>
        <v>4198000</v>
      </c>
      <c r="N34" s="142">
        <f>IFERROR(INDEX('[1]SALES PERTYPE'!$L$10:$L$52,MATCH($C34,'[1]SALES PERTYPE'!$B$10:$B$52,0)),0)</f>
        <v>0</v>
      </c>
      <c r="O34" s="142">
        <f>IFERROR(INDEX('[1]SALES PERTYPE'!$M$10:$M$52,MATCH($C34,'[1]SALES PERTYPE'!$B$10:$B$52,0)),0)</f>
        <v>0</v>
      </c>
      <c r="P34" s="142">
        <f>IFERROR(INDEX('[1]SALES PERTYPE'!$N$10:$N$52,MATCH($C34,'[1]SALES PERTYPE'!$B$10:$B$52,0)),0)</f>
        <v>3</v>
      </c>
      <c r="Q34" s="142">
        <f>IFERROR(INDEX('[1]SALES PERTYPE'!$O$10:$O$52,MATCH($C34,'[1]SALES PERTYPE'!$B$10:$B$52,0)),0)</f>
        <v>12097000</v>
      </c>
      <c r="R34" s="142">
        <f>IFERROR(INDEX('[1]SALES PERTYPE'!$P$10:$P$52,MATCH($C34,'[1]SALES PERTYPE'!$B$10:$B$52,0)),0)</f>
        <v>1</v>
      </c>
      <c r="S34" s="142">
        <f>IFERROR(INDEX('[1]SALES PERTYPE'!$Q$10:$Q$52,MATCH($C34,'[1]SALES PERTYPE'!$B$10:$B$52,0)),0)</f>
        <v>3599000</v>
      </c>
      <c r="T34" s="142">
        <f>IFERROR(INDEX('[1]SALES PERTYPE'!$R$10:$R$52,MATCH($C34,'[1]SALES PERTYPE'!$B$10:$B$52,0)),0)</f>
        <v>0</v>
      </c>
      <c r="U34" s="142">
        <f>IFERROR(INDEX('[1]SALES PERTYPE'!$S$10:$S$52,MATCH($C34,'[1]SALES PERTYPE'!$B$10:$B$52,0)),0)</f>
        <v>0</v>
      </c>
      <c r="V34" s="142">
        <f>IFERROR(INDEX('[1]SALES PERTYPE'!$T$10:$T$52,MATCH($C34,'[1]SALES PERTYPE'!$B$10:$B$52,0)),0)</f>
        <v>1</v>
      </c>
      <c r="W34" s="142">
        <f>IFERROR(INDEX('[1]SALES PERTYPE'!$U$10:$U$52,MATCH($C34,'[1]SALES PERTYPE'!$B$10:$B$52,0)),0)</f>
        <v>7999000</v>
      </c>
      <c r="X34" s="142">
        <f>IFERROR(INDEX('[1]SALES PERTYPE'!$V$10:$V$52,MATCH($C34,'[1]SALES PERTYPE'!$B$10:$B$52,0)),0)</f>
        <v>0</v>
      </c>
      <c r="Y34" s="142">
        <f>IFERROR(INDEX('[1]SALES PERTYPE'!$W$10:$W$52,MATCH($C34,'[1]SALES PERTYPE'!$B$10:$B$52,0)),0)</f>
        <v>0</v>
      </c>
      <c r="Z34" s="142">
        <f>IFERROR(INDEX('[1]SALES PERTYPE'!$X$10:$X$52,MATCH($C34,'[1]SALES PERTYPE'!$B$10:$B$52,0)),0)</f>
        <v>0</v>
      </c>
      <c r="AA34" s="142">
        <f>IFERROR(INDEX('[1]SALES PERTYPE'!$Y$10:$Y$52,MATCH($C34,'[1]SALES PERTYPE'!$B$10:$B$52,0)),0)</f>
        <v>0</v>
      </c>
      <c r="AB34" s="142">
        <f>IFERROR(INDEX('[1]SALES PERTYPE'!$Z$10:$Z$52,MATCH($C34,'[1]SALES PERTYPE'!$B$10:$B$52,0)),0)</f>
        <v>0</v>
      </c>
      <c r="AC34" s="142">
        <f>IFERROR(INDEX('[1]SALES PERTYPE'!$AA$10:$AA$52,MATCH($C34,'[1]SALES PERTYPE'!$B$10:$B$52,0)),0)</f>
        <v>0</v>
      </c>
      <c r="AD34" s="142">
        <f>IFERROR(INDEX('[1]SALES PERTYPE'!$AB$10:$AB$52,MATCH($C34,'[1]SALES PERTYPE'!$B$10:$B$52,0)),0)</f>
        <v>0</v>
      </c>
      <c r="AE34" s="142">
        <f>IFERROR(INDEX('[1]SALES PERTYPE'!$AC$10:$AC$52,MATCH($C34,'[1]SALES PERTYPE'!$B$10:$B$52,0)),0)</f>
        <v>0</v>
      </c>
      <c r="AF34" s="142">
        <f>IFERROR(INDEX('[1]SALES PERTYPE'!$AD$10:$AD$52,MATCH($C34,'[1]SALES PERTYPE'!$B$10:$B$52,0)),0)</f>
        <v>0</v>
      </c>
      <c r="AG34" s="142">
        <f>IFERROR(INDEX('[1]SALES PERTYPE'!$AE$10:$AE$52,MATCH($C34,'[1]SALES PERTYPE'!$B$10:$B$52,0)),0)</f>
        <v>0</v>
      </c>
      <c r="AH34" s="142">
        <f>IFERROR(INDEX('[1]SALES PERTYPE'!$AF$10:$AF$52,MATCH($C34,'[1]SALES PERTYPE'!$B$10:$B$52,0)),0)</f>
        <v>0</v>
      </c>
      <c r="AI34" s="142">
        <f>IFERROR(INDEX('[1]SALES PERTYPE'!$AG$10:$AG$52,MATCH($C34,'[1]SALES PERTYPE'!$B$10:$B$52,0)),0)</f>
        <v>0</v>
      </c>
      <c r="AJ34" s="142">
        <f>IFERROR(INDEX('[1]SALES PERTYPE'!$AH$10:$AH$52,MATCH($C34,'[1]SALES PERTYPE'!$B$10:$B$52,0)),0)</f>
        <v>0</v>
      </c>
      <c r="AK34" s="142">
        <f>IFERROR(INDEX('[1]SALES PERTYPE'!$AI$10:$AI$52,MATCH($C34,'[1]SALES PERTYPE'!$B$10:$B$52,0)),0)</f>
        <v>0</v>
      </c>
      <c r="AL34" s="142">
        <f>IFERROR(INDEX('[1]SALES PERTYPE'!$AJ$10:$AJ$52,MATCH($C34,'[1]SALES PERTYPE'!$B$10:$B$52,0)),0)</f>
        <v>0</v>
      </c>
      <c r="AM34" s="142">
        <f>IFERROR(INDEX('[1]SALES PERTYPE'!$AK$10:$AK$52,MATCH($C34,'[1]SALES PERTYPE'!$B$10:$B$52,0)),0)</f>
        <v>0</v>
      </c>
      <c r="AN34" s="142">
        <f>IFERROR(INDEX('[1]SALES PERTYPE'!$AL$10:$AL$52,MATCH($C34,'[1]SALES PERTYPE'!$B$10:$B$52,0)),0)</f>
        <v>9</v>
      </c>
      <c r="AO34" s="142">
        <f>IFERROR(INDEX('[1]SALES PERTYPE'!$AM$10:$AM$52,MATCH($C34,'[1]SALES PERTYPE'!$B$10:$B$52,0)),0)</f>
        <v>33491000</v>
      </c>
    </row>
    <row r="35" spans="1:41" x14ac:dyDescent="0.15">
      <c r="A35" s="137">
        <f>'[1]ACHIEVEMENT STORE'!A35</f>
        <v>31</v>
      </c>
      <c r="B35" s="138" t="str">
        <f>'[1]ACHIEVEMENT STORE'!B35</f>
        <v>624-万丹BANTEN</v>
      </c>
      <c r="C35" s="137">
        <f>'[1]ACHIEVEMENT STORE'!C35</f>
        <v>6240707</v>
      </c>
      <c r="D35" s="138" t="str">
        <f>'[1]ACHIEVEMENT STORE'!D35</f>
        <v>6240707-SUPERMALL UGN3A</v>
      </c>
      <c r="E35" s="138" t="str">
        <f>'[1]ACHIEVEMENT STORE'!E35</f>
        <v>ADE RIVALDI L</v>
      </c>
      <c r="F35" s="139">
        <f>IFERROR(INDEX('[1]SALES PERTYPE'!$D$10:$D$52,MATCH($C35,'[1]SALES PERTYPE'!$B$10:$B$52,0)),0)</f>
        <v>0</v>
      </c>
      <c r="G35" s="139">
        <f>IFERROR(INDEX('[1]SALES PERTYPE'!$E$10:$E$52,MATCH($C35,'[1]SALES PERTYPE'!$B$10:$B$52,0)),0)</f>
        <v>0</v>
      </c>
      <c r="H35" s="139">
        <f>IFERROR(INDEX('[1]SALES PERTYPE'!$F$10:$F$52,MATCH($C35,'[1]SALES PERTYPE'!$B$10:$B$52,0)),0)</f>
        <v>3</v>
      </c>
      <c r="I35" s="139">
        <f>IFERROR(INDEX('[1]SALES PERTYPE'!$G$10:$G$52,MATCH($C35,'[1]SALES PERTYPE'!$B$10:$B$52,0)),0)</f>
        <v>8397000</v>
      </c>
      <c r="J35" s="139">
        <f>IFERROR(INDEX('[1]SALES PERTYPE'!$H$10:$H$52,MATCH($C35,'[1]SALES PERTYPE'!$B$10:$B$52,0)),0)</f>
        <v>0</v>
      </c>
      <c r="K35" s="139">
        <f>IFERROR(INDEX('[1]SALES PERTYPE'!$I$10:$I$52,MATCH($C35,'[1]SALES PERTYPE'!$B$10:$B$52,0)),0)</f>
        <v>0</v>
      </c>
      <c r="L35" s="139">
        <f>IFERROR(INDEX('[1]SALES PERTYPE'!$J$10:$J$52,MATCH($C35,'[1]SALES PERTYPE'!$B$10:$B$52,0)),0)</f>
        <v>2</v>
      </c>
      <c r="M35" s="139">
        <f>IFERROR(INDEX('[1]SALES PERTYPE'!$K$10:$K$52,MATCH($C35,'[1]SALES PERTYPE'!$B$10:$B$52,0)),0)</f>
        <v>4198000</v>
      </c>
      <c r="N35" s="139">
        <f>IFERROR(INDEX('[1]SALES PERTYPE'!$L$10:$L$52,MATCH($C35,'[1]SALES PERTYPE'!$B$10:$B$52,0)),0)</f>
        <v>0</v>
      </c>
      <c r="O35" s="139">
        <f>IFERROR(INDEX('[1]SALES PERTYPE'!$M$10:$M$52,MATCH($C35,'[1]SALES PERTYPE'!$B$10:$B$52,0)),0)</f>
        <v>0</v>
      </c>
      <c r="P35" s="139">
        <f>IFERROR(INDEX('[1]SALES PERTYPE'!$N$10:$N$52,MATCH($C35,'[1]SALES PERTYPE'!$B$10:$B$52,0)),0)</f>
        <v>1</v>
      </c>
      <c r="Q35" s="139">
        <f>IFERROR(INDEX('[1]SALES PERTYPE'!$O$10:$O$52,MATCH($C35,'[1]SALES PERTYPE'!$B$10:$B$52,0)),0)</f>
        <v>4299000</v>
      </c>
      <c r="R35" s="139">
        <f>IFERROR(INDEX('[1]SALES PERTYPE'!$P$10:$P$52,MATCH($C35,'[1]SALES PERTYPE'!$B$10:$B$52,0)),0)</f>
        <v>0</v>
      </c>
      <c r="S35" s="139">
        <f>IFERROR(INDEX('[1]SALES PERTYPE'!$Q$10:$Q$52,MATCH($C35,'[1]SALES PERTYPE'!$B$10:$B$52,0)),0)</f>
        <v>0</v>
      </c>
      <c r="T35" s="139">
        <f>IFERROR(INDEX('[1]SALES PERTYPE'!$R$10:$R$52,MATCH($C35,'[1]SALES PERTYPE'!$B$10:$B$52,0)),0)</f>
        <v>0</v>
      </c>
      <c r="U35" s="139">
        <f>IFERROR(INDEX('[1]SALES PERTYPE'!$S$10:$S$52,MATCH($C35,'[1]SALES PERTYPE'!$B$10:$B$52,0)),0)</f>
        <v>0</v>
      </c>
      <c r="V35" s="139">
        <f>IFERROR(INDEX('[1]SALES PERTYPE'!$T$10:$T$52,MATCH($C35,'[1]SALES PERTYPE'!$B$10:$B$52,0)),0)</f>
        <v>0</v>
      </c>
      <c r="W35" s="139">
        <f>IFERROR(INDEX('[1]SALES PERTYPE'!$U$10:$U$52,MATCH($C35,'[1]SALES PERTYPE'!$B$10:$B$52,0)),0)</f>
        <v>0</v>
      </c>
      <c r="X35" s="139">
        <f>IFERROR(INDEX('[1]SALES PERTYPE'!$V$10:$V$52,MATCH($C35,'[1]SALES PERTYPE'!$B$10:$B$52,0)),0)</f>
        <v>0</v>
      </c>
      <c r="Y35" s="139">
        <f>IFERROR(INDEX('[1]SALES PERTYPE'!$W$10:$W$52,MATCH($C35,'[1]SALES PERTYPE'!$B$10:$B$52,0)),0)</f>
        <v>0</v>
      </c>
      <c r="Z35" s="139">
        <f>IFERROR(INDEX('[1]SALES PERTYPE'!$X$10:$X$52,MATCH($C35,'[1]SALES PERTYPE'!$B$10:$B$52,0)),0)</f>
        <v>0</v>
      </c>
      <c r="AA35" s="139">
        <f>IFERROR(INDEX('[1]SALES PERTYPE'!$Y$10:$Y$52,MATCH($C35,'[1]SALES PERTYPE'!$B$10:$B$52,0)),0)</f>
        <v>0</v>
      </c>
      <c r="AB35" s="139">
        <f>IFERROR(INDEX('[1]SALES PERTYPE'!$Z$10:$Z$52,MATCH($C35,'[1]SALES PERTYPE'!$B$10:$B$52,0)),0)</f>
        <v>0</v>
      </c>
      <c r="AC35" s="139">
        <f>IFERROR(INDEX('[1]SALES PERTYPE'!$AA$10:$AA$52,MATCH($C35,'[1]SALES PERTYPE'!$B$10:$B$52,0)),0)</f>
        <v>0</v>
      </c>
      <c r="AD35" s="139">
        <f>IFERROR(INDEX('[1]SALES PERTYPE'!$AB$10:$AB$52,MATCH($C35,'[1]SALES PERTYPE'!$B$10:$B$52,0)),0)</f>
        <v>0</v>
      </c>
      <c r="AE35" s="139">
        <f>IFERROR(INDEX('[1]SALES PERTYPE'!$AC$10:$AC$52,MATCH($C35,'[1]SALES PERTYPE'!$B$10:$B$52,0)),0)</f>
        <v>0</v>
      </c>
      <c r="AF35" s="139">
        <f>IFERROR(INDEX('[1]SALES PERTYPE'!$AD$10:$AD$52,MATCH($C35,'[1]SALES PERTYPE'!$B$10:$B$52,0)),0)</f>
        <v>0</v>
      </c>
      <c r="AG35" s="139">
        <f>IFERROR(INDEX('[1]SALES PERTYPE'!$AE$10:$AE$52,MATCH($C35,'[1]SALES PERTYPE'!$B$10:$B$52,0)),0)</f>
        <v>0</v>
      </c>
      <c r="AH35" s="139">
        <f>IFERROR(INDEX('[1]SALES PERTYPE'!$AF$10:$AF$52,MATCH($C35,'[1]SALES PERTYPE'!$B$10:$B$52,0)),0)</f>
        <v>0</v>
      </c>
      <c r="AI35" s="139">
        <f>IFERROR(INDEX('[1]SALES PERTYPE'!$AG$10:$AG$52,MATCH($C35,'[1]SALES PERTYPE'!$B$10:$B$52,0)),0)</f>
        <v>0</v>
      </c>
      <c r="AJ35" s="139">
        <f>IFERROR(INDEX('[1]SALES PERTYPE'!$AH$10:$AH$52,MATCH($C35,'[1]SALES PERTYPE'!$B$10:$B$52,0)),0)</f>
        <v>0</v>
      </c>
      <c r="AK35" s="139">
        <f>IFERROR(INDEX('[1]SALES PERTYPE'!$AI$10:$AI$52,MATCH($C35,'[1]SALES PERTYPE'!$B$10:$B$52,0)),0)</f>
        <v>0</v>
      </c>
      <c r="AL35" s="139">
        <f>IFERROR(INDEX('[1]SALES PERTYPE'!$AJ$10:$AJ$52,MATCH($C35,'[1]SALES PERTYPE'!$B$10:$B$52,0)),0)</f>
        <v>0</v>
      </c>
      <c r="AM35" s="139">
        <f>IFERROR(INDEX('[1]SALES PERTYPE'!$AK$10:$AK$52,MATCH($C35,'[1]SALES PERTYPE'!$B$10:$B$52,0)),0)</f>
        <v>0</v>
      </c>
      <c r="AN35" s="139">
        <f>IFERROR(INDEX('[1]SALES PERTYPE'!$AL$10:$AL$52,MATCH($C35,'[1]SALES PERTYPE'!$B$10:$B$52,0)),0)</f>
        <v>6</v>
      </c>
      <c r="AO35" s="139">
        <f>IFERROR(INDEX('[1]SALES PERTYPE'!$AM$10:$AM$52,MATCH($C35,'[1]SALES PERTYPE'!$B$10:$B$52,0)),0)</f>
        <v>16894000</v>
      </c>
    </row>
    <row r="36" spans="1:41" x14ac:dyDescent="0.15">
      <c r="A36" s="140">
        <f>'[1]ACHIEVEMENT STORE'!A36</f>
        <v>32</v>
      </c>
      <c r="B36" s="141" t="str">
        <f>'[1]ACHIEVEMENT STORE'!B36</f>
        <v>624-万丹BANTEN</v>
      </c>
      <c r="C36" s="140">
        <f>'[1]ACHIEVEMENT STORE'!C36</f>
        <v>6240706</v>
      </c>
      <c r="D36" s="141" t="str">
        <f>'[1]ACHIEVEMENT STORE'!D36</f>
        <v>6240706-SUPERMALL LGC3A</v>
      </c>
      <c r="E36" s="141" t="str">
        <f>'[1]ACHIEVEMENT STORE'!E36</f>
        <v>ADE RIVALDI L</v>
      </c>
      <c r="F36" s="142">
        <f>IFERROR(INDEX('[1]SALES PERTYPE'!$D$10:$D$52,MATCH($C36,'[1]SALES PERTYPE'!$B$10:$B$52,0)),0)</f>
        <v>1</v>
      </c>
      <c r="G36" s="142">
        <f>IFERROR(INDEX('[1]SALES PERTYPE'!$E$10:$E$52,MATCH($C36,'[1]SALES PERTYPE'!$B$10:$B$52,0)),0)</f>
        <v>2299000</v>
      </c>
      <c r="H36" s="142">
        <f>IFERROR(INDEX('[1]SALES PERTYPE'!$F$10:$F$52,MATCH($C36,'[1]SALES PERTYPE'!$B$10:$B$52,0)),0)</f>
        <v>2</v>
      </c>
      <c r="I36" s="142">
        <f>IFERROR(INDEX('[1]SALES PERTYPE'!$G$10:$G$52,MATCH($C36,'[1]SALES PERTYPE'!$B$10:$B$52,0)),0)</f>
        <v>5198000</v>
      </c>
      <c r="J36" s="142">
        <f>IFERROR(INDEX('[1]SALES PERTYPE'!$H$10:$H$52,MATCH($C36,'[1]SALES PERTYPE'!$B$10:$B$52,0)),0)</f>
        <v>0</v>
      </c>
      <c r="K36" s="142">
        <f>IFERROR(INDEX('[1]SALES PERTYPE'!$I$10:$I$52,MATCH($C36,'[1]SALES PERTYPE'!$B$10:$B$52,0)),0)</f>
        <v>0</v>
      </c>
      <c r="L36" s="142">
        <f>IFERROR(INDEX('[1]SALES PERTYPE'!$J$10:$J$52,MATCH($C36,'[1]SALES PERTYPE'!$B$10:$B$52,0)),0)</f>
        <v>1</v>
      </c>
      <c r="M36" s="142">
        <f>IFERROR(INDEX('[1]SALES PERTYPE'!$K$10:$K$52,MATCH($C36,'[1]SALES PERTYPE'!$B$10:$B$52,0)),0)</f>
        <v>2099000</v>
      </c>
      <c r="N36" s="142">
        <f>IFERROR(INDEX('[1]SALES PERTYPE'!$L$10:$L$52,MATCH($C36,'[1]SALES PERTYPE'!$B$10:$B$52,0)),0)</f>
        <v>0</v>
      </c>
      <c r="O36" s="142">
        <f>IFERROR(INDEX('[1]SALES PERTYPE'!$M$10:$M$52,MATCH($C36,'[1]SALES PERTYPE'!$B$10:$B$52,0)),0)</f>
        <v>0</v>
      </c>
      <c r="P36" s="142">
        <f>IFERROR(INDEX('[1]SALES PERTYPE'!$N$10:$N$52,MATCH($C36,'[1]SALES PERTYPE'!$B$10:$B$52,0)),0)</f>
        <v>2</v>
      </c>
      <c r="Q36" s="142">
        <f>IFERROR(INDEX('[1]SALES PERTYPE'!$O$10:$O$52,MATCH($C36,'[1]SALES PERTYPE'!$B$10:$B$52,0)),0)</f>
        <v>9398000</v>
      </c>
      <c r="R36" s="142">
        <f>IFERROR(INDEX('[1]SALES PERTYPE'!$P$10:$P$52,MATCH($C36,'[1]SALES PERTYPE'!$B$10:$B$52,0)),0)</f>
        <v>0</v>
      </c>
      <c r="S36" s="142">
        <f>IFERROR(INDEX('[1]SALES PERTYPE'!$Q$10:$Q$52,MATCH($C36,'[1]SALES PERTYPE'!$B$10:$B$52,0)),0)</f>
        <v>0</v>
      </c>
      <c r="T36" s="142">
        <f>IFERROR(INDEX('[1]SALES PERTYPE'!$R$10:$R$52,MATCH($C36,'[1]SALES PERTYPE'!$B$10:$B$52,0)),0)</f>
        <v>0</v>
      </c>
      <c r="U36" s="142">
        <f>IFERROR(INDEX('[1]SALES PERTYPE'!$S$10:$S$52,MATCH($C36,'[1]SALES PERTYPE'!$B$10:$B$52,0)),0)</f>
        <v>0</v>
      </c>
      <c r="V36" s="142">
        <f>IFERROR(INDEX('[1]SALES PERTYPE'!$T$10:$T$52,MATCH($C36,'[1]SALES PERTYPE'!$B$10:$B$52,0)),0)</f>
        <v>0</v>
      </c>
      <c r="W36" s="142">
        <f>IFERROR(INDEX('[1]SALES PERTYPE'!$U$10:$U$52,MATCH($C36,'[1]SALES PERTYPE'!$B$10:$B$52,0)),0)</f>
        <v>0</v>
      </c>
      <c r="X36" s="142">
        <f>IFERROR(INDEX('[1]SALES PERTYPE'!$V$10:$V$52,MATCH($C36,'[1]SALES PERTYPE'!$B$10:$B$52,0)),0)</f>
        <v>0</v>
      </c>
      <c r="Y36" s="142">
        <f>IFERROR(INDEX('[1]SALES PERTYPE'!$W$10:$W$52,MATCH($C36,'[1]SALES PERTYPE'!$B$10:$B$52,0)),0)</f>
        <v>0</v>
      </c>
      <c r="Z36" s="142">
        <f>IFERROR(INDEX('[1]SALES PERTYPE'!$X$10:$X$52,MATCH($C36,'[1]SALES PERTYPE'!$B$10:$B$52,0)),0)</f>
        <v>0</v>
      </c>
      <c r="AA36" s="142">
        <f>IFERROR(INDEX('[1]SALES PERTYPE'!$Y$10:$Y$52,MATCH($C36,'[1]SALES PERTYPE'!$B$10:$B$52,0)),0)</f>
        <v>0</v>
      </c>
      <c r="AB36" s="142">
        <f>IFERROR(INDEX('[1]SALES PERTYPE'!$Z$10:$Z$52,MATCH($C36,'[1]SALES PERTYPE'!$B$10:$B$52,0)),0)</f>
        <v>0</v>
      </c>
      <c r="AC36" s="142">
        <f>IFERROR(INDEX('[1]SALES PERTYPE'!$AA$10:$AA$52,MATCH($C36,'[1]SALES PERTYPE'!$B$10:$B$52,0)),0)</f>
        <v>0</v>
      </c>
      <c r="AD36" s="142">
        <f>IFERROR(INDEX('[1]SALES PERTYPE'!$AB$10:$AB$52,MATCH($C36,'[1]SALES PERTYPE'!$B$10:$B$52,0)),0)</f>
        <v>1</v>
      </c>
      <c r="AE36" s="142">
        <f>IFERROR(INDEX('[1]SALES PERTYPE'!$AC$10:$AC$52,MATCH($C36,'[1]SALES PERTYPE'!$B$10:$B$52,0)),0)</f>
        <v>5299000</v>
      </c>
      <c r="AF36" s="142">
        <f>IFERROR(INDEX('[1]SALES PERTYPE'!$AD$10:$AD$52,MATCH($C36,'[1]SALES PERTYPE'!$B$10:$B$52,0)),0)</f>
        <v>0</v>
      </c>
      <c r="AG36" s="142">
        <f>IFERROR(INDEX('[1]SALES PERTYPE'!$AE$10:$AE$52,MATCH($C36,'[1]SALES PERTYPE'!$B$10:$B$52,0)),0)</f>
        <v>0</v>
      </c>
      <c r="AH36" s="142">
        <f>IFERROR(INDEX('[1]SALES PERTYPE'!$AF$10:$AF$52,MATCH($C36,'[1]SALES PERTYPE'!$B$10:$B$52,0)),0)</f>
        <v>0</v>
      </c>
      <c r="AI36" s="142">
        <f>IFERROR(INDEX('[1]SALES PERTYPE'!$AG$10:$AG$52,MATCH($C36,'[1]SALES PERTYPE'!$B$10:$B$52,0)),0)</f>
        <v>0</v>
      </c>
      <c r="AJ36" s="142">
        <f>IFERROR(INDEX('[1]SALES PERTYPE'!$AH$10:$AH$52,MATCH($C36,'[1]SALES PERTYPE'!$B$10:$B$52,0)),0)</f>
        <v>0</v>
      </c>
      <c r="AK36" s="142">
        <f>IFERROR(INDEX('[1]SALES PERTYPE'!$AI$10:$AI$52,MATCH($C36,'[1]SALES PERTYPE'!$B$10:$B$52,0)),0)</f>
        <v>0</v>
      </c>
      <c r="AL36" s="142">
        <f>IFERROR(INDEX('[1]SALES PERTYPE'!$AJ$10:$AJ$52,MATCH($C36,'[1]SALES PERTYPE'!$B$10:$B$52,0)),0)</f>
        <v>0</v>
      </c>
      <c r="AM36" s="142">
        <f>IFERROR(INDEX('[1]SALES PERTYPE'!$AK$10:$AK$52,MATCH($C36,'[1]SALES PERTYPE'!$B$10:$B$52,0)),0)</f>
        <v>0</v>
      </c>
      <c r="AN36" s="142">
        <f>IFERROR(INDEX('[1]SALES PERTYPE'!$AL$10:$AL$52,MATCH($C36,'[1]SALES PERTYPE'!$B$10:$B$52,0)),0)</f>
        <v>7</v>
      </c>
      <c r="AO36" s="142">
        <f>IFERROR(INDEX('[1]SALES PERTYPE'!$AM$10:$AM$52,MATCH($C36,'[1]SALES PERTYPE'!$B$10:$B$52,0)),0)</f>
        <v>24293000</v>
      </c>
    </row>
    <row r="37" spans="1:41" x14ac:dyDescent="0.15">
      <c r="A37" s="137">
        <f>'[1]ACHIEVEMENT STORE'!A37</f>
        <v>33</v>
      </c>
      <c r="B37" s="138" t="str">
        <f>'[1]ACHIEVEMENT STORE'!B37</f>
        <v>619-万隆市区BDG KOTA</v>
      </c>
      <c r="C37" s="137">
        <f>'[1]ACHIEVEMENT STORE'!C37</f>
        <v>6190701</v>
      </c>
      <c r="D37" s="138" t="str">
        <f>'[1]ACHIEVEMENT STORE'!D37</f>
        <v>6190701-VIVO STORE UG</v>
      </c>
      <c r="E37" s="138" t="str">
        <f>'[1]ACHIEVEMENT STORE'!E37</f>
        <v>EKO PURWANTO</v>
      </c>
      <c r="F37" s="139">
        <f>IFERROR(INDEX('[1]SALES PERTYPE'!$D$10:$D$52,MATCH($C37,'[1]SALES PERTYPE'!$B$10:$B$52,0)),0)</f>
        <v>1</v>
      </c>
      <c r="G37" s="139">
        <f>IFERROR(INDEX('[1]SALES PERTYPE'!$E$10:$E$52,MATCH($C37,'[1]SALES PERTYPE'!$B$10:$B$52,0)),0)</f>
        <v>2299000</v>
      </c>
      <c r="H37" s="139">
        <f>IFERROR(INDEX('[1]SALES PERTYPE'!$F$10:$F$52,MATCH($C37,'[1]SALES PERTYPE'!$B$10:$B$52,0)),0)</f>
        <v>4</v>
      </c>
      <c r="I37" s="139">
        <f>IFERROR(INDEX('[1]SALES PERTYPE'!$G$10:$G$52,MATCH($C37,'[1]SALES PERTYPE'!$B$10:$B$52,0)),0)</f>
        <v>11196000</v>
      </c>
      <c r="J37" s="139">
        <f>IFERROR(INDEX('[1]SALES PERTYPE'!$H$10:$H$52,MATCH($C37,'[1]SALES PERTYPE'!$B$10:$B$52,0)),0)</f>
        <v>0</v>
      </c>
      <c r="K37" s="139">
        <f>IFERROR(INDEX('[1]SALES PERTYPE'!$I$10:$I$52,MATCH($C37,'[1]SALES PERTYPE'!$B$10:$B$52,0)),0)</f>
        <v>0</v>
      </c>
      <c r="L37" s="139">
        <f>IFERROR(INDEX('[1]SALES PERTYPE'!$J$10:$J$52,MATCH($C37,'[1]SALES PERTYPE'!$B$10:$B$52,0)),0)</f>
        <v>2</v>
      </c>
      <c r="M37" s="139">
        <f>IFERROR(INDEX('[1]SALES PERTYPE'!$K$10:$K$52,MATCH($C37,'[1]SALES PERTYPE'!$B$10:$B$52,0)),0)</f>
        <v>4198000</v>
      </c>
      <c r="N37" s="139">
        <f>IFERROR(INDEX('[1]SALES PERTYPE'!$L$10:$L$52,MATCH($C37,'[1]SALES PERTYPE'!$B$10:$B$52,0)),0)</f>
        <v>0</v>
      </c>
      <c r="O37" s="139">
        <f>IFERROR(INDEX('[1]SALES PERTYPE'!$M$10:$M$52,MATCH($C37,'[1]SALES PERTYPE'!$B$10:$B$52,0)),0)</f>
        <v>0</v>
      </c>
      <c r="P37" s="139">
        <f>IFERROR(INDEX('[1]SALES PERTYPE'!$N$10:$N$52,MATCH($C37,'[1]SALES PERTYPE'!$B$10:$B$52,0)),0)</f>
        <v>3</v>
      </c>
      <c r="Q37" s="139">
        <f>IFERROR(INDEX('[1]SALES PERTYPE'!$O$10:$O$52,MATCH($C37,'[1]SALES PERTYPE'!$B$10:$B$52,0)),0)</f>
        <v>11697000</v>
      </c>
      <c r="R37" s="139">
        <f>IFERROR(INDEX('[1]SALES PERTYPE'!$P$10:$P$52,MATCH($C37,'[1]SALES PERTYPE'!$B$10:$B$52,0)),0)</f>
        <v>1</v>
      </c>
      <c r="S37" s="139">
        <f>IFERROR(INDEX('[1]SALES PERTYPE'!$Q$10:$Q$52,MATCH($C37,'[1]SALES PERTYPE'!$B$10:$B$52,0)),0)</f>
        <v>3599000</v>
      </c>
      <c r="T37" s="139">
        <f>IFERROR(INDEX('[1]SALES PERTYPE'!$R$10:$R$52,MATCH($C37,'[1]SALES PERTYPE'!$B$10:$B$52,0)),0)</f>
        <v>0</v>
      </c>
      <c r="U37" s="139">
        <f>IFERROR(INDEX('[1]SALES PERTYPE'!$S$10:$S$52,MATCH($C37,'[1]SALES PERTYPE'!$B$10:$B$52,0)),0)</f>
        <v>0</v>
      </c>
      <c r="V37" s="139">
        <f>IFERROR(INDEX('[1]SALES PERTYPE'!$T$10:$T$52,MATCH($C37,'[1]SALES PERTYPE'!$B$10:$B$52,0)),0)</f>
        <v>0</v>
      </c>
      <c r="W37" s="139">
        <f>IFERROR(INDEX('[1]SALES PERTYPE'!$U$10:$U$52,MATCH($C37,'[1]SALES PERTYPE'!$B$10:$B$52,0)),0)</f>
        <v>0</v>
      </c>
      <c r="X37" s="139">
        <f>IFERROR(INDEX('[1]SALES PERTYPE'!$V$10:$V$52,MATCH($C37,'[1]SALES PERTYPE'!$B$10:$B$52,0)),0)</f>
        <v>0</v>
      </c>
      <c r="Y37" s="139">
        <f>IFERROR(INDEX('[1]SALES PERTYPE'!$W$10:$W$52,MATCH($C37,'[1]SALES PERTYPE'!$B$10:$B$52,0)),0)</f>
        <v>0</v>
      </c>
      <c r="Z37" s="139">
        <f>IFERROR(INDEX('[1]SALES PERTYPE'!$X$10:$X$52,MATCH($C37,'[1]SALES PERTYPE'!$B$10:$B$52,0)),0)</f>
        <v>0</v>
      </c>
      <c r="AA37" s="139">
        <f>IFERROR(INDEX('[1]SALES PERTYPE'!$Y$10:$Y$52,MATCH($C37,'[1]SALES PERTYPE'!$B$10:$B$52,0)),0)</f>
        <v>0</v>
      </c>
      <c r="AB37" s="139">
        <f>IFERROR(INDEX('[1]SALES PERTYPE'!$Z$10:$Z$52,MATCH($C37,'[1]SALES PERTYPE'!$B$10:$B$52,0)),0)</f>
        <v>0</v>
      </c>
      <c r="AC37" s="139">
        <f>IFERROR(INDEX('[1]SALES PERTYPE'!$AA$10:$AA$52,MATCH($C37,'[1]SALES PERTYPE'!$B$10:$B$52,0)),0)</f>
        <v>0</v>
      </c>
      <c r="AD37" s="139">
        <f>IFERROR(INDEX('[1]SALES PERTYPE'!$AB$10:$AB$52,MATCH($C37,'[1]SALES PERTYPE'!$B$10:$B$52,0)),0)</f>
        <v>1</v>
      </c>
      <c r="AE37" s="139">
        <f>IFERROR(INDEX('[1]SALES PERTYPE'!$AC$10:$AC$52,MATCH($C37,'[1]SALES PERTYPE'!$B$10:$B$52,0)),0)</f>
        <v>5299000</v>
      </c>
      <c r="AF37" s="139">
        <f>IFERROR(INDEX('[1]SALES PERTYPE'!$AD$10:$AD$52,MATCH($C37,'[1]SALES PERTYPE'!$B$10:$B$52,0)),0)</f>
        <v>0</v>
      </c>
      <c r="AG37" s="139">
        <f>IFERROR(INDEX('[1]SALES PERTYPE'!$AE$10:$AE$52,MATCH($C37,'[1]SALES PERTYPE'!$B$10:$B$52,0)),0)</f>
        <v>0</v>
      </c>
      <c r="AH37" s="139">
        <f>IFERROR(INDEX('[1]SALES PERTYPE'!$AF$10:$AF$52,MATCH($C37,'[1]SALES PERTYPE'!$B$10:$B$52,0)),0)</f>
        <v>0</v>
      </c>
      <c r="AI37" s="139">
        <f>IFERROR(INDEX('[1]SALES PERTYPE'!$AG$10:$AG$52,MATCH($C37,'[1]SALES PERTYPE'!$B$10:$B$52,0)),0)</f>
        <v>0</v>
      </c>
      <c r="AJ37" s="139">
        <f>IFERROR(INDEX('[1]SALES PERTYPE'!$AH$10:$AH$52,MATCH($C37,'[1]SALES PERTYPE'!$B$10:$B$52,0)),0)</f>
        <v>0</v>
      </c>
      <c r="AK37" s="139">
        <f>IFERROR(INDEX('[1]SALES PERTYPE'!$AI$10:$AI$52,MATCH($C37,'[1]SALES PERTYPE'!$B$10:$B$52,0)),0)</f>
        <v>0</v>
      </c>
      <c r="AL37" s="139">
        <f>IFERROR(INDEX('[1]SALES PERTYPE'!$AJ$10:$AJ$52,MATCH($C37,'[1]SALES PERTYPE'!$B$10:$B$52,0)),0)</f>
        <v>1</v>
      </c>
      <c r="AM37" s="139">
        <f>IFERROR(INDEX('[1]SALES PERTYPE'!$AK$10:$AK$52,MATCH($C37,'[1]SALES PERTYPE'!$B$10:$B$52,0)),0)</f>
        <v>6899000</v>
      </c>
      <c r="AN37" s="139">
        <f>IFERROR(INDEX('[1]SALES PERTYPE'!$AL$10:$AL$52,MATCH($C37,'[1]SALES PERTYPE'!$B$10:$B$52,0)),0)</f>
        <v>13</v>
      </c>
      <c r="AO37" s="139">
        <f>IFERROR(INDEX('[1]SALES PERTYPE'!$AM$10:$AM$52,MATCH($C37,'[1]SALES PERTYPE'!$B$10:$B$52,0)),0)</f>
        <v>45187000</v>
      </c>
    </row>
    <row r="38" spans="1:41" x14ac:dyDescent="0.15">
      <c r="A38" s="140">
        <f>'[1]ACHIEVEMENT STORE'!A38</f>
        <v>34</v>
      </c>
      <c r="B38" s="141" t="str">
        <f>'[1]ACHIEVEMENT STORE'!B38</f>
        <v>619-万隆市区BDG KOTA</v>
      </c>
      <c r="C38" s="140">
        <f>'[1]ACHIEVEMENT STORE'!C38</f>
        <v>6190706</v>
      </c>
      <c r="D38" s="141" t="str">
        <f>'[1]ACHIEVEMENT STORE'!D38</f>
        <v>A300102-VIVO STORE 4 BEC</v>
      </c>
      <c r="E38" s="141" t="str">
        <f>'[1]ACHIEVEMENT STORE'!E38</f>
        <v>EKO PURWANTO</v>
      </c>
      <c r="F38" s="142">
        <f>IFERROR(INDEX('[1]SALES PERTYPE'!$D$10:$D$52,MATCH($C38,'[1]SALES PERTYPE'!$B$10:$B$52,0)),0)</f>
        <v>6</v>
      </c>
      <c r="G38" s="142">
        <f>IFERROR(INDEX('[1]SALES PERTYPE'!$E$10:$E$52,MATCH($C38,'[1]SALES PERTYPE'!$B$10:$B$52,0)),0)</f>
        <v>14994000</v>
      </c>
      <c r="H38" s="142">
        <f>IFERROR(INDEX('[1]SALES PERTYPE'!$F$10:$F$52,MATCH($C38,'[1]SALES PERTYPE'!$B$10:$B$52,0)),0)</f>
        <v>12</v>
      </c>
      <c r="I38" s="142">
        <f>IFERROR(INDEX('[1]SALES PERTYPE'!$G$10:$G$52,MATCH($C38,'[1]SALES PERTYPE'!$B$10:$B$52,0)),0)</f>
        <v>31188000</v>
      </c>
      <c r="J38" s="142">
        <f>IFERROR(INDEX('[1]SALES PERTYPE'!$H$10:$H$52,MATCH($C38,'[1]SALES PERTYPE'!$B$10:$B$52,0)),0)</f>
        <v>0</v>
      </c>
      <c r="K38" s="142">
        <f>IFERROR(INDEX('[1]SALES PERTYPE'!$I$10:$I$52,MATCH($C38,'[1]SALES PERTYPE'!$B$10:$B$52,0)),0)</f>
        <v>0</v>
      </c>
      <c r="L38" s="142">
        <f>IFERROR(INDEX('[1]SALES PERTYPE'!$J$10:$J$52,MATCH($C38,'[1]SALES PERTYPE'!$B$10:$B$52,0)),0)</f>
        <v>4</v>
      </c>
      <c r="M38" s="142">
        <f>IFERROR(INDEX('[1]SALES PERTYPE'!$K$10:$K$52,MATCH($C38,'[1]SALES PERTYPE'!$B$10:$B$52,0)),0)</f>
        <v>8396000</v>
      </c>
      <c r="N38" s="142">
        <f>IFERROR(INDEX('[1]SALES PERTYPE'!$L$10:$L$52,MATCH($C38,'[1]SALES PERTYPE'!$B$10:$B$52,0)),0)</f>
        <v>2</v>
      </c>
      <c r="O38" s="142">
        <f>IFERROR(INDEX('[1]SALES PERTYPE'!$M$10:$M$52,MATCH($C38,'[1]SALES PERTYPE'!$B$10:$B$52,0)),0)</f>
        <v>19998000</v>
      </c>
      <c r="P38" s="142">
        <f>IFERROR(INDEX('[1]SALES PERTYPE'!$N$10:$N$52,MATCH($C38,'[1]SALES PERTYPE'!$B$10:$B$52,0)),0)</f>
        <v>9</v>
      </c>
      <c r="Q38" s="142">
        <f>IFERROR(INDEX('[1]SALES PERTYPE'!$O$10:$O$52,MATCH($C38,'[1]SALES PERTYPE'!$B$10:$B$52,0)),0)</f>
        <v>39891000</v>
      </c>
      <c r="R38" s="142">
        <f>IFERROR(INDEX('[1]SALES PERTYPE'!$P$10:$P$52,MATCH($C38,'[1]SALES PERTYPE'!$B$10:$B$52,0)),0)</f>
        <v>0</v>
      </c>
      <c r="S38" s="142">
        <f>IFERROR(INDEX('[1]SALES PERTYPE'!$Q$10:$Q$52,MATCH($C38,'[1]SALES PERTYPE'!$B$10:$B$52,0)),0)</f>
        <v>0</v>
      </c>
      <c r="T38" s="142">
        <f>IFERROR(INDEX('[1]SALES PERTYPE'!$R$10:$R$52,MATCH($C38,'[1]SALES PERTYPE'!$B$10:$B$52,0)),0)</f>
        <v>0</v>
      </c>
      <c r="U38" s="142">
        <f>IFERROR(INDEX('[1]SALES PERTYPE'!$S$10:$S$52,MATCH($C38,'[1]SALES PERTYPE'!$B$10:$B$52,0)),0)</f>
        <v>0</v>
      </c>
      <c r="V38" s="142">
        <f>IFERROR(INDEX('[1]SALES PERTYPE'!$T$10:$T$52,MATCH($C38,'[1]SALES PERTYPE'!$B$10:$B$52,0)),0)</f>
        <v>4</v>
      </c>
      <c r="W38" s="142">
        <f>IFERROR(INDEX('[1]SALES PERTYPE'!$U$10:$U$52,MATCH($C38,'[1]SALES PERTYPE'!$B$10:$B$52,0)),0)</f>
        <v>30396000</v>
      </c>
      <c r="X38" s="142">
        <f>IFERROR(INDEX('[1]SALES PERTYPE'!$V$10:$V$52,MATCH($C38,'[1]SALES PERTYPE'!$B$10:$B$52,0)),0)</f>
        <v>0</v>
      </c>
      <c r="Y38" s="142">
        <f>IFERROR(INDEX('[1]SALES PERTYPE'!$W$10:$W$52,MATCH($C38,'[1]SALES PERTYPE'!$B$10:$B$52,0)),0)</f>
        <v>0</v>
      </c>
      <c r="Z38" s="142">
        <f>IFERROR(INDEX('[1]SALES PERTYPE'!$X$10:$X$52,MATCH($C38,'[1]SALES PERTYPE'!$B$10:$B$52,0)),0)</f>
        <v>2</v>
      </c>
      <c r="AA38" s="142">
        <f>IFERROR(INDEX('[1]SALES PERTYPE'!$Y$10:$Y$52,MATCH($C38,'[1]SALES PERTYPE'!$B$10:$B$52,0)),0)</f>
        <v>10998000</v>
      </c>
      <c r="AB38" s="142">
        <f>IFERROR(INDEX('[1]SALES PERTYPE'!$Z$10:$Z$52,MATCH($C38,'[1]SALES PERTYPE'!$B$10:$B$52,0)),0)</f>
        <v>0</v>
      </c>
      <c r="AC38" s="142">
        <f>IFERROR(INDEX('[1]SALES PERTYPE'!$AA$10:$AA$52,MATCH($C38,'[1]SALES PERTYPE'!$B$10:$B$52,0)),0)</f>
        <v>0</v>
      </c>
      <c r="AD38" s="142">
        <f>IFERROR(INDEX('[1]SALES PERTYPE'!$AB$10:$AB$52,MATCH($C38,'[1]SALES PERTYPE'!$B$10:$B$52,0)),0)</f>
        <v>1</v>
      </c>
      <c r="AE38" s="142">
        <f>IFERROR(INDEX('[1]SALES PERTYPE'!$AC$10:$AC$52,MATCH($C38,'[1]SALES PERTYPE'!$B$10:$B$52,0)),0)</f>
        <v>5299000</v>
      </c>
      <c r="AF38" s="142">
        <f>IFERROR(INDEX('[1]SALES PERTYPE'!$AD$10:$AD$52,MATCH($C38,'[1]SALES PERTYPE'!$B$10:$B$52,0)),0)</f>
        <v>2</v>
      </c>
      <c r="AG38" s="142">
        <f>IFERROR(INDEX('[1]SALES PERTYPE'!$AE$10:$AE$52,MATCH($C38,'[1]SALES PERTYPE'!$B$10:$B$52,0)),0)</f>
        <v>51998000</v>
      </c>
      <c r="AH38" s="142">
        <f>IFERROR(INDEX('[1]SALES PERTYPE'!$AF$10:$AF$52,MATCH($C38,'[1]SALES PERTYPE'!$B$10:$B$52,0)),0)</f>
        <v>0</v>
      </c>
      <c r="AI38" s="142">
        <f>IFERROR(INDEX('[1]SALES PERTYPE'!$AG$10:$AG$52,MATCH($C38,'[1]SALES PERTYPE'!$B$10:$B$52,0)),0)</f>
        <v>0</v>
      </c>
      <c r="AJ38" s="142">
        <f>IFERROR(INDEX('[1]SALES PERTYPE'!$AH$10:$AH$52,MATCH($C38,'[1]SALES PERTYPE'!$B$10:$B$52,0)),0)</f>
        <v>0</v>
      </c>
      <c r="AK38" s="142">
        <f>IFERROR(INDEX('[1]SALES PERTYPE'!$AI$10:$AI$52,MATCH($C38,'[1]SALES PERTYPE'!$B$10:$B$52,0)),0)</f>
        <v>0</v>
      </c>
      <c r="AL38" s="142">
        <f>IFERROR(INDEX('[1]SALES PERTYPE'!$AJ$10:$AJ$52,MATCH($C38,'[1]SALES PERTYPE'!$B$10:$B$52,0)),0)</f>
        <v>1</v>
      </c>
      <c r="AM38" s="142">
        <f>IFERROR(INDEX('[1]SALES PERTYPE'!$AK$10:$AK$52,MATCH($C38,'[1]SALES PERTYPE'!$B$10:$B$52,0)),0)</f>
        <v>6899000</v>
      </c>
      <c r="AN38" s="142">
        <f>IFERROR(INDEX('[1]SALES PERTYPE'!$AL$10:$AL$52,MATCH($C38,'[1]SALES PERTYPE'!$B$10:$B$52,0)),0)</f>
        <v>43</v>
      </c>
      <c r="AO38" s="142">
        <f>IFERROR(INDEX('[1]SALES PERTYPE'!$AM$10:$AM$52,MATCH($C38,'[1]SALES PERTYPE'!$B$10:$B$52,0)),0)</f>
        <v>220057000</v>
      </c>
    </row>
    <row r="39" spans="1:41" x14ac:dyDescent="0.15">
      <c r="A39" s="137">
        <f>'[1]ACHIEVEMENT STORE'!A39</f>
        <v>35</v>
      </c>
      <c r="B39" s="138" t="str">
        <f>'[1]ACHIEVEMENT STORE'!B39</f>
        <v>619-万隆市区BDG KOTA</v>
      </c>
      <c r="C39" s="137">
        <f>'[1]ACHIEVEMENT STORE'!C39</f>
        <v>6190705</v>
      </c>
      <c r="D39" s="138" t="str">
        <f>'[1]ACHIEVEMENT STORE'!D39</f>
        <v>A300105-VIVO STORE LG F20</v>
      </c>
      <c r="E39" s="138" t="str">
        <f>'[1]ACHIEVEMENT STORE'!E39</f>
        <v>EKO PURWANTO</v>
      </c>
      <c r="F39" s="139">
        <f>IFERROR(INDEX('[1]SALES PERTYPE'!$D$10:$D$52,MATCH($C39,'[1]SALES PERTYPE'!$B$10:$B$52,0)),0)</f>
        <v>2</v>
      </c>
      <c r="G39" s="139">
        <f>IFERROR(INDEX('[1]SALES PERTYPE'!$E$10:$E$52,MATCH($C39,'[1]SALES PERTYPE'!$B$10:$B$52,0)),0)</f>
        <v>4598000</v>
      </c>
      <c r="H39" s="139">
        <f>IFERROR(INDEX('[1]SALES PERTYPE'!$F$10:$F$52,MATCH($C39,'[1]SALES PERTYPE'!$B$10:$B$52,0)),0)</f>
        <v>3</v>
      </c>
      <c r="I39" s="139">
        <f>IFERROR(INDEX('[1]SALES PERTYPE'!$G$10:$G$52,MATCH($C39,'[1]SALES PERTYPE'!$B$10:$B$52,0)),0)</f>
        <v>7597000</v>
      </c>
      <c r="J39" s="139">
        <f>IFERROR(INDEX('[1]SALES PERTYPE'!$H$10:$H$52,MATCH($C39,'[1]SALES PERTYPE'!$B$10:$B$52,0)),0)</f>
        <v>0</v>
      </c>
      <c r="K39" s="139">
        <f>IFERROR(INDEX('[1]SALES PERTYPE'!$I$10:$I$52,MATCH($C39,'[1]SALES PERTYPE'!$B$10:$B$52,0)),0)</f>
        <v>0</v>
      </c>
      <c r="L39" s="139">
        <f>IFERROR(INDEX('[1]SALES PERTYPE'!$J$10:$J$52,MATCH($C39,'[1]SALES PERTYPE'!$B$10:$B$52,0)),0)</f>
        <v>2</v>
      </c>
      <c r="M39" s="139">
        <f>IFERROR(INDEX('[1]SALES PERTYPE'!$K$10:$K$52,MATCH($C39,'[1]SALES PERTYPE'!$B$10:$B$52,0)),0)</f>
        <v>4198000</v>
      </c>
      <c r="N39" s="139">
        <f>IFERROR(INDEX('[1]SALES PERTYPE'!$L$10:$L$52,MATCH($C39,'[1]SALES PERTYPE'!$B$10:$B$52,0)),0)</f>
        <v>0</v>
      </c>
      <c r="O39" s="139">
        <f>IFERROR(INDEX('[1]SALES PERTYPE'!$M$10:$M$52,MATCH($C39,'[1]SALES PERTYPE'!$B$10:$B$52,0)),0)</f>
        <v>0</v>
      </c>
      <c r="P39" s="139">
        <f>IFERROR(INDEX('[1]SALES PERTYPE'!$N$10:$N$52,MATCH($C39,'[1]SALES PERTYPE'!$B$10:$B$52,0)),0)</f>
        <v>3</v>
      </c>
      <c r="Q39" s="139">
        <f>IFERROR(INDEX('[1]SALES PERTYPE'!$O$10:$O$52,MATCH($C39,'[1]SALES PERTYPE'!$B$10:$B$52,0)),0)</f>
        <v>11697000</v>
      </c>
      <c r="R39" s="139">
        <f>IFERROR(INDEX('[1]SALES PERTYPE'!$P$10:$P$52,MATCH($C39,'[1]SALES PERTYPE'!$B$10:$B$52,0)),0)</f>
        <v>1</v>
      </c>
      <c r="S39" s="139">
        <f>IFERROR(INDEX('[1]SALES PERTYPE'!$Q$10:$Q$52,MATCH($C39,'[1]SALES PERTYPE'!$B$10:$B$52,0)),0)</f>
        <v>3599000</v>
      </c>
      <c r="T39" s="139">
        <f>IFERROR(INDEX('[1]SALES PERTYPE'!$R$10:$R$52,MATCH($C39,'[1]SALES PERTYPE'!$B$10:$B$52,0)),0)</f>
        <v>0</v>
      </c>
      <c r="U39" s="139">
        <f>IFERROR(INDEX('[1]SALES PERTYPE'!$S$10:$S$52,MATCH($C39,'[1]SALES PERTYPE'!$B$10:$B$52,0)),0)</f>
        <v>0</v>
      </c>
      <c r="V39" s="139">
        <f>IFERROR(INDEX('[1]SALES PERTYPE'!$T$10:$T$52,MATCH($C39,'[1]SALES PERTYPE'!$B$10:$B$52,0)),0)</f>
        <v>0</v>
      </c>
      <c r="W39" s="139">
        <f>IFERROR(INDEX('[1]SALES PERTYPE'!$U$10:$U$52,MATCH($C39,'[1]SALES PERTYPE'!$B$10:$B$52,0)),0)</f>
        <v>0</v>
      </c>
      <c r="X39" s="139">
        <f>IFERROR(INDEX('[1]SALES PERTYPE'!$V$10:$V$52,MATCH($C39,'[1]SALES PERTYPE'!$B$10:$B$52,0)),0)</f>
        <v>0</v>
      </c>
      <c r="Y39" s="139">
        <f>IFERROR(INDEX('[1]SALES PERTYPE'!$W$10:$W$52,MATCH($C39,'[1]SALES PERTYPE'!$B$10:$B$52,0)),0)</f>
        <v>0</v>
      </c>
      <c r="Z39" s="139">
        <f>IFERROR(INDEX('[1]SALES PERTYPE'!$X$10:$X$52,MATCH($C39,'[1]SALES PERTYPE'!$B$10:$B$52,0)),0)</f>
        <v>0</v>
      </c>
      <c r="AA39" s="139">
        <f>IFERROR(INDEX('[1]SALES PERTYPE'!$Y$10:$Y$52,MATCH($C39,'[1]SALES PERTYPE'!$B$10:$B$52,0)),0)</f>
        <v>0</v>
      </c>
      <c r="AB39" s="139">
        <f>IFERROR(INDEX('[1]SALES PERTYPE'!$Z$10:$Z$52,MATCH($C39,'[1]SALES PERTYPE'!$B$10:$B$52,0)),0)</f>
        <v>1</v>
      </c>
      <c r="AC39" s="139">
        <f>IFERROR(INDEX('[1]SALES PERTYPE'!$AA$10:$AA$52,MATCH($C39,'[1]SALES PERTYPE'!$B$10:$B$52,0)),0)</f>
        <v>11999000</v>
      </c>
      <c r="AD39" s="139">
        <f>IFERROR(INDEX('[1]SALES PERTYPE'!$AB$10:$AB$52,MATCH($C39,'[1]SALES PERTYPE'!$B$10:$B$52,0)),0)</f>
        <v>0</v>
      </c>
      <c r="AE39" s="139">
        <f>IFERROR(INDEX('[1]SALES PERTYPE'!$AC$10:$AC$52,MATCH($C39,'[1]SALES PERTYPE'!$B$10:$B$52,0)),0)</f>
        <v>0</v>
      </c>
      <c r="AF39" s="139">
        <f>IFERROR(INDEX('[1]SALES PERTYPE'!$AD$10:$AD$52,MATCH($C39,'[1]SALES PERTYPE'!$B$10:$B$52,0)),0)</f>
        <v>0</v>
      </c>
      <c r="AG39" s="139">
        <f>IFERROR(INDEX('[1]SALES PERTYPE'!$AE$10:$AE$52,MATCH($C39,'[1]SALES PERTYPE'!$B$10:$B$52,0)),0)</f>
        <v>0</v>
      </c>
      <c r="AH39" s="139">
        <f>IFERROR(INDEX('[1]SALES PERTYPE'!$AF$10:$AF$52,MATCH($C39,'[1]SALES PERTYPE'!$B$10:$B$52,0)),0)</f>
        <v>0</v>
      </c>
      <c r="AI39" s="139">
        <f>IFERROR(INDEX('[1]SALES PERTYPE'!$AG$10:$AG$52,MATCH($C39,'[1]SALES PERTYPE'!$B$10:$B$52,0)),0)</f>
        <v>0</v>
      </c>
      <c r="AJ39" s="139">
        <f>IFERROR(INDEX('[1]SALES PERTYPE'!$AH$10:$AH$52,MATCH($C39,'[1]SALES PERTYPE'!$B$10:$B$52,0)),0)</f>
        <v>0</v>
      </c>
      <c r="AK39" s="139">
        <f>IFERROR(INDEX('[1]SALES PERTYPE'!$AI$10:$AI$52,MATCH($C39,'[1]SALES PERTYPE'!$B$10:$B$52,0)),0)</f>
        <v>0</v>
      </c>
      <c r="AL39" s="139">
        <f>IFERROR(INDEX('[1]SALES PERTYPE'!$AJ$10:$AJ$52,MATCH($C39,'[1]SALES PERTYPE'!$B$10:$B$52,0)),0)</f>
        <v>0</v>
      </c>
      <c r="AM39" s="139">
        <f>IFERROR(INDEX('[1]SALES PERTYPE'!$AK$10:$AK$52,MATCH($C39,'[1]SALES PERTYPE'!$B$10:$B$52,0)),0)</f>
        <v>0</v>
      </c>
      <c r="AN39" s="139">
        <f>IFERROR(INDEX('[1]SALES PERTYPE'!$AL$10:$AL$52,MATCH($C39,'[1]SALES PERTYPE'!$B$10:$B$52,0)),0)</f>
        <v>12</v>
      </c>
      <c r="AO39" s="139">
        <f>IFERROR(INDEX('[1]SALES PERTYPE'!$AM$10:$AM$52,MATCH($C39,'[1]SALES PERTYPE'!$B$10:$B$52,0)),0)</f>
        <v>43688000</v>
      </c>
    </row>
    <row r="40" spans="1:41" x14ac:dyDescent="0.15">
      <c r="A40" s="140">
        <f>'[1]ACHIEVEMENT STORE'!A40</f>
        <v>36</v>
      </c>
      <c r="B40" s="141" t="str">
        <f>'[1]ACHIEVEMENT STORE'!B40</f>
        <v>619-万隆市区BDG KOTA</v>
      </c>
      <c r="C40" s="140">
        <f>'[1]ACHIEVEMENT STORE'!C40</f>
        <v>6190704</v>
      </c>
      <c r="D40" s="141" t="str">
        <f>'[1]ACHIEVEMENT STORE'!D40</f>
        <v>A300201-VIVO STORE 1 BEC</v>
      </c>
      <c r="E40" s="141" t="str">
        <f>'[1]ACHIEVEMENT STORE'!E40</f>
        <v>NENG TOTOH</v>
      </c>
      <c r="F40" s="142">
        <f>IFERROR(INDEX('[1]SALES PERTYPE'!$D$10:$D$52,MATCH($C40,'[1]SALES PERTYPE'!$B$10:$B$52,0)),0)</f>
        <v>3</v>
      </c>
      <c r="G40" s="142">
        <f>IFERROR(INDEX('[1]SALES PERTYPE'!$E$10:$E$52,MATCH($C40,'[1]SALES PERTYPE'!$B$10:$B$52,0)),0)</f>
        <v>7197000</v>
      </c>
      <c r="H40" s="142">
        <f>IFERROR(INDEX('[1]SALES PERTYPE'!$F$10:$F$52,MATCH($C40,'[1]SALES PERTYPE'!$B$10:$B$52,0)),0)</f>
        <v>10</v>
      </c>
      <c r="I40" s="142">
        <f>IFERROR(INDEX('[1]SALES PERTYPE'!$G$10:$G$52,MATCH($C40,'[1]SALES PERTYPE'!$B$10:$B$52,0)),0)</f>
        <v>25590000</v>
      </c>
      <c r="J40" s="142">
        <f>IFERROR(INDEX('[1]SALES PERTYPE'!$H$10:$H$52,MATCH($C40,'[1]SALES PERTYPE'!$B$10:$B$52,0)),0)</f>
        <v>0</v>
      </c>
      <c r="K40" s="142">
        <f>IFERROR(INDEX('[1]SALES PERTYPE'!$I$10:$I$52,MATCH($C40,'[1]SALES PERTYPE'!$B$10:$B$52,0)),0)</f>
        <v>0</v>
      </c>
      <c r="L40" s="142">
        <f>IFERROR(INDEX('[1]SALES PERTYPE'!$J$10:$J$52,MATCH($C40,'[1]SALES PERTYPE'!$B$10:$B$52,0)),0)</f>
        <v>16</v>
      </c>
      <c r="M40" s="142">
        <f>IFERROR(INDEX('[1]SALES PERTYPE'!$K$10:$K$52,MATCH($C40,'[1]SALES PERTYPE'!$B$10:$B$52,0)),0)</f>
        <v>33584000</v>
      </c>
      <c r="N40" s="142">
        <f>IFERROR(INDEX('[1]SALES PERTYPE'!$L$10:$L$52,MATCH($C40,'[1]SALES PERTYPE'!$B$10:$B$52,0)),0)</f>
        <v>1</v>
      </c>
      <c r="O40" s="142">
        <f>IFERROR(INDEX('[1]SALES PERTYPE'!$M$10:$M$52,MATCH($C40,'[1]SALES PERTYPE'!$B$10:$B$52,0)),0)</f>
        <v>8999000</v>
      </c>
      <c r="P40" s="142">
        <f>IFERROR(INDEX('[1]SALES PERTYPE'!$N$10:$N$52,MATCH($C40,'[1]SALES PERTYPE'!$B$10:$B$52,0)),0)</f>
        <v>6</v>
      </c>
      <c r="Q40" s="142">
        <f>IFERROR(INDEX('[1]SALES PERTYPE'!$O$10:$O$52,MATCH($C40,'[1]SALES PERTYPE'!$B$10:$B$52,0)),0)</f>
        <v>28994000</v>
      </c>
      <c r="R40" s="142">
        <f>IFERROR(INDEX('[1]SALES PERTYPE'!$P$10:$P$52,MATCH($C40,'[1]SALES PERTYPE'!$B$10:$B$52,0)),0)</f>
        <v>0</v>
      </c>
      <c r="S40" s="142">
        <f>IFERROR(INDEX('[1]SALES PERTYPE'!$Q$10:$Q$52,MATCH($C40,'[1]SALES PERTYPE'!$B$10:$B$52,0)),0)</f>
        <v>0</v>
      </c>
      <c r="T40" s="142">
        <f>IFERROR(INDEX('[1]SALES PERTYPE'!$R$10:$R$52,MATCH($C40,'[1]SALES PERTYPE'!$B$10:$B$52,0)),0)</f>
        <v>0</v>
      </c>
      <c r="U40" s="142">
        <f>IFERROR(INDEX('[1]SALES PERTYPE'!$S$10:$S$52,MATCH($C40,'[1]SALES PERTYPE'!$B$10:$B$52,0)),0)</f>
        <v>0</v>
      </c>
      <c r="V40" s="142">
        <f>IFERROR(INDEX('[1]SALES PERTYPE'!$T$10:$T$52,MATCH($C40,'[1]SALES PERTYPE'!$B$10:$B$52,0)),0)</f>
        <v>4</v>
      </c>
      <c r="W40" s="142">
        <f>IFERROR(INDEX('[1]SALES PERTYPE'!$U$10:$U$52,MATCH($C40,'[1]SALES PERTYPE'!$B$10:$B$52,0)),0)</f>
        <v>28896000</v>
      </c>
      <c r="X40" s="142">
        <f>IFERROR(INDEX('[1]SALES PERTYPE'!$V$10:$V$52,MATCH($C40,'[1]SALES PERTYPE'!$B$10:$B$52,0)),0)</f>
        <v>0</v>
      </c>
      <c r="Y40" s="142">
        <f>IFERROR(INDEX('[1]SALES PERTYPE'!$W$10:$W$52,MATCH($C40,'[1]SALES PERTYPE'!$B$10:$B$52,0)),0)</f>
        <v>0</v>
      </c>
      <c r="Z40" s="142">
        <f>IFERROR(INDEX('[1]SALES PERTYPE'!$X$10:$X$52,MATCH($C40,'[1]SALES PERTYPE'!$B$10:$B$52,0)),0)</f>
        <v>1</v>
      </c>
      <c r="AA40" s="142">
        <f>IFERROR(INDEX('[1]SALES PERTYPE'!$Y$10:$Y$52,MATCH($C40,'[1]SALES PERTYPE'!$B$10:$B$52,0)),0)</f>
        <v>5499000</v>
      </c>
      <c r="AB40" s="142">
        <f>IFERROR(INDEX('[1]SALES PERTYPE'!$Z$10:$Z$52,MATCH($C40,'[1]SALES PERTYPE'!$B$10:$B$52,0)),0)</f>
        <v>0</v>
      </c>
      <c r="AC40" s="142">
        <f>IFERROR(INDEX('[1]SALES PERTYPE'!$AA$10:$AA$52,MATCH($C40,'[1]SALES PERTYPE'!$B$10:$B$52,0)),0)</f>
        <v>0</v>
      </c>
      <c r="AD40" s="142">
        <f>IFERROR(INDEX('[1]SALES PERTYPE'!$AB$10:$AB$52,MATCH($C40,'[1]SALES PERTYPE'!$B$10:$B$52,0)),0)</f>
        <v>1</v>
      </c>
      <c r="AE40" s="142">
        <f>IFERROR(INDEX('[1]SALES PERTYPE'!$AC$10:$AC$52,MATCH($C40,'[1]SALES PERTYPE'!$B$10:$B$52,0)),0)</f>
        <v>5899000</v>
      </c>
      <c r="AF40" s="142">
        <f>IFERROR(INDEX('[1]SALES PERTYPE'!$AD$10:$AD$52,MATCH($C40,'[1]SALES PERTYPE'!$B$10:$B$52,0)),0)</f>
        <v>0</v>
      </c>
      <c r="AG40" s="142">
        <f>IFERROR(INDEX('[1]SALES PERTYPE'!$AE$10:$AE$52,MATCH($C40,'[1]SALES PERTYPE'!$B$10:$B$52,0)),0)</f>
        <v>0</v>
      </c>
      <c r="AH40" s="142">
        <f>IFERROR(INDEX('[1]SALES PERTYPE'!$AF$10:$AF$52,MATCH($C40,'[1]SALES PERTYPE'!$B$10:$B$52,0)),0)</f>
        <v>0</v>
      </c>
      <c r="AI40" s="142">
        <f>IFERROR(INDEX('[1]SALES PERTYPE'!$AG$10:$AG$52,MATCH($C40,'[1]SALES PERTYPE'!$B$10:$B$52,0)),0)</f>
        <v>0</v>
      </c>
      <c r="AJ40" s="142">
        <f>IFERROR(INDEX('[1]SALES PERTYPE'!$AH$10:$AH$52,MATCH($C40,'[1]SALES PERTYPE'!$B$10:$B$52,0)),0)</f>
        <v>1</v>
      </c>
      <c r="AK40" s="142">
        <f>IFERROR(INDEX('[1]SALES PERTYPE'!$AI$10:$AI$52,MATCH($C40,'[1]SALES PERTYPE'!$B$10:$B$52,0)),0)</f>
        <v>5699000</v>
      </c>
      <c r="AL40" s="142">
        <f>IFERROR(INDEX('[1]SALES PERTYPE'!$AJ$10:$AJ$52,MATCH($C40,'[1]SALES PERTYPE'!$B$10:$B$52,0)),0)</f>
        <v>0</v>
      </c>
      <c r="AM40" s="142">
        <f>IFERROR(INDEX('[1]SALES PERTYPE'!$AK$10:$AK$52,MATCH($C40,'[1]SALES PERTYPE'!$B$10:$B$52,0)),0)</f>
        <v>0</v>
      </c>
      <c r="AN40" s="142">
        <f>IFERROR(INDEX('[1]SALES PERTYPE'!$AL$10:$AL$52,MATCH($C40,'[1]SALES PERTYPE'!$B$10:$B$52,0)),0)</f>
        <v>43</v>
      </c>
      <c r="AO40" s="142">
        <f>IFERROR(INDEX('[1]SALES PERTYPE'!$AM$10:$AM$52,MATCH($C40,'[1]SALES PERTYPE'!$B$10:$B$52,0)),0)</f>
        <v>150357000</v>
      </c>
    </row>
    <row r="41" spans="1:41" x14ac:dyDescent="0.15">
      <c r="A41" s="137">
        <f>'[1]ACHIEVEMENT STORE'!A41</f>
        <v>37</v>
      </c>
      <c r="B41" s="138" t="str">
        <f>'[1]ACHIEVEMENT STORE'!B41</f>
        <v>619-万隆市区BDG KOTA</v>
      </c>
      <c r="C41" s="137">
        <f>'[1]ACHIEVEMENT STORE'!C41</f>
        <v>6190707</v>
      </c>
      <c r="D41" s="138" t="str">
        <f>'[1]ACHIEVEMENT STORE'!D41</f>
        <v>A300202-VIVO STORE LU</v>
      </c>
      <c r="E41" s="138" t="str">
        <f>'[1]ACHIEVEMENT STORE'!E41</f>
        <v>NENG TOTOH</v>
      </c>
      <c r="F41" s="139">
        <f>IFERROR(INDEX('[1]SALES PERTYPE'!$D$10:$D$52,MATCH($C41,'[1]SALES PERTYPE'!$B$10:$B$52,0)),0)</f>
        <v>11</v>
      </c>
      <c r="G41" s="139">
        <f>IFERROR(INDEX('[1]SALES PERTYPE'!$E$10:$E$52,MATCH($C41,'[1]SALES PERTYPE'!$B$10:$B$52,0)),0)</f>
        <v>26789000</v>
      </c>
      <c r="H41" s="139">
        <f>IFERROR(INDEX('[1]SALES PERTYPE'!$F$10:$F$52,MATCH($C41,'[1]SALES PERTYPE'!$B$10:$B$52,0)),0)</f>
        <v>12</v>
      </c>
      <c r="I41" s="139">
        <f>IFERROR(INDEX('[1]SALES PERTYPE'!$G$10:$G$52,MATCH($C41,'[1]SALES PERTYPE'!$B$10:$B$52,0)),0)</f>
        <v>32388000</v>
      </c>
      <c r="J41" s="139">
        <f>IFERROR(INDEX('[1]SALES PERTYPE'!$H$10:$H$52,MATCH($C41,'[1]SALES PERTYPE'!$B$10:$B$52,0)),0)</f>
        <v>0</v>
      </c>
      <c r="K41" s="139">
        <f>IFERROR(INDEX('[1]SALES PERTYPE'!$I$10:$I$52,MATCH($C41,'[1]SALES PERTYPE'!$B$10:$B$52,0)),0)</f>
        <v>0</v>
      </c>
      <c r="L41" s="139">
        <f>IFERROR(INDEX('[1]SALES PERTYPE'!$J$10:$J$52,MATCH($C41,'[1]SALES PERTYPE'!$B$10:$B$52,0)),0)</f>
        <v>5</v>
      </c>
      <c r="M41" s="139">
        <f>IFERROR(INDEX('[1]SALES PERTYPE'!$K$10:$K$52,MATCH($C41,'[1]SALES PERTYPE'!$B$10:$B$52,0)),0)</f>
        <v>10495000</v>
      </c>
      <c r="N41" s="139">
        <f>IFERROR(INDEX('[1]SALES PERTYPE'!$L$10:$L$52,MATCH($C41,'[1]SALES PERTYPE'!$B$10:$B$52,0)),0)</f>
        <v>0</v>
      </c>
      <c r="O41" s="139">
        <f>IFERROR(INDEX('[1]SALES PERTYPE'!$M$10:$M$52,MATCH($C41,'[1]SALES PERTYPE'!$B$10:$B$52,0)),0)</f>
        <v>0</v>
      </c>
      <c r="P41" s="139">
        <f>IFERROR(INDEX('[1]SALES PERTYPE'!$N$10:$N$52,MATCH($C41,'[1]SALES PERTYPE'!$B$10:$B$52,0)),0)</f>
        <v>7</v>
      </c>
      <c r="Q41" s="139">
        <f>IFERROR(INDEX('[1]SALES PERTYPE'!$O$10:$O$52,MATCH($C41,'[1]SALES PERTYPE'!$B$10:$B$52,0)),0)</f>
        <v>34093000</v>
      </c>
      <c r="R41" s="139">
        <f>IFERROR(INDEX('[1]SALES PERTYPE'!$P$10:$P$52,MATCH($C41,'[1]SALES PERTYPE'!$B$10:$B$52,0)),0)</f>
        <v>0</v>
      </c>
      <c r="S41" s="139">
        <f>IFERROR(INDEX('[1]SALES PERTYPE'!$Q$10:$Q$52,MATCH($C41,'[1]SALES PERTYPE'!$B$10:$B$52,0)),0)</f>
        <v>0</v>
      </c>
      <c r="T41" s="139">
        <f>IFERROR(INDEX('[1]SALES PERTYPE'!$R$10:$R$52,MATCH($C41,'[1]SALES PERTYPE'!$B$10:$B$52,0)),0)</f>
        <v>0</v>
      </c>
      <c r="U41" s="139">
        <f>IFERROR(INDEX('[1]SALES PERTYPE'!$S$10:$S$52,MATCH($C41,'[1]SALES PERTYPE'!$B$10:$B$52,0)),0)</f>
        <v>0</v>
      </c>
      <c r="V41" s="139">
        <f>IFERROR(INDEX('[1]SALES PERTYPE'!$T$10:$T$52,MATCH($C41,'[1]SALES PERTYPE'!$B$10:$B$52,0)),0)</f>
        <v>0</v>
      </c>
      <c r="W41" s="139">
        <f>IFERROR(INDEX('[1]SALES PERTYPE'!$U$10:$U$52,MATCH($C41,'[1]SALES PERTYPE'!$B$10:$B$52,0)),0)</f>
        <v>0</v>
      </c>
      <c r="X41" s="139">
        <f>IFERROR(INDEX('[1]SALES PERTYPE'!$V$10:$V$52,MATCH($C41,'[1]SALES PERTYPE'!$B$10:$B$52,0)),0)</f>
        <v>0</v>
      </c>
      <c r="Y41" s="139">
        <f>IFERROR(INDEX('[1]SALES PERTYPE'!$W$10:$W$52,MATCH($C41,'[1]SALES PERTYPE'!$B$10:$B$52,0)),0)</f>
        <v>0</v>
      </c>
      <c r="Z41" s="139">
        <f>IFERROR(INDEX('[1]SALES PERTYPE'!$X$10:$X$52,MATCH($C41,'[1]SALES PERTYPE'!$B$10:$B$52,0)),0)</f>
        <v>1</v>
      </c>
      <c r="AA41" s="139">
        <f>IFERROR(INDEX('[1]SALES PERTYPE'!$Y$10:$Y$52,MATCH($C41,'[1]SALES PERTYPE'!$B$10:$B$52,0)),0)</f>
        <v>5499000</v>
      </c>
      <c r="AB41" s="139">
        <f>IFERROR(INDEX('[1]SALES PERTYPE'!$Z$10:$Z$52,MATCH($C41,'[1]SALES PERTYPE'!$B$10:$B$52,0)),0)</f>
        <v>1</v>
      </c>
      <c r="AC41" s="139">
        <f>IFERROR(INDEX('[1]SALES PERTYPE'!$AA$10:$AA$52,MATCH($C41,'[1]SALES PERTYPE'!$B$10:$B$52,0)),0)</f>
        <v>11999000</v>
      </c>
      <c r="AD41" s="139">
        <f>IFERROR(INDEX('[1]SALES PERTYPE'!$AB$10:$AB$52,MATCH($C41,'[1]SALES PERTYPE'!$B$10:$B$52,0)),0)</f>
        <v>1</v>
      </c>
      <c r="AE41" s="139">
        <f>IFERROR(INDEX('[1]SALES PERTYPE'!$AC$10:$AC$52,MATCH($C41,'[1]SALES PERTYPE'!$B$10:$B$52,0)),0)</f>
        <v>5299000</v>
      </c>
      <c r="AF41" s="139">
        <f>IFERROR(INDEX('[1]SALES PERTYPE'!$AD$10:$AD$52,MATCH($C41,'[1]SALES PERTYPE'!$B$10:$B$52,0)),0)</f>
        <v>0</v>
      </c>
      <c r="AG41" s="139">
        <f>IFERROR(INDEX('[1]SALES PERTYPE'!$AE$10:$AE$52,MATCH($C41,'[1]SALES PERTYPE'!$B$10:$B$52,0)),0)</f>
        <v>0</v>
      </c>
      <c r="AH41" s="139">
        <f>IFERROR(INDEX('[1]SALES PERTYPE'!$AF$10:$AF$52,MATCH($C41,'[1]SALES PERTYPE'!$B$10:$B$52,0)),0)</f>
        <v>0</v>
      </c>
      <c r="AI41" s="139">
        <f>IFERROR(INDEX('[1]SALES PERTYPE'!$AG$10:$AG$52,MATCH($C41,'[1]SALES PERTYPE'!$B$10:$B$52,0)),0)</f>
        <v>0</v>
      </c>
      <c r="AJ41" s="139">
        <f>IFERROR(INDEX('[1]SALES PERTYPE'!$AH$10:$AH$52,MATCH($C41,'[1]SALES PERTYPE'!$B$10:$B$52,0)),0)</f>
        <v>1</v>
      </c>
      <c r="AK41" s="139">
        <f>IFERROR(INDEX('[1]SALES PERTYPE'!$AI$10:$AI$52,MATCH($C41,'[1]SALES PERTYPE'!$B$10:$B$52,0)),0)</f>
        <v>5699000</v>
      </c>
      <c r="AL41" s="139">
        <f>IFERROR(INDEX('[1]SALES PERTYPE'!$AJ$10:$AJ$52,MATCH($C41,'[1]SALES PERTYPE'!$B$10:$B$52,0)),0)</f>
        <v>2</v>
      </c>
      <c r="AM41" s="139">
        <f>IFERROR(INDEX('[1]SALES PERTYPE'!$AK$10:$AK$52,MATCH($C41,'[1]SALES PERTYPE'!$B$10:$B$52,0)),0)</f>
        <v>13798000</v>
      </c>
      <c r="AN41" s="139">
        <f>IFERROR(INDEX('[1]SALES PERTYPE'!$AL$10:$AL$52,MATCH($C41,'[1]SALES PERTYPE'!$B$10:$B$52,0)),0)</f>
        <v>41</v>
      </c>
      <c r="AO41" s="139">
        <f>IFERROR(INDEX('[1]SALES PERTYPE'!$AM$10:$AM$52,MATCH($C41,'[1]SALES PERTYPE'!$B$10:$B$52,0)),0)</f>
        <v>146059000</v>
      </c>
    </row>
    <row r="42" spans="1:41" x14ac:dyDescent="0.15">
      <c r="A42" s="140">
        <f>'[1]ACHIEVEMENT STORE'!A42</f>
        <v>38</v>
      </c>
      <c r="B42" s="141" t="str">
        <f>'[1]ACHIEVEMENT STORE'!B42</f>
        <v>619-万隆市区BDG KOTA</v>
      </c>
      <c r="C42" s="140">
        <f>'[1]ACHIEVEMENT STORE'!C42</f>
        <v>6190708</v>
      </c>
      <c r="D42" s="141" t="str">
        <f>'[1]ACHIEVEMENT STORE'!D42</f>
        <v>6190708-BEC SC LGAA07</v>
      </c>
      <c r="E42" s="141" t="str">
        <f>'[1]ACHIEVEMENT STORE'!E42</f>
        <v>NENG TOTOH</v>
      </c>
      <c r="F42" s="142">
        <f>IFERROR(INDEX('[1]SALES PERTYPE'!$D$10:$D$52,MATCH($C42,'[1]SALES PERTYPE'!$B$10:$B$52,0)),0)</f>
        <v>0</v>
      </c>
      <c r="G42" s="142">
        <f>IFERROR(INDEX('[1]SALES PERTYPE'!$E$10:$E$52,MATCH($C42,'[1]SALES PERTYPE'!$B$10:$B$52,0)),0)</f>
        <v>0</v>
      </c>
      <c r="H42" s="142">
        <f>IFERROR(INDEX('[1]SALES PERTYPE'!$F$10:$F$52,MATCH($C42,'[1]SALES PERTYPE'!$B$10:$B$52,0)),0)</f>
        <v>0</v>
      </c>
      <c r="I42" s="142">
        <f>IFERROR(INDEX('[1]SALES PERTYPE'!$G$10:$G$52,MATCH($C42,'[1]SALES PERTYPE'!$B$10:$B$52,0)),0)</f>
        <v>0</v>
      </c>
      <c r="J42" s="142">
        <f>IFERROR(INDEX('[1]SALES PERTYPE'!$H$10:$H$52,MATCH($C42,'[1]SALES PERTYPE'!$B$10:$B$52,0)),0)</f>
        <v>0</v>
      </c>
      <c r="K42" s="142">
        <f>IFERROR(INDEX('[1]SALES PERTYPE'!$I$10:$I$52,MATCH($C42,'[1]SALES PERTYPE'!$B$10:$B$52,0)),0)</f>
        <v>0</v>
      </c>
      <c r="L42" s="142">
        <f>IFERROR(INDEX('[1]SALES PERTYPE'!$J$10:$J$52,MATCH($C42,'[1]SALES PERTYPE'!$B$10:$B$52,0)),0)</f>
        <v>0</v>
      </c>
      <c r="M42" s="142">
        <f>IFERROR(INDEX('[1]SALES PERTYPE'!$K$10:$K$52,MATCH($C42,'[1]SALES PERTYPE'!$B$10:$B$52,0)),0)</f>
        <v>0</v>
      </c>
      <c r="N42" s="142">
        <f>IFERROR(INDEX('[1]SALES PERTYPE'!$L$10:$L$52,MATCH($C42,'[1]SALES PERTYPE'!$B$10:$B$52,0)),0)</f>
        <v>1</v>
      </c>
      <c r="O42" s="142">
        <f>IFERROR(INDEX('[1]SALES PERTYPE'!$M$10:$M$52,MATCH($C42,'[1]SALES PERTYPE'!$B$10:$B$52,0)),0)</f>
        <v>9999000</v>
      </c>
      <c r="P42" s="142">
        <f>IFERROR(INDEX('[1]SALES PERTYPE'!$N$10:$N$52,MATCH($C42,'[1]SALES PERTYPE'!$B$10:$B$52,0)),0)</f>
        <v>1</v>
      </c>
      <c r="Q42" s="142">
        <f>IFERROR(INDEX('[1]SALES PERTYPE'!$O$10:$O$52,MATCH($C42,'[1]SALES PERTYPE'!$B$10:$B$52,0)),0)</f>
        <v>4299000</v>
      </c>
      <c r="R42" s="142">
        <f>IFERROR(INDEX('[1]SALES PERTYPE'!$P$10:$P$52,MATCH($C42,'[1]SALES PERTYPE'!$B$10:$B$52,0)),0)</f>
        <v>0</v>
      </c>
      <c r="S42" s="142">
        <f>IFERROR(INDEX('[1]SALES PERTYPE'!$Q$10:$Q$52,MATCH($C42,'[1]SALES PERTYPE'!$B$10:$B$52,0)),0)</f>
        <v>0</v>
      </c>
      <c r="T42" s="142">
        <f>IFERROR(INDEX('[1]SALES PERTYPE'!$R$10:$R$52,MATCH($C42,'[1]SALES PERTYPE'!$B$10:$B$52,0)),0)</f>
        <v>0</v>
      </c>
      <c r="U42" s="142">
        <f>IFERROR(INDEX('[1]SALES PERTYPE'!$S$10:$S$52,MATCH($C42,'[1]SALES PERTYPE'!$B$10:$B$52,0)),0)</f>
        <v>0</v>
      </c>
      <c r="V42" s="142">
        <f>IFERROR(INDEX('[1]SALES PERTYPE'!$T$10:$T$52,MATCH($C42,'[1]SALES PERTYPE'!$B$10:$B$52,0)),0)</f>
        <v>0</v>
      </c>
      <c r="W42" s="142">
        <f>IFERROR(INDEX('[1]SALES PERTYPE'!$U$10:$U$52,MATCH($C42,'[1]SALES PERTYPE'!$B$10:$B$52,0)),0)</f>
        <v>0</v>
      </c>
      <c r="X42" s="142">
        <f>IFERROR(INDEX('[1]SALES PERTYPE'!$V$10:$V$52,MATCH($C42,'[1]SALES PERTYPE'!$B$10:$B$52,0)),0)</f>
        <v>0</v>
      </c>
      <c r="Y42" s="142">
        <f>IFERROR(INDEX('[1]SALES PERTYPE'!$W$10:$W$52,MATCH($C42,'[1]SALES PERTYPE'!$B$10:$B$52,0)),0)</f>
        <v>0</v>
      </c>
      <c r="Z42" s="142">
        <f>IFERROR(INDEX('[1]SALES PERTYPE'!$X$10:$X$52,MATCH($C42,'[1]SALES PERTYPE'!$B$10:$B$52,0)),0)</f>
        <v>0</v>
      </c>
      <c r="AA42" s="142">
        <f>IFERROR(INDEX('[1]SALES PERTYPE'!$Y$10:$Y$52,MATCH($C42,'[1]SALES PERTYPE'!$B$10:$B$52,0)),0)</f>
        <v>0</v>
      </c>
      <c r="AB42" s="142">
        <f>IFERROR(INDEX('[1]SALES PERTYPE'!$Z$10:$Z$52,MATCH($C42,'[1]SALES PERTYPE'!$B$10:$B$52,0)),0)</f>
        <v>0</v>
      </c>
      <c r="AC42" s="142">
        <f>IFERROR(INDEX('[1]SALES PERTYPE'!$AA$10:$AA$52,MATCH($C42,'[1]SALES PERTYPE'!$B$10:$B$52,0)),0)</f>
        <v>0</v>
      </c>
      <c r="AD42" s="142">
        <f>IFERROR(INDEX('[1]SALES PERTYPE'!$AB$10:$AB$52,MATCH($C42,'[1]SALES PERTYPE'!$B$10:$B$52,0)),0)</f>
        <v>0</v>
      </c>
      <c r="AE42" s="142">
        <f>IFERROR(INDEX('[1]SALES PERTYPE'!$AC$10:$AC$52,MATCH($C42,'[1]SALES PERTYPE'!$B$10:$B$52,0)),0)</f>
        <v>0</v>
      </c>
      <c r="AF42" s="142">
        <f>IFERROR(INDEX('[1]SALES PERTYPE'!$AD$10:$AD$52,MATCH($C42,'[1]SALES PERTYPE'!$B$10:$B$52,0)),0)</f>
        <v>0</v>
      </c>
      <c r="AG42" s="142">
        <f>IFERROR(INDEX('[1]SALES PERTYPE'!$AE$10:$AE$52,MATCH($C42,'[1]SALES PERTYPE'!$B$10:$B$52,0)),0)</f>
        <v>0</v>
      </c>
      <c r="AH42" s="142">
        <f>IFERROR(INDEX('[1]SALES PERTYPE'!$AF$10:$AF$52,MATCH($C42,'[1]SALES PERTYPE'!$B$10:$B$52,0)),0)</f>
        <v>0</v>
      </c>
      <c r="AI42" s="142">
        <f>IFERROR(INDEX('[1]SALES PERTYPE'!$AG$10:$AG$52,MATCH($C42,'[1]SALES PERTYPE'!$B$10:$B$52,0)),0)</f>
        <v>0</v>
      </c>
      <c r="AJ42" s="142">
        <f>IFERROR(INDEX('[1]SALES PERTYPE'!$AH$10:$AH$52,MATCH($C42,'[1]SALES PERTYPE'!$B$10:$B$52,0)),0)</f>
        <v>0</v>
      </c>
      <c r="AK42" s="142">
        <f>IFERROR(INDEX('[1]SALES PERTYPE'!$AI$10:$AI$52,MATCH($C42,'[1]SALES PERTYPE'!$B$10:$B$52,0)),0)</f>
        <v>0</v>
      </c>
      <c r="AL42" s="142">
        <f>IFERROR(INDEX('[1]SALES PERTYPE'!$AJ$10:$AJ$52,MATCH($C42,'[1]SALES PERTYPE'!$B$10:$B$52,0)),0)</f>
        <v>0</v>
      </c>
      <c r="AM42" s="142">
        <f>IFERROR(INDEX('[1]SALES PERTYPE'!$AK$10:$AK$52,MATCH($C42,'[1]SALES PERTYPE'!$B$10:$B$52,0)),0)</f>
        <v>0</v>
      </c>
      <c r="AN42" s="142">
        <f>IFERROR(INDEX('[1]SALES PERTYPE'!$AL$10:$AL$52,MATCH($C42,'[1]SALES PERTYPE'!$B$10:$B$52,0)),0)</f>
        <v>2</v>
      </c>
      <c r="AO42" s="142">
        <f>IFERROR(INDEX('[1]SALES PERTYPE'!$AM$10:$AM$52,MATCH($C42,'[1]SALES PERTYPE'!$B$10:$B$52,0)),0)</f>
        <v>14298000</v>
      </c>
    </row>
    <row r="43" spans="1:41" x14ac:dyDescent="0.15">
      <c r="A43" s="137">
        <f>'[1]ACHIEVEMENT STORE'!A43</f>
        <v>39</v>
      </c>
      <c r="B43" s="138" t="str">
        <f>'[1]ACHIEVEMENT STORE'!B43</f>
        <v>615-中爪哇东SOLO</v>
      </c>
      <c r="C43" s="137">
        <f>'[1]ACHIEVEMENT STORE'!C43</f>
        <v>6150702</v>
      </c>
      <c r="D43" s="138" t="str">
        <f>'[1]ACHIEVEMENT STORE'!D43</f>
        <v>6150702-GRANMALL SC GF-11</v>
      </c>
      <c r="E43" s="138" t="str">
        <f>'[1]ACHIEVEMENT STORE'!E43</f>
        <v>BIRILYAN KUSWARA</v>
      </c>
      <c r="F43" s="139">
        <f>IFERROR(INDEX('[1]SALES PERTYPE'!$D$10:$D$52,MATCH($C43,'[1]SALES PERTYPE'!$B$10:$B$52,0)),0)</f>
        <v>0</v>
      </c>
      <c r="G43" s="139">
        <f>IFERROR(INDEX('[1]SALES PERTYPE'!$E$10:$E$52,MATCH($C43,'[1]SALES PERTYPE'!$B$10:$B$52,0)),0)</f>
        <v>0</v>
      </c>
      <c r="H43" s="139">
        <f>IFERROR(INDEX('[1]SALES PERTYPE'!$F$10:$F$52,MATCH($C43,'[1]SALES PERTYPE'!$B$10:$B$52,0)),0)</f>
        <v>0</v>
      </c>
      <c r="I43" s="139">
        <f>IFERROR(INDEX('[1]SALES PERTYPE'!$G$10:$G$52,MATCH($C43,'[1]SALES PERTYPE'!$B$10:$B$52,0)),0)</f>
        <v>0</v>
      </c>
      <c r="J43" s="139">
        <f>IFERROR(INDEX('[1]SALES PERTYPE'!$H$10:$H$52,MATCH($C43,'[1]SALES PERTYPE'!$B$10:$B$52,0)),0)</f>
        <v>0</v>
      </c>
      <c r="K43" s="139">
        <f>IFERROR(INDEX('[1]SALES PERTYPE'!$I$10:$I$52,MATCH($C43,'[1]SALES PERTYPE'!$B$10:$B$52,0)),0)</f>
        <v>0</v>
      </c>
      <c r="L43" s="139">
        <f>IFERROR(INDEX('[1]SALES PERTYPE'!$J$10:$J$52,MATCH($C43,'[1]SALES PERTYPE'!$B$10:$B$52,0)),0)</f>
        <v>0</v>
      </c>
      <c r="M43" s="139">
        <f>IFERROR(INDEX('[1]SALES PERTYPE'!$K$10:$K$52,MATCH($C43,'[1]SALES PERTYPE'!$B$10:$B$52,0)),0)</f>
        <v>0</v>
      </c>
      <c r="N43" s="139">
        <f>IFERROR(INDEX('[1]SALES PERTYPE'!$L$10:$L$52,MATCH($C43,'[1]SALES PERTYPE'!$B$10:$B$52,0)),0)</f>
        <v>0</v>
      </c>
      <c r="O43" s="139">
        <f>IFERROR(INDEX('[1]SALES PERTYPE'!$M$10:$M$52,MATCH($C43,'[1]SALES PERTYPE'!$B$10:$B$52,0)),0)</f>
        <v>0</v>
      </c>
      <c r="P43" s="139">
        <f>IFERROR(INDEX('[1]SALES PERTYPE'!$N$10:$N$52,MATCH($C43,'[1]SALES PERTYPE'!$B$10:$B$52,0)),0)</f>
        <v>1</v>
      </c>
      <c r="Q43" s="139">
        <f>IFERROR(INDEX('[1]SALES PERTYPE'!$O$10:$O$52,MATCH($C43,'[1]SALES PERTYPE'!$B$10:$B$52,0)),0)</f>
        <v>4299000</v>
      </c>
      <c r="R43" s="139">
        <f>IFERROR(INDEX('[1]SALES PERTYPE'!$P$10:$P$52,MATCH($C43,'[1]SALES PERTYPE'!$B$10:$B$52,0)),0)</f>
        <v>0</v>
      </c>
      <c r="S43" s="139">
        <f>IFERROR(INDEX('[1]SALES PERTYPE'!$Q$10:$Q$52,MATCH($C43,'[1]SALES PERTYPE'!$B$10:$B$52,0)),0)</f>
        <v>0</v>
      </c>
      <c r="T43" s="139">
        <f>IFERROR(INDEX('[1]SALES PERTYPE'!$R$10:$R$52,MATCH($C43,'[1]SALES PERTYPE'!$B$10:$B$52,0)),0)</f>
        <v>0</v>
      </c>
      <c r="U43" s="139">
        <f>IFERROR(INDEX('[1]SALES PERTYPE'!$S$10:$S$52,MATCH($C43,'[1]SALES PERTYPE'!$B$10:$B$52,0)),0)</f>
        <v>0</v>
      </c>
      <c r="V43" s="139">
        <f>IFERROR(INDEX('[1]SALES PERTYPE'!$T$10:$T$52,MATCH($C43,'[1]SALES PERTYPE'!$B$10:$B$52,0)),0)</f>
        <v>0</v>
      </c>
      <c r="W43" s="139">
        <f>IFERROR(INDEX('[1]SALES PERTYPE'!$U$10:$U$52,MATCH($C43,'[1]SALES PERTYPE'!$B$10:$B$52,0)),0)</f>
        <v>0</v>
      </c>
      <c r="X43" s="139">
        <f>IFERROR(INDEX('[1]SALES PERTYPE'!$V$10:$V$52,MATCH($C43,'[1]SALES PERTYPE'!$B$10:$B$52,0)),0)</f>
        <v>1</v>
      </c>
      <c r="Y43" s="139">
        <f>IFERROR(INDEX('[1]SALES PERTYPE'!$W$10:$W$52,MATCH($C43,'[1]SALES PERTYPE'!$B$10:$B$52,0)),0)</f>
        <v>3599000</v>
      </c>
      <c r="Z43" s="139">
        <f>IFERROR(INDEX('[1]SALES PERTYPE'!$X$10:$X$52,MATCH($C43,'[1]SALES PERTYPE'!$B$10:$B$52,0)),0)</f>
        <v>1</v>
      </c>
      <c r="AA43" s="139">
        <f>IFERROR(INDEX('[1]SALES PERTYPE'!$Y$10:$Y$52,MATCH($C43,'[1]SALES PERTYPE'!$B$10:$B$52,0)),0)</f>
        <v>5499000</v>
      </c>
      <c r="AB43" s="139">
        <f>IFERROR(INDEX('[1]SALES PERTYPE'!$Z$10:$Z$52,MATCH($C43,'[1]SALES PERTYPE'!$B$10:$B$52,0)),0)</f>
        <v>0</v>
      </c>
      <c r="AC43" s="139">
        <f>IFERROR(INDEX('[1]SALES PERTYPE'!$AA$10:$AA$52,MATCH($C43,'[1]SALES PERTYPE'!$B$10:$B$52,0)),0)</f>
        <v>0</v>
      </c>
      <c r="AD43" s="139">
        <f>IFERROR(INDEX('[1]SALES PERTYPE'!$AB$10:$AB$52,MATCH($C43,'[1]SALES PERTYPE'!$B$10:$B$52,0)),0)</f>
        <v>0</v>
      </c>
      <c r="AE43" s="139">
        <f>IFERROR(INDEX('[1]SALES PERTYPE'!$AC$10:$AC$52,MATCH($C43,'[1]SALES PERTYPE'!$B$10:$B$52,0)),0)</f>
        <v>0</v>
      </c>
      <c r="AF43" s="139">
        <f>IFERROR(INDEX('[1]SALES PERTYPE'!$AD$10:$AD$52,MATCH($C43,'[1]SALES PERTYPE'!$B$10:$B$52,0)),0)</f>
        <v>0</v>
      </c>
      <c r="AG43" s="139">
        <f>IFERROR(INDEX('[1]SALES PERTYPE'!$AE$10:$AE$52,MATCH($C43,'[1]SALES PERTYPE'!$B$10:$B$52,0)),0)</f>
        <v>0</v>
      </c>
      <c r="AH43" s="139">
        <f>IFERROR(INDEX('[1]SALES PERTYPE'!$AF$10:$AF$52,MATCH($C43,'[1]SALES PERTYPE'!$B$10:$B$52,0)),0)</f>
        <v>0</v>
      </c>
      <c r="AI43" s="139">
        <f>IFERROR(INDEX('[1]SALES PERTYPE'!$AG$10:$AG$52,MATCH($C43,'[1]SALES PERTYPE'!$B$10:$B$52,0)),0)</f>
        <v>0</v>
      </c>
      <c r="AJ43" s="139">
        <f>IFERROR(INDEX('[1]SALES PERTYPE'!$AH$10:$AH$52,MATCH($C43,'[1]SALES PERTYPE'!$B$10:$B$52,0)),0)</f>
        <v>0</v>
      </c>
      <c r="AK43" s="139">
        <f>IFERROR(INDEX('[1]SALES PERTYPE'!$AI$10:$AI$52,MATCH($C43,'[1]SALES PERTYPE'!$B$10:$B$52,0)),0)</f>
        <v>0</v>
      </c>
      <c r="AL43" s="139">
        <f>IFERROR(INDEX('[1]SALES PERTYPE'!$AJ$10:$AJ$52,MATCH($C43,'[1]SALES PERTYPE'!$B$10:$B$52,0)),0)</f>
        <v>0</v>
      </c>
      <c r="AM43" s="139">
        <f>IFERROR(INDEX('[1]SALES PERTYPE'!$AK$10:$AK$52,MATCH($C43,'[1]SALES PERTYPE'!$B$10:$B$52,0)),0)</f>
        <v>0</v>
      </c>
      <c r="AN43" s="139">
        <f>IFERROR(INDEX('[1]SALES PERTYPE'!$AL$10:$AL$52,MATCH($C43,'[1]SALES PERTYPE'!$B$10:$B$52,0)),0)</f>
        <v>3</v>
      </c>
      <c r="AO43" s="139">
        <f>IFERROR(INDEX('[1]SALES PERTYPE'!$AM$10:$AM$52,MATCH($C43,'[1]SALES PERTYPE'!$B$10:$B$52,0)),0)</f>
        <v>13397000</v>
      </c>
    </row>
    <row r="44" spans="1:41" x14ac:dyDescent="0.15">
      <c r="A44" s="140">
        <f>'[1]ACHIEVEMENT STORE'!A44</f>
        <v>40</v>
      </c>
      <c r="B44" s="141" t="str">
        <f>'[1]ACHIEVEMENT STORE'!B44</f>
        <v>中爪哇西 - Purwokerto</v>
      </c>
      <c r="C44" s="140">
        <f>'[1]ACHIEVEMENT STORE'!C44</f>
        <v>6130702</v>
      </c>
      <c r="D44" s="141" t="str">
        <f>'[1]ACHIEVEMENT STORE'!D44</f>
        <v>6130702-RITA SUPERMALL SF36-37</v>
      </c>
      <c r="E44" s="141" t="str">
        <f>'[1]ACHIEVEMENT STORE'!E44</f>
        <v>FRISKA FAJAR</v>
      </c>
      <c r="F44" s="142">
        <f>IFERROR(INDEX('[1]SALES PERTYPE'!$D$10:$D$52,MATCH($C44,'[1]SALES PERTYPE'!$B$10:$B$52,0)),0)</f>
        <v>2</v>
      </c>
      <c r="G44" s="142">
        <f>IFERROR(INDEX('[1]SALES PERTYPE'!$E$10:$E$52,MATCH($C44,'[1]SALES PERTYPE'!$B$10:$B$52,0)),0)</f>
        <v>4598000</v>
      </c>
      <c r="H44" s="142">
        <f>IFERROR(INDEX('[1]SALES PERTYPE'!$F$10:$F$52,MATCH($C44,'[1]SALES PERTYPE'!$B$10:$B$52,0)),0)</f>
        <v>1</v>
      </c>
      <c r="I44" s="142">
        <f>IFERROR(INDEX('[1]SALES PERTYPE'!$G$10:$G$52,MATCH($C44,'[1]SALES PERTYPE'!$B$10:$B$52,0)),0)</f>
        <v>2799000</v>
      </c>
      <c r="J44" s="142">
        <f>IFERROR(INDEX('[1]SALES PERTYPE'!$H$10:$H$52,MATCH($C44,'[1]SALES PERTYPE'!$B$10:$B$52,0)),0)</f>
        <v>0</v>
      </c>
      <c r="K44" s="142">
        <f>IFERROR(INDEX('[1]SALES PERTYPE'!$I$10:$I$52,MATCH($C44,'[1]SALES PERTYPE'!$B$10:$B$52,0)),0)</f>
        <v>0</v>
      </c>
      <c r="L44" s="142">
        <f>IFERROR(INDEX('[1]SALES PERTYPE'!$J$10:$J$52,MATCH($C44,'[1]SALES PERTYPE'!$B$10:$B$52,0)),0)</f>
        <v>0</v>
      </c>
      <c r="M44" s="142">
        <f>IFERROR(INDEX('[1]SALES PERTYPE'!$K$10:$K$52,MATCH($C44,'[1]SALES PERTYPE'!$B$10:$B$52,0)),0)</f>
        <v>0</v>
      </c>
      <c r="N44" s="142">
        <f>IFERROR(INDEX('[1]SALES PERTYPE'!$L$10:$L$52,MATCH($C44,'[1]SALES PERTYPE'!$B$10:$B$52,0)),0)</f>
        <v>1</v>
      </c>
      <c r="O44" s="142">
        <f>IFERROR(INDEX('[1]SALES PERTYPE'!$M$10:$M$52,MATCH($C44,'[1]SALES PERTYPE'!$B$10:$B$52,0)),0)</f>
        <v>8999000</v>
      </c>
      <c r="P44" s="142">
        <f>IFERROR(INDEX('[1]SALES PERTYPE'!$N$10:$N$52,MATCH($C44,'[1]SALES PERTYPE'!$B$10:$B$52,0)),0)</f>
        <v>2</v>
      </c>
      <c r="Q44" s="142">
        <f>IFERROR(INDEX('[1]SALES PERTYPE'!$O$10:$O$52,MATCH($C44,'[1]SALES PERTYPE'!$B$10:$B$52,0)),0)</f>
        <v>9198000</v>
      </c>
      <c r="R44" s="142">
        <f>IFERROR(INDEX('[1]SALES PERTYPE'!$P$10:$P$52,MATCH($C44,'[1]SALES PERTYPE'!$B$10:$B$52,0)),0)</f>
        <v>0</v>
      </c>
      <c r="S44" s="142">
        <f>IFERROR(INDEX('[1]SALES PERTYPE'!$Q$10:$Q$52,MATCH($C44,'[1]SALES PERTYPE'!$B$10:$B$52,0)),0)</f>
        <v>0</v>
      </c>
      <c r="T44" s="142">
        <f>IFERROR(INDEX('[1]SALES PERTYPE'!$R$10:$R$52,MATCH($C44,'[1]SALES PERTYPE'!$B$10:$B$52,0)),0)</f>
        <v>0</v>
      </c>
      <c r="U44" s="142">
        <f>IFERROR(INDEX('[1]SALES PERTYPE'!$S$10:$S$52,MATCH($C44,'[1]SALES PERTYPE'!$B$10:$B$52,0)),0)</f>
        <v>0</v>
      </c>
      <c r="V44" s="142">
        <f>IFERROR(INDEX('[1]SALES PERTYPE'!$T$10:$T$52,MATCH($C44,'[1]SALES PERTYPE'!$B$10:$B$52,0)),0)</f>
        <v>2</v>
      </c>
      <c r="W44" s="142">
        <f>IFERROR(INDEX('[1]SALES PERTYPE'!$U$10:$U$52,MATCH($C44,'[1]SALES PERTYPE'!$B$10:$B$52,0)),0)</f>
        <v>13998000</v>
      </c>
      <c r="X44" s="142">
        <f>IFERROR(INDEX('[1]SALES PERTYPE'!$V$10:$V$52,MATCH($C44,'[1]SALES PERTYPE'!$B$10:$B$52,0)),0)</f>
        <v>0</v>
      </c>
      <c r="Y44" s="142">
        <f>IFERROR(INDEX('[1]SALES PERTYPE'!$W$10:$W$52,MATCH($C44,'[1]SALES PERTYPE'!$B$10:$B$52,0)),0)</f>
        <v>0</v>
      </c>
      <c r="Z44" s="142">
        <f>IFERROR(INDEX('[1]SALES PERTYPE'!$X$10:$X$52,MATCH($C44,'[1]SALES PERTYPE'!$B$10:$B$52,0)),0)</f>
        <v>1</v>
      </c>
      <c r="AA44" s="142">
        <f>IFERROR(INDEX('[1]SALES PERTYPE'!$Y$10:$Y$52,MATCH($C44,'[1]SALES PERTYPE'!$B$10:$B$52,0)),0)</f>
        <v>6299000</v>
      </c>
      <c r="AB44" s="142">
        <f>IFERROR(INDEX('[1]SALES PERTYPE'!$Z$10:$Z$52,MATCH($C44,'[1]SALES PERTYPE'!$B$10:$B$52,0)),0)</f>
        <v>2</v>
      </c>
      <c r="AC44" s="142">
        <f>IFERROR(INDEX('[1]SALES PERTYPE'!$AA$10:$AA$52,MATCH($C44,'[1]SALES PERTYPE'!$B$10:$B$52,0)),0)</f>
        <v>23998000</v>
      </c>
      <c r="AD44" s="142">
        <f>IFERROR(INDEX('[1]SALES PERTYPE'!$AB$10:$AB$52,MATCH($C44,'[1]SALES PERTYPE'!$B$10:$B$52,0)),0)</f>
        <v>0</v>
      </c>
      <c r="AE44" s="142">
        <f>IFERROR(INDEX('[1]SALES PERTYPE'!$AC$10:$AC$52,MATCH($C44,'[1]SALES PERTYPE'!$B$10:$B$52,0)),0)</f>
        <v>0</v>
      </c>
      <c r="AF44" s="142">
        <f>IFERROR(INDEX('[1]SALES PERTYPE'!$AD$10:$AD$52,MATCH($C44,'[1]SALES PERTYPE'!$B$10:$B$52,0)),0)</f>
        <v>0</v>
      </c>
      <c r="AG44" s="142">
        <f>IFERROR(INDEX('[1]SALES PERTYPE'!$AE$10:$AE$52,MATCH($C44,'[1]SALES PERTYPE'!$B$10:$B$52,0)),0)</f>
        <v>0</v>
      </c>
      <c r="AH44" s="142">
        <f>IFERROR(INDEX('[1]SALES PERTYPE'!$AF$10:$AF$52,MATCH($C44,'[1]SALES PERTYPE'!$B$10:$B$52,0)),0)</f>
        <v>0</v>
      </c>
      <c r="AI44" s="142">
        <f>IFERROR(INDEX('[1]SALES PERTYPE'!$AG$10:$AG$52,MATCH($C44,'[1]SALES PERTYPE'!$B$10:$B$52,0)),0)</f>
        <v>0</v>
      </c>
      <c r="AJ44" s="142">
        <f>IFERROR(INDEX('[1]SALES PERTYPE'!$AH$10:$AH$52,MATCH($C44,'[1]SALES PERTYPE'!$B$10:$B$52,0)),0)</f>
        <v>0</v>
      </c>
      <c r="AK44" s="142">
        <f>IFERROR(INDEX('[1]SALES PERTYPE'!$AI$10:$AI$52,MATCH($C44,'[1]SALES PERTYPE'!$B$10:$B$52,0)),0)</f>
        <v>0</v>
      </c>
      <c r="AL44" s="142">
        <f>IFERROR(INDEX('[1]SALES PERTYPE'!$AJ$10:$AJ$52,MATCH($C44,'[1]SALES PERTYPE'!$B$10:$B$52,0)),0)</f>
        <v>2</v>
      </c>
      <c r="AM44" s="142">
        <f>IFERROR(INDEX('[1]SALES PERTYPE'!$AK$10:$AK$52,MATCH($C44,'[1]SALES PERTYPE'!$B$10:$B$52,0)),0)</f>
        <v>15098000</v>
      </c>
      <c r="AN44" s="142">
        <f>IFERROR(INDEX('[1]SALES PERTYPE'!$AL$10:$AL$52,MATCH($C44,'[1]SALES PERTYPE'!$B$10:$B$52,0)),0)</f>
        <v>13</v>
      </c>
      <c r="AO44" s="142">
        <f>IFERROR(INDEX('[1]SALES PERTYPE'!$AM$10:$AM$52,MATCH($C44,'[1]SALES PERTYPE'!$B$10:$B$52,0)),0)</f>
        <v>84987000</v>
      </c>
    </row>
    <row r="45" spans="1:41" x14ac:dyDescent="0.15">
      <c r="A45" s="137">
        <f>'[1]ACHIEVEMENT STORE'!A45</f>
        <v>41</v>
      </c>
      <c r="B45" s="138" t="str">
        <f>'[1]ACHIEVEMENT STORE'!B45</f>
        <v>614 三宝垄 Semarang</v>
      </c>
      <c r="C45" s="137">
        <f>'[1]ACHIEVEMENT STORE'!C45</f>
        <v>6100702</v>
      </c>
      <c r="D45" s="138" t="str">
        <f>'[1]ACHIEVEMENT STORE'!D45</f>
        <v>6100702-VS Jogja City Mall</v>
      </c>
      <c r="E45" s="138" t="str">
        <f>'[1]ACHIEVEMENT STORE'!E45</f>
        <v>BIRILYAN KUSWARA</v>
      </c>
      <c r="F45" s="139">
        <f>IFERROR(INDEX('[1]SALES PERTYPE'!$D$10:$D$52,MATCH($C45,'[1]SALES PERTYPE'!$B$10:$B$52,0)),0)</f>
        <v>0</v>
      </c>
      <c r="G45" s="139">
        <f>IFERROR(INDEX('[1]SALES PERTYPE'!$E$10:$E$52,MATCH($C45,'[1]SALES PERTYPE'!$B$10:$B$52,0)),0)</f>
        <v>0</v>
      </c>
      <c r="H45" s="139">
        <f>IFERROR(INDEX('[1]SALES PERTYPE'!$F$10:$F$52,MATCH($C45,'[1]SALES PERTYPE'!$B$10:$B$52,0)),0)</f>
        <v>2</v>
      </c>
      <c r="I45" s="139">
        <f>IFERROR(INDEX('[1]SALES PERTYPE'!$G$10:$G$52,MATCH($C45,'[1]SALES PERTYPE'!$B$10:$B$52,0)),0)</f>
        <v>5198000</v>
      </c>
      <c r="J45" s="139">
        <f>IFERROR(INDEX('[1]SALES PERTYPE'!$H$10:$H$52,MATCH($C45,'[1]SALES PERTYPE'!$B$10:$B$52,0)),0)</f>
        <v>0</v>
      </c>
      <c r="K45" s="139">
        <f>IFERROR(INDEX('[1]SALES PERTYPE'!$I$10:$I$52,MATCH($C45,'[1]SALES PERTYPE'!$B$10:$B$52,0)),0)</f>
        <v>0</v>
      </c>
      <c r="L45" s="139">
        <f>IFERROR(INDEX('[1]SALES PERTYPE'!$J$10:$J$52,MATCH($C45,'[1]SALES PERTYPE'!$B$10:$B$52,0)),0)</f>
        <v>1</v>
      </c>
      <c r="M45" s="139">
        <f>IFERROR(INDEX('[1]SALES PERTYPE'!$K$10:$K$52,MATCH($C45,'[1]SALES PERTYPE'!$B$10:$B$52,0)),0)</f>
        <v>2099000</v>
      </c>
      <c r="N45" s="139">
        <f>IFERROR(INDEX('[1]SALES PERTYPE'!$L$10:$L$52,MATCH($C45,'[1]SALES PERTYPE'!$B$10:$B$52,0)),0)</f>
        <v>0</v>
      </c>
      <c r="O45" s="139">
        <f>IFERROR(INDEX('[1]SALES PERTYPE'!$M$10:$M$52,MATCH($C45,'[1]SALES PERTYPE'!$B$10:$B$52,0)),0)</f>
        <v>0</v>
      </c>
      <c r="P45" s="139">
        <f>IFERROR(INDEX('[1]SALES PERTYPE'!$N$10:$N$52,MATCH($C45,'[1]SALES PERTYPE'!$B$10:$B$52,0)),0)</f>
        <v>2</v>
      </c>
      <c r="Q45" s="139">
        <f>IFERROR(INDEX('[1]SALES PERTYPE'!$O$10:$O$52,MATCH($C45,'[1]SALES PERTYPE'!$B$10:$B$52,0)),0)</f>
        <v>8198000</v>
      </c>
      <c r="R45" s="139">
        <f>IFERROR(INDEX('[1]SALES PERTYPE'!$P$10:$P$52,MATCH($C45,'[1]SALES PERTYPE'!$B$10:$B$52,0)),0)</f>
        <v>0</v>
      </c>
      <c r="S45" s="139">
        <f>IFERROR(INDEX('[1]SALES PERTYPE'!$Q$10:$Q$52,MATCH($C45,'[1]SALES PERTYPE'!$B$10:$B$52,0)),0)</f>
        <v>0</v>
      </c>
      <c r="T45" s="139">
        <f>IFERROR(INDEX('[1]SALES PERTYPE'!$R$10:$R$52,MATCH($C45,'[1]SALES PERTYPE'!$B$10:$B$52,0)),0)</f>
        <v>1</v>
      </c>
      <c r="U45" s="139">
        <f>IFERROR(INDEX('[1]SALES PERTYPE'!$S$10:$S$52,MATCH($C45,'[1]SALES PERTYPE'!$B$10:$B$52,0)),0)</f>
        <v>3599000</v>
      </c>
      <c r="V45" s="139">
        <f>IFERROR(INDEX('[1]SALES PERTYPE'!$T$10:$T$52,MATCH($C45,'[1]SALES PERTYPE'!$B$10:$B$52,0)),0)</f>
        <v>0</v>
      </c>
      <c r="W45" s="139">
        <f>IFERROR(INDEX('[1]SALES PERTYPE'!$U$10:$U$52,MATCH($C45,'[1]SALES PERTYPE'!$B$10:$B$52,0)),0)</f>
        <v>0</v>
      </c>
      <c r="X45" s="139">
        <f>IFERROR(INDEX('[1]SALES PERTYPE'!$V$10:$V$52,MATCH($C45,'[1]SALES PERTYPE'!$B$10:$B$52,0)),0)</f>
        <v>2</v>
      </c>
      <c r="Y45" s="139">
        <f>IFERROR(INDEX('[1]SALES PERTYPE'!$W$10:$W$52,MATCH($C45,'[1]SALES PERTYPE'!$B$10:$B$52,0)),0)</f>
        <v>7198000</v>
      </c>
      <c r="Z45" s="139">
        <f>IFERROR(INDEX('[1]SALES PERTYPE'!$X$10:$X$52,MATCH($C45,'[1]SALES PERTYPE'!$B$10:$B$52,0)),0)</f>
        <v>0</v>
      </c>
      <c r="AA45" s="139">
        <f>IFERROR(INDEX('[1]SALES PERTYPE'!$Y$10:$Y$52,MATCH($C45,'[1]SALES PERTYPE'!$B$10:$B$52,0)),0)</f>
        <v>0</v>
      </c>
      <c r="AB45" s="139">
        <f>IFERROR(INDEX('[1]SALES PERTYPE'!$Z$10:$Z$52,MATCH($C45,'[1]SALES PERTYPE'!$B$10:$B$52,0)),0)</f>
        <v>1</v>
      </c>
      <c r="AC45" s="139">
        <f>IFERROR(INDEX('[1]SALES PERTYPE'!$AA$10:$AA$52,MATCH($C45,'[1]SALES PERTYPE'!$B$10:$B$52,0)),0)</f>
        <v>11999000</v>
      </c>
      <c r="AD45" s="139">
        <f>IFERROR(INDEX('[1]SALES PERTYPE'!$AB$10:$AB$52,MATCH($C45,'[1]SALES PERTYPE'!$B$10:$B$52,0)),0)</f>
        <v>2</v>
      </c>
      <c r="AE45" s="139">
        <f>IFERROR(INDEX('[1]SALES PERTYPE'!$AC$10:$AC$52,MATCH($C45,'[1]SALES PERTYPE'!$B$10:$B$52,0)),0)</f>
        <v>11798000</v>
      </c>
      <c r="AF45" s="139">
        <f>IFERROR(INDEX('[1]SALES PERTYPE'!$AD$10:$AD$52,MATCH($C45,'[1]SALES PERTYPE'!$B$10:$B$52,0)),0)</f>
        <v>0</v>
      </c>
      <c r="AG45" s="139">
        <f>IFERROR(INDEX('[1]SALES PERTYPE'!$AE$10:$AE$52,MATCH($C45,'[1]SALES PERTYPE'!$B$10:$B$52,0)),0)</f>
        <v>0</v>
      </c>
      <c r="AH45" s="139">
        <f>IFERROR(INDEX('[1]SALES PERTYPE'!$AF$10:$AF$52,MATCH($C45,'[1]SALES PERTYPE'!$B$10:$B$52,0)),0)</f>
        <v>0</v>
      </c>
      <c r="AI45" s="139">
        <f>IFERROR(INDEX('[1]SALES PERTYPE'!$AG$10:$AG$52,MATCH($C45,'[1]SALES PERTYPE'!$B$10:$B$52,0)),0)</f>
        <v>0</v>
      </c>
      <c r="AJ45" s="139">
        <f>IFERROR(INDEX('[1]SALES PERTYPE'!$AH$10:$AH$52,MATCH($C45,'[1]SALES PERTYPE'!$B$10:$B$52,0)),0)</f>
        <v>0</v>
      </c>
      <c r="AK45" s="139">
        <f>IFERROR(INDEX('[1]SALES PERTYPE'!$AI$10:$AI$52,MATCH($C45,'[1]SALES PERTYPE'!$B$10:$B$52,0)),0)</f>
        <v>0</v>
      </c>
      <c r="AL45" s="139">
        <f>IFERROR(INDEX('[1]SALES PERTYPE'!$AJ$10:$AJ$52,MATCH($C45,'[1]SALES PERTYPE'!$B$10:$B$52,0)),0)</f>
        <v>0</v>
      </c>
      <c r="AM45" s="139">
        <f>IFERROR(INDEX('[1]SALES PERTYPE'!$AK$10:$AK$52,MATCH($C45,'[1]SALES PERTYPE'!$B$10:$B$52,0)),0)</f>
        <v>0</v>
      </c>
      <c r="AN45" s="139">
        <f>IFERROR(INDEX('[1]SALES PERTYPE'!$AL$10:$AL$52,MATCH($C45,'[1]SALES PERTYPE'!$B$10:$B$52,0)),0)</f>
        <v>11</v>
      </c>
      <c r="AO45" s="139">
        <f>IFERROR(INDEX('[1]SALES PERTYPE'!$AM$10:$AM$52,MATCH($C45,'[1]SALES PERTYPE'!$B$10:$B$52,0)),0)</f>
        <v>50089000</v>
      </c>
    </row>
    <row r="46" spans="1:41" x14ac:dyDescent="0.15">
      <c r="A46" s="140">
        <f>'[1]ACHIEVEMENT STORE'!A46</f>
        <v>42</v>
      </c>
      <c r="B46" s="141" t="str">
        <f>'[1]ACHIEVEMENT STORE'!B46</f>
        <v>614 三宝垄 Semarang</v>
      </c>
      <c r="C46" s="140">
        <f>'[1]ACHIEVEMENT STORE'!C46</f>
        <v>6140706</v>
      </c>
      <c r="D46" s="141" t="str">
        <f>'[1]ACHIEVEMENT STORE'!D46</f>
        <v>6140706-23 SEMARANG MALL 1F065-66</v>
      </c>
      <c r="E46" s="141" t="str">
        <f>'[1]ACHIEVEMENT STORE'!E46</f>
        <v>VICKY DINDA INEZ</v>
      </c>
      <c r="F46" s="142">
        <f>IFERROR(INDEX('[1]SALES PERTYPE'!$D$10:$D$52,MATCH($C46,'[1]SALES PERTYPE'!$B$10:$B$52,0)),0)</f>
        <v>0</v>
      </c>
      <c r="G46" s="142">
        <f>IFERROR(INDEX('[1]SALES PERTYPE'!$E$10:$E$52,MATCH($C46,'[1]SALES PERTYPE'!$B$10:$B$52,0)),0)</f>
        <v>0</v>
      </c>
      <c r="H46" s="142">
        <f>IFERROR(INDEX('[1]SALES PERTYPE'!$F$10:$F$52,MATCH($C46,'[1]SALES PERTYPE'!$B$10:$B$52,0)),0)</f>
        <v>2</v>
      </c>
      <c r="I46" s="142">
        <f>IFERROR(INDEX('[1]SALES PERTYPE'!$G$10:$G$52,MATCH($C46,'[1]SALES PERTYPE'!$B$10:$B$52,0)),0)</f>
        <v>5198000</v>
      </c>
      <c r="J46" s="142">
        <f>IFERROR(INDEX('[1]SALES PERTYPE'!$H$10:$H$52,MATCH($C46,'[1]SALES PERTYPE'!$B$10:$B$52,0)),0)</f>
        <v>0</v>
      </c>
      <c r="K46" s="142">
        <f>IFERROR(INDEX('[1]SALES PERTYPE'!$I$10:$I$52,MATCH($C46,'[1]SALES PERTYPE'!$B$10:$B$52,0)),0)</f>
        <v>0</v>
      </c>
      <c r="L46" s="142">
        <f>IFERROR(INDEX('[1]SALES PERTYPE'!$J$10:$J$52,MATCH($C46,'[1]SALES PERTYPE'!$B$10:$B$52,0)),0)</f>
        <v>0</v>
      </c>
      <c r="M46" s="142">
        <f>IFERROR(INDEX('[1]SALES PERTYPE'!$K$10:$K$52,MATCH($C46,'[1]SALES PERTYPE'!$B$10:$B$52,0)),0)</f>
        <v>0</v>
      </c>
      <c r="N46" s="142">
        <f>IFERROR(INDEX('[1]SALES PERTYPE'!$L$10:$L$52,MATCH($C46,'[1]SALES PERTYPE'!$B$10:$B$52,0)),0)</f>
        <v>1</v>
      </c>
      <c r="O46" s="142">
        <f>IFERROR(INDEX('[1]SALES PERTYPE'!$M$10:$M$52,MATCH($C46,'[1]SALES PERTYPE'!$B$10:$B$52,0)),0)</f>
        <v>9999000</v>
      </c>
      <c r="P46" s="142">
        <f>IFERROR(INDEX('[1]SALES PERTYPE'!$N$10:$N$52,MATCH($C46,'[1]SALES PERTYPE'!$B$10:$B$52,0)),0)</f>
        <v>1</v>
      </c>
      <c r="Q46" s="142">
        <f>IFERROR(INDEX('[1]SALES PERTYPE'!$O$10:$O$52,MATCH($C46,'[1]SALES PERTYPE'!$B$10:$B$52,0)),0)</f>
        <v>3899000</v>
      </c>
      <c r="R46" s="142">
        <f>IFERROR(INDEX('[1]SALES PERTYPE'!$P$10:$P$52,MATCH($C46,'[1]SALES PERTYPE'!$B$10:$B$52,0)),0)</f>
        <v>0</v>
      </c>
      <c r="S46" s="142">
        <f>IFERROR(INDEX('[1]SALES PERTYPE'!$Q$10:$Q$52,MATCH($C46,'[1]SALES PERTYPE'!$B$10:$B$52,0)),0)</f>
        <v>0</v>
      </c>
      <c r="T46" s="142">
        <f>IFERROR(INDEX('[1]SALES PERTYPE'!$R$10:$R$52,MATCH($C46,'[1]SALES PERTYPE'!$B$10:$B$52,0)),0)</f>
        <v>0</v>
      </c>
      <c r="U46" s="142">
        <f>IFERROR(INDEX('[1]SALES PERTYPE'!$S$10:$S$52,MATCH($C46,'[1]SALES PERTYPE'!$B$10:$B$52,0)),0)</f>
        <v>0</v>
      </c>
      <c r="V46" s="142">
        <f>IFERROR(INDEX('[1]SALES PERTYPE'!$T$10:$T$52,MATCH($C46,'[1]SALES PERTYPE'!$B$10:$B$52,0)),0)</f>
        <v>0</v>
      </c>
      <c r="W46" s="142">
        <f>IFERROR(INDEX('[1]SALES PERTYPE'!$U$10:$U$52,MATCH($C46,'[1]SALES PERTYPE'!$B$10:$B$52,0)),0)</f>
        <v>0</v>
      </c>
      <c r="X46" s="142">
        <f>IFERROR(INDEX('[1]SALES PERTYPE'!$V$10:$V$52,MATCH($C46,'[1]SALES PERTYPE'!$B$10:$B$52,0)),0)</f>
        <v>0</v>
      </c>
      <c r="Y46" s="142">
        <f>IFERROR(INDEX('[1]SALES PERTYPE'!$W$10:$W$52,MATCH($C46,'[1]SALES PERTYPE'!$B$10:$B$52,0)),0)</f>
        <v>0</v>
      </c>
      <c r="Z46" s="142">
        <f>IFERROR(INDEX('[1]SALES PERTYPE'!$X$10:$X$52,MATCH($C46,'[1]SALES PERTYPE'!$B$10:$B$52,0)),0)</f>
        <v>0</v>
      </c>
      <c r="AA46" s="142">
        <f>IFERROR(INDEX('[1]SALES PERTYPE'!$Y$10:$Y$52,MATCH($C46,'[1]SALES PERTYPE'!$B$10:$B$52,0)),0)</f>
        <v>0</v>
      </c>
      <c r="AB46" s="142">
        <f>IFERROR(INDEX('[1]SALES PERTYPE'!$Z$10:$Z$52,MATCH($C46,'[1]SALES PERTYPE'!$B$10:$B$52,0)),0)</f>
        <v>0</v>
      </c>
      <c r="AC46" s="142">
        <f>IFERROR(INDEX('[1]SALES PERTYPE'!$AA$10:$AA$52,MATCH($C46,'[1]SALES PERTYPE'!$B$10:$B$52,0)),0)</f>
        <v>0</v>
      </c>
      <c r="AD46" s="142">
        <f>IFERROR(INDEX('[1]SALES PERTYPE'!$AB$10:$AB$52,MATCH($C46,'[1]SALES PERTYPE'!$B$10:$B$52,0)),0)</f>
        <v>0</v>
      </c>
      <c r="AE46" s="142">
        <f>IFERROR(INDEX('[1]SALES PERTYPE'!$AC$10:$AC$52,MATCH($C46,'[1]SALES PERTYPE'!$B$10:$B$52,0)),0)</f>
        <v>0</v>
      </c>
      <c r="AF46" s="142">
        <f>IFERROR(INDEX('[1]SALES PERTYPE'!$AD$10:$AD$52,MATCH($C46,'[1]SALES PERTYPE'!$B$10:$B$52,0)),0)</f>
        <v>1</v>
      </c>
      <c r="AG46" s="142">
        <f>IFERROR(INDEX('[1]SALES PERTYPE'!$AE$10:$AE$52,MATCH($C46,'[1]SALES PERTYPE'!$B$10:$B$52,0)),0)</f>
        <v>25999000</v>
      </c>
      <c r="AH46" s="142">
        <f>IFERROR(INDEX('[1]SALES PERTYPE'!$AF$10:$AF$52,MATCH($C46,'[1]SALES PERTYPE'!$B$10:$B$52,0)),0)</f>
        <v>0</v>
      </c>
      <c r="AI46" s="142">
        <f>IFERROR(INDEX('[1]SALES PERTYPE'!$AG$10:$AG$52,MATCH($C46,'[1]SALES PERTYPE'!$B$10:$B$52,0)),0)</f>
        <v>0</v>
      </c>
      <c r="AJ46" s="142">
        <f>IFERROR(INDEX('[1]SALES PERTYPE'!$AH$10:$AH$52,MATCH($C46,'[1]SALES PERTYPE'!$B$10:$B$52,0)),0)</f>
        <v>0</v>
      </c>
      <c r="AK46" s="142">
        <f>IFERROR(INDEX('[1]SALES PERTYPE'!$AI$10:$AI$52,MATCH($C46,'[1]SALES PERTYPE'!$B$10:$B$52,0)),0)</f>
        <v>0</v>
      </c>
      <c r="AL46" s="142">
        <f>IFERROR(INDEX('[1]SALES PERTYPE'!$AJ$10:$AJ$52,MATCH($C46,'[1]SALES PERTYPE'!$B$10:$B$52,0)),0)</f>
        <v>0</v>
      </c>
      <c r="AM46" s="142">
        <f>IFERROR(INDEX('[1]SALES PERTYPE'!$AK$10:$AK$52,MATCH($C46,'[1]SALES PERTYPE'!$B$10:$B$52,0)),0)</f>
        <v>0</v>
      </c>
      <c r="AN46" s="142">
        <f>IFERROR(INDEX('[1]SALES PERTYPE'!$AL$10:$AL$52,MATCH($C46,'[1]SALES PERTYPE'!$B$10:$B$52,0)),0)</f>
        <v>5</v>
      </c>
      <c r="AO46" s="142">
        <f>IFERROR(INDEX('[1]SALES PERTYPE'!$AM$10:$AM$52,MATCH($C46,'[1]SALES PERTYPE'!$B$10:$B$52,0)),0)</f>
        <v>45095000</v>
      </c>
    </row>
    <row r="47" spans="1:41" x14ac:dyDescent="0.15">
      <c r="A47" s="137">
        <f>'[1]ACHIEVEMENT STORE'!A47</f>
        <v>43</v>
      </c>
      <c r="B47" s="138" t="str">
        <f>'[1]ACHIEVEMENT STORE'!B47</f>
        <v>614 三宝垄 Semarang</v>
      </c>
      <c r="C47" s="137">
        <f>'[1]ACHIEVEMENT STORE'!C47</f>
        <v>6140705</v>
      </c>
      <c r="D47" s="138" t="str">
        <f>'[1]ACHIEVEMENT STORE'!D47</f>
        <v>6140705-QUEENCITY 2F027</v>
      </c>
      <c r="E47" s="138" t="str">
        <f>'[1]ACHIEVEMENT STORE'!E47</f>
        <v>EDI SUSANTO</v>
      </c>
      <c r="F47" s="139">
        <f>IFERROR(INDEX('[1]SALES PERTYPE'!$D$10:$D$52,MATCH($C47,'[1]SALES PERTYPE'!$B$10:$B$52,0)),0)</f>
        <v>0</v>
      </c>
      <c r="G47" s="139">
        <f>IFERROR(INDEX('[1]SALES PERTYPE'!$E$10:$E$52,MATCH($C47,'[1]SALES PERTYPE'!$B$10:$B$52,0)),0)</f>
        <v>0</v>
      </c>
      <c r="H47" s="139">
        <f>IFERROR(INDEX('[1]SALES PERTYPE'!$F$10:$F$52,MATCH($C47,'[1]SALES PERTYPE'!$B$10:$B$52,0)),0)</f>
        <v>2</v>
      </c>
      <c r="I47" s="139">
        <f>IFERROR(INDEX('[1]SALES PERTYPE'!$G$10:$G$52,MATCH($C47,'[1]SALES PERTYPE'!$B$10:$B$52,0)),0)</f>
        <v>4798000</v>
      </c>
      <c r="J47" s="139">
        <f>IFERROR(INDEX('[1]SALES PERTYPE'!$H$10:$H$52,MATCH($C47,'[1]SALES PERTYPE'!$B$10:$B$52,0)),0)</f>
        <v>0</v>
      </c>
      <c r="K47" s="139">
        <f>IFERROR(INDEX('[1]SALES PERTYPE'!$I$10:$I$52,MATCH($C47,'[1]SALES PERTYPE'!$B$10:$B$52,0)),0)</f>
        <v>0</v>
      </c>
      <c r="L47" s="139">
        <f>IFERROR(INDEX('[1]SALES PERTYPE'!$J$10:$J$52,MATCH($C47,'[1]SALES PERTYPE'!$B$10:$B$52,0)),0)</f>
        <v>1</v>
      </c>
      <c r="M47" s="139">
        <f>IFERROR(INDEX('[1]SALES PERTYPE'!$K$10:$K$52,MATCH($C47,'[1]SALES PERTYPE'!$B$10:$B$52,0)),0)</f>
        <v>2099000</v>
      </c>
      <c r="N47" s="139">
        <f>IFERROR(INDEX('[1]SALES PERTYPE'!$L$10:$L$52,MATCH($C47,'[1]SALES PERTYPE'!$B$10:$B$52,0)),0)</f>
        <v>2</v>
      </c>
      <c r="O47" s="139">
        <f>IFERROR(INDEX('[1]SALES PERTYPE'!$M$10:$M$52,MATCH($C47,'[1]SALES PERTYPE'!$B$10:$B$52,0)),0)</f>
        <v>19998000</v>
      </c>
      <c r="P47" s="139">
        <f>IFERROR(INDEX('[1]SALES PERTYPE'!$N$10:$N$52,MATCH($C47,'[1]SALES PERTYPE'!$B$10:$B$52,0)),0)</f>
        <v>1</v>
      </c>
      <c r="Q47" s="139">
        <f>IFERROR(INDEX('[1]SALES PERTYPE'!$O$10:$O$52,MATCH($C47,'[1]SALES PERTYPE'!$B$10:$B$52,0)),0)</f>
        <v>3899000</v>
      </c>
      <c r="R47" s="139">
        <f>IFERROR(INDEX('[1]SALES PERTYPE'!$P$10:$P$52,MATCH($C47,'[1]SALES PERTYPE'!$B$10:$B$52,0)),0)</f>
        <v>0</v>
      </c>
      <c r="S47" s="139">
        <f>IFERROR(INDEX('[1]SALES PERTYPE'!$Q$10:$Q$52,MATCH($C47,'[1]SALES PERTYPE'!$B$10:$B$52,0)),0)</f>
        <v>0</v>
      </c>
      <c r="T47" s="139">
        <f>IFERROR(INDEX('[1]SALES PERTYPE'!$R$10:$R$52,MATCH($C47,'[1]SALES PERTYPE'!$B$10:$B$52,0)),0)</f>
        <v>0</v>
      </c>
      <c r="U47" s="139">
        <f>IFERROR(INDEX('[1]SALES PERTYPE'!$S$10:$S$52,MATCH($C47,'[1]SALES PERTYPE'!$B$10:$B$52,0)),0)</f>
        <v>0</v>
      </c>
      <c r="V47" s="139">
        <f>IFERROR(INDEX('[1]SALES PERTYPE'!$T$10:$T$52,MATCH($C47,'[1]SALES PERTYPE'!$B$10:$B$52,0)),0)</f>
        <v>2</v>
      </c>
      <c r="W47" s="139">
        <f>IFERROR(INDEX('[1]SALES PERTYPE'!$U$10:$U$52,MATCH($C47,'[1]SALES PERTYPE'!$B$10:$B$52,0)),0)</f>
        <v>12998000</v>
      </c>
      <c r="X47" s="139">
        <f>IFERROR(INDEX('[1]SALES PERTYPE'!$V$10:$V$52,MATCH($C47,'[1]SALES PERTYPE'!$B$10:$B$52,0)),0)</f>
        <v>0</v>
      </c>
      <c r="Y47" s="139">
        <f>IFERROR(INDEX('[1]SALES PERTYPE'!$W$10:$W$52,MATCH($C47,'[1]SALES PERTYPE'!$B$10:$B$52,0)),0)</f>
        <v>0</v>
      </c>
      <c r="Z47" s="139">
        <f>IFERROR(INDEX('[1]SALES PERTYPE'!$X$10:$X$52,MATCH($C47,'[1]SALES PERTYPE'!$B$10:$B$52,0)),0)</f>
        <v>0</v>
      </c>
      <c r="AA47" s="139">
        <f>IFERROR(INDEX('[1]SALES PERTYPE'!$Y$10:$Y$52,MATCH($C47,'[1]SALES PERTYPE'!$B$10:$B$52,0)),0)</f>
        <v>0</v>
      </c>
      <c r="AB47" s="139">
        <f>IFERROR(INDEX('[1]SALES PERTYPE'!$Z$10:$Z$52,MATCH($C47,'[1]SALES PERTYPE'!$B$10:$B$52,0)),0)</f>
        <v>0</v>
      </c>
      <c r="AC47" s="139">
        <f>IFERROR(INDEX('[1]SALES PERTYPE'!$AA$10:$AA$52,MATCH($C47,'[1]SALES PERTYPE'!$B$10:$B$52,0)),0)</f>
        <v>0</v>
      </c>
      <c r="AD47" s="139">
        <f>IFERROR(INDEX('[1]SALES PERTYPE'!$AB$10:$AB$52,MATCH($C47,'[1]SALES PERTYPE'!$B$10:$B$52,0)),0)</f>
        <v>1</v>
      </c>
      <c r="AE47" s="139">
        <f>IFERROR(INDEX('[1]SALES PERTYPE'!$AC$10:$AC$52,MATCH($C47,'[1]SALES PERTYPE'!$B$10:$B$52,0)),0)</f>
        <v>5299000</v>
      </c>
      <c r="AF47" s="139">
        <f>IFERROR(INDEX('[1]SALES PERTYPE'!$AD$10:$AD$52,MATCH($C47,'[1]SALES PERTYPE'!$B$10:$B$52,0)),0)</f>
        <v>1</v>
      </c>
      <c r="AG47" s="139">
        <f>IFERROR(INDEX('[1]SALES PERTYPE'!$AE$10:$AE$52,MATCH($C47,'[1]SALES PERTYPE'!$B$10:$B$52,0)),0)</f>
        <v>25999000</v>
      </c>
      <c r="AH47" s="139">
        <f>IFERROR(INDEX('[1]SALES PERTYPE'!$AF$10:$AF$52,MATCH($C47,'[1]SALES PERTYPE'!$B$10:$B$52,0)),0)</f>
        <v>0</v>
      </c>
      <c r="AI47" s="139">
        <f>IFERROR(INDEX('[1]SALES PERTYPE'!$AG$10:$AG$52,MATCH($C47,'[1]SALES PERTYPE'!$B$10:$B$52,0)),0)</f>
        <v>0</v>
      </c>
      <c r="AJ47" s="139">
        <f>IFERROR(INDEX('[1]SALES PERTYPE'!$AH$10:$AH$52,MATCH($C47,'[1]SALES PERTYPE'!$B$10:$B$52,0)),0)</f>
        <v>2</v>
      </c>
      <c r="AK47" s="139">
        <f>IFERROR(INDEX('[1]SALES PERTYPE'!$AI$10:$AI$52,MATCH($C47,'[1]SALES PERTYPE'!$B$10:$B$52,0)),0)</f>
        <v>11398000</v>
      </c>
      <c r="AL47" s="139">
        <f>IFERROR(INDEX('[1]SALES PERTYPE'!$AJ$10:$AJ$52,MATCH($C47,'[1]SALES PERTYPE'!$B$10:$B$52,0)),0)</f>
        <v>3</v>
      </c>
      <c r="AM47" s="139">
        <f>IFERROR(INDEX('[1]SALES PERTYPE'!$AK$10:$AK$52,MATCH($C47,'[1]SALES PERTYPE'!$B$10:$B$52,0)),0)</f>
        <v>20697000</v>
      </c>
      <c r="AN47" s="139">
        <f>IFERROR(INDEX('[1]SALES PERTYPE'!$AL$10:$AL$52,MATCH($C47,'[1]SALES PERTYPE'!$B$10:$B$52,0)),0)</f>
        <v>15</v>
      </c>
      <c r="AO47" s="139">
        <f>IFERROR(INDEX('[1]SALES PERTYPE'!$AM$10:$AM$52,MATCH($C47,'[1]SALES PERTYPE'!$B$10:$B$52,0)),0)</f>
        <v>107185000</v>
      </c>
    </row>
    <row r="48" spans="1:41" x14ac:dyDescent="0.15">
      <c r="A48" s="143" t="s">
        <v>111</v>
      </c>
      <c r="B48" s="143"/>
      <c r="C48" s="143"/>
      <c r="D48" s="143"/>
      <c r="E48" s="143"/>
      <c r="F48" s="144">
        <f t="shared" ref="F48:AO48" si="0">SUM(F5:F47)</f>
        <v>189</v>
      </c>
      <c r="G48" s="144">
        <f t="shared" si="0"/>
        <v>460011000</v>
      </c>
      <c r="H48" s="144">
        <f t="shared" si="0"/>
        <v>255</v>
      </c>
      <c r="I48" s="144">
        <f t="shared" si="0"/>
        <v>675745000</v>
      </c>
      <c r="J48" s="144">
        <f t="shared" si="0"/>
        <v>1</v>
      </c>
      <c r="K48" s="144">
        <f t="shared" si="0"/>
        <v>1799000</v>
      </c>
      <c r="L48" s="144">
        <f t="shared" si="0"/>
        <v>253</v>
      </c>
      <c r="M48" s="144">
        <f t="shared" si="0"/>
        <v>531047000</v>
      </c>
      <c r="N48" s="144">
        <f t="shared" si="0"/>
        <v>31</v>
      </c>
      <c r="O48" s="144">
        <f t="shared" si="0"/>
        <v>307969000</v>
      </c>
      <c r="P48" s="144">
        <f t="shared" si="0"/>
        <v>174</v>
      </c>
      <c r="Q48" s="144">
        <f t="shared" si="0"/>
        <v>768026000</v>
      </c>
      <c r="R48" s="144">
        <f t="shared" si="0"/>
        <v>6</v>
      </c>
      <c r="S48" s="144">
        <f t="shared" si="0"/>
        <v>21594000</v>
      </c>
      <c r="T48" s="144">
        <f t="shared" si="0"/>
        <v>12</v>
      </c>
      <c r="U48" s="144">
        <f t="shared" si="0"/>
        <v>43188000</v>
      </c>
      <c r="V48" s="144">
        <f t="shared" si="0"/>
        <v>44</v>
      </c>
      <c r="W48" s="144">
        <f t="shared" si="0"/>
        <v>322156000</v>
      </c>
      <c r="X48" s="144">
        <f t="shared" si="0"/>
        <v>11</v>
      </c>
      <c r="Y48" s="144">
        <f t="shared" si="0"/>
        <v>39589000</v>
      </c>
      <c r="Z48" s="144">
        <f t="shared" si="0"/>
        <v>42</v>
      </c>
      <c r="AA48" s="144">
        <f t="shared" si="0"/>
        <v>243758000</v>
      </c>
      <c r="AB48" s="144">
        <f t="shared" si="0"/>
        <v>7</v>
      </c>
      <c r="AC48" s="144">
        <f t="shared" si="0"/>
        <v>83993000</v>
      </c>
      <c r="AD48" s="144">
        <f t="shared" si="0"/>
        <v>39</v>
      </c>
      <c r="AE48" s="144">
        <f t="shared" si="0"/>
        <v>221461000</v>
      </c>
      <c r="AF48" s="144">
        <f t="shared" si="0"/>
        <v>11</v>
      </c>
      <c r="AG48" s="144">
        <f t="shared" si="0"/>
        <v>293989000</v>
      </c>
      <c r="AH48" s="144">
        <f t="shared" si="0"/>
        <v>1</v>
      </c>
      <c r="AI48" s="144">
        <f t="shared" si="0"/>
        <v>15999000</v>
      </c>
      <c r="AJ48" s="144">
        <f t="shared" si="0"/>
        <v>14</v>
      </c>
      <c r="AK48" s="144">
        <f t="shared" si="0"/>
        <v>79586000</v>
      </c>
      <c r="AL48" s="144">
        <f t="shared" si="0"/>
        <v>31</v>
      </c>
      <c r="AM48" s="144">
        <f t="shared" si="0"/>
        <v>224269000</v>
      </c>
      <c r="AN48" s="144">
        <f t="shared" si="0"/>
        <v>1121</v>
      </c>
      <c r="AO48" s="144">
        <f t="shared" si="0"/>
        <v>4334179000</v>
      </c>
    </row>
  </sheetData>
  <mergeCells count="27">
    <mergeCell ref="P3:Q3"/>
    <mergeCell ref="R3:S3"/>
    <mergeCell ref="A1:AO1"/>
    <mergeCell ref="A3:A4"/>
    <mergeCell ref="B3:B4"/>
    <mergeCell ref="C3:C4"/>
    <mergeCell ref="D3:D4"/>
    <mergeCell ref="E3:E4"/>
    <mergeCell ref="AD3:AE3"/>
    <mergeCell ref="F2:M2"/>
    <mergeCell ref="N2:AM2"/>
    <mergeCell ref="AN2:AO2"/>
    <mergeCell ref="F3:G3"/>
    <mergeCell ref="H3:I3"/>
    <mergeCell ref="J3:K3"/>
    <mergeCell ref="L3:M3"/>
    <mergeCell ref="N3:O3"/>
    <mergeCell ref="AN3:AO3"/>
    <mergeCell ref="T3:U3"/>
    <mergeCell ref="V3:W3"/>
    <mergeCell ref="X3:Y3"/>
    <mergeCell ref="Z3:AA3"/>
    <mergeCell ref="AB3:AC3"/>
    <mergeCell ref="AF3:AG3"/>
    <mergeCell ref="AH3:AI3"/>
    <mergeCell ref="AJ3:AK3"/>
    <mergeCell ref="AL3:A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2026-08-10T02:43:33Z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