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726"/>
  <workbookPr/>
  <mc:AlternateContent xmlns:mc="http://schemas.openxmlformats.org/markup-compatibility/2006">
    <mc:Choice Requires="x15">
      <x15ac:absPath xmlns:x15ac="http://schemas.microsoft.com/office/spreadsheetml/2010/11/ac" url="/Users/michael/Desktop/05 Store Operations/"/>
    </mc:Choice>
  </mc:AlternateContent>
  <xr:revisionPtr revIDLastSave="0" documentId="13_ncr:1_{E59AA35C-3A69-374D-BA68-3A9B777259CF}" xr6:coauthVersionLast="47" xr6:coauthVersionMax="47" xr10:uidLastSave="{00000000-0000-0000-0000-000000000000}"/>
  <bookViews>
    <workbookView xWindow="0" yWindow="600" windowWidth="32740" windowHeight="15440" activeTab="1" xr2:uid="{00000000-000D-0000-FFFF-FFFF00000000}"/>
  </bookViews>
  <sheets>
    <sheet name="Sheet1" sheetId="1" r:id="rId1"/>
    <sheet name="SALES VALUE PER TYPE" sheetId="2" r:id="rId2"/>
  </sheets>
  <externalReferences>
    <externalReference r:id="rId3"/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2" l="1"/>
  <c r="N2" i="2"/>
  <c r="F3" i="2"/>
  <c r="H3" i="2"/>
  <c r="J3" i="2"/>
  <c r="L3" i="2"/>
  <c r="N3" i="2"/>
  <c r="P3" i="2"/>
  <c r="R3" i="2"/>
  <c r="T3" i="2"/>
  <c r="V3" i="2"/>
  <c r="X3" i="2"/>
  <c r="Z3" i="2"/>
  <c r="AB3" i="2"/>
  <c r="AD3" i="2"/>
  <c r="AF3" i="2"/>
  <c r="AH3" i="2"/>
  <c r="AJ3" i="2"/>
  <c r="AL3" i="2"/>
  <c r="A5" i="2"/>
  <c r="B5" i="2"/>
  <c r="C5" i="2"/>
  <c r="F5" i="2" s="1"/>
  <c r="D5" i="2"/>
  <c r="E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AL5" i="2"/>
  <c r="AM5" i="2"/>
  <c r="AN5" i="2"/>
  <c r="AO5" i="2"/>
  <c r="A6" i="2"/>
  <c r="B6" i="2"/>
  <c r="C6" i="2"/>
  <c r="I6" i="2" s="1"/>
  <c r="D6" i="2"/>
  <c r="E6" i="2"/>
  <c r="AM6" i="2"/>
  <c r="A7" i="2"/>
  <c r="B7" i="2"/>
  <c r="C7" i="2"/>
  <c r="H7" i="2" s="1"/>
  <c r="D7" i="2"/>
  <c r="E7" i="2"/>
  <c r="F7" i="2"/>
  <c r="G7" i="2"/>
  <c r="I7" i="2"/>
  <c r="J7" i="2"/>
  <c r="K7" i="2"/>
  <c r="L7" i="2"/>
  <c r="M7" i="2"/>
  <c r="O7" i="2"/>
  <c r="P7" i="2"/>
  <c r="Q7" i="2"/>
  <c r="R7" i="2"/>
  <c r="S7" i="2"/>
  <c r="U7" i="2"/>
  <c r="V7" i="2"/>
  <c r="W7" i="2"/>
  <c r="X7" i="2"/>
  <c r="Y7" i="2"/>
  <c r="AA7" i="2"/>
  <c r="AB7" i="2"/>
  <c r="AC7" i="2"/>
  <c r="AD7" i="2"/>
  <c r="AE7" i="2"/>
  <c r="AG7" i="2"/>
  <c r="AH7" i="2"/>
  <c r="AI7" i="2"/>
  <c r="AJ7" i="2"/>
  <c r="AK7" i="2"/>
  <c r="AM7" i="2"/>
  <c r="AN7" i="2"/>
  <c r="AO7" i="2"/>
  <c r="A8" i="2"/>
  <c r="B8" i="2"/>
  <c r="C8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AL8" i="2"/>
  <c r="AM8" i="2"/>
  <c r="AN8" i="2"/>
  <c r="AO8" i="2"/>
  <c r="A9" i="2"/>
  <c r="B9" i="2"/>
  <c r="C9" i="2"/>
  <c r="J9" i="2" s="1"/>
  <c r="D9" i="2"/>
  <c r="E9" i="2"/>
  <c r="F9" i="2"/>
  <c r="G9" i="2"/>
  <c r="H9" i="2"/>
  <c r="I9" i="2"/>
  <c r="L9" i="2"/>
  <c r="M9" i="2"/>
  <c r="N9" i="2"/>
  <c r="O9" i="2"/>
  <c r="R9" i="2"/>
  <c r="S9" i="2"/>
  <c r="T9" i="2"/>
  <c r="U9" i="2"/>
  <c r="X9" i="2"/>
  <c r="Y9" i="2"/>
  <c r="Z9" i="2"/>
  <c r="AA9" i="2"/>
  <c r="AD9" i="2"/>
  <c r="AE9" i="2"/>
  <c r="AF9" i="2"/>
  <c r="AG9" i="2"/>
  <c r="AJ9" i="2"/>
  <c r="AK9" i="2"/>
  <c r="AL9" i="2"/>
  <c r="AM9" i="2"/>
  <c r="A10" i="2"/>
  <c r="B10" i="2"/>
  <c r="C10" i="2"/>
  <c r="P10" i="2" s="1"/>
  <c r="D10" i="2"/>
  <c r="E10" i="2"/>
  <c r="M10" i="2"/>
  <c r="AA10" i="2"/>
  <c r="AM10" i="2"/>
  <c r="A11" i="2"/>
  <c r="B11" i="2"/>
  <c r="C11" i="2"/>
  <c r="T11" i="2" s="1"/>
  <c r="D11" i="2"/>
  <c r="E11" i="2"/>
  <c r="J11" i="2"/>
  <c r="K11" i="2"/>
  <c r="N11" i="2"/>
  <c r="O11" i="2"/>
  <c r="V11" i="2"/>
  <c r="W11" i="2"/>
  <c r="AB11" i="2"/>
  <c r="AC11" i="2"/>
  <c r="AL11" i="2"/>
  <c r="AM11" i="2"/>
  <c r="AN11" i="2"/>
  <c r="AO11" i="2"/>
  <c r="A12" i="2"/>
  <c r="B12" i="2"/>
  <c r="C12" i="2"/>
  <c r="P12" i="2" s="1"/>
  <c r="D12" i="2"/>
  <c r="E12" i="2"/>
  <c r="O12" i="2"/>
  <c r="AC12" i="2"/>
  <c r="AO12" i="2"/>
  <c r="A13" i="2"/>
  <c r="B13" i="2"/>
  <c r="C13" i="2"/>
  <c r="H13" i="2" s="1"/>
  <c r="D13" i="2"/>
  <c r="E13" i="2"/>
  <c r="F13" i="2"/>
  <c r="G13" i="2"/>
  <c r="I13" i="2"/>
  <c r="J13" i="2"/>
  <c r="K13" i="2"/>
  <c r="L13" i="2"/>
  <c r="M13" i="2"/>
  <c r="O13" i="2"/>
  <c r="P13" i="2"/>
  <c r="Q13" i="2"/>
  <c r="R13" i="2"/>
  <c r="S13" i="2"/>
  <c r="U13" i="2"/>
  <c r="V13" i="2"/>
  <c r="W13" i="2"/>
  <c r="X13" i="2"/>
  <c r="Y13" i="2"/>
  <c r="AA13" i="2"/>
  <c r="AB13" i="2"/>
  <c r="AC13" i="2"/>
  <c r="AD13" i="2"/>
  <c r="AE13" i="2"/>
  <c r="AG13" i="2"/>
  <c r="AH13" i="2"/>
  <c r="AI13" i="2"/>
  <c r="AJ13" i="2"/>
  <c r="AK13" i="2"/>
  <c r="AM13" i="2"/>
  <c r="AN13" i="2"/>
  <c r="AO13" i="2"/>
  <c r="A14" i="2"/>
  <c r="B14" i="2"/>
  <c r="C14" i="2"/>
  <c r="D14" i="2"/>
  <c r="E14" i="2"/>
  <c r="F14" i="2"/>
  <c r="G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Z14" i="2"/>
  <c r="AA14" i="2"/>
  <c r="AB14" i="2"/>
  <c r="AC14" i="2"/>
  <c r="AD14" i="2"/>
  <c r="AE14" i="2"/>
  <c r="AF14" i="2"/>
  <c r="AG14" i="2"/>
  <c r="AH14" i="2"/>
  <c r="AI14" i="2"/>
  <c r="AJ14" i="2"/>
  <c r="AK14" i="2"/>
  <c r="AL14" i="2"/>
  <c r="AM14" i="2"/>
  <c r="AN14" i="2"/>
  <c r="AO14" i="2"/>
  <c r="A15" i="2"/>
  <c r="B15" i="2"/>
  <c r="C15" i="2"/>
  <c r="N15" i="2" s="1"/>
  <c r="D15" i="2"/>
  <c r="E15" i="2"/>
  <c r="H15" i="2"/>
  <c r="I15" i="2"/>
  <c r="X15" i="2"/>
  <c r="Y15" i="2"/>
  <c r="AJ15" i="2"/>
  <c r="AK15" i="2"/>
  <c r="A16" i="2"/>
  <c r="B16" i="2"/>
  <c r="C16" i="2"/>
  <c r="D16" i="2"/>
  <c r="E16" i="2"/>
  <c r="H16" i="2"/>
  <c r="I16" i="2"/>
  <c r="J16" i="2"/>
  <c r="M16" i="2"/>
  <c r="S16" i="2"/>
  <c r="T16" i="2"/>
  <c r="U16" i="2"/>
  <c r="Z16" i="2"/>
  <c r="AA16" i="2"/>
  <c r="AE16" i="2"/>
  <c r="AH16" i="2"/>
  <c r="AK16" i="2"/>
  <c r="AL16" i="2"/>
  <c r="AM16" i="2"/>
  <c r="A17" i="2"/>
  <c r="B17" i="2"/>
  <c r="C17" i="2"/>
  <c r="Q17" i="2" s="1"/>
  <c r="D17" i="2"/>
  <c r="E17" i="2"/>
  <c r="M17" i="2"/>
  <c r="N17" i="2"/>
  <c r="Y17" i="2"/>
  <c r="Z17" i="2"/>
  <c r="AH17" i="2"/>
  <c r="AI17" i="2"/>
  <c r="A18" i="2"/>
  <c r="B18" i="2"/>
  <c r="C18" i="2"/>
  <c r="D18" i="2"/>
  <c r="E18" i="2"/>
  <c r="F18" i="2"/>
  <c r="H18" i="2"/>
  <c r="I18" i="2"/>
  <c r="J18" i="2"/>
  <c r="K18" i="2"/>
  <c r="L18" i="2"/>
  <c r="N18" i="2"/>
  <c r="O18" i="2"/>
  <c r="P18" i="2"/>
  <c r="Q18" i="2"/>
  <c r="R18" i="2"/>
  <c r="T18" i="2"/>
  <c r="U18" i="2"/>
  <c r="V18" i="2"/>
  <c r="W18" i="2"/>
  <c r="X18" i="2"/>
  <c r="Z18" i="2"/>
  <c r="AA18" i="2"/>
  <c r="AB18" i="2"/>
  <c r="AC18" i="2"/>
  <c r="AD18" i="2"/>
  <c r="AF18" i="2"/>
  <c r="AG18" i="2"/>
  <c r="AH18" i="2"/>
  <c r="AI18" i="2"/>
  <c r="AJ18" i="2"/>
  <c r="AL18" i="2"/>
  <c r="AM18" i="2"/>
  <c r="AN18" i="2"/>
  <c r="AO18" i="2"/>
  <c r="A19" i="2"/>
  <c r="B19" i="2"/>
  <c r="C19" i="2"/>
  <c r="D19" i="2"/>
  <c r="E19" i="2"/>
  <c r="F19" i="2"/>
  <c r="G19" i="2"/>
  <c r="I19" i="2"/>
  <c r="J19" i="2"/>
  <c r="L19" i="2"/>
  <c r="M19" i="2"/>
  <c r="O19" i="2"/>
  <c r="P19" i="2"/>
  <c r="Q19" i="2"/>
  <c r="S19" i="2"/>
  <c r="U19" i="2"/>
  <c r="V19" i="2"/>
  <c r="W19" i="2"/>
  <c r="X19" i="2"/>
  <c r="AA19" i="2"/>
  <c r="AB19" i="2"/>
  <c r="AC19" i="2"/>
  <c r="AD19" i="2"/>
  <c r="AE19" i="2"/>
  <c r="AH19" i="2"/>
  <c r="AI19" i="2"/>
  <c r="AJ19" i="2"/>
  <c r="AK19" i="2"/>
  <c r="AM19" i="2"/>
  <c r="AO19" i="2"/>
  <c r="A20" i="2"/>
  <c r="B20" i="2"/>
  <c r="C20" i="2"/>
  <c r="D20" i="2"/>
  <c r="E20" i="2"/>
  <c r="F20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AJ20" i="2"/>
  <c r="AK20" i="2"/>
  <c r="AL20" i="2"/>
  <c r="AM20" i="2"/>
  <c r="AN20" i="2"/>
  <c r="AO20" i="2"/>
  <c r="A21" i="2"/>
  <c r="B21" i="2"/>
  <c r="C21" i="2"/>
  <c r="D21" i="2"/>
  <c r="E21" i="2"/>
  <c r="G21" i="2"/>
  <c r="H21" i="2"/>
  <c r="I21" i="2"/>
  <c r="K21" i="2"/>
  <c r="N21" i="2"/>
  <c r="O21" i="2"/>
  <c r="Q21" i="2"/>
  <c r="R21" i="2"/>
  <c r="U21" i="2"/>
  <c r="W21" i="2"/>
  <c r="X21" i="2"/>
  <c r="Y21" i="2"/>
  <c r="AC21" i="2"/>
  <c r="AD21" i="2"/>
  <c r="AE21" i="2"/>
  <c r="AF21" i="2"/>
  <c r="AJ21" i="2"/>
  <c r="AK21" i="2"/>
  <c r="AL21" i="2"/>
  <c r="AM21" i="2"/>
  <c r="A22" i="2"/>
  <c r="B22" i="2"/>
  <c r="C22" i="2"/>
  <c r="O22" i="2" s="1"/>
  <c r="D22" i="2"/>
  <c r="E22" i="2"/>
  <c r="L22" i="2"/>
  <c r="X22" i="2"/>
  <c r="AG22" i="2"/>
  <c r="A23" i="2"/>
  <c r="B23" i="2"/>
  <c r="C23" i="2"/>
  <c r="L23" i="2" s="1"/>
  <c r="D23" i="2"/>
  <c r="E23" i="2"/>
  <c r="J23" i="2"/>
  <c r="K23" i="2"/>
  <c r="R23" i="2"/>
  <c r="U23" i="2"/>
  <c r="AB23" i="2"/>
  <c r="AC23" i="2"/>
  <c r="AJ23" i="2"/>
  <c r="AM23" i="2"/>
  <c r="A24" i="2"/>
  <c r="B24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25" i="2"/>
  <c r="B25" i="2"/>
  <c r="C25" i="2"/>
  <c r="J25" i="2" s="1"/>
  <c r="D25" i="2"/>
  <c r="E25" i="2"/>
  <c r="F25" i="2"/>
  <c r="G25" i="2"/>
  <c r="H25" i="2"/>
  <c r="I25" i="2"/>
  <c r="K25" i="2"/>
  <c r="L25" i="2"/>
  <c r="M25" i="2"/>
  <c r="N25" i="2"/>
  <c r="O25" i="2"/>
  <c r="Q25" i="2"/>
  <c r="R25" i="2"/>
  <c r="S25" i="2"/>
  <c r="T25" i="2"/>
  <c r="U25" i="2"/>
  <c r="W25" i="2"/>
  <c r="X25" i="2"/>
  <c r="Y25" i="2"/>
  <c r="Z25" i="2"/>
  <c r="AA25" i="2"/>
  <c r="AC25" i="2"/>
  <c r="AD25" i="2"/>
  <c r="AE25" i="2"/>
  <c r="AF25" i="2"/>
  <c r="AG25" i="2"/>
  <c r="AI25" i="2"/>
  <c r="AJ25" i="2"/>
  <c r="AK25" i="2"/>
  <c r="AL25" i="2"/>
  <c r="AM25" i="2"/>
  <c r="AO25" i="2"/>
  <c r="A26" i="2"/>
  <c r="B26" i="2"/>
  <c r="C26" i="2"/>
  <c r="D26" i="2"/>
  <c r="E26" i="2"/>
  <c r="F26" i="2"/>
  <c r="G26" i="2"/>
  <c r="H26" i="2"/>
  <c r="I26" i="2"/>
  <c r="M26" i="2"/>
  <c r="N26" i="2"/>
  <c r="O26" i="2"/>
  <c r="R26" i="2"/>
  <c r="S26" i="2"/>
  <c r="U26" i="2"/>
  <c r="X26" i="2"/>
  <c r="Y26" i="2"/>
  <c r="Z26" i="2"/>
  <c r="AA26" i="2"/>
  <c r="AE26" i="2"/>
  <c r="AF26" i="2"/>
  <c r="AG26" i="2"/>
  <c r="AJ26" i="2"/>
  <c r="AK26" i="2"/>
  <c r="AM26" i="2"/>
  <c r="A27" i="2"/>
  <c r="B27" i="2"/>
  <c r="C27" i="2"/>
  <c r="M27" i="2" s="1"/>
  <c r="D27" i="2"/>
  <c r="E27" i="2"/>
  <c r="G27" i="2"/>
  <c r="H27" i="2"/>
  <c r="I27" i="2"/>
  <c r="J27" i="2"/>
  <c r="O27" i="2"/>
  <c r="P27" i="2"/>
  <c r="S27" i="2"/>
  <c r="T27" i="2"/>
  <c r="Y27" i="2"/>
  <c r="Z27" i="2"/>
  <c r="AA27" i="2"/>
  <c r="AB27" i="2"/>
  <c r="AG27" i="2"/>
  <c r="AH27" i="2"/>
  <c r="AK27" i="2"/>
  <c r="AL27" i="2"/>
  <c r="A28" i="2"/>
  <c r="B28" i="2"/>
  <c r="C28" i="2"/>
  <c r="N28" i="2" s="1"/>
  <c r="D28" i="2"/>
  <c r="E28" i="2"/>
  <c r="I28" i="2"/>
  <c r="J28" i="2"/>
  <c r="K28" i="2"/>
  <c r="Q28" i="2"/>
  <c r="T28" i="2"/>
  <c r="U28" i="2"/>
  <c r="AA28" i="2"/>
  <c r="AB28" i="2"/>
  <c r="AC28" i="2"/>
  <c r="AI28" i="2"/>
  <c r="AL28" i="2"/>
  <c r="AM28" i="2"/>
  <c r="A29" i="2"/>
  <c r="B29" i="2"/>
  <c r="C29" i="2"/>
  <c r="L29" i="2" s="1"/>
  <c r="D29" i="2"/>
  <c r="E29" i="2"/>
  <c r="J29" i="2"/>
  <c r="K29" i="2"/>
  <c r="R29" i="2"/>
  <c r="U29" i="2"/>
  <c r="AB29" i="2"/>
  <c r="AC29" i="2"/>
  <c r="AJ29" i="2"/>
  <c r="AM29" i="2"/>
  <c r="A30" i="2"/>
  <c r="B30" i="2"/>
  <c r="C30" i="2"/>
  <c r="D30" i="2"/>
  <c r="E30" i="2"/>
  <c r="F30" i="2"/>
  <c r="G30" i="2"/>
  <c r="H30" i="2"/>
  <c r="I30" i="2"/>
  <c r="J30" i="2"/>
  <c r="K30" i="2"/>
  <c r="L30" i="2"/>
  <c r="M30" i="2"/>
  <c r="N30" i="2"/>
  <c r="O30" i="2"/>
  <c r="P30" i="2"/>
  <c r="Q30" i="2"/>
  <c r="R30" i="2"/>
  <c r="S30" i="2"/>
  <c r="T30" i="2"/>
  <c r="U30" i="2"/>
  <c r="V30" i="2"/>
  <c r="W30" i="2"/>
  <c r="X30" i="2"/>
  <c r="Y30" i="2"/>
  <c r="Z30" i="2"/>
  <c r="AA30" i="2"/>
  <c r="AB30" i="2"/>
  <c r="AC30" i="2"/>
  <c r="AD30" i="2"/>
  <c r="AE30" i="2"/>
  <c r="AF30" i="2"/>
  <c r="AG30" i="2"/>
  <c r="AH30" i="2"/>
  <c r="AI30" i="2"/>
  <c r="AJ30" i="2"/>
  <c r="AK30" i="2"/>
  <c r="AL30" i="2"/>
  <c r="AM30" i="2"/>
  <c r="AN30" i="2"/>
  <c r="AO30" i="2"/>
  <c r="A31" i="2"/>
  <c r="B31" i="2"/>
  <c r="C31" i="2"/>
  <c r="J31" i="2" s="1"/>
  <c r="D31" i="2"/>
  <c r="E31" i="2"/>
  <c r="F31" i="2"/>
  <c r="G31" i="2"/>
  <c r="H31" i="2"/>
  <c r="I31" i="2"/>
  <c r="K31" i="2"/>
  <c r="L31" i="2"/>
  <c r="M31" i="2"/>
  <c r="N31" i="2"/>
  <c r="O31" i="2"/>
  <c r="Q31" i="2"/>
  <c r="R31" i="2"/>
  <c r="S31" i="2"/>
  <c r="T31" i="2"/>
  <c r="U31" i="2"/>
  <c r="W31" i="2"/>
  <c r="X31" i="2"/>
  <c r="Y31" i="2"/>
  <c r="Z31" i="2"/>
  <c r="AA31" i="2"/>
  <c r="AC31" i="2"/>
  <c r="AD31" i="2"/>
  <c r="AE31" i="2"/>
  <c r="AF31" i="2"/>
  <c r="AG31" i="2"/>
  <c r="AI31" i="2"/>
  <c r="AJ31" i="2"/>
  <c r="AK31" i="2"/>
  <c r="AL31" i="2"/>
  <c r="AM31" i="2"/>
  <c r="AO31" i="2"/>
  <c r="A32" i="2"/>
  <c r="B32" i="2"/>
  <c r="C32" i="2"/>
  <c r="D32" i="2"/>
  <c r="E32" i="2"/>
  <c r="F32" i="2"/>
  <c r="G32" i="2"/>
  <c r="H32" i="2"/>
  <c r="I32" i="2"/>
  <c r="M32" i="2"/>
  <c r="N32" i="2"/>
  <c r="O32" i="2"/>
  <c r="R32" i="2"/>
  <c r="S32" i="2"/>
  <c r="U32" i="2"/>
  <c r="X32" i="2"/>
  <c r="Y32" i="2"/>
  <c r="Z32" i="2"/>
  <c r="AA32" i="2"/>
  <c r="AE32" i="2"/>
  <c r="AF32" i="2"/>
  <c r="AG32" i="2"/>
  <c r="AJ32" i="2"/>
  <c r="AK32" i="2"/>
  <c r="AM32" i="2"/>
  <c r="A33" i="2"/>
  <c r="B33" i="2"/>
  <c r="C33" i="2"/>
  <c r="M33" i="2" s="1"/>
  <c r="D33" i="2"/>
  <c r="E33" i="2"/>
  <c r="G33" i="2"/>
  <c r="H33" i="2"/>
  <c r="I33" i="2"/>
  <c r="J33" i="2"/>
  <c r="O33" i="2"/>
  <c r="P33" i="2"/>
  <c r="S33" i="2"/>
  <c r="T33" i="2"/>
  <c r="Y33" i="2"/>
  <c r="Z33" i="2"/>
  <c r="AA33" i="2"/>
  <c r="AB33" i="2"/>
  <c r="AG33" i="2"/>
  <c r="AH33" i="2"/>
  <c r="AK33" i="2"/>
  <c r="AL33" i="2"/>
  <c r="A34" i="2"/>
  <c r="B34" i="2"/>
  <c r="C34" i="2"/>
  <c r="N34" i="2" s="1"/>
  <c r="D34" i="2"/>
  <c r="E34" i="2"/>
  <c r="I34" i="2"/>
  <c r="J34" i="2"/>
  <c r="K34" i="2"/>
  <c r="Q34" i="2"/>
  <c r="T34" i="2"/>
  <c r="U34" i="2"/>
  <c r="AA34" i="2"/>
  <c r="AB34" i="2"/>
  <c r="AC34" i="2"/>
  <c r="AI34" i="2"/>
  <c r="AL34" i="2"/>
  <c r="AM34" i="2"/>
  <c r="A35" i="2"/>
  <c r="B35" i="2"/>
  <c r="C35" i="2"/>
  <c r="L35" i="2" s="1"/>
  <c r="D35" i="2"/>
  <c r="E35" i="2"/>
  <c r="K35" i="2"/>
  <c r="R35" i="2"/>
  <c r="Y35" i="2"/>
  <c r="AG35" i="2"/>
  <c r="AN35" i="2"/>
  <c r="A36" i="2"/>
  <c r="B36" i="2"/>
  <c r="C36" i="2"/>
  <c r="D36" i="2"/>
  <c r="E36" i="2"/>
  <c r="F36" i="2"/>
  <c r="G36" i="2"/>
  <c r="H36" i="2"/>
  <c r="I36" i="2"/>
  <c r="J36" i="2"/>
  <c r="K36" i="2"/>
  <c r="L36" i="2"/>
  <c r="M36" i="2"/>
  <c r="N36" i="2"/>
  <c r="O36" i="2"/>
  <c r="P36" i="2"/>
  <c r="Q36" i="2"/>
  <c r="R36" i="2"/>
  <c r="S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AG36" i="2"/>
  <c r="AH36" i="2"/>
  <c r="AI36" i="2"/>
  <c r="AJ36" i="2"/>
  <c r="AK36" i="2"/>
  <c r="AL36" i="2"/>
  <c r="AM36" i="2"/>
  <c r="AN36" i="2"/>
  <c r="AO36" i="2"/>
  <c r="A37" i="2"/>
  <c r="B37" i="2"/>
  <c r="C37" i="2"/>
  <c r="J37" i="2" s="1"/>
  <c r="D37" i="2"/>
  <c r="E37" i="2"/>
  <c r="F37" i="2"/>
  <c r="G37" i="2"/>
  <c r="H37" i="2"/>
  <c r="I37" i="2"/>
  <c r="K37" i="2"/>
  <c r="L37" i="2"/>
  <c r="M37" i="2"/>
  <c r="N37" i="2"/>
  <c r="O37" i="2"/>
  <c r="Q37" i="2"/>
  <c r="R37" i="2"/>
  <c r="S37" i="2"/>
  <c r="T37" i="2"/>
  <c r="U37" i="2"/>
  <c r="W37" i="2"/>
  <c r="X37" i="2"/>
  <c r="Y37" i="2"/>
  <c r="Z37" i="2"/>
  <c r="AA37" i="2"/>
  <c r="AC37" i="2"/>
  <c r="AD37" i="2"/>
  <c r="AE37" i="2"/>
  <c r="AF37" i="2"/>
  <c r="AG37" i="2"/>
  <c r="AI37" i="2"/>
  <c r="AJ37" i="2"/>
  <c r="AK37" i="2"/>
  <c r="AL37" i="2"/>
  <c r="AM37" i="2"/>
  <c r="AO37" i="2"/>
  <c r="A38" i="2"/>
  <c r="B38" i="2"/>
  <c r="C38" i="2"/>
  <c r="K38" i="2" s="1"/>
  <c r="D38" i="2"/>
  <c r="E38" i="2"/>
  <c r="F38" i="2"/>
  <c r="G38" i="2"/>
  <c r="H38" i="2"/>
  <c r="I38" i="2"/>
  <c r="L38" i="2"/>
  <c r="M38" i="2"/>
  <c r="N38" i="2"/>
  <c r="O38" i="2"/>
  <c r="R38" i="2"/>
  <c r="S38" i="2"/>
  <c r="T38" i="2"/>
  <c r="U38" i="2"/>
  <c r="X38" i="2"/>
  <c r="Y38" i="2"/>
  <c r="Z38" i="2"/>
  <c r="AA38" i="2"/>
  <c r="AD38" i="2"/>
  <c r="AE38" i="2"/>
  <c r="AF38" i="2"/>
  <c r="AG38" i="2"/>
  <c r="AJ38" i="2"/>
  <c r="AK38" i="2"/>
  <c r="AL38" i="2"/>
  <c r="AM38" i="2"/>
  <c r="A39" i="2"/>
  <c r="B39" i="2"/>
  <c r="C39" i="2"/>
  <c r="F39" i="2" s="1"/>
  <c r="D39" i="2"/>
  <c r="E39" i="2"/>
  <c r="G39" i="2"/>
  <c r="H39" i="2"/>
  <c r="I39" i="2"/>
  <c r="M39" i="2"/>
  <c r="N39" i="2"/>
  <c r="O39" i="2"/>
  <c r="S39" i="2"/>
  <c r="T39" i="2"/>
  <c r="U39" i="2"/>
  <c r="Y39" i="2"/>
  <c r="Z39" i="2"/>
  <c r="AA39" i="2"/>
  <c r="AE39" i="2"/>
  <c r="AF39" i="2"/>
  <c r="AG39" i="2"/>
  <c r="AK39" i="2"/>
  <c r="AL39" i="2"/>
  <c r="AM39" i="2"/>
  <c r="A40" i="2"/>
  <c r="B40" i="2"/>
  <c r="C40" i="2"/>
  <c r="G40" i="2" s="1"/>
  <c r="D40" i="2"/>
  <c r="E40" i="2"/>
  <c r="I40" i="2"/>
  <c r="O40" i="2"/>
  <c r="U40" i="2"/>
  <c r="AA40" i="2"/>
  <c r="AG40" i="2"/>
  <c r="AM40" i="2"/>
  <c r="A41" i="2"/>
  <c r="B41" i="2"/>
  <c r="C41" i="2"/>
  <c r="H41" i="2" s="1"/>
  <c r="D41" i="2"/>
  <c r="E41" i="2"/>
  <c r="I41" i="2"/>
  <c r="J41" i="2"/>
  <c r="O41" i="2"/>
  <c r="P41" i="2"/>
  <c r="Q41" i="2"/>
  <c r="U41" i="2"/>
  <c r="V41" i="2"/>
  <c r="W41" i="2"/>
  <c r="AA41" i="2"/>
  <c r="AB41" i="2"/>
  <c r="AC41" i="2"/>
  <c r="AG41" i="2"/>
  <c r="AH41" i="2"/>
  <c r="AI41" i="2"/>
  <c r="AM41" i="2"/>
  <c r="AN41" i="2"/>
  <c r="AO41" i="2"/>
  <c r="A42" i="2"/>
  <c r="B42" i="2"/>
  <c r="C42" i="2"/>
  <c r="D42" i="2"/>
  <c r="E42" i="2"/>
  <c r="F42" i="2"/>
  <c r="G42" i="2"/>
  <c r="H42" i="2"/>
  <c r="I42" i="2"/>
  <c r="J42" i="2"/>
  <c r="K42" i="2"/>
  <c r="L42" i="2"/>
  <c r="M42" i="2"/>
  <c r="N42" i="2"/>
  <c r="O42" i="2"/>
  <c r="P42" i="2"/>
  <c r="Q42" i="2"/>
  <c r="R42" i="2"/>
  <c r="S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AG42" i="2"/>
  <c r="AH42" i="2"/>
  <c r="AI42" i="2"/>
  <c r="AJ42" i="2"/>
  <c r="AK42" i="2"/>
  <c r="AL42" i="2"/>
  <c r="AM42" i="2"/>
  <c r="AN42" i="2"/>
  <c r="AO42" i="2"/>
  <c r="A43" i="2"/>
  <c r="B43" i="2"/>
  <c r="C43" i="2"/>
  <c r="J43" i="2" s="1"/>
  <c r="D43" i="2"/>
  <c r="E43" i="2"/>
  <c r="F43" i="2"/>
  <c r="G43" i="2"/>
  <c r="H43" i="2"/>
  <c r="I43" i="2"/>
  <c r="K43" i="2"/>
  <c r="L43" i="2"/>
  <c r="M43" i="2"/>
  <c r="N43" i="2"/>
  <c r="O43" i="2"/>
  <c r="Q43" i="2"/>
  <c r="R43" i="2"/>
  <c r="S43" i="2"/>
  <c r="T43" i="2"/>
  <c r="U43" i="2"/>
  <c r="W43" i="2"/>
  <c r="X43" i="2"/>
  <c r="Y43" i="2"/>
  <c r="Z43" i="2"/>
  <c r="AA43" i="2"/>
  <c r="AC43" i="2"/>
  <c r="AD43" i="2"/>
  <c r="AE43" i="2"/>
  <c r="AF43" i="2"/>
  <c r="AG43" i="2"/>
  <c r="AI43" i="2"/>
  <c r="AJ43" i="2"/>
  <c r="AK43" i="2"/>
  <c r="AL43" i="2"/>
  <c r="AM43" i="2"/>
  <c r="AO43" i="2"/>
  <c r="A44" i="2"/>
  <c r="B44" i="2"/>
  <c r="C44" i="2"/>
  <c r="K44" i="2" s="1"/>
  <c r="D44" i="2"/>
  <c r="E44" i="2"/>
  <c r="G44" i="2"/>
  <c r="H44" i="2"/>
  <c r="I44" i="2"/>
  <c r="M44" i="2"/>
  <c r="N44" i="2"/>
  <c r="O44" i="2"/>
  <c r="S44" i="2"/>
  <c r="T44" i="2"/>
  <c r="U44" i="2"/>
  <c r="X44" i="2"/>
  <c r="Y44" i="2"/>
  <c r="Z44" i="2"/>
  <c r="AA44" i="2"/>
  <c r="AE44" i="2"/>
  <c r="AF44" i="2"/>
  <c r="AG44" i="2"/>
  <c r="AJ44" i="2"/>
  <c r="AK44" i="2"/>
  <c r="AL44" i="2"/>
  <c r="AM44" i="2"/>
  <c r="A45" i="2"/>
  <c r="B45" i="2"/>
  <c r="C45" i="2"/>
  <c r="F45" i="2" s="1"/>
  <c r="D45" i="2"/>
  <c r="E45" i="2"/>
  <c r="H45" i="2"/>
  <c r="I45" i="2"/>
  <c r="N45" i="2"/>
  <c r="O45" i="2"/>
  <c r="T45" i="2"/>
  <c r="U45" i="2"/>
  <c r="Z45" i="2"/>
  <c r="AA45" i="2"/>
  <c r="AF45" i="2"/>
  <c r="AG45" i="2"/>
  <c r="AL45" i="2"/>
  <c r="AM45" i="2"/>
  <c r="A46" i="2"/>
  <c r="B46" i="2"/>
  <c r="C46" i="2"/>
  <c r="G46" i="2" s="1"/>
  <c r="D46" i="2"/>
  <c r="E46" i="2"/>
  <c r="I46" i="2"/>
  <c r="O46" i="2"/>
  <c r="U46" i="2"/>
  <c r="AA46" i="2"/>
  <c r="AG46" i="2"/>
  <c r="AM46" i="2"/>
  <c r="A47" i="2"/>
  <c r="B47" i="2"/>
  <c r="C47" i="2"/>
  <c r="H47" i="2" s="1"/>
  <c r="D47" i="2"/>
  <c r="E47" i="2"/>
  <c r="F47" i="2"/>
  <c r="J47" i="2"/>
  <c r="K47" i="2"/>
  <c r="L47" i="2"/>
  <c r="O47" i="2"/>
  <c r="P47" i="2"/>
  <c r="Q47" i="2"/>
  <c r="R47" i="2"/>
  <c r="U47" i="2"/>
  <c r="V47" i="2"/>
  <c r="W47" i="2"/>
  <c r="X47" i="2"/>
  <c r="AA47" i="2"/>
  <c r="AB47" i="2"/>
  <c r="AC47" i="2"/>
  <c r="AD47" i="2"/>
  <c r="AG47" i="2"/>
  <c r="AH47" i="2"/>
  <c r="AI47" i="2"/>
  <c r="AJ47" i="2"/>
  <c r="AM47" i="2"/>
  <c r="AN47" i="2"/>
  <c r="AO47" i="2"/>
  <c r="BQ48" i="1"/>
  <c r="BP48" i="1"/>
  <c r="BO48" i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BQ47" i="1"/>
  <c r="BP47" i="1"/>
  <c r="BO47" i="1"/>
  <c r="BN47" i="1"/>
  <c r="BM47" i="1"/>
  <c r="BL47" i="1"/>
  <c r="BK47" i="1"/>
  <c r="BJ47" i="1"/>
  <c r="BI47" i="1"/>
  <c r="BH47" i="1"/>
  <c r="BG47" i="1"/>
  <c r="BF47" i="1"/>
  <c r="BE47" i="1"/>
  <c r="BD47" i="1"/>
  <c r="BC47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BQ46" i="1"/>
  <c r="BP46" i="1"/>
  <c r="BO46" i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BQ45" i="1"/>
  <c r="BP45" i="1"/>
  <c r="BO45" i="1"/>
  <c r="BN45" i="1"/>
  <c r="BM45" i="1"/>
  <c r="BL45" i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BQ44" i="1"/>
  <c r="BP44" i="1"/>
  <c r="BO44" i="1"/>
  <c r="BN44" i="1"/>
  <c r="BM44" i="1"/>
  <c r="BL44" i="1"/>
  <c r="BK44" i="1"/>
  <c r="BJ44" i="1"/>
  <c r="BI44" i="1"/>
  <c r="BH44" i="1"/>
  <c r="BG44" i="1"/>
  <c r="BF44" i="1"/>
  <c r="BE44" i="1"/>
  <c r="BD44" i="1"/>
  <c r="BC44" i="1"/>
  <c r="BB44" i="1"/>
  <c r="BA44" i="1"/>
  <c r="AZ44" i="1"/>
  <c r="AY44" i="1"/>
  <c r="AX44" i="1"/>
  <c r="AW44" i="1"/>
  <c r="AV44" i="1"/>
  <c r="AU44" i="1"/>
  <c r="AT44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BQ43" i="1"/>
  <c r="BP43" i="1"/>
  <c r="BO43" i="1"/>
  <c r="BN43" i="1"/>
  <c r="BM43" i="1"/>
  <c r="BL43" i="1"/>
  <c r="BK43" i="1"/>
  <c r="BJ43" i="1"/>
  <c r="BI43" i="1"/>
  <c r="BH43" i="1"/>
  <c r="BG43" i="1"/>
  <c r="BF43" i="1"/>
  <c r="BE43" i="1"/>
  <c r="BD43" i="1"/>
  <c r="BC43" i="1"/>
  <c r="BB43" i="1"/>
  <c r="BA43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BQ42" i="1"/>
  <c r="BP42" i="1"/>
  <c r="BO42" i="1"/>
  <c r="BN42" i="1"/>
  <c r="BM42" i="1"/>
  <c r="BL42" i="1"/>
  <c r="BK42" i="1"/>
  <c r="BJ42" i="1"/>
  <c r="BI42" i="1"/>
  <c r="BH42" i="1"/>
  <c r="BG42" i="1"/>
  <c r="BF42" i="1"/>
  <c r="BE42" i="1"/>
  <c r="BD42" i="1"/>
  <c r="BC42" i="1"/>
  <c r="BB42" i="1"/>
  <c r="BA42" i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BQ41" i="1"/>
  <c r="BP41" i="1"/>
  <c r="BO41" i="1"/>
  <c r="BN41" i="1"/>
  <c r="BM41" i="1"/>
  <c r="BL41" i="1"/>
  <c r="BK41" i="1"/>
  <c r="BJ41" i="1"/>
  <c r="BI41" i="1"/>
  <c r="BH41" i="1"/>
  <c r="BG41" i="1"/>
  <c r="BF41" i="1"/>
  <c r="BE41" i="1"/>
  <c r="BD41" i="1"/>
  <c r="BC41" i="1"/>
  <c r="BB41" i="1"/>
  <c r="BA41" i="1"/>
  <c r="AZ41" i="1"/>
  <c r="AY41" i="1"/>
  <c r="AX41" i="1"/>
  <c r="AW41" i="1"/>
  <c r="AV41" i="1"/>
  <c r="AU41" i="1"/>
  <c r="AT41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BQ40" i="1"/>
  <c r="BP40" i="1"/>
  <c r="BO40" i="1"/>
  <c r="BN40" i="1"/>
  <c r="BM40" i="1"/>
  <c r="BL40" i="1"/>
  <c r="BK40" i="1"/>
  <c r="BJ40" i="1"/>
  <c r="BI40" i="1"/>
  <c r="BH40" i="1"/>
  <c r="BG40" i="1"/>
  <c r="BF40" i="1"/>
  <c r="BE40" i="1"/>
  <c r="BD40" i="1"/>
  <c r="BC40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BQ39" i="1"/>
  <c r="BP39" i="1"/>
  <c r="BO39" i="1"/>
  <c r="BN39" i="1"/>
  <c r="BM39" i="1"/>
  <c r="BL39" i="1"/>
  <c r="BK39" i="1"/>
  <c r="BJ39" i="1"/>
  <c r="BI39" i="1"/>
  <c r="BH39" i="1"/>
  <c r="BG39" i="1"/>
  <c r="BF39" i="1"/>
  <c r="BE39" i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BQ38" i="1"/>
  <c r="BP38" i="1"/>
  <c r="BO38" i="1"/>
  <c r="BN38" i="1"/>
  <c r="BM38" i="1"/>
  <c r="BL38" i="1"/>
  <c r="BK38" i="1"/>
  <c r="BJ38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BQ37" i="1"/>
  <c r="BP37" i="1"/>
  <c r="BO37" i="1"/>
  <c r="BN37" i="1"/>
  <c r="BM37" i="1"/>
  <c r="BL37" i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BQ36" i="1"/>
  <c r="BP36" i="1"/>
  <c r="BO36" i="1"/>
  <c r="BN36" i="1"/>
  <c r="BM36" i="1"/>
  <c r="BL36" i="1"/>
  <c r="BK36" i="1"/>
  <c r="BJ36" i="1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BQ35" i="1"/>
  <c r="BP35" i="1"/>
  <c r="BO35" i="1"/>
  <c r="BN35" i="1"/>
  <c r="BM35" i="1"/>
  <c r="BL35" i="1"/>
  <c r="BK35" i="1"/>
  <c r="BJ35" i="1"/>
  <c r="BI35" i="1"/>
  <c r="BH35" i="1"/>
  <c r="BG35" i="1"/>
  <c r="BF35" i="1"/>
  <c r="BE35" i="1"/>
  <c r="BD35" i="1"/>
  <c r="BC35" i="1"/>
  <c r="BB35" i="1"/>
  <c r="BA35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BQ33" i="1"/>
  <c r="BP33" i="1"/>
  <c r="BO33" i="1"/>
  <c r="BN33" i="1"/>
  <c r="BM33" i="1"/>
  <c r="BL33" i="1"/>
  <c r="BK33" i="1"/>
  <c r="BJ33" i="1"/>
  <c r="BI33" i="1"/>
  <c r="BH33" i="1"/>
  <c r="BG33" i="1"/>
  <c r="BF33" i="1"/>
  <c r="BE33" i="1"/>
  <c r="BD33" i="1"/>
  <c r="BC33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BQ32" i="1"/>
  <c r="BP32" i="1"/>
  <c r="BO32" i="1"/>
  <c r="BN32" i="1"/>
  <c r="BM32" i="1"/>
  <c r="BL32" i="1"/>
  <c r="BK32" i="1"/>
  <c r="BJ32" i="1"/>
  <c r="BI32" i="1"/>
  <c r="BH32" i="1"/>
  <c r="BG32" i="1"/>
  <c r="BF32" i="1"/>
  <c r="BE32" i="1"/>
  <c r="BD32" i="1"/>
  <c r="BC32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BQ31" i="1"/>
  <c r="BP31" i="1"/>
  <c r="BO31" i="1"/>
  <c r="BN31" i="1"/>
  <c r="BM31" i="1"/>
  <c r="BL31" i="1"/>
  <c r="BK31" i="1"/>
  <c r="BJ31" i="1"/>
  <c r="BI31" i="1"/>
  <c r="BH31" i="1"/>
  <c r="BG31" i="1"/>
  <c r="BF31" i="1"/>
  <c r="BE31" i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BQ30" i="1"/>
  <c r="BP30" i="1"/>
  <c r="BO30" i="1"/>
  <c r="BN30" i="1"/>
  <c r="BM30" i="1"/>
  <c r="BL30" i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BQ29" i="1"/>
  <c r="BP29" i="1"/>
  <c r="BO29" i="1"/>
  <c r="BN29" i="1"/>
  <c r="BM29" i="1"/>
  <c r="BL29" i="1"/>
  <c r="BK29" i="1"/>
  <c r="BJ29" i="1"/>
  <c r="BI29" i="1"/>
  <c r="BH29" i="1"/>
  <c r="BG29" i="1"/>
  <c r="BF29" i="1"/>
  <c r="BE29" i="1"/>
  <c r="BD29" i="1"/>
  <c r="BC29" i="1"/>
  <c r="BB29" i="1"/>
  <c r="BA29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BQ28" i="1"/>
  <c r="BP28" i="1"/>
  <c r="BO28" i="1"/>
  <c r="BN28" i="1"/>
  <c r="BM28" i="1"/>
  <c r="BL28" i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BQ27" i="1"/>
  <c r="BP27" i="1"/>
  <c r="BO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BQ26" i="1"/>
  <c r="BP26" i="1"/>
  <c r="BO26" i="1"/>
  <c r="BN26" i="1"/>
  <c r="BM26" i="1"/>
  <c r="BL26" i="1"/>
  <c r="BK26" i="1"/>
  <c r="BJ26" i="1"/>
  <c r="BI26" i="1"/>
  <c r="BH26" i="1"/>
  <c r="BG26" i="1"/>
  <c r="BF26" i="1"/>
  <c r="BE26" i="1"/>
  <c r="BD26" i="1"/>
  <c r="BC26" i="1"/>
  <c r="BB26" i="1"/>
  <c r="BA26" i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BQ24" i="1"/>
  <c r="BP24" i="1"/>
  <c r="BO24" i="1"/>
  <c r="BN24" i="1"/>
  <c r="BM24" i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BQ23" i="1"/>
  <c r="BP23" i="1"/>
  <c r="BO23" i="1"/>
  <c r="BN23" i="1"/>
  <c r="BM23" i="1"/>
  <c r="BL23" i="1"/>
  <c r="BK23" i="1"/>
  <c r="BJ23" i="1"/>
  <c r="BI23" i="1"/>
  <c r="BH23" i="1"/>
  <c r="BG23" i="1"/>
  <c r="BF23" i="1"/>
  <c r="BE23" i="1"/>
  <c r="BD23" i="1"/>
  <c r="BC23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BQ22" i="1"/>
  <c r="BP22" i="1"/>
  <c r="BO22" i="1"/>
  <c r="BN22" i="1"/>
  <c r="BM22" i="1"/>
  <c r="BL22" i="1"/>
  <c r="BK22" i="1"/>
  <c r="BJ22" i="1"/>
  <c r="BI22" i="1"/>
  <c r="BH22" i="1"/>
  <c r="BG22" i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BQ21" i="1"/>
  <c r="BP21" i="1"/>
  <c r="BO21" i="1"/>
  <c r="BN21" i="1"/>
  <c r="BM21" i="1"/>
  <c r="BL21" i="1"/>
  <c r="BK21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BQ20" i="1"/>
  <c r="BP20" i="1"/>
  <c r="BO20" i="1"/>
  <c r="BN20" i="1"/>
  <c r="BM20" i="1"/>
  <c r="BL20" i="1"/>
  <c r="BK20" i="1"/>
  <c r="BJ20" i="1"/>
  <c r="BI20" i="1"/>
  <c r="BH20" i="1"/>
  <c r="BG20" i="1"/>
  <c r="BF20" i="1"/>
  <c r="BE20" i="1"/>
  <c r="BD20" i="1"/>
  <c r="BC20" i="1"/>
  <c r="BB20" i="1"/>
  <c r="BA20" i="1"/>
  <c r="AZ20" i="1"/>
  <c r="AY20" i="1"/>
  <c r="AX20" i="1"/>
  <c r="AW20" i="1"/>
  <c r="AV20" i="1"/>
  <c r="AU20" i="1"/>
  <c r="AT20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BQ19" i="1"/>
  <c r="BP19" i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BQ18" i="1"/>
  <c r="BP18" i="1"/>
  <c r="BO18" i="1"/>
  <c r="BN18" i="1"/>
  <c r="BM18" i="1"/>
  <c r="BL18" i="1"/>
  <c r="BK18" i="1"/>
  <c r="BJ18" i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BQ17" i="1"/>
  <c r="BP17" i="1"/>
  <c r="BO17" i="1"/>
  <c r="BN17" i="1"/>
  <c r="BM17" i="1"/>
  <c r="BL17" i="1"/>
  <c r="BK17" i="1"/>
  <c r="BJ17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BQ16" i="1"/>
  <c r="BP16" i="1"/>
  <c r="BO16" i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BQ15" i="1"/>
  <c r="BP15" i="1"/>
  <c r="BO15" i="1"/>
  <c r="BN15" i="1"/>
  <c r="BM15" i="1"/>
  <c r="BL15" i="1"/>
  <c r="BK15" i="1"/>
  <c r="BJ15" i="1"/>
  <c r="BI15" i="1"/>
  <c r="BH15" i="1"/>
  <c r="BG15" i="1"/>
  <c r="BF15" i="1"/>
  <c r="BE15" i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BQ14" i="1"/>
  <c r="BP14" i="1"/>
  <c r="BO14" i="1"/>
  <c r="BN14" i="1"/>
  <c r="BM14" i="1"/>
  <c r="BL14" i="1"/>
  <c r="BK14" i="1"/>
  <c r="BJ14" i="1"/>
  <c r="BI14" i="1"/>
  <c r="BH14" i="1"/>
  <c r="BG14" i="1"/>
  <c r="BF14" i="1"/>
  <c r="BE14" i="1"/>
  <c r="BD14" i="1"/>
  <c r="BC14" i="1"/>
  <c r="BB14" i="1"/>
  <c r="BA14" i="1"/>
  <c r="AZ14" i="1"/>
  <c r="AY14" i="1"/>
  <c r="AX14" i="1"/>
  <c r="AW14" i="1"/>
  <c r="AV14" i="1"/>
  <c r="AU14" i="1"/>
  <c r="AT14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BQ13" i="1"/>
  <c r="BP13" i="1"/>
  <c r="BO13" i="1"/>
  <c r="BN13" i="1"/>
  <c r="BM13" i="1"/>
  <c r="BL13" i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BQ11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BQ5" i="1"/>
  <c r="BP5" i="1"/>
  <c r="BO5" i="1"/>
  <c r="BN5" i="1"/>
  <c r="BM5" i="1"/>
  <c r="BL5" i="1"/>
  <c r="BK5" i="1"/>
  <c r="BJ5" i="1"/>
  <c r="BI5" i="1"/>
  <c r="BH5" i="1"/>
  <c r="BG5" i="1"/>
  <c r="BF5" i="1"/>
  <c r="BE5" i="1"/>
  <c r="BD5" i="1"/>
  <c r="BC5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2" i="1"/>
  <c r="Z46" i="2" l="1"/>
  <c r="AK45" i="2"/>
  <c r="S45" i="2"/>
  <c r="AK47" i="2"/>
  <c r="AE47" i="2"/>
  <c r="Y47" i="2"/>
  <c r="S47" i="2"/>
  <c r="M47" i="2"/>
  <c r="G47" i="2"/>
  <c r="AJ46" i="2"/>
  <c r="AD46" i="2"/>
  <c r="X46" i="2"/>
  <c r="R46" i="2"/>
  <c r="L46" i="2"/>
  <c r="F46" i="2"/>
  <c r="AO45" i="2"/>
  <c r="AI45" i="2"/>
  <c r="AC45" i="2"/>
  <c r="W45" i="2"/>
  <c r="Q45" i="2"/>
  <c r="K45" i="2"/>
  <c r="AN44" i="2"/>
  <c r="AH44" i="2"/>
  <c r="AB44" i="2"/>
  <c r="V44" i="2"/>
  <c r="P44" i="2"/>
  <c r="J44" i="2"/>
  <c r="AK41" i="2"/>
  <c r="AE41" i="2"/>
  <c r="Y41" i="2"/>
  <c r="S41" i="2"/>
  <c r="M41" i="2"/>
  <c r="G41" i="2"/>
  <c r="AJ40" i="2"/>
  <c r="AD40" i="2"/>
  <c r="X40" i="2"/>
  <c r="R40" i="2"/>
  <c r="L40" i="2"/>
  <c r="F40" i="2"/>
  <c r="AO39" i="2"/>
  <c r="AI39" i="2"/>
  <c r="AC39" i="2"/>
  <c r="W39" i="2"/>
  <c r="Q39" i="2"/>
  <c r="K39" i="2"/>
  <c r="AN38" i="2"/>
  <c r="AH38" i="2"/>
  <c r="AB38" i="2"/>
  <c r="V38" i="2"/>
  <c r="P38" i="2"/>
  <c r="J38" i="2"/>
  <c r="AJ35" i="2"/>
  <c r="AC35" i="2"/>
  <c r="V35" i="2"/>
  <c r="O35" i="2"/>
  <c r="F35" i="2"/>
  <c r="AO34" i="2"/>
  <c r="AG34" i="2"/>
  <c r="W34" i="2"/>
  <c r="O34" i="2"/>
  <c r="AM33" i="2"/>
  <c r="AE33" i="2"/>
  <c r="U33" i="2"/>
  <c r="K32" i="2"/>
  <c r="Q32" i="2"/>
  <c r="W32" i="2"/>
  <c r="AC32" i="2"/>
  <c r="AI32" i="2"/>
  <c r="AO32" i="2"/>
  <c r="J32" i="2"/>
  <c r="P32" i="2"/>
  <c r="V32" i="2"/>
  <c r="AB32" i="2"/>
  <c r="AH32" i="2"/>
  <c r="AN32" i="2"/>
  <c r="AH29" i="2"/>
  <c r="X29" i="2"/>
  <c r="P29" i="2"/>
  <c r="F29" i="2"/>
  <c r="AO28" i="2"/>
  <c r="AG28" i="2"/>
  <c r="W28" i="2"/>
  <c r="O28" i="2"/>
  <c r="AM27" i="2"/>
  <c r="AE27" i="2"/>
  <c r="U27" i="2"/>
  <c r="K26" i="2"/>
  <c r="Q26" i="2"/>
  <c r="W26" i="2"/>
  <c r="AC26" i="2"/>
  <c r="AI26" i="2"/>
  <c r="AO26" i="2"/>
  <c r="J26" i="2"/>
  <c r="P26" i="2"/>
  <c r="V26" i="2"/>
  <c r="AB26" i="2"/>
  <c r="AH26" i="2"/>
  <c r="AN26" i="2"/>
  <c r="AH23" i="2"/>
  <c r="X23" i="2"/>
  <c r="P23" i="2"/>
  <c r="F23" i="2"/>
  <c r="AN22" i="2"/>
  <c r="AE22" i="2"/>
  <c r="S22" i="2"/>
  <c r="I22" i="2"/>
  <c r="AO17" i="2"/>
  <c r="AF17" i="2"/>
  <c r="T17" i="2"/>
  <c r="J17" i="2"/>
  <c r="K16" i="2"/>
  <c r="Q16" i="2"/>
  <c r="W16" i="2"/>
  <c r="AC16" i="2"/>
  <c r="AI16" i="2"/>
  <c r="AO16" i="2"/>
  <c r="F16" i="2"/>
  <c r="L16" i="2"/>
  <c r="R16" i="2"/>
  <c r="X16" i="2"/>
  <c r="AD16" i="2"/>
  <c r="AJ16" i="2"/>
  <c r="G16" i="2"/>
  <c r="O16" i="2"/>
  <c r="Y16" i="2"/>
  <c r="AG16" i="2"/>
  <c r="N16" i="2"/>
  <c r="V16" i="2"/>
  <c r="AF16" i="2"/>
  <c r="AN16" i="2"/>
  <c r="AF15" i="2"/>
  <c r="R15" i="2"/>
  <c r="F15" i="2"/>
  <c r="AM12" i="2"/>
  <c r="W12" i="2"/>
  <c r="K12" i="2"/>
  <c r="AF11" i="2"/>
  <c r="AK10" i="2"/>
  <c r="U10" i="2"/>
  <c r="I10" i="2"/>
  <c r="I48" i="2" s="1"/>
  <c r="AA6" i="2"/>
  <c r="AO46" i="2"/>
  <c r="AI46" i="2"/>
  <c r="AC46" i="2"/>
  <c r="W46" i="2"/>
  <c r="Q46" i="2"/>
  <c r="K46" i="2"/>
  <c r="AN45" i="2"/>
  <c r="AH45" i="2"/>
  <c r="AB45" i="2"/>
  <c r="V45" i="2"/>
  <c r="P45" i="2"/>
  <c r="J45" i="2"/>
  <c r="AJ41" i="2"/>
  <c r="AD41" i="2"/>
  <c r="X41" i="2"/>
  <c r="R41" i="2"/>
  <c r="L41" i="2"/>
  <c r="F41" i="2"/>
  <c r="AO40" i="2"/>
  <c r="AI40" i="2"/>
  <c r="AC40" i="2"/>
  <c r="W40" i="2"/>
  <c r="Q40" i="2"/>
  <c r="K40" i="2"/>
  <c r="AN39" i="2"/>
  <c r="AH39" i="2"/>
  <c r="AB39" i="2"/>
  <c r="V39" i="2"/>
  <c r="P39" i="2"/>
  <c r="J39" i="2"/>
  <c r="AI35" i="2"/>
  <c r="AB35" i="2"/>
  <c r="U35" i="2"/>
  <c r="M35" i="2"/>
  <c r="AN34" i="2"/>
  <c r="AF34" i="2"/>
  <c r="V34" i="2"/>
  <c r="F33" i="2"/>
  <c r="L33" i="2"/>
  <c r="R33" i="2"/>
  <c r="X33" i="2"/>
  <c r="AD33" i="2"/>
  <c r="AJ33" i="2"/>
  <c r="K33" i="2"/>
  <c r="Q33" i="2"/>
  <c r="W33" i="2"/>
  <c r="AC33" i="2"/>
  <c r="AI33" i="2"/>
  <c r="AO33" i="2"/>
  <c r="AO29" i="2"/>
  <c r="AG29" i="2"/>
  <c r="W29" i="2"/>
  <c r="O29" i="2"/>
  <c r="AN28" i="2"/>
  <c r="AF28" i="2"/>
  <c r="V28" i="2"/>
  <c r="F27" i="2"/>
  <c r="L27" i="2"/>
  <c r="R27" i="2"/>
  <c r="X27" i="2"/>
  <c r="AD27" i="2"/>
  <c r="AJ27" i="2"/>
  <c r="K27" i="2"/>
  <c r="Q27" i="2"/>
  <c r="W27" i="2"/>
  <c r="AC27" i="2"/>
  <c r="AI27" i="2"/>
  <c r="AO27" i="2"/>
  <c r="AO23" i="2"/>
  <c r="AG23" i="2"/>
  <c r="W23" i="2"/>
  <c r="O23" i="2"/>
  <c r="AM22" i="2"/>
  <c r="AD22" i="2"/>
  <c r="R22" i="2"/>
  <c r="H22" i="2"/>
  <c r="AN17" i="2"/>
  <c r="AB17" i="2"/>
  <c r="S17" i="2"/>
  <c r="AA15" i="2"/>
  <c r="O15" i="2"/>
  <c r="AH12" i="2"/>
  <c r="V12" i="2"/>
  <c r="F12" i="2"/>
  <c r="F11" i="2"/>
  <c r="L11" i="2"/>
  <c r="R11" i="2"/>
  <c r="X11" i="2"/>
  <c r="AD11" i="2"/>
  <c r="AJ11" i="2"/>
  <c r="G11" i="2"/>
  <c r="M11" i="2"/>
  <c r="S11" i="2"/>
  <c r="Y11" i="2"/>
  <c r="AE11" i="2"/>
  <c r="AK11" i="2"/>
  <c r="I11" i="2"/>
  <c r="Q11" i="2"/>
  <c r="AA11" i="2"/>
  <c r="AI11" i="2"/>
  <c r="H11" i="2"/>
  <c r="P11" i="2"/>
  <c r="Z11" i="2"/>
  <c r="Z48" i="2" s="1"/>
  <c r="AH11" i="2"/>
  <c r="AH10" i="2"/>
  <c r="T10" i="2"/>
  <c r="H10" i="2"/>
  <c r="AN46" i="2"/>
  <c r="AH46" i="2"/>
  <c r="AB46" i="2"/>
  <c r="V46" i="2"/>
  <c r="P46" i="2"/>
  <c r="J46" i="2"/>
  <c r="K41" i="2"/>
  <c r="AN40" i="2"/>
  <c r="AH40" i="2"/>
  <c r="AB40" i="2"/>
  <c r="V40" i="2"/>
  <c r="P40" i="2"/>
  <c r="J40" i="2"/>
  <c r="AO35" i="2"/>
  <c r="AH35" i="2"/>
  <c r="AA35" i="2"/>
  <c r="S35" i="2"/>
  <c r="G34" i="2"/>
  <c r="M34" i="2"/>
  <c r="S34" i="2"/>
  <c r="Y34" i="2"/>
  <c r="AE34" i="2"/>
  <c r="AK34" i="2"/>
  <c r="F34" i="2"/>
  <c r="L34" i="2"/>
  <c r="R34" i="2"/>
  <c r="X34" i="2"/>
  <c r="AD34" i="2"/>
  <c r="AJ34" i="2"/>
  <c r="AN29" i="2"/>
  <c r="AD29" i="2"/>
  <c r="V29" i="2"/>
  <c r="G28" i="2"/>
  <c r="M28" i="2"/>
  <c r="S28" i="2"/>
  <c r="Y28" i="2"/>
  <c r="AE28" i="2"/>
  <c r="AK28" i="2"/>
  <c r="F28" i="2"/>
  <c r="L28" i="2"/>
  <c r="R28" i="2"/>
  <c r="X28" i="2"/>
  <c r="AD28" i="2"/>
  <c r="AJ28" i="2"/>
  <c r="AN23" i="2"/>
  <c r="AD23" i="2"/>
  <c r="V23" i="2"/>
  <c r="AL22" i="2"/>
  <c r="Z22" i="2"/>
  <c r="P22" i="2"/>
  <c r="AM17" i="2"/>
  <c r="AA17" i="2"/>
  <c r="Z15" i="2"/>
  <c r="AG12" i="2"/>
  <c r="U12" i="2"/>
  <c r="AE10" i="2"/>
  <c r="S10" i="2"/>
  <c r="H35" i="2"/>
  <c r="N35" i="2"/>
  <c r="T35" i="2"/>
  <c r="Z35" i="2"/>
  <c r="AF35" i="2"/>
  <c r="AL35" i="2"/>
  <c r="G35" i="2"/>
  <c r="H29" i="2"/>
  <c r="N29" i="2"/>
  <c r="T29" i="2"/>
  <c r="Z29" i="2"/>
  <c r="AF29" i="2"/>
  <c r="AL29" i="2"/>
  <c r="G29" i="2"/>
  <c r="M29" i="2"/>
  <c r="S29" i="2"/>
  <c r="Y29" i="2"/>
  <c r="AE29" i="2"/>
  <c r="AK29" i="2"/>
  <c r="H23" i="2"/>
  <c r="N23" i="2"/>
  <c r="T23" i="2"/>
  <c r="Z23" i="2"/>
  <c r="AF23" i="2"/>
  <c r="AL23" i="2"/>
  <c r="G23" i="2"/>
  <c r="M23" i="2"/>
  <c r="S23" i="2"/>
  <c r="Y23" i="2"/>
  <c r="AE23" i="2"/>
  <c r="AK23" i="2"/>
  <c r="AK22" i="2"/>
  <c r="Y22" i="2"/>
  <c r="F17" i="2"/>
  <c r="L17" i="2"/>
  <c r="R17" i="2"/>
  <c r="X17" i="2"/>
  <c r="AD17" i="2"/>
  <c r="AJ17" i="2"/>
  <c r="G17" i="2"/>
  <c r="I17" i="2"/>
  <c r="P17" i="2"/>
  <c r="W17" i="2"/>
  <c r="AE17" i="2"/>
  <c r="AL17" i="2"/>
  <c r="H17" i="2"/>
  <c r="O17" i="2"/>
  <c r="V17" i="2"/>
  <c r="AC17" i="2"/>
  <c r="AK17" i="2"/>
  <c r="J15" i="2"/>
  <c r="P15" i="2"/>
  <c r="V15" i="2"/>
  <c r="AB15" i="2"/>
  <c r="AH15" i="2"/>
  <c r="AN15" i="2"/>
  <c r="K15" i="2"/>
  <c r="Q15" i="2"/>
  <c r="W15" i="2"/>
  <c r="AC15" i="2"/>
  <c r="AI15" i="2"/>
  <c r="AO15" i="2"/>
  <c r="M15" i="2"/>
  <c r="U15" i="2"/>
  <c r="AE15" i="2"/>
  <c r="AM15" i="2"/>
  <c r="L15" i="2"/>
  <c r="T15" i="2"/>
  <c r="AD15" i="2"/>
  <c r="AL15" i="2"/>
  <c r="AD12" i="2"/>
  <c r="AB10" i="2"/>
  <c r="I47" i="2"/>
  <c r="AL46" i="2"/>
  <c r="T46" i="2"/>
  <c r="Y45" i="2"/>
  <c r="G45" i="2"/>
  <c r="L44" i="2"/>
  <c r="AL40" i="2"/>
  <c r="AM35" i="2"/>
  <c r="AE35" i="2"/>
  <c r="X35" i="2"/>
  <c r="Q35" i="2"/>
  <c r="J35" i="2"/>
  <c r="K22" i="2"/>
  <c r="Q22" i="2"/>
  <c r="W22" i="2"/>
  <c r="AC22" i="2"/>
  <c r="AI22" i="2"/>
  <c r="AO22" i="2"/>
  <c r="G22" i="2"/>
  <c r="N22" i="2"/>
  <c r="U22" i="2"/>
  <c r="AB22" i="2"/>
  <c r="AJ22" i="2"/>
  <c r="F22" i="2"/>
  <c r="M22" i="2"/>
  <c r="T22" i="2"/>
  <c r="AA22" i="2"/>
  <c r="AH22" i="2"/>
  <c r="G12" i="2"/>
  <c r="M12" i="2"/>
  <c r="S12" i="2"/>
  <c r="Y12" i="2"/>
  <c r="AE12" i="2"/>
  <c r="AK12" i="2"/>
  <c r="H12" i="2"/>
  <c r="N12" i="2"/>
  <c r="T12" i="2"/>
  <c r="Z12" i="2"/>
  <c r="AF12" i="2"/>
  <c r="AL12" i="2"/>
  <c r="J12" i="2"/>
  <c r="R12" i="2"/>
  <c r="AB12" i="2"/>
  <c r="AJ12" i="2"/>
  <c r="I12" i="2"/>
  <c r="Q12" i="2"/>
  <c r="AA12" i="2"/>
  <c r="AI12" i="2"/>
  <c r="K10" i="2"/>
  <c r="Q10" i="2"/>
  <c r="W10" i="2"/>
  <c r="AC10" i="2"/>
  <c r="AI10" i="2"/>
  <c r="AO10" i="2"/>
  <c r="F10" i="2"/>
  <c r="L10" i="2"/>
  <c r="R10" i="2"/>
  <c r="X10" i="2"/>
  <c r="AD10" i="2"/>
  <c r="AJ10" i="2"/>
  <c r="G10" i="2"/>
  <c r="O10" i="2"/>
  <c r="Y10" i="2"/>
  <c r="AG10" i="2"/>
  <c r="N10" i="2"/>
  <c r="V10" i="2"/>
  <c r="AF10" i="2"/>
  <c r="AN10" i="2"/>
  <c r="G6" i="2"/>
  <c r="M6" i="2"/>
  <c r="S6" i="2"/>
  <c r="S48" i="2" s="1"/>
  <c r="Y6" i="2"/>
  <c r="AE6" i="2"/>
  <c r="AK6" i="2"/>
  <c r="H6" i="2"/>
  <c r="N6" i="2"/>
  <c r="N48" i="2" s="1"/>
  <c r="T6" i="2"/>
  <c r="T48" i="2" s="1"/>
  <c r="Z6" i="2"/>
  <c r="AF6" i="2"/>
  <c r="AF48" i="2" s="1"/>
  <c r="AL6" i="2"/>
  <c r="AL48" i="2" s="1"/>
  <c r="J6" i="2"/>
  <c r="P6" i="2"/>
  <c r="V6" i="2"/>
  <c r="AB6" i="2"/>
  <c r="AH6" i="2"/>
  <c r="AN6" i="2"/>
  <c r="K6" i="2"/>
  <c r="Q6" i="2"/>
  <c r="W6" i="2"/>
  <c r="W48" i="2" s="1"/>
  <c r="AC6" i="2"/>
  <c r="AI6" i="2"/>
  <c r="AO6" i="2"/>
  <c r="F6" i="2"/>
  <c r="L6" i="2"/>
  <c r="R6" i="2"/>
  <c r="X6" i="2"/>
  <c r="AD6" i="2"/>
  <c r="AJ6" i="2"/>
  <c r="U6" i="2"/>
  <c r="O6" i="2"/>
  <c r="AF46" i="2"/>
  <c r="N46" i="2"/>
  <c r="H46" i="2"/>
  <c r="AE45" i="2"/>
  <c r="M45" i="2"/>
  <c r="AD44" i="2"/>
  <c r="R44" i="2"/>
  <c r="F44" i="2"/>
  <c r="AF40" i="2"/>
  <c r="Z40" i="2"/>
  <c r="T40" i="2"/>
  <c r="N40" i="2"/>
  <c r="H40" i="2"/>
  <c r="AL47" i="2"/>
  <c r="AF47" i="2"/>
  <c r="Z47" i="2"/>
  <c r="T47" i="2"/>
  <c r="N47" i="2"/>
  <c r="AK46" i="2"/>
  <c r="AE46" i="2"/>
  <c r="Y46" i="2"/>
  <c r="S46" i="2"/>
  <c r="M46" i="2"/>
  <c r="AJ45" i="2"/>
  <c r="AD45" i="2"/>
  <c r="X45" i="2"/>
  <c r="R45" i="2"/>
  <c r="L45" i="2"/>
  <c r="AO44" i="2"/>
  <c r="AI44" i="2"/>
  <c r="AC44" i="2"/>
  <c r="W44" i="2"/>
  <c r="Q44" i="2"/>
  <c r="AN43" i="2"/>
  <c r="AH43" i="2"/>
  <c r="AB43" i="2"/>
  <c r="V43" i="2"/>
  <c r="P43" i="2"/>
  <c r="AL41" i="2"/>
  <c r="AF41" i="2"/>
  <c r="Z41" i="2"/>
  <c r="T41" i="2"/>
  <c r="N41" i="2"/>
  <c r="AK40" i="2"/>
  <c r="AE40" i="2"/>
  <c r="Y40" i="2"/>
  <c r="S40" i="2"/>
  <c r="M40" i="2"/>
  <c r="AJ39" i="2"/>
  <c r="AD39" i="2"/>
  <c r="X39" i="2"/>
  <c r="R39" i="2"/>
  <c r="L39" i="2"/>
  <c r="AO38" i="2"/>
  <c r="AI38" i="2"/>
  <c r="AC38" i="2"/>
  <c r="W38" i="2"/>
  <c r="Q38" i="2"/>
  <c r="AN37" i="2"/>
  <c r="AH37" i="2"/>
  <c r="AB37" i="2"/>
  <c r="V37" i="2"/>
  <c r="P37" i="2"/>
  <c r="AK35" i="2"/>
  <c r="AD35" i="2"/>
  <c r="W35" i="2"/>
  <c r="P35" i="2"/>
  <c r="I35" i="2"/>
  <c r="AH34" i="2"/>
  <c r="Z34" i="2"/>
  <c r="P34" i="2"/>
  <c r="H34" i="2"/>
  <c r="AN33" i="2"/>
  <c r="AF33" i="2"/>
  <c r="V33" i="2"/>
  <c r="N33" i="2"/>
  <c r="AL32" i="2"/>
  <c r="AD32" i="2"/>
  <c r="T32" i="2"/>
  <c r="L32" i="2"/>
  <c r="AI29" i="2"/>
  <c r="AA29" i="2"/>
  <c r="Q29" i="2"/>
  <c r="I29" i="2"/>
  <c r="AH28" i="2"/>
  <c r="Z28" i="2"/>
  <c r="P28" i="2"/>
  <c r="H28" i="2"/>
  <c r="AN27" i="2"/>
  <c r="AF27" i="2"/>
  <c r="V27" i="2"/>
  <c r="N27" i="2"/>
  <c r="AL26" i="2"/>
  <c r="AD26" i="2"/>
  <c r="T26" i="2"/>
  <c r="L26" i="2"/>
  <c r="AI23" i="2"/>
  <c r="AA23" i="2"/>
  <c r="Q23" i="2"/>
  <c r="I23" i="2"/>
  <c r="AF22" i="2"/>
  <c r="V22" i="2"/>
  <c r="J22" i="2"/>
  <c r="J21" i="2"/>
  <c r="P21" i="2"/>
  <c r="V21" i="2"/>
  <c r="AB21" i="2"/>
  <c r="AH21" i="2"/>
  <c r="AN21" i="2"/>
  <c r="F21" i="2"/>
  <c r="M21" i="2"/>
  <c r="T21" i="2"/>
  <c r="AA21" i="2"/>
  <c r="AI21" i="2"/>
  <c r="L21" i="2"/>
  <c r="S21" i="2"/>
  <c r="Z21" i="2"/>
  <c r="AG21" i="2"/>
  <c r="AO21" i="2"/>
  <c r="AG17" i="2"/>
  <c r="U17" i="2"/>
  <c r="K17" i="2"/>
  <c r="AB16" i="2"/>
  <c r="P16" i="2"/>
  <c r="AG15" i="2"/>
  <c r="S15" i="2"/>
  <c r="G15" i="2"/>
  <c r="AN12" i="2"/>
  <c r="X12" i="2"/>
  <c r="L12" i="2"/>
  <c r="AG11" i="2"/>
  <c r="U11" i="2"/>
  <c r="AL10" i="2"/>
  <c r="Z10" i="2"/>
  <c r="J10" i="2"/>
  <c r="AG6" i="2"/>
  <c r="H19" i="2"/>
  <c r="N19" i="2"/>
  <c r="T19" i="2"/>
  <c r="Z19" i="2"/>
  <c r="AF19" i="2"/>
  <c r="AL19" i="2"/>
  <c r="AN31" i="2"/>
  <c r="AH31" i="2"/>
  <c r="AB31" i="2"/>
  <c r="V31" i="2"/>
  <c r="P31" i="2"/>
  <c r="AN25" i="2"/>
  <c r="AH25" i="2"/>
  <c r="AB25" i="2"/>
  <c r="V25" i="2"/>
  <c r="P25" i="2"/>
  <c r="AN19" i="2"/>
  <c r="AG19" i="2"/>
  <c r="Y19" i="2"/>
  <c r="R19" i="2"/>
  <c r="K19" i="2"/>
  <c r="G18" i="2"/>
  <c r="M18" i="2"/>
  <c r="S18" i="2"/>
  <c r="Y18" i="2"/>
  <c r="AE18" i="2"/>
  <c r="AK18" i="2"/>
  <c r="AO9" i="2"/>
  <c r="AI9" i="2"/>
  <c r="AC9" i="2"/>
  <c r="W9" i="2"/>
  <c r="Q9" i="2"/>
  <c r="K9" i="2"/>
  <c r="AL13" i="2"/>
  <c r="AF13" i="2"/>
  <c r="Z13" i="2"/>
  <c r="T13" i="2"/>
  <c r="N13" i="2"/>
  <c r="AN9" i="2"/>
  <c r="AH9" i="2"/>
  <c r="AB9" i="2"/>
  <c r="V9" i="2"/>
  <c r="P9" i="2"/>
  <c r="AL7" i="2"/>
  <c r="AF7" i="2"/>
  <c r="Z7" i="2"/>
  <c r="T7" i="2"/>
  <c r="N7" i="2"/>
  <c r="AD48" i="2" l="1"/>
  <c r="AI48" i="2"/>
  <c r="AH48" i="2"/>
  <c r="AE48" i="2"/>
  <c r="X48" i="2"/>
  <c r="AC48" i="2"/>
  <c r="AB48" i="2"/>
  <c r="Y48" i="2"/>
  <c r="Q48" i="2"/>
  <c r="AA48" i="2"/>
  <c r="O48" i="2"/>
  <c r="F48" i="2"/>
  <c r="G48" i="2"/>
  <c r="AM48" i="2"/>
  <c r="R48" i="2"/>
  <c r="V48" i="2"/>
  <c r="L48" i="2"/>
  <c r="P48" i="2"/>
  <c r="M48" i="2"/>
  <c r="U48" i="2"/>
  <c r="K48" i="2"/>
  <c r="J48" i="2"/>
  <c r="H48" i="2"/>
  <c r="AG48" i="2"/>
  <c r="AJ48" i="2"/>
  <c r="AO48" i="2"/>
  <c r="AN48" i="2"/>
  <c r="AK48" i="2"/>
</calcChain>
</file>

<file path=xl/sharedStrings.xml><?xml version="1.0" encoding="utf-8"?>
<sst xmlns="http://schemas.openxmlformats.org/spreadsheetml/2006/main" count="265" uniqueCount="117">
  <si>
    <t>DATA SALES ON AUGUST</t>
  </si>
  <si>
    <t>TOTAL DATE</t>
  </si>
  <si>
    <t>TO DATE</t>
  </si>
  <si>
    <t>TIME GONE</t>
  </si>
  <si>
    <t>TARGET JULY</t>
  </si>
  <si>
    <t>ACHIEVEMENT</t>
  </si>
  <si>
    <t>ESTIMASI ACHIEVEMENT</t>
  </si>
  <si>
    <t>DAILY TARGET</t>
  </si>
  <si>
    <t>IQOO</t>
  </si>
  <si>
    <t>GROWTH</t>
  </si>
  <si>
    <t>VAS</t>
  </si>
  <si>
    <t>ACC</t>
  </si>
  <si>
    <t>QOALA</t>
  </si>
  <si>
    <t>BCA INSURANCE</t>
  </si>
  <si>
    <t>INDOSAT</t>
  </si>
  <si>
    <t>TELKOMSEL</t>
  </si>
  <si>
    <t>NO</t>
  </si>
  <si>
    <t>AREA</t>
  </si>
  <si>
    <t>ID Store</t>
  </si>
  <si>
    <t>NAMA TOKO</t>
  </si>
  <si>
    <t>Headstore</t>
  </si>
  <si>
    <t>JML PC</t>
  </si>
  <si>
    <t>ALL TYPE</t>
  </si>
  <si>
    <t>ESTIMATE</t>
  </si>
  <si>
    <t>3MIO+</t>
  </si>
  <si>
    <t>VALUE</t>
  </si>
  <si>
    <t>ASP</t>
  </si>
  <si>
    <t>TARGET
ACC</t>
  </si>
  <si>
    <t>ACH</t>
  </si>
  <si>
    <t>%</t>
  </si>
  <si>
    <t>TARGET
QOALA</t>
  </si>
  <si>
    <t>TARGET
BCA INS</t>
  </si>
  <si>
    <t>TARGET
INDOSAT</t>
  </si>
  <si>
    <t>TARGET
TELKOM</t>
  </si>
  <si>
    <t>GAP</t>
  </si>
  <si>
    <t>Y31 &amp; Y500</t>
  </si>
  <si>
    <t>3MIO+
IN ALL TYPE</t>
  </si>
  <si>
    <t>JULY</t>
  </si>
  <si>
    <t>AUGUST</t>
  </si>
  <si>
    <t>JU</t>
  </si>
  <si>
    <t>601 雅加达西北 JKT BU</t>
  </si>
  <si>
    <t>6010708-MVS SHOWROOM CENTRAL PARK</t>
  </si>
  <si>
    <t>NANDI FEBRIANA</t>
  </si>
  <si>
    <t>6010701-MVS ROXY SHOWROOM 21</t>
  </si>
  <si>
    <t>ANGGARIA</t>
  </si>
  <si>
    <t>6010702-ME ROXY PAMERAN TIMUR</t>
  </si>
  <si>
    <t>6010703-VIVO STORE WINSHOP</t>
  </si>
  <si>
    <t>NUR IRAWATI</t>
  </si>
  <si>
    <t>A100303-PAMERAN UTARA</t>
  </si>
  <si>
    <t>A100304-PAMERAN SELATAN</t>
  </si>
  <si>
    <t>6020711-vivostore emporium</t>
  </si>
  <si>
    <t>M KHOIRUDIN</t>
  </si>
  <si>
    <t>6010711-LIPPO MALL PURI 1FK02</t>
  </si>
  <si>
    <t>HERRU ILYASA</t>
  </si>
  <si>
    <t>6020706-MVS CEMPAKA SHOWROOM 2 (454)</t>
  </si>
  <si>
    <t>NOVIA HARYANTI</t>
  </si>
  <si>
    <t>6020704-MVS CEMPAKA SHOWROOM 14 (8TOKO)</t>
  </si>
  <si>
    <t>604 雅加达东南 JKT TS</t>
  </si>
  <si>
    <t>A200402-ITC-VIVO STORE 1</t>
  </si>
  <si>
    <t>Erlangga Pradita</t>
  </si>
  <si>
    <t>6080712-MVS ITC DEPOK VIVO STORE 2</t>
  </si>
  <si>
    <t>6040702-TRAN STUDIO MALL 2F059</t>
  </si>
  <si>
    <t>6040703-SAWANGAN 1F1-0320</t>
  </si>
  <si>
    <t>605 勿加泗 BEKASI</t>
  </si>
  <si>
    <t>6050701-MVS X6 DS0824</t>
  </si>
  <si>
    <t>M RIZKI</t>
  </si>
  <si>
    <t>6220701-MVS MBH-VIP VIVO STORE-DD284</t>
  </si>
  <si>
    <t>6050705-MBH 2F009</t>
  </si>
  <si>
    <t>6050706-AEON MALL DELTAMAS 1F081</t>
  </si>
  <si>
    <t>618 茂物 BOGOR</t>
  </si>
  <si>
    <t>6180706-MVS MALL CCM</t>
  </si>
  <si>
    <t>DANDI SURYA</t>
  </si>
  <si>
    <t>6180707-SC BTM</t>
  </si>
  <si>
    <t>624-万丹BANTEN</t>
  </si>
  <si>
    <t>6170707-LG BLOK D NO. 01D SKY 7</t>
  </si>
  <si>
    <t>ARIES FITRIYANTO</t>
  </si>
  <si>
    <t>A200902-LG BLOK B NO. 01B SKY M3</t>
  </si>
  <si>
    <t>6240704-TANGCITY LG017 WEST LOBBY</t>
  </si>
  <si>
    <t>A200803-LG BLOK A-B NO. 12 SKY 5</t>
  </si>
  <si>
    <t>DHANI EKO NUGROHO</t>
  </si>
  <si>
    <t>A200802-CHARLES</t>
  </si>
  <si>
    <t>6240703-TANGCITY LG009 CENTER</t>
  </si>
  <si>
    <t>6170703-4004 MVS-BNT-CCM STORE</t>
  </si>
  <si>
    <t>DWI IRAWAN ( PIC )</t>
  </si>
  <si>
    <t>6240705-CIPUTRA 2FC15</t>
  </si>
  <si>
    <t>6240709-ITC BSD 1F49-50</t>
  </si>
  <si>
    <t>6240708-ITC BSD 1F09-14</t>
  </si>
  <si>
    <t>6240707-SUPERMALL UGN3A</t>
  </si>
  <si>
    <t>ADE RIVALDI L</t>
  </si>
  <si>
    <t>6240706-SUPERMALL LGC3A</t>
  </si>
  <si>
    <t>619-万隆市区BDG KOTA</t>
  </si>
  <si>
    <t>6190701-VIVO STORE UG</t>
  </si>
  <si>
    <t>EKO PURWANTO</t>
  </si>
  <si>
    <t>A300102-VIVO STORE 4 BEC</t>
  </si>
  <si>
    <t>A300105-VIVO STORE LG F20</t>
  </si>
  <si>
    <t>A300201-VIVO STORE 1 BEC</t>
  </si>
  <si>
    <t>NENG TOTOH</t>
  </si>
  <si>
    <t>A300202-VIVO STORE LU</t>
  </si>
  <si>
    <t>6190708-BEC SC LGAA07</t>
  </si>
  <si>
    <t>615-中爪哇东SOLO</t>
  </si>
  <si>
    <t>6150702-GRANMALL SC GF-11</t>
  </si>
  <si>
    <t>BIRILYAN KUSWARA</t>
  </si>
  <si>
    <t>中爪哇西 - Purwokerto</t>
  </si>
  <si>
    <t>6130702-RITA SUPERMALL SF36-37</t>
  </si>
  <si>
    <t>FRISKA FAJAR</t>
  </si>
  <si>
    <t>614 三宝垄 Semarang</t>
  </si>
  <si>
    <t>6100702-VS Jogja City Mall</t>
  </si>
  <si>
    <t>6140706-23 SEMARANG MALL 1F065-66</t>
  </si>
  <si>
    <t>VICKY DINDA INEZ</t>
  </si>
  <si>
    <t>6140705-QUEENCITY 2F027</t>
  </si>
  <si>
    <t>EDI SUSANTO</t>
  </si>
  <si>
    <t>TOTAL</t>
  </si>
  <si>
    <t>Value</t>
  </si>
  <si>
    <t>Qty</t>
  </si>
  <si>
    <t>HEADSTORE</t>
  </si>
  <si>
    <t>ID STORE</t>
  </si>
  <si>
    <t>SALES QTY &amp; VALUE PER TYPE (RUPIAH) - LINKED FROM 'SALES PERTYPE' PIVOT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</si>
</sst>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8" formatCode="[$-13809]dd\ mmmm\ yyyy;@"/>
    <numFmt numFmtId="169" formatCode="0_ "/>
    <numFmt numFmtId="170" formatCode="#,##0.0_);[Red]\(#,##0.0\)"/>
    <numFmt numFmtId="171" formatCode="#,##0;\(#,##0\);\-"/>
  </numFmts>
  <fonts count="16" x14ac:knownFonts="1">
    <font>
      <sz val="12"/>
      <color theme="1"/>
      <name val="Aptos Narrow"/>
      <charset val="134"/>
      <scheme val="minor"/>
    </font>
    <font>
      <b/>
      <sz val="11"/>
      <color theme="0"/>
      <name val="Aptos Narrow"/>
      <scheme val="minor"/>
    </font>
    <font>
      <b/>
      <sz val="10"/>
      <color rgb="FFFFFFFF"/>
      <name val="Aptos Narrow"/>
      <scheme val="minor"/>
    </font>
    <font>
      <b/>
      <sz val="9"/>
      <color rgb="FFFFFFFF"/>
      <name val="Aptos Narrow"/>
      <scheme val="minor"/>
    </font>
    <font>
      <b/>
      <sz val="9"/>
      <color rgb="FF000000"/>
      <name val="Aptos Narrow"/>
      <scheme val="minor"/>
    </font>
    <font>
      <b/>
      <sz val="11"/>
      <color theme="1"/>
      <name val="Aptos Narrow"/>
      <scheme val="minor"/>
    </font>
    <font>
      <b/>
      <sz val="11"/>
      <name val="Aptos Narrow"/>
      <scheme val="minor"/>
    </font>
    <font>
      <b/>
      <sz val="11"/>
      <color theme="1"/>
      <name val="Calibri"/>
      <family val="2"/>
    </font>
    <font>
      <b/>
      <sz val="10"/>
      <color rgb="FFFFFFFF"/>
      <name val="Arial"/>
      <family val="2"/>
    </font>
    <font>
      <sz val="12"/>
      <color theme="1"/>
      <name val="Aptos Narrow"/>
      <scheme val="minor"/>
    </font>
    <font>
      <sz val="10"/>
      <name val="Arial"/>
      <family val="2"/>
    </font>
    <font>
      <b/>
      <sz val="10"/>
      <name val="Arial"/>
      <family val="2"/>
    </font>
    <font>
      <sz val="10"/>
      <color rgb="FF000000"/>
      <name val="Arial"/>
      <family val="2"/>
    </font>
    <font>
      <b/>
      <sz val="9"/>
      <color rgb="FF000000"/>
      <name val="Arial"/>
      <family val="2"/>
    </font>
    <font>
      <b/>
      <sz val="10"/>
      <color rgb="FF000000"/>
      <name val="Arial"/>
      <family val="2"/>
    </font>
    <font>
      <b/>
      <sz val="12"/>
      <color rgb="FFFFFFFF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44062"/>
        <bgColor indexed="64"/>
      </patternFill>
    </fill>
    <fill>
      <patternFill patternType="solid">
        <fgColor rgb="FFDCE6F1"/>
        <bgColor indexed="64"/>
      </patternFill>
    </fill>
  </fills>
  <borders count="43">
    <border>
      <left/>
      <right/>
      <top/>
      <bottom/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/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/>
      <right/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/>
      <top style="thin">
        <color rgb="FFD9D9D9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/>
      <top style="thin">
        <color rgb="FFD9D9D9"/>
      </top>
      <bottom/>
      <diagonal/>
    </border>
    <border>
      <left style="medium">
        <color rgb="FF808080"/>
      </left>
      <right style="thin">
        <color rgb="FFECECEC"/>
      </right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404040"/>
      </right>
      <top style="thin">
        <color rgb="FFD9D9D9"/>
      </top>
      <bottom/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/>
      <top style="thin">
        <color rgb="FFD9D9D9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/>
      <right/>
      <top style="thin">
        <color rgb="FFD9D9D9"/>
      </top>
      <bottom style="medium">
        <color rgb="FF404040"/>
      </bottom>
      <diagonal/>
    </border>
    <border>
      <left/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/>
      <top/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/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/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/>
      <right/>
      <top style="medium">
        <color rgb="FF404040"/>
      </top>
      <bottom style="medium">
        <color rgb="FF404040"/>
      </bottom>
      <diagonal/>
    </border>
    <border>
      <left/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medium">
        <color rgb="FF404040"/>
      </bottom>
      <diagonal/>
    </border>
  </borders>
  <cellStyleXfs count="3">
    <xf numFmtId="0" fontId="0" fillId="0" borderId="0"/>
    <xf numFmtId="9" fontId="9" fillId="0" borderId="0" applyFont="0" applyFill="0" applyBorder="0" applyAlignment="0" applyProtection="0"/>
    <xf numFmtId="0" fontId="10" fillId="0" borderId="0"/>
  </cellStyleXfs>
  <cellXfs count="191">
    <xf numFmtId="0" fontId="0" fillId="0" borderId="0" xfId="0"/>
    <xf numFmtId="0" fontId="1" fillId="2" borderId="2" xfId="0" applyFont="1" applyFill="1" applyBorder="1" applyAlignment="1">
      <alignment horizontal="right" vertical="center"/>
    </xf>
    <xf numFmtId="0" fontId="1" fillId="2" borderId="3" xfId="0" applyFont="1" applyFill="1" applyBorder="1" applyAlignment="1">
      <alignment vertical="center"/>
    </xf>
    <xf numFmtId="0" fontId="1" fillId="2" borderId="9" xfId="0" applyFont="1" applyFill="1" applyBorder="1" applyAlignment="1">
      <alignment horizontal="right" vertical="center" wrapText="1"/>
    </xf>
    <xf numFmtId="9" fontId="1" fillId="2" borderId="10" xfId="1" applyFont="1" applyFill="1" applyBorder="1" applyAlignment="1">
      <alignment vertical="center" wrapText="1"/>
    </xf>
    <xf numFmtId="0" fontId="4" fillId="5" borderId="25" xfId="0" applyFont="1" applyFill="1" applyBorder="1" applyAlignment="1">
      <alignment horizontal="center" vertical="center" wrapText="1"/>
    </xf>
    <xf numFmtId="0" fontId="4" fillId="5" borderId="26" xfId="0" applyFont="1" applyFill="1" applyBorder="1" applyAlignment="1">
      <alignment horizontal="center" vertical="center" wrapText="1"/>
    </xf>
    <xf numFmtId="0" fontId="4" fillId="6" borderId="25" xfId="0" applyFont="1" applyFill="1" applyBorder="1" applyAlignment="1">
      <alignment horizontal="center" vertical="center" wrapText="1"/>
    </xf>
    <xf numFmtId="0" fontId="4" fillId="6" borderId="27" xfId="0" applyFont="1" applyFill="1" applyBorder="1" applyAlignment="1">
      <alignment horizontal="center" vertical="center" wrapText="1"/>
    </xf>
    <xf numFmtId="0" fontId="4" fillId="6" borderId="23" xfId="0" applyFont="1" applyFill="1" applyBorder="1" applyAlignment="1">
      <alignment horizontal="center" vertical="center" wrapText="1"/>
    </xf>
    <xf numFmtId="0" fontId="4" fillId="6" borderId="24" xfId="0" applyFont="1" applyFill="1" applyBorder="1" applyAlignment="1">
      <alignment horizontal="center" vertical="center" wrapText="1"/>
    </xf>
    <xf numFmtId="0" fontId="4" fillId="7" borderId="25" xfId="0" applyFont="1" applyFill="1" applyBorder="1" applyAlignment="1">
      <alignment horizontal="center" vertical="center" wrapText="1"/>
    </xf>
    <xf numFmtId="0" fontId="4" fillId="7" borderId="27" xfId="0" applyFont="1" applyFill="1" applyBorder="1" applyAlignment="1">
      <alignment horizontal="center" vertical="center" wrapText="1"/>
    </xf>
    <xf numFmtId="9" fontId="4" fillId="7" borderId="23" xfId="1" applyFont="1" applyFill="1" applyBorder="1" applyAlignment="1">
      <alignment horizontal="center" vertical="center" wrapText="1"/>
    </xf>
    <xf numFmtId="9" fontId="4" fillId="7" borderId="24" xfId="1" applyFont="1" applyFill="1" applyBorder="1" applyAlignment="1">
      <alignment horizontal="center" vertical="center" wrapText="1"/>
    </xf>
    <xf numFmtId="9" fontId="4" fillId="8" borderId="25" xfId="1" applyFont="1" applyFill="1" applyBorder="1" applyAlignment="1">
      <alignment horizontal="center" vertical="center" wrapText="1"/>
    </xf>
    <xf numFmtId="9" fontId="4" fillId="8" borderId="26" xfId="1" applyFont="1" applyFill="1" applyBorder="1" applyAlignment="1">
      <alignment horizontal="center" vertical="center" wrapText="1"/>
    </xf>
    <xf numFmtId="9" fontId="4" fillId="9" borderId="25" xfId="1" applyFont="1" applyFill="1" applyBorder="1" applyAlignment="1">
      <alignment horizontal="center" vertical="center" wrapText="1"/>
    </xf>
    <xf numFmtId="9" fontId="4" fillId="9" borderId="27" xfId="1" applyFont="1" applyFill="1" applyBorder="1" applyAlignment="1">
      <alignment horizontal="center" vertical="center" wrapText="1"/>
    </xf>
    <xf numFmtId="9" fontId="4" fillId="9" borderId="23" xfId="1" applyFont="1" applyFill="1" applyBorder="1" applyAlignment="1">
      <alignment horizontal="center" vertical="center" wrapText="1"/>
    </xf>
    <xf numFmtId="9" fontId="4" fillId="9" borderId="24" xfId="1" applyFont="1" applyFill="1" applyBorder="1" applyAlignment="1">
      <alignment horizontal="center" vertical="center" wrapText="1"/>
    </xf>
    <xf numFmtId="0" fontId="4" fillId="10" borderId="25" xfId="0" applyFont="1" applyFill="1" applyBorder="1" applyAlignment="1">
      <alignment horizontal="center" vertical="center" wrapText="1"/>
    </xf>
    <xf numFmtId="0" fontId="4" fillId="10" borderId="27" xfId="0" applyFont="1" applyFill="1" applyBorder="1" applyAlignment="1">
      <alignment horizontal="center" vertical="center" wrapText="1"/>
    </xf>
    <xf numFmtId="0" fontId="4" fillId="10" borderId="23" xfId="0" applyFont="1" applyFill="1" applyBorder="1" applyAlignment="1">
      <alignment horizontal="center" vertical="center" wrapText="1"/>
    </xf>
    <xf numFmtId="0" fontId="4" fillId="10" borderId="24" xfId="0" applyFont="1" applyFill="1" applyBorder="1" applyAlignment="1">
      <alignment horizontal="center" vertical="center" wrapText="1"/>
    </xf>
    <xf numFmtId="0" fontId="5" fillId="0" borderId="29" xfId="0" applyFont="1" applyBorder="1" applyAlignment="1">
      <alignment horizontal="center" vertical="center"/>
    </xf>
    <xf numFmtId="0" fontId="5" fillId="0" borderId="30" xfId="0" applyFont="1" applyBorder="1" applyAlignment="1">
      <alignment vertical="center"/>
    </xf>
    <xf numFmtId="0" fontId="5" fillId="0" borderId="30" xfId="0" applyFont="1" applyBorder="1" applyAlignment="1">
      <alignment horizontal="center" vertical="center"/>
    </xf>
    <xf numFmtId="0" fontId="6" fillId="0" borderId="30" xfId="0" applyFont="1" applyBorder="1"/>
    <xf numFmtId="168" fontId="7" fillId="12" borderId="30" xfId="0" applyNumberFormat="1" applyFont="1" applyFill="1" applyBorder="1" applyAlignment="1">
      <alignment horizontal="left" vertical="center"/>
    </xf>
    <xf numFmtId="0" fontId="5" fillId="0" borderId="31" xfId="0" applyFont="1" applyBorder="1" applyAlignment="1">
      <alignment horizontal="center" vertical="center"/>
    </xf>
    <xf numFmtId="1" fontId="6" fillId="0" borderId="32" xfId="0" applyNumberFormat="1" applyFont="1" applyBorder="1" applyAlignment="1">
      <alignment horizontal="center" vertical="center"/>
    </xf>
    <xf numFmtId="3" fontId="6" fillId="0" borderId="33" xfId="1" applyNumberFormat="1" applyFont="1" applyBorder="1" applyAlignment="1">
      <alignment horizontal="center" vertical="center"/>
    </xf>
    <xf numFmtId="9" fontId="6" fillId="0" borderId="34" xfId="1" applyFont="1" applyFill="1" applyBorder="1" applyAlignment="1">
      <alignment horizontal="center" vertical="center"/>
    </xf>
    <xf numFmtId="1" fontId="6" fillId="0" borderId="30" xfId="0" applyNumberFormat="1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9" fontId="6" fillId="0" borderId="30" xfId="1" applyFont="1" applyFill="1" applyBorder="1" applyAlignment="1">
      <alignment horizontal="center" vertical="center"/>
    </xf>
    <xf numFmtId="1" fontId="6" fillId="0" borderId="30" xfId="1" applyNumberFormat="1" applyFont="1" applyFill="1" applyBorder="1" applyAlignment="1">
      <alignment horizontal="center" vertical="center"/>
    </xf>
    <xf numFmtId="3" fontId="6" fillId="0" borderId="30" xfId="1" applyNumberFormat="1" applyFont="1" applyFill="1" applyBorder="1" applyAlignment="1">
      <alignment horizontal="center" vertical="center"/>
    </xf>
    <xf numFmtId="3" fontId="6" fillId="0" borderId="31" xfId="1" applyNumberFormat="1" applyFont="1" applyFill="1" applyBorder="1" applyAlignment="1">
      <alignment horizontal="center" vertical="center"/>
    </xf>
    <xf numFmtId="169" fontId="6" fillId="0" borderId="32" xfId="0" applyNumberFormat="1" applyFont="1" applyBorder="1" applyAlignment="1">
      <alignment horizontal="center" vertical="center"/>
    </xf>
    <xf numFmtId="9" fontId="5" fillId="0" borderId="34" xfId="1" applyFont="1" applyFill="1" applyBorder="1" applyAlignment="1">
      <alignment horizontal="center" vertical="center"/>
    </xf>
    <xf numFmtId="1" fontId="5" fillId="0" borderId="30" xfId="1" applyNumberFormat="1" applyFont="1" applyFill="1" applyBorder="1" applyAlignment="1">
      <alignment horizontal="center" vertical="center"/>
    </xf>
    <xf numFmtId="3" fontId="5" fillId="0" borderId="30" xfId="1" applyNumberFormat="1" applyFont="1" applyFill="1" applyBorder="1" applyAlignment="1">
      <alignment horizontal="center" vertical="center"/>
    </xf>
    <xf numFmtId="9" fontId="5" fillId="0" borderId="31" xfId="1" applyFont="1" applyFill="1" applyBorder="1" applyAlignment="1">
      <alignment horizontal="center" vertical="center"/>
    </xf>
    <xf numFmtId="170" fontId="6" fillId="0" borderId="32" xfId="1" applyNumberFormat="1" applyFont="1" applyFill="1" applyBorder="1" applyAlignment="1">
      <alignment horizontal="center" vertical="center"/>
    </xf>
    <xf numFmtId="3" fontId="6" fillId="0" borderId="33" xfId="0" applyNumberFormat="1" applyFont="1" applyBorder="1" applyAlignment="1">
      <alignment horizontal="center" vertical="center"/>
    </xf>
    <xf numFmtId="1" fontId="6" fillId="0" borderId="34" xfId="1" applyNumberFormat="1" applyFont="1" applyFill="1" applyBorder="1" applyAlignment="1">
      <alignment horizontal="center" vertical="center"/>
    </xf>
    <xf numFmtId="9" fontId="6" fillId="0" borderId="31" xfId="1" applyFont="1" applyFill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1" fontId="6" fillId="0" borderId="34" xfId="0" applyNumberFormat="1" applyFont="1" applyBorder="1" applyAlignment="1">
      <alignment horizontal="center" vertical="center"/>
    </xf>
    <xf numFmtId="3" fontId="6" fillId="0" borderId="30" xfId="0" applyNumberFormat="1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3" fontId="6" fillId="0" borderId="30" xfId="1" applyNumberFormat="1" applyFont="1" applyBorder="1" applyAlignment="1">
      <alignment horizontal="center" vertical="center"/>
    </xf>
    <xf numFmtId="9" fontId="6" fillId="0" borderId="35" xfId="1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6" fillId="0" borderId="9" xfId="0" applyFont="1" applyBorder="1"/>
    <xf numFmtId="0" fontId="5" fillId="0" borderId="9" xfId="0" applyFont="1" applyBorder="1" applyAlignment="1">
      <alignment vertical="center"/>
    </xf>
    <xf numFmtId="0" fontId="5" fillId="12" borderId="9" xfId="0" applyFont="1" applyFill="1" applyBorder="1" applyAlignment="1">
      <alignment horizontal="left" vertical="center"/>
    </xf>
    <xf numFmtId="0" fontId="5" fillId="0" borderId="10" xfId="0" applyFont="1" applyBorder="1" applyAlignment="1">
      <alignment horizontal="center" vertical="center"/>
    </xf>
    <xf numFmtId="1" fontId="6" fillId="0" borderId="11" xfId="0" applyNumberFormat="1" applyFont="1" applyBorder="1" applyAlignment="1">
      <alignment horizontal="center" vertical="center"/>
    </xf>
    <xf numFmtId="3" fontId="6" fillId="0" borderId="12" xfId="1" applyNumberFormat="1" applyFont="1" applyBorder="1" applyAlignment="1">
      <alignment horizontal="center" vertical="center"/>
    </xf>
    <xf numFmtId="9" fontId="6" fillId="0" borderId="13" xfId="1" applyFont="1" applyFill="1" applyBorder="1" applyAlignment="1">
      <alignment horizontal="center" vertical="center"/>
    </xf>
    <xf numFmtId="1" fontId="6" fillId="0" borderId="9" xfId="0" applyNumberFormat="1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9" fontId="6" fillId="0" borderId="9" xfId="1" applyFont="1" applyFill="1" applyBorder="1" applyAlignment="1">
      <alignment horizontal="center" vertical="center"/>
    </xf>
    <xf numFmtId="1" fontId="6" fillId="0" borderId="9" xfId="1" applyNumberFormat="1" applyFont="1" applyFill="1" applyBorder="1" applyAlignment="1">
      <alignment horizontal="center" vertical="center"/>
    </xf>
    <xf numFmtId="3" fontId="6" fillId="0" borderId="9" xfId="1" applyNumberFormat="1" applyFont="1" applyFill="1" applyBorder="1" applyAlignment="1">
      <alignment horizontal="center" vertical="center"/>
    </xf>
    <xf numFmtId="3" fontId="6" fillId="0" borderId="10" xfId="1" applyNumberFormat="1" applyFont="1" applyFill="1" applyBorder="1" applyAlignment="1">
      <alignment horizontal="center" vertical="center"/>
    </xf>
    <xf numFmtId="169" fontId="6" fillId="0" borderId="11" xfId="0" applyNumberFormat="1" applyFont="1" applyBorder="1" applyAlignment="1">
      <alignment horizontal="center" vertical="center"/>
    </xf>
    <xf numFmtId="9" fontId="5" fillId="0" borderId="13" xfId="1" applyFont="1" applyFill="1" applyBorder="1" applyAlignment="1">
      <alignment horizontal="center" vertical="center"/>
    </xf>
    <xf numFmtId="1" fontId="5" fillId="0" borderId="9" xfId="1" applyNumberFormat="1" applyFont="1" applyFill="1" applyBorder="1" applyAlignment="1">
      <alignment horizontal="center" vertical="center"/>
    </xf>
    <xf numFmtId="3" fontId="5" fillId="0" borderId="9" xfId="1" applyNumberFormat="1" applyFont="1" applyFill="1" applyBorder="1" applyAlignment="1">
      <alignment horizontal="center" vertical="center"/>
    </xf>
    <xf numFmtId="9" fontId="5" fillId="0" borderId="10" xfId="1" applyFont="1" applyFill="1" applyBorder="1" applyAlignment="1">
      <alignment horizontal="center" vertical="center"/>
    </xf>
    <xf numFmtId="170" fontId="6" fillId="0" borderId="11" xfId="1" applyNumberFormat="1" applyFont="1" applyFill="1" applyBorder="1" applyAlignment="1">
      <alignment horizontal="center" vertical="center"/>
    </xf>
    <xf numFmtId="3" fontId="6" fillId="0" borderId="12" xfId="0" applyNumberFormat="1" applyFont="1" applyBorder="1" applyAlignment="1">
      <alignment horizontal="center" vertical="center"/>
    </xf>
    <xf numFmtId="1" fontId="6" fillId="0" borderId="13" xfId="1" applyNumberFormat="1" applyFont="1" applyFill="1" applyBorder="1" applyAlignment="1">
      <alignment horizontal="center" vertical="center"/>
    </xf>
    <xf numFmtId="9" fontId="6" fillId="0" borderId="10" xfId="1" applyFont="1" applyFill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1" fontId="6" fillId="0" borderId="13" xfId="0" applyNumberFormat="1" applyFont="1" applyBorder="1" applyAlignment="1">
      <alignment horizontal="center" vertical="center"/>
    </xf>
    <xf numFmtId="3" fontId="6" fillId="0" borderId="9" xfId="0" applyNumberFormat="1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3" fontId="6" fillId="0" borderId="9" xfId="1" applyNumberFormat="1" applyFont="1" applyBorder="1" applyAlignment="1">
      <alignment horizontal="center" vertical="center"/>
    </xf>
    <xf numFmtId="9" fontId="6" fillId="0" borderId="14" xfId="1" applyFont="1" applyFill="1" applyBorder="1" applyAlignment="1">
      <alignment horizontal="center" vertical="center"/>
    </xf>
    <xf numFmtId="0" fontId="5" fillId="0" borderId="9" xfId="0" applyFont="1" applyBorder="1" applyAlignment="1">
      <alignment horizontal="left" vertical="center"/>
    </xf>
    <xf numFmtId="0" fontId="6" fillId="0" borderId="9" xfId="0" applyFont="1" applyBorder="1" applyAlignment="1">
      <alignment horizontal="left" vertical="center"/>
    </xf>
    <xf numFmtId="0" fontId="5" fillId="0" borderId="15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6" fillId="0" borderId="16" xfId="0" applyFont="1" applyBorder="1"/>
    <xf numFmtId="0" fontId="5" fillId="0" borderId="16" xfId="0" applyFont="1" applyBorder="1" applyAlignment="1">
      <alignment vertical="center"/>
    </xf>
    <xf numFmtId="0" fontId="5" fillId="0" borderId="16" xfId="0" applyFont="1" applyBorder="1" applyAlignment="1">
      <alignment horizontal="left" vertical="center"/>
    </xf>
    <xf numFmtId="0" fontId="5" fillId="0" borderId="17" xfId="0" applyFont="1" applyBorder="1" applyAlignment="1">
      <alignment horizontal="center" vertical="center"/>
    </xf>
    <xf numFmtId="1" fontId="6" fillId="0" borderId="18" xfId="0" applyNumberFormat="1" applyFont="1" applyBorder="1" applyAlignment="1">
      <alignment horizontal="center" vertical="center"/>
    </xf>
    <xf numFmtId="3" fontId="6" fillId="0" borderId="19" xfId="1" applyNumberFormat="1" applyFont="1" applyBorder="1" applyAlignment="1">
      <alignment horizontal="center" vertical="center"/>
    </xf>
    <xf numFmtId="9" fontId="6" fillId="0" borderId="20" xfId="1" applyFont="1" applyFill="1" applyBorder="1" applyAlignment="1">
      <alignment horizontal="center" vertical="center"/>
    </xf>
    <xf numFmtId="1" fontId="6" fillId="0" borderId="16" xfId="0" applyNumberFormat="1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9" fontId="6" fillId="0" borderId="16" xfId="1" applyFont="1" applyFill="1" applyBorder="1" applyAlignment="1">
      <alignment horizontal="center" vertical="center"/>
    </xf>
    <xf numFmtId="1" fontId="6" fillId="0" borderId="16" xfId="1" applyNumberFormat="1" applyFont="1" applyFill="1" applyBorder="1" applyAlignment="1">
      <alignment horizontal="center" vertical="center"/>
    </xf>
    <xf numFmtId="3" fontId="6" fillId="0" borderId="16" xfId="1" applyNumberFormat="1" applyFont="1" applyFill="1" applyBorder="1" applyAlignment="1">
      <alignment horizontal="center" vertical="center"/>
    </xf>
    <xf numFmtId="3" fontId="6" fillId="0" borderId="17" xfId="1" applyNumberFormat="1" applyFont="1" applyFill="1" applyBorder="1" applyAlignment="1">
      <alignment horizontal="center" vertical="center"/>
    </xf>
    <xf numFmtId="169" fontId="6" fillId="0" borderId="18" xfId="0" applyNumberFormat="1" applyFont="1" applyBorder="1" applyAlignment="1">
      <alignment horizontal="center" vertical="center"/>
    </xf>
    <xf numFmtId="9" fontId="5" fillId="0" borderId="20" xfId="1" applyFont="1" applyFill="1" applyBorder="1" applyAlignment="1">
      <alignment horizontal="center" vertical="center"/>
    </xf>
    <xf numFmtId="1" fontId="5" fillId="0" borderId="16" xfId="1" applyNumberFormat="1" applyFont="1" applyFill="1" applyBorder="1" applyAlignment="1">
      <alignment horizontal="center" vertical="center"/>
    </xf>
    <xf numFmtId="3" fontId="5" fillId="0" borderId="16" xfId="1" applyNumberFormat="1" applyFont="1" applyFill="1" applyBorder="1" applyAlignment="1">
      <alignment horizontal="center" vertical="center"/>
    </xf>
    <xf numFmtId="9" fontId="5" fillId="0" borderId="17" xfId="1" applyFont="1" applyFill="1" applyBorder="1" applyAlignment="1">
      <alignment horizontal="center" vertical="center"/>
    </xf>
    <xf numFmtId="170" fontId="6" fillId="0" borderId="18" xfId="1" applyNumberFormat="1" applyFont="1" applyFill="1" applyBorder="1" applyAlignment="1">
      <alignment horizontal="center" vertical="center"/>
    </xf>
    <xf numFmtId="3" fontId="6" fillId="0" borderId="19" xfId="0" applyNumberFormat="1" applyFont="1" applyBorder="1" applyAlignment="1">
      <alignment horizontal="center" vertical="center"/>
    </xf>
    <xf numFmtId="1" fontId="6" fillId="0" borderId="20" xfId="1" applyNumberFormat="1" applyFont="1" applyFill="1" applyBorder="1" applyAlignment="1">
      <alignment horizontal="center" vertical="center"/>
    </xf>
    <xf numFmtId="9" fontId="6" fillId="0" borderId="17" xfId="1" applyFont="1" applyFill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1" fontId="6" fillId="0" borderId="20" xfId="0" applyNumberFormat="1" applyFont="1" applyBorder="1" applyAlignment="1">
      <alignment horizontal="center" vertical="center"/>
    </xf>
    <xf numFmtId="3" fontId="6" fillId="0" borderId="16" xfId="0" applyNumberFormat="1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3" fontId="6" fillId="0" borderId="16" xfId="1" applyNumberFormat="1" applyFont="1" applyBorder="1" applyAlignment="1">
      <alignment horizontal="center" vertical="center"/>
    </xf>
    <xf numFmtId="9" fontId="6" fillId="0" borderId="21" xfId="1" applyFont="1" applyFill="1" applyBorder="1" applyAlignment="1">
      <alignment horizontal="center" vertical="center"/>
    </xf>
    <xf numFmtId="0" fontId="8" fillId="4" borderId="37" xfId="0" applyFont="1" applyFill="1" applyBorder="1" applyAlignment="1">
      <alignment horizontal="center"/>
    </xf>
    <xf numFmtId="0" fontId="8" fillId="4" borderId="38" xfId="0" applyFont="1" applyFill="1" applyBorder="1" applyAlignment="1">
      <alignment horizontal="center"/>
    </xf>
    <xf numFmtId="1" fontId="8" fillId="4" borderId="39" xfId="0" applyNumberFormat="1" applyFont="1" applyFill="1" applyBorder="1" applyAlignment="1">
      <alignment horizontal="center"/>
    </xf>
    <xf numFmtId="3" fontId="8" fillId="4" borderId="40" xfId="0" applyNumberFormat="1" applyFont="1" applyFill="1" applyBorder="1" applyAlignment="1">
      <alignment horizontal="center"/>
    </xf>
    <xf numFmtId="9" fontId="8" fillId="4" borderId="41" xfId="0" applyNumberFormat="1" applyFont="1" applyFill="1" applyBorder="1" applyAlignment="1">
      <alignment horizontal="center"/>
    </xf>
    <xf numFmtId="1" fontId="8" fillId="4" borderId="37" xfId="0" applyNumberFormat="1" applyFont="1" applyFill="1" applyBorder="1" applyAlignment="1">
      <alignment horizontal="center"/>
    </xf>
    <xf numFmtId="9" fontId="8" fillId="4" borderId="37" xfId="0" applyNumberFormat="1" applyFont="1" applyFill="1" applyBorder="1" applyAlignment="1">
      <alignment horizontal="center"/>
    </xf>
    <xf numFmtId="3" fontId="8" fillId="4" borderId="37" xfId="0" applyNumberFormat="1" applyFont="1" applyFill="1" applyBorder="1" applyAlignment="1">
      <alignment horizontal="center"/>
    </xf>
    <xf numFmtId="3" fontId="8" fillId="4" borderId="38" xfId="0" applyNumberFormat="1" applyFont="1" applyFill="1" applyBorder="1" applyAlignment="1">
      <alignment horizontal="center"/>
    </xf>
    <xf numFmtId="169" fontId="8" fillId="4" borderId="39" xfId="0" applyNumberFormat="1" applyFont="1" applyFill="1" applyBorder="1" applyAlignment="1">
      <alignment horizontal="center"/>
    </xf>
    <xf numFmtId="9" fontId="8" fillId="4" borderId="38" xfId="0" applyNumberFormat="1" applyFont="1" applyFill="1" applyBorder="1" applyAlignment="1">
      <alignment horizontal="center"/>
    </xf>
    <xf numFmtId="170" fontId="8" fillId="4" borderId="39" xfId="0" applyNumberFormat="1" applyFont="1" applyFill="1" applyBorder="1" applyAlignment="1">
      <alignment horizontal="center"/>
    </xf>
    <xf numFmtId="1" fontId="8" fillId="4" borderId="41" xfId="0" applyNumberFormat="1" applyFont="1" applyFill="1" applyBorder="1" applyAlignment="1">
      <alignment horizontal="center"/>
    </xf>
    <xf numFmtId="0" fontId="8" fillId="4" borderId="39" xfId="0" applyFont="1" applyFill="1" applyBorder="1" applyAlignment="1">
      <alignment horizontal="center"/>
    </xf>
    <xf numFmtId="0" fontId="8" fillId="4" borderId="41" xfId="0" applyFont="1" applyFill="1" applyBorder="1" applyAlignment="1">
      <alignment horizontal="center"/>
    </xf>
    <xf numFmtId="9" fontId="8" fillId="4" borderId="42" xfId="0" applyNumberFormat="1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2" fillId="4" borderId="11" xfId="0" applyFont="1" applyFill="1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2" fillId="4" borderId="14" xfId="0" applyFont="1" applyFill="1" applyBorder="1" applyAlignment="1">
      <alignment horizontal="center" vertical="center" wrapText="1"/>
    </xf>
    <xf numFmtId="0" fontId="2" fillId="3" borderId="18" xfId="0" applyFont="1" applyFill="1" applyBorder="1" applyAlignment="1">
      <alignment horizontal="center" vertical="center" wrapText="1"/>
    </xf>
    <xf numFmtId="0" fontId="2" fillId="3" borderId="20" xfId="0" applyFont="1" applyFill="1" applyBorder="1" applyAlignment="1">
      <alignment horizontal="center" vertical="center" wrapText="1"/>
    </xf>
    <xf numFmtId="0" fontId="2" fillId="3" borderId="16" xfId="0" applyFont="1" applyFill="1" applyBorder="1" applyAlignment="1">
      <alignment horizontal="center" vertical="center" wrapText="1"/>
    </xf>
    <xf numFmtId="0" fontId="2" fillId="3" borderId="17" xfId="0" applyFont="1" applyFill="1" applyBorder="1" applyAlignment="1">
      <alignment horizontal="center" vertical="center" wrapText="1"/>
    </xf>
    <xf numFmtId="0" fontId="8" fillId="4" borderId="36" xfId="0" applyFont="1" applyFill="1" applyBorder="1" applyAlignment="1">
      <alignment horizontal="left" indent="1"/>
    </xf>
    <xf numFmtId="0" fontId="8" fillId="4" borderId="37" xfId="0" applyFont="1" applyFill="1" applyBorder="1" applyAlignment="1">
      <alignment horizontal="center"/>
    </xf>
    <xf numFmtId="0" fontId="3" fillId="3" borderId="15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vertical="center"/>
    </xf>
    <xf numFmtId="0" fontId="3" fillId="3" borderId="17" xfId="0" applyFont="1" applyFill="1" applyBorder="1" applyAlignment="1">
      <alignment horizontal="center" vertical="center"/>
    </xf>
    <xf numFmtId="0" fontId="3" fillId="3" borderId="24" xfId="0" applyFont="1" applyFill="1" applyBorder="1" applyAlignment="1">
      <alignment horizontal="center" vertical="center"/>
    </xf>
    <xf numFmtId="0" fontId="4" fillId="11" borderId="25" xfId="0" applyFont="1" applyFill="1" applyBorder="1" applyAlignment="1">
      <alignment horizontal="center" vertical="center" wrapText="1"/>
    </xf>
    <xf numFmtId="0" fontId="4" fillId="11" borderId="27" xfId="0" applyFont="1" applyFill="1" applyBorder="1" applyAlignment="1">
      <alignment horizontal="center" vertical="center" wrapText="1"/>
    </xf>
    <xf numFmtId="0" fontId="4" fillId="11" borderId="23" xfId="0" applyFont="1" applyFill="1" applyBorder="1" applyAlignment="1">
      <alignment horizontal="center" vertical="center" wrapText="1"/>
    </xf>
    <xf numFmtId="0" fontId="2" fillId="3" borderId="21" xfId="0" applyFont="1" applyFill="1" applyBorder="1" applyAlignment="1">
      <alignment horizontal="center" vertical="center" wrapText="1"/>
    </xf>
    <xf numFmtId="0" fontId="4" fillId="11" borderId="28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0" fontId="2" fillId="3" borderId="12" xfId="0" applyFont="1" applyFill="1" applyBorder="1" applyAlignment="1">
      <alignment horizontal="center" vertical="center" wrapText="1"/>
    </xf>
    <xf numFmtId="0" fontId="2" fillId="3" borderId="19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3" borderId="13" xfId="0" applyFont="1" applyFill="1" applyBorder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10" xfId="0" applyFont="1" applyFill="1" applyBorder="1" applyAlignment="1">
      <alignment horizontal="center" vertical="center" wrapText="1"/>
    </xf>
    <xf numFmtId="0" fontId="10" fillId="0" borderId="0" xfId="2"/>
    <xf numFmtId="171" fontId="11" fillId="14" borderId="0" xfId="2" applyNumberFormat="1" applyFont="1" applyFill="1"/>
    <xf numFmtId="0" fontId="11" fillId="14" borderId="0" xfId="2" applyFont="1" applyFill="1"/>
    <xf numFmtId="171" fontId="12" fillId="0" borderId="0" xfId="2" applyNumberFormat="1" applyFont="1"/>
    <xf numFmtId="0" fontId="12" fillId="0" borderId="0" xfId="2" applyFont="1"/>
    <xf numFmtId="0" fontId="12" fillId="0" borderId="0" xfId="2" applyFont="1" applyAlignment="1">
      <alignment horizontal="center"/>
    </xf>
    <xf numFmtId="171" fontId="12" fillId="13" borderId="0" xfId="2" applyNumberFormat="1" applyFont="1" applyFill="1"/>
    <xf numFmtId="0" fontId="12" fillId="13" borderId="0" xfId="2" applyFont="1" applyFill="1"/>
    <xf numFmtId="0" fontId="12" fillId="13" borderId="0" xfId="2" applyFont="1" applyFill="1" applyAlignment="1">
      <alignment horizontal="center"/>
    </xf>
    <xf numFmtId="0" fontId="8" fillId="15" borderId="0" xfId="2" applyFont="1" applyFill="1" applyAlignment="1">
      <alignment horizontal="center"/>
    </xf>
    <xf numFmtId="0" fontId="13" fillId="16" borderId="0" xfId="2" applyFont="1" applyFill="1" applyAlignment="1">
      <alignment horizontal="center"/>
    </xf>
    <xf numFmtId="0" fontId="8" fillId="3" borderId="0" xfId="2" applyFont="1" applyFill="1" applyAlignment="1">
      <alignment horizontal="center"/>
    </xf>
    <xf numFmtId="0" fontId="8" fillId="15" borderId="0" xfId="2" applyFont="1" applyFill="1" applyAlignment="1">
      <alignment horizontal="center"/>
    </xf>
    <xf numFmtId="0" fontId="14" fillId="16" borderId="0" xfId="2" applyFont="1" applyFill="1" applyAlignment="1">
      <alignment horizontal="center"/>
    </xf>
    <xf numFmtId="0" fontId="15" fillId="15" borderId="0" xfId="2" applyFont="1" applyFill="1" applyAlignment="1">
      <alignment horizontal="center"/>
    </xf>
  </cellXfs>
  <cellStyles count="3">
    <cellStyle name="Normal" xfId="0" builtinId="0"/>
    <cellStyle name="Normal 2" xfId="2" xr:uid="{E6704B23-7E47-314B-AF2D-F9E9CD13A1DE}"/>
    <cellStyle name="Percent" xfId="1" builtinId="5"/>
  </cellStyles>
  <dxfs count="54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2026-08-06%20Store%20perfomance.xlsx" TargetMode="External"/><Relationship Id="rId1" Type="http://schemas.openxmlformats.org/officeDocument/2006/relationships/externalLinkPath" Target="/Users/michael/Desktop/2026-08-06%20Store%20perfomance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01%20Sales%20&amp;%20Performance/2026-08-06%20Store%20perfomance.xlsx" TargetMode="External"/><Relationship Id="rId2" Type="http://schemas.openxmlformats.org/officeDocument/2006/relationships/externalLinkPath" Target="/Users/michael/Desktop/01%20Sales%20&amp;%20Performance/2026-08-06%20Store%20perfomance.xlsx" TargetMode="External"/><Relationship Id="rId1" Type="http://schemas.openxmlformats.org/officeDocument/2006/relationships/externalLinkPath" Target="/Users/michael/Desktop/01%20Sales%20&amp;%20Performance/2026-08-06%20Store%20perfom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DASHBOARD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kpi store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5">
          <cell r="A5" t="str">
            <v>Sum of SRP</v>
          </cell>
        </row>
      </sheetData>
      <sheetData sheetId="16"/>
      <sheetData sheetId="17">
        <row r="5">
          <cell r="A5" t="str">
            <v>Sum of Qty</v>
          </cell>
        </row>
      </sheetData>
      <sheetData sheetId="18">
        <row r="5">
          <cell r="A5" t="str">
            <v>Sum of Qty</v>
          </cell>
        </row>
      </sheetData>
      <sheetData sheetId="19"/>
      <sheetData sheetId="20"/>
      <sheetData sheetId="21">
        <row r="6">
          <cell r="A6" t="str">
            <v>Sum of Qty</v>
          </cell>
        </row>
      </sheetData>
      <sheetData sheetId="22"/>
      <sheetData sheetId="23"/>
      <sheetData sheetId="24"/>
      <sheetData sheetId="25"/>
      <sheetData sheetId="26"/>
      <sheetData sheetId="27"/>
      <sheetData sheetId="28"/>
      <sheetData sheetId="29">
        <row r="2">
          <cell r="E2" t="str">
            <v>DEVICE</v>
          </cell>
          <cell r="I2" t="str">
            <v>3MIO+</v>
          </cell>
          <cell r="M2" t="str">
            <v>VALUE</v>
          </cell>
          <cell r="Q2" t="str">
            <v>VAS</v>
          </cell>
        </row>
        <row r="3">
          <cell r="C3" t="str">
            <v>ID Store</v>
          </cell>
          <cell r="D3" t="str">
            <v>Store</v>
          </cell>
          <cell r="E3" t="str">
            <v>TARGET
TOKO</v>
          </cell>
          <cell r="F3" t="str">
            <v>TOTAL
PC</v>
          </cell>
          <cell r="G3" t="str">
            <v>/PC</v>
          </cell>
          <cell r="H3" t="str">
            <v>TARGET TOKO
+ 10%</v>
          </cell>
          <cell r="I3" t="str">
            <v>TARGET TOKO</v>
          </cell>
          <cell r="J3" t="str">
            <v>TOTAL
PC</v>
          </cell>
          <cell r="K3" t="str">
            <v>/PC</v>
          </cell>
          <cell r="L3" t="str">
            <v>TARGET TOKO
+ 10%</v>
          </cell>
          <cell r="M3" t="str">
            <v>TARGET TOKO</v>
          </cell>
          <cell r="N3" t="str">
            <v>TOTAL
PC</v>
          </cell>
          <cell r="O3" t="str">
            <v>/PC</v>
          </cell>
          <cell r="P3" t="str">
            <v>TARGET/PC
+ 10%</v>
          </cell>
          <cell r="Q3" t="str">
            <v>ACC</v>
          </cell>
          <cell r="R3" t="str">
            <v>QOALA</v>
          </cell>
          <cell r="S3" t="str">
            <v>BCA
INSURANCE</v>
          </cell>
          <cell r="T3" t="str">
            <v>INDOSAT</v>
          </cell>
          <cell r="U3" t="str">
            <v>TSEL</v>
          </cell>
        </row>
        <row r="5">
          <cell r="C5">
            <v>6010708</v>
          </cell>
          <cell r="D5" t="str">
            <v>6010708-MVS SHOWROOM CENTRAL PARK</v>
          </cell>
          <cell r="E5">
            <v>120</v>
          </cell>
          <cell r="F5">
            <v>3</v>
          </cell>
          <cell r="G5">
            <v>40</v>
          </cell>
          <cell r="I5">
            <v>65</v>
          </cell>
          <cell r="J5">
            <v>3</v>
          </cell>
          <cell r="K5">
            <v>21.6666666666667</v>
          </cell>
          <cell r="M5">
            <v>840000000</v>
          </cell>
          <cell r="N5">
            <v>3</v>
          </cell>
          <cell r="O5">
            <v>280000000</v>
          </cell>
          <cell r="Q5">
            <v>12</v>
          </cell>
          <cell r="R5">
            <v>4200000</v>
          </cell>
          <cell r="S5">
            <v>840000</v>
          </cell>
          <cell r="T5">
            <v>3.6</v>
          </cell>
          <cell r="U5">
            <v>36</v>
          </cell>
        </row>
        <row r="6">
          <cell r="C6">
            <v>6010701</v>
          </cell>
          <cell r="D6" t="str">
            <v>6010701-MVS ROXY SHOWROOM 21</v>
          </cell>
          <cell r="E6">
            <v>260</v>
          </cell>
          <cell r="F6">
            <v>6</v>
          </cell>
          <cell r="G6">
            <v>43.3333333333333</v>
          </cell>
          <cell r="I6">
            <v>130</v>
          </cell>
          <cell r="J6">
            <v>6</v>
          </cell>
          <cell r="K6">
            <v>21.6666666666667</v>
          </cell>
          <cell r="M6">
            <v>962000000</v>
          </cell>
          <cell r="N6">
            <v>6</v>
          </cell>
          <cell r="O6">
            <v>160333333.33333299</v>
          </cell>
          <cell r="Q6">
            <v>26</v>
          </cell>
          <cell r="R6">
            <v>4810000</v>
          </cell>
          <cell r="S6">
            <v>962000</v>
          </cell>
          <cell r="T6">
            <v>7.8</v>
          </cell>
          <cell r="U6">
            <v>78</v>
          </cell>
        </row>
        <row r="7">
          <cell r="C7">
            <v>6010702</v>
          </cell>
          <cell r="D7" t="str">
            <v>6010702-ME ROXY PAMERAN TIMUR</v>
          </cell>
          <cell r="E7">
            <v>260</v>
          </cell>
          <cell r="F7">
            <v>6</v>
          </cell>
          <cell r="G7">
            <v>43.3333333333333</v>
          </cell>
          <cell r="I7">
            <v>130</v>
          </cell>
          <cell r="J7">
            <v>6</v>
          </cell>
          <cell r="K7">
            <v>21.6666666666667</v>
          </cell>
          <cell r="M7">
            <v>962000000</v>
          </cell>
          <cell r="N7">
            <v>6</v>
          </cell>
          <cell r="O7">
            <v>160333333.33333299</v>
          </cell>
          <cell r="Q7">
            <v>26</v>
          </cell>
          <cell r="R7">
            <v>4810000</v>
          </cell>
          <cell r="S7">
            <v>962000</v>
          </cell>
          <cell r="T7">
            <v>7.8</v>
          </cell>
          <cell r="U7">
            <v>78</v>
          </cell>
        </row>
        <row r="8">
          <cell r="C8">
            <v>6010703</v>
          </cell>
          <cell r="D8" t="str">
            <v>6010703-VIVO STORE WINSHOP</v>
          </cell>
          <cell r="E8">
            <v>120</v>
          </cell>
          <cell r="F8">
            <v>3</v>
          </cell>
          <cell r="G8">
            <v>40</v>
          </cell>
          <cell r="I8">
            <v>50</v>
          </cell>
          <cell r="J8">
            <v>3</v>
          </cell>
          <cell r="K8">
            <v>16.6666666666667</v>
          </cell>
          <cell r="M8">
            <v>420000000</v>
          </cell>
          <cell r="N8">
            <v>3</v>
          </cell>
          <cell r="O8">
            <v>140000000</v>
          </cell>
          <cell r="Q8">
            <v>12</v>
          </cell>
          <cell r="R8">
            <v>2100000</v>
          </cell>
          <cell r="S8">
            <v>420000</v>
          </cell>
          <cell r="T8">
            <v>3.6</v>
          </cell>
          <cell r="U8">
            <v>36</v>
          </cell>
        </row>
        <row r="9">
          <cell r="C9">
            <v>6010709</v>
          </cell>
          <cell r="D9" t="str">
            <v>A100303-PAMERAN UTARA</v>
          </cell>
          <cell r="E9">
            <v>320</v>
          </cell>
          <cell r="F9">
            <v>7</v>
          </cell>
          <cell r="G9">
            <v>45.714285714285701</v>
          </cell>
          <cell r="I9">
            <v>135</v>
          </cell>
          <cell r="J9">
            <v>7</v>
          </cell>
          <cell r="K9">
            <v>19.285714285714299</v>
          </cell>
          <cell r="M9">
            <v>1120000000</v>
          </cell>
          <cell r="N9">
            <v>7</v>
          </cell>
          <cell r="O9">
            <v>160000000</v>
          </cell>
          <cell r="Q9">
            <v>32</v>
          </cell>
          <cell r="R9">
            <v>5600000</v>
          </cell>
          <cell r="S9">
            <v>1120000</v>
          </cell>
          <cell r="T9">
            <v>9.6</v>
          </cell>
          <cell r="U9">
            <v>96</v>
          </cell>
        </row>
        <row r="10">
          <cell r="C10">
            <v>6010710</v>
          </cell>
          <cell r="D10" t="str">
            <v>A100304-PAMERAN SELATAN</v>
          </cell>
          <cell r="E10">
            <v>110</v>
          </cell>
          <cell r="F10">
            <v>4</v>
          </cell>
          <cell r="G10">
            <v>27.5</v>
          </cell>
          <cell r="I10">
            <v>55</v>
          </cell>
          <cell r="J10">
            <v>4</v>
          </cell>
          <cell r="K10">
            <v>13.75</v>
          </cell>
          <cell r="M10">
            <v>385000000</v>
          </cell>
          <cell r="N10">
            <v>4</v>
          </cell>
          <cell r="O10">
            <v>96250000</v>
          </cell>
          <cell r="Q10">
            <v>11</v>
          </cell>
          <cell r="R10">
            <v>1925000</v>
          </cell>
          <cell r="S10">
            <v>385000</v>
          </cell>
          <cell r="T10">
            <v>3.3</v>
          </cell>
          <cell r="U10">
            <v>33</v>
          </cell>
        </row>
        <row r="11">
          <cell r="C11">
            <v>6010711</v>
          </cell>
          <cell r="D11" t="str">
            <v>6010711-LIPPO MALL PURI 1FK02</v>
          </cell>
          <cell r="E11">
            <v>50</v>
          </cell>
          <cell r="F11">
            <v>3</v>
          </cell>
          <cell r="G11">
            <v>16.6666666666667</v>
          </cell>
          <cell r="I11">
            <v>0</v>
          </cell>
          <cell r="J11">
            <v>3</v>
          </cell>
          <cell r="K11">
            <v>0</v>
          </cell>
          <cell r="M11">
            <v>350000000</v>
          </cell>
          <cell r="N11">
            <v>3</v>
          </cell>
          <cell r="O11">
            <v>116666666.666667</v>
          </cell>
          <cell r="Q11">
            <v>5</v>
          </cell>
          <cell r="R11">
            <v>1750000</v>
          </cell>
          <cell r="S11">
            <v>350000</v>
          </cell>
          <cell r="T11">
            <v>1.5</v>
          </cell>
          <cell r="U11">
            <v>15</v>
          </cell>
        </row>
        <row r="12">
          <cell r="C12">
            <v>6020711</v>
          </cell>
          <cell r="D12" t="str">
            <v>6020711-vivostore emporium</v>
          </cell>
          <cell r="E12">
            <v>120</v>
          </cell>
          <cell r="F12">
            <v>3</v>
          </cell>
          <cell r="G12">
            <v>40</v>
          </cell>
          <cell r="I12">
            <v>65</v>
          </cell>
          <cell r="J12">
            <v>3</v>
          </cell>
          <cell r="K12">
            <v>21.6666666666667</v>
          </cell>
          <cell r="M12">
            <v>840000000</v>
          </cell>
          <cell r="N12">
            <v>3</v>
          </cell>
          <cell r="O12">
            <v>280000000</v>
          </cell>
          <cell r="Q12">
            <v>12</v>
          </cell>
          <cell r="R12">
            <v>4200000</v>
          </cell>
          <cell r="S12">
            <v>840000</v>
          </cell>
          <cell r="T12">
            <v>3.6</v>
          </cell>
          <cell r="U12">
            <v>36</v>
          </cell>
        </row>
        <row r="13">
          <cell r="C13">
            <v>6020706</v>
          </cell>
          <cell r="D13" t="str">
            <v>6020706-MVS CEMPAKA SHOWROOM 2 (454)</v>
          </cell>
          <cell r="E13">
            <v>100</v>
          </cell>
          <cell r="F13">
            <v>3</v>
          </cell>
          <cell r="G13">
            <v>33.3333333333333</v>
          </cell>
          <cell r="I13">
            <v>50</v>
          </cell>
          <cell r="J13">
            <v>3</v>
          </cell>
          <cell r="K13">
            <v>16.6666666666667</v>
          </cell>
          <cell r="M13">
            <v>430000000</v>
          </cell>
          <cell r="N13">
            <v>3</v>
          </cell>
          <cell r="O13">
            <v>143333333.33333299</v>
          </cell>
          <cell r="Q13">
            <v>10</v>
          </cell>
          <cell r="R13">
            <v>2150000</v>
          </cell>
          <cell r="S13">
            <v>430000</v>
          </cell>
          <cell r="T13">
            <v>3</v>
          </cell>
          <cell r="U13">
            <v>30</v>
          </cell>
        </row>
        <row r="14">
          <cell r="C14">
            <v>6020704</v>
          </cell>
          <cell r="D14" t="str">
            <v>6020704-MVS CEMPAKA SHOWROOM 14 (8TOKO)</v>
          </cell>
          <cell r="E14">
            <v>60</v>
          </cell>
          <cell r="F14">
            <v>3</v>
          </cell>
          <cell r="G14">
            <v>20</v>
          </cell>
          <cell r="I14">
            <v>40</v>
          </cell>
          <cell r="J14">
            <v>3</v>
          </cell>
          <cell r="K14">
            <v>13.3333333333333</v>
          </cell>
          <cell r="M14">
            <v>258000000</v>
          </cell>
          <cell r="N14">
            <v>3</v>
          </cell>
          <cell r="O14">
            <v>86000000</v>
          </cell>
          <cell r="Q14">
            <v>6</v>
          </cell>
          <cell r="R14">
            <v>1290000</v>
          </cell>
          <cell r="S14">
            <v>258000</v>
          </cell>
          <cell r="T14">
            <v>1.8</v>
          </cell>
          <cell r="U14">
            <v>18</v>
          </cell>
        </row>
        <row r="15">
          <cell r="C15">
            <v>6040701</v>
          </cell>
          <cell r="D15" t="str">
            <v>A200402-ITC-VIVO STORE 1</v>
          </cell>
          <cell r="E15">
            <v>50</v>
          </cell>
          <cell r="F15">
            <v>2</v>
          </cell>
          <cell r="G15">
            <v>25</v>
          </cell>
          <cell r="I15">
            <v>29</v>
          </cell>
          <cell r="J15">
            <v>2</v>
          </cell>
          <cell r="K15">
            <v>14.5</v>
          </cell>
          <cell r="M15">
            <v>215000000</v>
          </cell>
          <cell r="N15">
            <v>2</v>
          </cell>
          <cell r="O15">
            <v>107500000</v>
          </cell>
          <cell r="Q15">
            <v>5</v>
          </cell>
          <cell r="R15">
            <v>1075000</v>
          </cell>
          <cell r="S15">
            <v>215000</v>
          </cell>
          <cell r="T15">
            <v>1.5</v>
          </cell>
          <cell r="U15">
            <v>15</v>
          </cell>
        </row>
        <row r="16">
          <cell r="C16">
            <v>6080712</v>
          </cell>
          <cell r="D16" t="str">
            <v>6080712-MVS ITC DEPOK VIVO STORE 2</v>
          </cell>
          <cell r="E16">
            <v>60</v>
          </cell>
          <cell r="F16">
            <v>3</v>
          </cell>
          <cell r="G16">
            <v>20</v>
          </cell>
          <cell r="I16">
            <v>40</v>
          </cell>
          <cell r="J16">
            <v>3</v>
          </cell>
          <cell r="K16">
            <v>13.3333333333333</v>
          </cell>
          <cell r="M16">
            <v>258000000</v>
          </cell>
          <cell r="N16">
            <v>3</v>
          </cell>
          <cell r="O16">
            <v>86000000</v>
          </cell>
          <cell r="Q16">
            <v>6</v>
          </cell>
          <cell r="R16">
            <v>1290000</v>
          </cell>
          <cell r="S16">
            <v>258000</v>
          </cell>
          <cell r="T16">
            <v>1.8</v>
          </cell>
          <cell r="U16">
            <v>18</v>
          </cell>
        </row>
        <row r="17">
          <cell r="C17">
            <v>6040702</v>
          </cell>
          <cell r="D17" t="str">
            <v>6040702-Tran Studio Mall 2F059</v>
          </cell>
          <cell r="E17">
            <v>30</v>
          </cell>
          <cell r="F17">
            <v>2</v>
          </cell>
          <cell r="G17">
            <v>15</v>
          </cell>
          <cell r="I17">
            <v>30</v>
          </cell>
          <cell r="J17">
            <v>3</v>
          </cell>
          <cell r="K17">
            <v>10</v>
          </cell>
          <cell r="M17">
            <v>210000000</v>
          </cell>
          <cell r="N17">
            <v>3</v>
          </cell>
          <cell r="O17">
            <v>70000000</v>
          </cell>
          <cell r="Q17">
            <v>3</v>
          </cell>
          <cell r="R17">
            <v>1050000</v>
          </cell>
          <cell r="S17">
            <v>210000</v>
          </cell>
          <cell r="T17">
            <v>0.9</v>
          </cell>
          <cell r="U17">
            <v>9</v>
          </cell>
        </row>
        <row r="18">
          <cell r="C18">
            <v>6040703</v>
          </cell>
          <cell r="D18" t="str">
            <v>6040703-SAWANGAN 1F1-0320</v>
          </cell>
          <cell r="E18">
            <v>40</v>
          </cell>
          <cell r="F18">
            <v>2</v>
          </cell>
          <cell r="G18">
            <v>20</v>
          </cell>
          <cell r="I18">
            <v>30</v>
          </cell>
          <cell r="J18">
            <v>2</v>
          </cell>
          <cell r="K18">
            <v>15</v>
          </cell>
          <cell r="M18">
            <v>220000000</v>
          </cell>
          <cell r="N18">
            <v>2</v>
          </cell>
          <cell r="O18">
            <v>110000000</v>
          </cell>
          <cell r="Q18">
            <v>4</v>
          </cell>
          <cell r="R18">
            <v>1100000</v>
          </cell>
          <cell r="S18">
            <v>220000</v>
          </cell>
          <cell r="T18">
            <v>1.2</v>
          </cell>
          <cell r="U18">
            <v>12</v>
          </cell>
        </row>
        <row r="19">
          <cell r="C19">
            <v>6050701</v>
          </cell>
          <cell r="D19" t="str">
            <v>6050701-MVS X6 DS0824</v>
          </cell>
          <cell r="E19">
            <v>60</v>
          </cell>
          <cell r="F19">
            <v>2</v>
          </cell>
          <cell r="G19">
            <v>30</v>
          </cell>
          <cell r="I19">
            <v>35</v>
          </cell>
          <cell r="J19">
            <v>2</v>
          </cell>
          <cell r="K19">
            <v>17.5</v>
          </cell>
          <cell r="M19">
            <v>330000000</v>
          </cell>
          <cell r="N19">
            <v>2</v>
          </cell>
          <cell r="O19">
            <v>165000000</v>
          </cell>
          <cell r="Q19">
            <v>6</v>
          </cell>
          <cell r="R19">
            <v>1650000</v>
          </cell>
          <cell r="S19">
            <v>330000</v>
          </cell>
          <cell r="T19">
            <v>1.8</v>
          </cell>
          <cell r="U19">
            <v>18</v>
          </cell>
        </row>
        <row r="20">
          <cell r="C20">
            <v>6050705</v>
          </cell>
          <cell r="D20" t="str">
            <v>6050705-MBH 2F009</v>
          </cell>
          <cell r="E20">
            <v>20</v>
          </cell>
          <cell r="F20">
            <v>1</v>
          </cell>
          <cell r="M20">
            <v>440000000</v>
          </cell>
          <cell r="Q20">
            <v>8</v>
          </cell>
          <cell r="R20">
            <v>2200000</v>
          </cell>
          <cell r="S20">
            <v>440000</v>
          </cell>
          <cell r="T20">
            <v>2.4</v>
          </cell>
          <cell r="U20">
            <v>24</v>
          </cell>
        </row>
        <row r="21">
          <cell r="C21">
            <v>6220701</v>
          </cell>
          <cell r="D21" t="str">
            <v>6220701-MVS MBH-VIP VIVO STORE-DD284</v>
          </cell>
          <cell r="E21">
            <v>80</v>
          </cell>
          <cell r="F21">
            <v>3</v>
          </cell>
          <cell r="G21">
            <v>26.6666666666667</v>
          </cell>
          <cell r="I21">
            <v>45</v>
          </cell>
          <cell r="J21">
            <v>3</v>
          </cell>
          <cell r="K21">
            <v>15</v>
          </cell>
          <cell r="M21">
            <v>90000000</v>
          </cell>
          <cell r="N21">
            <v>3</v>
          </cell>
          <cell r="O21">
            <v>30000000</v>
          </cell>
          <cell r="Q21">
            <v>2</v>
          </cell>
          <cell r="R21">
            <v>450000</v>
          </cell>
          <cell r="S21">
            <v>90000</v>
          </cell>
          <cell r="T21">
            <v>0.6</v>
          </cell>
          <cell r="U21">
            <v>6</v>
          </cell>
        </row>
        <row r="22">
          <cell r="C22">
            <v>6050706</v>
          </cell>
          <cell r="D22" t="str">
            <v>6050706-AEON MALL DELTAMAS 1F081</v>
          </cell>
          <cell r="E22">
            <v>30</v>
          </cell>
          <cell r="M22">
            <v>165000000</v>
          </cell>
          <cell r="Q22">
            <v>3</v>
          </cell>
          <cell r="R22">
            <v>825000</v>
          </cell>
          <cell r="S22">
            <v>165000</v>
          </cell>
          <cell r="T22">
            <v>0.9</v>
          </cell>
          <cell r="U22">
            <v>9</v>
          </cell>
        </row>
        <row r="23">
          <cell r="C23">
            <v>6180706</v>
          </cell>
          <cell r="D23" t="str">
            <v>6180706-MVS MALL CCM</v>
          </cell>
          <cell r="E23">
            <v>120</v>
          </cell>
          <cell r="F23">
            <v>3</v>
          </cell>
          <cell r="G23">
            <v>40</v>
          </cell>
          <cell r="I23">
            <v>65</v>
          </cell>
          <cell r="J23">
            <v>3</v>
          </cell>
          <cell r="K23">
            <v>21.6666666666667</v>
          </cell>
          <cell r="M23">
            <v>624000000</v>
          </cell>
          <cell r="N23">
            <v>3</v>
          </cell>
          <cell r="O23">
            <v>208000000</v>
          </cell>
          <cell r="Q23">
            <v>12</v>
          </cell>
          <cell r="R23">
            <v>3120000</v>
          </cell>
          <cell r="S23">
            <v>624000</v>
          </cell>
          <cell r="T23">
            <v>3.6</v>
          </cell>
          <cell r="U23">
            <v>36</v>
          </cell>
        </row>
        <row r="24">
          <cell r="C24">
            <v>6180707</v>
          </cell>
          <cell r="D24" t="str">
            <v>6180707-SC BTM</v>
          </cell>
          <cell r="E24">
            <v>20</v>
          </cell>
          <cell r="F24">
            <v>1</v>
          </cell>
          <cell r="G24">
            <v>20</v>
          </cell>
          <cell r="I24">
            <v>15</v>
          </cell>
          <cell r="J24">
            <v>1</v>
          </cell>
          <cell r="K24">
            <v>15</v>
          </cell>
          <cell r="M24">
            <v>100000000</v>
          </cell>
          <cell r="N24">
            <v>1</v>
          </cell>
          <cell r="O24">
            <v>100000000</v>
          </cell>
          <cell r="Q24">
            <v>2</v>
          </cell>
          <cell r="R24">
            <v>100000</v>
          </cell>
          <cell r="S24">
            <v>100000</v>
          </cell>
          <cell r="T24">
            <v>0.6</v>
          </cell>
          <cell r="U24">
            <v>6</v>
          </cell>
        </row>
        <row r="25">
          <cell r="C25">
            <v>6170707</v>
          </cell>
          <cell r="D25" t="str">
            <v>6170707-LG BLOK D NO. 01D SKY 7</v>
          </cell>
          <cell r="E25">
            <v>80</v>
          </cell>
          <cell r="F25">
            <v>3</v>
          </cell>
          <cell r="G25">
            <v>26.6666666666667</v>
          </cell>
          <cell r="I25">
            <v>36</v>
          </cell>
          <cell r="J25">
            <v>3</v>
          </cell>
          <cell r="K25">
            <v>12</v>
          </cell>
          <cell r="M25">
            <v>344000000</v>
          </cell>
          <cell r="N25">
            <v>3</v>
          </cell>
          <cell r="O25">
            <v>114666666.666667</v>
          </cell>
          <cell r="Q25">
            <v>8</v>
          </cell>
          <cell r="R25">
            <v>1720000</v>
          </cell>
          <cell r="S25">
            <v>344000</v>
          </cell>
          <cell r="T25">
            <v>2.4</v>
          </cell>
          <cell r="U25">
            <v>24</v>
          </cell>
        </row>
        <row r="26">
          <cell r="C26">
            <v>6240702</v>
          </cell>
          <cell r="D26" t="str">
            <v>A200902-LG BLOK B NO. 01B SKY M3</v>
          </cell>
          <cell r="E26">
            <v>100</v>
          </cell>
          <cell r="F26">
            <v>3</v>
          </cell>
          <cell r="G26">
            <v>33.3333333333333</v>
          </cell>
          <cell r="I26">
            <v>50</v>
          </cell>
          <cell r="J26">
            <v>3</v>
          </cell>
          <cell r="K26">
            <v>16.6666666666667</v>
          </cell>
          <cell r="M26">
            <v>430000000</v>
          </cell>
          <cell r="N26">
            <v>3</v>
          </cell>
          <cell r="O26">
            <v>143333333.33333299</v>
          </cell>
          <cell r="Q26">
            <v>10</v>
          </cell>
          <cell r="R26">
            <v>2150000</v>
          </cell>
          <cell r="S26">
            <v>430000</v>
          </cell>
          <cell r="T26">
            <v>3</v>
          </cell>
          <cell r="U26">
            <v>30</v>
          </cell>
        </row>
        <row r="27">
          <cell r="C27">
            <v>6240704</v>
          </cell>
          <cell r="D27" t="str">
            <v>6240704-TANGCITY LG017 WEST LOBBY</v>
          </cell>
          <cell r="E27">
            <v>30</v>
          </cell>
          <cell r="F27">
            <v>2</v>
          </cell>
          <cell r="G27">
            <v>15</v>
          </cell>
          <cell r="I27">
            <v>22</v>
          </cell>
          <cell r="J27">
            <v>2</v>
          </cell>
          <cell r="K27">
            <v>11</v>
          </cell>
          <cell r="M27">
            <v>129000000</v>
          </cell>
          <cell r="N27">
            <v>2</v>
          </cell>
          <cell r="O27">
            <v>64500000</v>
          </cell>
          <cell r="Q27">
            <v>3</v>
          </cell>
          <cell r="R27">
            <v>350000</v>
          </cell>
          <cell r="S27">
            <v>150000</v>
          </cell>
          <cell r="T27">
            <v>0.9</v>
          </cell>
          <cell r="U27">
            <v>9</v>
          </cell>
        </row>
        <row r="28">
          <cell r="C28">
            <v>6240701</v>
          </cell>
          <cell r="D28" t="str">
            <v>A200803-LG BLOK A-B NO. 12 SKY 5</v>
          </cell>
          <cell r="E28">
            <v>90</v>
          </cell>
          <cell r="F28">
            <v>4</v>
          </cell>
          <cell r="G28">
            <v>22.5</v>
          </cell>
          <cell r="I28">
            <v>47</v>
          </cell>
          <cell r="J28">
            <v>4</v>
          </cell>
          <cell r="K28">
            <v>11.75</v>
          </cell>
          <cell r="M28">
            <v>387000000</v>
          </cell>
          <cell r="N28">
            <v>4</v>
          </cell>
          <cell r="O28">
            <v>96750000</v>
          </cell>
          <cell r="Q28">
            <v>9</v>
          </cell>
          <cell r="R28">
            <v>1935000</v>
          </cell>
          <cell r="S28">
            <v>387000</v>
          </cell>
          <cell r="T28">
            <v>2.7</v>
          </cell>
          <cell r="U28">
            <v>27</v>
          </cell>
        </row>
        <row r="29">
          <cell r="C29">
            <v>6170706</v>
          </cell>
          <cell r="D29" t="str">
            <v>A200802-CHARLES</v>
          </cell>
          <cell r="E29">
            <v>90</v>
          </cell>
          <cell r="F29">
            <v>3</v>
          </cell>
          <cell r="G29">
            <v>30</v>
          </cell>
          <cell r="I29">
            <v>40</v>
          </cell>
          <cell r="J29">
            <v>3</v>
          </cell>
          <cell r="K29">
            <v>13.3333333333333</v>
          </cell>
          <cell r="M29">
            <v>387000000</v>
          </cell>
          <cell r="N29">
            <v>3</v>
          </cell>
          <cell r="O29">
            <v>129000000</v>
          </cell>
          <cell r="Q29">
            <v>9</v>
          </cell>
          <cell r="R29">
            <v>1935000</v>
          </cell>
          <cell r="S29">
            <v>387000</v>
          </cell>
          <cell r="T29">
            <v>2.7</v>
          </cell>
          <cell r="U29">
            <v>27</v>
          </cell>
        </row>
        <row r="30">
          <cell r="C30">
            <v>6240703</v>
          </cell>
          <cell r="D30" t="str">
            <v>6240703-TANGCITY LG009 CENTER</v>
          </cell>
          <cell r="E30">
            <v>90</v>
          </cell>
          <cell r="F30">
            <v>2</v>
          </cell>
          <cell r="G30">
            <v>45</v>
          </cell>
          <cell r="I30">
            <v>36</v>
          </cell>
          <cell r="J30">
            <v>2</v>
          </cell>
          <cell r="K30">
            <v>18</v>
          </cell>
          <cell r="M30">
            <v>387000000</v>
          </cell>
          <cell r="N30">
            <v>2</v>
          </cell>
          <cell r="O30">
            <v>193500000</v>
          </cell>
          <cell r="Q30">
            <v>9</v>
          </cell>
          <cell r="R30">
            <v>1935000</v>
          </cell>
          <cell r="S30">
            <v>387000</v>
          </cell>
          <cell r="T30">
            <v>2.7</v>
          </cell>
          <cell r="U30">
            <v>27</v>
          </cell>
        </row>
        <row r="31">
          <cell r="C31">
            <v>6170703</v>
          </cell>
          <cell r="D31" t="str">
            <v>6170703-4004 MVS-BNT-CCM STORE</v>
          </cell>
          <cell r="E31">
            <v>30</v>
          </cell>
          <cell r="F31">
            <v>2</v>
          </cell>
          <cell r="G31">
            <v>15</v>
          </cell>
          <cell r="I31">
            <v>18</v>
          </cell>
          <cell r="J31">
            <v>2</v>
          </cell>
          <cell r="K31">
            <v>9</v>
          </cell>
          <cell r="M31">
            <v>150000000</v>
          </cell>
          <cell r="N31">
            <v>2</v>
          </cell>
          <cell r="O31">
            <v>75000000</v>
          </cell>
          <cell r="Q31">
            <v>3</v>
          </cell>
          <cell r="R31">
            <v>200000</v>
          </cell>
          <cell r="S31">
            <v>100000</v>
          </cell>
          <cell r="T31">
            <v>0.9</v>
          </cell>
          <cell r="U31">
            <v>9</v>
          </cell>
        </row>
        <row r="32">
          <cell r="C32">
            <v>6240705</v>
          </cell>
          <cell r="D32" t="str">
            <v>6240705-CIPUTRA 2FC15</v>
          </cell>
          <cell r="E32">
            <v>40</v>
          </cell>
          <cell r="F32">
            <v>2</v>
          </cell>
          <cell r="G32">
            <v>20</v>
          </cell>
          <cell r="I32">
            <v>18</v>
          </cell>
          <cell r="J32">
            <v>2</v>
          </cell>
          <cell r="K32">
            <v>9</v>
          </cell>
          <cell r="M32">
            <v>172000000</v>
          </cell>
          <cell r="N32">
            <v>2</v>
          </cell>
          <cell r="O32">
            <v>86000000</v>
          </cell>
          <cell r="Q32">
            <v>4</v>
          </cell>
          <cell r="R32">
            <v>100000</v>
          </cell>
          <cell r="S32">
            <v>50000</v>
          </cell>
          <cell r="T32">
            <v>1.2</v>
          </cell>
          <cell r="U32">
            <v>12</v>
          </cell>
        </row>
        <row r="33">
          <cell r="C33">
            <v>6240707</v>
          </cell>
          <cell r="D33" t="str">
            <v>6240707-SUPERMALL UGN3A</v>
          </cell>
          <cell r="E33">
            <v>30</v>
          </cell>
          <cell r="F33">
            <v>2</v>
          </cell>
          <cell r="G33">
            <v>15</v>
          </cell>
          <cell r="I33">
            <v>18</v>
          </cell>
          <cell r="J33">
            <v>2</v>
          </cell>
          <cell r="K33">
            <v>9</v>
          </cell>
          <cell r="M33">
            <v>165000000</v>
          </cell>
          <cell r="N33">
            <v>2</v>
          </cell>
          <cell r="O33">
            <v>82500000</v>
          </cell>
          <cell r="Q33">
            <v>3</v>
          </cell>
          <cell r="R33">
            <v>825000</v>
          </cell>
          <cell r="S33">
            <v>165000</v>
          </cell>
          <cell r="T33">
            <v>0.9</v>
          </cell>
          <cell r="U33">
            <v>9</v>
          </cell>
        </row>
        <row r="34">
          <cell r="C34">
            <v>6240706</v>
          </cell>
          <cell r="D34" t="str">
            <v>6240706-SUPERMALL LGC3A</v>
          </cell>
          <cell r="E34">
            <v>30</v>
          </cell>
          <cell r="F34">
            <v>2</v>
          </cell>
          <cell r="G34">
            <v>15</v>
          </cell>
          <cell r="I34">
            <v>18</v>
          </cell>
          <cell r="J34">
            <v>2</v>
          </cell>
          <cell r="K34">
            <v>9</v>
          </cell>
          <cell r="M34">
            <v>165000000</v>
          </cell>
          <cell r="N34">
            <v>2</v>
          </cell>
          <cell r="O34">
            <v>82500000</v>
          </cell>
          <cell r="Q34">
            <v>3</v>
          </cell>
          <cell r="R34">
            <v>825000</v>
          </cell>
          <cell r="S34">
            <v>165000</v>
          </cell>
          <cell r="T34">
            <v>0.9</v>
          </cell>
          <cell r="U34">
            <v>9</v>
          </cell>
        </row>
        <row r="35">
          <cell r="C35">
            <v>6240708</v>
          </cell>
          <cell r="D35" t="str">
            <v>6240708-ITC BSD 1F09-14</v>
          </cell>
          <cell r="E35">
            <v>30</v>
          </cell>
          <cell r="F35">
            <v>2</v>
          </cell>
          <cell r="G35">
            <v>15</v>
          </cell>
          <cell r="I35">
            <v>0</v>
          </cell>
          <cell r="J35">
            <v>2</v>
          </cell>
          <cell r="K35">
            <v>0</v>
          </cell>
          <cell r="M35">
            <v>150000000</v>
          </cell>
          <cell r="N35">
            <v>2</v>
          </cell>
          <cell r="O35">
            <v>75000000</v>
          </cell>
          <cell r="Q35">
            <v>3</v>
          </cell>
          <cell r="R35">
            <v>750000</v>
          </cell>
          <cell r="S35">
            <v>150000</v>
          </cell>
          <cell r="T35">
            <v>0.9</v>
          </cell>
          <cell r="U35">
            <v>9</v>
          </cell>
        </row>
        <row r="36">
          <cell r="C36">
            <v>6240709</v>
          </cell>
          <cell r="D36" t="str">
            <v>6240709-ITC BSD 1F49-50</v>
          </cell>
          <cell r="E36">
            <v>30</v>
          </cell>
          <cell r="F36">
            <v>2</v>
          </cell>
          <cell r="G36">
            <v>15</v>
          </cell>
          <cell r="I36">
            <v>0</v>
          </cell>
          <cell r="J36">
            <v>2</v>
          </cell>
          <cell r="K36">
            <v>0</v>
          </cell>
          <cell r="M36">
            <v>150000000</v>
          </cell>
          <cell r="N36">
            <v>2</v>
          </cell>
          <cell r="O36">
            <v>75000000</v>
          </cell>
          <cell r="Q36">
            <v>3</v>
          </cell>
          <cell r="R36">
            <v>750000</v>
          </cell>
          <cell r="S36">
            <v>150000</v>
          </cell>
          <cell r="T36">
            <v>0.9</v>
          </cell>
          <cell r="U36">
            <v>9</v>
          </cell>
        </row>
        <row r="37">
          <cell r="C37">
            <v>6190701</v>
          </cell>
          <cell r="D37" t="str">
            <v>6190701-VIVO STORE UG</v>
          </cell>
          <cell r="E37">
            <v>50</v>
          </cell>
          <cell r="F37">
            <v>2</v>
          </cell>
          <cell r="G37">
            <v>25</v>
          </cell>
          <cell r="I37">
            <v>32</v>
          </cell>
          <cell r="J37">
            <v>2</v>
          </cell>
          <cell r="K37">
            <v>16</v>
          </cell>
          <cell r="M37">
            <v>215000000</v>
          </cell>
          <cell r="N37">
            <v>2</v>
          </cell>
          <cell r="O37">
            <v>107500000</v>
          </cell>
          <cell r="Q37">
            <v>5</v>
          </cell>
          <cell r="R37">
            <v>1075000</v>
          </cell>
          <cell r="S37">
            <v>215000</v>
          </cell>
          <cell r="T37">
            <v>1.5</v>
          </cell>
          <cell r="U37">
            <v>15</v>
          </cell>
        </row>
        <row r="38">
          <cell r="C38">
            <v>6190706</v>
          </cell>
          <cell r="D38" t="str">
            <v>A300102-VIVO STORE 4 BEC</v>
          </cell>
          <cell r="E38">
            <v>110</v>
          </cell>
          <cell r="F38">
            <v>4</v>
          </cell>
          <cell r="G38">
            <v>27.5</v>
          </cell>
          <cell r="I38">
            <v>61</v>
          </cell>
          <cell r="J38">
            <v>4</v>
          </cell>
          <cell r="K38">
            <v>15.25</v>
          </cell>
          <cell r="M38">
            <v>473000000</v>
          </cell>
          <cell r="N38">
            <v>4</v>
          </cell>
          <cell r="O38">
            <v>118250000</v>
          </cell>
          <cell r="Q38">
            <v>11</v>
          </cell>
          <cell r="R38">
            <v>2365000</v>
          </cell>
          <cell r="S38">
            <v>473000</v>
          </cell>
          <cell r="T38">
            <v>3.3</v>
          </cell>
          <cell r="U38">
            <v>33</v>
          </cell>
        </row>
        <row r="39">
          <cell r="C39">
            <v>6190705</v>
          </cell>
          <cell r="D39" t="str">
            <v>A300105-VIVO STORE LG F20</v>
          </cell>
          <cell r="E39">
            <v>60</v>
          </cell>
          <cell r="F39">
            <v>2</v>
          </cell>
          <cell r="G39">
            <v>30</v>
          </cell>
          <cell r="I39">
            <v>29</v>
          </cell>
          <cell r="J39">
            <v>2</v>
          </cell>
          <cell r="K39">
            <v>14.5</v>
          </cell>
          <cell r="M39">
            <v>258000000</v>
          </cell>
          <cell r="N39">
            <v>2</v>
          </cell>
          <cell r="O39">
            <v>129000000</v>
          </cell>
          <cell r="Q39">
            <v>6</v>
          </cell>
          <cell r="R39">
            <v>1290000</v>
          </cell>
          <cell r="S39">
            <v>258000</v>
          </cell>
          <cell r="T39">
            <v>1.8</v>
          </cell>
          <cell r="U39">
            <v>18</v>
          </cell>
        </row>
        <row r="40">
          <cell r="C40">
            <v>6190704</v>
          </cell>
          <cell r="D40" t="str">
            <v>A300201-VIVO STORE 1 BEC</v>
          </cell>
          <cell r="E40">
            <v>120</v>
          </cell>
          <cell r="F40">
            <v>4</v>
          </cell>
          <cell r="G40">
            <v>30</v>
          </cell>
          <cell r="I40">
            <v>50</v>
          </cell>
          <cell r="J40">
            <v>4</v>
          </cell>
          <cell r="K40">
            <v>12.5</v>
          </cell>
          <cell r="M40">
            <v>516000000</v>
          </cell>
          <cell r="N40">
            <v>4</v>
          </cell>
          <cell r="O40">
            <v>129000000</v>
          </cell>
          <cell r="Q40">
            <v>12</v>
          </cell>
          <cell r="R40">
            <v>2580000</v>
          </cell>
          <cell r="S40">
            <v>516000</v>
          </cell>
          <cell r="T40">
            <v>3.6</v>
          </cell>
          <cell r="U40">
            <v>36</v>
          </cell>
        </row>
        <row r="41">
          <cell r="C41">
            <v>6190707</v>
          </cell>
          <cell r="D41" t="str">
            <v>A300202-VIVO STORE LU</v>
          </cell>
          <cell r="E41">
            <v>120</v>
          </cell>
          <cell r="F41">
            <v>4</v>
          </cell>
          <cell r="G41">
            <v>30</v>
          </cell>
          <cell r="I41">
            <v>58</v>
          </cell>
          <cell r="J41">
            <v>4</v>
          </cell>
          <cell r="K41">
            <v>14.5</v>
          </cell>
          <cell r="M41">
            <v>516000000</v>
          </cell>
          <cell r="N41">
            <v>4</v>
          </cell>
          <cell r="O41">
            <v>129000000</v>
          </cell>
          <cell r="Q41">
            <v>12</v>
          </cell>
          <cell r="R41">
            <v>2580000</v>
          </cell>
          <cell r="S41">
            <v>516000</v>
          </cell>
          <cell r="T41">
            <v>3.6</v>
          </cell>
          <cell r="U41">
            <v>36</v>
          </cell>
        </row>
        <row r="42">
          <cell r="C42">
            <v>6190708</v>
          </cell>
          <cell r="D42" t="str">
            <v>6190708-BEC SC LGAA07</v>
          </cell>
          <cell r="E42">
            <v>20</v>
          </cell>
          <cell r="M42">
            <v>86000000</v>
          </cell>
          <cell r="Q42">
            <v>2</v>
          </cell>
          <cell r="R42">
            <v>430000</v>
          </cell>
          <cell r="S42">
            <v>86000</v>
          </cell>
          <cell r="T42">
            <v>0.6</v>
          </cell>
          <cell r="U42">
            <v>6</v>
          </cell>
        </row>
        <row r="43">
          <cell r="C43">
            <v>6150702</v>
          </cell>
          <cell r="D43" t="str">
            <v>6150702-GRANMALL SC GF-11</v>
          </cell>
          <cell r="E43">
            <v>20</v>
          </cell>
          <cell r="M43">
            <v>80000000</v>
          </cell>
          <cell r="Q43">
            <v>2</v>
          </cell>
          <cell r="R43">
            <v>400000</v>
          </cell>
          <cell r="S43">
            <v>80000</v>
          </cell>
          <cell r="T43">
            <v>0.6</v>
          </cell>
          <cell r="U43">
            <v>6</v>
          </cell>
        </row>
        <row r="44">
          <cell r="C44">
            <v>6100702</v>
          </cell>
          <cell r="D44" t="str">
            <v>6100702-VS Jogja City Mall</v>
          </cell>
          <cell r="E44">
            <v>50</v>
          </cell>
          <cell r="F44">
            <v>1</v>
          </cell>
          <cell r="G44">
            <v>50</v>
          </cell>
          <cell r="I44">
            <v>22</v>
          </cell>
          <cell r="J44">
            <v>1</v>
          </cell>
          <cell r="K44">
            <v>22</v>
          </cell>
          <cell r="M44">
            <v>350000000</v>
          </cell>
          <cell r="N44">
            <v>1</v>
          </cell>
          <cell r="O44">
            <v>350000000</v>
          </cell>
          <cell r="Q44">
            <v>5</v>
          </cell>
          <cell r="R44">
            <v>1750000</v>
          </cell>
          <cell r="S44">
            <v>350000</v>
          </cell>
          <cell r="T44">
            <v>1.5</v>
          </cell>
          <cell r="U44">
            <v>15</v>
          </cell>
        </row>
        <row r="45">
          <cell r="C45">
            <v>6130702</v>
          </cell>
          <cell r="D45" t="str">
            <v>6130702-RITA SUPERMALL SF36-37</v>
          </cell>
          <cell r="E45">
            <v>60</v>
          </cell>
          <cell r="F45">
            <v>4</v>
          </cell>
          <cell r="G45">
            <v>15</v>
          </cell>
          <cell r="I45">
            <v>40</v>
          </cell>
          <cell r="J45">
            <v>4</v>
          </cell>
          <cell r="K45">
            <v>10</v>
          </cell>
          <cell r="M45">
            <v>300000000</v>
          </cell>
          <cell r="N45">
            <v>4</v>
          </cell>
          <cell r="O45">
            <v>75000000</v>
          </cell>
          <cell r="Q45">
            <v>6</v>
          </cell>
          <cell r="R45">
            <v>1500000</v>
          </cell>
          <cell r="S45">
            <v>300000</v>
          </cell>
          <cell r="T45">
            <v>1.8</v>
          </cell>
          <cell r="U45">
            <v>18</v>
          </cell>
        </row>
        <row r="46">
          <cell r="C46">
            <v>6140706</v>
          </cell>
          <cell r="D46" t="str">
            <v>6140706-23 SEMARANG MALL 1F065-66</v>
          </cell>
          <cell r="E46">
            <v>30</v>
          </cell>
          <cell r="F46">
            <v>2</v>
          </cell>
          <cell r="M46">
            <v>210000000</v>
          </cell>
          <cell r="Q46">
            <v>3</v>
          </cell>
          <cell r="R46">
            <v>1050000</v>
          </cell>
          <cell r="S46">
            <v>210000</v>
          </cell>
          <cell r="T46">
            <v>0.9</v>
          </cell>
          <cell r="U46">
            <v>9</v>
          </cell>
        </row>
        <row r="47">
          <cell r="C47">
            <v>6140705</v>
          </cell>
          <cell r="D47" t="str">
            <v>6140705-QUEENCITY 2F027</v>
          </cell>
          <cell r="E47">
            <v>60</v>
          </cell>
          <cell r="F47">
            <v>3</v>
          </cell>
          <cell r="G47">
            <v>20</v>
          </cell>
          <cell r="I47">
            <v>15</v>
          </cell>
          <cell r="J47">
            <v>3</v>
          </cell>
          <cell r="K47">
            <v>5</v>
          </cell>
          <cell r="M47">
            <v>420000000</v>
          </cell>
          <cell r="N47">
            <v>3</v>
          </cell>
          <cell r="O47">
            <v>140000000</v>
          </cell>
          <cell r="Q47">
            <v>6</v>
          </cell>
          <cell r="R47">
            <v>2100000</v>
          </cell>
          <cell r="S47">
            <v>420000</v>
          </cell>
          <cell r="T47">
            <v>1.8</v>
          </cell>
          <cell r="U47">
            <v>18</v>
          </cell>
        </row>
        <row r="48">
          <cell r="E48">
            <v>3400</v>
          </cell>
          <cell r="F48">
            <v>115</v>
          </cell>
          <cell r="I48">
            <v>1619</v>
          </cell>
          <cell r="J48">
            <v>113</v>
          </cell>
          <cell r="M48">
            <v>15659000000</v>
          </cell>
          <cell r="N48">
            <v>113</v>
          </cell>
          <cell r="O48">
            <v>138575221.238938</v>
          </cell>
          <cell r="Q48">
            <v>340</v>
          </cell>
          <cell r="R48">
            <v>76290000</v>
          </cell>
          <cell r="S48">
            <v>15508000</v>
          </cell>
          <cell r="T48">
            <v>102</v>
          </cell>
          <cell r="U48">
            <v>1020</v>
          </cell>
        </row>
        <row r="49">
          <cell r="E49">
            <v>3400</v>
          </cell>
          <cell r="I49">
            <v>1619</v>
          </cell>
        </row>
      </sheetData>
      <sheetData sheetId="30"/>
      <sheetData sheetId="31"/>
      <sheetData sheetId="32"/>
      <sheetData sheetId="33"/>
      <sheetData sheetId="34">
        <row r="6">
          <cell r="A6" t="str">
            <v>Sum of Qty</v>
          </cell>
        </row>
      </sheetData>
      <sheetData sheetId="35">
        <row r="3">
          <cell r="D3" t="str">
            <v>Sales / Retur</v>
          </cell>
        </row>
        <row r="4">
          <cell r="A4" t="str">
            <v>Tgl</v>
          </cell>
          <cell r="B4" t="str">
            <v>单据来源</v>
          </cell>
          <cell r="C4" t="str">
            <v>单据状态</v>
          </cell>
          <cell r="D4" t="str">
            <v>退货状态</v>
          </cell>
          <cell r="E4" t="str">
            <v>销售渠道</v>
          </cell>
        </row>
        <row r="16">
          <cell r="A16" t="str">
            <v>ID STORE</v>
          </cell>
          <cell r="B16" t="str">
            <v>STORE NAME</v>
          </cell>
          <cell r="C16" t="str">
            <v>VALUE</v>
          </cell>
          <cell r="D16" t="str">
            <v>QTY</v>
          </cell>
          <cell r="E16" t="str">
            <v>ASP</v>
          </cell>
        </row>
        <row r="17">
          <cell r="A17">
            <v>6010708</v>
          </cell>
          <cell r="B17" t="str">
            <v>6010708-MVS SHOWROOM CENTRAL PARK</v>
          </cell>
          <cell r="C17">
            <v>976368000</v>
          </cell>
          <cell r="D17">
            <v>132</v>
          </cell>
          <cell r="E17">
            <v>7396727.2727272697</v>
          </cell>
        </row>
        <row r="18">
          <cell r="A18">
            <v>6010701</v>
          </cell>
          <cell r="B18" t="str">
            <v>6010701-MVS ROXY SHOWROOM 21</v>
          </cell>
          <cell r="C18">
            <v>994150000</v>
          </cell>
          <cell r="D18">
            <v>250</v>
          </cell>
          <cell r="E18">
            <v>3976600</v>
          </cell>
        </row>
        <row r="19">
          <cell r="A19">
            <v>6010702</v>
          </cell>
          <cell r="B19" t="str">
            <v>6010702-ME ROXY PAMERAN TIMUR</v>
          </cell>
          <cell r="C19">
            <v>957513000</v>
          </cell>
          <cell r="D19">
            <v>287</v>
          </cell>
          <cell r="E19">
            <v>3336282.2299651601</v>
          </cell>
        </row>
        <row r="20">
          <cell r="A20">
            <v>6010703</v>
          </cell>
          <cell r="B20" t="str">
            <v>6010703-VIVO STORE WINSHOP</v>
          </cell>
          <cell r="C20">
            <v>337397000</v>
          </cell>
          <cell r="D20">
            <v>103</v>
          </cell>
          <cell r="E20">
            <v>3275699.0291262101</v>
          </cell>
        </row>
        <row r="21">
          <cell r="A21">
            <v>6020711</v>
          </cell>
          <cell r="B21" t="str">
            <v>6020711-vivostore emporium</v>
          </cell>
          <cell r="C21">
            <v>786093000</v>
          </cell>
          <cell r="D21">
            <v>107</v>
          </cell>
          <cell r="E21">
            <v>7346663.5514018703</v>
          </cell>
        </row>
        <row r="22">
          <cell r="A22">
            <v>6010711</v>
          </cell>
          <cell r="B22" t="str">
            <v>6010711-LIPPO MALL PURI 1FK02</v>
          </cell>
          <cell r="C22">
            <v>490946000</v>
          </cell>
          <cell r="D22">
            <v>54</v>
          </cell>
          <cell r="E22">
            <v>9091592.5925925896</v>
          </cell>
        </row>
        <row r="23">
          <cell r="A23">
            <v>6020706</v>
          </cell>
          <cell r="B23" t="str">
            <v>6020706-MVS CEMPAKA SHOWROOM 2 (454)</v>
          </cell>
          <cell r="C23">
            <v>454591000</v>
          </cell>
          <cell r="D23">
            <v>109</v>
          </cell>
          <cell r="E23">
            <v>4170559.63302752</v>
          </cell>
        </row>
        <row r="24">
          <cell r="A24">
            <v>6020704</v>
          </cell>
          <cell r="B24" t="str">
            <v>6020704-MVS CEMPAKA SHOWROOM 14 (8TOKO)</v>
          </cell>
          <cell r="C24">
            <v>140859000</v>
          </cell>
          <cell r="D24">
            <v>41</v>
          </cell>
          <cell r="E24">
            <v>3435585.3658536598</v>
          </cell>
        </row>
        <row r="25">
          <cell r="A25">
            <v>6080712</v>
          </cell>
          <cell r="B25" t="str">
            <v>6080712-MVS ITC DEPOK VIVO STORE 2</v>
          </cell>
          <cell r="C25">
            <v>278943000</v>
          </cell>
          <cell r="D25">
            <v>57</v>
          </cell>
          <cell r="E25">
            <v>4893736.8421052601</v>
          </cell>
        </row>
        <row r="26">
          <cell r="A26">
            <v>6040702</v>
          </cell>
          <cell r="B26" t="str">
            <v>6040702-TRAN STUDIO MALL 2F059</v>
          </cell>
          <cell r="C26">
            <v>125879000</v>
          </cell>
          <cell r="D26">
            <v>21</v>
          </cell>
          <cell r="E26">
            <v>5994238.0952380998</v>
          </cell>
        </row>
        <row r="27">
          <cell r="A27">
            <v>6040703</v>
          </cell>
          <cell r="B27" t="str">
            <v>6040703-SAWANGAN 1F1-0320</v>
          </cell>
          <cell r="C27">
            <v>166171000</v>
          </cell>
          <cell r="D27">
            <v>29</v>
          </cell>
          <cell r="E27">
            <v>5730034.4827586198</v>
          </cell>
        </row>
        <row r="28">
          <cell r="A28">
            <v>6050701</v>
          </cell>
          <cell r="B28" t="str">
            <v>6050701-MVS X6 DS0824</v>
          </cell>
          <cell r="C28">
            <v>319839000</v>
          </cell>
          <cell r="D28">
            <v>61</v>
          </cell>
          <cell r="E28">
            <v>5243262.2950819703</v>
          </cell>
        </row>
        <row r="29">
          <cell r="A29">
            <v>6220701</v>
          </cell>
          <cell r="B29" t="str">
            <v>6220701-MVS MBH-VIP VIVO STORE-DD284</v>
          </cell>
          <cell r="C29">
            <v>452022000</v>
          </cell>
          <cell r="D29">
            <v>78</v>
          </cell>
          <cell r="E29">
            <v>5795153.8461538497</v>
          </cell>
        </row>
        <row r="30">
          <cell r="A30">
            <v>6180706</v>
          </cell>
          <cell r="B30" t="str">
            <v>6180706-MVS MALL CCM</v>
          </cell>
          <cell r="C30">
            <v>741568000</v>
          </cell>
          <cell r="D30">
            <v>132</v>
          </cell>
          <cell r="E30">
            <v>5617939.3939393898</v>
          </cell>
        </row>
        <row r="31">
          <cell r="A31">
            <v>6180707</v>
          </cell>
          <cell r="B31" t="str">
            <v>6180707-SC BTM</v>
          </cell>
          <cell r="C31">
            <v>125772000</v>
          </cell>
          <cell r="D31">
            <v>28</v>
          </cell>
          <cell r="E31">
            <v>4491857.1428571399</v>
          </cell>
        </row>
        <row r="32">
          <cell r="A32">
            <v>6170707</v>
          </cell>
          <cell r="B32" t="str">
            <v>6170707-LG BLOK D NO. 01D</v>
          </cell>
          <cell r="C32">
            <v>250237000</v>
          </cell>
          <cell r="D32">
            <v>63</v>
          </cell>
          <cell r="E32">
            <v>3972015.8730158699</v>
          </cell>
        </row>
        <row r="33">
          <cell r="A33">
            <v>6170706</v>
          </cell>
          <cell r="B33" t="str">
            <v>A200802-CHARLES</v>
          </cell>
          <cell r="C33">
            <v>367310000</v>
          </cell>
          <cell r="D33">
            <v>90</v>
          </cell>
          <cell r="E33">
            <v>4081222.2222222202</v>
          </cell>
        </row>
        <row r="34">
          <cell r="A34">
            <v>6240704</v>
          </cell>
          <cell r="B34" t="str">
            <v>6240704-TANGCITY LG017 WEST LOBBY</v>
          </cell>
          <cell r="C34">
            <v>137463000</v>
          </cell>
          <cell r="D34">
            <v>37</v>
          </cell>
          <cell r="E34">
            <v>3715216.2162162201</v>
          </cell>
        </row>
        <row r="35">
          <cell r="A35">
            <v>6240703</v>
          </cell>
          <cell r="B35" t="str">
            <v>6240703-TANGCITY LG009 CENTER</v>
          </cell>
          <cell r="C35">
            <v>298937000</v>
          </cell>
          <cell r="D35">
            <v>63</v>
          </cell>
          <cell r="E35">
            <v>4745031.74603175</v>
          </cell>
        </row>
        <row r="36">
          <cell r="A36">
            <v>6240705</v>
          </cell>
          <cell r="B36" t="str">
            <v>6240705-CIPUTRA 2FC15</v>
          </cell>
          <cell r="C36">
            <v>151169000</v>
          </cell>
          <cell r="D36">
            <v>31</v>
          </cell>
          <cell r="E36">
            <v>4876419.3548387103</v>
          </cell>
        </row>
        <row r="37">
          <cell r="A37">
            <v>6240709</v>
          </cell>
          <cell r="B37" t="str">
            <v>6240709-ITC BSD 1F49-50</v>
          </cell>
          <cell r="C37">
            <v>96280000</v>
          </cell>
          <cell r="D37">
            <v>20</v>
          </cell>
          <cell r="E37">
            <v>4814000</v>
          </cell>
        </row>
        <row r="38">
          <cell r="A38">
            <v>6240708</v>
          </cell>
          <cell r="B38" t="str">
            <v>6240708-ITC BSD 1F09-14</v>
          </cell>
          <cell r="C38">
            <v>139374000</v>
          </cell>
          <cell r="D38">
            <v>26</v>
          </cell>
          <cell r="E38">
            <v>5360538.4615384601</v>
          </cell>
        </row>
        <row r="39">
          <cell r="A39">
            <v>6240707</v>
          </cell>
          <cell r="B39" t="str">
            <v>6240707-SUPERMALL UGN3A仓库</v>
          </cell>
          <cell r="C39">
            <v>212570000</v>
          </cell>
          <cell r="D39">
            <v>30</v>
          </cell>
          <cell r="E39">
            <v>7085666.6666666698</v>
          </cell>
        </row>
        <row r="40">
          <cell r="A40">
            <v>6240706</v>
          </cell>
          <cell r="B40" t="str">
            <v>6240706-SUPERMALL LGC3A</v>
          </cell>
          <cell r="C40">
            <v>165669000</v>
          </cell>
          <cell r="D40">
            <v>31</v>
          </cell>
          <cell r="E40">
            <v>5344161.2903225804</v>
          </cell>
        </row>
        <row r="41">
          <cell r="A41">
            <v>6170703</v>
          </cell>
          <cell r="B41" t="str">
            <v>6170703-4004 MVS-BNT-CCM STORE</v>
          </cell>
          <cell r="C41">
            <v>86480000</v>
          </cell>
          <cell r="D41">
            <v>20</v>
          </cell>
          <cell r="E41">
            <v>4324000</v>
          </cell>
        </row>
        <row r="42">
          <cell r="A42">
            <v>6190701</v>
          </cell>
          <cell r="B42" t="str">
            <v>6190701-VIVO STORE UG</v>
          </cell>
          <cell r="C42">
            <v>116569000</v>
          </cell>
          <cell r="D42">
            <v>31</v>
          </cell>
          <cell r="E42">
            <v>3760290.32258065</v>
          </cell>
        </row>
        <row r="43">
          <cell r="A43">
            <v>6190704</v>
          </cell>
          <cell r="B43" t="str">
            <v>A300201-VIVO STORE 1 BEC</v>
          </cell>
          <cell r="C43">
            <v>535686000</v>
          </cell>
          <cell r="D43">
            <v>114</v>
          </cell>
          <cell r="E43">
            <v>4699000</v>
          </cell>
        </row>
        <row r="44">
          <cell r="A44">
            <v>6190707</v>
          </cell>
          <cell r="B44" t="str">
            <v>A300202-VIVO STORE LU</v>
          </cell>
          <cell r="C44">
            <v>482282000</v>
          </cell>
          <cell r="D44">
            <v>118</v>
          </cell>
          <cell r="E44">
            <v>4087135.5932203401</v>
          </cell>
        </row>
        <row r="45">
          <cell r="A45">
            <v>6100702</v>
          </cell>
          <cell r="B45" t="str">
            <v>6100702-VS Jogja City Mall</v>
          </cell>
          <cell r="C45">
            <v>387653000</v>
          </cell>
          <cell r="D45">
            <v>47</v>
          </cell>
          <cell r="E45">
            <v>8247936.1702127699</v>
          </cell>
        </row>
        <row r="46">
          <cell r="A46">
            <v>6140703</v>
          </cell>
          <cell r="B46" t="str">
            <v>6140703-ML-VIVO STORE MEGA STORE</v>
          </cell>
          <cell r="C46">
            <v>0</v>
          </cell>
          <cell r="D46">
            <v>0</v>
          </cell>
          <cell r="E46" t="e">
            <v>#DIV/0!</v>
          </cell>
        </row>
        <row r="47">
          <cell r="A47">
            <v>6130702</v>
          </cell>
          <cell r="B47" t="str">
            <v>6130702-RITA SUPERMALL SF36-37</v>
          </cell>
          <cell r="C47">
            <v>369330000</v>
          </cell>
          <cell r="D47">
            <v>70</v>
          </cell>
          <cell r="E47">
            <v>5276142.8571428601</v>
          </cell>
        </row>
        <row r="48">
          <cell r="A48">
            <v>6140705</v>
          </cell>
          <cell r="B48" t="str">
            <v>6140705-QUEENCITY 2F027</v>
          </cell>
          <cell r="C48">
            <v>500244000</v>
          </cell>
          <cell r="D48">
            <v>56</v>
          </cell>
          <cell r="E48">
            <v>8932928.5714285709</v>
          </cell>
        </row>
        <row r="49">
          <cell r="A49">
            <v>6190705</v>
          </cell>
          <cell r="B49" t="str">
            <v>A300105-VIVO STORE LG F20</v>
          </cell>
          <cell r="C49">
            <v>183847000</v>
          </cell>
          <cell r="D49">
            <v>53</v>
          </cell>
          <cell r="E49">
            <v>3468811.3207547199</v>
          </cell>
        </row>
        <row r="50">
          <cell r="A50">
            <v>6190706</v>
          </cell>
          <cell r="B50" t="str">
            <v>A300102-VIVO STORE 4 BEC</v>
          </cell>
          <cell r="C50">
            <v>540976000</v>
          </cell>
          <cell r="D50">
            <v>124</v>
          </cell>
          <cell r="E50">
            <v>4362709.6774193598</v>
          </cell>
        </row>
        <row r="51">
          <cell r="A51">
            <v>6240702</v>
          </cell>
          <cell r="B51" t="str">
            <v>A200902-LG BLOK B NO. 01B</v>
          </cell>
          <cell r="C51">
            <v>396913000</v>
          </cell>
          <cell r="D51">
            <v>87</v>
          </cell>
          <cell r="E51">
            <v>4562218.3908046</v>
          </cell>
        </row>
        <row r="52">
          <cell r="A52">
            <v>6240701</v>
          </cell>
          <cell r="B52" t="str">
            <v>A200803-LG BLOK A-B NO. 12</v>
          </cell>
          <cell r="C52">
            <v>443806000</v>
          </cell>
          <cell r="D52">
            <v>94</v>
          </cell>
          <cell r="E52">
            <v>4721340.4255319098</v>
          </cell>
        </row>
        <row r="53">
          <cell r="A53">
            <v>6040701</v>
          </cell>
          <cell r="B53" t="str">
            <v>A200402-ITC-VIVO STORE 1</v>
          </cell>
          <cell r="C53">
            <v>187652000</v>
          </cell>
          <cell r="D53">
            <v>48</v>
          </cell>
          <cell r="E53">
            <v>3909416.6666666698</v>
          </cell>
        </row>
        <row r="54">
          <cell r="A54">
            <v>6010710</v>
          </cell>
          <cell r="B54" t="str">
            <v>A100304-PAMERAN SELATAN</v>
          </cell>
          <cell r="C54">
            <v>296710000</v>
          </cell>
          <cell r="D54">
            <v>90</v>
          </cell>
          <cell r="E54">
            <v>3296777.7777777798</v>
          </cell>
        </row>
        <row r="55">
          <cell r="A55">
            <v>6010709</v>
          </cell>
          <cell r="B55" t="str">
            <v>A100303-PAMERAN UTARA</v>
          </cell>
          <cell r="C55">
            <v>933505000</v>
          </cell>
          <cell r="D55">
            <v>295</v>
          </cell>
          <cell r="E55">
            <v>3164423.7288135602</v>
          </cell>
        </row>
        <row r="56">
          <cell r="C56">
            <v>14628773000</v>
          </cell>
          <cell r="D56">
            <v>3127</v>
          </cell>
          <cell r="E56" t="e">
            <v>#DIV/0!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DASHBOARD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kpi store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5">
          <cell r="A5">
            <v>1</v>
          </cell>
          <cell r="B5" t="str">
            <v>601 雅加达西北 JKT BU</v>
          </cell>
          <cell r="C5">
            <v>6010708</v>
          </cell>
          <cell r="D5" t="str">
            <v>6010708-MVS SHOWROOM CENTRAL PARK</v>
          </cell>
          <cell r="E5" t="str">
            <v>NANDI FEBRIANA</v>
          </cell>
        </row>
        <row r="6">
          <cell r="A6">
            <v>2</v>
          </cell>
          <cell r="B6" t="str">
            <v>601 雅加达西北 JKT BU</v>
          </cell>
          <cell r="C6">
            <v>6010701</v>
          </cell>
          <cell r="D6" t="str">
            <v>6010701-MVS ROXY SHOWROOM 21</v>
          </cell>
          <cell r="E6" t="str">
            <v>ANGGARIA</v>
          </cell>
        </row>
        <row r="7">
          <cell r="A7">
            <v>3</v>
          </cell>
          <cell r="B7" t="str">
            <v>601 雅加达西北 JKT BU</v>
          </cell>
          <cell r="C7">
            <v>6010702</v>
          </cell>
          <cell r="D7" t="str">
            <v>6010702-ME ROXY PAMERAN TIMUR</v>
          </cell>
          <cell r="E7" t="str">
            <v>ANGGARIA</v>
          </cell>
        </row>
        <row r="8">
          <cell r="A8">
            <v>4</v>
          </cell>
          <cell r="B8" t="str">
            <v>601 雅加达西北 JKT BU</v>
          </cell>
          <cell r="C8">
            <v>6010703</v>
          </cell>
          <cell r="D8" t="str">
            <v>6010703-VIVO STORE WINSHOP</v>
          </cell>
          <cell r="E8" t="str">
            <v>NUR IRAWATI</v>
          </cell>
        </row>
        <row r="9">
          <cell r="A9">
            <v>5</v>
          </cell>
          <cell r="B9" t="str">
            <v>601 雅加达西北 JKT BU</v>
          </cell>
          <cell r="C9">
            <v>6010709</v>
          </cell>
          <cell r="D9" t="str">
            <v>A100303-PAMERAN UTARA</v>
          </cell>
          <cell r="E9" t="str">
            <v>NUR IRAWATI</v>
          </cell>
        </row>
        <row r="10">
          <cell r="A10">
            <v>6</v>
          </cell>
          <cell r="B10" t="str">
            <v>601 雅加达西北 JKT BU</v>
          </cell>
          <cell r="C10">
            <v>6010710</v>
          </cell>
          <cell r="D10" t="str">
            <v>A100304-PAMERAN SELATAN</v>
          </cell>
          <cell r="E10" t="str">
            <v>NUR IRAWATI</v>
          </cell>
        </row>
        <row r="11">
          <cell r="A11">
            <v>7</v>
          </cell>
          <cell r="B11" t="str">
            <v>601 雅加达西北 JKT BU</v>
          </cell>
          <cell r="C11">
            <v>6020711</v>
          </cell>
          <cell r="D11" t="str">
            <v>6020711-vivostore emporium</v>
          </cell>
          <cell r="E11" t="str">
            <v>M KHOIRUDIN</v>
          </cell>
        </row>
        <row r="12">
          <cell r="A12">
            <v>8</v>
          </cell>
          <cell r="B12" t="str">
            <v>601 雅加达西北 JKT BU</v>
          </cell>
          <cell r="C12">
            <v>6010711</v>
          </cell>
          <cell r="D12" t="str">
            <v>6010711-LIPPO MALL PURI 1FK02</v>
          </cell>
          <cell r="E12" t="str">
            <v>HERRU ILYASA</v>
          </cell>
        </row>
        <row r="13">
          <cell r="A13">
            <v>9</v>
          </cell>
          <cell r="B13" t="str">
            <v>601 雅加达西北 JKT BU</v>
          </cell>
          <cell r="C13">
            <v>6020706</v>
          </cell>
          <cell r="D13" t="str">
            <v>6020706-MVS CEMPAKA SHOWROOM 2 (454)</v>
          </cell>
          <cell r="E13" t="str">
            <v>NOVIA HARYANTI</v>
          </cell>
        </row>
        <row r="14">
          <cell r="A14">
            <v>10</v>
          </cell>
          <cell r="B14" t="str">
            <v>601 雅加达西北 JKT BU</v>
          </cell>
          <cell r="C14">
            <v>6020704</v>
          </cell>
          <cell r="D14" t="str">
            <v>6020704-MVS CEMPAKA SHOWROOM 14 (8TOKO)</v>
          </cell>
          <cell r="E14" t="str">
            <v>NOVIA HARYANTI</v>
          </cell>
        </row>
        <row r="15">
          <cell r="A15">
            <v>11</v>
          </cell>
          <cell r="B15" t="str">
            <v>604 雅加达东南 JKT TS</v>
          </cell>
          <cell r="C15">
            <v>6040701</v>
          </cell>
          <cell r="D15" t="str">
            <v>A200402-ITC-VIVO STORE 1</v>
          </cell>
          <cell r="E15" t="str">
            <v>Erlangga Pradita</v>
          </cell>
        </row>
        <row r="16">
          <cell r="A16">
            <v>12</v>
          </cell>
          <cell r="B16" t="str">
            <v>604 雅加达东南 JKT TS</v>
          </cell>
          <cell r="C16">
            <v>6080712</v>
          </cell>
          <cell r="D16" t="str">
            <v>6080712-MVS ITC DEPOK VIVO STORE 2</v>
          </cell>
          <cell r="E16" t="str">
            <v>Erlangga Pradita</v>
          </cell>
        </row>
        <row r="17">
          <cell r="A17">
            <v>13</v>
          </cell>
          <cell r="B17" t="str">
            <v>604 雅加达东南 JKT TS</v>
          </cell>
          <cell r="C17">
            <v>6040702</v>
          </cell>
          <cell r="D17" t="str">
            <v>6040702-TRAN STUDIO MALL 2F059</v>
          </cell>
          <cell r="E17" t="str">
            <v>Erlangga Pradita</v>
          </cell>
        </row>
        <row r="18">
          <cell r="A18">
            <v>14</v>
          </cell>
          <cell r="B18" t="str">
            <v>604 雅加达东南 JKT TS</v>
          </cell>
          <cell r="C18">
            <v>6040703</v>
          </cell>
          <cell r="D18" t="str">
            <v>6040703-SAWANGAN 1F1-0320</v>
          </cell>
          <cell r="E18" t="str">
            <v>Erlangga Pradita</v>
          </cell>
        </row>
        <row r="19">
          <cell r="A19">
            <v>15</v>
          </cell>
          <cell r="B19" t="str">
            <v>605 勿加泗 BEKASI</v>
          </cell>
          <cell r="C19">
            <v>6050701</v>
          </cell>
          <cell r="D19" t="str">
            <v>6050701-MVS X6 DS0824</v>
          </cell>
          <cell r="E19" t="str">
            <v>M RIZKI</v>
          </cell>
        </row>
        <row r="20">
          <cell r="A20">
            <v>16</v>
          </cell>
          <cell r="B20" t="str">
            <v>605 勿加泗 BEKASI</v>
          </cell>
          <cell r="C20">
            <v>6220701</v>
          </cell>
          <cell r="D20" t="str">
            <v>6220701-MVS MBH-VIP VIVO STORE-DD284</v>
          </cell>
          <cell r="E20" t="str">
            <v>M RIZKI</v>
          </cell>
        </row>
        <row r="21">
          <cell r="A21">
            <v>17</v>
          </cell>
          <cell r="B21" t="str">
            <v>605 勿加泗 BEKASI</v>
          </cell>
          <cell r="C21">
            <v>6050705</v>
          </cell>
          <cell r="D21" t="str">
            <v>6050705-MBH 2F009</v>
          </cell>
          <cell r="E21" t="str">
            <v>M RIZKI</v>
          </cell>
        </row>
        <row r="22">
          <cell r="A22">
            <v>18</v>
          </cell>
          <cell r="B22" t="str">
            <v>605 勿加泗 BEKASI</v>
          </cell>
          <cell r="C22">
            <v>6050706</v>
          </cell>
          <cell r="D22" t="str">
            <v>6050706-AEON MALL DELTAMAS 1F081</v>
          </cell>
          <cell r="E22" t="str">
            <v>M RIZKI</v>
          </cell>
        </row>
        <row r="23">
          <cell r="A23">
            <v>19</v>
          </cell>
          <cell r="B23" t="str">
            <v>618 茂物 BOGOR</v>
          </cell>
          <cell r="C23">
            <v>6180706</v>
          </cell>
          <cell r="D23" t="str">
            <v>6180706-MVS MALL CCM</v>
          </cell>
          <cell r="E23" t="str">
            <v>DANDI SURYA</v>
          </cell>
        </row>
        <row r="24">
          <cell r="A24">
            <v>20</v>
          </cell>
          <cell r="B24" t="str">
            <v>618 茂物 BOGOR</v>
          </cell>
          <cell r="C24">
            <v>6180707</v>
          </cell>
          <cell r="D24" t="str">
            <v>6180707-SC BTM</v>
          </cell>
          <cell r="E24" t="str">
            <v>DANDI SURYA</v>
          </cell>
        </row>
        <row r="25">
          <cell r="A25">
            <v>21</v>
          </cell>
          <cell r="B25" t="str">
            <v>624-万丹BANTEN</v>
          </cell>
          <cell r="C25">
            <v>6170707</v>
          </cell>
          <cell r="D25" t="str">
            <v>6170707-LG BLOK D NO. 01D SKY 7</v>
          </cell>
          <cell r="E25" t="str">
            <v>ARIES FITRIYANTO</v>
          </cell>
        </row>
        <row r="26">
          <cell r="A26">
            <v>22</v>
          </cell>
          <cell r="B26" t="str">
            <v>624-万丹BANTEN</v>
          </cell>
          <cell r="C26">
            <v>6240702</v>
          </cell>
          <cell r="D26" t="str">
            <v>A200902-LG BLOK B NO. 01B SKY M3</v>
          </cell>
          <cell r="E26" t="str">
            <v>ARIES FITRIYANTO</v>
          </cell>
        </row>
        <row r="27">
          <cell r="A27">
            <v>23</v>
          </cell>
          <cell r="B27" t="str">
            <v>624-万丹BANTEN</v>
          </cell>
          <cell r="C27">
            <v>6240704</v>
          </cell>
          <cell r="D27" t="str">
            <v>6240704-TANGCITY LG017 WEST LOBBY</v>
          </cell>
          <cell r="E27" t="str">
            <v>ARIES FITRIYANTO</v>
          </cell>
        </row>
        <row r="28">
          <cell r="A28">
            <v>24</v>
          </cell>
          <cell r="B28" t="str">
            <v>624-万丹BANTEN</v>
          </cell>
          <cell r="C28">
            <v>6240701</v>
          </cell>
          <cell r="D28" t="str">
            <v>A200803-LG BLOK A-B NO. 12 SKY 5</v>
          </cell>
          <cell r="E28" t="str">
            <v>DHANI EKO NUGROHO</v>
          </cell>
        </row>
        <row r="29">
          <cell r="A29">
            <v>25</v>
          </cell>
          <cell r="B29" t="str">
            <v>624-万丹BANTEN</v>
          </cell>
          <cell r="C29">
            <v>6170706</v>
          </cell>
          <cell r="D29" t="str">
            <v>A200802-CHARLES</v>
          </cell>
          <cell r="E29" t="str">
            <v>DHANI EKO NUGROHO</v>
          </cell>
        </row>
        <row r="30">
          <cell r="A30">
            <v>26</v>
          </cell>
          <cell r="B30" t="str">
            <v>624-万丹BANTEN</v>
          </cell>
          <cell r="C30">
            <v>6240703</v>
          </cell>
          <cell r="D30" t="str">
            <v>6240703-TANGCITY LG009 CENTER</v>
          </cell>
          <cell r="E30" t="str">
            <v>DHANI EKO NUGROHO</v>
          </cell>
        </row>
        <row r="31">
          <cell r="A31">
            <v>27</v>
          </cell>
          <cell r="B31" t="str">
            <v>624-万丹BANTEN</v>
          </cell>
          <cell r="C31">
            <v>6170703</v>
          </cell>
          <cell r="D31" t="str">
            <v>6170703-4004 MVS-BNT-CCM STORE</v>
          </cell>
          <cell r="E31" t="str">
            <v>DWI IRAWAN ( PIC )</v>
          </cell>
        </row>
        <row r="32">
          <cell r="A32">
            <v>28</v>
          </cell>
          <cell r="B32" t="str">
            <v>624-万丹BANTEN</v>
          </cell>
          <cell r="C32">
            <v>6240705</v>
          </cell>
          <cell r="D32" t="str">
            <v>6240705-CIPUTRA 2FC15</v>
          </cell>
          <cell r="E32" t="str">
            <v>DHANI EKO NUGROHO</v>
          </cell>
        </row>
        <row r="33">
          <cell r="A33">
            <v>29</v>
          </cell>
          <cell r="B33" t="str">
            <v>624-万丹BANTEN</v>
          </cell>
          <cell r="C33">
            <v>6240709</v>
          </cell>
          <cell r="D33" t="str">
            <v>6240709-ITC BSD 1F49-50</v>
          </cell>
          <cell r="E33" t="str">
            <v>ARIES FITRIYANTO</v>
          </cell>
        </row>
        <row r="34">
          <cell r="A34">
            <v>30</v>
          </cell>
          <cell r="B34" t="str">
            <v>624-万丹BANTEN</v>
          </cell>
          <cell r="C34">
            <v>6240708</v>
          </cell>
          <cell r="D34" t="str">
            <v>6240708-ITC BSD 1F09-14</v>
          </cell>
          <cell r="E34" t="str">
            <v>ARIES FITRIYANTO</v>
          </cell>
        </row>
        <row r="35">
          <cell r="A35">
            <v>31</v>
          </cell>
          <cell r="B35" t="str">
            <v>624-万丹BANTEN</v>
          </cell>
          <cell r="C35">
            <v>6240707</v>
          </cell>
          <cell r="D35" t="str">
            <v>6240707-SUPERMALL UGN3A</v>
          </cell>
          <cell r="E35" t="str">
            <v>ADE RIVALDI L</v>
          </cell>
        </row>
        <row r="36">
          <cell r="A36">
            <v>32</v>
          </cell>
          <cell r="B36" t="str">
            <v>624-万丹BANTEN</v>
          </cell>
          <cell r="C36">
            <v>6240706</v>
          </cell>
          <cell r="D36" t="str">
            <v>6240706-SUPERMALL LGC3A</v>
          </cell>
          <cell r="E36" t="str">
            <v>ADE RIVALDI L</v>
          </cell>
        </row>
        <row r="37">
          <cell r="A37">
            <v>33</v>
          </cell>
          <cell r="B37" t="str">
            <v>619-万隆市区BDG KOTA</v>
          </cell>
          <cell r="C37">
            <v>6190701</v>
          </cell>
          <cell r="D37" t="str">
            <v>6190701-VIVO STORE UG</v>
          </cell>
          <cell r="E37" t="str">
            <v>EKO PURWANTO</v>
          </cell>
        </row>
        <row r="38">
          <cell r="A38">
            <v>34</v>
          </cell>
          <cell r="B38" t="str">
            <v>619-万隆市区BDG KOTA</v>
          </cell>
          <cell r="C38">
            <v>6190706</v>
          </cell>
          <cell r="D38" t="str">
            <v>A300102-VIVO STORE 4 BEC</v>
          </cell>
          <cell r="E38" t="str">
            <v>EKO PURWANTO</v>
          </cell>
        </row>
        <row r="39">
          <cell r="A39">
            <v>35</v>
          </cell>
          <cell r="B39" t="str">
            <v>619-万隆市区BDG KOTA</v>
          </cell>
          <cell r="C39">
            <v>6190705</v>
          </cell>
          <cell r="D39" t="str">
            <v>A300105-VIVO STORE LG F20</v>
          </cell>
          <cell r="E39" t="str">
            <v>EKO PURWANTO</v>
          </cell>
        </row>
        <row r="40">
          <cell r="A40">
            <v>36</v>
          </cell>
          <cell r="B40" t="str">
            <v>619-万隆市区BDG KOTA</v>
          </cell>
          <cell r="C40">
            <v>6190704</v>
          </cell>
          <cell r="D40" t="str">
            <v>A300201-VIVO STORE 1 BEC</v>
          </cell>
          <cell r="E40" t="str">
            <v>NENG TOTOH</v>
          </cell>
        </row>
        <row r="41">
          <cell r="A41">
            <v>37</v>
          </cell>
          <cell r="B41" t="str">
            <v>619-万隆市区BDG KOTA</v>
          </cell>
          <cell r="C41">
            <v>6190707</v>
          </cell>
          <cell r="D41" t="str">
            <v>A300202-VIVO STORE LU</v>
          </cell>
          <cell r="E41" t="str">
            <v>NENG TOTOH</v>
          </cell>
        </row>
        <row r="42">
          <cell r="A42">
            <v>38</v>
          </cell>
          <cell r="B42" t="str">
            <v>619-万隆市区BDG KOTA</v>
          </cell>
          <cell r="C42">
            <v>6190708</v>
          </cell>
          <cell r="D42" t="str">
            <v>6190708-BEC SC LGAA07</v>
          </cell>
          <cell r="E42" t="str">
            <v>NENG TOTOH</v>
          </cell>
        </row>
        <row r="43">
          <cell r="A43">
            <v>39</v>
          </cell>
          <cell r="B43" t="str">
            <v>615-中爪哇东SOLO</v>
          </cell>
          <cell r="C43">
            <v>6150702</v>
          </cell>
          <cell r="D43" t="str">
            <v>6150702-GRANMALL SC GF-11</v>
          </cell>
          <cell r="E43" t="str">
            <v>BIRILYAN KUSWARA</v>
          </cell>
        </row>
        <row r="44">
          <cell r="A44">
            <v>40</v>
          </cell>
          <cell r="B44" t="str">
            <v>中爪哇西 - Purwokerto</v>
          </cell>
          <cell r="C44">
            <v>6130702</v>
          </cell>
          <cell r="D44" t="str">
            <v>6130702-RITA SUPERMALL SF36-37</v>
          </cell>
          <cell r="E44" t="str">
            <v>FRISKA FAJAR</v>
          </cell>
        </row>
        <row r="45">
          <cell r="A45">
            <v>41</v>
          </cell>
          <cell r="B45" t="str">
            <v>614 三宝垄 Semarang</v>
          </cell>
          <cell r="C45">
            <v>6100702</v>
          </cell>
          <cell r="D45" t="str">
            <v>6100702-VS Jogja City Mall</v>
          </cell>
          <cell r="E45" t="str">
            <v>BIRILYAN KUSWARA</v>
          </cell>
        </row>
        <row r="46">
          <cell r="A46">
            <v>42</v>
          </cell>
          <cell r="B46" t="str">
            <v>614 三宝垄 Semarang</v>
          </cell>
          <cell r="C46">
            <v>6140706</v>
          </cell>
          <cell r="D46" t="str">
            <v>6140706-23 SEMARANG MALL 1F065-66</v>
          </cell>
          <cell r="E46" t="str">
            <v>VICKY DINDA INEZ</v>
          </cell>
        </row>
        <row r="47">
          <cell r="A47">
            <v>43</v>
          </cell>
          <cell r="B47" t="str">
            <v>614 三宝垄 Semarang</v>
          </cell>
          <cell r="C47">
            <v>6140705</v>
          </cell>
          <cell r="D47" t="str">
            <v>6140705-QUEENCITY 2F027</v>
          </cell>
          <cell r="E47" t="str">
            <v>EDI SUSANTO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>
        <row r="7">
          <cell r="D7" t="str">
            <v>3mio&lt;</v>
          </cell>
          <cell r="L7" t="str">
            <v>3mio&gt;</v>
          </cell>
        </row>
        <row r="8">
          <cell r="D8" t="str">
            <v>Y05</v>
          </cell>
          <cell r="F8" t="str">
            <v>Y11d</v>
          </cell>
          <cell r="H8" t="str">
            <v>Watch GT 2</v>
          </cell>
          <cell r="J8" t="str">
            <v>Y05e</v>
          </cell>
          <cell r="L8" t="str">
            <v>V70</v>
          </cell>
          <cell r="N8" t="str">
            <v>Y31d Pro</v>
          </cell>
          <cell r="P8" t="str">
            <v>Y11d</v>
          </cell>
          <cell r="R8" t="str">
            <v xml:space="preserve">Y31d </v>
          </cell>
          <cell r="T8" t="str">
            <v>V70 FE</v>
          </cell>
          <cell r="V8" t="str">
            <v>Y31d</v>
          </cell>
          <cell r="X8" t="str">
            <v>Y500</v>
          </cell>
          <cell r="Z8" t="str">
            <v>IQOO 15R</v>
          </cell>
          <cell r="AB8" t="str">
            <v>V60 Lite</v>
          </cell>
          <cell r="AD8" t="str">
            <v>X300 Ultra</v>
          </cell>
          <cell r="AF8" t="str">
            <v>IQOO 15</v>
          </cell>
          <cell r="AH8" t="str">
            <v>IQOO Z11x</v>
          </cell>
          <cell r="AJ8" t="str">
            <v>IQOO Z11</v>
          </cell>
        </row>
        <row r="10">
          <cell r="B10">
            <v>6170706</v>
          </cell>
          <cell r="D10">
            <v>4</v>
          </cell>
          <cell r="E10">
            <v>9796000</v>
          </cell>
          <cell r="F10">
            <v>10</v>
          </cell>
          <cell r="G10">
            <v>27590000</v>
          </cell>
          <cell r="J10">
            <v>4</v>
          </cell>
          <cell r="K10">
            <v>8396000</v>
          </cell>
          <cell r="N10">
            <v>2</v>
          </cell>
          <cell r="O10">
            <v>7798000</v>
          </cell>
          <cell r="T10">
            <v>1</v>
          </cell>
          <cell r="U10">
            <v>7199000</v>
          </cell>
          <cell r="X10">
            <v>1</v>
          </cell>
          <cell r="Y10">
            <v>6299000</v>
          </cell>
          <cell r="AL10">
            <v>22</v>
          </cell>
          <cell r="AM10">
            <v>67078000</v>
          </cell>
        </row>
        <row r="11">
          <cell r="B11">
            <v>6170707</v>
          </cell>
          <cell r="D11">
            <v>6</v>
          </cell>
          <cell r="E11">
            <v>14694000</v>
          </cell>
          <cell r="F11">
            <v>8</v>
          </cell>
          <cell r="G11">
            <v>21192000</v>
          </cell>
          <cell r="X11">
            <v>1</v>
          </cell>
          <cell r="Y11">
            <v>5499000</v>
          </cell>
          <cell r="AB11">
            <v>1</v>
          </cell>
          <cell r="AC11">
            <v>5299000</v>
          </cell>
          <cell r="AL11">
            <v>16</v>
          </cell>
          <cell r="AM11">
            <v>46684000</v>
          </cell>
        </row>
        <row r="12">
          <cell r="B12">
            <v>6240702</v>
          </cell>
          <cell r="D12">
            <v>2</v>
          </cell>
          <cell r="E12">
            <v>4898000</v>
          </cell>
          <cell r="F12">
            <v>6</v>
          </cell>
          <cell r="G12">
            <v>15194000</v>
          </cell>
          <cell r="J12">
            <v>3</v>
          </cell>
          <cell r="K12">
            <v>6297000</v>
          </cell>
          <cell r="L12">
            <v>2</v>
          </cell>
          <cell r="M12">
            <v>18998000</v>
          </cell>
          <cell r="N12">
            <v>2</v>
          </cell>
          <cell r="O12">
            <v>8798000</v>
          </cell>
          <cell r="X12">
            <v>1</v>
          </cell>
          <cell r="Y12">
            <v>5499000</v>
          </cell>
          <cell r="AB12">
            <v>3</v>
          </cell>
          <cell r="AC12">
            <v>16497000</v>
          </cell>
          <cell r="AL12">
            <v>19</v>
          </cell>
          <cell r="AM12">
            <v>76181000</v>
          </cell>
        </row>
        <row r="13">
          <cell r="B13">
            <v>6240701</v>
          </cell>
          <cell r="D13">
            <v>5</v>
          </cell>
          <cell r="E13">
            <v>12695000</v>
          </cell>
          <cell r="F13">
            <v>11</v>
          </cell>
          <cell r="G13">
            <v>28789000</v>
          </cell>
          <cell r="J13">
            <v>3</v>
          </cell>
          <cell r="K13">
            <v>6297000</v>
          </cell>
          <cell r="N13">
            <v>4</v>
          </cell>
          <cell r="O13">
            <v>18596000</v>
          </cell>
          <cell r="R13">
            <v>1</v>
          </cell>
          <cell r="S13">
            <v>3599000</v>
          </cell>
          <cell r="T13">
            <v>1</v>
          </cell>
          <cell r="U13">
            <v>6499000</v>
          </cell>
          <cell r="X13">
            <v>1</v>
          </cell>
          <cell r="Y13">
            <v>6299000</v>
          </cell>
          <cell r="AL13">
            <v>26</v>
          </cell>
          <cell r="AM13">
            <v>82774000</v>
          </cell>
        </row>
        <row r="14">
          <cell r="B14">
            <v>6170703</v>
          </cell>
          <cell r="F14">
            <v>1</v>
          </cell>
          <cell r="G14">
            <v>2399000</v>
          </cell>
          <cell r="L14">
            <v>1</v>
          </cell>
          <cell r="M14">
            <v>9999000</v>
          </cell>
          <cell r="T14">
            <v>1</v>
          </cell>
          <cell r="U14">
            <v>6999000</v>
          </cell>
          <cell r="AJ14">
            <v>1</v>
          </cell>
          <cell r="AK14">
            <v>6899000</v>
          </cell>
          <cell r="AL14">
            <v>4</v>
          </cell>
          <cell r="AM14">
            <v>26296000</v>
          </cell>
        </row>
        <row r="15">
          <cell r="B15">
            <v>6240704</v>
          </cell>
          <cell r="J15">
            <v>2</v>
          </cell>
          <cell r="K15">
            <v>4198000</v>
          </cell>
          <cell r="AL15">
            <v>2</v>
          </cell>
          <cell r="AM15">
            <v>4198000</v>
          </cell>
        </row>
        <row r="16">
          <cell r="B16">
            <v>6240703</v>
          </cell>
          <cell r="D16">
            <v>4</v>
          </cell>
          <cell r="E16">
            <v>9796000</v>
          </cell>
          <cell r="F16">
            <v>3</v>
          </cell>
          <cell r="G16">
            <v>7997000</v>
          </cell>
          <cell r="J16">
            <v>1</v>
          </cell>
          <cell r="K16">
            <v>2099000</v>
          </cell>
          <cell r="L16">
            <v>1</v>
          </cell>
          <cell r="M16">
            <v>9999000</v>
          </cell>
          <cell r="N16">
            <v>4</v>
          </cell>
          <cell r="O16">
            <v>15996000</v>
          </cell>
          <cell r="V16">
            <v>1</v>
          </cell>
          <cell r="W16">
            <v>3599000</v>
          </cell>
          <cell r="AB16">
            <v>1</v>
          </cell>
          <cell r="AC16">
            <v>5899000</v>
          </cell>
          <cell r="AD16">
            <v>1</v>
          </cell>
          <cell r="AE16">
            <v>25999000</v>
          </cell>
          <cell r="AJ16">
            <v>1</v>
          </cell>
          <cell r="AK16">
            <v>7999000</v>
          </cell>
          <cell r="AL16">
            <v>17</v>
          </cell>
          <cell r="AM16">
            <v>89383000</v>
          </cell>
        </row>
        <row r="17">
          <cell r="B17">
            <v>6240705</v>
          </cell>
          <cell r="D17">
            <v>1</v>
          </cell>
          <cell r="E17">
            <v>2599000</v>
          </cell>
          <cell r="F17">
            <v>1</v>
          </cell>
          <cell r="G17">
            <v>2799000</v>
          </cell>
          <cell r="J17">
            <v>1</v>
          </cell>
          <cell r="K17">
            <v>2099000</v>
          </cell>
          <cell r="L17">
            <v>1</v>
          </cell>
          <cell r="M17">
            <v>9999000</v>
          </cell>
          <cell r="N17">
            <v>1</v>
          </cell>
          <cell r="O17">
            <v>4299000</v>
          </cell>
          <cell r="T17">
            <v>1</v>
          </cell>
          <cell r="U17">
            <v>6499000</v>
          </cell>
          <cell r="X17">
            <v>1</v>
          </cell>
          <cell r="Y17">
            <v>5499000</v>
          </cell>
          <cell r="AJ17">
            <v>3</v>
          </cell>
          <cell r="AK17">
            <v>22197000</v>
          </cell>
          <cell r="AL17">
            <v>10</v>
          </cell>
          <cell r="AM17">
            <v>55990000</v>
          </cell>
        </row>
        <row r="18">
          <cell r="B18">
            <v>6240707</v>
          </cell>
          <cell r="F18">
            <v>2</v>
          </cell>
          <cell r="G18">
            <v>5598000</v>
          </cell>
          <cell r="J18">
            <v>1</v>
          </cell>
          <cell r="K18">
            <v>2099000</v>
          </cell>
          <cell r="N18">
            <v>1</v>
          </cell>
          <cell r="O18">
            <v>4299000</v>
          </cell>
          <cell r="AL18">
            <v>4</v>
          </cell>
          <cell r="AM18">
            <v>11996000</v>
          </cell>
        </row>
        <row r="19">
          <cell r="B19">
            <v>6240706</v>
          </cell>
          <cell r="F19">
            <v>2</v>
          </cell>
          <cell r="G19">
            <v>5198000</v>
          </cell>
          <cell r="N19">
            <v>2</v>
          </cell>
          <cell r="O19">
            <v>9398000</v>
          </cell>
          <cell r="AB19">
            <v>1</v>
          </cell>
          <cell r="AC19">
            <v>5299000</v>
          </cell>
          <cell r="AL19">
            <v>5</v>
          </cell>
          <cell r="AM19">
            <v>19895000</v>
          </cell>
        </row>
        <row r="20">
          <cell r="B20">
            <v>6240709</v>
          </cell>
          <cell r="D20">
            <v>1</v>
          </cell>
          <cell r="E20">
            <v>2299000</v>
          </cell>
          <cell r="F20">
            <v>1</v>
          </cell>
          <cell r="G20">
            <v>2399000</v>
          </cell>
          <cell r="N20">
            <v>2</v>
          </cell>
          <cell r="O20">
            <v>8198000</v>
          </cell>
          <cell r="T20">
            <v>1</v>
          </cell>
          <cell r="U20">
            <v>6499000</v>
          </cell>
          <cell r="X20">
            <v>1</v>
          </cell>
          <cell r="Y20">
            <v>5499000</v>
          </cell>
          <cell r="AL20">
            <v>6</v>
          </cell>
          <cell r="AM20">
            <v>24894000</v>
          </cell>
        </row>
        <row r="21">
          <cell r="B21">
            <v>6240708</v>
          </cell>
          <cell r="F21">
            <v>2</v>
          </cell>
          <cell r="G21">
            <v>5598000</v>
          </cell>
          <cell r="J21">
            <v>1</v>
          </cell>
          <cell r="K21">
            <v>2099000</v>
          </cell>
          <cell r="N21">
            <v>1</v>
          </cell>
          <cell r="O21">
            <v>3899000</v>
          </cell>
          <cell r="P21">
            <v>1</v>
          </cell>
          <cell r="Q21">
            <v>3599000</v>
          </cell>
          <cell r="T21">
            <v>1</v>
          </cell>
          <cell r="U21">
            <v>7999000</v>
          </cell>
          <cell r="AL21">
            <v>6</v>
          </cell>
          <cell r="AM21">
            <v>23194000</v>
          </cell>
        </row>
        <row r="22">
          <cell r="B22">
            <v>6220701</v>
          </cell>
          <cell r="D22">
            <v>4</v>
          </cell>
          <cell r="E22">
            <v>9496000</v>
          </cell>
          <cell r="F22">
            <v>4</v>
          </cell>
          <cell r="G22">
            <v>11196000</v>
          </cell>
          <cell r="N22">
            <v>1</v>
          </cell>
          <cell r="O22">
            <v>4299000</v>
          </cell>
          <cell r="X22">
            <v>1</v>
          </cell>
          <cell r="Y22">
            <v>6299000</v>
          </cell>
          <cell r="AB22">
            <v>1</v>
          </cell>
          <cell r="AC22">
            <v>5999000</v>
          </cell>
          <cell r="AH22">
            <v>1</v>
          </cell>
          <cell r="AI22">
            <v>5699000</v>
          </cell>
          <cell r="AL22">
            <v>12</v>
          </cell>
          <cell r="AM22">
            <v>42988000</v>
          </cell>
        </row>
        <row r="23">
          <cell r="B23">
            <v>6050701</v>
          </cell>
          <cell r="F23">
            <v>4</v>
          </cell>
          <cell r="G23">
            <v>11196000</v>
          </cell>
          <cell r="J23">
            <v>1</v>
          </cell>
          <cell r="K23">
            <v>2099000</v>
          </cell>
          <cell r="L23">
            <v>1</v>
          </cell>
          <cell r="M23">
            <v>9999000</v>
          </cell>
          <cell r="N23">
            <v>1</v>
          </cell>
          <cell r="O23">
            <v>4299000</v>
          </cell>
          <cell r="T23">
            <v>1</v>
          </cell>
          <cell r="U23">
            <v>6499000</v>
          </cell>
          <cell r="AB23">
            <v>1</v>
          </cell>
          <cell r="AC23">
            <v>5299000</v>
          </cell>
          <cell r="AJ23">
            <v>1</v>
          </cell>
          <cell r="AK23">
            <v>6899000</v>
          </cell>
          <cell r="AL23">
            <v>10</v>
          </cell>
          <cell r="AM23">
            <v>46290000</v>
          </cell>
        </row>
        <row r="24">
          <cell r="B24">
            <v>6050705</v>
          </cell>
          <cell r="F24">
            <v>3</v>
          </cell>
          <cell r="G24">
            <v>7597000</v>
          </cell>
          <cell r="J24">
            <v>1</v>
          </cell>
          <cell r="K24">
            <v>2099000</v>
          </cell>
          <cell r="N24">
            <v>3</v>
          </cell>
          <cell r="O24">
            <v>13697000</v>
          </cell>
          <cell r="Z24">
            <v>1</v>
          </cell>
          <cell r="AA24">
            <v>11999000</v>
          </cell>
          <cell r="AJ24">
            <v>1</v>
          </cell>
          <cell r="AK24">
            <v>7999000</v>
          </cell>
          <cell r="AL24">
            <v>9</v>
          </cell>
          <cell r="AM24">
            <v>43391000</v>
          </cell>
        </row>
        <row r="25">
          <cell r="B25">
            <v>6190704</v>
          </cell>
          <cell r="D25">
            <v>1</v>
          </cell>
          <cell r="E25">
            <v>2299000</v>
          </cell>
          <cell r="F25">
            <v>8</v>
          </cell>
          <cell r="G25">
            <v>20792000</v>
          </cell>
          <cell r="J25">
            <v>10</v>
          </cell>
          <cell r="K25">
            <v>20990000</v>
          </cell>
          <cell r="L25">
            <v>1</v>
          </cell>
          <cell r="M25">
            <v>8999000</v>
          </cell>
          <cell r="N25">
            <v>5</v>
          </cell>
          <cell r="O25">
            <v>24695000</v>
          </cell>
          <cell r="T25">
            <v>4</v>
          </cell>
          <cell r="U25">
            <v>28896000</v>
          </cell>
          <cell r="X25">
            <v>1</v>
          </cell>
          <cell r="Y25">
            <v>5499000</v>
          </cell>
          <cell r="AL25">
            <v>30</v>
          </cell>
          <cell r="AM25">
            <v>112170000</v>
          </cell>
        </row>
        <row r="26">
          <cell r="B26">
            <v>6190701</v>
          </cell>
          <cell r="D26">
            <v>1</v>
          </cell>
          <cell r="E26">
            <v>2299000</v>
          </cell>
          <cell r="F26">
            <v>4</v>
          </cell>
          <cell r="G26">
            <v>11196000</v>
          </cell>
          <cell r="J26">
            <v>2</v>
          </cell>
          <cell r="K26">
            <v>4198000</v>
          </cell>
          <cell r="N26">
            <v>3</v>
          </cell>
          <cell r="O26">
            <v>11697000</v>
          </cell>
          <cell r="AL26">
            <v>10</v>
          </cell>
          <cell r="AM26">
            <v>29390000</v>
          </cell>
        </row>
        <row r="27">
          <cell r="B27">
            <v>6190707</v>
          </cell>
          <cell r="D27">
            <v>9</v>
          </cell>
          <cell r="E27">
            <v>21591000</v>
          </cell>
          <cell r="F27">
            <v>9</v>
          </cell>
          <cell r="G27">
            <v>23991000</v>
          </cell>
          <cell r="J27">
            <v>4</v>
          </cell>
          <cell r="K27">
            <v>8396000</v>
          </cell>
          <cell r="N27">
            <v>4</v>
          </cell>
          <cell r="O27">
            <v>18796000</v>
          </cell>
          <cell r="AB27">
            <v>1</v>
          </cell>
          <cell r="AC27">
            <v>5299000</v>
          </cell>
          <cell r="AH27">
            <v>1</v>
          </cell>
          <cell r="AI27">
            <v>5699000</v>
          </cell>
          <cell r="AJ27">
            <v>1</v>
          </cell>
          <cell r="AK27">
            <v>6899000</v>
          </cell>
          <cell r="AL27">
            <v>29</v>
          </cell>
          <cell r="AM27">
            <v>90671000</v>
          </cell>
        </row>
        <row r="28">
          <cell r="B28">
            <v>6190706</v>
          </cell>
          <cell r="D28">
            <v>4</v>
          </cell>
          <cell r="E28">
            <v>9796000</v>
          </cell>
          <cell r="F28">
            <v>7</v>
          </cell>
          <cell r="G28">
            <v>17993000</v>
          </cell>
          <cell r="J28">
            <v>2</v>
          </cell>
          <cell r="K28">
            <v>4198000</v>
          </cell>
          <cell r="L28">
            <v>1</v>
          </cell>
          <cell r="M28">
            <v>9999000</v>
          </cell>
          <cell r="N28">
            <v>6</v>
          </cell>
          <cell r="O28">
            <v>24994000</v>
          </cell>
          <cell r="T28">
            <v>3</v>
          </cell>
          <cell r="U28">
            <v>22397000</v>
          </cell>
          <cell r="X28">
            <v>1</v>
          </cell>
          <cell r="Y28">
            <v>5499000</v>
          </cell>
          <cell r="AB28">
            <v>1</v>
          </cell>
          <cell r="AC28">
            <v>5299000</v>
          </cell>
          <cell r="AD28">
            <v>1</v>
          </cell>
          <cell r="AE28">
            <v>25999000</v>
          </cell>
          <cell r="AJ28">
            <v>1</v>
          </cell>
          <cell r="AK28">
            <v>6899000</v>
          </cell>
          <cell r="AL28">
            <v>27</v>
          </cell>
          <cell r="AM28">
            <v>133073000</v>
          </cell>
        </row>
        <row r="29">
          <cell r="B29">
            <v>6190705</v>
          </cell>
          <cell r="D29">
            <v>1</v>
          </cell>
          <cell r="E29">
            <v>2299000</v>
          </cell>
          <cell r="F29">
            <v>3</v>
          </cell>
          <cell r="G29">
            <v>7597000</v>
          </cell>
          <cell r="J29">
            <v>1</v>
          </cell>
          <cell r="K29">
            <v>2099000</v>
          </cell>
          <cell r="N29">
            <v>2</v>
          </cell>
          <cell r="O29">
            <v>7798000</v>
          </cell>
          <cell r="P29">
            <v>1</v>
          </cell>
          <cell r="Q29">
            <v>3599000</v>
          </cell>
          <cell r="Z29">
            <v>1</v>
          </cell>
          <cell r="AA29">
            <v>11999000</v>
          </cell>
          <cell r="AL29">
            <v>9</v>
          </cell>
          <cell r="AM29">
            <v>35391000</v>
          </cell>
        </row>
        <row r="30">
          <cell r="B30">
            <v>6190708</v>
          </cell>
          <cell r="L30">
            <v>1</v>
          </cell>
          <cell r="M30">
            <v>9999000</v>
          </cell>
          <cell r="AL30">
            <v>1</v>
          </cell>
          <cell r="AM30">
            <v>9999000</v>
          </cell>
        </row>
        <row r="31">
          <cell r="B31">
            <v>6180706</v>
          </cell>
          <cell r="D31">
            <v>3</v>
          </cell>
          <cell r="E31">
            <v>6897000</v>
          </cell>
          <cell r="F31">
            <v>5</v>
          </cell>
          <cell r="G31">
            <v>13195000</v>
          </cell>
          <cell r="J31">
            <v>8</v>
          </cell>
          <cell r="K31">
            <v>16792000</v>
          </cell>
          <cell r="L31">
            <v>2</v>
          </cell>
          <cell r="M31">
            <v>19998000</v>
          </cell>
          <cell r="N31">
            <v>1</v>
          </cell>
          <cell r="O31">
            <v>3899000</v>
          </cell>
          <cell r="T31">
            <v>2</v>
          </cell>
          <cell r="U31">
            <v>15998000</v>
          </cell>
          <cell r="X31">
            <v>1</v>
          </cell>
          <cell r="Y31">
            <v>6299000</v>
          </cell>
          <cell r="AB31">
            <v>2</v>
          </cell>
          <cell r="AC31">
            <v>10598000</v>
          </cell>
          <cell r="AL31">
            <v>24</v>
          </cell>
          <cell r="AM31">
            <v>93676000</v>
          </cell>
        </row>
        <row r="32">
          <cell r="B32">
            <v>6180707</v>
          </cell>
          <cell r="F32">
            <v>1</v>
          </cell>
          <cell r="G32">
            <v>2799000</v>
          </cell>
          <cell r="N32">
            <v>1</v>
          </cell>
          <cell r="O32">
            <v>4899000</v>
          </cell>
          <cell r="AL32">
            <v>2</v>
          </cell>
          <cell r="AM32">
            <v>7698000</v>
          </cell>
        </row>
        <row r="33">
          <cell r="B33">
            <v>6130702</v>
          </cell>
          <cell r="D33">
            <v>2</v>
          </cell>
          <cell r="E33">
            <v>4598000</v>
          </cell>
          <cell r="L33">
            <v>1</v>
          </cell>
          <cell r="M33">
            <v>8999000</v>
          </cell>
          <cell r="N33">
            <v>2</v>
          </cell>
          <cell r="O33">
            <v>9198000</v>
          </cell>
          <cell r="T33">
            <v>1</v>
          </cell>
          <cell r="U33">
            <v>6999000</v>
          </cell>
          <cell r="AJ33">
            <v>2</v>
          </cell>
          <cell r="AK33">
            <v>15098000</v>
          </cell>
          <cell r="AL33">
            <v>8</v>
          </cell>
          <cell r="AM33">
            <v>44892000</v>
          </cell>
        </row>
        <row r="34">
          <cell r="B34">
            <v>6140705</v>
          </cell>
          <cell r="F34">
            <v>1</v>
          </cell>
          <cell r="G34">
            <v>2399000</v>
          </cell>
          <cell r="L34">
            <v>2</v>
          </cell>
          <cell r="M34">
            <v>19998000</v>
          </cell>
          <cell r="T34">
            <v>2</v>
          </cell>
          <cell r="U34">
            <v>12998000</v>
          </cell>
          <cell r="AB34">
            <v>1</v>
          </cell>
          <cell r="AC34">
            <v>5299000</v>
          </cell>
          <cell r="AD34">
            <v>1</v>
          </cell>
          <cell r="AE34">
            <v>25999000</v>
          </cell>
          <cell r="AH34">
            <v>1</v>
          </cell>
          <cell r="AI34">
            <v>5699000</v>
          </cell>
          <cell r="AJ34">
            <v>3</v>
          </cell>
          <cell r="AK34">
            <v>20697000</v>
          </cell>
          <cell r="AL34">
            <v>11</v>
          </cell>
          <cell r="AM34">
            <v>93089000</v>
          </cell>
        </row>
        <row r="35">
          <cell r="B35">
            <v>6140706</v>
          </cell>
          <cell r="F35">
            <v>1</v>
          </cell>
          <cell r="G35">
            <v>2799000</v>
          </cell>
          <cell r="L35">
            <v>1</v>
          </cell>
          <cell r="M35">
            <v>9999000</v>
          </cell>
          <cell r="N35">
            <v>1</v>
          </cell>
          <cell r="O35">
            <v>3899000</v>
          </cell>
          <cell r="AD35">
            <v>1</v>
          </cell>
          <cell r="AE35">
            <v>25999000</v>
          </cell>
          <cell r="AL35">
            <v>4</v>
          </cell>
          <cell r="AM35">
            <v>42696000</v>
          </cell>
        </row>
        <row r="36">
          <cell r="B36">
            <v>6080712</v>
          </cell>
          <cell r="D36">
            <v>1</v>
          </cell>
          <cell r="E36">
            <v>2599000</v>
          </cell>
          <cell r="F36">
            <v>4</v>
          </cell>
          <cell r="G36">
            <v>10796000</v>
          </cell>
          <cell r="J36">
            <v>1</v>
          </cell>
          <cell r="K36">
            <v>2099000</v>
          </cell>
          <cell r="L36">
            <v>2</v>
          </cell>
          <cell r="M36">
            <v>20998000</v>
          </cell>
          <cell r="N36">
            <v>1</v>
          </cell>
          <cell r="O36">
            <v>5499000</v>
          </cell>
          <cell r="X36">
            <v>2</v>
          </cell>
          <cell r="Y36">
            <v>11798000</v>
          </cell>
          <cell r="AB36">
            <v>2</v>
          </cell>
          <cell r="AC36">
            <v>11998000</v>
          </cell>
          <cell r="AH36">
            <v>1</v>
          </cell>
          <cell r="AI36">
            <v>5699000</v>
          </cell>
          <cell r="AJ36">
            <v>1</v>
          </cell>
          <cell r="AK36">
            <v>8399000</v>
          </cell>
          <cell r="AL36">
            <v>15</v>
          </cell>
          <cell r="AM36">
            <v>79885000</v>
          </cell>
        </row>
        <row r="37">
          <cell r="B37">
            <v>6040701</v>
          </cell>
          <cell r="D37">
            <v>4</v>
          </cell>
          <cell r="E37">
            <v>10396000</v>
          </cell>
          <cell r="F37">
            <v>4</v>
          </cell>
          <cell r="G37">
            <v>10396000</v>
          </cell>
          <cell r="J37">
            <v>1</v>
          </cell>
          <cell r="K37">
            <v>2099000</v>
          </cell>
          <cell r="N37">
            <v>6</v>
          </cell>
          <cell r="O37">
            <v>27394000</v>
          </cell>
          <cell r="T37">
            <v>3</v>
          </cell>
          <cell r="U37">
            <v>21197000</v>
          </cell>
          <cell r="X37">
            <v>1</v>
          </cell>
          <cell r="Y37">
            <v>5499000</v>
          </cell>
          <cell r="AL37">
            <v>19</v>
          </cell>
          <cell r="AM37">
            <v>76981000</v>
          </cell>
        </row>
        <row r="38">
          <cell r="B38">
            <v>6040702</v>
          </cell>
          <cell r="D38">
            <v>2</v>
          </cell>
          <cell r="E38">
            <v>5198000</v>
          </cell>
          <cell r="J38">
            <v>1</v>
          </cell>
          <cell r="K38">
            <v>2099000</v>
          </cell>
          <cell r="L38">
            <v>1</v>
          </cell>
          <cell r="M38">
            <v>10999000</v>
          </cell>
          <cell r="T38">
            <v>1</v>
          </cell>
          <cell r="U38">
            <v>6499000</v>
          </cell>
          <cell r="X38">
            <v>2</v>
          </cell>
          <cell r="Y38">
            <v>11798000</v>
          </cell>
          <cell r="AJ38">
            <v>1</v>
          </cell>
          <cell r="AK38">
            <v>6899000</v>
          </cell>
          <cell r="AL38">
            <v>8</v>
          </cell>
          <cell r="AM38">
            <v>43492000</v>
          </cell>
        </row>
        <row r="39">
          <cell r="B39">
            <v>6040703</v>
          </cell>
          <cell r="D39">
            <v>1</v>
          </cell>
          <cell r="E39">
            <v>2599000</v>
          </cell>
          <cell r="F39">
            <v>2</v>
          </cell>
          <cell r="G39">
            <v>5198000</v>
          </cell>
          <cell r="H39">
            <v>1</v>
          </cell>
          <cell r="I39">
            <v>1799000</v>
          </cell>
          <cell r="J39">
            <v>1</v>
          </cell>
          <cell r="K39">
            <v>2099000</v>
          </cell>
          <cell r="T39">
            <v>1</v>
          </cell>
          <cell r="U39">
            <v>6999000</v>
          </cell>
          <cell r="X39">
            <v>1</v>
          </cell>
          <cell r="Y39">
            <v>6299000</v>
          </cell>
          <cell r="AD39">
            <v>1</v>
          </cell>
          <cell r="AE39">
            <v>25999000</v>
          </cell>
          <cell r="AH39">
            <v>2</v>
          </cell>
          <cell r="AI39">
            <v>11298000</v>
          </cell>
          <cell r="AL39">
            <v>10</v>
          </cell>
          <cell r="AM39">
            <v>62290000</v>
          </cell>
        </row>
        <row r="40">
          <cell r="B40">
            <v>6020711</v>
          </cell>
          <cell r="D40">
            <v>4</v>
          </cell>
          <cell r="E40">
            <v>9196000</v>
          </cell>
          <cell r="F40">
            <v>5</v>
          </cell>
          <cell r="G40">
            <v>11995000</v>
          </cell>
          <cell r="J40">
            <v>2</v>
          </cell>
          <cell r="K40">
            <v>4198000</v>
          </cell>
          <cell r="L40">
            <v>2</v>
          </cell>
          <cell r="M40">
            <v>19998000</v>
          </cell>
          <cell r="N40">
            <v>3</v>
          </cell>
          <cell r="O40">
            <v>14297000</v>
          </cell>
          <cell r="T40">
            <v>2</v>
          </cell>
          <cell r="U40">
            <v>13498000</v>
          </cell>
          <cell r="AD40">
            <v>1</v>
          </cell>
          <cell r="AE40">
            <v>29999000</v>
          </cell>
          <cell r="AL40">
            <v>19</v>
          </cell>
          <cell r="AM40">
            <v>103181000</v>
          </cell>
        </row>
        <row r="41">
          <cell r="B41">
            <v>6020706</v>
          </cell>
          <cell r="D41">
            <v>5</v>
          </cell>
          <cell r="E41">
            <v>12095000</v>
          </cell>
          <cell r="F41">
            <v>3</v>
          </cell>
          <cell r="G41">
            <v>8397000</v>
          </cell>
          <cell r="J41">
            <v>1</v>
          </cell>
          <cell r="K41">
            <v>2099000</v>
          </cell>
          <cell r="N41">
            <v>4</v>
          </cell>
          <cell r="O41">
            <v>18596000</v>
          </cell>
          <cell r="R41">
            <v>1</v>
          </cell>
          <cell r="S41">
            <v>3599000</v>
          </cell>
          <cell r="X41">
            <v>1</v>
          </cell>
          <cell r="Y41">
            <v>6299000</v>
          </cell>
          <cell r="AB41">
            <v>2</v>
          </cell>
          <cell r="AC41">
            <v>11298000</v>
          </cell>
          <cell r="AL41">
            <v>17</v>
          </cell>
          <cell r="AM41">
            <v>62383000</v>
          </cell>
        </row>
        <row r="42">
          <cell r="B42">
            <v>6020704</v>
          </cell>
          <cell r="D42">
            <v>1</v>
          </cell>
          <cell r="E42">
            <v>2299000</v>
          </cell>
          <cell r="F42">
            <v>3</v>
          </cell>
          <cell r="G42">
            <v>8397000</v>
          </cell>
          <cell r="J42">
            <v>2</v>
          </cell>
          <cell r="K42">
            <v>4198000</v>
          </cell>
          <cell r="N42">
            <v>2</v>
          </cell>
          <cell r="O42">
            <v>8198000</v>
          </cell>
          <cell r="R42">
            <v>1</v>
          </cell>
          <cell r="S42">
            <v>3599000</v>
          </cell>
          <cell r="AB42">
            <v>1</v>
          </cell>
          <cell r="AC42">
            <v>5299000</v>
          </cell>
          <cell r="AJ42">
            <v>1</v>
          </cell>
          <cell r="AK42">
            <v>6899000</v>
          </cell>
          <cell r="AL42">
            <v>11</v>
          </cell>
          <cell r="AM42">
            <v>38889000</v>
          </cell>
        </row>
        <row r="43">
          <cell r="B43">
            <v>6010708</v>
          </cell>
          <cell r="D43">
            <v>3</v>
          </cell>
          <cell r="E43">
            <v>7797000</v>
          </cell>
          <cell r="F43">
            <v>2</v>
          </cell>
          <cell r="G43">
            <v>4798000</v>
          </cell>
          <cell r="J43">
            <v>3</v>
          </cell>
          <cell r="K43">
            <v>6297000</v>
          </cell>
          <cell r="N43">
            <v>3</v>
          </cell>
          <cell r="O43">
            <v>12897000</v>
          </cell>
          <cell r="T43">
            <v>1</v>
          </cell>
          <cell r="U43">
            <v>7999000</v>
          </cell>
          <cell r="AB43">
            <v>2</v>
          </cell>
          <cell r="AC43">
            <v>11198000</v>
          </cell>
          <cell r="AH43">
            <v>1</v>
          </cell>
          <cell r="AI43">
            <v>5699000</v>
          </cell>
          <cell r="AJ43">
            <v>1</v>
          </cell>
          <cell r="AK43">
            <v>8399000</v>
          </cell>
          <cell r="AL43">
            <v>16</v>
          </cell>
          <cell r="AM43">
            <v>65084000</v>
          </cell>
        </row>
        <row r="44">
          <cell r="B44">
            <v>6010703</v>
          </cell>
          <cell r="D44">
            <v>2</v>
          </cell>
          <cell r="E44">
            <v>4898000</v>
          </cell>
          <cell r="F44">
            <v>2</v>
          </cell>
          <cell r="G44">
            <v>4798000</v>
          </cell>
          <cell r="J44">
            <v>22</v>
          </cell>
          <cell r="K44">
            <v>46178000</v>
          </cell>
          <cell r="N44">
            <v>3</v>
          </cell>
          <cell r="O44">
            <v>12097000</v>
          </cell>
          <cell r="X44">
            <v>1</v>
          </cell>
          <cell r="Y44">
            <v>6299000</v>
          </cell>
          <cell r="AL44">
            <v>30</v>
          </cell>
          <cell r="AM44">
            <v>74270000</v>
          </cell>
        </row>
        <row r="45">
          <cell r="B45">
            <v>6010702</v>
          </cell>
          <cell r="D45">
            <v>11</v>
          </cell>
          <cell r="E45">
            <v>26489000</v>
          </cell>
          <cell r="F45">
            <v>16</v>
          </cell>
          <cell r="G45">
            <v>42384000</v>
          </cell>
          <cell r="J45">
            <v>27</v>
          </cell>
          <cell r="K45">
            <v>56673000</v>
          </cell>
          <cell r="N45">
            <v>9</v>
          </cell>
          <cell r="O45">
            <v>40491000</v>
          </cell>
          <cell r="X45">
            <v>1</v>
          </cell>
          <cell r="Y45">
            <v>5499000</v>
          </cell>
          <cell r="AB45">
            <v>1</v>
          </cell>
          <cell r="AC45">
            <v>5299000</v>
          </cell>
          <cell r="AH45">
            <v>1</v>
          </cell>
          <cell r="AI45">
            <v>5599000</v>
          </cell>
          <cell r="AJ45">
            <v>1</v>
          </cell>
          <cell r="AK45">
            <v>6699000</v>
          </cell>
          <cell r="AL45">
            <v>67</v>
          </cell>
          <cell r="AM45">
            <v>189133000</v>
          </cell>
        </row>
        <row r="46">
          <cell r="B46">
            <v>6010701</v>
          </cell>
          <cell r="D46">
            <v>14</v>
          </cell>
          <cell r="E46">
            <v>33086000</v>
          </cell>
          <cell r="F46">
            <v>8</v>
          </cell>
          <cell r="G46">
            <v>21192000</v>
          </cell>
          <cell r="J46">
            <v>18</v>
          </cell>
          <cell r="K46">
            <v>37782000</v>
          </cell>
          <cell r="L46">
            <v>1</v>
          </cell>
          <cell r="M46">
            <v>9999000</v>
          </cell>
          <cell r="N46">
            <v>13</v>
          </cell>
          <cell r="O46">
            <v>58887000</v>
          </cell>
          <cell r="P46">
            <v>1</v>
          </cell>
          <cell r="Q46">
            <v>3599000</v>
          </cell>
          <cell r="R46">
            <v>2</v>
          </cell>
          <cell r="S46">
            <v>7198000</v>
          </cell>
          <cell r="T46">
            <v>2</v>
          </cell>
          <cell r="U46">
            <v>15998000</v>
          </cell>
          <cell r="X46">
            <v>3</v>
          </cell>
          <cell r="Y46">
            <v>18097000</v>
          </cell>
          <cell r="AD46">
            <v>1</v>
          </cell>
          <cell r="AE46">
            <v>25999000</v>
          </cell>
          <cell r="AH46">
            <v>1</v>
          </cell>
          <cell r="AI46">
            <v>5699000</v>
          </cell>
          <cell r="AJ46">
            <v>2</v>
          </cell>
          <cell r="AK46">
            <v>15298000</v>
          </cell>
          <cell r="AL46">
            <v>66</v>
          </cell>
          <cell r="AM46">
            <v>252834000</v>
          </cell>
        </row>
        <row r="47">
          <cell r="B47">
            <v>6010710</v>
          </cell>
          <cell r="D47">
            <v>7</v>
          </cell>
          <cell r="E47">
            <v>17293000</v>
          </cell>
          <cell r="F47">
            <v>5</v>
          </cell>
          <cell r="G47">
            <v>13195000</v>
          </cell>
          <cell r="J47">
            <v>19</v>
          </cell>
          <cell r="K47">
            <v>39881000</v>
          </cell>
          <cell r="N47">
            <v>2</v>
          </cell>
          <cell r="O47">
            <v>8598000</v>
          </cell>
          <cell r="R47">
            <v>1</v>
          </cell>
          <cell r="S47">
            <v>3599000</v>
          </cell>
          <cell r="AL47">
            <v>34</v>
          </cell>
          <cell r="AM47">
            <v>82566000</v>
          </cell>
        </row>
        <row r="48">
          <cell r="B48">
            <v>6010709</v>
          </cell>
          <cell r="D48">
            <v>11</v>
          </cell>
          <cell r="E48">
            <v>26189000</v>
          </cell>
          <cell r="F48">
            <v>16</v>
          </cell>
          <cell r="G48">
            <v>41584000</v>
          </cell>
          <cell r="J48">
            <v>30</v>
          </cell>
          <cell r="K48">
            <v>62970000</v>
          </cell>
          <cell r="L48">
            <v>2</v>
          </cell>
          <cell r="M48">
            <v>18998000</v>
          </cell>
          <cell r="N48">
            <v>4</v>
          </cell>
          <cell r="O48">
            <v>16796000</v>
          </cell>
          <cell r="R48">
            <v>3</v>
          </cell>
          <cell r="S48">
            <v>10797000</v>
          </cell>
          <cell r="T48">
            <v>1</v>
          </cell>
          <cell r="U48">
            <v>6499000</v>
          </cell>
          <cell r="V48">
            <v>4</v>
          </cell>
          <cell r="W48">
            <v>14396000</v>
          </cell>
          <cell r="X48">
            <v>3</v>
          </cell>
          <cell r="Y48">
            <v>16497000</v>
          </cell>
          <cell r="AB48">
            <v>3</v>
          </cell>
          <cell r="AC48">
            <v>17097000</v>
          </cell>
          <cell r="AJ48">
            <v>1</v>
          </cell>
          <cell r="AK48">
            <v>6899000</v>
          </cell>
          <cell r="AL48">
            <v>78</v>
          </cell>
          <cell r="AM48">
            <v>238722000</v>
          </cell>
        </row>
        <row r="49">
          <cell r="B49">
            <v>6010711</v>
          </cell>
          <cell r="D49">
            <v>3</v>
          </cell>
          <cell r="E49">
            <v>7197000</v>
          </cell>
          <cell r="F49">
            <v>3</v>
          </cell>
          <cell r="G49">
            <v>7997000</v>
          </cell>
          <cell r="N49">
            <v>2</v>
          </cell>
          <cell r="O49">
            <v>8198000</v>
          </cell>
          <cell r="X49">
            <v>1</v>
          </cell>
          <cell r="Y49">
            <v>5499000</v>
          </cell>
          <cell r="AD49">
            <v>2</v>
          </cell>
          <cell r="AE49">
            <v>55998000</v>
          </cell>
          <cell r="AF49">
            <v>1</v>
          </cell>
          <cell r="AG49">
            <v>15999000</v>
          </cell>
          <cell r="AJ49">
            <v>1</v>
          </cell>
          <cell r="AK49">
            <v>7999000</v>
          </cell>
          <cell r="AL49">
            <v>13</v>
          </cell>
          <cell r="AM49">
            <v>108887000</v>
          </cell>
        </row>
        <row r="50">
          <cell r="B50">
            <v>6100702</v>
          </cell>
          <cell r="F50">
            <v>2</v>
          </cell>
          <cell r="G50">
            <v>5198000</v>
          </cell>
          <cell r="J50">
            <v>1</v>
          </cell>
          <cell r="K50">
            <v>2099000</v>
          </cell>
          <cell r="N50">
            <v>1</v>
          </cell>
          <cell r="O50">
            <v>4299000</v>
          </cell>
          <cell r="Z50">
            <v>1</v>
          </cell>
          <cell r="AA50">
            <v>11999000</v>
          </cell>
          <cell r="AB50">
            <v>1</v>
          </cell>
          <cell r="AC50">
            <v>5899000</v>
          </cell>
          <cell r="AL50">
            <v>6</v>
          </cell>
          <cell r="AM50">
            <v>29494000</v>
          </cell>
        </row>
        <row r="51">
          <cell r="B51">
            <v>6150702</v>
          </cell>
          <cell r="N51">
            <v>1</v>
          </cell>
          <cell r="O51">
            <v>4299000</v>
          </cell>
          <cell r="X51">
            <v>1</v>
          </cell>
          <cell r="Y51">
            <v>5499000</v>
          </cell>
          <cell r="AL51">
            <v>2</v>
          </cell>
          <cell r="AM51">
            <v>9798000</v>
          </cell>
        </row>
        <row r="52">
          <cell r="B52">
            <v>6050706</v>
          </cell>
          <cell r="D52">
            <v>5</v>
          </cell>
          <cell r="E52">
            <v>12695000</v>
          </cell>
          <cell r="F52">
            <v>7</v>
          </cell>
          <cell r="G52">
            <v>18793000</v>
          </cell>
          <cell r="T52">
            <v>1</v>
          </cell>
          <cell r="U52">
            <v>6999000</v>
          </cell>
          <cell r="X52">
            <v>2</v>
          </cell>
          <cell r="Y52">
            <v>11798000</v>
          </cell>
          <cell r="AL52">
            <v>15</v>
          </cell>
          <cell r="AM52">
            <v>50285000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48"/>
  <sheetViews>
    <sheetView topLeftCell="A4" workbookViewId="0">
      <selection activeCell="I21" sqref="I21"/>
    </sheetView>
  </sheetViews>
  <sheetFormatPr baseColWidth="10" defaultColWidth="11" defaultRowHeight="16" x14ac:dyDescent="0.2"/>
  <cols>
    <col min="4" max="4" width="50.83203125" customWidth="1"/>
  </cols>
  <sheetData>
    <row r="1" spans="1:69" x14ac:dyDescent="0.2">
      <c r="A1" s="159" t="s">
        <v>0</v>
      </c>
      <c r="B1" s="160"/>
      <c r="C1" s="160"/>
      <c r="D1" s="1" t="s">
        <v>1</v>
      </c>
      <c r="E1" s="1" t="s">
        <v>2</v>
      </c>
      <c r="F1" s="2" t="s">
        <v>3</v>
      </c>
      <c r="G1" s="163" t="s">
        <v>4</v>
      </c>
      <c r="H1" s="164"/>
      <c r="I1" s="163" t="s">
        <v>5</v>
      </c>
      <c r="J1" s="168"/>
      <c r="K1" s="169"/>
      <c r="L1" s="169"/>
      <c r="M1" s="169"/>
      <c r="N1" s="169"/>
      <c r="O1" s="169"/>
      <c r="P1" s="169"/>
      <c r="Q1" s="169"/>
      <c r="R1" s="169"/>
      <c r="S1" s="169"/>
      <c r="T1" s="170"/>
      <c r="U1" s="163" t="s">
        <v>6</v>
      </c>
      <c r="V1" s="168"/>
      <c r="W1" s="169"/>
      <c r="X1" s="169"/>
      <c r="Y1" s="169"/>
      <c r="Z1" s="169"/>
      <c r="AA1" s="169"/>
      <c r="AB1" s="170"/>
      <c r="AC1" s="163" t="s">
        <v>7</v>
      </c>
      <c r="AD1" s="164"/>
      <c r="AE1" s="163" t="s">
        <v>8</v>
      </c>
      <c r="AF1" s="168"/>
      <c r="AG1" s="169"/>
      <c r="AH1" s="170"/>
      <c r="AI1" s="133" t="s">
        <v>9</v>
      </c>
      <c r="AJ1" s="134"/>
      <c r="AK1" s="135"/>
      <c r="AL1" s="135"/>
      <c r="AM1" s="135"/>
      <c r="AN1" s="135"/>
      <c r="AO1" s="135"/>
      <c r="AP1" s="135"/>
      <c r="AQ1" s="135"/>
      <c r="AR1" s="135"/>
      <c r="AS1" s="135"/>
      <c r="AT1" s="135"/>
      <c r="AU1" s="135"/>
      <c r="AV1" s="135"/>
      <c r="AW1" s="135"/>
      <c r="AX1" s="135"/>
      <c r="AY1" s="135"/>
      <c r="AZ1" s="135"/>
      <c r="BA1" s="135"/>
      <c r="BB1" s="174"/>
      <c r="BC1" s="133" t="s">
        <v>10</v>
      </c>
      <c r="BD1" s="134"/>
      <c r="BE1" s="135"/>
      <c r="BF1" s="135"/>
      <c r="BG1" s="135"/>
      <c r="BH1" s="135"/>
      <c r="BI1" s="135"/>
      <c r="BJ1" s="135"/>
      <c r="BK1" s="135"/>
      <c r="BL1" s="135"/>
      <c r="BM1" s="135"/>
      <c r="BN1" s="135"/>
      <c r="BO1" s="135"/>
      <c r="BP1" s="135"/>
      <c r="BQ1" s="136"/>
    </row>
    <row r="2" spans="1:69" x14ac:dyDescent="0.2">
      <c r="A2" s="161"/>
      <c r="B2" s="162"/>
      <c r="C2" s="162"/>
      <c r="D2" s="3">
        <v>30</v>
      </c>
      <c r="E2" s="3">
        <v>6</v>
      </c>
      <c r="F2" s="4">
        <f>E2/D2</f>
        <v>0.2</v>
      </c>
      <c r="G2" s="165"/>
      <c r="H2" s="166"/>
      <c r="I2" s="165"/>
      <c r="J2" s="171"/>
      <c r="K2" s="172"/>
      <c r="L2" s="172"/>
      <c r="M2" s="172"/>
      <c r="N2" s="172"/>
      <c r="O2" s="172"/>
      <c r="P2" s="172"/>
      <c r="Q2" s="172"/>
      <c r="R2" s="172"/>
      <c r="S2" s="172"/>
      <c r="T2" s="173"/>
      <c r="U2" s="165"/>
      <c r="V2" s="171"/>
      <c r="W2" s="172"/>
      <c r="X2" s="172"/>
      <c r="Y2" s="172"/>
      <c r="Z2" s="172"/>
      <c r="AA2" s="172"/>
      <c r="AB2" s="173"/>
      <c r="AC2" s="165"/>
      <c r="AD2" s="166"/>
      <c r="AE2" s="165"/>
      <c r="AF2" s="171"/>
      <c r="AG2" s="172"/>
      <c r="AH2" s="173"/>
      <c r="AI2" s="137"/>
      <c r="AJ2" s="138"/>
      <c r="AK2" s="139"/>
      <c r="AL2" s="139"/>
      <c r="AM2" s="139"/>
      <c r="AN2" s="139"/>
      <c r="AO2" s="139"/>
      <c r="AP2" s="139"/>
      <c r="AQ2" s="139"/>
      <c r="AR2" s="139"/>
      <c r="AS2" s="139"/>
      <c r="AT2" s="139"/>
      <c r="AU2" s="139"/>
      <c r="AV2" s="139"/>
      <c r="AW2" s="139"/>
      <c r="AX2" s="139"/>
      <c r="AY2" s="139"/>
      <c r="AZ2" s="139"/>
      <c r="BA2" s="139"/>
      <c r="BB2" s="175"/>
      <c r="BC2" s="137" t="s">
        <v>11</v>
      </c>
      <c r="BD2" s="138"/>
      <c r="BE2" s="139"/>
      <c r="BF2" s="139" t="s">
        <v>12</v>
      </c>
      <c r="BG2" s="139"/>
      <c r="BH2" s="139"/>
      <c r="BI2" s="139" t="s">
        <v>13</v>
      </c>
      <c r="BJ2" s="139"/>
      <c r="BK2" s="139"/>
      <c r="BL2" s="139" t="s">
        <v>14</v>
      </c>
      <c r="BM2" s="139"/>
      <c r="BN2" s="139"/>
      <c r="BO2" s="139" t="s">
        <v>15</v>
      </c>
      <c r="BP2" s="139"/>
      <c r="BQ2" s="140"/>
    </row>
    <row r="3" spans="1:69" x14ac:dyDescent="0.2">
      <c r="A3" s="147" t="s">
        <v>16</v>
      </c>
      <c r="B3" s="149" t="s">
        <v>17</v>
      </c>
      <c r="C3" s="149" t="s">
        <v>18</v>
      </c>
      <c r="D3" s="149" t="s">
        <v>19</v>
      </c>
      <c r="E3" s="149" t="s">
        <v>20</v>
      </c>
      <c r="F3" s="152" t="s">
        <v>21</v>
      </c>
      <c r="G3" s="141"/>
      <c r="H3" s="167"/>
      <c r="I3" s="141"/>
      <c r="J3" s="142"/>
      <c r="K3" s="143"/>
      <c r="L3" s="143"/>
      <c r="M3" s="143"/>
      <c r="N3" s="143"/>
      <c r="O3" s="143"/>
      <c r="P3" s="143"/>
      <c r="Q3" s="143"/>
      <c r="R3" s="143"/>
      <c r="S3" s="143"/>
      <c r="T3" s="144"/>
      <c r="U3" s="141"/>
      <c r="V3" s="142"/>
      <c r="W3" s="143"/>
      <c r="X3" s="143"/>
      <c r="Y3" s="143"/>
      <c r="Z3" s="143"/>
      <c r="AA3" s="143"/>
      <c r="AB3" s="144"/>
      <c r="AC3" s="141"/>
      <c r="AD3" s="167"/>
      <c r="AE3" s="141"/>
      <c r="AF3" s="142"/>
      <c r="AG3" s="143"/>
      <c r="AH3" s="144"/>
      <c r="AI3" s="141" t="s">
        <v>22</v>
      </c>
      <c r="AJ3" s="142"/>
      <c r="AK3" s="143"/>
      <c r="AL3" s="143"/>
      <c r="AM3" s="143" t="s">
        <v>23</v>
      </c>
      <c r="AN3" s="143"/>
      <c r="AO3" s="143"/>
      <c r="AP3" s="143"/>
      <c r="AQ3" s="143" t="s">
        <v>24</v>
      </c>
      <c r="AR3" s="143"/>
      <c r="AS3" s="143"/>
      <c r="AT3" s="143"/>
      <c r="AU3" s="143" t="s">
        <v>25</v>
      </c>
      <c r="AV3" s="143"/>
      <c r="AW3" s="143"/>
      <c r="AX3" s="143"/>
      <c r="AY3" s="143" t="s">
        <v>26</v>
      </c>
      <c r="AZ3" s="143"/>
      <c r="BA3" s="143"/>
      <c r="BB3" s="144"/>
      <c r="BC3" s="141" t="s">
        <v>27</v>
      </c>
      <c r="BD3" s="142" t="s">
        <v>28</v>
      </c>
      <c r="BE3" s="143" t="s">
        <v>29</v>
      </c>
      <c r="BF3" s="143" t="s">
        <v>30</v>
      </c>
      <c r="BG3" s="143" t="s">
        <v>28</v>
      </c>
      <c r="BH3" s="143" t="s">
        <v>29</v>
      </c>
      <c r="BI3" s="143" t="s">
        <v>31</v>
      </c>
      <c r="BJ3" s="143" t="s">
        <v>28</v>
      </c>
      <c r="BK3" s="143" t="s">
        <v>29</v>
      </c>
      <c r="BL3" s="143" t="s">
        <v>32</v>
      </c>
      <c r="BM3" s="143" t="s">
        <v>28</v>
      </c>
      <c r="BN3" s="143" t="s">
        <v>29</v>
      </c>
      <c r="BO3" s="143" t="s">
        <v>33</v>
      </c>
      <c r="BP3" s="143" t="s">
        <v>28</v>
      </c>
      <c r="BQ3" s="157" t="s">
        <v>29</v>
      </c>
    </row>
    <row r="4" spans="1:69" ht="28" x14ac:dyDescent="0.2">
      <c r="A4" s="148"/>
      <c r="B4" s="150"/>
      <c r="C4" s="151"/>
      <c r="D4" s="150"/>
      <c r="E4" s="150"/>
      <c r="F4" s="153"/>
      <c r="G4" s="5" t="s">
        <v>22</v>
      </c>
      <c r="H4" s="6" t="s">
        <v>25</v>
      </c>
      <c r="I4" s="7" t="s">
        <v>22</v>
      </c>
      <c r="J4" s="8" t="s">
        <v>29</v>
      </c>
      <c r="K4" s="9" t="s">
        <v>34</v>
      </c>
      <c r="L4" s="9" t="s">
        <v>35</v>
      </c>
      <c r="M4" s="9" t="s">
        <v>24</v>
      </c>
      <c r="N4" s="9" t="s">
        <v>29</v>
      </c>
      <c r="O4" s="9" t="s">
        <v>8</v>
      </c>
      <c r="P4" s="9" t="s">
        <v>29</v>
      </c>
      <c r="Q4" s="9" t="s">
        <v>36</v>
      </c>
      <c r="R4" s="9" t="s">
        <v>25</v>
      </c>
      <c r="S4" s="9" t="s">
        <v>29</v>
      </c>
      <c r="T4" s="10" t="s">
        <v>34</v>
      </c>
      <c r="U4" s="11" t="s">
        <v>22</v>
      </c>
      <c r="V4" s="12" t="s">
        <v>29</v>
      </c>
      <c r="W4" s="13" t="s">
        <v>34</v>
      </c>
      <c r="X4" s="13" t="s">
        <v>24</v>
      </c>
      <c r="Y4" s="13" t="s">
        <v>34</v>
      </c>
      <c r="Z4" s="13" t="s">
        <v>25</v>
      </c>
      <c r="AA4" s="13" t="s">
        <v>34</v>
      </c>
      <c r="AB4" s="14" t="s">
        <v>29</v>
      </c>
      <c r="AC4" s="15" t="s">
        <v>22</v>
      </c>
      <c r="AD4" s="16" t="s">
        <v>25</v>
      </c>
      <c r="AE4" s="17" t="s">
        <v>37</v>
      </c>
      <c r="AF4" s="18" t="s">
        <v>38</v>
      </c>
      <c r="AG4" s="19" t="s">
        <v>34</v>
      </c>
      <c r="AH4" s="20" t="s">
        <v>29</v>
      </c>
      <c r="AI4" s="21" t="s">
        <v>37</v>
      </c>
      <c r="AJ4" s="22" t="s">
        <v>38</v>
      </c>
      <c r="AK4" s="23" t="s">
        <v>34</v>
      </c>
      <c r="AL4" s="23" t="s">
        <v>29</v>
      </c>
      <c r="AM4" s="23" t="s">
        <v>37</v>
      </c>
      <c r="AN4" s="23" t="s">
        <v>38</v>
      </c>
      <c r="AO4" s="23" t="s">
        <v>34</v>
      </c>
      <c r="AP4" s="23" t="s">
        <v>29</v>
      </c>
      <c r="AQ4" s="23" t="s">
        <v>37</v>
      </c>
      <c r="AR4" s="23" t="s">
        <v>38</v>
      </c>
      <c r="AS4" s="23" t="s">
        <v>34</v>
      </c>
      <c r="AT4" s="23" t="s">
        <v>39</v>
      </c>
      <c r="AU4" s="23" t="s">
        <v>37</v>
      </c>
      <c r="AV4" s="23" t="s">
        <v>38</v>
      </c>
      <c r="AW4" s="23" t="s">
        <v>34</v>
      </c>
      <c r="AX4" s="23" t="s">
        <v>29</v>
      </c>
      <c r="AY4" s="23" t="s">
        <v>37</v>
      </c>
      <c r="AZ4" s="23" t="s">
        <v>38</v>
      </c>
      <c r="BA4" s="23" t="s">
        <v>34</v>
      </c>
      <c r="BB4" s="24" t="s">
        <v>29</v>
      </c>
      <c r="BC4" s="154"/>
      <c r="BD4" s="155"/>
      <c r="BE4" s="156"/>
      <c r="BF4" s="156"/>
      <c r="BG4" s="156"/>
      <c r="BH4" s="156"/>
      <c r="BI4" s="156"/>
      <c r="BJ4" s="156"/>
      <c r="BK4" s="156"/>
      <c r="BL4" s="156"/>
      <c r="BM4" s="156"/>
      <c r="BN4" s="156"/>
      <c r="BO4" s="156"/>
      <c r="BP4" s="156"/>
      <c r="BQ4" s="158"/>
    </row>
    <row r="5" spans="1:69" x14ac:dyDescent="0.2">
      <c r="A5" s="25">
        <v>1</v>
      </c>
      <c r="B5" s="26" t="s">
        <v>40</v>
      </c>
      <c r="C5" s="27">
        <v>6010708</v>
      </c>
      <c r="D5" s="28" t="s">
        <v>41</v>
      </c>
      <c r="E5" s="29" t="s">
        <v>42</v>
      </c>
      <c r="F5" s="30">
        <v>3</v>
      </c>
      <c r="G5" s="31">
        <f>IFERROR(VLOOKUP(C5,'[1]TARGET THIS MONTH'!C:E,3,0),0)</f>
        <v>120</v>
      </c>
      <c r="H5" s="32">
        <f>IFERROR(VLOOKUP(C5,'[1]TARGET THIS MONTH'!C:M,11,0),0)</f>
        <v>840000000</v>
      </c>
      <c r="I5" s="31">
        <f>IFERROR(GETPIVOTDATA("Sum of Qty",'[1]DEVICE &amp; VALUE'!$A$6,"ID Store",$C5),0)</f>
        <v>16</v>
      </c>
      <c r="J5" s="33">
        <f t="shared" ref="J5:J48" si="0">I5/G5</f>
        <v>0.133333333333333</v>
      </c>
      <c r="K5" s="34">
        <f t="shared" ref="K5:K48" si="1">I5-G5</f>
        <v>-104</v>
      </c>
      <c r="L5" s="35">
        <f>IFERROR(GETPIVOTDATA("Sum of Qty",[1]PF!$A$5,"ID Store",$C5),0)</f>
        <v>3</v>
      </c>
      <c r="M5" s="35">
        <f>IFERROR(GETPIVOTDATA("Sum of Qty",'[1]DEVICE &amp; VALUE'!$A$6,"ID Store",$C5,"Segment Price","3mio&gt;"),0)</f>
        <v>8</v>
      </c>
      <c r="N5" s="36">
        <f t="shared" ref="N5:N47" si="2">IFERROR(M5/I5,0)</f>
        <v>0.5</v>
      </c>
      <c r="O5" s="37">
        <f>IFERROR(GETPIVOTDATA("Sum of Qty",[1]IQOO!$A$6,"ID Store",$C5),0)</f>
        <v>1</v>
      </c>
      <c r="P5" s="36">
        <f t="shared" ref="P5:P47" si="3">IFERROR(O5/I5,0)</f>
        <v>6.25E-2</v>
      </c>
      <c r="Q5" s="36">
        <f t="shared" ref="Q5:Q47" si="4">IFERROR(M5/I5,0)</f>
        <v>0.5</v>
      </c>
      <c r="R5" s="38">
        <f>IFERROR(GETPIVOTDATA("Sum of SRP",'[1]DEVICE &amp; VALUE'!$A$6,"ID Store",$C5),0)</f>
        <v>65084000</v>
      </c>
      <c r="S5" s="36">
        <f t="shared" ref="S5:S47" si="5">IFERROR(R5/H5,0)</f>
        <v>7.74809523809524E-2</v>
      </c>
      <c r="T5" s="39">
        <f t="shared" ref="T5:T48" si="6">R5-H5</f>
        <v>-774916000</v>
      </c>
      <c r="U5" s="40">
        <f t="shared" ref="U5:U47" si="7">I5/$E$2*$D$2</f>
        <v>80</v>
      </c>
      <c r="V5" s="41">
        <f t="shared" ref="V5:V47" si="8">IFERROR(U5/G5,0)</f>
        <v>0.66666666666666696</v>
      </c>
      <c r="W5" s="42">
        <f t="shared" ref="W5:W48" si="9">U5-G5</f>
        <v>-40</v>
      </c>
      <c r="X5" s="42">
        <f t="shared" ref="X5:X47" si="10">M5/$E$2*$D$2</f>
        <v>40</v>
      </c>
      <c r="Y5" s="42">
        <f t="shared" ref="Y5:Y48" si="11">X5-G5</f>
        <v>-80</v>
      </c>
      <c r="Z5" s="43">
        <f t="shared" ref="Z5:Z47" si="12">R5/$E$2*$D$2</f>
        <v>325420000</v>
      </c>
      <c r="AA5" s="43">
        <f t="shared" ref="AA5:AA48" si="13">Z5-H5</f>
        <v>-514580000</v>
      </c>
      <c r="AB5" s="44">
        <f t="shared" ref="AB5:AB47" si="14">IFERROR(Z5/H5,0)</f>
        <v>0.38740476190476197</v>
      </c>
      <c r="AC5" s="45">
        <f t="shared" ref="AC5:AC47" si="15">IFERROR(($G5-$I5)/($D$2-$E$2),0)</f>
        <v>4.3333333333333304</v>
      </c>
      <c r="AD5" s="46">
        <f t="shared" ref="AD5:AD47" si="16">IFERROR(($H5-$R5)/($D$2-$E$2),0)</f>
        <v>32288166.666666701</v>
      </c>
      <c r="AE5" s="31">
        <f>IFERROR(GETPIVOTDATA("Sum of Qty",'[1]DATA LAST MONTH IQOO'!$A$6,"ID Store",$C5),0)</f>
        <v>25</v>
      </c>
      <c r="AF5" s="47">
        <f>IFERROR(GETPIVOTDATA("Sum of Qty",[1]IQOO!$A$6,"ID Store",$C5),0)</f>
        <v>1</v>
      </c>
      <c r="AG5" s="34">
        <f t="shared" ref="AG5:AG48" si="17">AF5-AE5</f>
        <v>-24</v>
      </c>
      <c r="AH5" s="48">
        <f t="shared" ref="AH5:AH47" si="18">IFERROR(AG5/AE5,0)</f>
        <v>-0.96</v>
      </c>
      <c r="AI5" s="49">
        <f>IFERROR(GETPIVOTDATA("Sum of Qty",'[1]DATA LAST MONTH DEVICE'!$A$6,"ID Store",$C5),0)</f>
        <v>132</v>
      </c>
      <c r="AJ5" s="50">
        <f t="shared" ref="AJ5:AJ47" si="19">I5</f>
        <v>16</v>
      </c>
      <c r="AK5" s="34">
        <f t="shared" ref="AK5:AK48" si="20">AJ5-AI5</f>
        <v>-116</v>
      </c>
      <c r="AL5" s="36">
        <f t="shared" ref="AL5:AL47" si="21">IFERROR(AK5/AI5,0)</f>
        <v>-0.87878787878787901</v>
      </c>
      <c r="AM5" s="35">
        <f>IFERROR(GETPIVOTDATA("Sum of Qty",'[1]Store 3mio+ last month'!$A$6,"ID Store",$C5),0)</f>
        <v>132</v>
      </c>
      <c r="AN5" s="34">
        <f t="shared" ref="AN5:AN47" si="22">VLOOKUP(C:C,C:U,19,0)</f>
        <v>80</v>
      </c>
      <c r="AO5" s="34">
        <f t="shared" ref="AO5:AO48" si="23">AN5-AM5</f>
        <v>-52</v>
      </c>
      <c r="AP5" s="36">
        <f t="shared" ref="AP5:AP47" si="24">IFERROR(AO5/AM5,0)</f>
        <v>-0.39393939393939398</v>
      </c>
      <c r="AQ5" s="35">
        <f>IFERROR(GETPIVOTDATA("Sum of Qty",'[1]DATA LAST MONTH DEVICE'!$A$6,"ID Store",$C5,"Segment Price","3mio&gt;"),0)</f>
        <v>85</v>
      </c>
      <c r="AR5" s="37">
        <f t="shared" ref="AR5:AR47" si="25">M5</f>
        <v>8</v>
      </c>
      <c r="AS5" s="37">
        <f t="shared" ref="AS5:AS48" si="26">AR5-AQ5</f>
        <v>-77</v>
      </c>
      <c r="AT5" s="36">
        <f t="shared" ref="AT5:AT47" si="27">IFERROR(AS5/AQ5,0)</f>
        <v>-0.90588235294117603</v>
      </c>
      <c r="AU5" s="51">
        <f>IFERROR(GETPIVOTDATA("Sum of SRP",'[1]DATA LAST MONTH DEVICE'!$A$6,"ID Store",$C5),0)</f>
        <v>976368000</v>
      </c>
      <c r="AV5" s="51">
        <f t="shared" ref="AV5:AV47" si="28">R5</f>
        <v>65084000</v>
      </c>
      <c r="AW5" s="51">
        <f t="shared" ref="AW5:AW48" si="29">AV5-AU5</f>
        <v>-911284000</v>
      </c>
      <c r="AX5" s="36">
        <f t="shared" ref="AX5:AX47" si="30">IFERROR(AW5/AU5,0)</f>
        <v>-0.93334070760205201</v>
      </c>
      <c r="AY5" s="51">
        <f>IFERROR(VLOOKUP(C5,'[1]DATA SALES LAST MONTH'!A:E,5,0),0)</f>
        <v>7396727.2727272697</v>
      </c>
      <c r="AZ5" s="38">
        <f t="shared" ref="AZ5:AZ47" si="31">IFERROR(Z5/U5,0)</f>
        <v>4067750</v>
      </c>
      <c r="BA5" s="38">
        <f t="shared" ref="BA5:BA48" si="32">AZ5-AY5</f>
        <v>-3328977.2727272701</v>
      </c>
      <c r="BB5" s="48">
        <f t="shared" ref="BB5:BB47" si="33">IFERROR(BA5/AY5,0)</f>
        <v>-0.45006083771692601</v>
      </c>
      <c r="BC5" s="31">
        <f>IFERROR(VLOOKUP(C5,'[1]TARGET THIS MONTH'!C:U,15,0),0)</f>
        <v>12</v>
      </c>
      <c r="BD5" s="52">
        <f>IFERROR(GETPIVOTDATA("Sum of Qty",[1]ACC!$A$5,"ID Store",$C5),0)</f>
        <v>12</v>
      </c>
      <c r="BE5" s="36">
        <f t="shared" ref="BE5:BE47" si="34">IFERROR(BD5/BC5,0)</f>
        <v>1</v>
      </c>
      <c r="BF5" s="53">
        <f>IFERROR(VLOOKUP(C5,'[1]TARGET THIS MONTH'!C:U,16,0),0)</f>
        <v>4200000</v>
      </c>
      <c r="BG5" s="53">
        <f>IFERROR(GETPIVOTDATA("Sum of SRP",'[1]Insurance by Store'!$A$5,"ID Store",$C5,"Product Type","Qoala"),0)</f>
        <v>318000</v>
      </c>
      <c r="BH5" s="36">
        <f t="shared" ref="BH5:BH47" si="35">IFERROR(BG5/BF5,0)</f>
        <v>7.5714285714285706E-2</v>
      </c>
      <c r="BI5" s="53">
        <f>IFERROR(VLOOKUP(C5,'[1]TARGET THIS MONTH'!C:U,17,0),0)</f>
        <v>840000</v>
      </c>
      <c r="BJ5" s="53">
        <f>IFERROR(GETPIVOTDATA("Sum of SRP",'[1]Insurance by Store'!$A$5,"ID Store",$C5,"Product Type","Vivo Care"),0)</f>
        <v>0</v>
      </c>
      <c r="BK5" s="36">
        <f t="shared" ref="BK5:BK47" si="36">IFERROR(BJ5/BI5,0)</f>
        <v>0</v>
      </c>
      <c r="BL5" s="34">
        <f>IFERROR(VLOOKUP(C5,'[1]TARGET THIS MONTH'!C:U,18,0),0)</f>
        <v>3.6</v>
      </c>
      <c r="BM5" s="35">
        <f>IFERROR(GETPIVOTDATA("Sum of Qty",'[1]Operator by Store'!$A$5,"ID Store",$C5,"Product Type","Indosat"),0)</f>
        <v>0</v>
      </c>
      <c r="BN5" s="36">
        <f t="shared" ref="BN5:BN47" si="37">IFERROR(BM5/BL5,0)</f>
        <v>0</v>
      </c>
      <c r="BO5" s="34">
        <f>VLOOKUP(C5,'[1]TARGET THIS MONTH'!C:U,19,0)</f>
        <v>36</v>
      </c>
      <c r="BP5" s="35">
        <f>IFERROR(GETPIVOTDATA("Sum of Qty",'[1]Operator by Store'!$A$5,"ID Store",$C5,"Product Type","Telkomsel"),0)</f>
        <v>0</v>
      </c>
      <c r="BQ5" s="54">
        <f t="shared" ref="BQ5:BQ47" si="38">IFERROR(BP5/BO5,0)</f>
        <v>0</v>
      </c>
    </row>
    <row r="6" spans="1:69" x14ac:dyDescent="0.2">
      <c r="A6" s="55">
        <v>2</v>
      </c>
      <c r="B6" s="56" t="s">
        <v>40</v>
      </c>
      <c r="C6" s="57">
        <v>6010701</v>
      </c>
      <c r="D6" s="58" t="s">
        <v>43</v>
      </c>
      <c r="E6" s="59" t="s">
        <v>44</v>
      </c>
      <c r="F6" s="60">
        <v>6</v>
      </c>
      <c r="G6" s="61">
        <f>IFERROR(VLOOKUP(C6,'[1]TARGET THIS MONTH'!C:E,3,0),0)</f>
        <v>260</v>
      </c>
      <c r="H6" s="62">
        <f>IFERROR(VLOOKUP(C6,'[1]TARGET THIS MONTH'!C:M,11,0),0)</f>
        <v>962000000</v>
      </c>
      <c r="I6" s="61">
        <f>IFERROR(GETPIVOTDATA("Sum of Qty",'[1]DEVICE &amp; VALUE'!$A$6,"ID Store",$C6),0)</f>
        <v>66</v>
      </c>
      <c r="J6" s="63">
        <f t="shared" si="0"/>
        <v>0.253846153846154</v>
      </c>
      <c r="K6" s="64">
        <f t="shared" si="1"/>
        <v>-194</v>
      </c>
      <c r="L6" s="65">
        <f>IFERROR(GETPIVOTDATA("Sum of Qty",[1]PF!$A$5,"ID Store",$C6),0)</f>
        <v>18</v>
      </c>
      <c r="M6" s="65">
        <f>IFERROR(GETPIVOTDATA("Sum of Qty",'[1]DEVICE &amp; VALUE'!$A$6,"ID Store",$C6,"Segment Price","3mio&gt;"),0)</f>
        <v>26</v>
      </c>
      <c r="N6" s="66">
        <f t="shared" si="2"/>
        <v>0.39393939393939398</v>
      </c>
      <c r="O6" s="67">
        <f>IFERROR(GETPIVOTDATA("Sum of Qty",[1]IQOO!$A$6,"ID Store",$C6),0)</f>
        <v>2</v>
      </c>
      <c r="P6" s="66">
        <f t="shared" si="3"/>
        <v>3.03030303030303E-2</v>
      </c>
      <c r="Q6" s="66">
        <f t="shared" si="4"/>
        <v>0.39393939393939398</v>
      </c>
      <c r="R6" s="68">
        <f>IFERROR(GETPIVOTDATA("Sum of SRP",'[1]DEVICE &amp; VALUE'!$A$6,"ID Store",$C6),0)</f>
        <v>252834000</v>
      </c>
      <c r="S6" s="66">
        <f t="shared" si="5"/>
        <v>0.26282120582120599</v>
      </c>
      <c r="T6" s="69">
        <f t="shared" si="6"/>
        <v>-709166000</v>
      </c>
      <c r="U6" s="70">
        <f t="shared" si="7"/>
        <v>330</v>
      </c>
      <c r="V6" s="71">
        <f t="shared" si="8"/>
        <v>1.2692307692307701</v>
      </c>
      <c r="W6" s="72">
        <f t="shared" si="9"/>
        <v>70</v>
      </c>
      <c r="X6" s="72">
        <f t="shared" si="10"/>
        <v>130</v>
      </c>
      <c r="Y6" s="72">
        <f t="shared" si="11"/>
        <v>-130</v>
      </c>
      <c r="Z6" s="73">
        <f t="shared" si="12"/>
        <v>1264170000</v>
      </c>
      <c r="AA6" s="73">
        <f t="shared" si="13"/>
        <v>302170000</v>
      </c>
      <c r="AB6" s="74">
        <f t="shared" si="14"/>
        <v>1.31410602910603</v>
      </c>
      <c r="AC6" s="75">
        <f t="shared" si="15"/>
        <v>8.0833333333333304</v>
      </c>
      <c r="AD6" s="76">
        <f t="shared" si="16"/>
        <v>29548583.333333299</v>
      </c>
      <c r="AE6" s="61">
        <f>IFERROR(GETPIVOTDATA("Sum of Qty",'[1]DATA LAST MONTH IQOO'!$A$6,"ID Store",$C6),0)</f>
        <v>24</v>
      </c>
      <c r="AF6" s="77">
        <f>IFERROR(GETPIVOTDATA("Sum of Qty",[1]IQOO!$A$6,"ID Store",$C6),0)</f>
        <v>2</v>
      </c>
      <c r="AG6" s="64">
        <f t="shared" si="17"/>
        <v>-22</v>
      </c>
      <c r="AH6" s="78">
        <f t="shared" si="18"/>
        <v>-0.91666666666666696</v>
      </c>
      <c r="AI6" s="79">
        <f>IFERROR(GETPIVOTDATA("Sum of Qty",'[1]DATA LAST MONTH DEVICE'!$A$6,"ID Store",$C6),0)</f>
        <v>250</v>
      </c>
      <c r="AJ6" s="80">
        <f t="shared" si="19"/>
        <v>66</v>
      </c>
      <c r="AK6" s="64">
        <f t="shared" si="20"/>
        <v>-184</v>
      </c>
      <c r="AL6" s="66">
        <f t="shared" si="21"/>
        <v>-0.73599999999999999</v>
      </c>
      <c r="AM6" s="65">
        <f>IFERROR(GETPIVOTDATA("Sum of Qty",'[1]Store 3mio+ last month'!$A$6,"ID Store",$C6),0)</f>
        <v>250</v>
      </c>
      <c r="AN6" s="64">
        <f t="shared" si="22"/>
        <v>330</v>
      </c>
      <c r="AO6" s="64">
        <f t="shared" si="23"/>
        <v>80</v>
      </c>
      <c r="AP6" s="66">
        <f t="shared" si="24"/>
        <v>0.32</v>
      </c>
      <c r="AQ6" s="65">
        <f>IFERROR(GETPIVOTDATA("Sum of Qty",'[1]DATA LAST MONTH DEVICE'!$A$6,"ID Store",$C6,"Segment Price","3mio&gt;"),0)</f>
        <v>94</v>
      </c>
      <c r="AR6" s="67">
        <f t="shared" si="25"/>
        <v>26</v>
      </c>
      <c r="AS6" s="67">
        <f t="shared" si="26"/>
        <v>-68</v>
      </c>
      <c r="AT6" s="66">
        <f t="shared" si="27"/>
        <v>-0.72340425531914898</v>
      </c>
      <c r="AU6" s="81">
        <f>IFERROR(GETPIVOTDATA("Sum of SRP",'[1]DATA LAST MONTH DEVICE'!$A$6,"ID Store",$C6),0)</f>
        <v>994150000</v>
      </c>
      <c r="AV6" s="81">
        <f t="shared" si="28"/>
        <v>252834000</v>
      </c>
      <c r="AW6" s="81">
        <f t="shared" si="29"/>
        <v>-741316000</v>
      </c>
      <c r="AX6" s="66">
        <f t="shared" si="30"/>
        <v>-0.74567821757280095</v>
      </c>
      <c r="AY6" s="81">
        <f>IFERROR(VLOOKUP(C6,'[1]DATA SALES LAST MONTH'!A:E,5,0),0)</f>
        <v>3976600</v>
      </c>
      <c r="AZ6" s="68">
        <f t="shared" si="31"/>
        <v>3830818.1818181798</v>
      </c>
      <c r="BA6" s="68">
        <f t="shared" si="32"/>
        <v>-145781.818181818</v>
      </c>
      <c r="BB6" s="78">
        <f t="shared" si="33"/>
        <v>-3.6659915048488201E-2</v>
      </c>
      <c r="BC6" s="61">
        <f>IFERROR(VLOOKUP(C6,'[1]TARGET THIS MONTH'!C:U,15,0),0)</f>
        <v>26</v>
      </c>
      <c r="BD6" s="82">
        <f>IFERROR(GETPIVOTDATA("Sum of Qty",[1]ACC!$A$5,"ID Store",$C6),0)</f>
        <v>26</v>
      </c>
      <c r="BE6" s="66">
        <f t="shared" si="34"/>
        <v>1</v>
      </c>
      <c r="BF6" s="83">
        <f>IFERROR(VLOOKUP(C6,'[1]TARGET THIS MONTH'!C:U,16,0),0)</f>
        <v>4810000</v>
      </c>
      <c r="BG6" s="83">
        <f>IFERROR(GETPIVOTDATA("Sum of SRP",'[1]Insurance by Store'!$A$5,"ID Store",$C6,"Product Type","Qoala"),0)</f>
        <v>2612000</v>
      </c>
      <c r="BH6" s="66">
        <f t="shared" si="35"/>
        <v>0.54303534303534295</v>
      </c>
      <c r="BI6" s="83">
        <f>IFERROR(VLOOKUP(C6,'[1]TARGET THIS MONTH'!C:U,17,0),0)</f>
        <v>962000</v>
      </c>
      <c r="BJ6" s="83">
        <f>IFERROR(GETPIVOTDATA("Sum of SRP",'[1]Insurance by Store'!$A$5,"ID Store",$C6,"Product Type","Vivo Care"),0)</f>
        <v>0</v>
      </c>
      <c r="BK6" s="66">
        <f t="shared" si="36"/>
        <v>0</v>
      </c>
      <c r="BL6" s="64">
        <f>IFERROR(VLOOKUP(C6,'[1]TARGET THIS MONTH'!C:U,18,0),0)</f>
        <v>7.8</v>
      </c>
      <c r="BM6" s="65">
        <f>IFERROR(GETPIVOTDATA("Sum of Qty",'[1]Operator by Store'!$A$5,"ID Store",$C6,"Product Type","Indosat"),0)</f>
        <v>0</v>
      </c>
      <c r="BN6" s="66">
        <f t="shared" si="37"/>
        <v>0</v>
      </c>
      <c r="BO6" s="64">
        <f>VLOOKUP(C6,'[1]TARGET THIS MONTH'!C:U,19,0)</f>
        <v>78</v>
      </c>
      <c r="BP6" s="65">
        <f>IFERROR(GETPIVOTDATA("Sum of Qty",'[1]Operator by Store'!$A$5,"ID Store",$C6,"Product Type","Telkomsel"),0)</f>
        <v>0</v>
      </c>
      <c r="BQ6" s="84">
        <f t="shared" si="38"/>
        <v>0</v>
      </c>
    </row>
    <row r="7" spans="1:69" x14ac:dyDescent="0.2">
      <c r="A7" s="55">
        <v>3</v>
      </c>
      <c r="B7" s="56" t="s">
        <v>40</v>
      </c>
      <c r="C7" s="57">
        <v>6010702</v>
      </c>
      <c r="D7" s="58" t="s">
        <v>45</v>
      </c>
      <c r="E7" s="59" t="s">
        <v>44</v>
      </c>
      <c r="F7" s="60">
        <v>7</v>
      </c>
      <c r="G7" s="61">
        <f>IFERROR(VLOOKUP(C7,'[1]TARGET THIS MONTH'!C:E,3,0),0)</f>
        <v>260</v>
      </c>
      <c r="H7" s="62">
        <f>IFERROR(VLOOKUP(C7,'[1]TARGET THIS MONTH'!C:M,11,0),0)</f>
        <v>962000000</v>
      </c>
      <c r="I7" s="61">
        <f>IFERROR(GETPIVOTDATA("Sum of Qty",'[1]DEVICE &amp; VALUE'!$A$6,"ID Store",$C7),0)</f>
        <v>67</v>
      </c>
      <c r="J7" s="63">
        <f t="shared" si="0"/>
        <v>0.257692307692308</v>
      </c>
      <c r="K7" s="64">
        <f t="shared" si="1"/>
        <v>-193</v>
      </c>
      <c r="L7" s="65">
        <f>IFERROR(GETPIVOTDATA("Sum of Qty",[1]PF!$A$5,"ID Store",$C7),0)</f>
        <v>10</v>
      </c>
      <c r="M7" s="65">
        <f>IFERROR(GETPIVOTDATA("Sum of Qty",'[1]DEVICE &amp; VALUE'!$A$6,"ID Store",$C7,"Segment Price","3mio&gt;"),0)</f>
        <v>13</v>
      </c>
      <c r="N7" s="66">
        <f t="shared" si="2"/>
        <v>0.19402985074626899</v>
      </c>
      <c r="O7" s="67">
        <f>IFERROR(GETPIVOTDATA("Sum of Qty",[1]IQOO!$A$6,"ID Store",$C7),0)</f>
        <v>2</v>
      </c>
      <c r="P7" s="66">
        <f t="shared" si="3"/>
        <v>2.9850746268656699E-2</v>
      </c>
      <c r="Q7" s="66">
        <f t="shared" si="4"/>
        <v>0.19402985074626899</v>
      </c>
      <c r="R7" s="68">
        <f>IFERROR(GETPIVOTDATA("Sum of SRP",'[1]DEVICE &amp; VALUE'!$A$6,"ID Store",$C7),0)</f>
        <v>189133000</v>
      </c>
      <c r="S7" s="66">
        <f t="shared" si="5"/>
        <v>0.19660395010394999</v>
      </c>
      <c r="T7" s="69">
        <f t="shared" si="6"/>
        <v>-772867000</v>
      </c>
      <c r="U7" s="70">
        <f t="shared" si="7"/>
        <v>335</v>
      </c>
      <c r="V7" s="71">
        <f t="shared" si="8"/>
        <v>1.2884615384615401</v>
      </c>
      <c r="W7" s="72">
        <f t="shared" si="9"/>
        <v>75</v>
      </c>
      <c r="X7" s="72">
        <f t="shared" si="10"/>
        <v>65</v>
      </c>
      <c r="Y7" s="72">
        <f t="shared" si="11"/>
        <v>-195</v>
      </c>
      <c r="Z7" s="73">
        <f t="shared" si="12"/>
        <v>945665000</v>
      </c>
      <c r="AA7" s="73">
        <f t="shared" si="13"/>
        <v>-16335000</v>
      </c>
      <c r="AB7" s="74">
        <f t="shared" si="14"/>
        <v>0.98301975051975099</v>
      </c>
      <c r="AC7" s="75">
        <f t="shared" si="15"/>
        <v>8.0416666666666696</v>
      </c>
      <c r="AD7" s="76">
        <f t="shared" si="16"/>
        <v>32202791.666666701</v>
      </c>
      <c r="AE7" s="61">
        <f>IFERROR(GETPIVOTDATA("Sum of Qty",'[1]DATA LAST MONTH IQOO'!$A$6,"ID Store",$C7),0)</f>
        <v>22</v>
      </c>
      <c r="AF7" s="77">
        <f>IFERROR(GETPIVOTDATA("Sum of Qty",[1]IQOO!$A$6,"ID Store",$C7),0)</f>
        <v>2</v>
      </c>
      <c r="AG7" s="64">
        <f t="shared" si="17"/>
        <v>-20</v>
      </c>
      <c r="AH7" s="78">
        <f t="shared" si="18"/>
        <v>-0.90909090909090895</v>
      </c>
      <c r="AI7" s="79">
        <f>IFERROR(GETPIVOTDATA("Sum of Qty",'[1]DATA LAST MONTH DEVICE'!$A$6,"ID Store",$C7),0)</f>
        <v>287</v>
      </c>
      <c r="AJ7" s="80">
        <f t="shared" si="19"/>
        <v>67</v>
      </c>
      <c r="AK7" s="64">
        <f t="shared" si="20"/>
        <v>-220</v>
      </c>
      <c r="AL7" s="66">
        <f t="shared" si="21"/>
        <v>-0.76655052264808399</v>
      </c>
      <c r="AM7" s="65">
        <f>IFERROR(GETPIVOTDATA("Sum of Qty",'[1]Store 3mio+ last month'!$A$6,"ID Store",$C7),0)</f>
        <v>287</v>
      </c>
      <c r="AN7" s="64">
        <f t="shared" si="22"/>
        <v>335</v>
      </c>
      <c r="AO7" s="64">
        <f t="shared" si="23"/>
        <v>48</v>
      </c>
      <c r="AP7" s="66">
        <f t="shared" si="24"/>
        <v>0.16724738675958201</v>
      </c>
      <c r="AQ7" s="65">
        <f>IFERROR(GETPIVOTDATA("Sum of Qty",'[1]DATA LAST MONTH DEVICE'!$A$6,"ID Store",$C7,"Segment Price","3mio&gt;"),0)</f>
        <v>79</v>
      </c>
      <c r="AR7" s="67">
        <f t="shared" si="25"/>
        <v>13</v>
      </c>
      <c r="AS7" s="67">
        <f t="shared" si="26"/>
        <v>-66</v>
      </c>
      <c r="AT7" s="66">
        <f t="shared" si="27"/>
        <v>-0.835443037974684</v>
      </c>
      <c r="AU7" s="81">
        <f>IFERROR(GETPIVOTDATA("Sum of SRP",'[1]DATA LAST MONTH DEVICE'!$A$6,"ID Store",$C7),0)</f>
        <v>957513000</v>
      </c>
      <c r="AV7" s="81">
        <f t="shared" si="28"/>
        <v>189133000</v>
      </c>
      <c r="AW7" s="81">
        <f t="shared" si="29"/>
        <v>-768380000</v>
      </c>
      <c r="AX7" s="66">
        <f t="shared" si="30"/>
        <v>-0.80247474446822098</v>
      </c>
      <c r="AY7" s="81">
        <f>IFERROR(VLOOKUP(C7,'[1]DATA SALES LAST MONTH'!A:E,5,0),0)</f>
        <v>3336282.2299651601</v>
      </c>
      <c r="AZ7" s="68">
        <f t="shared" si="31"/>
        <v>2822880.5970149301</v>
      </c>
      <c r="BA7" s="68">
        <f t="shared" si="32"/>
        <v>-513401.63295023103</v>
      </c>
      <c r="BB7" s="78">
        <f t="shared" si="33"/>
        <v>-0.153884353169844</v>
      </c>
      <c r="BC7" s="61">
        <f>IFERROR(VLOOKUP(C7,'[1]TARGET THIS MONTH'!C:U,15,0),0)</f>
        <v>26</v>
      </c>
      <c r="BD7" s="82">
        <f>IFERROR(GETPIVOTDATA("Sum of Qty",[1]ACC!$A$5,"ID Store",$C7),0)</f>
        <v>12</v>
      </c>
      <c r="BE7" s="66">
        <f t="shared" si="34"/>
        <v>0.46153846153846201</v>
      </c>
      <c r="BF7" s="83">
        <f>IFERROR(VLOOKUP(C7,'[1]TARGET THIS MONTH'!C:U,16,0),0)</f>
        <v>4810000</v>
      </c>
      <c r="BG7" s="83">
        <f>IFERROR(GETPIVOTDATA("Sum of SRP",'[1]Insurance by Store'!$A$5,"ID Store",$C7,"Product Type","Qoala"),0)</f>
        <v>1590000</v>
      </c>
      <c r="BH7" s="66">
        <f t="shared" si="35"/>
        <v>0.33056133056133102</v>
      </c>
      <c r="BI7" s="83">
        <f>IFERROR(VLOOKUP(C7,'[1]TARGET THIS MONTH'!C:U,17,0),0)</f>
        <v>962000</v>
      </c>
      <c r="BJ7" s="83">
        <f>IFERROR(GETPIVOTDATA("Sum of SRP",'[1]Insurance by Store'!$A$5,"ID Store",$C7,"Product Type","Vivo Care"),0)</f>
        <v>0</v>
      </c>
      <c r="BK7" s="66">
        <f t="shared" si="36"/>
        <v>0</v>
      </c>
      <c r="BL7" s="64">
        <f>IFERROR(VLOOKUP(C7,'[1]TARGET THIS MONTH'!C:U,18,0),0)</f>
        <v>7.8</v>
      </c>
      <c r="BM7" s="65">
        <f>IFERROR(GETPIVOTDATA("Sum of Qty",'[1]Operator by Store'!$A$5,"ID Store",$C7,"Product Type","Indosat"),0)</f>
        <v>0</v>
      </c>
      <c r="BN7" s="66">
        <f t="shared" si="37"/>
        <v>0</v>
      </c>
      <c r="BO7" s="64">
        <f>VLOOKUP(C7,'[1]TARGET THIS MONTH'!C:U,19,0)</f>
        <v>78</v>
      </c>
      <c r="BP7" s="65">
        <f>IFERROR(GETPIVOTDATA("Sum of Qty",'[1]Operator by Store'!$A$5,"ID Store",$C7,"Product Type","Telkomsel"),0)</f>
        <v>0</v>
      </c>
      <c r="BQ7" s="84">
        <f t="shared" si="38"/>
        <v>0</v>
      </c>
    </row>
    <row r="8" spans="1:69" x14ac:dyDescent="0.2">
      <c r="A8" s="55">
        <v>4</v>
      </c>
      <c r="B8" s="56" t="s">
        <v>40</v>
      </c>
      <c r="C8" s="57">
        <v>6010703</v>
      </c>
      <c r="D8" s="58" t="s">
        <v>46</v>
      </c>
      <c r="E8" s="59" t="s">
        <v>47</v>
      </c>
      <c r="F8" s="60">
        <v>3</v>
      </c>
      <c r="G8" s="61">
        <f>IFERROR(VLOOKUP(C8,'[1]TARGET THIS MONTH'!C:E,3,0),0)</f>
        <v>120</v>
      </c>
      <c r="H8" s="62">
        <f>IFERROR(VLOOKUP(C8,'[1]TARGET THIS MONTH'!C:M,11,0),0)</f>
        <v>420000000</v>
      </c>
      <c r="I8" s="61">
        <f>IFERROR(GETPIVOTDATA("Sum of Qty",'[1]DEVICE &amp; VALUE'!$A$6,"ID Store",$C8),0)</f>
        <v>30</v>
      </c>
      <c r="J8" s="63">
        <f t="shared" si="0"/>
        <v>0.25</v>
      </c>
      <c r="K8" s="64">
        <f t="shared" si="1"/>
        <v>-90</v>
      </c>
      <c r="L8" s="65">
        <f>IFERROR(GETPIVOTDATA("Sum of Qty",[1]PF!$A$5,"ID Store",$C8),0)</f>
        <v>4</v>
      </c>
      <c r="M8" s="65">
        <f>IFERROR(GETPIVOTDATA("Sum of Qty",'[1]DEVICE &amp; VALUE'!$A$6,"ID Store",$C8,"Segment Price","3mio&gt;"),0)</f>
        <v>4</v>
      </c>
      <c r="N8" s="66">
        <f t="shared" si="2"/>
        <v>0.133333333333333</v>
      </c>
      <c r="O8" s="67">
        <f>IFERROR(GETPIVOTDATA("Sum of Qty",[1]IQOO!$A$6,"ID Store",$C8),0)</f>
        <v>0</v>
      </c>
      <c r="P8" s="66">
        <f t="shared" si="3"/>
        <v>0</v>
      </c>
      <c r="Q8" s="66">
        <f t="shared" si="4"/>
        <v>0.133333333333333</v>
      </c>
      <c r="R8" s="68">
        <f>IFERROR(GETPIVOTDATA("Sum of SRP",'[1]DEVICE &amp; VALUE'!$A$6,"ID Store",$C8),0)</f>
        <v>74270000</v>
      </c>
      <c r="S8" s="66">
        <f t="shared" si="5"/>
        <v>0.17683333333333301</v>
      </c>
      <c r="T8" s="69">
        <f t="shared" si="6"/>
        <v>-345730000</v>
      </c>
      <c r="U8" s="70">
        <f t="shared" si="7"/>
        <v>150</v>
      </c>
      <c r="V8" s="71">
        <f t="shared" si="8"/>
        <v>1.25</v>
      </c>
      <c r="W8" s="72">
        <f t="shared" si="9"/>
        <v>30</v>
      </c>
      <c r="X8" s="72">
        <f t="shared" si="10"/>
        <v>20</v>
      </c>
      <c r="Y8" s="72">
        <f t="shared" si="11"/>
        <v>-100</v>
      </c>
      <c r="Z8" s="73">
        <f t="shared" si="12"/>
        <v>371350000</v>
      </c>
      <c r="AA8" s="73">
        <f t="shared" si="13"/>
        <v>-48650000</v>
      </c>
      <c r="AB8" s="74">
        <f t="shared" si="14"/>
        <v>0.88416666666666699</v>
      </c>
      <c r="AC8" s="75">
        <f t="shared" si="15"/>
        <v>3.75</v>
      </c>
      <c r="AD8" s="76">
        <f t="shared" si="16"/>
        <v>14405416.6666667</v>
      </c>
      <c r="AE8" s="61">
        <f>IFERROR(GETPIVOTDATA("Sum of Qty",'[1]DATA LAST MONTH IQOO'!$A$6,"ID Store",$C8),0)</f>
        <v>11</v>
      </c>
      <c r="AF8" s="77">
        <f>IFERROR(GETPIVOTDATA("Sum of Qty",[1]IQOO!$A$6,"ID Store",$C8),0)</f>
        <v>0</v>
      </c>
      <c r="AG8" s="64">
        <f t="shared" si="17"/>
        <v>-11</v>
      </c>
      <c r="AH8" s="78">
        <f t="shared" si="18"/>
        <v>-1</v>
      </c>
      <c r="AI8" s="79">
        <f>IFERROR(GETPIVOTDATA("Sum of Qty",'[1]DATA LAST MONTH DEVICE'!$A$6,"ID Store",$C8),0)</f>
        <v>103</v>
      </c>
      <c r="AJ8" s="80">
        <f t="shared" si="19"/>
        <v>30</v>
      </c>
      <c r="AK8" s="64">
        <f t="shared" si="20"/>
        <v>-73</v>
      </c>
      <c r="AL8" s="66">
        <f t="shared" si="21"/>
        <v>-0.70873786407767003</v>
      </c>
      <c r="AM8" s="65">
        <f>IFERROR(GETPIVOTDATA("Sum of Qty",'[1]Store 3mio+ last month'!$A$6,"ID Store",$C8),0)</f>
        <v>103</v>
      </c>
      <c r="AN8" s="64">
        <f t="shared" si="22"/>
        <v>150</v>
      </c>
      <c r="AO8" s="64">
        <f t="shared" si="23"/>
        <v>47</v>
      </c>
      <c r="AP8" s="66">
        <f t="shared" si="24"/>
        <v>0.456310679611651</v>
      </c>
      <c r="AQ8" s="65">
        <f>IFERROR(GETPIVOTDATA("Sum of Qty",'[1]DATA LAST MONTH DEVICE'!$A$6,"ID Store",$C8,"Segment Price","3mio&gt;"),0)</f>
        <v>25</v>
      </c>
      <c r="AR8" s="67">
        <f t="shared" si="25"/>
        <v>4</v>
      </c>
      <c r="AS8" s="67">
        <f t="shared" si="26"/>
        <v>-21</v>
      </c>
      <c r="AT8" s="66">
        <f t="shared" si="27"/>
        <v>-0.84</v>
      </c>
      <c r="AU8" s="81">
        <f>IFERROR(GETPIVOTDATA("Sum of SRP",'[1]DATA LAST MONTH DEVICE'!$A$6,"ID Store",$C8),0)</f>
        <v>337397000</v>
      </c>
      <c r="AV8" s="81">
        <f t="shared" si="28"/>
        <v>74270000</v>
      </c>
      <c r="AW8" s="81">
        <f t="shared" si="29"/>
        <v>-263127000</v>
      </c>
      <c r="AX8" s="66">
        <f t="shared" si="30"/>
        <v>-0.77987356141281605</v>
      </c>
      <c r="AY8" s="81">
        <f>IFERROR(VLOOKUP(C8,'[1]DATA SALES LAST MONTH'!A:E,5,0),0)</f>
        <v>3275699.0291262101</v>
      </c>
      <c r="AZ8" s="68">
        <f t="shared" si="31"/>
        <v>2475666.6666666698</v>
      </c>
      <c r="BA8" s="68">
        <f t="shared" si="32"/>
        <v>-800032.362459547</v>
      </c>
      <c r="BB8" s="78">
        <f t="shared" si="33"/>
        <v>-0.24423256085066899</v>
      </c>
      <c r="BC8" s="61">
        <f>IFERROR(VLOOKUP(C8,'[1]TARGET THIS MONTH'!C:U,15,0),0)</f>
        <v>12</v>
      </c>
      <c r="BD8" s="82">
        <f>IFERROR(GETPIVOTDATA("Sum of Qty",[1]ACC!$A$5,"ID Store",$C8),0)</f>
        <v>5</v>
      </c>
      <c r="BE8" s="66">
        <f t="shared" si="34"/>
        <v>0.41666666666666702</v>
      </c>
      <c r="BF8" s="83">
        <f>IFERROR(VLOOKUP(C8,'[1]TARGET THIS MONTH'!C:U,16,0),0)</f>
        <v>2100000</v>
      </c>
      <c r="BG8" s="83">
        <f>IFERROR(GETPIVOTDATA("Sum of SRP",'[1]Insurance by Store'!$A$5,"ID Store",$C8,"Product Type","Qoala"),0)</f>
        <v>477000</v>
      </c>
      <c r="BH8" s="66">
        <f t="shared" si="35"/>
        <v>0.22714285714285701</v>
      </c>
      <c r="BI8" s="83">
        <f>IFERROR(VLOOKUP(C8,'[1]TARGET THIS MONTH'!C:U,17,0),0)</f>
        <v>420000</v>
      </c>
      <c r="BJ8" s="83">
        <f>IFERROR(GETPIVOTDATA("Sum of SRP",'[1]Insurance by Store'!$A$5,"ID Store",$C8,"Product Type","Vivo Care"),0)</f>
        <v>0</v>
      </c>
      <c r="BK8" s="66">
        <f t="shared" si="36"/>
        <v>0</v>
      </c>
      <c r="BL8" s="64">
        <f>IFERROR(VLOOKUP(C8,'[1]TARGET THIS MONTH'!C:U,18,0),0)</f>
        <v>3.6</v>
      </c>
      <c r="BM8" s="65">
        <f>IFERROR(GETPIVOTDATA("Sum of Qty",'[1]Operator by Store'!$A$5,"ID Store",$C8,"Product Type","Indosat"),0)</f>
        <v>1</v>
      </c>
      <c r="BN8" s="66">
        <f t="shared" si="37"/>
        <v>0.27777777777777801</v>
      </c>
      <c r="BO8" s="64">
        <f>VLOOKUP(C8,'[1]TARGET THIS MONTH'!C:U,19,0)</f>
        <v>36</v>
      </c>
      <c r="BP8" s="65">
        <f>IFERROR(GETPIVOTDATA("Sum of Qty",'[1]Operator by Store'!$A$5,"ID Store",$C8,"Product Type","Telkomsel"),0)</f>
        <v>0</v>
      </c>
      <c r="BQ8" s="84">
        <f t="shared" si="38"/>
        <v>0</v>
      </c>
    </row>
    <row r="9" spans="1:69" x14ac:dyDescent="0.2">
      <c r="A9" s="55">
        <v>5</v>
      </c>
      <c r="B9" s="56" t="s">
        <v>40</v>
      </c>
      <c r="C9" s="57">
        <v>6010709</v>
      </c>
      <c r="D9" s="58" t="s">
        <v>48</v>
      </c>
      <c r="E9" s="59" t="s">
        <v>47</v>
      </c>
      <c r="F9" s="60">
        <v>7</v>
      </c>
      <c r="G9" s="61">
        <f>IFERROR(VLOOKUP(C9,'[1]TARGET THIS MONTH'!C:E,3,0),0)</f>
        <v>320</v>
      </c>
      <c r="H9" s="62">
        <f>IFERROR(VLOOKUP(C9,'[1]TARGET THIS MONTH'!C:M,11,0),0)</f>
        <v>1120000000</v>
      </c>
      <c r="I9" s="61">
        <f>IFERROR(GETPIVOTDATA("Sum of Qty",'[1]DEVICE &amp; VALUE'!$A$6,"ID Store",$C9),0)</f>
        <v>78</v>
      </c>
      <c r="J9" s="63">
        <f t="shared" si="0"/>
        <v>0.24374999999999999</v>
      </c>
      <c r="K9" s="64">
        <f t="shared" si="1"/>
        <v>-242</v>
      </c>
      <c r="L9" s="65">
        <f>IFERROR(GETPIVOTDATA("Sum of Qty",[1]PF!$A$5,"ID Store",$C9),0)</f>
        <v>14</v>
      </c>
      <c r="M9" s="65">
        <f>IFERROR(GETPIVOTDATA("Sum of Qty",'[1]DEVICE &amp; VALUE'!$A$6,"ID Store",$C9,"Segment Price","3mio&gt;"),0)</f>
        <v>21</v>
      </c>
      <c r="N9" s="66">
        <f t="shared" si="2"/>
        <v>0.269230769230769</v>
      </c>
      <c r="O9" s="67">
        <f>IFERROR(GETPIVOTDATA("Sum of Qty",[1]IQOO!$A$6,"ID Store",$C9),0)</f>
        <v>1</v>
      </c>
      <c r="P9" s="66">
        <f t="shared" si="3"/>
        <v>1.2820512820512799E-2</v>
      </c>
      <c r="Q9" s="66">
        <f t="shared" si="4"/>
        <v>0.269230769230769</v>
      </c>
      <c r="R9" s="68">
        <f>IFERROR(GETPIVOTDATA("Sum of SRP",'[1]DEVICE &amp; VALUE'!$A$6,"ID Store",$C9),0)</f>
        <v>238722000</v>
      </c>
      <c r="S9" s="66">
        <f t="shared" si="5"/>
        <v>0.21314464285714299</v>
      </c>
      <c r="T9" s="69">
        <f t="shared" si="6"/>
        <v>-881278000</v>
      </c>
      <c r="U9" s="70">
        <f t="shared" si="7"/>
        <v>390</v>
      </c>
      <c r="V9" s="71">
        <f t="shared" si="8"/>
        <v>1.21875</v>
      </c>
      <c r="W9" s="72">
        <f t="shared" si="9"/>
        <v>70</v>
      </c>
      <c r="X9" s="72">
        <f t="shared" si="10"/>
        <v>105</v>
      </c>
      <c r="Y9" s="72">
        <f t="shared" si="11"/>
        <v>-215</v>
      </c>
      <c r="Z9" s="73">
        <f t="shared" si="12"/>
        <v>1193610000</v>
      </c>
      <c r="AA9" s="73">
        <f t="shared" si="13"/>
        <v>73610000</v>
      </c>
      <c r="AB9" s="74">
        <f t="shared" si="14"/>
        <v>1.06572321428571</v>
      </c>
      <c r="AC9" s="75">
        <f t="shared" si="15"/>
        <v>10.0833333333333</v>
      </c>
      <c r="AD9" s="76">
        <f t="shared" si="16"/>
        <v>36719916.666666701</v>
      </c>
      <c r="AE9" s="61">
        <f>IFERROR(GETPIVOTDATA("Sum of Qty",'[1]DATA LAST MONTH IQOO'!$A$6,"ID Store",$C9),0)</f>
        <v>20</v>
      </c>
      <c r="AF9" s="77">
        <f>IFERROR(GETPIVOTDATA("Sum of Qty",[1]IQOO!$A$6,"ID Store",$C9),0)</f>
        <v>1</v>
      </c>
      <c r="AG9" s="64">
        <f t="shared" si="17"/>
        <v>-19</v>
      </c>
      <c r="AH9" s="78">
        <f t="shared" si="18"/>
        <v>-0.95</v>
      </c>
      <c r="AI9" s="79">
        <f>IFERROR(GETPIVOTDATA("Sum of Qty",'[1]DATA LAST MONTH DEVICE'!$A$6,"ID Store",$C9),0)</f>
        <v>295</v>
      </c>
      <c r="AJ9" s="80">
        <f t="shared" si="19"/>
        <v>78</v>
      </c>
      <c r="AK9" s="64">
        <f t="shared" si="20"/>
        <v>-217</v>
      </c>
      <c r="AL9" s="66">
        <f t="shared" si="21"/>
        <v>-0.735593220338983</v>
      </c>
      <c r="AM9" s="65">
        <f>IFERROR(GETPIVOTDATA("Sum of Qty",'[1]Store 3mio+ last month'!$A$6,"ID Store",$C9),0)</f>
        <v>295</v>
      </c>
      <c r="AN9" s="64">
        <f t="shared" si="22"/>
        <v>390</v>
      </c>
      <c r="AO9" s="64">
        <f t="shared" si="23"/>
        <v>95</v>
      </c>
      <c r="AP9" s="66">
        <f t="shared" si="24"/>
        <v>0.322033898305085</v>
      </c>
      <c r="AQ9" s="65">
        <f>IFERROR(GETPIVOTDATA("Sum of Qty",'[1]DATA LAST MONTH DEVICE'!$A$6,"ID Store",$C9,"Segment Price","3mio&gt;"),0)</f>
        <v>67</v>
      </c>
      <c r="AR9" s="67">
        <f t="shared" si="25"/>
        <v>21</v>
      </c>
      <c r="AS9" s="67">
        <f t="shared" si="26"/>
        <v>-46</v>
      </c>
      <c r="AT9" s="66">
        <f t="shared" si="27"/>
        <v>-0.68656716417910402</v>
      </c>
      <c r="AU9" s="81">
        <f>IFERROR(GETPIVOTDATA("Sum of SRP",'[1]DATA LAST MONTH DEVICE'!$A$6,"ID Store",$C9),0)</f>
        <v>933505000</v>
      </c>
      <c r="AV9" s="81">
        <f t="shared" si="28"/>
        <v>238722000</v>
      </c>
      <c r="AW9" s="81">
        <f t="shared" si="29"/>
        <v>-694783000</v>
      </c>
      <c r="AX9" s="66">
        <f t="shared" si="30"/>
        <v>-0.74427346398787397</v>
      </c>
      <c r="AY9" s="81">
        <f>IFERROR(VLOOKUP(C9,'[1]DATA SALES LAST MONTH'!A:E,5,0),0)</f>
        <v>3164423.7288135602</v>
      </c>
      <c r="AZ9" s="68">
        <f t="shared" si="31"/>
        <v>3060538.4615384601</v>
      </c>
      <c r="BA9" s="68">
        <f t="shared" si="32"/>
        <v>-103885.267275098</v>
      </c>
      <c r="BB9" s="78">
        <f t="shared" si="33"/>
        <v>-3.28291266208042E-2</v>
      </c>
      <c r="BC9" s="61">
        <f>IFERROR(VLOOKUP(C9,'[1]TARGET THIS MONTH'!C:U,15,0),0)</f>
        <v>32</v>
      </c>
      <c r="BD9" s="82">
        <f>IFERROR(GETPIVOTDATA("Sum of Qty",[1]ACC!$A$5,"ID Store",$C9),0)</f>
        <v>17</v>
      </c>
      <c r="BE9" s="66">
        <f t="shared" si="34"/>
        <v>0.53125</v>
      </c>
      <c r="BF9" s="83">
        <f>IFERROR(VLOOKUP(C9,'[1]TARGET THIS MONTH'!C:U,16,0),0)</f>
        <v>5600000</v>
      </c>
      <c r="BG9" s="83">
        <f>IFERROR(GETPIVOTDATA("Sum of SRP",'[1]Insurance by Store'!$A$5,"ID Store",$C9,"Product Type","Qoala"),0)</f>
        <v>954000</v>
      </c>
      <c r="BH9" s="66">
        <f t="shared" si="35"/>
        <v>0.17035714285714301</v>
      </c>
      <c r="BI9" s="83">
        <f>IFERROR(VLOOKUP(C9,'[1]TARGET THIS MONTH'!C:U,17,0),0)</f>
        <v>1120000</v>
      </c>
      <c r="BJ9" s="83">
        <f>IFERROR(GETPIVOTDATA("Sum of SRP",'[1]Insurance by Store'!$A$5,"ID Store",$C9,"Product Type","Vivo Care"),0)</f>
        <v>0</v>
      </c>
      <c r="BK9" s="66">
        <f t="shared" si="36"/>
        <v>0</v>
      </c>
      <c r="BL9" s="64">
        <f>IFERROR(VLOOKUP(C9,'[1]TARGET THIS MONTH'!C:U,18,0),0)</f>
        <v>9.6</v>
      </c>
      <c r="BM9" s="65">
        <f>IFERROR(GETPIVOTDATA("Sum of Qty",'[1]Operator by Store'!$A$5,"ID Store",$C9,"Product Type","Indosat"),0)</f>
        <v>2</v>
      </c>
      <c r="BN9" s="66">
        <f t="shared" si="37"/>
        <v>0.20833333333333301</v>
      </c>
      <c r="BO9" s="64">
        <f>VLOOKUP(C9,'[1]TARGET THIS MONTH'!C:U,19,0)</f>
        <v>96</v>
      </c>
      <c r="BP9" s="65">
        <f>IFERROR(GETPIVOTDATA("Sum of Qty",'[1]Operator by Store'!$A$5,"ID Store",$C9,"Product Type","Telkomsel"),0)</f>
        <v>0</v>
      </c>
      <c r="BQ9" s="84">
        <f t="shared" si="38"/>
        <v>0</v>
      </c>
    </row>
    <row r="10" spans="1:69" x14ac:dyDescent="0.2">
      <c r="A10" s="55">
        <v>6</v>
      </c>
      <c r="B10" s="56" t="s">
        <v>40</v>
      </c>
      <c r="C10" s="57">
        <v>6010710</v>
      </c>
      <c r="D10" s="58" t="s">
        <v>49</v>
      </c>
      <c r="E10" s="85" t="s">
        <v>47</v>
      </c>
      <c r="F10" s="60">
        <v>3</v>
      </c>
      <c r="G10" s="61">
        <f>IFERROR(VLOOKUP(C10,'[1]TARGET THIS MONTH'!C:E,3,0),0)</f>
        <v>110</v>
      </c>
      <c r="H10" s="62">
        <f>IFERROR(VLOOKUP(C10,'[1]TARGET THIS MONTH'!C:M,11,0),0)</f>
        <v>385000000</v>
      </c>
      <c r="I10" s="61">
        <f>IFERROR(GETPIVOTDATA("Sum of Qty",'[1]DEVICE &amp; VALUE'!$A$6,"ID Store",$C10),0)</f>
        <v>34</v>
      </c>
      <c r="J10" s="63">
        <f t="shared" si="0"/>
        <v>0.30909090909090903</v>
      </c>
      <c r="K10" s="64">
        <f t="shared" si="1"/>
        <v>-76</v>
      </c>
      <c r="L10" s="65">
        <f>IFERROR(GETPIVOTDATA("Sum of Qty",[1]PF!$A$5,"ID Store",$C10),0)</f>
        <v>3</v>
      </c>
      <c r="M10" s="65">
        <f>IFERROR(GETPIVOTDATA("Sum of Qty",'[1]DEVICE &amp; VALUE'!$A$6,"ID Store",$C10,"Segment Price","3mio&gt;"),0)</f>
        <v>3</v>
      </c>
      <c r="N10" s="66">
        <f t="shared" si="2"/>
        <v>8.8235294117647106E-2</v>
      </c>
      <c r="O10" s="67">
        <f>IFERROR(GETPIVOTDATA("Sum of Qty",[1]IQOO!$A$6,"ID Store",$C10),0)</f>
        <v>0</v>
      </c>
      <c r="P10" s="66">
        <f t="shared" si="3"/>
        <v>0</v>
      </c>
      <c r="Q10" s="66">
        <f t="shared" si="4"/>
        <v>8.8235294117647106E-2</v>
      </c>
      <c r="R10" s="68">
        <f>IFERROR(GETPIVOTDATA("Sum of SRP",'[1]DEVICE &amp; VALUE'!$A$6,"ID Store",$C10),0)</f>
        <v>82566000</v>
      </c>
      <c r="S10" s="66">
        <f t="shared" si="5"/>
        <v>0.21445714285714301</v>
      </c>
      <c r="T10" s="69">
        <f t="shared" si="6"/>
        <v>-302434000</v>
      </c>
      <c r="U10" s="70">
        <f t="shared" si="7"/>
        <v>170</v>
      </c>
      <c r="V10" s="71">
        <f t="shared" si="8"/>
        <v>1.5454545454545501</v>
      </c>
      <c r="W10" s="72">
        <f t="shared" si="9"/>
        <v>60</v>
      </c>
      <c r="X10" s="72">
        <f t="shared" si="10"/>
        <v>15</v>
      </c>
      <c r="Y10" s="72">
        <f t="shared" si="11"/>
        <v>-95</v>
      </c>
      <c r="Z10" s="73">
        <f t="shared" si="12"/>
        <v>412830000</v>
      </c>
      <c r="AA10" s="73">
        <f t="shared" si="13"/>
        <v>27830000</v>
      </c>
      <c r="AB10" s="74">
        <f t="shared" si="14"/>
        <v>1.0722857142857101</v>
      </c>
      <c r="AC10" s="75">
        <f t="shared" si="15"/>
        <v>3.1666666666666701</v>
      </c>
      <c r="AD10" s="76">
        <f t="shared" si="16"/>
        <v>12601416.6666667</v>
      </c>
      <c r="AE10" s="61">
        <f>IFERROR(GETPIVOTDATA("Sum of Qty",'[1]DATA LAST MONTH IQOO'!$A$6,"ID Store",$C10),0)</f>
        <v>7</v>
      </c>
      <c r="AF10" s="77">
        <f>IFERROR(GETPIVOTDATA("Sum of Qty",[1]IQOO!$A$6,"ID Store",$C10),0)</f>
        <v>0</v>
      </c>
      <c r="AG10" s="64">
        <f t="shared" si="17"/>
        <v>-7</v>
      </c>
      <c r="AH10" s="78">
        <f t="shared" si="18"/>
        <v>-1</v>
      </c>
      <c r="AI10" s="79">
        <f>IFERROR(GETPIVOTDATA("Sum of Qty",'[1]DATA LAST MONTH DEVICE'!$A$6,"ID Store",$C10),0)</f>
        <v>90</v>
      </c>
      <c r="AJ10" s="80">
        <f t="shared" si="19"/>
        <v>34</v>
      </c>
      <c r="AK10" s="64">
        <f t="shared" si="20"/>
        <v>-56</v>
      </c>
      <c r="AL10" s="66">
        <f t="shared" si="21"/>
        <v>-0.62222222222222201</v>
      </c>
      <c r="AM10" s="65">
        <f>IFERROR(GETPIVOTDATA("Sum of Qty",'[1]Store 3mio+ last month'!$A$6,"ID Store",$C10),0)</f>
        <v>90</v>
      </c>
      <c r="AN10" s="64">
        <f t="shared" si="22"/>
        <v>170</v>
      </c>
      <c r="AO10" s="64">
        <f t="shared" si="23"/>
        <v>80</v>
      </c>
      <c r="AP10" s="66">
        <f t="shared" si="24"/>
        <v>0.88888888888888895</v>
      </c>
      <c r="AQ10" s="65">
        <f>IFERROR(GETPIVOTDATA("Sum of Qty",'[1]DATA LAST MONTH DEVICE'!$A$6,"ID Store",$C10,"Segment Price","3mio&gt;"),0)</f>
        <v>26</v>
      </c>
      <c r="AR10" s="67">
        <f t="shared" si="25"/>
        <v>3</v>
      </c>
      <c r="AS10" s="67">
        <f t="shared" si="26"/>
        <v>-23</v>
      </c>
      <c r="AT10" s="66">
        <f t="shared" si="27"/>
        <v>-0.88461538461538503</v>
      </c>
      <c r="AU10" s="81">
        <f>IFERROR(GETPIVOTDATA("Sum of SRP",'[1]DATA LAST MONTH DEVICE'!$A$6,"ID Store",$C10),0)</f>
        <v>296710000</v>
      </c>
      <c r="AV10" s="81">
        <f t="shared" si="28"/>
        <v>82566000</v>
      </c>
      <c r="AW10" s="81">
        <f t="shared" si="29"/>
        <v>-214144000</v>
      </c>
      <c r="AX10" s="66">
        <f t="shared" si="30"/>
        <v>-0.72172828687944501</v>
      </c>
      <c r="AY10" s="81">
        <f>IFERROR(VLOOKUP(C10,'[1]DATA SALES LAST MONTH'!A:E,5,0),0)</f>
        <v>3296777.7777777798</v>
      </c>
      <c r="AZ10" s="68">
        <f t="shared" si="31"/>
        <v>2428411.7647058801</v>
      </c>
      <c r="BA10" s="68">
        <f t="shared" si="32"/>
        <v>-868366.01307189604</v>
      </c>
      <c r="BB10" s="78">
        <f t="shared" si="33"/>
        <v>-0.26339840644558898</v>
      </c>
      <c r="BC10" s="61">
        <f>IFERROR(VLOOKUP(C10,'[1]TARGET THIS MONTH'!C:U,15,0),0)</f>
        <v>11</v>
      </c>
      <c r="BD10" s="82">
        <f>IFERROR(GETPIVOTDATA("Sum of Qty",[1]ACC!$A$5,"ID Store",$C10),0)</f>
        <v>6</v>
      </c>
      <c r="BE10" s="66">
        <f t="shared" si="34"/>
        <v>0.54545454545454497</v>
      </c>
      <c r="BF10" s="83">
        <f>IFERROR(VLOOKUP(C10,'[1]TARGET THIS MONTH'!C:U,16,0),0)</f>
        <v>1925000</v>
      </c>
      <c r="BG10" s="83">
        <f>IFERROR(GETPIVOTDATA("Sum of SRP",'[1]Insurance by Store'!$A$5,"ID Store",$C10,"Product Type","Qoala"),0)</f>
        <v>636000</v>
      </c>
      <c r="BH10" s="66">
        <f t="shared" si="35"/>
        <v>0.33038961038961001</v>
      </c>
      <c r="BI10" s="83">
        <f>IFERROR(VLOOKUP(C10,'[1]TARGET THIS MONTH'!C:U,17,0),0)</f>
        <v>385000</v>
      </c>
      <c r="BJ10" s="83">
        <f>IFERROR(GETPIVOTDATA("Sum of SRP",'[1]Insurance by Store'!$A$5,"ID Store",$C10,"Product Type","Vivo Care"),0)</f>
        <v>0</v>
      </c>
      <c r="BK10" s="66">
        <f t="shared" si="36"/>
        <v>0</v>
      </c>
      <c r="BL10" s="64">
        <f>IFERROR(VLOOKUP(C10,'[1]TARGET THIS MONTH'!C:U,18,0),0)</f>
        <v>3.3</v>
      </c>
      <c r="BM10" s="65">
        <f>IFERROR(GETPIVOTDATA("Sum of Qty",'[1]Operator by Store'!$A$5,"ID Store",$C10,"Product Type","Indosat"),0)</f>
        <v>0</v>
      </c>
      <c r="BN10" s="66">
        <f t="shared" si="37"/>
        <v>0</v>
      </c>
      <c r="BO10" s="64">
        <f>VLOOKUP(C10,'[1]TARGET THIS MONTH'!C:U,19,0)</f>
        <v>33</v>
      </c>
      <c r="BP10" s="65">
        <f>IFERROR(GETPIVOTDATA("Sum of Qty",'[1]Operator by Store'!$A$5,"ID Store",$C10,"Product Type","Telkomsel"),0)</f>
        <v>0</v>
      </c>
      <c r="BQ10" s="84">
        <f t="shared" si="38"/>
        <v>0</v>
      </c>
    </row>
    <row r="11" spans="1:69" x14ac:dyDescent="0.2">
      <c r="A11" s="55">
        <v>7</v>
      </c>
      <c r="B11" s="56" t="s">
        <v>40</v>
      </c>
      <c r="C11" s="57">
        <v>6020711</v>
      </c>
      <c r="D11" s="58" t="s">
        <v>50</v>
      </c>
      <c r="E11" s="86" t="s">
        <v>51</v>
      </c>
      <c r="F11" s="60">
        <v>3</v>
      </c>
      <c r="G11" s="61">
        <f>IFERROR(VLOOKUP(C11,'[1]TARGET THIS MONTH'!C:E,3,0),0)</f>
        <v>120</v>
      </c>
      <c r="H11" s="62">
        <f>IFERROR(VLOOKUP(C11,'[1]TARGET THIS MONTH'!C:M,11,0),0)</f>
        <v>840000000</v>
      </c>
      <c r="I11" s="61">
        <f>IFERROR(GETPIVOTDATA("Sum of Qty",'[1]DEVICE &amp; VALUE'!$A$6,"ID Store",$C11),0)</f>
        <v>19</v>
      </c>
      <c r="J11" s="63">
        <f t="shared" si="0"/>
        <v>0.15833333333333299</v>
      </c>
      <c r="K11" s="64">
        <f t="shared" si="1"/>
        <v>-101</v>
      </c>
      <c r="L11" s="65">
        <f>IFERROR(GETPIVOTDATA("Sum of Qty",[1]PF!$A$5,"ID Store",$C11),0)</f>
        <v>3</v>
      </c>
      <c r="M11" s="65">
        <f>IFERROR(GETPIVOTDATA("Sum of Qty",'[1]DEVICE &amp; VALUE'!$A$6,"ID Store",$C11,"Segment Price","3mio&gt;"),0)</f>
        <v>8</v>
      </c>
      <c r="N11" s="66">
        <f t="shared" si="2"/>
        <v>0.42105263157894701</v>
      </c>
      <c r="O11" s="67">
        <f>IFERROR(GETPIVOTDATA("Sum of Qty",[1]IQOO!$A$6,"ID Store",$C11),0)</f>
        <v>0</v>
      </c>
      <c r="P11" s="66">
        <f t="shared" si="3"/>
        <v>0</v>
      </c>
      <c r="Q11" s="66">
        <f t="shared" si="4"/>
        <v>0.42105263157894701</v>
      </c>
      <c r="R11" s="68">
        <f>IFERROR(GETPIVOTDATA("Sum of SRP",'[1]DEVICE &amp; VALUE'!$A$6,"ID Store",$C11),0)</f>
        <v>103181000</v>
      </c>
      <c r="S11" s="66">
        <f t="shared" si="5"/>
        <v>0.122834523809524</v>
      </c>
      <c r="T11" s="69">
        <f t="shared" si="6"/>
        <v>-736819000</v>
      </c>
      <c r="U11" s="70">
        <f t="shared" si="7"/>
        <v>95</v>
      </c>
      <c r="V11" s="71">
        <f t="shared" si="8"/>
        <v>0.79166666666666696</v>
      </c>
      <c r="W11" s="72">
        <f t="shared" si="9"/>
        <v>-25</v>
      </c>
      <c r="X11" s="72">
        <f t="shared" si="10"/>
        <v>40</v>
      </c>
      <c r="Y11" s="72">
        <f t="shared" si="11"/>
        <v>-80</v>
      </c>
      <c r="Z11" s="73">
        <f t="shared" si="12"/>
        <v>515905000</v>
      </c>
      <c r="AA11" s="73">
        <f t="shared" si="13"/>
        <v>-324095000</v>
      </c>
      <c r="AB11" s="74">
        <f t="shared" si="14"/>
        <v>0.614172619047619</v>
      </c>
      <c r="AC11" s="75">
        <f t="shared" si="15"/>
        <v>4.2083333333333304</v>
      </c>
      <c r="AD11" s="76">
        <f t="shared" si="16"/>
        <v>30700791.666666701</v>
      </c>
      <c r="AE11" s="61">
        <f>IFERROR(GETPIVOTDATA("Sum of Qty",'[1]DATA LAST MONTH IQOO'!$A$6,"ID Store",$C11),0)</f>
        <v>16</v>
      </c>
      <c r="AF11" s="77">
        <f>IFERROR(GETPIVOTDATA("Sum of Qty",[1]IQOO!$A$6,"ID Store",$C11),0)</f>
        <v>0</v>
      </c>
      <c r="AG11" s="64">
        <f t="shared" si="17"/>
        <v>-16</v>
      </c>
      <c r="AH11" s="78">
        <f t="shared" si="18"/>
        <v>-1</v>
      </c>
      <c r="AI11" s="79">
        <f>IFERROR(GETPIVOTDATA("Sum of Qty",'[1]DATA LAST MONTH DEVICE'!$A$6,"ID Store",$C11),0)</f>
        <v>107</v>
      </c>
      <c r="AJ11" s="80">
        <f t="shared" si="19"/>
        <v>19</v>
      </c>
      <c r="AK11" s="64">
        <f t="shared" si="20"/>
        <v>-88</v>
      </c>
      <c r="AL11" s="66">
        <f t="shared" si="21"/>
        <v>-0.82242990654205606</v>
      </c>
      <c r="AM11" s="65">
        <f>IFERROR(GETPIVOTDATA("Sum of Qty",'[1]Store 3mio+ last month'!$A$6,"ID Store",$C11),0)</f>
        <v>107</v>
      </c>
      <c r="AN11" s="64">
        <f t="shared" si="22"/>
        <v>95</v>
      </c>
      <c r="AO11" s="64">
        <f t="shared" si="23"/>
        <v>-12</v>
      </c>
      <c r="AP11" s="66">
        <f t="shared" si="24"/>
        <v>-0.11214953271028</v>
      </c>
      <c r="AQ11" s="65">
        <f>IFERROR(GETPIVOTDATA("Sum of Qty",'[1]DATA LAST MONTH DEVICE'!$A$6,"ID Store",$C11,"Segment Price","3mio&gt;"),0)</f>
        <v>66</v>
      </c>
      <c r="AR11" s="67">
        <f t="shared" si="25"/>
        <v>8</v>
      </c>
      <c r="AS11" s="67">
        <f t="shared" si="26"/>
        <v>-58</v>
      </c>
      <c r="AT11" s="66">
        <f t="shared" si="27"/>
        <v>-0.87878787878787901</v>
      </c>
      <c r="AU11" s="81">
        <f>IFERROR(GETPIVOTDATA("Sum of SRP",'[1]DATA LAST MONTH DEVICE'!$A$6,"ID Store",$C11),0)</f>
        <v>786093000</v>
      </c>
      <c r="AV11" s="81">
        <f t="shared" si="28"/>
        <v>103181000</v>
      </c>
      <c r="AW11" s="81">
        <f t="shared" si="29"/>
        <v>-682912000</v>
      </c>
      <c r="AX11" s="66">
        <f t="shared" si="30"/>
        <v>-0.86874199363179705</v>
      </c>
      <c r="AY11" s="81">
        <f>IFERROR(VLOOKUP(C11,'[1]DATA SALES LAST MONTH'!A:E,5,0),0)</f>
        <v>7346663.5514018703</v>
      </c>
      <c r="AZ11" s="68">
        <f t="shared" si="31"/>
        <v>5430578.9473684197</v>
      </c>
      <c r="BA11" s="68">
        <f t="shared" si="32"/>
        <v>-1916084.6040334499</v>
      </c>
      <c r="BB11" s="78">
        <f t="shared" si="33"/>
        <v>-0.260810174663276</v>
      </c>
      <c r="BC11" s="61">
        <f>IFERROR(VLOOKUP(C11,'[1]TARGET THIS MONTH'!C:U,15,0),0)</f>
        <v>12</v>
      </c>
      <c r="BD11" s="82">
        <f>IFERROR(GETPIVOTDATA("Sum of Qty",[1]ACC!$A$5,"ID Store",$C11),0)</f>
        <v>9</v>
      </c>
      <c r="BE11" s="66">
        <f t="shared" si="34"/>
        <v>0.75</v>
      </c>
      <c r="BF11" s="83">
        <f>IFERROR(VLOOKUP(C11,'[1]TARGET THIS MONTH'!C:U,16,0),0)</f>
        <v>4200000</v>
      </c>
      <c r="BG11" s="83">
        <f>IFERROR(GETPIVOTDATA("Sum of SRP",'[1]Insurance by Store'!$A$5,"ID Store",$C11,"Product Type","Qoala"),0)</f>
        <v>159000</v>
      </c>
      <c r="BH11" s="66">
        <f t="shared" si="35"/>
        <v>3.7857142857142902E-2</v>
      </c>
      <c r="BI11" s="83">
        <f>IFERROR(VLOOKUP(C11,'[1]TARGET THIS MONTH'!C:U,17,0),0)</f>
        <v>840000</v>
      </c>
      <c r="BJ11" s="83">
        <f>IFERROR(GETPIVOTDATA("Sum of SRP",'[1]Insurance by Store'!$A$5,"ID Store",$C11,"Product Type","Vivo Care"),0)</f>
        <v>0</v>
      </c>
      <c r="BK11" s="66">
        <f t="shared" si="36"/>
        <v>0</v>
      </c>
      <c r="BL11" s="64">
        <f>IFERROR(VLOOKUP(C11,'[1]TARGET THIS MONTH'!C:U,18,0),0)</f>
        <v>3.6</v>
      </c>
      <c r="BM11" s="65">
        <f>IFERROR(GETPIVOTDATA("Sum of Qty",'[1]Operator by Store'!$A$5,"ID Store",$C11,"Product Type","Indosat"),0)</f>
        <v>0</v>
      </c>
      <c r="BN11" s="66">
        <f t="shared" si="37"/>
        <v>0</v>
      </c>
      <c r="BO11" s="64">
        <f>VLOOKUP(C11,'[1]TARGET THIS MONTH'!C:U,19,0)</f>
        <v>36</v>
      </c>
      <c r="BP11" s="65">
        <f>IFERROR(GETPIVOTDATA("Sum of Qty",'[1]Operator by Store'!$A$5,"ID Store",$C11,"Product Type","Telkomsel"),0)</f>
        <v>0</v>
      </c>
      <c r="BQ11" s="84">
        <f t="shared" si="38"/>
        <v>0</v>
      </c>
    </row>
    <row r="12" spans="1:69" x14ac:dyDescent="0.2">
      <c r="A12" s="55">
        <v>8</v>
      </c>
      <c r="B12" s="56" t="s">
        <v>40</v>
      </c>
      <c r="C12" s="57">
        <v>6010711</v>
      </c>
      <c r="D12" s="58" t="s">
        <v>52</v>
      </c>
      <c r="E12" s="85" t="s">
        <v>53</v>
      </c>
      <c r="F12" s="60">
        <v>3</v>
      </c>
      <c r="G12" s="61">
        <f>IFERROR(VLOOKUP(C12,'[1]TARGET THIS MONTH'!C:E,3,0),0)</f>
        <v>50</v>
      </c>
      <c r="H12" s="62">
        <f>IFERROR(VLOOKUP(C12,'[1]TARGET THIS MONTH'!C:M,11,0),0)</f>
        <v>350000000</v>
      </c>
      <c r="I12" s="61">
        <f>IFERROR(GETPIVOTDATA("Sum of Qty",'[1]DEVICE &amp; VALUE'!$A$6,"ID Store",$C12),0)</f>
        <v>13</v>
      </c>
      <c r="J12" s="63">
        <f t="shared" si="0"/>
        <v>0.26</v>
      </c>
      <c r="K12" s="64">
        <f t="shared" si="1"/>
        <v>-37</v>
      </c>
      <c r="L12" s="65">
        <f>IFERROR(GETPIVOTDATA("Sum of Qty",[1]PF!$A$5,"ID Store",$C12),0)</f>
        <v>3</v>
      </c>
      <c r="M12" s="65">
        <f>IFERROR(GETPIVOTDATA("Sum of Qty",'[1]DEVICE &amp; VALUE'!$A$6,"ID Store",$C12,"Segment Price","3mio&gt;"),0)</f>
        <v>7</v>
      </c>
      <c r="N12" s="66">
        <f t="shared" si="2"/>
        <v>0.53846153846153799</v>
      </c>
      <c r="O12" s="67">
        <f>IFERROR(GETPIVOTDATA("Sum of Qty",[1]IQOO!$A$6,"ID Store",$C12),0)</f>
        <v>1</v>
      </c>
      <c r="P12" s="66">
        <f t="shared" si="3"/>
        <v>7.69230769230769E-2</v>
      </c>
      <c r="Q12" s="66">
        <f t="shared" si="4"/>
        <v>0.53846153846153799</v>
      </c>
      <c r="R12" s="68">
        <f>IFERROR(GETPIVOTDATA("Sum of SRP",'[1]DEVICE &amp; VALUE'!$A$6,"ID Store",$C12),0)</f>
        <v>108887000</v>
      </c>
      <c r="S12" s="66">
        <f t="shared" si="5"/>
        <v>0.31110571428571399</v>
      </c>
      <c r="T12" s="69">
        <f t="shared" si="6"/>
        <v>-241113000</v>
      </c>
      <c r="U12" s="70">
        <f t="shared" si="7"/>
        <v>65</v>
      </c>
      <c r="V12" s="71">
        <f t="shared" si="8"/>
        <v>1.3</v>
      </c>
      <c r="W12" s="72">
        <f t="shared" si="9"/>
        <v>15</v>
      </c>
      <c r="X12" s="72">
        <f t="shared" si="10"/>
        <v>35</v>
      </c>
      <c r="Y12" s="72">
        <f t="shared" si="11"/>
        <v>-15</v>
      </c>
      <c r="Z12" s="73">
        <f t="shared" si="12"/>
        <v>544435000</v>
      </c>
      <c r="AA12" s="73">
        <f t="shared" si="13"/>
        <v>194435000</v>
      </c>
      <c r="AB12" s="74">
        <f t="shared" si="14"/>
        <v>1.55552857142857</v>
      </c>
      <c r="AC12" s="75">
        <f t="shared" si="15"/>
        <v>1.5416666666666701</v>
      </c>
      <c r="AD12" s="76">
        <f t="shared" si="16"/>
        <v>10046375</v>
      </c>
      <c r="AE12" s="61">
        <f>IFERROR(GETPIVOTDATA("Sum of Qty",'[1]DATA LAST MONTH IQOO'!$A$6,"ID Store",$C12),0)</f>
        <v>13</v>
      </c>
      <c r="AF12" s="77">
        <f>IFERROR(GETPIVOTDATA("Sum of Qty",[1]IQOO!$A$6,"ID Store",$C12),0)</f>
        <v>1</v>
      </c>
      <c r="AG12" s="64">
        <f t="shared" si="17"/>
        <v>-12</v>
      </c>
      <c r="AH12" s="78">
        <f t="shared" si="18"/>
        <v>-0.92307692307692302</v>
      </c>
      <c r="AI12" s="79">
        <f>IFERROR(GETPIVOTDATA("Sum of Qty",'[1]DATA LAST MONTH DEVICE'!$A$6,"ID Store",$C12),0)</f>
        <v>54</v>
      </c>
      <c r="AJ12" s="80">
        <f t="shared" si="19"/>
        <v>13</v>
      </c>
      <c r="AK12" s="64">
        <f t="shared" si="20"/>
        <v>-41</v>
      </c>
      <c r="AL12" s="66">
        <f t="shared" si="21"/>
        <v>-0.75925925925925897</v>
      </c>
      <c r="AM12" s="65">
        <f>IFERROR(GETPIVOTDATA("Sum of Qty",'[1]Store 3mio+ last month'!$A$6,"ID Store",$C12),0)</f>
        <v>54</v>
      </c>
      <c r="AN12" s="64">
        <f t="shared" si="22"/>
        <v>65</v>
      </c>
      <c r="AO12" s="64">
        <f t="shared" si="23"/>
        <v>11</v>
      </c>
      <c r="AP12" s="66">
        <f t="shared" si="24"/>
        <v>0.203703703703704</v>
      </c>
      <c r="AQ12" s="65">
        <f>IFERROR(GETPIVOTDATA("Sum of Qty",'[1]DATA LAST MONTH DEVICE'!$A$6,"ID Store",$C12,"Segment Price","3mio&gt;"),0)</f>
        <v>40</v>
      </c>
      <c r="AR12" s="67">
        <f t="shared" si="25"/>
        <v>7</v>
      </c>
      <c r="AS12" s="67">
        <f t="shared" si="26"/>
        <v>-33</v>
      </c>
      <c r="AT12" s="66">
        <f t="shared" si="27"/>
        <v>-0.82499999999999996</v>
      </c>
      <c r="AU12" s="81">
        <f>IFERROR(GETPIVOTDATA("Sum of SRP",'[1]DATA LAST MONTH DEVICE'!$A$6,"ID Store",$C12),0)</f>
        <v>490946000</v>
      </c>
      <c r="AV12" s="81">
        <f t="shared" si="28"/>
        <v>108887000</v>
      </c>
      <c r="AW12" s="81">
        <f t="shared" si="29"/>
        <v>-382059000</v>
      </c>
      <c r="AX12" s="66">
        <f t="shared" si="30"/>
        <v>-0.77820982348364198</v>
      </c>
      <c r="AY12" s="81">
        <f>IFERROR(VLOOKUP(C12,'[1]DATA SALES LAST MONTH'!A:E,5,0),0)</f>
        <v>9091592.5925925896</v>
      </c>
      <c r="AZ12" s="68">
        <f t="shared" si="31"/>
        <v>8375923.0769230798</v>
      </c>
      <c r="BA12" s="68">
        <f t="shared" si="32"/>
        <v>-715669.51566951605</v>
      </c>
      <c r="BB12" s="78">
        <f t="shared" si="33"/>
        <v>-7.8717728316665903E-2</v>
      </c>
      <c r="BC12" s="61">
        <f>IFERROR(VLOOKUP(C12,'[1]TARGET THIS MONTH'!C:U,15,0),0)</f>
        <v>5</v>
      </c>
      <c r="BD12" s="82">
        <f>IFERROR(GETPIVOTDATA("Sum of Qty",[1]ACC!$A$5,"ID Store",$C12),0)</f>
        <v>2</v>
      </c>
      <c r="BE12" s="66">
        <f t="shared" si="34"/>
        <v>0.4</v>
      </c>
      <c r="BF12" s="83">
        <f>IFERROR(VLOOKUP(C12,'[1]TARGET THIS MONTH'!C:U,16,0),0)</f>
        <v>1750000</v>
      </c>
      <c r="BG12" s="83">
        <f>IFERROR(GETPIVOTDATA("Sum of SRP",'[1]Insurance by Store'!$A$5,"ID Store",$C12,"Product Type","Qoala"),0)</f>
        <v>817000</v>
      </c>
      <c r="BH12" s="66">
        <f t="shared" si="35"/>
        <v>0.46685714285714303</v>
      </c>
      <c r="BI12" s="83">
        <f>IFERROR(VLOOKUP(C12,'[1]TARGET THIS MONTH'!C:U,17,0),0)</f>
        <v>350000</v>
      </c>
      <c r="BJ12" s="83">
        <f>IFERROR(GETPIVOTDATA("Sum of SRP",'[1]Insurance by Store'!$A$5,"ID Store",$C12,"Product Type","Vivo Care"),0)</f>
        <v>0</v>
      </c>
      <c r="BK12" s="66">
        <f t="shared" si="36"/>
        <v>0</v>
      </c>
      <c r="BL12" s="64">
        <f>IFERROR(VLOOKUP(C12,'[1]TARGET THIS MONTH'!C:U,18,0),0)</f>
        <v>1.5</v>
      </c>
      <c r="BM12" s="65">
        <f>IFERROR(GETPIVOTDATA("Sum of Qty",'[1]Operator by Store'!$A$5,"ID Store",$C12,"Product Type","Indosat"),0)</f>
        <v>0</v>
      </c>
      <c r="BN12" s="66">
        <f t="shared" si="37"/>
        <v>0</v>
      </c>
      <c r="BO12" s="64">
        <f>VLOOKUP(C12,'[1]TARGET THIS MONTH'!C:U,19,0)</f>
        <v>15</v>
      </c>
      <c r="BP12" s="65">
        <f>IFERROR(GETPIVOTDATA("Sum of Qty",'[1]Operator by Store'!$A$5,"ID Store",$C12,"Product Type","Telkomsel"),0)</f>
        <v>0</v>
      </c>
      <c r="BQ12" s="84">
        <f t="shared" si="38"/>
        <v>0</v>
      </c>
    </row>
    <row r="13" spans="1:69" x14ac:dyDescent="0.2">
      <c r="A13" s="55">
        <v>9</v>
      </c>
      <c r="B13" s="56" t="s">
        <v>40</v>
      </c>
      <c r="C13" s="57">
        <v>6020706</v>
      </c>
      <c r="D13" s="58" t="s">
        <v>54</v>
      </c>
      <c r="E13" s="85" t="s">
        <v>55</v>
      </c>
      <c r="F13" s="60">
        <v>3</v>
      </c>
      <c r="G13" s="61">
        <f>IFERROR(VLOOKUP(C13,'[1]TARGET THIS MONTH'!C:E,3,0),0)</f>
        <v>100</v>
      </c>
      <c r="H13" s="62">
        <f>IFERROR(VLOOKUP(C13,'[1]TARGET THIS MONTH'!C:M,11,0),0)</f>
        <v>430000000</v>
      </c>
      <c r="I13" s="61">
        <f>IFERROR(GETPIVOTDATA("Sum of Qty",'[1]DEVICE &amp; VALUE'!$A$6,"ID Store",$C13),0)</f>
        <v>17</v>
      </c>
      <c r="J13" s="63">
        <f t="shared" si="0"/>
        <v>0.17</v>
      </c>
      <c r="K13" s="64">
        <f t="shared" si="1"/>
        <v>-83</v>
      </c>
      <c r="L13" s="65">
        <f>IFERROR(GETPIVOTDATA("Sum of Qty",[1]PF!$A$5,"ID Store",$C13),0)</f>
        <v>6</v>
      </c>
      <c r="M13" s="65">
        <f>IFERROR(GETPIVOTDATA("Sum of Qty",'[1]DEVICE &amp; VALUE'!$A$6,"ID Store",$C13,"Segment Price","3mio&gt;"),0)</f>
        <v>8</v>
      </c>
      <c r="N13" s="66">
        <f t="shared" si="2"/>
        <v>0.47058823529411797</v>
      </c>
      <c r="O13" s="67">
        <f>IFERROR(GETPIVOTDATA("Sum of Qty",[1]IQOO!$A$6,"ID Store",$C13),0)</f>
        <v>0</v>
      </c>
      <c r="P13" s="66">
        <f t="shared" si="3"/>
        <v>0</v>
      </c>
      <c r="Q13" s="66">
        <f t="shared" si="4"/>
        <v>0.47058823529411797</v>
      </c>
      <c r="R13" s="68">
        <f>IFERROR(GETPIVOTDATA("Sum of SRP",'[1]DEVICE &amp; VALUE'!$A$6,"ID Store",$C13),0)</f>
        <v>62383000</v>
      </c>
      <c r="S13" s="66">
        <f t="shared" si="5"/>
        <v>0.14507674418604699</v>
      </c>
      <c r="T13" s="69">
        <f t="shared" si="6"/>
        <v>-367617000</v>
      </c>
      <c r="U13" s="70">
        <f t="shared" si="7"/>
        <v>85</v>
      </c>
      <c r="V13" s="71">
        <f t="shared" si="8"/>
        <v>0.85</v>
      </c>
      <c r="W13" s="72">
        <f t="shared" si="9"/>
        <v>-15</v>
      </c>
      <c r="X13" s="72">
        <f t="shared" si="10"/>
        <v>40</v>
      </c>
      <c r="Y13" s="72">
        <f t="shared" si="11"/>
        <v>-60</v>
      </c>
      <c r="Z13" s="73">
        <f t="shared" si="12"/>
        <v>311915000</v>
      </c>
      <c r="AA13" s="73">
        <f t="shared" si="13"/>
        <v>-118085000</v>
      </c>
      <c r="AB13" s="74">
        <f t="shared" si="14"/>
        <v>0.72538372093023296</v>
      </c>
      <c r="AC13" s="75">
        <f t="shared" si="15"/>
        <v>3.4583333333333299</v>
      </c>
      <c r="AD13" s="76">
        <f t="shared" si="16"/>
        <v>15317375</v>
      </c>
      <c r="AE13" s="61">
        <f>IFERROR(GETPIVOTDATA("Sum of Qty",'[1]DATA LAST MONTH IQOO'!$A$6,"ID Store",$C13),0)</f>
        <v>21</v>
      </c>
      <c r="AF13" s="77">
        <f>IFERROR(GETPIVOTDATA("Sum of Qty",[1]IQOO!$A$6,"ID Store",$C13),0)</f>
        <v>0</v>
      </c>
      <c r="AG13" s="64">
        <f t="shared" si="17"/>
        <v>-21</v>
      </c>
      <c r="AH13" s="78">
        <f t="shared" si="18"/>
        <v>-1</v>
      </c>
      <c r="AI13" s="79">
        <f>IFERROR(GETPIVOTDATA("Sum of Qty",'[1]DATA LAST MONTH DEVICE'!$A$6,"ID Store",$C13),0)</f>
        <v>109</v>
      </c>
      <c r="AJ13" s="80">
        <f t="shared" si="19"/>
        <v>17</v>
      </c>
      <c r="AK13" s="64">
        <f t="shared" si="20"/>
        <v>-92</v>
      </c>
      <c r="AL13" s="66">
        <f t="shared" si="21"/>
        <v>-0.84403669724770602</v>
      </c>
      <c r="AM13" s="65">
        <f>IFERROR(GETPIVOTDATA("Sum of Qty",'[1]Store 3mio+ last month'!$A$6,"ID Store",$C13),0)</f>
        <v>109</v>
      </c>
      <c r="AN13" s="64">
        <f t="shared" si="22"/>
        <v>85</v>
      </c>
      <c r="AO13" s="64">
        <f t="shared" si="23"/>
        <v>-24</v>
      </c>
      <c r="AP13" s="66">
        <f t="shared" si="24"/>
        <v>-0.22018348623853201</v>
      </c>
      <c r="AQ13" s="65">
        <f>IFERROR(GETPIVOTDATA("Sum of Qty",'[1]DATA LAST MONTH DEVICE'!$A$6,"ID Store",$C13,"Segment Price","3mio&gt;"),0)</f>
        <v>52</v>
      </c>
      <c r="AR13" s="67">
        <f t="shared" si="25"/>
        <v>8</v>
      </c>
      <c r="AS13" s="67">
        <f t="shared" si="26"/>
        <v>-44</v>
      </c>
      <c r="AT13" s="66">
        <f t="shared" si="27"/>
        <v>-0.84615384615384603</v>
      </c>
      <c r="AU13" s="81">
        <f>IFERROR(GETPIVOTDATA("Sum of SRP",'[1]DATA LAST MONTH DEVICE'!$A$6,"ID Store",$C13),0)</f>
        <v>454591000</v>
      </c>
      <c r="AV13" s="81">
        <f t="shared" si="28"/>
        <v>62383000</v>
      </c>
      <c r="AW13" s="81">
        <f t="shared" si="29"/>
        <v>-392208000</v>
      </c>
      <c r="AX13" s="66">
        <f t="shared" si="30"/>
        <v>-0.86277115033073704</v>
      </c>
      <c r="AY13" s="81">
        <f>IFERROR(VLOOKUP(C13,'[1]DATA SALES LAST MONTH'!A:E,5,0),0)</f>
        <v>4170559.63302752</v>
      </c>
      <c r="AZ13" s="68">
        <f t="shared" si="31"/>
        <v>3669588.2352941199</v>
      </c>
      <c r="BA13" s="68">
        <f t="shared" si="32"/>
        <v>-500971.397733405</v>
      </c>
      <c r="BB13" s="78">
        <f t="shared" si="33"/>
        <v>-0.120120905061783</v>
      </c>
      <c r="BC13" s="61">
        <f>IFERROR(VLOOKUP(C13,'[1]TARGET THIS MONTH'!C:U,15,0),0)</f>
        <v>10</v>
      </c>
      <c r="BD13" s="82">
        <f>IFERROR(GETPIVOTDATA("Sum of Qty",[1]ACC!$A$5,"ID Store",$C13),0)</f>
        <v>0</v>
      </c>
      <c r="BE13" s="66">
        <f t="shared" si="34"/>
        <v>0</v>
      </c>
      <c r="BF13" s="83">
        <f>IFERROR(VLOOKUP(C13,'[1]TARGET THIS MONTH'!C:U,16,0),0)</f>
        <v>2150000</v>
      </c>
      <c r="BG13" s="83">
        <f>IFERROR(GETPIVOTDATA("Sum of SRP",'[1]Insurance by Store'!$A$5,"ID Store",$C13,"Product Type","Qoala"),0)</f>
        <v>817000</v>
      </c>
      <c r="BH13" s="66">
        <f t="shared" si="35"/>
        <v>0.38</v>
      </c>
      <c r="BI13" s="83">
        <f>IFERROR(VLOOKUP(C13,'[1]TARGET THIS MONTH'!C:U,17,0),0)</f>
        <v>430000</v>
      </c>
      <c r="BJ13" s="83">
        <f>IFERROR(GETPIVOTDATA("Sum of SRP",'[1]Insurance by Store'!$A$5,"ID Store",$C13,"Product Type","Vivo Care"),0)</f>
        <v>0</v>
      </c>
      <c r="BK13" s="66">
        <f t="shared" si="36"/>
        <v>0</v>
      </c>
      <c r="BL13" s="64">
        <f>IFERROR(VLOOKUP(C13,'[1]TARGET THIS MONTH'!C:U,18,0),0)</f>
        <v>3</v>
      </c>
      <c r="BM13" s="65">
        <f>IFERROR(GETPIVOTDATA("Sum of Qty",'[1]Operator by Store'!$A$5,"ID Store",$C13,"Product Type","Indosat"),0)</f>
        <v>0</v>
      </c>
      <c r="BN13" s="66">
        <f t="shared" si="37"/>
        <v>0</v>
      </c>
      <c r="BO13" s="64">
        <f>VLOOKUP(C13,'[1]TARGET THIS MONTH'!C:U,19,0)</f>
        <v>30</v>
      </c>
      <c r="BP13" s="65">
        <f>IFERROR(GETPIVOTDATA("Sum of Qty",'[1]Operator by Store'!$A$5,"ID Store",$C13,"Product Type","Telkomsel"),0)</f>
        <v>0</v>
      </c>
      <c r="BQ13" s="84">
        <f t="shared" si="38"/>
        <v>0</v>
      </c>
    </row>
    <row r="14" spans="1:69" x14ac:dyDescent="0.2">
      <c r="A14" s="55">
        <v>10</v>
      </c>
      <c r="B14" s="56" t="s">
        <v>40</v>
      </c>
      <c r="C14" s="57">
        <v>6020704</v>
      </c>
      <c r="D14" s="58" t="s">
        <v>56</v>
      </c>
      <c r="E14" s="85" t="s">
        <v>55</v>
      </c>
      <c r="F14" s="60">
        <v>3</v>
      </c>
      <c r="G14" s="61">
        <f>IFERROR(VLOOKUP(C14,'[1]TARGET THIS MONTH'!C:E,3,0),0)</f>
        <v>60</v>
      </c>
      <c r="H14" s="62">
        <f>IFERROR(VLOOKUP(C14,'[1]TARGET THIS MONTH'!C:M,11,0),0)</f>
        <v>258000000</v>
      </c>
      <c r="I14" s="61">
        <f>IFERROR(GETPIVOTDATA("Sum of Qty",'[1]DEVICE &amp; VALUE'!$A$6,"ID Store",$C14),0)</f>
        <v>11</v>
      </c>
      <c r="J14" s="63">
        <f t="shared" si="0"/>
        <v>0.18333333333333299</v>
      </c>
      <c r="K14" s="64">
        <f t="shared" si="1"/>
        <v>-49</v>
      </c>
      <c r="L14" s="65">
        <f>IFERROR(GETPIVOTDATA("Sum of Qty",[1]PF!$A$5,"ID Store",$C14),0)</f>
        <v>3</v>
      </c>
      <c r="M14" s="65">
        <f>IFERROR(GETPIVOTDATA("Sum of Qty",'[1]DEVICE &amp; VALUE'!$A$6,"ID Store",$C14,"Segment Price","3mio&gt;"),0)</f>
        <v>5</v>
      </c>
      <c r="N14" s="66">
        <f t="shared" si="2"/>
        <v>0.45454545454545497</v>
      </c>
      <c r="O14" s="67">
        <f>IFERROR(GETPIVOTDATA("Sum of Qty",[1]IQOO!$A$6,"ID Store",$C14),0)</f>
        <v>1</v>
      </c>
      <c r="P14" s="66">
        <f t="shared" si="3"/>
        <v>9.0909090909090898E-2</v>
      </c>
      <c r="Q14" s="66">
        <f t="shared" si="4"/>
        <v>0.45454545454545497</v>
      </c>
      <c r="R14" s="68">
        <f>IFERROR(GETPIVOTDATA("Sum of SRP",'[1]DEVICE &amp; VALUE'!$A$6,"ID Store",$C14),0)</f>
        <v>38889000</v>
      </c>
      <c r="S14" s="66">
        <f t="shared" si="5"/>
        <v>0.15073255813953501</v>
      </c>
      <c r="T14" s="69">
        <f t="shared" si="6"/>
        <v>-219111000</v>
      </c>
      <c r="U14" s="70">
        <f t="shared" si="7"/>
        <v>55</v>
      </c>
      <c r="V14" s="71">
        <f t="shared" si="8"/>
        <v>0.91666666666666696</v>
      </c>
      <c r="W14" s="72">
        <f t="shared" si="9"/>
        <v>-5</v>
      </c>
      <c r="X14" s="72">
        <f t="shared" si="10"/>
        <v>25</v>
      </c>
      <c r="Y14" s="72">
        <f t="shared" si="11"/>
        <v>-35</v>
      </c>
      <c r="Z14" s="73">
        <f t="shared" si="12"/>
        <v>194445000</v>
      </c>
      <c r="AA14" s="73">
        <f t="shared" si="13"/>
        <v>-63555000</v>
      </c>
      <c r="AB14" s="74">
        <f t="shared" si="14"/>
        <v>0.75366279069767395</v>
      </c>
      <c r="AC14" s="75">
        <f t="shared" si="15"/>
        <v>2.0416666666666701</v>
      </c>
      <c r="AD14" s="76">
        <f t="shared" si="16"/>
        <v>9129625</v>
      </c>
      <c r="AE14" s="61">
        <f>IFERROR(GETPIVOTDATA("Sum of Qty",'[1]DATA LAST MONTH IQOO'!$A$6,"ID Store",$C14),0)</f>
        <v>5</v>
      </c>
      <c r="AF14" s="77">
        <f>IFERROR(GETPIVOTDATA("Sum of Qty",[1]IQOO!$A$6,"ID Store",$C14),0)</f>
        <v>1</v>
      </c>
      <c r="AG14" s="64">
        <f t="shared" si="17"/>
        <v>-4</v>
      </c>
      <c r="AH14" s="78">
        <f t="shared" si="18"/>
        <v>-0.8</v>
      </c>
      <c r="AI14" s="79">
        <f>IFERROR(GETPIVOTDATA("Sum of Qty",'[1]DATA LAST MONTH DEVICE'!$A$6,"ID Store",$C14),0)</f>
        <v>41</v>
      </c>
      <c r="AJ14" s="80">
        <f t="shared" si="19"/>
        <v>11</v>
      </c>
      <c r="AK14" s="64">
        <f t="shared" si="20"/>
        <v>-30</v>
      </c>
      <c r="AL14" s="66">
        <f t="shared" si="21"/>
        <v>-0.73170731707317105</v>
      </c>
      <c r="AM14" s="65">
        <f>IFERROR(GETPIVOTDATA("Sum of Qty",'[1]Store 3mio+ last month'!$A$6,"ID Store",$C14),0)</f>
        <v>41</v>
      </c>
      <c r="AN14" s="64">
        <f t="shared" si="22"/>
        <v>55</v>
      </c>
      <c r="AO14" s="64">
        <f t="shared" si="23"/>
        <v>14</v>
      </c>
      <c r="AP14" s="66">
        <f t="shared" si="24"/>
        <v>0.34146341463414598</v>
      </c>
      <c r="AQ14" s="65">
        <f>IFERROR(GETPIVOTDATA("Sum of Qty",'[1]DATA LAST MONTH DEVICE'!$A$6,"ID Store",$C14,"Segment Price","3mio&gt;"),0)</f>
        <v>13</v>
      </c>
      <c r="AR14" s="67">
        <f t="shared" si="25"/>
        <v>5</v>
      </c>
      <c r="AS14" s="67">
        <f t="shared" si="26"/>
        <v>-8</v>
      </c>
      <c r="AT14" s="66">
        <f t="shared" si="27"/>
        <v>-0.61538461538461497</v>
      </c>
      <c r="AU14" s="81">
        <f>IFERROR(GETPIVOTDATA("Sum of SRP",'[1]DATA LAST MONTH DEVICE'!$A$6,"ID Store",$C14),0)</f>
        <v>140859000</v>
      </c>
      <c r="AV14" s="81">
        <f t="shared" si="28"/>
        <v>38889000</v>
      </c>
      <c r="AW14" s="81">
        <f t="shared" si="29"/>
        <v>-101970000</v>
      </c>
      <c r="AX14" s="66">
        <f t="shared" si="30"/>
        <v>-0.72391540476646898</v>
      </c>
      <c r="AY14" s="81">
        <f>IFERROR(VLOOKUP(C14,'[1]DATA SALES LAST MONTH'!A:E,5,0),0)</f>
        <v>3435585.3658536598</v>
      </c>
      <c r="AZ14" s="68">
        <f t="shared" si="31"/>
        <v>3535363.63636364</v>
      </c>
      <c r="BA14" s="68">
        <f t="shared" si="32"/>
        <v>99778.270509977796</v>
      </c>
      <c r="BB14" s="78">
        <f t="shared" si="33"/>
        <v>2.90425822340716E-2</v>
      </c>
      <c r="BC14" s="61">
        <f>IFERROR(VLOOKUP(C14,'[1]TARGET THIS MONTH'!C:U,15,0),0)</f>
        <v>6</v>
      </c>
      <c r="BD14" s="82">
        <f>IFERROR(GETPIVOTDATA("Sum of Qty",[1]ACC!$A$5,"ID Store",$C14),0)</f>
        <v>1</v>
      </c>
      <c r="BE14" s="66">
        <f t="shared" si="34"/>
        <v>0.16666666666666699</v>
      </c>
      <c r="BF14" s="83">
        <f>IFERROR(VLOOKUP(C14,'[1]TARGET THIS MONTH'!C:U,16,0),0)</f>
        <v>1290000</v>
      </c>
      <c r="BG14" s="83">
        <f>IFERROR(GETPIVOTDATA("Sum of SRP",'[1]Insurance by Store'!$A$5,"ID Store",$C14,"Product Type","Qoala"),0)</f>
        <v>249000</v>
      </c>
      <c r="BH14" s="66">
        <f t="shared" si="35"/>
        <v>0.19302325581395299</v>
      </c>
      <c r="BI14" s="83">
        <f>IFERROR(VLOOKUP(C14,'[1]TARGET THIS MONTH'!C:U,17,0),0)</f>
        <v>258000</v>
      </c>
      <c r="BJ14" s="83">
        <f>IFERROR(GETPIVOTDATA("Sum of SRP",'[1]Insurance by Store'!$A$5,"ID Store",$C14,"Product Type","Vivo Care"),0)</f>
        <v>0</v>
      </c>
      <c r="BK14" s="66">
        <f t="shared" si="36"/>
        <v>0</v>
      </c>
      <c r="BL14" s="64">
        <f>IFERROR(VLOOKUP(C14,'[1]TARGET THIS MONTH'!C:U,18,0),0)</f>
        <v>1.8</v>
      </c>
      <c r="BM14" s="65">
        <f>IFERROR(GETPIVOTDATA("Sum of Qty",'[1]Operator by Store'!$A$5,"ID Store",$C14,"Product Type","Indosat"),0)</f>
        <v>0</v>
      </c>
      <c r="BN14" s="66">
        <f t="shared" si="37"/>
        <v>0</v>
      </c>
      <c r="BO14" s="64">
        <f>VLOOKUP(C14,'[1]TARGET THIS MONTH'!C:U,19,0)</f>
        <v>18</v>
      </c>
      <c r="BP14" s="65">
        <f>IFERROR(GETPIVOTDATA("Sum of Qty",'[1]Operator by Store'!$A$5,"ID Store",$C14,"Product Type","Telkomsel"),0)</f>
        <v>0</v>
      </c>
      <c r="BQ14" s="84">
        <f t="shared" si="38"/>
        <v>0</v>
      </c>
    </row>
    <row r="15" spans="1:69" x14ac:dyDescent="0.2">
      <c r="A15" s="55">
        <v>11</v>
      </c>
      <c r="B15" s="56" t="s">
        <v>57</v>
      </c>
      <c r="C15" s="57">
        <v>6040701</v>
      </c>
      <c r="D15" s="58" t="s">
        <v>58</v>
      </c>
      <c r="E15" s="85" t="s">
        <v>59</v>
      </c>
      <c r="F15" s="60">
        <v>3</v>
      </c>
      <c r="G15" s="61">
        <f>IFERROR(VLOOKUP(C15,'[1]TARGET THIS MONTH'!C:E,3,0),0)</f>
        <v>50</v>
      </c>
      <c r="H15" s="62">
        <f>IFERROR(VLOOKUP(C15,'[1]TARGET THIS MONTH'!C:M,11,0),0)</f>
        <v>215000000</v>
      </c>
      <c r="I15" s="61">
        <f>IFERROR(GETPIVOTDATA("Sum of Qty",'[1]DEVICE &amp; VALUE'!$A$6,"ID Store",$C15),0)</f>
        <v>19</v>
      </c>
      <c r="J15" s="63">
        <f t="shared" si="0"/>
        <v>0.38</v>
      </c>
      <c r="K15" s="64">
        <f t="shared" si="1"/>
        <v>-31</v>
      </c>
      <c r="L15" s="65">
        <f>IFERROR(GETPIVOTDATA("Sum of Qty",[1]PF!$A$5,"ID Store",$C15),0)</f>
        <v>7</v>
      </c>
      <c r="M15" s="65">
        <f>IFERROR(GETPIVOTDATA("Sum of Qty",'[1]DEVICE &amp; VALUE'!$A$6,"ID Store",$C15,"Segment Price","3mio&gt;"),0)</f>
        <v>10</v>
      </c>
      <c r="N15" s="66">
        <f t="shared" si="2"/>
        <v>0.52631578947368396</v>
      </c>
      <c r="O15" s="67">
        <f>IFERROR(GETPIVOTDATA("Sum of Qty",[1]IQOO!$A$6,"ID Store",$C15),0)</f>
        <v>0</v>
      </c>
      <c r="P15" s="66">
        <f t="shared" si="3"/>
        <v>0</v>
      </c>
      <c r="Q15" s="66">
        <f t="shared" si="4"/>
        <v>0.52631578947368396</v>
      </c>
      <c r="R15" s="68">
        <f>IFERROR(GETPIVOTDATA("Sum of SRP",'[1]DEVICE &amp; VALUE'!$A$6,"ID Store",$C15),0)</f>
        <v>76981000</v>
      </c>
      <c r="S15" s="66">
        <f t="shared" si="5"/>
        <v>0.35805116279069799</v>
      </c>
      <c r="T15" s="69">
        <f t="shared" si="6"/>
        <v>-138019000</v>
      </c>
      <c r="U15" s="70">
        <f t="shared" si="7"/>
        <v>95</v>
      </c>
      <c r="V15" s="71">
        <f t="shared" si="8"/>
        <v>1.9</v>
      </c>
      <c r="W15" s="72">
        <f t="shared" si="9"/>
        <v>45</v>
      </c>
      <c r="X15" s="72">
        <f t="shared" si="10"/>
        <v>50</v>
      </c>
      <c r="Y15" s="72">
        <f t="shared" si="11"/>
        <v>0</v>
      </c>
      <c r="Z15" s="73">
        <f t="shared" si="12"/>
        <v>384905000</v>
      </c>
      <c r="AA15" s="73">
        <f t="shared" si="13"/>
        <v>169905000</v>
      </c>
      <c r="AB15" s="74">
        <f t="shared" si="14"/>
        <v>1.7902558139534901</v>
      </c>
      <c r="AC15" s="75">
        <f t="shared" si="15"/>
        <v>1.2916666666666701</v>
      </c>
      <c r="AD15" s="76">
        <f t="shared" si="16"/>
        <v>5750791.6666666698</v>
      </c>
      <c r="AE15" s="61">
        <f>IFERROR(GETPIVOTDATA("Sum of Qty",'[1]DATA LAST MONTH IQOO'!$A$6,"ID Store",$C15),0)</f>
        <v>6</v>
      </c>
      <c r="AF15" s="77">
        <f>IFERROR(GETPIVOTDATA("Sum of Qty",[1]IQOO!$A$6,"ID Store",$C15),0)</f>
        <v>0</v>
      </c>
      <c r="AG15" s="64">
        <f t="shared" si="17"/>
        <v>-6</v>
      </c>
      <c r="AH15" s="78">
        <f t="shared" si="18"/>
        <v>-1</v>
      </c>
      <c r="AI15" s="79">
        <f>IFERROR(GETPIVOTDATA("Sum of Qty",'[1]DATA LAST MONTH DEVICE'!$A$6,"ID Store",$C15),0)</f>
        <v>48</v>
      </c>
      <c r="AJ15" s="80">
        <f t="shared" si="19"/>
        <v>19</v>
      </c>
      <c r="AK15" s="64">
        <f t="shared" si="20"/>
        <v>-29</v>
      </c>
      <c r="AL15" s="66">
        <f t="shared" si="21"/>
        <v>-0.60416666666666696</v>
      </c>
      <c r="AM15" s="65">
        <f>IFERROR(GETPIVOTDATA("Sum of Qty",'[1]Store 3mio+ last month'!$A$6,"ID Store",$C15),0)</f>
        <v>48</v>
      </c>
      <c r="AN15" s="64">
        <f t="shared" si="22"/>
        <v>95</v>
      </c>
      <c r="AO15" s="64">
        <f t="shared" si="23"/>
        <v>47</v>
      </c>
      <c r="AP15" s="66">
        <f t="shared" si="24"/>
        <v>0.97916666666666696</v>
      </c>
      <c r="AQ15" s="65">
        <f>IFERROR(GETPIVOTDATA("Sum of Qty",'[1]DATA LAST MONTH DEVICE'!$A$6,"ID Store",$C15,"Segment Price","3mio&gt;"),0)</f>
        <v>21</v>
      </c>
      <c r="AR15" s="67">
        <f t="shared" si="25"/>
        <v>10</v>
      </c>
      <c r="AS15" s="67">
        <f t="shared" si="26"/>
        <v>-11</v>
      </c>
      <c r="AT15" s="66">
        <f t="shared" si="27"/>
        <v>-0.52380952380952395</v>
      </c>
      <c r="AU15" s="81">
        <f>IFERROR(GETPIVOTDATA("Sum of SRP",'[1]DATA LAST MONTH DEVICE'!$A$6,"ID Store",$C15),0)</f>
        <v>187652000</v>
      </c>
      <c r="AV15" s="81">
        <f t="shared" si="28"/>
        <v>76981000</v>
      </c>
      <c r="AW15" s="81">
        <f t="shared" si="29"/>
        <v>-110671000</v>
      </c>
      <c r="AX15" s="66">
        <f t="shared" si="30"/>
        <v>-0.58976722869993403</v>
      </c>
      <c r="AY15" s="81">
        <f>IFERROR(VLOOKUP(C15,'[1]DATA SALES LAST MONTH'!A:E,5,0),0)</f>
        <v>3909416.6666666698</v>
      </c>
      <c r="AZ15" s="68">
        <f t="shared" si="31"/>
        <v>4051631.5789473699</v>
      </c>
      <c r="BA15" s="68">
        <f t="shared" si="32"/>
        <v>142214.912280702</v>
      </c>
      <c r="BB15" s="78">
        <f t="shared" si="33"/>
        <v>3.6377527494903902E-2</v>
      </c>
      <c r="BC15" s="61">
        <f>IFERROR(VLOOKUP(C15,'[1]TARGET THIS MONTH'!C:U,15,0),0)</f>
        <v>5</v>
      </c>
      <c r="BD15" s="82">
        <f>IFERROR(GETPIVOTDATA("Sum of Qty",[1]ACC!$A$5,"ID Store",$C15),0)</f>
        <v>0</v>
      </c>
      <c r="BE15" s="66">
        <f t="shared" si="34"/>
        <v>0</v>
      </c>
      <c r="BF15" s="83">
        <f>IFERROR(VLOOKUP(C15,'[1]TARGET THIS MONTH'!C:U,16,0),0)</f>
        <v>1075000</v>
      </c>
      <c r="BG15" s="83">
        <f>IFERROR(GETPIVOTDATA("Sum of SRP",'[1]Insurance by Store'!$A$5,"ID Store",$C15,"Product Type","Qoala"),0)</f>
        <v>318000</v>
      </c>
      <c r="BH15" s="66">
        <f t="shared" si="35"/>
        <v>0.29581395348837197</v>
      </c>
      <c r="BI15" s="83">
        <f>IFERROR(VLOOKUP(C15,'[1]TARGET THIS MONTH'!C:U,17,0),0)</f>
        <v>215000</v>
      </c>
      <c r="BJ15" s="83">
        <f>IFERROR(GETPIVOTDATA("Sum of SRP",'[1]Insurance by Store'!$A$5,"ID Store",$C15,"Product Type","Vivo Care"),0)</f>
        <v>0</v>
      </c>
      <c r="BK15" s="66">
        <f t="shared" si="36"/>
        <v>0</v>
      </c>
      <c r="BL15" s="64">
        <f>IFERROR(VLOOKUP(C15,'[1]TARGET THIS MONTH'!C:U,18,0),0)</f>
        <v>1.5</v>
      </c>
      <c r="BM15" s="65">
        <f>IFERROR(GETPIVOTDATA("Sum of Qty",'[1]Operator by Store'!$A$5,"ID Store",$C15,"Product Type","Indosat"),0)</f>
        <v>0</v>
      </c>
      <c r="BN15" s="66">
        <f t="shared" si="37"/>
        <v>0</v>
      </c>
      <c r="BO15" s="64">
        <f>VLOOKUP(C15,'[1]TARGET THIS MONTH'!C:U,19,0)</f>
        <v>15</v>
      </c>
      <c r="BP15" s="65">
        <f>IFERROR(GETPIVOTDATA("Sum of Qty",'[1]Operator by Store'!$A$5,"ID Store",$C15,"Product Type","Telkomsel"),0)</f>
        <v>0</v>
      </c>
      <c r="BQ15" s="84">
        <f t="shared" si="38"/>
        <v>0</v>
      </c>
    </row>
    <row r="16" spans="1:69" x14ac:dyDescent="0.2">
      <c r="A16" s="55">
        <v>12</v>
      </c>
      <c r="B16" s="56" t="s">
        <v>57</v>
      </c>
      <c r="C16" s="57">
        <v>6080712</v>
      </c>
      <c r="D16" s="58" t="s">
        <v>60</v>
      </c>
      <c r="E16" s="85" t="s">
        <v>59</v>
      </c>
      <c r="F16" s="60">
        <v>3</v>
      </c>
      <c r="G16" s="61">
        <f>IFERROR(VLOOKUP(C16,'[1]TARGET THIS MONTH'!C:E,3,0),0)</f>
        <v>60</v>
      </c>
      <c r="H16" s="62">
        <f>IFERROR(VLOOKUP(C16,'[1]TARGET THIS MONTH'!C:M,11,0),0)</f>
        <v>258000000</v>
      </c>
      <c r="I16" s="61">
        <f>IFERROR(GETPIVOTDATA("Sum of Qty",'[1]DEVICE &amp; VALUE'!$A$6,"ID Store",$C16),0)</f>
        <v>15</v>
      </c>
      <c r="J16" s="63">
        <f t="shared" si="0"/>
        <v>0.25</v>
      </c>
      <c r="K16" s="64">
        <f t="shared" si="1"/>
        <v>-45</v>
      </c>
      <c r="L16" s="65">
        <f>IFERROR(GETPIVOTDATA("Sum of Qty",[1]PF!$A$5,"ID Store",$C16),0)</f>
        <v>3</v>
      </c>
      <c r="M16" s="65">
        <f>IFERROR(GETPIVOTDATA("Sum of Qty",'[1]DEVICE &amp; VALUE'!$A$6,"ID Store",$C16,"Segment Price","3mio&gt;"),0)</f>
        <v>9</v>
      </c>
      <c r="N16" s="66">
        <f t="shared" si="2"/>
        <v>0.6</v>
      </c>
      <c r="O16" s="67">
        <f>IFERROR(GETPIVOTDATA("Sum of Qty",[1]IQOO!$A$6,"ID Store",$C16),0)</f>
        <v>1</v>
      </c>
      <c r="P16" s="66">
        <f t="shared" si="3"/>
        <v>6.6666666666666693E-2</v>
      </c>
      <c r="Q16" s="66">
        <f t="shared" si="4"/>
        <v>0.6</v>
      </c>
      <c r="R16" s="68">
        <f>IFERROR(GETPIVOTDATA("Sum of SRP",'[1]DEVICE &amp; VALUE'!$A$6,"ID Store",$C16),0)</f>
        <v>79885000</v>
      </c>
      <c r="S16" s="66">
        <f t="shared" si="5"/>
        <v>0.30963178294573601</v>
      </c>
      <c r="T16" s="69">
        <f t="shared" si="6"/>
        <v>-178115000</v>
      </c>
      <c r="U16" s="70">
        <f t="shared" si="7"/>
        <v>75</v>
      </c>
      <c r="V16" s="71">
        <f t="shared" si="8"/>
        <v>1.25</v>
      </c>
      <c r="W16" s="72">
        <f t="shared" si="9"/>
        <v>15</v>
      </c>
      <c r="X16" s="72">
        <f t="shared" si="10"/>
        <v>45</v>
      </c>
      <c r="Y16" s="72">
        <f t="shared" si="11"/>
        <v>-15</v>
      </c>
      <c r="Z16" s="73">
        <f t="shared" si="12"/>
        <v>399425000</v>
      </c>
      <c r="AA16" s="73">
        <f t="shared" si="13"/>
        <v>141425000</v>
      </c>
      <c r="AB16" s="74">
        <f t="shared" si="14"/>
        <v>1.5481589147286801</v>
      </c>
      <c r="AC16" s="75">
        <f t="shared" si="15"/>
        <v>1.875</v>
      </c>
      <c r="AD16" s="76">
        <f t="shared" si="16"/>
        <v>7421458.3333333302</v>
      </c>
      <c r="AE16" s="61">
        <f>IFERROR(GETPIVOTDATA("Sum of Qty",'[1]DATA LAST MONTH IQOO'!$A$6,"ID Store",$C16),0)</f>
        <v>7</v>
      </c>
      <c r="AF16" s="77">
        <f>IFERROR(GETPIVOTDATA("Sum of Qty",[1]IQOO!$A$6,"ID Store",$C16),0)</f>
        <v>1</v>
      </c>
      <c r="AG16" s="64">
        <f t="shared" si="17"/>
        <v>-6</v>
      </c>
      <c r="AH16" s="78">
        <f t="shared" si="18"/>
        <v>-0.85714285714285698</v>
      </c>
      <c r="AI16" s="79">
        <f>IFERROR(GETPIVOTDATA("Sum of Qty",'[1]DATA LAST MONTH DEVICE'!$A$6,"ID Store",$C16),0)</f>
        <v>57</v>
      </c>
      <c r="AJ16" s="80">
        <f t="shared" si="19"/>
        <v>15</v>
      </c>
      <c r="AK16" s="64">
        <f t="shared" si="20"/>
        <v>-42</v>
      </c>
      <c r="AL16" s="66">
        <f t="shared" si="21"/>
        <v>-0.73684210526315796</v>
      </c>
      <c r="AM16" s="65">
        <f>IFERROR(GETPIVOTDATA("Sum of Qty",'[1]Store 3mio+ last month'!$A$6,"ID Store",$C16),0)</f>
        <v>57</v>
      </c>
      <c r="AN16" s="64">
        <f t="shared" si="22"/>
        <v>75</v>
      </c>
      <c r="AO16" s="64">
        <f t="shared" si="23"/>
        <v>18</v>
      </c>
      <c r="AP16" s="66">
        <f t="shared" si="24"/>
        <v>0.31578947368421101</v>
      </c>
      <c r="AQ16" s="65">
        <f>IFERROR(GETPIVOTDATA("Sum of Qty",'[1]DATA LAST MONTH DEVICE'!$A$6,"ID Store",$C16,"Segment Price","3mio&gt;"),0)</f>
        <v>32</v>
      </c>
      <c r="AR16" s="67">
        <f t="shared" si="25"/>
        <v>9</v>
      </c>
      <c r="AS16" s="67">
        <f t="shared" si="26"/>
        <v>-23</v>
      </c>
      <c r="AT16" s="66">
        <f t="shared" si="27"/>
        <v>-0.71875</v>
      </c>
      <c r="AU16" s="81">
        <f>IFERROR(GETPIVOTDATA("Sum of SRP",'[1]DATA LAST MONTH DEVICE'!$A$6,"ID Store",$C16),0)</f>
        <v>278943000</v>
      </c>
      <c r="AV16" s="81">
        <f t="shared" si="28"/>
        <v>79885000</v>
      </c>
      <c r="AW16" s="81">
        <f t="shared" si="29"/>
        <v>-199058000</v>
      </c>
      <c r="AX16" s="66">
        <f t="shared" si="30"/>
        <v>-0.71361532642869696</v>
      </c>
      <c r="AY16" s="81">
        <f>IFERROR(VLOOKUP(C16,'[1]DATA SALES LAST MONTH'!A:E,5,0),0)</f>
        <v>4893736.8421052601</v>
      </c>
      <c r="AZ16" s="68">
        <f t="shared" si="31"/>
        <v>5325666.6666666698</v>
      </c>
      <c r="BA16" s="68">
        <f t="shared" si="32"/>
        <v>431929.82456140401</v>
      </c>
      <c r="BB16" s="78">
        <f t="shared" si="33"/>
        <v>8.8261759570951906E-2</v>
      </c>
      <c r="BC16" s="61">
        <f>IFERROR(VLOOKUP(C16,'[1]TARGET THIS MONTH'!C:U,15,0),0)</f>
        <v>6</v>
      </c>
      <c r="BD16" s="82">
        <f>IFERROR(GETPIVOTDATA("Sum of Qty",[1]ACC!$A$5,"ID Store",$C16),0)</f>
        <v>2</v>
      </c>
      <c r="BE16" s="66">
        <f t="shared" si="34"/>
        <v>0.33333333333333298</v>
      </c>
      <c r="BF16" s="83">
        <f>IFERROR(VLOOKUP(C16,'[1]TARGET THIS MONTH'!C:U,16,0),0)</f>
        <v>1290000</v>
      </c>
      <c r="BG16" s="83">
        <f>IFERROR(GETPIVOTDATA("Sum of SRP",'[1]Insurance by Store'!$A$5,"ID Store",$C16,"Product Type","Qoala"),0)</f>
        <v>159000</v>
      </c>
      <c r="BH16" s="66">
        <f t="shared" si="35"/>
        <v>0.123255813953488</v>
      </c>
      <c r="BI16" s="83">
        <f>IFERROR(VLOOKUP(C16,'[1]TARGET THIS MONTH'!C:U,17,0),0)</f>
        <v>258000</v>
      </c>
      <c r="BJ16" s="83">
        <f>IFERROR(GETPIVOTDATA("Sum of SRP",'[1]Insurance by Store'!$A$5,"ID Store",$C16,"Product Type","Vivo Care"),0)</f>
        <v>0</v>
      </c>
      <c r="BK16" s="66">
        <f t="shared" si="36"/>
        <v>0</v>
      </c>
      <c r="BL16" s="64">
        <f>IFERROR(VLOOKUP(C16,'[1]TARGET THIS MONTH'!C:U,18,0),0)</f>
        <v>1.8</v>
      </c>
      <c r="BM16" s="65">
        <f>IFERROR(GETPIVOTDATA("Sum of Qty",'[1]Operator by Store'!$A$5,"ID Store",$C16,"Product Type","Indosat"),0)</f>
        <v>2</v>
      </c>
      <c r="BN16" s="66">
        <f t="shared" si="37"/>
        <v>1.1111111111111101</v>
      </c>
      <c r="BO16" s="64">
        <f>VLOOKUP(C16,'[1]TARGET THIS MONTH'!C:U,19,0)</f>
        <v>18</v>
      </c>
      <c r="BP16" s="65">
        <f>IFERROR(GETPIVOTDATA("Sum of Qty",'[1]Operator by Store'!$A$5,"ID Store",$C16,"Product Type","Telkomsel"),0)</f>
        <v>0</v>
      </c>
      <c r="BQ16" s="84">
        <f t="shared" si="38"/>
        <v>0</v>
      </c>
    </row>
    <row r="17" spans="1:69" x14ac:dyDescent="0.2">
      <c r="A17" s="55">
        <v>13</v>
      </c>
      <c r="B17" s="56" t="s">
        <v>57</v>
      </c>
      <c r="C17" s="57">
        <v>6040702</v>
      </c>
      <c r="D17" s="58" t="s">
        <v>61</v>
      </c>
      <c r="E17" s="85" t="s">
        <v>59</v>
      </c>
      <c r="F17" s="60">
        <v>2</v>
      </c>
      <c r="G17" s="61">
        <f>IFERROR(VLOOKUP(C17,'[1]TARGET THIS MONTH'!C:E,3,0),0)</f>
        <v>30</v>
      </c>
      <c r="H17" s="62">
        <f>IFERROR(VLOOKUP(C17,'[1]TARGET THIS MONTH'!C:M,11,0),0)</f>
        <v>210000000</v>
      </c>
      <c r="I17" s="61">
        <f>IFERROR(GETPIVOTDATA("Sum of Qty",'[1]DEVICE &amp; VALUE'!$A$6,"ID Store",$C17),0)</f>
        <v>8</v>
      </c>
      <c r="J17" s="63">
        <f t="shared" si="0"/>
        <v>0.266666666666667</v>
      </c>
      <c r="K17" s="64">
        <f t="shared" si="1"/>
        <v>-22</v>
      </c>
      <c r="L17" s="65">
        <f>IFERROR(GETPIVOTDATA("Sum of Qty",[1]PF!$A$5,"ID Store",$C17),0)</f>
        <v>2</v>
      </c>
      <c r="M17" s="65">
        <f>IFERROR(GETPIVOTDATA("Sum of Qty",'[1]DEVICE &amp; VALUE'!$A$6,"ID Store",$C17,"Segment Price","3mio&gt;"),0)</f>
        <v>5</v>
      </c>
      <c r="N17" s="66">
        <f t="shared" si="2"/>
        <v>0.625</v>
      </c>
      <c r="O17" s="67">
        <f>IFERROR(GETPIVOTDATA("Sum of Qty",[1]IQOO!$A$6,"ID Store",$C17),0)</f>
        <v>1</v>
      </c>
      <c r="P17" s="66">
        <f t="shared" si="3"/>
        <v>0.125</v>
      </c>
      <c r="Q17" s="66">
        <f t="shared" si="4"/>
        <v>0.625</v>
      </c>
      <c r="R17" s="68">
        <f>IFERROR(GETPIVOTDATA("Sum of SRP",'[1]DEVICE &amp; VALUE'!$A$6,"ID Store",$C17),0)</f>
        <v>43492000</v>
      </c>
      <c r="S17" s="66">
        <f t="shared" si="5"/>
        <v>0.20710476190476201</v>
      </c>
      <c r="T17" s="69">
        <f t="shared" si="6"/>
        <v>-166508000</v>
      </c>
      <c r="U17" s="70">
        <f t="shared" si="7"/>
        <v>40</v>
      </c>
      <c r="V17" s="71">
        <f t="shared" si="8"/>
        <v>1.3333333333333299</v>
      </c>
      <c r="W17" s="72">
        <f t="shared" si="9"/>
        <v>10</v>
      </c>
      <c r="X17" s="72">
        <f t="shared" si="10"/>
        <v>25</v>
      </c>
      <c r="Y17" s="72">
        <f t="shared" si="11"/>
        <v>-5</v>
      </c>
      <c r="Z17" s="73">
        <f t="shared" si="12"/>
        <v>217460000</v>
      </c>
      <c r="AA17" s="73">
        <f t="shared" si="13"/>
        <v>7460000</v>
      </c>
      <c r="AB17" s="74">
        <f t="shared" si="14"/>
        <v>1.03552380952381</v>
      </c>
      <c r="AC17" s="75">
        <f t="shared" si="15"/>
        <v>0.91666666666666696</v>
      </c>
      <c r="AD17" s="76">
        <f t="shared" si="16"/>
        <v>6937833.3333333302</v>
      </c>
      <c r="AE17" s="61">
        <f>IFERROR(GETPIVOTDATA("Sum of Qty",'[1]DATA LAST MONTH IQOO'!$A$6,"ID Store",$C17),0)</f>
        <v>5</v>
      </c>
      <c r="AF17" s="77">
        <f>IFERROR(GETPIVOTDATA("Sum of Qty",[1]IQOO!$A$6,"ID Store",$C17),0)</f>
        <v>1</v>
      </c>
      <c r="AG17" s="64">
        <f t="shared" si="17"/>
        <v>-4</v>
      </c>
      <c r="AH17" s="78">
        <f t="shared" si="18"/>
        <v>-0.8</v>
      </c>
      <c r="AI17" s="79">
        <f>IFERROR(GETPIVOTDATA("Sum of Qty",'[1]DATA LAST MONTH DEVICE'!$A$6,"ID Store",$C17),0)</f>
        <v>21</v>
      </c>
      <c r="AJ17" s="80">
        <f t="shared" si="19"/>
        <v>8</v>
      </c>
      <c r="AK17" s="64">
        <f t="shared" si="20"/>
        <v>-13</v>
      </c>
      <c r="AL17" s="66">
        <f t="shared" si="21"/>
        <v>-0.61904761904761896</v>
      </c>
      <c r="AM17" s="65">
        <f>IFERROR(GETPIVOTDATA("Sum of Qty",'[1]Store 3mio+ last month'!$A$6,"ID Store",$C17),0)</f>
        <v>21</v>
      </c>
      <c r="AN17" s="64">
        <f t="shared" si="22"/>
        <v>40</v>
      </c>
      <c r="AO17" s="64">
        <f t="shared" si="23"/>
        <v>19</v>
      </c>
      <c r="AP17" s="66">
        <f t="shared" si="24"/>
        <v>0.90476190476190499</v>
      </c>
      <c r="AQ17" s="65">
        <f>IFERROR(GETPIVOTDATA("Sum of Qty",'[1]DATA LAST MONTH DEVICE'!$A$6,"ID Store",$C17,"Segment Price","3mio&gt;"),0)</f>
        <v>11</v>
      </c>
      <c r="AR17" s="67">
        <f t="shared" si="25"/>
        <v>5</v>
      </c>
      <c r="AS17" s="67">
        <f t="shared" si="26"/>
        <v>-6</v>
      </c>
      <c r="AT17" s="66">
        <f t="shared" si="27"/>
        <v>-0.54545454545454497</v>
      </c>
      <c r="AU17" s="81">
        <f>IFERROR(GETPIVOTDATA("Sum of SRP",'[1]DATA LAST MONTH DEVICE'!$A$6,"ID Store",$C17),0)</f>
        <v>125879000</v>
      </c>
      <c r="AV17" s="81">
        <f t="shared" si="28"/>
        <v>43492000</v>
      </c>
      <c r="AW17" s="81">
        <f t="shared" si="29"/>
        <v>-82387000</v>
      </c>
      <c r="AX17" s="66">
        <f t="shared" si="30"/>
        <v>-0.65449360099778398</v>
      </c>
      <c r="AY17" s="81">
        <f>IFERROR(VLOOKUP(C17,'[1]DATA SALES LAST MONTH'!A:E,5,0),0)</f>
        <v>5994238.0952380998</v>
      </c>
      <c r="AZ17" s="68">
        <f t="shared" si="31"/>
        <v>5436500</v>
      </c>
      <c r="BA17" s="68">
        <f t="shared" si="32"/>
        <v>-557738.09523809503</v>
      </c>
      <c r="BB17" s="78">
        <f t="shared" si="33"/>
        <v>-9.3045702619181894E-2</v>
      </c>
      <c r="BC17" s="61">
        <f>IFERROR(VLOOKUP(C17,'[1]TARGET THIS MONTH'!C:U,15,0),0)</f>
        <v>3</v>
      </c>
      <c r="BD17" s="82">
        <f>IFERROR(GETPIVOTDATA("Sum of Qty",[1]ACC!$A$5,"ID Store",$C17),0)</f>
        <v>3</v>
      </c>
      <c r="BE17" s="66">
        <f t="shared" si="34"/>
        <v>1</v>
      </c>
      <c r="BF17" s="83">
        <f>IFERROR(VLOOKUP(C17,'[1]TARGET THIS MONTH'!C:U,16,0),0)</f>
        <v>1050000</v>
      </c>
      <c r="BG17" s="83">
        <f>IFERROR(GETPIVOTDATA("Sum of SRP",'[1]Insurance by Store'!$A$5,"ID Store",$C17,"Product Type","Qoala"),0)</f>
        <v>0</v>
      </c>
      <c r="BH17" s="66">
        <f t="shared" si="35"/>
        <v>0</v>
      </c>
      <c r="BI17" s="83">
        <f>IFERROR(VLOOKUP(C17,'[1]TARGET THIS MONTH'!C:U,17,0),0)</f>
        <v>210000</v>
      </c>
      <c r="BJ17" s="83">
        <f>IFERROR(GETPIVOTDATA("Sum of SRP",'[1]Insurance by Store'!$A$5,"ID Store",$C17,"Product Type","Vivo Care"),0)</f>
        <v>0</v>
      </c>
      <c r="BK17" s="66">
        <f t="shared" si="36"/>
        <v>0</v>
      </c>
      <c r="BL17" s="64">
        <f>IFERROR(VLOOKUP(C17,'[1]TARGET THIS MONTH'!C:U,18,0),0)</f>
        <v>0.9</v>
      </c>
      <c r="BM17" s="65">
        <f>IFERROR(GETPIVOTDATA("Sum of Qty",'[1]Operator by Store'!$A$5,"ID Store",$C17,"Product Type","Indosat"),0)</f>
        <v>0</v>
      </c>
      <c r="BN17" s="66">
        <f t="shared" si="37"/>
        <v>0</v>
      </c>
      <c r="BO17" s="64">
        <f>VLOOKUP(C17,'[1]TARGET THIS MONTH'!C:U,19,0)</f>
        <v>9</v>
      </c>
      <c r="BP17" s="65">
        <f>IFERROR(GETPIVOTDATA("Sum of Qty",'[1]Operator by Store'!$A$5,"ID Store",$C17,"Product Type","Telkomsel"),0)</f>
        <v>0</v>
      </c>
      <c r="BQ17" s="84">
        <f t="shared" si="38"/>
        <v>0</v>
      </c>
    </row>
    <row r="18" spans="1:69" x14ac:dyDescent="0.2">
      <c r="A18" s="55">
        <v>14</v>
      </c>
      <c r="B18" s="56" t="s">
        <v>57</v>
      </c>
      <c r="C18" s="57">
        <v>6040703</v>
      </c>
      <c r="D18" s="58" t="s">
        <v>62</v>
      </c>
      <c r="E18" s="85" t="s">
        <v>59</v>
      </c>
      <c r="F18" s="60">
        <v>2</v>
      </c>
      <c r="G18" s="61">
        <f>IFERROR(VLOOKUP(C18,'[1]TARGET THIS MONTH'!C:E,3,0),0)</f>
        <v>40</v>
      </c>
      <c r="H18" s="62">
        <f>IFERROR(VLOOKUP(C18,'[1]TARGET THIS MONTH'!C:M,11,0),0)</f>
        <v>220000000</v>
      </c>
      <c r="I18" s="61">
        <f>IFERROR(GETPIVOTDATA("Sum of Qty",'[1]DEVICE &amp; VALUE'!$A$6,"ID Store",$C18),0)</f>
        <v>10</v>
      </c>
      <c r="J18" s="63">
        <f t="shared" si="0"/>
        <v>0.25</v>
      </c>
      <c r="K18" s="64">
        <f t="shared" si="1"/>
        <v>-30</v>
      </c>
      <c r="L18" s="65">
        <f>IFERROR(GETPIVOTDATA("Sum of Qty",[1]PF!$A$5,"ID Store",$C18),0)</f>
        <v>1</v>
      </c>
      <c r="M18" s="65">
        <f>IFERROR(GETPIVOTDATA("Sum of Qty",'[1]DEVICE &amp; VALUE'!$A$6,"ID Store",$C18,"Segment Price","3mio&gt;"),0)</f>
        <v>5</v>
      </c>
      <c r="N18" s="66">
        <f t="shared" si="2"/>
        <v>0.5</v>
      </c>
      <c r="O18" s="67">
        <f>IFERROR(GETPIVOTDATA("Sum of Qty",[1]IQOO!$A$6,"ID Store",$C18),0)</f>
        <v>2</v>
      </c>
      <c r="P18" s="66">
        <f t="shared" si="3"/>
        <v>0.2</v>
      </c>
      <c r="Q18" s="66">
        <f t="shared" si="4"/>
        <v>0.5</v>
      </c>
      <c r="R18" s="68">
        <f>IFERROR(GETPIVOTDATA("Sum of SRP",'[1]DEVICE &amp; VALUE'!$A$6,"ID Store",$C18),0)</f>
        <v>62290000</v>
      </c>
      <c r="S18" s="66">
        <f t="shared" si="5"/>
        <v>0.28313636363636402</v>
      </c>
      <c r="T18" s="69">
        <f t="shared" si="6"/>
        <v>-157710000</v>
      </c>
      <c r="U18" s="70">
        <f t="shared" si="7"/>
        <v>50</v>
      </c>
      <c r="V18" s="71">
        <f t="shared" si="8"/>
        <v>1.25</v>
      </c>
      <c r="W18" s="72">
        <f t="shared" si="9"/>
        <v>10</v>
      </c>
      <c r="X18" s="72">
        <f t="shared" si="10"/>
        <v>25</v>
      </c>
      <c r="Y18" s="72">
        <f t="shared" si="11"/>
        <v>-15</v>
      </c>
      <c r="Z18" s="73">
        <f t="shared" si="12"/>
        <v>311450000</v>
      </c>
      <c r="AA18" s="73">
        <f t="shared" si="13"/>
        <v>91450000</v>
      </c>
      <c r="AB18" s="74">
        <f t="shared" si="14"/>
        <v>1.41568181818182</v>
      </c>
      <c r="AC18" s="75">
        <f t="shared" si="15"/>
        <v>1.25</v>
      </c>
      <c r="AD18" s="76">
        <f t="shared" si="16"/>
        <v>6571250</v>
      </c>
      <c r="AE18" s="61">
        <f>IFERROR(GETPIVOTDATA("Sum of Qty",'[1]DATA LAST MONTH IQOO'!$A$6,"ID Store",$C18),0)</f>
        <v>5</v>
      </c>
      <c r="AF18" s="77">
        <f>IFERROR(GETPIVOTDATA("Sum of Qty",[1]IQOO!$A$6,"ID Store",$C18),0)</f>
        <v>2</v>
      </c>
      <c r="AG18" s="64">
        <f t="shared" si="17"/>
        <v>-3</v>
      </c>
      <c r="AH18" s="78">
        <f t="shared" si="18"/>
        <v>-0.6</v>
      </c>
      <c r="AI18" s="79">
        <f>IFERROR(GETPIVOTDATA("Sum of Qty",'[1]DATA LAST MONTH DEVICE'!$A$6,"ID Store",$C18),0)</f>
        <v>29</v>
      </c>
      <c r="AJ18" s="80">
        <f t="shared" si="19"/>
        <v>10</v>
      </c>
      <c r="AK18" s="64">
        <f t="shared" si="20"/>
        <v>-19</v>
      </c>
      <c r="AL18" s="66">
        <f t="shared" si="21"/>
        <v>-0.65517241379310298</v>
      </c>
      <c r="AM18" s="65">
        <f>IFERROR(GETPIVOTDATA("Sum of Qty",'[1]Store 3mio+ last month'!$A$6,"ID Store",$C18),0)</f>
        <v>29</v>
      </c>
      <c r="AN18" s="64">
        <f t="shared" si="22"/>
        <v>50</v>
      </c>
      <c r="AO18" s="64">
        <f t="shared" si="23"/>
        <v>21</v>
      </c>
      <c r="AP18" s="66">
        <f t="shared" si="24"/>
        <v>0.72413793103448298</v>
      </c>
      <c r="AQ18" s="65">
        <f>IFERROR(GETPIVOTDATA("Sum of Qty",'[1]DATA LAST MONTH DEVICE'!$A$6,"ID Store",$C18,"Segment Price","3mio&gt;"),0)</f>
        <v>21</v>
      </c>
      <c r="AR18" s="67">
        <f t="shared" si="25"/>
        <v>5</v>
      </c>
      <c r="AS18" s="67">
        <f t="shared" si="26"/>
        <v>-16</v>
      </c>
      <c r="AT18" s="66">
        <f t="shared" si="27"/>
        <v>-0.76190476190476197</v>
      </c>
      <c r="AU18" s="81">
        <f>IFERROR(GETPIVOTDATA("Sum of SRP",'[1]DATA LAST MONTH DEVICE'!$A$6,"ID Store",$C18),0)</f>
        <v>166171000</v>
      </c>
      <c r="AV18" s="81">
        <f t="shared" si="28"/>
        <v>62290000</v>
      </c>
      <c r="AW18" s="81">
        <f t="shared" si="29"/>
        <v>-103881000</v>
      </c>
      <c r="AX18" s="66">
        <f t="shared" si="30"/>
        <v>-0.62514518177058598</v>
      </c>
      <c r="AY18" s="81">
        <f>IFERROR(VLOOKUP(C18,'[1]DATA SALES LAST MONTH'!A:E,5,0),0)</f>
        <v>5730034.4827586198</v>
      </c>
      <c r="AZ18" s="68">
        <f t="shared" si="31"/>
        <v>6229000</v>
      </c>
      <c r="BA18" s="68">
        <f t="shared" si="32"/>
        <v>498965.51724137901</v>
      </c>
      <c r="BB18" s="78">
        <f t="shared" si="33"/>
        <v>8.7078972865301404E-2</v>
      </c>
      <c r="BC18" s="61">
        <f>IFERROR(VLOOKUP(C18,'[1]TARGET THIS MONTH'!C:U,15,0),0)</f>
        <v>4</v>
      </c>
      <c r="BD18" s="82">
        <f>IFERROR(GETPIVOTDATA("Sum of Qty",[1]ACC!$A$5,"ID Store",$C18),0)</f>
        <v>3</v>
      </c>
      <c r="BE18" s="66">
        <f t="shared" si="34"/>
        <v>0.75</v>
      </c>
      <c r="BF18" s="83">
        <f>IFERROR(VLOOKUP(C18,'[1]TARGET THIS MONTH'!C:U,16,0),0)</f>
        <v>1100000</v>
      </c>
      <c r="BG18" s="83">
        <f>IFERROR(GETPIVOTDATA("Sum of SRP",'[1]Insurance by Store'!$A$5,"ID Store",$C18,"Product Type","Qoala"),0)</f>
        <v>159000</v>
      </c>
      <c r="BH18" s="66">
        <f t="shared" si="35"/>
        <v>0.144545454545455</v>
      </c>
      <c r="BI18" s="83">
        <f>IFERROR(VLOOKUP(C18,'[1]TARGET THIS MONTH'!C:U,17,0),0)</f>
        <v>220000</v>
      </c>
      <c r="BJ18" s="83">
        <f>IFERROR(GETPIVOTDATA("Sum of SRP",'[1]Insurance by Store'!$A$5,"ID Store",$C18,"Product Type","Vivo Care"),0)</f>
        <v>0</v>
      </c>
      <c r="BK18" s="66">
        <f t="shared" si="36"/>
        <v>0</v>
      </c>
      <c r="BL18" s="64">
        <f>IFERROR(VLOOKUP(C18,'[1]TARGET THIS MONTH'!C:U,18,0),0)</f>
        <v>1.2</v>
      </c>
      <c r="BM18" s="65">
        <f>IFERROR(GETPIVOTDATA("Sum of Qty",'[1]Operator by Store'!$A$5,"ID Store",$C18,"Product Type","Indosat"),0)</f>
        <v>0</v>
      </c>
      <c r="BN18" s="66">
        <f t="shared" si="37"/>
        <v>0</v>
      </c>
      <c r="BO18" s="64">
        <f>VLOOKUP(C18,'[1]TARGET THIS MONTH'!C:U,19,0)</f>
        <v>12</v>
      </c>
      <c r="BP18" s="65">
        <f>IFERROR(GETPIVOTDATA("Sum of Qty",'[1]Operator by Store'!$A$5,"ID Store",$C18,"Product Type","Telkomsel"),0)</f>
        <v>0</v>
      </c>
      <c r="BQ18" s="84">
        <f t="shared" si="38"/>
        <v>0</v>
      </c>
    </row>
    <row r="19" spans="1:69" x14ac:dyDescent="0.2">
      <c r="A19" s="55">
        <v>15</v>
      </c>
      <c r="B19" s="56" t="s">
        <v>63</v>
      </c>
      <c r="C19" s="57">
        <v>6050701</v>
      </c>
      <c r="D19" s="58" t="s">
        <v>64</v>
      </c>
      <c r="E19" s="85" t="s">
        <v>65</v>
      </c>
      <c r="F19" s="60">
        <v>2</v>
      </c>
      <c r="G19" s="61">
        <f>IFERROR(VLOOKUP(C19,'[1]TARGET THIS MONTH'!C:E,3,0),0)</f>
        <v>60</v>
      </c>
      <c r="H19" s="62">
        <f>IFERROR(VLOOKUP(C19,'[1]TARGET THIS MONTH'!C:M,11,0),0)</f>
        <v>330000000</v>
      </c>
      <c r="I19" s="61">
        <f>IFERROR(GETPIVOTDATA("Sum of Qty",'[1]DEVICE &amp; VALUE'!$A$6,"ID Store",$C19),0)</f>
        <v>10</v>
      </c>
      <c r="J19" s="63">
        <f t="shared" si="0"/>
        <v>0.16666666666666699</v>
      </c>
      <c r="K19" s="64">
        <f t="shared" si="1"/>
        <v>-50</v>
      </c>
      <c r="L19" s="65">
        <f>IFERROR(GETPIVOTDATA("Sum of Qty",[1]PF!$A$5,"ID Store",$C19),0)</f>
        <v>1</v>
      </c>
      <c r="M19" s="65">
        <f>IFERROR(GETPIVOTDATA("Sum of Qty",'[1]DEVICE &amp; VALUE'!$A$6,"ID Store",$C19,"Segment Price","3mio&gt;"),0)</f>
        <v>5</v>
      </c>
      <c r="N19" s="66">
        <f t="shared" si="2"/>
        <v>0.5</v>
      </c>
      <c r="O19" s="67">
        <f>IFERROR(GETPIVOTDATA("Sum of Qty",[1]IQOO!$A$6,"ID Store",$C19),0)</f>
        <v>1</v>
      </c>
      <c r="P19" s="66">
        <f t="shared" si="3"/>
        <v>0.1</v>
      </c>
      <c r="Q19" s="66">
        <f t="shared" si="4"/>
        <v>0.5</v>
      </c>
      <c r="R19" s="68">
        <f>IFERROR(GETPIVOTDATA("Sum of SRP",'[1]DEVICE &amp; VALUE'!$A$6,"ID Store",$C19),0)</f>
        <v>46290000</v>
      </c>
      <c r="S19" s="66">
        <f t="shared" si="5"/>
        <v>0.14027272727272699</v>
      </c>
      <c r="T19" s="69">
        <f t="shared" si="6"/>
        <v>-283710000</v>
      </c>
      <c r="U19" s="70">
        <f t="shared" si="7"/>
        <v>50</v>
      </c>
      <c r="V19" s="71">
        <f t="shared" si="8"/>
        <v>0.83333333333333304</v>
      </c>
      <c r="W19" s="72">
        <f t="shared" si="9"/>
        <v>-10</v>
      </c>
      <c r="X19" s="72">
        <f t="shared" si="10"/>
        <v>25</v>
      </c>
      <c r="Y19" s="72">
        <f t="shared" si="11"/>
        <v>-35</v>
      </c>
      <c r="Z19" s="73">
        <f t="shared" si="12"/>
        <v>231450000</v>
      </c>
      <c r="AA19" s="73">
        <f t="shared" si="13"/>
        <v>-98550000</v>
      </c>
      <c r="AB19" s="74">
        <f t="shared" si="14"/>
        <v>0.70136363636363597</v>
      </c>
      <c r="AC19" s="75">
        <f t="shared" si="15"/>
        <v>2.0833333333333299</v>
      </c>
      <c r="AD19" s="76">
        <f t="shared" si="16"/>
        <v>11821250</v>
      </c>
      <c r="AE19" s="61">
        <f>IFERROR(GETPIVOTDATA("Sum of Qty",'[1]DATA LAST MONTH IQOO'!$A$6,"ID Store",$C19),0)</f>
        <v>16</v>
      </c>
      <c r="AF19" s="77">
        <f>IFERROR(GETPIVOTDATA("Sum of Qty",[1]IQOO!$A$6,"ID Store",$C19),0)</f>
        <v>1</v>
      </c>
      <c r="AG19" s="64">
        <f t="shared" si="17"/>
        <v>-15</v>
      </c>
      <c r="AH19" s="78">
        <f t="shared" si="18"/>
        <v>-0.9375</v>
      </c>
      <c r="AI19" s="79">
        <f>IFERROR(GETPIVOTDATA("Sum of Qty",'[1]DATA LAST MONTH DEVICE'!$A$6,"ID Store",$C19),0)</f>
        <v>61</v>
      </c>
      <c r="AJ19" s="80">
        <f t="shared" si="19"/>
        <v>10</v>
      </c>
      <c r="AK19" s="64">
        <f t="shared" si="20"/>
        <v>-51</v>
      </c>
      <c r="AL19" s="66">
        <f t="shared" si="21"/>
        <v>-0.83606557377049195</v>
      </c>
      <c r="AM19" s="65">
        <f>IFERROR(GETPIVOTDATA("Sum of Qty",'[1]Store 3mio+ last month'!$A$6,"ID Store",$C19),0)</f>
        <v>61</v>
      </c>
      <c r="AN19" s="64">
        <f t="shared" si="22"/>
        <v>50</v>
      </c>
      <c r="AO19" s="64">
        <f t="shared" si="23"/>
        <v>-11</v>
      </c>
      <c r="AP19" s="66">
        <f t="shared" si="24"/>
        <v>-0.18032786885245899</v>
      </c>
      <c r="AQ19" s="65">
        <f>IFERROR(GETPIVOTDATA("Sum of Qty",'[1]DATA LAST MONTH DEVICE'!$A$6,"ID Store",$C19,"Segment Price","3mio&gt;"),0)</f>
        <v>36</v>
      </c>
      <c r="AR19" s="67">
        <f t="shared" si="25"/>
        <v>5</v>
      </c>
      <c r="AS19" s="67">
        <f t="shared" si="26"/>
        <v>-31</v>
      </c>
      <c r="AT19" s="66">
        <f t="shared" si="27"/>
        <v>-0.86111111111111105</v>
      </c>
      <c r="AU19" s="81">
        <f>IFERROR(GETPIVOTDATA("Sum of SRP",'[1]DATA LAST MONTH DEVICE'!$A$6,"ID Store",$C19),0)</f>
        <v>319839000</v>
      </c>
      <c r="AV19" s="81">
        <f t="shared" si="28"/>
        <v>46290000</v>
      </c>
      <c r="AW19" s="81">
        <f t="shared" si="29"/>
        <v>-273549000</v>
      </c>
      <c r="AX19" s="66">
        <f t="shared" si="30"/>
        <v>-0.85527093318825997</v>
      </c>
      <c r="AY19" s="81">
        <f>IFERROR(VLOOKUP(C19,'[1]DATA SALES LAST MONTH'!A:E,5,0),0)</f>
        <v>5243262.2950819703</v>
      </c>
      <c r="AZ19" s="68">
        <f t="shared" si="31"/>
        <v>4629000</v>
      </c>
      <c r="BA19" s="68">
        <f t="shared" si="32"/>
        <v>-614262.29508196702</v>
      </c>
      <c r="BB19" s="78">
        <f t="shared" si="33"/>
        <v>-0.117152692448388</v>
      </c>
      <c r="BC19" s="61">
        <f>IFERROR(VLOOKUP(C19,'[1]TARGET THIS MONTH'!C:U,15,0),0)</f>
        <v>6</v>
      </c>
      <c r="BD19" s="82">
        <f>IFERROR(GETPIVOTDATA("Sum of Qty",[1]ACC!$A$5,"ID Store",$C19),0)</f>
        <v>2</v>
      </c>
      <c r="BE19" s="66">
        <f t="shared" si="34"/>
        <v>0.33333333333333298</v>
      </c>
      <c r="BF19" s="83">
        <f>IFERROR(VLOOKUP(C19,'[1]TARGET THIS MONTH'!C:U,16,0),0)</f>
        <v>1650000</v>
      </c>
      <c r="BG19" s="83">
        <f>IFERROR(GETPIVOTDATA("Sum of SRP",'[1]Insurance by Store'!$A$5,"ID Store",$C19,"Product Type","Qoala"),0)</f>
        <v>0</v>
      </c>
      <c r="BH19" s="66">
        <f t="shared" si="35"/>
        <v>0</v>
      </c>
      <c r="BI19" s="83">
        <f>IFERROR(VLOOKUP(C19,'[1]TARGET THIS MONTH'!C:U,17,0),0)</f>
        <v>330000</v>
      </c>
      <c r="BJ19" s="83">
        <f>IFERROR(GETPIVOTDATA("Sum of SRP",'[1]Insurance by Store'!$A$5,"ID Store",$C19,"Product Type","Vivo Care"),0)</f>
        <v>0</v>
      </c>
      <c r="BK19" s="66">
        <f t="shared" si="36"/>
        <v>0</v>
      </c>
      <c r="BL19" s="64">
        <f>IFERROR(VLOOKUP(C19,'[1]TARGET THIS MONTH'!C:U,18,0),0)</f>
        <v>1.8</v>
      </c>
      <c r="BM19" s="65">
        <f>IFERROR(GETPIVOTDATA("Sum of Qty",'[1]Operator by Store'!$A$5,"ID Store",$C19,"Product Type","Indosat"),0)</f>
        <v>0</v>
      </c>
      <c r="BN19" s="66">
        <f t="shared" si="37"/>
        <v>0</v>
      </c>
      <c r="BO19" s="64">
        <f>VLOOKUP(C19,'[1]TARGET THIS MONTH'!C:U,19,0)</f>
        <v>18</v>
      </c>
      <c r="BP19" s="65">
        <f>IFERROR(GETPIVOTDATA("Sum of Qty",'[1]Operator by Store'!$A$5,"ID Store",$C19,"Product Type","Telkomsel"),0)</f>
        <v>0</v>
      </c>
      <c r="BQ19" s="84">
        <f t="shared" si="38"/>
        <v>0</v>
      </c>
    </row>
    <row r="20" spans="1:69" x14ac:dyDescent="0.2">
      <c r="A20" s="55">
        <v>16</v>
      </c>
      <c r="B20" s="56" t="s">
        <v>63</v>
      </c>
      <c r="C20" s="57">
        <v>6220701</v>
      </c>
      <c r="D20" s="58" t="s">
        <v>66</v>
      </c>
      <c r="E20" s="85" t="s">
        <v>65</v>
      </c>
      <c r="F20" s="60">
        <v>2</v>
      </c>
      <c r="G20" s="61">
        <f>IFERROR(VLOOKUP(C20,'[1]TARGET THIS MONTH'!C:E,3,0),0)</f>
        <v>80</v>
      </c>
      <c r="H20" s="62">
        <f>IFERROR(VLOOKUP(C20,'[1]TARGET THIS MONTH'!C:M,11,0),0)</f>
        <v>90000000</v>
      </c>
      <c r="I20" s="61">
        <f>IFERROR(GETPIVOTDATA("Sum of Qty",'[1]DEVICE &amp; VALUE'!$A$6,"ID Store",$C20),0)</f>
        <v>12</v>
      </c>
      <c r="J20" s="63">
        <f t="shared" si="0"/>
        <v>0.15</v>
      </c>
      <c r="K20" s="64">
        <f t="shared" si="1"/>
        <v>-68</v>
      </c>
      <c r="L20" s="65">
        <f>IFERROR(GETPIVOTDATA("Sum of Qty",[1]PF!$A$5,"ID Store",$C20),0)</f>
        <v>2</v>
      </c>
      <c r="M20" s="65">
        <f>IFERROR(GETPIVOTDATA("Sum of Qty",'[1]DEVICE &amp; VALUE'!$A$6,"ID Store",$C20,"Segment Price","3mio&gt;"),0)</f>
        <v>4</v>
      </c>
      <c r="N20" s="66">
        <f t="shared" si="2"/>
        <v>0.33333333333333298</v>
      </c>
      <c r="O20" s="67">
        <f>IFERROR(GETPIVOTDATA("Sum of Qty",[1]IQOO!$A$6,"ID Store",$C20),0)</f>
        <v>1</v>
      </c>
      <c r="P20" s="66">
        <f t="shared" si="3"/>
        <v>8.3333333333333301E-2</v>
      </c>
      <c r="Q20" s="66">
        <f t="shared" si="4"/>
        <v>0.33333333333333298</v>
      </c>
      <c r="R20" s="68">
        <f>IFERROR(GETPIVOTDATA("Sum of SRP",'[1]DEVICE &amp; VALUE'!$A$6,"ID Store",$C20),0)</f>
        <v>42988000</v>
      </c>
      <c r="S20" s="66">
        <f t="shared" si="5"/>
        <v>0.47764444444444398</v>
      </c>
      <c r="T20" s="69">
        <f t="shared" si="6"/>
        <v>-47012000</v>
      </c>
      <c r="U20" s="70">
        <f t="shared" si="7"/>
        <v>60</v>
      </c>
      <c r="V20" s="71">
        <f t="shared" si="8"/>
        <v>0.75</v>
      </c>
      <c r="W20" s="72">
        <f t="shared" si="9"/>
        <v>-20</v>
      </c>
      <c r="X20" s="72">
        <f t="shared" si="10"/>
        <v>20</v>
      </c>
      <c r="Y20" s="72">
        <f t="shared" si="11"/>
        <v>-60</v>
      </c>
      <c r="Z20" s="73">
        <f t="shared" si="12"/>
        <v>214940000</v>
      </c>
      <c r="AA20" s="73">
        <f t="shared" si="13"/>
        <v>124940000</v>
      </c>
      <c r="AB20" s="74">
        <f t="shared" si="14"/>
        <v>2.38822222222222</v>
      </c>
      <c r="AC20" s="75">
        <f t="shared" si="15"/>
        <v>2.8333333333333299</v>
      </c>
      <c r="AD20" s="76">
        <f t="shared" si="16"/>
        <v>1958833.33333333</v>
      </c>
      <c r="AE20" s="61">
        <f>IFERROR(GETPIVOTDATA("Sum of Qty",'[1]DATA LAST MONTH IQOO'!$A$6,"ID Store",$C20),0)</f>
        <v>18</v>
      </c>
      <c r="AF20" s="77">
        <f>IFERROR(GETPIVOTDATA("Sum of Qty",[1]IQOO!$A$6,"ID Store",$C20),0)</f>
        <v>1</v>
      </c>
      <c r="AG20" s="64">
        <f t="shared" si="17"/>
        <v>-17</v>
      </c>
      <c r="AH20" s="78">
        <f t="shared" si="18"/>
        <v>-0.94444444444444398</v>
      </c>
      <c r="AI20" s="79">
        <f>IFERROR(GETPIVOTDATA("Sum of Qty",'[1]DATA LAST MONTH DEVICE'!$A$6,"ID Store",$C20),0)</f>
        <v>78</v>
      </c>
      <c r="AJ20" s="80">
        <f t="shared" si="19"/>
        <v>12</v>
      </c>
      <c r="AK20" s="64">
        <f t="shared" si="20"/>
        <v>-66</v>
      </c>
      <c r="AL20" s="66">
        <f t="shared" si="21"/>
        <v>-0.84615384615384603</v>
      </c>
      <c r="AM20" s="65">
        <f>IFERROR(GETPIVOTDATA("Sum of Qty",'[1]Store 3mio+ last month'!$A$6,"ID Store",$C20),0)</f>
        <v>78</v>
      </c>
      <c r="AN20" s="64">
        <f t="shared" si="22"/>
        <v>60</v>
      </c>
      <c r="AO20" s="64">
        <f t="shared" si="23"/>
        <v>-18</v>
      </c>
      <c r="AP20" s="66">
        <f t="shared" si="24"/>
        <v>-0.230769230769231</v>
      </c>
      <c r="AQ20" s="65">
        <f>IFERROR(GETPIVOTDATA("Sum of Qty",'[1]DATA LAST MONTH DEVICE'!$A$6,"ID Store",$C20,"Segment Price","3mio&gt;"),0)</f>
        <v>54</v>
      </c>
      <c r="AR20" s="67">
        <f t="shared" si="25"/>
        <v>4</v>
      </c>
      <c r="AS20" s="67">
        <f t="shared" si="26"/>
        <v>-50</v>
      </c>
      <c r="AT20" s="66">
        <f t="shared" si="27"/>
        <v>-0.92592592592592604</v>
      </c>
      <c r="AU20" s="81">
        <f>IFERROR(GETPIVOTDATA("Sum of SRP",'[1]DATA LAST MONTH DEVICE'!$A$6,"ID Store",$C20),0)</f>
        <v>452022000</v>
      </c>
      <c r="AV20" s="81">
        <f t="shared" si="28"/>
        <v>42988000</v>
      </c>
      <c r="AW20" s="81">
        <f t="shared" si="29"/>
        <v>-409034000</v>
      </c>
      <c r="AX20" s="66">
        <f t="shared" si="30"/>
        <v>-0.90489843414701099</v>
      </c>
      <c r="AY20" s="81">
        <f>IFERROR(VLOOKUP(C20,'[1]DATA SALES LAST MONTH'!A:E,5,0),0)</f>
        <v>5795153.8461538497</v>
      </c>
      <c r="AZ20" s="68">
        <f t="shared" si="31"/>
        <v>3582333.3333333302</v>
      </c>
      <c r="BA20" s="68">
        <f t="shared" si="32"/>
        <v>-2212820.5128205102</v>
      </c>
      <c r="BB20" s="78">
        <f t="shared" si="33"/>
        <v>-0.38183982195556798</v>
      </c>
      <c r="BC20" s="61">
        <f>IFERROR(VLOOKUP(C20,'[1]TARGET THIS MONTH'!C:U,15,0),0)</f>
        <v>2</v>
      </c>
      <c r="BD20" s="82">
        <f>IFERROR(GETPIVOTDATA("Sum of Qty",[1]ACC!$A$5,"ID Store",$C20),0)</f>
        <v>3</v>
      </c>
      <c r="BE20" s="66">
        <f t="shared" si="34"/>
        <v>1.5</v>
      </c>
      <c r="BF20" s="83">
        <f>IFERROR(VLOOKUP(C20,'[1]TARGET THIS MONTH'!C:U,16,0),0)</f>
        <v>450000</v>
      </c>
      <c r="BG20" s="83">
        <f>IFERROR(GETPIVOTDATA("Sum of SRP",'[1]Insurance by Store'!$A$5,"ID Store",$C20,"Product Type","Qoala"),0)</f>
        <v>329000</v>
      </c>
      <c r="BH20" s="66">
        <f t="shared" si="35"/>
        <v>0.73111111111111104</v>
      </c>
      <c r="BI20" s="83">
        <f>IFERROR(VLOOKUP(C20,'[1]TARGET THIS MONTH'!C:U,17,0),0)</f>
        <v>90000</v>
      </c>
      <c r="BJ20" s="83">
        <f>IFERROR(GETPIVOTDATA("Sum of SRP",'[1]Insurance by Store'!$A$5,"ID Store",$C20,"Product Type","Vivo Care"),0)</f>
        <v>0</v>
      </c>
      <c r="BK20" s="66">
        <f t="shared" si="36"/>
        <v>0</v>
      </c>
      <c r="BL20" s="64">
        <f>IFERROR(VLOOKUP(C20,'[1]TARGET THIS MONTH'!C:U,18,0),0)</f>
        <v>0.6</v>
      </c>
      <c r="BM20" s="65">
        <f>IFERROR(GETPIVOTDATA("Sum of Qty",'[1]Operator by Store'!$A$5,"ID Store",$C20,"Product Type","Indosat"),0)</f>
        <v>0</v>
      </c>
      <c r="BN20" s="66">
        <f t="shared" si="37"/>
        <v>0</v>
      </c>
      <c r="BO20" s="64">
        <f>VLOOKUP(C20,'[1]TARGET THIS MONTH'!C:U,19,0)</f>
        <v>6</v>
      </c>
      <c r="BP20" s="65">
        <f>IFERROR(GETPIVOTDATA("Sum of Qty",'[1]Operator by Store'!$A$5,"ID Store",$C20,"Product Type","Telkomsel"),0)</f>
        <v>0</v>
      </c>
      <c r="BQ20" s="84">
        <f t="shared" si="38"/>
        <v>0</v>
      </c>
    </row>
    <row r="21" spans="1:69" x14ac:dyDescent="0.2">
      <c r="A21" s="55">
        <v>17</v>
      </c>
      <c r="B21" s="56" t="s">
        <v>63</v>
      </c>
      <c r="C21" s="57">
        <v>6050705</v>
      </c>
      <c r="D21" s="58" t="s">
        <v>67</v>
      </c>
      <c r="E21" s="85" t="s">
        <v>65</v>
      </c>
      <c r="F21" s="60">
        <v>1</v>
      </c>
      <c r="G21" s="61">
        <f>IFERROR(VLOOKUP(C21,'[1]TARGET THIS MONTH'!C:E,3,0),0)</f>
        <v>20</v>
      </c>
      <c r="H21" s="62">
        <f>IFERROR(VLOOKUP(C21,'[1]TARGET THIS MONTH'!C:M,11,0),0)</f>
        <v>440000000</v>
      </c>
      <c r="I21" s="61">
        <f>IFERROR(GETPIVOTDATA("Sum of Qty",'[1]DEVICE &amp; VALUE'!$A$6,"ID Store",$C21),0)</f>
        <v>9</v>
      </c>
      <c r="J21" s="63">
        <f t="shared" si="0"/>
        <v>0.45</v>
      </c>
      <c r="K21" s="64">
        <f t="shared" si="1"/>
        <v>-11</v>
      </c>
      <c r="L21" s="65">
        <f>IFERROR(GETPIVOTDATA("Sum of Qty",[1]PF!$A$5,"ID Store",$C21),0)</f>
        <v>3</v>
      </c>
      <c r="M21" s="65">
        <f>IFERROR(GETPIVOTDATA("Sum of Qty",'[1]DEVICE &amp; VALUE'!$A$6,"ID Store",$C21,"Segment Price","3mio&gt;"),0)</f>
        <v>5</v>
      </c>
      <c r="N21" s="66">
        <f t="shared" si="2"/>
        <v>0.55555555555555602</v>
      </c>
      <c r="O21" s="67">
        <f>IFERROR(GETPIVOTDATA("Sum of Qty",[1]IQOO!$A$6,"ID Store",$C21),0)</f>
        <v>1</v>
      </c>
      <c r="P21" s="66">
        <f t="shared" si="3"/>
        <v>0.11111111111111099</v>
      </c>
      <c r="Q21" s="66">
        <f t="shared" si="4"/>
        <v>0.55555555555555602</v>
      </c>
      <c r="R21" s="68">
        <f>IFERROR(GETPIVOTDATA("Sum of SRP",'[1]DEVICE &amp; VALUE'!$A$6,"ID Store",$C21),0)</f>
        <v>43391000</v>
      </c>
      <c r="S21" s="66">
        <f t="shared" si="5"/>
        <v>9.8615909090909101E-2</v>
      </c>
      <c r="T21" s="69">
        <f t="shared" si="6"/>
        <v>-396609000</v>
      </c>
      <c r="U21" s="70">
        <f t="shared" si="7"/>
        <v>45</v>
      </c>
      <c r="V21" s="71">
        <f t="shared" si="8"/>
        <v>2.25</v>
      </c>
      <c r="W21" s="72">
        <f t="shared" si="9"/>
        <v>25</v>
      </c>
      <c r="X21" s="72">
        <f t="shared" si="10"/>
        <v>25</v>
      </c>
      <c r="Y21" s="72">
        <f t="shared" si="11"/>
        <v>5</v>
      </c>
      <c r="Z21" s="73">
        <f t="shared" si="12"/>
        <v>216955000</v>
      </c>
      <c r="AA21" s="73">
        <f t="shared" si="13"/>
        <v>-223045000</v>
      </c>
      <c r="AB21" s="74">
        <f t="shared" si="14"/>
        <v>0.49307954545454502</v>
      </c>
      <c r="AC21" s="75">
        <f t="shared" si="15"/>
        <v>0.45833333333333298</v>
      </c>
      <c r="AD21" s="76">
        <f t="shared" si="16"/>
        <v>16525375</v>
      </c>
      <c r="AE21" s="61">
        <f>IFERROR(GETPIVOTDATA("Sum of Qty",'[1]DATA LAST MONTH IQOO'!$A$6,"ID Store",$C21),0)</f>
        <v>5</v>
      </c>
      <c r="AF21" s="77">
        <f>IFERROR(GETPIVOTDATA("Sum of Qty",[1]IQOO!$A$6,"ID Store",$C21),0)</f>
        <v>1</v>
      </c>
      <c r="AG21" s="64">
        <f t="shared" si="17"/>
        <v>-4</v>
      </c>
      <c r="AH21" s="78">
        <f t="shared" si="18"/>
        <v>-0.8</v>
      </c>
      <c r="AI21" s="79">
        <f>IFERROR(GETPIVOTDATA("Sum of Qty",'[1]DATA LAST MONTH DEVICE'!$A$6,"ID Store",$C21),0)</f>
        <v>18</v>
      </c>
      <c r="AJ21" s="80">
        <f t="shared" si="19"/>
        <v>9</v>
      </c>
      <c r="AK21" s="64">
        <f t="shared" si="20"/>
        <v>-9</v>
      </c>
      <c r="AL21" s="66">
        <f t="shared" si="21"/>
        <v>-0.5</v>
      </c>
      <c r="AM21" s="65">
        <f>IFERROR(GETPIVOTDATA("Sum of Qty",'[1]Store 3mio+ last month'!$A$6,"ID Store",$C21),0)</f>
        <v>18</v>
      </c>
      <c r="AN21" s="64">
        <f t="shared" si="22"/>
        <v>45</v>
      </c>
      <c r="AO21" s="64">
        <f t="shared" si="23"/>
        <v>27</v>
      </c>
      <c r="AP21" s="66">
        <f t="shared" si="24"/>
        <v>1.5</v>
      </c>
      <c r="AQ21" s="65">
        <f>IFERROR(GETPIVOTDATA("Sum of Qty",'[1]DATA LAST MONTH DEVICE'!$A$6,"ID Store",$C21,"Segment Price","3mio&gt;"),0)</f>
        <v>13</v>
      </c>
      <c r="AR21" s="67">
        <f t="shared" si="25"/>
        <v>5</v>
      </c>
      <c r="AS21" s="67">
        <f t="shared" si="26"/>
        <v>-8</v>
      </c>
      <c r="AT21" s="66">
        <f t="shared" si="27"/>
        <v>-0.61538461538461497</v>
      </c>
      <c r="AU21" s="81">
        <f>IFERROR(GETPIVOTDATA("Sum of SRP",'[1]DATA LAST MONTH DEVICE'!$A$6,"ID Store",$C21),0)</f>
        <v>91882000</v>
      </c>
      <c r="AV21" s="81">
        <f t="shared" si="28"/>
        <v>43391000</v>
      </c>
      <c r="AW21" s="81">
        <f t="shared" si="29"/>
        <v>-48491000</v>
      </c>
      <c r="AX21" s="66">
        <f t="shared" si="30"/>
        <v>-0.52775298752748101</v>
      </c>
      <c r="AY21" s="81">
        <f>IFERROR(VLOOKUP(C21,'[1]DATA SALES LAST MONTH'!A:E,5,0),0)</f>
        <v>0</v>
      </c>
      <c r="AZ21" s="68">
        <f t="shared" si="31"/>
        <v>4821222.2222222202</v>
      </c>
      <c r="BA21" s="68">
        <f t="shared" si="32"/>
        <v>4821222.2222222202</v>
      </c>
      <c r="BB21" s="78">
        <f t="shared" si="33"/>
        <v>0</v>
      </c>
      <c r="BC21" s="61">
        <f>IFERROR(VLOOKUP(C21,'[1]TARGET THIS MONTH'!C:U,15,0),0)</f>
        <v>8</v>
      </c>
      <c r="BD21" s="82">
        <f>IFERROR(GETPIVOTDATA("Sum of Qty",[1]ACC!$A$5,"ID Store",$C21),0)</f>
        <v>1</v>
      </c>
      <c r="BE21" s="66">
        <f t="shared" si="34"/>
        <v>0.125</v>
      </c>
      <c r="BF21" s="83">
        <f>IFERROR(VLOOKUP(C21,'[1]TARGET THIS MONTH'!C:U,16,0),0)</f>
        <v>2200000</v>
      </c>
      <c r="BG21" s="83">
        <f>IFERROR(GETPIVOTDATA("Sum of SRP",'[1]Insurance by Store'!$A$5,"ID Store",$C21,"Product Type","Qoala"),0)</f>
        <v>578000</v>
      </c>
      <c r="BH21" s="66">
        <f t="shared" si="35"/>
        <v>0.26272727272727298</v>
      </c>
      <c r="BI21" s="83">
        <f>IFERROR(VLOOKUP(C21,'[1]TARGET THIS MONTH'!C:U,17,0),0)</f>
        <v>440000</v>
      </c>
      <c r="BJ21" s="83">
        <f>IFERROR(GETPIVOTDATA("Sum of SRP",'[1]Insurance by Store'!$A$5,"ID Store",$C21,"Product Type","Vivo Care"),0)</f>
        <v>0</v>
      </c>
      <c r="BK21" s="66">
        <f t="shared" si="36"/>
        <v>0</v>
      </c>
      <c r="BL21" s="64">
        <f>IFERROR(VLOOKUP(C21,'[1]TARGET THIS MONTH'!C:U,18,0),0)</f>
        <v>2.4</v>
      </c>
      <c r="BM21" s="65">
        <f>IFERROR(GETPIVOTDATA("Sum of Qty",'[1]Operator by Store'!$A$5,"ID Store",$C21,"Product Type","Indosat"),0)</f>
        <v>0</v>
      </c>
      <c r="BN21" s="66">
        <f t="shared" si="37"/>
        <v>0</v>
      </c>
      <c r="BO21" s="64">
        <f>VLOOKUP(C21,'[1]TARGET THIS MONTH'!C:U,19,0)</f>
        <v>24</v>
      </c>
      <c r="BP21" s="65">
        <f>IFERROR(GETPIVOTDATA("Sum of Qty",'[1]Operator by Store'!$A$5,"ID Store",$C21,"Product Type","Telkomsel"),0)</f>
        <v>0</v>
      </c>
      <c r="BQ21" s="84">
        <f t="shared" si="38"/>
        <v>0</v>
      </c>
    </row>
    <row r="22" spans="1:69" x14ac:dyDescent="0.2">
      <c r="A22" s="55">
        <v>18</v>
      </c>
      <c r="B22" s="56" t="s">
        <v>63</v>
      </c>
      <c r="C22" s="57">
        <v>6050706</v>
      </c>
      <c r="D22" s="58" t="s">
        <v>68</v>
      </c>
      <c r="E22" s="85" t="s">
        <v>65</v>
      </c>
      <c r="F22" s="60">
        <v>0</v>
      </c>
      <c r="G22" s="61">
        <f>IFERROR(VLOOKUP(C22,'[1]TARGET THIS MONTH'!C:E,3,0),0)</f>
        <v>30</v>
      </c>
      <c r="H22" s="62">
        <f>IFERROR(VLOOKUP(C22,'[1]TARGET THIS MONTH'!C:M,11,0),0)</f>
        <v>165000000</v>
      </c>
      <c r="I22" s="61">
        <f>IFERROR(GETPIVOTDATA("Sum of Qty",'[1]DEVICE &amp; VALUE'!$A$6,"ID Store",$C22),0)</f>
        <v>15</v>
      </c>
      <c r="J22" s="63">
        <f t="shared" si="0"/>
        <v>0.5</v>
      </c>
      <c r="K22" s="64">
        <f t="shared" si="1"/>
        <v>-15</v>
      </c>
      <c r="L22" s="65">
        <f>IFERROR(GETPIVOTDATA("Sum of Qty",[1]PF!$A$5,"ID Store",$C22),0)</f>
        <v>2</v>
      </c>
      <c r="M22" s="65">
        <f>IFERROR(GETPIVOTDATA("Sum of Qty",'[1]DEVICE &amp; VALUE'!$A$6,"ID Store",$C22,"Segment Price","3mio&gt;"),0)</f>
        <v>3</v>
      </c>
      <c r="N22" s="66">
        <f t="shared" si="2"/>
        <v>0.2</v>
      </c>
      <c r="O22" s="67">
        <f>IFERROR(GETPIVOTDATA("Sum of Qty",[1]IQOO!$A$6,"ID Store",$C22),0)</f>
        <v>0</v>
      </c>
      <c r="P22" s="66">
        <f t="shared" si="3"/>
        <v>0</v>
      </c>
      <c r="Q22" s="66">
        <f t="shared" si="4"/>
        <v>0.2</v>
      </c>
      <c r="R22" s="68">
        <f>IFERROR(GETPIVOTDATA("Sum of SRP",'[1]DEVICE &amp; VALUE'!$A$6,"ID Store",$C22),0)</f>
        <v>50285000</v>
      </c>
      <c r="S22" s="66">
        <f t="shared" si="5"/>
        <v>0.304757575757576</v>
      </c>
      <c r="T22" s="69">
        <f t="shared" si="6"/>
        <v>-114715000</v>
      </c>
      <c r="U22" s="70">
        <f t="shared" si="7"/>
        <v>75</v>
      </c>
      <c r="V22" s="71">
        <f t="shared" si="8"/>
        <v>2.5</v>
      </c>
      <c r="W22" s="72">
        <f t="shared" si="9"/>
        <v>45</v>
      </c>
      <c r="X22" s="72">
        <f t="shared" si="10"/>
        <v>15</v>
      </c>
      <c r="Y22" s="72">
        <f t="shared" si="11"/>
        <v>-15</v>
      </c>
      <c r="Z22" s="73">
        <f t="shared" si="12"/>
        <v>251425000</v>
      </c>
      <c r="AA22" s="73">
        <f t="shared" si="13"/>
        <v>86425000</v>
      </c>
      <c r="AB22" s="74">
        <f t="shared" si="14"/>
        <v>1.52378787878788</v>
      </c>
      <c r="AC22" s="75">
        <f t="shared" si="15"/>
        <v>0.625</v>
      </c>
      <c r="AD22" s="76">
        <f t="shared" si="16"/>
        <v>4779791.6666666698</v>
      </c>
      <c r="AE22" s="61">
        <f>IFERROR(GETPIVOTDATA("Sum of Qty",'[1]DATA LAST MONTH IQOO'!$A$6,"ID Store",$C22),0)</f>
        <v>0</v>
      </c>
      <c r="AF22" s="77">
        <f>IFERROR(GETPIVOTDATA("Sum of Qty",[1]IQOO!$A$6,"ID Store",$C22),0)</f>
        <v>0</v>
      </c>
      <c r="AG22" s="64">
        <f t="shared" si="17"/>
        <v>0</v>
      </c>
      <c r="AH22" s="78">
        <f t="shared" si="18"/>
        <v>0</v>
      </c>
      <c r="AI22" s="79">
        <f>IFERROR(GETPIVOTDATA("Sum of Qty",'[1]DATA LAST MONTH DEVICE'!$A$6,"ID Store",$C22),0)</f>
        <v>0</v>
      </c>
      <c r="AJ22" s="80">
        <f t="shared" si="19"/>
        <v>15</v>
      </c>
      <c r="AK22" s="64">
        <f t="shared" si="20"/>
        <v>15</v>
      </c>
      <c r="AL22" s="66">
        <f t="shared" si="21"/>
        <v>0</v>
      </c>
      <c r="AM22" s="65">
        <f>IFERROR(GETPIVOTDATA("Sum of Qty",'[1]Store 3mio+ last month'!$A$6,"ID Store",$C22),0)</f>
        <v>0</v>
      </c>
      <c r="AN22" s="64">
        <f t="shared" si="22"/>
        <v>75</v>
      </c>
      <c r="AO22" s="64">
        <f t="shared" si="23"/>
        <v>75</v>
      </c>
      <c r="AP22" s="66">
        <f t="shared" si="24"/>
        <v>0</v>
      </c>
      <c r="AQ22" s="65">
        <f>IFERROR(GETPIVOTDATA("Sum of Qty",'[1]DATA LAST MONTH DEVICE'!$A$6,"ID Store",$C22,"Segment Price","3mio&gt;"),0)</f>
        <v>0</v>
      </c>
      <c r="AR22" s="67">
        <f t="shared" si="25"/>
        <v>3</v>
      </c>
      <c r="AS22" s="67">
        <f t="shared" si="26"/>
        <v>3</v>
      </c>
      <c r="AT22" s="66">
        <f t="shared" si="27"/>
        <v>0</v>
      </c>
      <c r="AU22" s="81">
        <f>IFERROR(GETPIVOTDATA("Sum of SRP",'[1]DATA LAST MONTH DEVICE'!$A$6,"ID Store",$C22),0)</f>
        <v>0</v>
      </c>
      <c r="AV22" s="81">
        <f t="shared" si="28"/>
        <v>50285000</v>
      </c>
      <c r="AW22" s="81">
        <f t="shared" si="29"/>
        <v>50285000</v>
      </c>
      <c r="AX22" s="66">
        <f t="shared" si="30"/>
        <v>0</v>
      </c>
      <c r="AY22" s="81">
        <f>IFERROR(VLOOKUP(C22,'[1]DATA SALES LAST MONTH'!A:E,5,0),0)</f>
        <v>0</v>
      </c>
      <c r="AZ22" s="68">
        <f t="shared" si="31"/>
        <v>3352333.3333333302</v>
      </c>
      <c r="BA22" s="68">
        <f t="shared" si="32"/>
        <v>3352333.3333333302</v>
      </c>
      <c r="BB22" s="78">
        <f t="shared" si="33"/>
        <v>0</v>
      </c>
      <c r="BC22" s="61">
        <f>IFERROR(VLOOKUP(C22,'[1]TARGET THIS MONTH'!C:U,15,0),0)</f>
        <v>3</v>
      </c>
      <c r="BD22" s="82">
        <f>IFERROR(GETPIVOTDATA("Sum of Qty",[1]ACC!$A$5,"ID Store",$C22),0)</f>
        <v>2</v>
      </c>
      <c r="BE22" s="66">
        <f t="shared" si="34"/>
        <v>0.66666666666666696</v>
      </c>
      <c r="BF22" s="83">
        <f>IFERROR(VLOOKUP(C22,'[1]TARGET THIS MONTH'!C:U,16,0),0)</f>
        <v>825000</v>
      </c>
      <c r="BG22" s="83">
        <f>IFERROR(GETPIVOTDATA("Sum of SRP",'[1]Insurance by Store'!$A$5,"ID Store",$C22,"Product Type","Qoala"),0)</f>
        <v>159000</v>
      </c>
      <c r="BH22" s="66">
        <f t="shared" si="35"/>
        <v>0.192727272727273</v>
      </c>
      <c r="BI22" s="83">
        <f>IFERROR(VLOOKUP(C22,'[1]TARGET THIS MONTH'!C:U,17,0),0)</f>
        <v>165000</v>
      </c>
      <c r="BJ22" s="83">
        <f>IFERROR(GETPIVOTDATA("Sum of SRP",'[1]Insurance by Store'!$A$5,"ID Store",$C22,"Product Type","Vivo Care"),0)</f>
        <v>0</v>
      </c>
      <c r="BK22" s="66">
        <f t="shared" si="36"/>
        <v>0</v>
      </c>
      <c r="BL22" s="64">
        <f>IFERROR(VLOOKUP(C22,'[1]TARGET THIS MONTH'!C:U,18,0),0)</f>
        <v>0.9</v>
      </c>
      <c r="BM22" s="65">
        <f>IFERROR(GETPIVOTDATA("Sum of Qty",'[1]Operator by Store'!$A$5,"ID Store",$C22,"Product Type","Indosat"),0)</f>
        <v>0</v>
      </c>
      <c r="BN22" s="66">
        <f t="shared" si="37"/>
        <v>0</v>
      </c>
      <c r="BO22" s="64">
        <f>VLOOKUP(C22,'[1]TARGET THIS MONTH'!C:U,19,0)</f>
        <v>9</v>
      </c>
      <c r="BP22" s="65">
        <f>IFERROR(GETPIVOTDATA("Sum of Qty",'[1]Operator by Store'!$A$5,"ID Store",$C22,"Product Type","Telkomsel"),0)</f>
        <v>0</v>
      </c>
      <c r="BQ22" s="84">
        <f t="shared" si="38"/>
        <v>0</v>
      </c>
    </row>
    <row r="23" spans="1:69" x14ac:dyDescent="0.2">
      <c r="A23" s="55">
        <v>19</v>
      </c>
      <c r="B23" s="56" t="s">
        <v>69</v>
      </c>
      <c r="C23" s="57">
        <v>6180706</v>
      </c>
      <c r="D23" s="58" t="s">
        <v>70</v>
      </c>
      <c r="E23" s="85" t="s">
        <v>71</v>
      </c>
      <c r="F23" s="60">
        <v>3</v>
      </c>
      <c r="G23" s="61">
        <f>IFERROR(VLOOKUP(C23,'[1]TARGET THIS MONTH'!C:E,3,0),0)</f>
        <v>120</v>
      </c>
      <c r="H23" s="62">
        <f>IFERROR(VLOOKUP(C23,'[1]TARGET THIS MONTH'!C:M,11,0),0)</f>
        <v>624000000</v>
      </c>
      <c r="I23" s="61">
        <f>IFERROR(GETPIVOTDATA("Sum of Qty",'[1]DEVICE &amp; VALUE'!$A$6,"ID Store",$C23),0)</f>
        <v>24</v>
      </c>
      <c r="J23" s="63">
        <f t="shared" si="0"/>
        <v>0.2</v>
      </c>
      <c r="K23" s="64">
        <f t="shared" si="1"/>
        <v>-96</v>
      </c>
      <c r="L23" s="65">
        <f>IFERROR(GETPIVOTDATA("Sum of Qty",[1]PF!$A$5,"ID Store",$C23),0)</f>
        <v>2</v>
      </c>
      <c r="M23" s="65">
        <f>IFERROR(GETPIVOTDATA("Sum of Qty",'[1]DEVICE &amp; VALUE'!$A$6,"ID Store",$C23,"Segment Price","3mio&gt;"),0)</f>
        <v>8</v>
      </c>
      <c r="N23" s="66">
        <f t="shared" si="2"/>
        <v>0.33333333333333298</v>
      </c>
      <c r="O23" s="67">
        <f>IFERROR(GETPIVOTDATA("Sum of Qty",[1]IQOO!$A$6,"ID Store",$C23),0)</f>
        <v>0</v>
      </c>
      <c r="P23" s="66">
        <f t="shared" si="3"/>
        <v>0</v>
      </c>
      <c r="Q23" s="66">
        <f t="shared" si="4"/>
        <v>0.33333333333333298</v>
      </c>
      <c r="R23" s="68">
        <f>IFERROR(GETPIVOTDATA("Sum of SRP",'[1]DEVICE &amp; VALUE'!$A$6,"ID Store",$C23),0)</f>
        <v>93676000</v>
      </c>
      <c r="S23" s="66">
        <f t="shared" si="5"/>
        <v>0.150121794871795</v>
      </c>
      <c r="T23" s="69">
        <f t="shared" si="6"/>
        <v>-530324000</v>
      </c>
      <c r="U23" s="70">
        <f t="shared" si="7"/>
        <v>120</v>
      </c>
      <c r="V23" s="71">
        <f t="shared" si="8"/>
        <v>1</v>
      </c>
      <c r="W23" s="72">
        <f t="shared" si="9"/>
        <v>0</v>
      </c>
      <c r="X23" s="72">
        <f t="shared" si="10"/>
        <v>40</v>
      </c>
      <c r="Y23" s="72">
        <f t="shared" si="11"/>
        <v>-80</v>
      </c>
      <c r="Z23" s="73">
        <f t="shared" si="12"/>
        <v>468380000</v>
      </c>
      <c r="AA23" s="73">
        <f t="shared" si="13"/>
        <v>-155620000</v>
      </c>
      <c r="AB23" s="74">
        <f t="shared" si="14"/>
        <v>0.750608974358974</v>
      </c>
      <c r="AC23" s="75">
        <f t="shared" si="15"/>
        <v>4</v>
      </c>
      <c r="AD23" s="76">
        <f t="shared" si="16"/>
        <v>22096833.333333299</v>
      </c>
      <c r="AE23" s="61">
        <f>IFERROR(GETPIVOTDATA("Sum of Qty",'[1]DATA LAST MONTH IQOO'!$A$6,"ID Store",$C23),0)</f>
        <v>40</v>
      </c>
      <c r="AF23" s="77">
        <f>IFERROR(GETPIVOTDATA("Sum of Qty",[1]IQOO!$A$6,"ID Store",$C23),0)</f>
        <v>0</v>
      </c>
      <c r="AG23" s="64">
        <f t="shared" si="17"/>
        <v>-40</v>
      </c>
      <c r="AH23" s="78">
        <f t="shared" si="18"/>
        <v>-1</v>
      </c>
      <c r="AI23" s="79">
        <f>IFERROR(GETPIVOTDATA("Sum of Qty",'[1]DATA LAST MONTH DEVICE'!$A$6,"ID Store",$C23),0)</f>
        <v>132</v>
      </c>
      <c r="AJ23" s="80">
        <f t="shared" si="19"/>
        <v>24</v>
      </c>
      <c r="AK23" s="64">
        <f t="shared" si="20"/>
        <v>-108</v>
      </c>
      <c r="AL23" s="66">
        <f t="shared" si="21"/>
        <v>-0.81818181818181801</v>
      </c>
      <c r="AM23" s="65">
        <f>IFERROR(GETPIVOTDATA("Sum of Qty",'[1]Store 3mio+ last month'!$A$6,"ID Store",$C23),0)</f>
        <v>132</v>
      </c>
      <c r="AN23" s="64">
        <f t="shared" si="22"/>
        <v>120</v>
      </c>
      <c r="AO23" s="64">
        <f t="shared" si="23"/>
        <v>-12</v>
      </c>
      <c r="AP23" s="66">
        <f t="shared" si="24"/>
        <v>-9.0909090909090898E-2</v>
      </c>
      <c r="AQ23" s="65">
        <f>IFERROR(GETPIVOTDATA("Sum of Qty",'[1]DATA LAST MONTH DEVICE'!$A$6,"ID Store",$C23,"Segment Price","3mio&gt;"),0)</f>
        <v>79</v>
      </c>
      <c r="AR23" s="67">
        <f t="shared" si="25"/>
        <v>8</v>
      </c>
      <c r="AS23" s="67">
        <f t="shared" si="26"/>
        <v>-71</v>
      </c>
      <c r="AT23" s="66">
        <f t="shared" si="27"/>
        <v>-0.89873417721519</v>
      </c>
      <c r="AU23" s="81">
        <f>IFERROR(GETPIVOTDATA("Sum of SRP",'[1]DATA LAST MONTH DEVICE'!$A$6,"ID Store",$C23),0)</f>
        <v>741568000</v>
      </c>
      <c r="AV23" s="81">
        <f t="shared" si="28"/>
        <v>93676000</v>
      </c>
      <c r="AW23" s="81">
        <f t="shared" si="29"/>
        <v>-647892000</v>
      </c>
      <c r="AX23" s="66">
        <f t="shared" si="30"/>
        <v>-0.87367847587813896</v>
      </c>
      <c r="AY23" s="81">
        <f>IFERROR(VLOOKUP(C23,'[1]DATA SALES LAST MONTH'!A:E,5,0),0)</f>
        <v>5617939.3939393898</v>
      </c>
      <c r="AZ23" s="68">
        <f t="shared" si="31"/>
        <v>3903166.6666666698</v>
      </c>
      <c r="BA23" s="68">
        <f t="shared" si="32"/>
        <v>-1714772.7272727301</v>
      </c>
      <c r="BB23" s="78">
        <f t="shared" si="33"/>
        <v>-0.305231617329766</v>
      </c>
      <c r="BC23" s="61">
        <f>IFERROR(VLOOKUP(C23,'[1]TARGET THIS MONTH'!C:U,15,0),0)</f>
        <v>12</v>
      </c>
      <c r="BD23" s="82">
        <f>IFERROR(GETPIVOTDATA("Sum of Qty",[1]ACC!$A$5,"ID Store",$C23),0)</f>
        <v>1</v>
      </c>
      <c r="BE23" s="66">
        <f t="shared" si="34"/>
        <v>8.3333333333333301E-2</v>
      </c>
      <c r="BF23" s="83">
        <f>IFERROR(VLOOKUP(C23,'[1]TARGET THIS MONTH'!C:U,16,0),0)</f>
        <v>3120000</v>
      </c>
      <c r="BG23" s="83">
        <f>IFERROR(GETPIVOTDATA("Sum of SRP",'[1]Insurance by Store'!$A$5,"ID Store",$C23,"Product Type","Qoala"),0)</f>
        <v>159000</v>
      </c>
      <c r="BH23" s="66">
        <f t="shared" si="35"/>
        <v>5.0961538461538503E-2</v>
      </c>
      <c r="BI23" s="83">
        <f>IFERROR(VLOOKUP(C23,'[1]TARGET THIS MONTH'!C:U,17,0),0)</f>
        <v>624000</v>
      </c>
      <c r="BJ23" s="83">
        <f>IFERROR(GETPIVOTDATA("Sum of SRP",'[1]Insurance by Store'!$A$5,"ID Store",$C23,"Product Type","Vivo Care"),0)</f>
        <v>0</v>
      </c>
      <c r="BK23" s="66">
        <f t="shared" si="36"/>
        <v>0</v>
      </c>
      <c r="BL23" s="64">
        <f>IFERROR(VLOOKUP(C23,'[1]TARGET THIS MONTH'!C:U,18,0),0)</f>
        <v>3.6</v>
      </c>
      <c r="BM23" s="65">
        <f>IFERROR(GETPIVOTDATA("Sum of Qty",'[1]Operator by Store'!$A$5,"ID Store",$C23,"Product Type","Indosat"),0)</f>
        <v>0</v>
      </c>
      <c r="BN23" s="66">
        <f t="shared" si="37"/>
        <v>0</v>
      </c>
      <c r="BO23" s="64">
        <f>VLOOKUP(C23,'[1]TARGET THIS MONTH'!C:U,19,0)</f>
        <v>36</v>
      </c>
      <c r="BP23" s="65">
        <f>IFERROR(GETPIVOTDATA("Sum of Qty",'[1]Operator by Store'!$A$5,"ID Store",$C23,"Product Type","Telkomsel"),0)</f>
        <v>0</v>
      </c>
      <c r="BQ23" s="84">
        <f t="shared" si="38"/>
        <v>0</v>
      </c>
    </row>
    <row r="24" spans="1:69" x14ac:dyDescent="0.2">
      <c r="A24" s="55">
        <v>20</v>
      </c>
      <c r="B24" s="56" t="s">
        <v>69</v>
      </c>
      <c r="C24" s="57">
        <v>6180707</v>
      </c>
      <c r="D24" s="58" t="s">
        <v>72</v>
      </c>
      <c r="E24" s="85" t="s">
        <v>71</v>
      </c>
      <c r="F24" s="60">
        <v>1</v>
      </c>
      <c r="G24" s="61">
        <f>IFERROR(VLOOKUP(C24,'[1]TARGET THIS MONTH'!C:E,3,0),0)</f>
        <v>20</v>
      </c>
      <c r="H24" s="62">
        <f>IFERROR(VLOOKUP(C24,'[1]TARGET THIS MONTH'!C:M,11,0),0)</f>
        <v>100000000</v>
      </c>
      <c r="I24" s="61">
        <f>IFERROR(GETPIVOTDATA("Sum of Qty",'[1]DEVICE &amp; VALUE'!$A$6,"ID Store",$C24),0)</f>
        <v>2</v>
      </c>
      <c r="J24" s="63">
        <f t="shared" si="0"/>
        <v>0.1</v>
      </c>
      <c r="K24" s="64">
        <f t="shared" si="1"/>
        <v>-18</v>
      </c>
      <c r="L24" s="65">
        <f>IFERROR(GETPIVOTDATA("Sum of Qty",[1]PF!$A$5,"ID Store",$C24),0)</f>
        <v>1</v>
      </c>
      <c r="M24" s="65">
        <f>IFERROR(GETPIVOTDATA("Sum of Qty",'[1]DEVICE &amp; VALUE'!$A$6,"ID Store",$C24,"Segment Price","3mio&gt;"),0)</f>
        <v>1</v>
      </c>
      <c r="N24" s="66">
        <f t="shared" si="2"/>
        <v>0.5</v>
      </c>
      <c r="O24" s="67">
        <f>IFERROR(GETPIVOTDATA("Sum of Qty",[1]IQOO!$A$6,"ID Store",$C24),0)</f>
        <v>0</v>
      </c>
      <c r="P24" s="66">
        <f t="shared" si="3"/>
        <v>0</v>
      </c>
      <c r="Q24" s="66">
        <f t="shared" si="4"/>
        <v>0.5</v>
      </c>
      <c r="R24" s="68">
        <f>IFERROR(GETPIVOTDATA("Sum of SRP",'[1]DEVICE &amp; VALUE'!$A$6,"ID Store",$C24),0)</f>
        <v>7698000</v>
      </c>
      <c r="S24" s="66">
        <f t="shared" si="5"/>
        <v>7.6980000000000007E-2</v>
      </c>
      <c r="T24" s="69">
        <f t="shared" si="6"/>
        <v>-92302000</v>
      </c>
      <c r="U24" s="70">
        <f t="shared" si="7"/>
        <v>10</v>
      </c>
      <c r="V24" s="71">
        <f t="shared" si="8"/>
        <v>0.5</v>
      </c>
      <c r="W24" s="72">
        <f t="shared" si="9"/>
        <v>-10</v>
      </c>
      <c r="X24" s="72">
        <f t="shared" si="10"/>
        <v>5</v>
      </c>
      <c r="Y24" s="72">
        <f t="shared" si="11"/>
        <v>-15</v>
      </c>
      <c r="Z24" s="73">
        <f t="shared" si="12"/>
        <v>38490000</v>
      </c>
      <c r="AA24" s="73">
        <f t="shared" si="13"/>
        <v>-61510000</v>
      </c>
      <c r="AB24" s="74">
        <f t="shared" si="14"/>
        <v>0.38490000000000002</v>
      </c>
      <c r="AC24" s="75">
        <f t="shared" si="15"/>
        <v>0.75</v>
      </c>
      <c r="AD24" s="76">
        <f t="shared" si="16"/>
        <v>3845916.6666666698</v>
      </c>
      <c r="AE24" s="61">
        <f>IFERROR(GETPIVOTDATA("Sum of Qty",'[1]DATA LAST MONTH IQOO'!$A$6,"ID Store",$C24),0)</f>
        <v>4</v>
      </c>
      <c r="AF24" s="77">
        <f>IFERROR(GETPIVOTDATA("Sum of Qty",[1]IQOO!$A$6,"ID Store",$C24),0)</f>
        <v>0</v>
      </c>
      <c r="AG24" s="64">
        <f t="shared" si="17"/>
        <v>-4</v>
      </c>
      <c r="AH24" s="78">
        <f t="shared" si="18"/>
        <v>-1</v>
      </c>
      <c r="AI24" s="79">
        <f>IFERROR(GETPIVOTDATA("Sum of Qty",'[1]DATA LAST MONTH DEVICE'!$A$6,"ID Store",$C24),0)</f>
        <v>28</v>
      </c>
      <c r="AJ24" s="80">
        <f t="shared" si="19"/>
        <v>2</v>
      </c>
      <c r="AK24" s="64">
        <f t="shared" si="20"/>
        <v>-26</v>
      </c>
      <c r="AL24" s="66">
        <f t="shared" si="21"/>
        <v>-0.92857142857142905</v>
      </c>
      <c r="AM24" s="65">
        <f>IFERROR(GETPIVOTDATA("Sum of Qty",'[1]Store 3mio+ last month'!$A$6,"ID Store",$C24),0)</f>
        <v>28</v>
      </c>
      <c r="AN24" s="64">
        <f t="shared" si="22"/>
        <v>10</v>
      </c>
      <c r="AO24" s="64">
        <f t="shared" si="23"/>
        <v>-18</v>
      </c>
      <c r="AP24" s="66">
        <f t="shared" si="24"/>
        <v>-0.64285714285714302</v>
      </c>
      <c r="AQ24" s="65">
        <f>IFERROR(GETPIVOTDATA("Sum of Qty",'[1]DATA LAST MONTH DEVICE'!$A$6,"ID Store",$C24,"Segment Price","3mio&gt;"),0)</f>
        <v>13</v>
      </c>
      <c r="AR24" s="67">
        <f t="shared" si="25"/>
        <v>1</v>
      </c>
      <c r="AS24" s="67">
        <f t="shared" si="26"/>
        <v>-12</v>
      </c>
      <c r="AT24" s="66">
        <f t="shared" si="27"/>
        <v>-0.92307692307692302</v>
      </c>
      <c r="AU24" s="81">
        <f>IFERROR(GETPIVOTDATA("Sum of SRP",'[1]DATA LAST MONTH DEVICE'!$A$6,"ID Store",$C24),0)</f>
        <v>125772000</v>
      </c>
      <c r="AV24" s="81">
        <f t="shared" si="28"/>
        <v>7698000</v>
      </c>
      <c r="AW24" s="81">
        <f t="shared" si="29"/>
        <v>-118074000</v>
      </c>
      <c r="AX24" s="66">
        <f t="shared" si="30"/>
        <v>-0.93879400820532399</v>
      </c>
      <c r="AY24" s="81">
        <f>IFERROR(VLOOKUP(C24,'[1]DATA SALES LAST MONTH'!A:E,5,0),0)</f>
        <v>4491857.1428571399</v>
      </c>
      <c r="AZ24" s="68">
        <f t="shared" si="31"/>
        <v>3849000</v>
      </c>
      <c r="BA24" s="68">
        <f t="shared" si="32"/>
        <v>-642857.14285714296</v>
      </c>
      <c r="BB24" s="78">
        <f t="shared" si="33"/>
        <v>-0.14311611487453499</v>
      </c>
      <c r="BC24" s="61">
        <f>IFERROR(VLOOKUP(C24,'[1]TARGET THIS MONTH'!C:U,15,0),0)</f>
        <v>2</v>
      </c>
      <c r="BD24" s="82">
        <f>IFERROR(GETPIVOTDATA("Sum of Qty",[1]ACC!$A$5,"ID Store",$C24),0)</f>
        <v>0</v>
      </c>
      <c r="BE24" s="66">
        <f t="shared" si="34"/>
        <v>0</v>
      </c>
      <c r="BF24" s="83">
        <f>IFERROR(VLOOKUP(C24,'[1]TARGET THIS MONTH'!C:U,16,0),0)</f>
        <v>100000</v>
      </c>
      <c r="BG24" s="83">
        <f>IFERROR(GETPIVOTDATA("Sum of SRP",'[1]Insurance by Store'!$A$5,"ID Store",$C24,"Product Type","Qoala"),0)</f>
        <v>0</v>
      </c>
      <c r="BH24" s="66">
        <f t="shared" si="35"/>
        <v>0</v>
      </c>
      <c r="BI24" s="83">
        <f>IFERROR(VLOOKUP(C24,'[1]TARGET THIS MONTH'!C:U,17,0),0)</f>
        <v>100000</v>
      </c>
      <c r="BJ24" s="83">
        <f>IFERROR(GETPIVOTDATA("Sum of SRP",'[1]Insurance by Store'!$A$5,"ID Store",$C24,"Product Type","Vivo Care"),0)</f>
        <v>0</v>
      </c>
      <c r="BK24" s="66">
        <f t="shared" si="36"/>
        <v>0</v>
      </c>
      <c r="BL24" s="64">
        <f>IFERROR(VLOOKUP(C24,'[1]TARGET THIS MONTH'!C:U,18,0),0)</f>
        <v>0.6</v>
      </c>
      <c r="BM24" s="65">
        <f>IFERROR(GETPIVOTDATA("Sum of Qty",'[1]Operator by Store'!$A$5,"ID Store",$C24,"Product Type","Indosat"),0)</f>
        <v>0</v>
      </c>
      <c r="BN24" s="66">
        <f t="shared" si="37"/>
        <v>0</v>
      </c>
      <c r="BO24" s="64">
        <f>VLOOKUP(C24,'[1]TARGET THIS MONTH'!C:U,19,0)</f>
        <v>6</v>
      </c>
      <c r="BP24" s="65">
        <f>IFERROR(GETPIVOTDATA("Sum of Qty",'[1]Operator by Store'!$A$5,"ID Store",$C24,"Product Type","Telkomsel"),0)</f>
        <v>0</v>
      </c>
      <c r="BQ24" s="84">
        <f t="shared" si="38"/>
        <v>0</v>
      </c>
    </row>
    <row r="25" spans="1:69" x14ac:dyDescent="0.2">
      <c r="A25" s="55">
        <v>21</v>
      </c>
      <c r="B25" s="56" t="s">
        <v>73</v>
      </c>
      <c r="C25" s="57">
        <v>6170707</v>
      </c>
      <c r="D25" s="58" t="s">
        <v>74</v>
      </c>
      <c r="E25" s="86" t="s">
        <v>75</v>
      </c>
      <c r="F25" s="60">
        <v>2</v>
      </c>
      <c r="G25" s="61">
        <f>IFERROR(VLOOKUP(C25,'[1]TARGET THIS MONTH'!C:E,3,0),0)</f>
        <v>80</v>
      </c>
      <c r="H25" s="62">
        <f>IFERROR(VLOOKUP(C25,'[1]TARGET THIS MONTH'!C:M,11,0),0)</f>
        <v>344000000</v>
      </c>
      <c r="I25" s="61">
        <f>IFERROR(GETPIVOTDATA("Sum of Qty",'[1]DEVICE &amp; VALUE'!$A$6,"ID Store",$C25),0)</f>
        <v>16</v>
      </c>
      <c r="J25" s="63">
        <f t="shared" si="0"/>
        <v>0.2</v>
      </c>
      <c r="K25" s="64">
        <f t="shared" si="1"/>
        <v>-64</v>
      </c>
      <c r="L25" s="65">
        <f>IFERROR(GETPIVOTDATA("Sum of Qty",[1]PF!$A$5,"ID Store",$C25),0)</f>
        <v>1</v>
      </c>
      <c r="M25" s="65">
        <f>IFERROR(GETPIVOTDATA("Sum of Qty",'[1]DEVICE &amp; VALUE'!$A$6,"ID Store",$C25,"Segment Price","3mio&gt;"),0)</f>
        <v>2</v>
      </c>
      <c r="N25" s="66">
        <f t="shared" si="2"/>
        <v>0.125</v>
      </c>
      <c r="O25" s="67">
        <f>IFERROR(GETPIVOTDATA("Sum of Qty",[1]IQOO!$A$6,"ID Store",$C25),0)</f>
        <v>0</v>
      </c>
      <c r="P25" s="66">
        <f t="shared" si="3"/>
        <v>0</v>
      </c>
      <c r="Q25" s="66">
        <f t="shared" si="4"/>
        <v>0.125</v>
      </c>
      <c r="R25" s="68">
        <f>IFERROR(GETPIVOTDATA("Sum of SRP",'[1]DEVICE &amp; VALUE'!$A$6,"ID Store",$C25),0)</f>
        <v>46684000</v>
      </c>
      <c r="S25" s="66">
        <f t="shared" si="5"/>
        <v>0.13570930232558101</v>
      </c>
      <c r="T25" s="69">
        <f t="shared" si="6"/>
        <v>-297316000</v>
      </c>
      <c r="U25" s="70">
        <f t="shared" si="7"/>
        <v>80</v>
      </c>
      <c r="V25" s="71">
        <f t="shared" si="8"/>
        <v>1</v>
      </c>
      <c r="W25" s="72">
        <f t="shared" si="9"/>
        <v>0</v>
      </c>
      <c r="X25" s="72">
        <f t="shared" si="10"/>
        <v>10</v>
      </c>
      <c r="Y25" s="72">
        <f t="shared" si="11"/>
        <v>-70</v>
      </c>
      <c r="Z25" s="73">
        <f t="shared" si="12"/>
        <v>233420000</v>
      </c>
      <c r="AA25" s="73">
        <f t="shared" si="13"/>
        <v>-110580000</v>
      </c>
      <c r="AB25" s="74">
        <f t="shared" si="14"/>
        <v>0.67854651162790702</v>
      </c>
      <c r="AC25" s="75">
        <f t="shared" si="15"/>
        <v>2.6666666666666701</v>
      </c>
      <c r="AD25" s="76">
        <f t="shared" si="16"/>
        <v>12388166.6666667</v>
      </c>
      <c r="AE25" s="61">
        <f>IFERROR(GETPIVOTDATA("Sum of Qty",'[1]DATA LAST MONTH IQOO'!$A$6,"ID Store",$C25),0)</f>
        <v>4</v>
      </c>
      <c r="AF25" s="77">
        <f>IFERROR(GETPIVOTDATA("Sum of Qty",[1]IQOO!$A$6,"ID Store",$C25),0)</f>
        <v>0</v>
      </c>
      <c r="AG25" s="64">
        <f t="shared" si="17"/>
        <v>-4</v>
      </c>
      <c r="AH25" s="78">
        <f t="shared" si="18"/>
        <v>-1</v>
      </c>
      <c r="AI25" s="79">
        <f>IFERROR(GETPIVOTDATA("Sum of Qty",'[1]DATA LAST MONTH DEVICE'!$A$6,"ID Store",$C25),0)</f>
        <v>63</v>
      </c>
      <c r="AJ25" s="80">
        <f t="shared" si="19"/>
        <v>16</v>
      </c>
      <c r="AK25" s="64">
        <f t="shared" si="20"/>
        <v>-47</v>
      </c>
      <c r="AL25" s="66">
        <f t="shared" si="21"/>
        <v>-0.74603174603174605</v>
      </c>
      <c r="AM25" s="65">
        <f>IFERROR(GETPIVOTDATA("Sum of Qty",'[1]Store 3mio+ last month'!$A$6,"ID Store",$C25),0)</f>
        <v>63</v>
      </c>
      <c r="AN25" s="64">
        <f t="shared" si="22"/>
        <v>80</v>
      </c>
      <c r="AO25" s="64">
        <f t="shared" si="23"/>
        <v>17</v>
      </c>
      <c r="AP25" s="66">
        <f t="shared" si="24"/>
        <v>0.26984126984126999</v>
      </c>
      <c r="AQ25" s="65">
        <f>IFERROR(GETPIVOTDATA("Sum of Qty",'[1]DATA LAST MONTH DEVICE'!$A$6,"ID Store",$C25,"Segment Price","3mio&gt;"),0)</f>
        <v>23</v>
      </c>
      <c r="AR25" s="67">
        <f t="shared" si="25"/>
        <v>2</v>
      </c>
      <c r="AS25" s="67">
        <f t="shared" si="26"/>
        <v>-21</v>
      </c>
      <c r="AT25" s="66">
        <f t="shared" si="27"/>
        <v>-0.91304347826086996</v>
      </c>
      <c r="AU25" s="81">
        <f>IFERROR(GETPIVOTDATA("Sum of SRP",'[1]DATA LAST MONTH DEVICE'!$A$6,"ID Store",$C25),0)</f>
        <v>250237000</v>
      </c>
      <c r="AV25" s="81">
        <f t="shared" si="28"/>
        <v>46684000</v>
      </c>
      <c r="AW25" s="81">
        <f t="shared" si="29"/>
        <v>-203553000</v>
      </c>
      <c r="AX25" s="66">
        <f t="shared" si="30"/>
        <v>-0.81344085806655297</v>
      </c>
      <c r="AY25" s="81">
        <f>IFERROR(VLOOKUP(C25,'[1]DATA SALES LAST MONTH'!A:E,5,0),0)</f>
        <v>3972015.8730158699</v>
      </c>
      <c r="AZ25" s="68">
        <f t="shared" si="31"/>
        <v>2917750</v>
      </c>
      <c r="BA25" s="68">
        <f t="shared" si="32"/>
        <v>-1054265.8730158701</v>
      </c>
      <c r="BB25" s="78">
        <f t="shared" si="33"/>
        <v>-0.26542337863705201</v>
      </c>
      <c r="BC25" s="61">
        <f>IFERROR(VLOOKUP(C25,'[1]TARGET THIS MONTH'!C:U,15,0),0)</f>
        <v>8</v>
      </c>
      <c r="BD25" s="82">
        <f>IFERROR(GETPIVOTDATA("Sum of Qty",[1]ACC!$A$5,"ID Store",$C25),0)</f>
        <v>5</v>
      </c>
      <c r="BE25" s="66">
        <f t="shared" si="34"/>
        <v>0.625</v>
      </c>
      <c r="BF25" s="83">
        <f>IFERROR(VLOOKUP(C25,'[1]TARGET THIS MONTH'!C:U,16,0),0)</f>
        <v>1720000</v>
      </c>
      <c r="BG25" s="83">
        <f>IFERROR(GETPIVOTDATA("Sum of SRP",'[1]Insurance by Store'!$A$5,"ID Store",$C25,"Product Type","Qoala"),0)</f>
        <v>0</v>
      </c>
      <c r="BH25" s="66">
        <f t="shared" si="35"/>
        <v>0</v>
      </c>
      <c r="BI25" s="83">
        <f>IFERROR(VLOOKUP(C25,'[1]TARGET THIS MONTH'!C:U,17,0),0)</f>
        <v>344000</v>
      </c>
      <c r="BJ25" s="83">
        <f>IFERROR(GETPIVOTDATA("Sum of SRP",'[1]Insurance by Store'!$A$5,"ID Store",$C25,"Product Type","Vivo Care"),0)</f>
        <v>0</v>
      </c>
      <c r="BK25" s="66">
        <f t="shared" si="36"/>
        <v>0</v>
      </c>
      <c r="BL25" s="64">
        <f>IFERROR(VLOOKUP(C25,'[1]TARGET THIS MONTH'!C:U,18,0),0)</f>
        <v>2.4</v>
      </c>
      <c r="BM25" s="65">
        <f>IFERROR(GETPIVOTDATA("Sum of Qty",'[1]Operator by Store'!$A$5,"ID Store",$C25,"Product Type","Indosat"),0)</f>
        <v>0</v>
      </c>
      <c r="BN25" s="66">
        <f t="shared" si="37"/>
        <v>0</v>
      </c>
      <c r="BO25" s="64">
        <f>VLOOKUP(C25,'[1]TARGET THIS MONTH'!C:U,19,0)</f>
        <v>24</v>
      </c>
      <c r="BP25" s="65">
        <f>IFERROR(GETPIVOTDATA("Sum of Qty",'[1]Operator by Store'!$A$5,"ID Store",$C25,"Product Type","Telkomsel"),0)</f>
        <v>0</v>
      </c>
      <c r="BQ25" s="84">
        <f t="shared" si="38"/>
        <v>0</v>
      </c>
    </row>
    <row r="26" spans="1:69" x14ac:dyDescent="0.2">
      <c r="A26" s="55">
        <v>22</v>
      </c>
      <c r="B26" s="56" t="s">
        <v>73</v>
      </c>
      <c r="C26" s="57">
        <v>6240702</v>
      </c>
      <c r="D26" s="58" t="s">
        <v>76</v>
      </c>
      <c r="E26" s="86" t="s">
        <v>75</v>
      </c>
      <c r="F26" s="60">
        <v>3</v>
      </c>
      <c r="G26" s="61">
        <f>IFERROR(VLOOKUP(C26,'[1]TARGET THIS MONTH'!C:E,3,0),0)</f>
        <v>100</v>
      </c>
      <c r="H26" s="62">
        <f>IFERROR(VLOOKUP(C26,'[1]TARGET THIS MONTH'!C:M,11,0),0)</f>
        <v>430000000</v>
      </c>
      <c r="I26" s="61">
        <f>IFERROR(GETPIVOTDATA("Sum of Qty",'[1]DEVICE &amp; VALUE'!$A$6,"ID Store",$C26),0)</f>
        <v>19</v>
      </c>
      <c r="J26" s="63">
        <f t="shared" si="0"/>
        <v>0.19</v>
      </c>
      <c r="K26" s="64">
        <f t="shared" si="1"/>
        <v>-81</v>
      </c>
      <c r="L26" s="65">
        <f>IFERROR(GETPIVOTDATA("Sum of Qty",[1]PF!$A$5,"ID Store",$C26),0)</f>
        <v>3</v>
      </c>
      <c r="M26" s="65">
        <f>IFERROR(GETPIVOTDATA("Sum of Qty",'[1]DEVICE &amp; VALUE'!$A$6,"ID Store",$C26,"Segment Price","3mio&gt;"),0)</f>
        <v>8</v>
      </c>
      <c r="N26" s="66">
        <f t="shared" si="2"/>
        <v>0.42105263157894701</v>
      </c>
      <c r="O26" s="67">
        <f>IFERROR(GETPIVOTDATA("Sum of Qty",[1]IQOO!$A$6,"ID Store",$C26),0)</f>
        <v>0</v>
      </c>
      <c r="P26" s="66">
        <f t="shared" si="3"/>
        <v>0</v>
      </c>
      <c r="Q26" s="66">
        <f t="shared" si="4"/>
        <v>0.42105263157894701</v>
      </c>
      <c r="R26" s="68">
        <f>IFERROR(GETPIVOTDATA("Sum of SRP",'[1]DEVICE &amp; VALUE'!$A$6,"ID Store",$C26),0)</f>
        <v>76181000</v>
      </c>
      <c r="S26" s="66">
        <f t="shared" si="5"/>
        <v>0.17716511627907</v>
      </c>
      <c r="T26" s="69">
        <f t="shared" si="6"/>
        <v>-353819000</v>
      </c>
      <c r="U26" s="70">
        <f t="shared" si="7"/>
        <v>95</v>
      </c>
      <c r="V26" s="71">
        <f t="shared" si="8"/>
        <v>0.95</v>
      </c>
      <c r="W26" s="72">
        <f t="shared" si="9"/>
        <v>-5</v>
      </c>
      <c r="X26" s="72">
        <f t="shared" si="10"/>
        <v>40</v>
      </c>
      <c r="Y26" s="72">
        <f t="shared" si="11"/>
        <v>-60</v>
      </c>
      <c r="Z26" s="73">
        <f t="shared" si="12"/>
        <v>380905000</v>
      </c>
      <c r="AA26" s="73">
        <f t="shared" si="13"/>
        <v>-49095000</v>
      </c>
      <c r="AB26" s="74">
        <f t="shared" si="14"/>
        <v>0.88582558139534895</v>
      </c>
      <c r="AC26" s="75">
        <f t="shared" si="15"/>
        <v>3.375</v>
      </c>
      <c r="AD26" s="76">
        <f t="shared" si="16"/>
        <v>14742458.3333333</v>
      </c>
      <c r="AE26" s="61">
        <f>IFERROR(GETPIVOTDATA("Sum of Qty",'[1]DATA LAST MONTH IQOO'!$A$6,"ID Store",$C26),0)</f>
        <v>13</v>
      </c>
      <c r="AF26" s="77">
        <f>IFERROR(GETPIVOTDATA("Sum of Qty",[1]IQOO!$A$6,"ID Store",$C26),0)</f>
        <v>0</v>
      </c>
      <c r="AG26" s="64">
        <f t="shared" si="17"/>
        <v>-13</v>
      </c>
      <c r="AH26" s="78">
        <f t="shared" si="18"/>
        <v>-1</v>
      </c>
      <c r="AI26" s="79">
        <f>IFERROR(GETPIVOTDATA("Sum of Qty",'[1]DATA LAST MONTH DEVICE'!$A$6,"ID Store",$C26),0)</f>
        <v>87</v>
      </c>
      <c r="AJ26" s="80">
        <f t="shared" si="19"/>
        <v>19</v>
      </c>
      <c r="AK26" s="64">
        <f t="shared" si="20"/>
        <v>-68</v>
      </c>
      <c r="AL26" s="66">
        <f t="shared" si="21"/>
        <v>-0.78160919540229901</v>
      </c>
      <c r="AM26" s="65">
        <f>IFERROR(GETPIVOTDATA("Sum of Qty",'[1]Store 3mio+ last month'!$A$6,"ID Store",$C26),0)</f>
        <v>87</v>
      </c>
      <c r="AN26" s="64">
        <f t="shared" si="22"/>
        <v>95</v>
      </c>
      <c r="AO26" s="64">
        <f t="shared" si="23"/>
        <v>8</v>
      </c>
      <c r="AP26" s="66">
        <f t="shared" si="24"/>
        <v>9.1954022988505704E-2</v>
      </c>
      <c r="AQ26" s="65">
        <f>IFERROR(GETPIVOTDATA("Sum of Qty",'[1]DATA LAST MONTH DEVICE'!$A$6,"ID Store",$C26,"Segment Price","3mio&gt;"),0)</f>
        <v>44</v>
      </c>
      <c r="AR26" s="67">
        <f t="shared" si="25"/>
        <v>8</v>
      </c>
      <c r="AS26" s="67">
        <f t="shared" si="26"/>
        <v>-36</v>
      </c>
      <c r="AT26" s="66">
        <f t="shared" si="27"/>
        <v>-0.81818181818181801</v>
      </c>
      <c r="AU26" s="81">
        <f>IFERROR(GETPIVOTDATA("Sum of SRP",'[1]DATA LAST MONTH DEVICE'!$A$6,"ID Store",$C26),0)</f>
        <v>396913000</v>
      </c>
      <c r="AV26" s="81">
        <f t="shared" si="28"/>
        <v>76181000</v>
      </c>
      <c r="AW26" s="81">
        <f t="shared" si="29"/>
        <v>-320732000</v>
      </c>
      <c r="AX26" s="66">
        <f t="shared" si="30"/>
        <v>-0.80806625129436405</v>
      </c>
      <c r="AY26" s="81">
        <f>IFERROR(VLOOKUP(C26,'[1]DATA SALES LAST MONTH'!A:E,5,0),0)</f>
        <v>4562218.3908046</v>
      </c>
      <c r="AZ26" s="68">
        <f t="shared" si="31"/>
        <v>4009526.31578947</v>
      </c>
      <c r="BA26" s="68">
        <f t="shared" si="32"/>
        <v>-552692.07501512405</v>
      </c>
      <c r="BB26" s="78">
        <f t="shared" si="33"/>
        <v>-0.121145466453142</v>
      </c>
      <c r="BC26" s="61">
        <f>IFERROR(VLOOKUP(C26,'[1]TARGET THIS MONTH'!C:U,15,0),0)</f>
        <v>10</v>
      </c>
      <c r="BD26" s="82">
        <f>IFERROR(GETPIVOTDATA("Sum of Qty",[1]ACC!$A$5,"ID Store",$C26),0)</f>
        <v>1</v>
      </c>
      <c r="BE26" s="66">
        <f t="shared" si="34"/>
        <v>0.1</v>
      </c>
      <c r="BF26" s="83">
        <f>IFERROR(VLOOKUP(C26,'[1]TARGET THIS MONTH'!C:U,16,0),0)</f>
        <v>2150000</v>
      </c>
      <c r="BG26" s="83">
        <f>IFERROR(GETPIVOTDATA("Sum of SRP",'[1]Insurance by Store'!$A$5,"ID Store",$C26,"Product Type","Qoala"),0)</f>
        <v>0</v>
      </c>
      <c r="BH26" s="66">
        <f t="shared" si="35"/>
        <v>0</v>
      </c>
      <c r="BI26" s="83">
        <f>IFERROR(VLOOKUP(C26,'[1]TARGET THIS MONTH'!C:U,17,0),0)</f>
        <v>430000</v>
      </c>
      <c r="BJ26" s="83">
        <f>IFERROR(GETPIVOTDATA("Sum of SRP",'[1]Insurance by Store'!$A$5,"ID Store",$C26,"Product Type","Vivo Care"),0)</f>
        <v>0</v>
      </c>
      <c r="BK26" s="66">
        <f t="shared" si="36"/>
        <v>0</v>
      </c>
      <c r="BL26" s="64">
        <f>IFERROR(VLOOKUP(C26,'[1]TARGET THIS MONTH'!C:U,18,0),0)</f>
        <v>3</v>
      </c>
      <c r="BM26" s="65">
        <f>IFERROR(GETPIVOTDATA("Sum of Qty",'[1]Operator by Store'!$A$5,"ID Store",$C26,"Product Type","Indosat"),0)</f>
        <v>0</v>
      </c>
      <c r="BN26" s="66">
        <f t="shared" si="37"/>
        <v>0</v>
      </c>
      <c r="BO26" s="64">
        <f>VLOOKUP(C26,'[1]TARGET THIS MONTH'!C:U,19,0)</f>
        <v>30</v>
      </c>
      <c r="BP26" s="65">
        <f>IFERROR(GETPIVOTDATA("Sum of Qty",'[1]Operator by Store'!$A$5,"ID Store",$C26,"Product Type","Telkomsel"),0)</f>
        <v>0</v>
      </c>
      <c r="BQ26" s="84">
        <f t="shared" si="38"/>
        <v>0</v>
      </c>
    </row>
    <row r="27" spans="1:69" x14ac:dyDescent="0.2">
      <c r="A27" s="55">
        <v>23</v>
      </c>
      <c r="B27" s="56" t="s">
        <v>73</v>
      </c>
      <c r="C27" s="57">
        <v>6240704</v>
      </c>
      <c r="D27" s="58" t="s">
        <v>77</v>
      </c>
      <c r="E27" s="86" t="s">
        <v>75</v>
      </c>
      <c r="F27" s="60">
        <v>2</v>
      </c>
      <c r="G27" s="61">
        <f>IFERROR(VLOOKUP(C27,'[1]TARGET THIS MONTH'!C:E,3,0),0)</f>
        <v>30</v>
      </c>
      <c r="H27" s="62">
        <f>IFERROR(VLOOKUP(C27,'[1]TARGET THIS MONTH'!C:M,11,0),0)</f>
        <v>129000000</v>
      </c>
      <c r="I27" s="61">
        <f>IFERROR(GETPIVOTDATA("Sum of Qty",'[1]DEVICE &amp; VALUE'!$A$6,"ID Store",$C27),0)</f>
        <v>2</v>
      </c>
      <c r="J27" s="63">
        <f t="shared" si="0"/>
        <v>6.6666666666666693E-2</v>
      </c>
      <c r="K27" s="64">
        <f t="shared" si="1"/>
        <v>-28</v>
      </c>
      <c r="L27" s="65">
        <f>IFERROR(GETPIVOTDATA("Sum of Qty",[1]PF!$A$5,"ID Store",$C27),0)</f>
        <v>0</v>
      </c>
      <c r="M27" s="65">
        <f>IFERROR(GETPIVOTDATA("Sum of Qty",'[1]DEVICE &amp; VALUE'!$A$6,"ID Store",$C27,"Segment Price","3mio&gt;"),0)</f>
        <v>0</v>
      </c>
      <c r="N27" s="66">
        <f t="shared" si="2"/>
        <v>0</v>
      </c>
      <c r="O27" s="67">
        <f>IFERROR(GETPIVOTDATA("Sum of Qty",[1]IQOO!$A$6,"ID Store",$C27),0)</f>
        <v>0</v>
      </c>
      <c r="P27" s="66">
        <f t="shared" si="3"/>
        <v>0</v>
      </c>
      <c r="Q27" s="66">
        <f t="shared" si="4"/>
        <v>0</v>
      </c>
      <c r="R27" s="68">
        <f>IFERROR(GETPIVOTDATA("Sum of SRP",'[1]DEVICE &amp; VALUE'!$A$6,"ID Store",$C27),0)</f>
        <v>4198000</v>
      </c>
      <c r="S27" s="66">
        <f t="shared" si="5"/>
        <v>3.2542635658914701E-2</v>
      </c>
      <c r="T27" s="69">
        <f t="shared" si="6"/>
        <v>-124802000</v>
      </c>
      <c r="U27" s="70">
        <f t="shared" si="7"/>
        <v>10</v>
      </c>
      <c r="V27" s="71">
        <f t="shared" si="8"/>
        <v>0.33333333333333298</v>
      </c>
      <c r="W27" s="72">
        <f t="shared" si="9"/>
        <v>-20</v>
      </c>
      <c r="X27" s="72">
        <f t="shared" si="10"/>
        <v>0</v>
      </c>
      <c r="Y27" s="72">
        <f t="shared" si="11"/>
        <v>-30</v>
      </c>
      <c r="Z27" s="73">
        <f t="shared" si="12"/>
        <v>20990000</v>
      </c>
      <c r="AA27" s="73">
        <f t="shared" si="13"/>
        <v>-108010000</v>
      </c>
      <c r="AB27" s="74">
        <f t="shared" si="14"/>
        <v>0.16271317829457399</v>
      </c>
      <c r="AC27" s="75">
        <f t="shared" si="15"/>
        <v>1.1666666666666701</v>
      </c>
      <c r="AD27" s="76">
        <f t="shared" si="16"/>
        <v>5200083.3333333302</v>
      </c>
      <c r="AE27" s="61">
        <f>IFERROR(GETPIVOTDATA("Sum of Qty",'[1]DATA LAST MONTH IQOO'!$A$6,"ID Store",$C27),0)</f>
        <v>2</v>
      </c>
      <c r="AF27" s="77">
        <f>IFERROR(GETPIVOTDATA("Sum of Qty",[1]IQOO!$A$6,"ID Store",$C27),0)</f>
        <v>0</v>
      </c>
      <c r="AG27" s="64">
        <f t="shared" si="17"/>
        <v>-2</v>
      </c>
      <c r="AH27" s="78">
        <f t="shared" si="18"/>
        <v>-1</v>
      </c>
      <c r="AI27" s="79">
        <f>IFERROR(GETPIVOTDATA("Sum of Qty",'[1]DATA LAST MONTH DEVICE'!$A$6,"ID Store",$C27),0)</f>
        <v>37</v>
      </c>
      <c r="AJ27" s="80">
        <f t="shared" si="19"/>
        <v>2</v>
      </c>
      <c r="AK27" s="64">
        <f t="shared" si="20"/>
        <v>-35</v>
      </c>
      <c r="AL27" s="66">
        <f t="shared" si="21"/>
        <v>-0.94594594594594605</v>
      </c>
      <c r="AM27" s="65">
        <f>IFERROR(GETPIVOTDATA("Sum of Qty",'[1]Store 3mio+ last month'!$A$6,"ID Store",$C27),0)</f>
        <v>37</v>
      </c>
      <c r="AN27" s="64">
        <f t="shared" si="22"/>
        <v>10</v>
      </c>
      <c r="AO27" s="64">
        <f t="shared" si="23"/>
        <v>-27</v>
      </c>
      <c r="AP27" s="66">
        <f t="shared" si="24"/>
        <v>-0.72972972972973005</v>
      </c>
      <c r="AQ27" s="65">
        <f>IFERROR(GETPIVOTDATA("Sum of Qty",'[1]DATA LAST MONTH DEVICE'!$A$6,"ID Store",$C27,"Segment Price","3mio&gt;"),0)</f>
        <v>15</v>
      </c>
      <c r="AR27" s="67">
        <f t="shared" si="25"/>
        <v>0</v>
      </c>
      <c r="AS27" s="67">
        <f t="shared" si="26"/>
        <v>-15</v>
      </c>
      <c r="AT27" s="66">
        <f t="shared" si="27"/>
        <v>-1</v>
      </c>
      <c r="AU27" s="81">
        <f>IFERROR(GETPIVOTDATA("Sum of SRP",'[1]DATA LAST MONTH DEVICE'!$A$6,"ID Store",$C27),0)</f>
        <v>137463000</v>
      </c>
      <c r="AV27" s="81">
        <f t="shared" si="28"/>
        <v>4198000</v>
      </c>
      <c r="AW27" s="81">
        <f t="shared" si="29"/>
        <v>-133265000</v>
      </c>
      <c r="AX27" s="66">
        <f t="shared" si="30"/>
        <v>-0.96946087310767304</v>
      </c>
      <c r="AY27" s="81">
        <f>IFERROR(VLOOKUP(C27,'[1]DATA SALES LAST MONTH'!A:E,5,0),0)</f>
        <v>3715216.2162162201</v>
      </c>
      <c r="AZ27" s="68">
        <f t="shared" si="31"/>
        <v>2099000</v>
      </c>
      <c r="BA27" s="68">
        <f t="shared" si="32"/>
        <v>-1616216.2162162201</v>
      </c>
      <c r="BB27" s="78">
        <f t="shared" si="33"/>
        <v>-0.43502615249194299</v>
      </c>
      <c r="BC27" s="61">
        <f>IFERROR(VLOOKUP(C27,'[1]TARGET THIS MONTH'!C:U,15,0),0)</f>
        <v>3</v>
      </c>
      <c r="BD27" s="82">
        <f>IFERROR(GETPIVOTDATA("Sum of Qty",[1]ACC!$A$5,"ID Store",$C27),0)</f>
        <v>1</v>
      </c>
      <c r="BE27" s="66">
        <f t="shared" si="34"/>
        <v>0.33333333333333298</v>
      </c>
      <c r="BF27" s="83">
        <f>IFERROR(VLOOKUP(C27,'[1]TARGET THIS MONTH'!C:U,16,0),0)</f>
        <v>350000</v>
      </c>
      <c r="BG27" s="83">
        <f>IFERROR(GETPIVOTDATA("Sum of SRP",'[1]Insurance by Store'!$A$5,"ID Store",$C27,"Product Type","Qoala"),0)</f>
        <v>0</v>
      </c>
      <c r="BH27" s="66">
        <f t="shared" si="35"/>
        <v>0</v>
      </c>
      <c r="BI27" s="83">
        <f>IFERROR(VLOOKUP(C27,'[1]TARGET THIS MONTH'!C:U,17,0),0)</f>
        <v>150000</v>
      </c>
      <c r="BJ27" s="83">
        <f>IFERROR(GETPIVOTDATA("Sum of SRP",'[1]Insurance by Store'!$A$5,"ID Store",$C27,"Product Type","Vivo Care"),0)</f>
        <v>0</v>
      </c>
      <c r="BK27" s="66">
        <f t="shared" si="36"/>
        <v>0</v>
      </c>
      <c r="BL27" s="64">
        <f>IFERROR(VLOOKUP(C27,'[1]TARGET THIS MONTH'!C:U,18,0),0)</f>
        <v>0.9</v>
      </c>
      <c r="BM27" s="65">
        <f>IFERROR(GETPIVOTDATA("Sum of Qty",'[1]Operator by Store'!$A$5,"ID Store",$C27,"Product Type","Indosat"),0)</f>
        <v>0</v>
      </c>
      <c r="BN27" s="66">
        <f t="shared" si="37"/>
        <v>0</v>
      </c>
      <c r="BO27" s="64">
        <f>VLOOKUP(C27,'[1]TARGET THIS MONTH'!C:U,19,0)</f>
        <v>9</v>
      </c>
      <c r="BP27" s="65">
        <f>IFERROR(GETPIVOTDATA("Sum of Qty",'[1]Operator by Store'!$A$5,"ID Store",$C27,"Product Type","Telkomsel"),0)</f>
        <v>0</v>
      </c>
      <c r="BQ27" s="84">
        <f t="shared" si="38"/>
        <v>0</v>
      </c>
    </row>
    <row r="28" spans="1:69" x14ac:dyDescent="0.2">
      <c r="A28" s="55">
        <v>24</v>
      </c>
      <c r="B28" s="56" t="s">
        <v>73</v>
      </c>
      <c r="C28" s="57">
        <v>6240701</v>
      </c>
      <c r="D28" s="58" t="s">
        <v>78</v>
      </c>
      <c r="E28" s="85" t="s">
        <v>79</v>
      </c>
      <c r="F28" s="60">
        <v>3</v>
      </c>
      <c r="G28" s="61">
        <f>IFERROR(VLOOKUP(C28,'[1]TARGET THIS MONTH'!C:E,3,0),0)</f>
        <v>90</v>
      </c>
      <c r="H28" s="62">
        <f>IFERROR(VLOOKUP(C28,'[1]TARGET THIS MONTH'!C:M,11,0),0)</f>
        <v>387000000</v>
      </c>
      <c r="I28" s="61">
        <f>IFERROR(GETPIVOTDATA("Sum of Qty",'[1]DEVICE &amp; VALUE'!$A$6,"ID Store",$C28),0)</f>
        <v>26</v>
      </c>
      <c r="J28" s="63">
        <f t="shared" si="0"/>
        <v>0.28888888888888897</v>
      </c>
      <c r="K28" s="64">
        <f t="shared" si="1"/>
        <v>-64</v>
      </c>
      <c r="L28" s="65">
        <f>IFERROR(GETPIVOTDATA("Sum of Qty",[1]PF!$A$5,"ID Store",$C28),0)</f>
        <v>6</v>
      </c>
      <c r="M28" s="65">
        <f>IFERROR(GETPIVOTDATA("Sum of Qty",'[1]DEVICE &amp; VALUE'!$A$6,"ID Store",$C28,"Segment Price","3mio&gt;"),0)</f>
        <v>7</v>
      </c>
      <c r="N28" s="66">
        <f t="shared" si="2"/>
        <v>0.269230769230769</v>
      </c>
      <c r="O28" s="67">
        <f>IFERROR(GETPIVOTDATA("Sum of Qty",[1]IQOO!$A$6,"ID Store",$C28),0)</f>
        <v>0</v>
      </c>
      <c r="P28" s="66">
        <f t="shared" si="3"/>
        <v>0</v>
      </c>
      <c r="Q28" s="66">
        <f t="shared" si="4"/>
        <v>0.269230769230769</v>
      </c>
      <c r="R28" s="68">
        <f>IFERROR(GETPIVOTDATA("Sum of SRP",'[1]DEVICE &amp; VALUE'!$A$6,"ID Store",$C28),0)</f>
        <v>82774000</v>
      </c>
      <c r="S28" s="66">
        <f t="shared" si="5"/>
        <v>0.21388630490956101</v>
      </c>
      <c r="T28" s="69">
        <f t="shared" si="6"/>
        <v>-304226000</v>
      </c>
      <c r="U28" s="70">
        <f t="shared" si="7"/>
        <v>130</v>
      </c>
      <c r="V28" s="71">
        <f t="shared" si="8"/>
        <v>1.44444444444444</v>
      </c>
      <c r="W28" s="72">
        <f t="shared" si="9"/>
        <v>40</v>
      </c>
      <c r="X28" s="72">
        <f t="shared" si="10"/>
        <v>35</v>
      </c>
      <c r="Y28" s="72">
        <f t="shared" si="11"/>
        <v>-55</v>
      </c>
      <c r="Z28" s="73">
        <f t="shared" si="12"/>
        <v>413870000</v>
      </c>
      <c r="AA28" s="73">
        <f t="shared" si="13"/>
        <v>26870000</v>
      </c>
      <c r="AB28" s="74">
        <f t="shared" si="14"/>
        <v>1.0694315245478001</v>
      </c>
      <c r="AC28" s="75">
        <f t="shared" si="15"/>
        <v>2.6666666666666701</v>
      </c>
      <c r="AD28" s="76">
        <f t="shared" si="16"/>
        <v>12676083.3333333</v>
      </c>
      <c r="AE28" s="61">
        <f>IFERROR(GETPIVOTDATA("Sum of Qty",'[1]DATA LAST MONTH IQOO'!$A$6,"ID Store",$C28),0)</f>
        <v>15</v>
      </c>
      <c r="AF28" s="77">
        <f>IFERROR(GETPIVOTDATA("Sum of Qty",[1]IQOO!$A$6,"ID Store",$C28),0)</f>
        <v>0</v>
      </c>
      <c r="AG28" s="64">
        <f t="shared" si="17"/>
        <v>-15</v>
      </c>
      <c r="AH28" s="78">
        <f t="shared" si="18"/>
        <v>-1</v>
      </c>
      <c r="AI28" s="79">
        <f>IFERROR(GETPIVOTDATA("Sum of Qty",'[1]DATA LAST MONTH DEVICE'!$A$6,"ID Store",$C28),0)</f>
        <v>94</v>
      </c>
      <c r="AJ28" s="80">
        <f t="shared" si="19"/>
        <v>26</v>
      </c>
      <c r="AK28" s="64">
        <f t="shared" si="20"/>
        <v>-68</v>
      </c>
      <c r="AL28" s="66">
        <f t="shared" si="21"/>
        <v>-0.72340425531914898</v>
      </c>
      <c r="AM28" s="65">
        <f>IFERROR(GETPIVOTDATA("Sum of Qty",'[1]Store 3mio+ last month'!$A$6,"ID Store",$C28),0)</f>
        <v>94</v>
      </c>
      <c r="AN28" s="64">
        <f t="shared" si="22"/>
        <v>130</v>
      </c>
      <c r="AO28" s="64">
        <f t="shared" si="23"/>
        <v>36</v>
      </c>
      <c r="AP28" s="66">
        <f t="shared" si="24"/>
        <v>0.38297872340425498</v>
      </c>
      <c r="AQ28" s="65">
        <f>IFERROR(GETPIVOTDATA("Sum of Qty",'[1]DATA LAST MONTH DEVICE'!$A$6,"ID Store",$C28,"Segment Price","3mio&gt;"),0)</f>
        <v>48</v>
      </c>
      <c r="AR28" s="67">
        <f t="shared" si="25"/>
        <v>7</v>
      </c>
      <c r="AS28" s="67">
        <f t="shared" si="26"/>
        <v>-41</v>
      </c>
      <c r="AT28" s="66">
        <f t="shared" si="27"/>
        <v>-0.85416666666666696</v>
      </c>
      <c r="AU28" s="81">
        <f>IFERROR(GETPIVOTDATA("Sum of SRP",'[1]DATA LAST MONTH DEVICE'!$A$6,"ID Store",$C28),0)</f>
        <v>443806000</v>
      </c>
      <c r="AV28" s="81">
        <f t="shared" si="28"/>
        <v>82774000</v>
      </c>
      <c r="AW28" s="81">
        <f t="shared" si="29"/>
        <v>-361032000</v>
      </c>
      <c r="AX28" s="66">
        <f t="shared" si="30"/>
        <v>-0.81349057921704504</v>
      </c>
      <c r="AY28" s="81">
        <f>IFERROR(VLOOKUP(C28,'[1]DATA SALES LAST MONTH'!A:E,5,0),0)</f>
        <v>4721340.4255319098</v>
      </c>
      <c r="AZ28" s="68">
        <f t="shared" si="31"/>
        <v>3183615.3846153799</v>
      </c>
      <c r="BA28" s="68">
        <f t="shared" si="32"/>
        <v>-1537725.0409165299</v>
      </c>
      <c r="BB28" s="78">
        <f t="shared" si="33"/>
        <v>-0.32569670947701002</v>
      </c>
      <c r="BC28" s="61">
        <f>IFERROR(VLOOKUP(C28,'[1]TARGET THIS MONTH'!C:U,15,0),0)</f>
        <v>9</v>
      </c>
      <c r="BD28" s="82">
        <f>IFERROR(GETPIVOTDATA("Sum of Qty",[1]ACC!$A$5,"ID Store",$C28),0)</f>
        <v>1</v>
      </c>
      <c r="BE28" s="66">
        <f t="shared" si="34"/>
        <v>0.11111111111111099</v>
      </c>
      <c r="BF28" s="83">
        <f>IFERROR(VLOOKUP(C28,'[1]TARGET THIS MONTH'!C:U,16,0),0)</f>
        <v>1935000</v>
      </c>
      <c r="BG28" s="83">
        <f>IFERROR(GETPIVOTDATA("Sum of SRP",'[1]Insurance by Store'!$A$5,"ID Store",$C28,"Product Type","Qoala"),0)</f>
        <v>647000</v>
      </c>
      <c r="BH28" s="66">
        <f t="shared" si="35"/>
        <v>0.33436692506459897</v>
      </c>
      <c r="BI28" s="83">
        <f>IFERROR(VLOOKUP(C28,'[1]TARGET THIS MONTH'!C:U,17,0),0)</f>
        <v>387000</v>
      </c>
      <c r="BJ28" s="83">
        <f>IFERROR(GETPIVOTDATA("Sum of SRP",'[1]Insurance by Store'!$A$5,"ID Store",$C28,"Product Type","Vivo Care"),0)</f>
        <v>0</v>
      </c>
      <c r="BK28" s="66">
        <f t="shared" si="36"/>
        <v>0</v>
      </c>
      <c r="BL28" s="64">
        <f>IFERROR(VLOOKUP(C28,'[1]TARGET THIS MONTH'!C:U,18,0),0)</f>
        <v>2.7</v>
      </c>
      <c r="BM28" s="65">
        <f>IFERROR(GETPIVOTDATA("Sum of Qty",'[1]Operator by Store'!$A$5,"ID Store",$C28,"Product Type","Indosat"),0)</f>
        <v>0</v>
      </c>
      <c r="BN28" s="66">
        <f t="shared" si="37"/>
        <v>0</v>
      </c>
      <c r="BO28" s="64">
        <f>VLOOKUP(C28,'[1]TARGET THIS MONTH'!C:U,19,0)</f>
        <v>27</v>
      </c>
      <c r="BP28" s="65">
        <f>IFERROR(GETPIVOTDATA("Sum of Qty",'[1]Operator by Store'!$A$5,"ID Store",$C28,"Product Type","Telkomsel"),0)</f>
        <v>0</v>
      </c>
      <c r="BQ28" s="84">
        <f t="shared" si="38"/>
        <v>0</v>
      </c>
    </row>
    <row r="29" spans="1:69" x14ac:dyDescent="0.2">
      <c r="A29" s="55">
        <v>25</v>
      </c>
      <c r="B29" s="56" t="s">
        <v>73</v>
      </c>
      <c r="C29" s="57">
        <v>6170706</v>
      </c>
      <c r="D29" s="58" t="s">
        <v>80</v>
      </c>
      <c r="E29" s="85" t="s">
        <v>79</v>
      </c>
      <c r="F29" s="60">
        <v>3</v>
      </c>
      <c r="G29" s="61">
        <f>IFERROR(VLOOKUP(C29,'[1]TARGET THIS MONTH'!C:E,3,0),0)</f>
        <v>90</v>
      </c>
      <c r="H29" s="62">
        <f>IFERROR(VLOOKUP(C29,'[1]TARGET THIS MONTH'!C:M,11,0),0)</f>
        <v>387000000</v>
      </c>
      <c r="I29" s="61">
        <f>IFERROR(GETPIVOTDATA("Sum of Qty",'[1]DEVICE &amp; VALUE'!$A$6,"ID Store",$C29),0)</f>
        <v>22</v>
      </c>
      <c r="J29" s="63">
        <f t="shared" si="0"/>
        <v>0.24444444444444399</v>
      </c>
      <c r="K29" s="64">
        <f t="shared" si="1"/>
        <v>-68</v>
      </c>
      <c r="L29" s="65">
        <f>IFERROR(GETPIVOTDATA("Sum of Qty",[1]PF!$A$5,"ID Store",$C29),0)</f>
        <v>3</v>
      </c>
      <c r="M29" s="65">
        <f>IFERROR(GETPIVOTDATA("Sum of Qty",'[1]DEVICE &amp; VALUE'!$A$6,"ID Store",$C29,"Segment Price","3mio&gt;"),0)</f>
        <v>4</v>
      </c>
      <c r="N29" s="66">
        <f t="shared" si="2"/>
        <v>0.18181818181818199</v>
      </c>
      <c r="O29" s="67">
        <f>IFERROR(GETPIVOTDATA("Sum of Qty",[1]IQOO!$A$6,"ID Store",$C29),0)</f>
        <v>0</v>
      </c>
      <c r="P29" s="66">
        <f t="shared" si="3"/>
        <v>0</v>
      </c>
      <c r="Q29" s="66">
        <f t="shared" si="4"/>
        <v>0.18181818181818199</v>
      </c>
      <c r="R29" s="68">
        <f>IFERROR(GETPIVOTDATA("Sum of SRP",'[1]DEVICE &amp; VALUE'!$A$6,"ID Store",$C29),0)</f>
        <v>67078000</v>
      </c>
      <c r="S29" s="66">
        <f t="shared" si="5"/>
        <v>0.17332816537467699</v>
      </c>
      <c r="T29" s="69">
        <f t="shared" si="6"/>
        <v>-319922000</v>
      </c>
      <c r="U29" s="70">
        <f t="shared" si="7"/>
        <v>110</v>
      </c>
      <c r="V29" s="71">
        <f t="shared" si="8"/>
        <v>1.2222222222222201</v>
      </c>
      <c r="W29" s="72">
        <f t="shared" si="9"/>
        <v>20</v>
      </c>
      <c r="X29" s="72">
        <f t="shared" si="10"/>
        <v>20</v>
      </c>
      <c r="Y29" s="72">
        <f t="shared" si="11"/>
        <v>-70</v>
      </c>
      <c r="Z29" s="73">
        <f t="shared" si="12"/>
        <v>335390000</v>
      </c>
      <c r="AA29" s="73">
        <f t="shared" si="13"/>
        <v>-51610000</v>
      </c>
      <c r="AB29" s="74">
        <f t="shared" si="14"/>
        <v>0.86664082687338495</v>
      </c>
      <c r="AC29" s="75">
        <f t="shared" si="15"/>
        <v>2.8333333333333299</v>
      </c>
      <c r="AD29" s="76">
        <f t="shared" si="16"/>
        <v>13330083.3333333</v>
      </c>
      <c r="AE29" s="61">
        <f>IFERROR(GETPIVOTDATA("Sum of Qty",'[1]DATA LAST MONTH IQOO'!$A$6,"ID Store",$C29),0)</f>
        <v>12</v>
      </c>
      <c r="AF29" s="77">
        <f>IFERROR(GETPIVOTDATA("Sum of Qty",[1]IQOO!$A$6,"ID Store",$C29),0)</f>
        <v>0</v>
      </c>
      <c r="AG29" s="64">
        <f t="shared" si="17"/>
        <v>-12</v>
      </c>
      <c r="AH29" s="78">
        <f t="shared" si="18"/>
        <v>-1</v>
      </c>
      <c r="AI29" s="79">
        <f>IFERROR(GETPIVOTDATA("Sum of Qty",'[1]DATA LAST MONTH DEVICE'!$A$6,"ID Store",$C29),0)</f>
        <v>90</v>
      </c>
      <c r="AJ29" s="80">
        <f t="shared" si="19"/>
        <v>22</v>
      </c>
      <c r="AK29" s="64">
        <f t="shared" si="20"/>
        <v>-68</v>
      </c>
      <c r="AL29" s="66">
        <f t="shared" si="21"/>
        <v>-0.75555555555555598</v>
      </c>
      <c r="AM29" s="65">
        <f>IFERROR(GETPIVOTDATA("Sum of Qty",'[1]Store 3mio+ last month'!$A$6,"ID Store",$C29),0)</f>
        <v>90</v>
      </c>
      <c r="AN29" s="64">
        <f t="shared" si="22"/>
        <v>110</v>
      </c>
      <c r="AO29" s="64">
        <f t="shared" si="23"/>
        <v>20</v>
      </c>
      <c r="AP29" s="66">
        <f t="shared" si="24"/>
        <v>0.22222222222222199</v>
      </c>
      <c r="AQ29" s="65">
        <f>IFERROR(GETPIVOTDATA("Sum of Qty",'[1]DATA LAST MONTH DEVICE'!$A$6,"ID Store",$C29,"Segment Price","3mio&gt;"),0)</f>
        <v>37</v>
      </c>
      <c r="AR29" s="67">
        <f t="shared" si="25"/>
        <v>4</v>
      </c>
      <c r="AS29" s="67">
        <f t="shared" si="26"/>
        <v>-33</v>
      </c>
      <c r="AT29" s="66">
        <f t="shared" si="27"/>
        <v>-0.891891891891892</v>
      </c>
      <c r="AU29" s="81">
        <f>IFERROR(GETPIVOTDATA("Sum of SRP",'[1]DATA LAST MONTH DEVICE'!$A$6,"ID Store",$C29),0)</f>
        <v>367310000</v>
      </c>
      <c r="AV29" s="81">
        <f t="shared" si="28"/>
        <v>67078000</v>
      </c>
      <c r="AW29" s="81">
        <f t="shared" si="29"/>
        <v>-300232000</v>
      </c>
      <c r="AX29" s="66">
        <f t="shared" si="30"/>
        <v>-0.81738041436388897</v>
      </c>
      <c r="AY29" s="81">
        <f>IFERROR(VLOOKUP(C29,'[1]DATA SALES LAST MONTH'!A:E,5,0),0)</f>
        <v>4081222.2222222202</v>
      </c>
      <c r="AZ29" s="68">
        <f t="shared" si="31"/>
        <v>3049000</v>
      </c>
      <c r="BA29" s="68">
        <f t="shared" si="32"/>
        <v>-1032222.22222222</v>
      </c>
      <c r="BB29" s="78">
        <f t="shared" si="33"/>
        <v>-0.25291987694318102</v>
      </c>
      <c r="BC29" s="61">
        <f>IFERROR(VLOOKUP(C29,'[1]TARGET THIS MONTH'!C:U,15,0),0)</f>
        <v>9</v>
      </c>
      <c r="BD29" s="82">
        <f>IFERROR(GETPIVOTDATA("Sum of Qty",[1]ACC!$A$5,"ID Store",$C29),0)</f>
        <v>0</v>
      </c>
      <c r="BE29" s="66">
        <f t="shared" si="34"/>
        <v>0</v>
      </c>
      <c r="BF29" s="83">
        <f>IFERROR(VLOOKUP(C29,'[1]TARGET THIS MONTH'!C:U,16,0),0)</f>
        <v>1935000</v>
      </c>
      <c r="BG29" s="83">
        <f>IFERROR(GETPIVOTDATA("Sum of SRP",'[1]Insurance by Store'!$A$5,"ID Store",$C29,"Product Type","Qoala"),0)</f>
        <v>159000</v>
      </c>
      <c r="BH29" s="66">
        <f t="shared" si="35"/>
        <v>8.21705426356589E-2</v>
      </c>
      <c r="BI29" s="83">
        <f>IFERROR(VLOOKUP(C29,'[1]TARGET THIS MONTH'!C:U,17,0),0)</f>
        <v>387000</v>
      </c>
      <c r="BJ29" s="83">
        <f>IFERROR(GETPIVOTDATA("Sum of SRP",'[1]Insurance by Store'!$A$5,"ID Store",$C29,"Product Type","Vivo Care"),0)</f>
        <v>0</v>
      </c>
      <c r="BK29" s="66">
        <f t="shared" si="36"/>
        <v>0</v>
      </c>
      <c r="BL29" s="64">
        <f>IFERROR(VLOOKUP(C29,'[1]TARGET THIS MONTH'!C:U,18,0),0)</f>
        <v>2.7</v>
      </c>
      <c r="BM29" s="65">
        <f>IFERROR(GETPIVOTDATA("Sum of Qty",'[1]Operator by Store'!$A$5,"ID Store",$C29,"Product Type","Indosat"),0)</f>
        <v>0</v>
      </c>
      <c r="BN29" s="66">
        <f t="shared" si="37"/>
        <v>0</v>
      </c>
      <c r="BO29" s="64">
        <f>VLOOKUP(C29,'[1]TARGET THIS MONTH'!C:U,19,0)</f>
        <v>27</v>
      </c>
      <c r="BP29" s="65">
        <f>IFERROR(GETPIVOTDATA("Sum of Qty",'[1]Operator by Store'!$A$5,"ID Store",$C29,"Product Type","Telkomsel"),0)</f>
        <v>0</v>
      </c>
      <c r="BQ29" s="84">
        <f t="shared" si="38"/>
        <v>0</v>
      </c>
    </row>
    <row r="30" spans="1:69" x14ac:dyDescent="0.2">
      <c r="A30" s="55">
        <v>26</v>
      </c>
      <c r="B30" s="56" t="s">
        <v>73</v>
      </c>
      <c r="C30" s="57">
        <v>6240703</v>
      </c>
      <c r="D30" s="58" t="s">
        <v>81</v>
      </c>
      <c r="E30" s="85" t="s">
        <v>79</v>
      </c>
      <c r="F30" s="60">
        <v>2</v>
      </c>
      <c r="G30" s="61">
        <f>IFERROR(VLOOKUP(C30,'[1]TARGET THIS MONTH'!C:E,3,0),0)</f>
        <v>90</v>
      </c>
      <c r="H30" s="62">
        <f>IFERROR(VLOOKUP(C30,'[1]TARGET THIS MONTH'!C:M,11,0),0)</f>
        <v>387000000</v>
      </c>
      <c r="I30" s="61">
        <f>IFERROR(GETPIVOTDATA("Sum of Qty",'[1]DEVICE &amp; VALUE'!$A$6,"ID Store",$C30),0)</f>
        <v>17</v>
      </c>
      <c r="J30" s="63">
        <f t="shared" si="0"/>
        <v>0.18888888888888899</v>
      </c>
      <c r="K30" s="64">
        <f t="shared" si="1"/>
        <v>-73</v>
      </c>
      <c r="L30" s="65">
        <f>IFERROR(GETPIVOTDATA("Sum of Qty",[1]PF!$A$5,"ID Store",$C30),0)</f>
        <v>5</v>
      </c>
      <c r="M30" s="65">
        <f>IFERROR(GETPIVOTDATA("Sum of Qty",'[1]DEVICE &amp; VALUE'!$A$6,"ID Store",$C30,"Segment Price","3mio&gt;"),0)</f>
        <v>9</v>
      </c>
      <c r="N30" s="66">
        <f t="shared" si="2"/>
        <v>0.52941176470588203</v>
      </c>
      <c r="O30" s="67">
        <f>IFERROR(GETPIVOTDATA("Sum of Qty",[1]IQOO!$A$6,"ID Store",$C30),0)</f>
        <v>0</v>
      </c>
      <c r="P30" s="66">
        <f t="shared" si="3"/>
        <v>0</v>
      </c>
      <c r="Q30" s="66">
        <f t="shared" si="4"/>
        <v>0.52941176470588203</v>
      </c>
      <c r="R30" s="68">
        <f>IFERROR(GETPIVOTDATA("Sum of SRP",'[1]DEVICE &amp; VALUE'!$A$6,"ID Store",$C30),0)</f>
        <v>89383000</v>
      </c>
      <c r="S30" s="66">
        <f t="shared" si="5"/>
        <v>0.23096382428940601</v>
      </c>
      <c r="T30" s="69">
        <f t="shared" si="6"/>
        <v>-297617000</v>
      </c>
      <c r="U30" s="70">
        <f t="shared" si="7"/>
        <v>85</v>
      </c>
      <c r="V30" s="71">
        <f t="shared" si="8"/>
        <v>0.94444444444444398</v>
      </c>
      <c r="W30" s="72">
        <f t="shared" si="9"/>
        <v>-5</v>
      </c>
      <c r="X30" s="72">
        <f t="shared" si="10"/>
        <v>45</v>
      </c>
      <c r="Y30" s="72">
        <f t="shared" si="11"/>
        <v>-45</v>
      </c>
      <c r="Z30" s="73">
        <f t="shared" si="12"/>
        <v>446915000</v>
      </c>
      <c r="AA30" s="73">
        <f t="shared" si="13"/>
        <v>59915000</v>
      </c>
      <c r="AB30" s="74">
        <f t="shared" si="14"/>
        <v>1.15481912144703</v>
      </c>
      <c r="AC30" s="75">
        <f t="shared" si="15"/>
        <v>3.0416666666666701</v>
      </c>
      <c r="AD30" s="76">
        <f t="shared" si="16"/>
        <v>12400708.3333333</v>
      </c>
      <c r="AE30" s="61">
        <f>IFERROR(GETPIVOTDATA("Sum of Qty",'[1]DATA LAST MONTH IQOO'!$A$6,"ID Store",$C30),0)</f>
        <v>6</v>
      </c>
      <c r="AF30" s="77">
        <f>IFERROR(GETPIVOTDATA("Sum of Qty",[1]IQOO!$A$6,"ID Store",$C30),0)</f>
        <v>0</v>
      </c>
      <c r="AG30" s="64">
        <f t="shared" si="17"/>
        <v>-6</v>
      </c>
      <c r="AH30" s="78">
        <f t="shared" si="18"/>
        <v>-1</v>
      </c>
      <c r="AI30" s="79">
        <f>IFERROR(GETPIVOTDATA("Sum of Qty",'[1]DATA LAST MONTH DEVICE'!$A$6,"ID Store",$C30),0)</f>
        <v>63</v>
      </c>
      <c r="AJ30" s="80">
        <f t="shared" si="19"/>
        <v>17</v>
      </c>
      <c r="AK30" s="64">
        <f t="shared" si="20"/>
        <v>-46</v>
      </c>
      <c r="AL30" s="66">
        <f t="shared" si="21"/>
        <v>-0.73015873015873001</v>
      </c>
      <c r="AM30" s="65">
        <f>IFERROR(GETPIVOTDATA("Sum of Qty",'[1]Store 3mio+ last month'!$A$6,"ID Store",$C30),0)</f>
        <v>63</v>
      </c>
      <c r="AN30" s="64">
        <f t="shared" si="22"/>
        <v>85</v>
      </c>
      <c r="AO30" s="64">
        <f t="shared" si="23"/>
        <v>22</v>
      </c>
      <c r="AP30" s="66">
        <f t="shared" si="24"/>
        <v>0.34920634920634902</v>
      </c>
      <c r="AQ30" s="65">
        <f>IFERROR(GETPIVOTDATA("Sum of Qty",'[1]DATA LAST MONTH DEVICE'!$A$6,"ID Store",$C30,"Segment Price","3mio&gt;"),0)</f>
        <v>30</v>
      </c>
      <c r="AR30" s="67">
        <f t="shared" si="25"/>
        <v>9</v>
      </c>
      <c r="AS30" s="67">
        <f t="shared" si="26"/>
        <v>-21</v>
      </c>
      <c r="AT30" s="66">
        <f t="shared" si="27"/>
        <v>-0.7</v>
      </c>
      <c r="AU30" s="81">
        <f>IFERROR(GETPIVOTDATA("Sum of SRP",'[1]DATA LAST MONTH DEVICE'!$A$6,"ID Store",$C30),0)</f>
        <v>298937000</v>
      </c>
      <c r="AV30" s="81">
        <f t="shared" si="28"/>
        <v>89383000</v>
      </c>
      <c r="AW30" s="81">
        <f t="shared" si="29"/>
        <v>-209554000</v>
      </c>
      <c r="AX30" s="66">
        <f t="shared" si="30"/>
        <v>-0.70099720007894595</v>
      </c>
      <c r="AY30" s="81">
        <f>IFERROR(VLOOKUP(C30,'[1]DATA SALES LAST MONTH'!A:E,5,0),0)</f>
        <v>4745031.74603175</v>
      </c>
      <c r="AZ30" s="68">
        <f t="shared" si="31"/>
        <v>5257823.5294117602</v>
      </c>
      <c r="BA30" s="68">
        <f t="shared" si="32"/>
        <v>512791.78338001901</v>
      </c>
      <c r="BB30" s="78">
        <f t="shared" si="33"/>
        <v>0.108069199707434</v>
      </c>
      <c r="BC30" s="61">
        <f>IFERROR(VLOOKUP(C30,'[1]TARGET THIS MONTH'!C:U,15,0),0)</f>
        <v>9</v>
      </c>
      <c r="BD30" s="82">
        <f>IFERROR(GETPIVOTDATA("Sum of Qty",[1]ACC!$A$5,"ID Store",$C30),0)</f>
        <v>0</v>
      </c>
      <c r="BE30" s="66">
        <f t="shared" si="34"/>
        <v>0</v>
      </c>
      <c r="BF30" s="83">
        <f>IFERROR(VLOOKUP(C30,'[1]TARGET THIS MONTH'!C:U,16,0),0)</f>
        <v>1935000</v>
      </c>
      <c r="BG30" s="83">
        <f>IFERROR(GETPIVOTDATA("Sum of SRP",'[1]Insurance by Store'!$A$5,"ID Store",$C30,"Product Type","Qoala"),0)</f>
        <v>748000</v>
      </c>
      <c r="BH30" s="66">
        <f t="shared" si="35"/>
        <v>0.38656330749354001</v>
      </c>
      <c r="BI30" s="83">
        <f>IFERROR(VLOOKUP(C30,'[1]TARGET THIS MONTH'!C:U,17,0),0)</f>
        <v>387000</v>
      </c>
      <c r="BJ30" s="83">
        <f>IFERROR(GETPIVOTDATA("Sum of SRP",'[1]Insurance by Store'!$A$5,"ID Store",$C30,"Product Type","Vivo Care"),0)</f>
        <v>0</v>
      </c>
      <c r="BK30" s="66">
        <f t="shared" si="36"/>
        <v>0</v>
      </c>
      <c r="BL30" s="64">
        <f>IFERROR(VLOOKUP(C30,'[1]TARGET THIS MONTH'!C:U,18,0),0)</f>
        <v>2.7</v>
      </c>
      <c r="BM30" s="65">
        <f>IFERROR(GETPIVOTDATA("Sum of Qty",'[1]Operator by Store'!$A$5,"ID Store",$C30,"Product Type","Indosat"),0)</f>
        <v>0</v>
      </c>
      <c r="BN30" s="66">
        <f t="shared" si="37"/>
        <v>0</v>
      </c>
      <c r="BO30" s="64">
        <f>VLOOKUP(C30,'[1]TARGET THIS MONTH'!C:U,19,0)</f>
        <v>27</v>
      </c>
      <c r="BP30" s="65">
        <f>IFERROR(GETPIVOTDATA("Sum of Qty",'[1]Operator by Store'!$A$5,"ID Store",$C30,"Product Type","Telkomsel"),0)</f>
        <v>0</v>
      </c>
      <c r="BQ30" s="84">
        <f t="shared" si="38"/>
        <v>0</v>
      </c>
    </row>
    <row r="31" spans="1:69" x14ac:dyDescent="0.2">
      <c r="A31" s="55">
        <v>27</v>
      </c>
      <c r="B31" s="56" t="s">
        <v>73</v>
      </c>
      <c r="C31" s="57">
        <v>6170703</v>
      </c>
      <c r="D31" s="58" t="s">
        <v>82</v>
      </c>
      <c r="E31" s="86" t="s">
        <v>83</v>
      </c>
      <c r="F31" s="60">
        <v>2</v>
      </c>
      <c r="G31" s="61">
        <f>IFERROR(VLOOKUP(C31,'[1]TARGET THIS MONTH'!C:E,3,0),0)</f>
        <v>30</v>
      </c>
      <c r="H31" s="62">
        <f>IFERROR(VLOOKUP(C31,'[1]TARGET THIS MONTH'!C:M,11,0),0)</f>
        <v>150000000</v>
      </c>
      <c r="I31" s="61">
        <f>IFERROR(GETPIVOTDATA("Sum of Qty",'[1]DEVICE &amp; VALUE'!$A$6,"ID Store",$C31),0)</f>
        <v>4</v>
      </c>
      <c r="J31" s="63">
        <f t="shared" si="0"/>
        <v>0.133333333333333</v>
      </c>
      <c r="K31" s="64">
        <f t="shared" si="1"/>
        <v>-26</v>
      </c>
      <c r="L31" s="65">
        <f>IFERROR(GETPIVOTDATA("Sum of Qty",[1]PF!$A$5,"ID Store",$C31),0)</f>
        <v>0</v>
      </c>
      <c r="M31" s="65">
        <f>IFERROR(GETPIVOTDATA("Sum of Qty",'[1]DEVICE &amp; VALUE'!$A$6,"ID Store",$C31,"Segment Price","3mio&gt;"),0)</f>
        <v>3</v>
      </c>
      <c r="N31" s="66">
        <f t="shared" si="2"/>
        <v>0.75</v>
      </c>
      <c r="O31" s="67">
        <f>IFERROR(GETPIVOTDATA("Sum of Qty",[1]IQOO!$A$6,"ID Store",$C31),0)</f>
        <v>1</v>
      </c>
      <c r="P31" s="66">
        <f t="shared" si="3"/>
        <v>0.25</v>
      </c>
      <c r="Q31" s="66">
        <f t="shared" si="4"/>
        <v>0.75</v>
      </c>
      <c r="R31" s="68">
        <f>IFERROR(GETPIVOTDATA("Sum of SRP",'[1]DEVICE &amp; VALUE'!$A$6,"ID Store",$C31),0)</f>
        <v>26296000</v>
      </c>
      <c r="S31" s="66">
        <f t="shared" si="5"/>
        <v>0.175306666666667</v>
      </c>
      <c r="T31" s="69">
        <f t="shared" si="6"/>
        <v>-123704000</v>
      </c>
      <c r="U31" s="70">
        <f t="shared" si="7"/>
        <v>20</v>
      </c>
      <c r="V31" s="71">
        <f t="shared" si="8"/>
        <v>0.66666666666666696</v>
      </c>
      <c r="W31" s="72">
        <f t="shared" si="9"/>
        <v>-10</v>
      </c>
      <c r="X31" s="72">
        <f t="shared" si="10"/>
        <v>15</v>
      </c>
      <c r="Y31" s="72">
        <f t="shared" si="11"/>
        <v>-15</v>
      </c>
      <c r="Z31" s="73">
        <f t="shared" si="12"/>
        <v>131480000</v>
      </c>
      <c r="AA31" s="73">
        <f t="shared" si="13"/>
        <v>-18520000</v>
      </c>
      <c r="AB31" s="74">
        <f t="shared" si="14"/>
        <v>0.87653333333333305</v>
      </c>
      <c r="AC31" s="75">
        <f t="shared" si="15"/>
        <v>1.0833333333333299</v>
      </c>
      <c r="AD31" s="76">
        <f t="shared" si="16"/>
        <v>5154333.3333333302</v>
      </c>
      <c r="AE31" s="61">
        <f>IFERROR(GETPIVOTDATA("Sum of Qty",'[1]DATA LAST MONTH IQOO'!$A$6,"ID Store",$C31),0)</f>
        <v>7</v>
      </c>
      <c r="AF31" s="77">
        <f>IFERROR(GETPIVOTDATA("Sum of Qty",[1]IQOO!$A$6,"ID Store",$C31),0)</f>
        <v>1</v>
      </c>
      <c r="AG31" s="64">
        <f t="shared" si="17"/>
        <v>-6</v>
      </c>
      <c r="AH31" s="78">
        <f t="shared" si="18"/>
        <v>-0.85714285714285698</v>
      </c>
      <c r="AI31" s="79">
        <f>IFERROR(GETPIVOTDATA("Sum of Qty",'[1]DATA LAST MONTH DEVICE'!$A$6,"ID Store",$C31),0)</f>
        <v>20</v>
      </c>
      <c r="AJ31" s="80">
        <f t="shared" si="19"/>
        <v>4</v>
      </c>
      <c r="AK31" s="64">
        <f t="shared" si="20"/>
        <v>-16</v>
      </c>
      <c r="AL31" s="66">
        <f t="shared" si="21"/>
        <v>-0.8</v>
      </c>
      <c r="AM31" s="65">
        <f>IFERROR(GETPIVOTDATA("Sum of Qty",'[1]Store 3mio+ last month'!$A$6,"ID Store",$C31),0)</f>
        <v>20</v>
      </c>
      <c r="AN31" s="64">
        <f t="shared" si="22"/>
        <v>20</v>
      </c>
      <c r="AO31" s="64">
        <f t="shared" si="23"/>
        <v>0</v>
      </c>
      <c r="AP31" s="66">
        <f t="shared" si="24"/>
        <v>0</v>
      </c>
      <c r="AQ31" s="65">
        <f>IFERROR(GETPIVOTDATA("Sum of Qty",'[1]DATA LAST MONTH DEVICE'!$A$6,"ID Store",$C31,"Segment Price","3mio&gt;"),0)</f>
        <v>12</v>
      </c>
      <c r="AR31" s="67">
        <f t="shared" si="25"/>
        <v>3</v>
      </c>
      <c r="AS31" s="67">
        <f t="shared" si="26"/>
        <v>-9</v>
      </c>
      <c r="AT31" s="66">
        <f t="shared" si="27"/>
        <v>-0.75</v>
      </c>
      <c r="AU31" s="81">
        <f>IFERROR(GETPIVOTDATA("Sum of SRP",'[1]DATA LAST MONTH DEVICE'!$A$6,"ID Store",$C31),0)</f>
        <v>86480000</v>
      </c>
      <c r="AV31" s="81">
        <f t="shared" si="28"/>
        <v>26296000</v>
      </c>
      <c r="AW31" s="81">
        <f t="shared" si="29"/>
        <v>-60184000</v>
      </c>
      <c r="AX31" s="66">
        <f t="shared" si="30"/>
        <v>-0.69592969472710497</v>
      </c>
      <c r="AY31" s="81">
        <f>IFERROR(VLOOKUP(C31,'[1]DATA SALES LAST MONTH'!A:E,5,0),0)</f>
        <v>4324000</v>
      </c>
      <c r="AZ31" s="68">
        <f t="shared" si="31"/>
        <v>6574000</v>
      </c>
      <c r="BA31" s="68">
        <f t="shared" si="32"/>
        <v>2250000</v>
      </c>
      <c r="BB31" s="78">
        <f t="shared" si="33"/>
        <v>0.52035152636447801</v>
      </c>
      <c r="BC31" s="61">
        <f>IFERROR(VLOOKUP(C31,'[1]TARGET THIS MONTH'!C:U,15,0),0)</f>
        <v>3</v>
      </c>
      <c r="BD31" s="82">
        <f>IFERROR(GETPIVOTDATA("Sum of Qty",[1]ACC!$A$5,"ID Store",$C31),0)</f>
        <v>0</v>
      </c>
      <c r="BE31" s="66">
        <f t="shared" si="34"/>
        <v>0</v>
      </c>
      <c r="BF31" s="83">
        <f>IFERROR(VLOOKUP(C31,'[1]TARGET THIS MONTH'!C:U,16,0),0)</f>
        <v>200000</v>
      </c>
      <c r="BG31" s="83">
        <f>IFERROR(GETPIVOTDATA("Sum of SRP",'[1]Insurance by Store'!$A$5,"ID Store",$C31,"Product Type","Qoala"),0)</f>
        <v>0</v>
      </c>
      <c r="BH31" s="66">
        <f t="shared" si="35"/>
        <v>0</v>
      </c>
      <c r="BI31" s="83">
        <f>IFERROR(VLOOKUP(C31,'[1]TARGET THIS MONTH'!C:U,17,0),0)</f>
        <v>100000</v>
      </c>
      <c r="BJ31" s="83">
        <f>IFERROR(GETPIVOTDATA("Sum of SRP",'[1]Insurance by Store'!$A$5,"ID Store",$C31,"Product Type","Vivo Care"),0)</f>
        <v>0</v>
      </c>
      <c r="BK31" s="66">
        <f t="shared" si="36"/>
        <v>0</v>
      </c>
      <c r="BL31" s="64">
        <f>IFERROR(VLOOKUP(C31,'[1]TARGET THIS MONTH'!C:U,18,0),0)</f>
        <v>0.9</v>
      </c>
      <c r="BM31" s="65">
        <f>IFERROR(GETPIVOTDATA("Sum of Qty",'[1]Operator by Store'!$A$5,"ID Store",$C31,"Product Type","Indosat"),0)</f>
        <v>0</v>
      </c>
      <c r="BN31" s="66">
        <f t="shared" si="37"/>
        <v>0</v>
      </c>
      <c r="BO31" s="64">
        <f>VLOOKUP(C31,'[1]TARGET THIS MONTH'!C:U,19,0)</f>
        <v>9</v>
      </c>
      <c r="BP31" s="65">
        <f>IFERROR(GETPIVOTDATA("Sum of Qty",'[1]Operator by Store'!$A$5,"ID Store",$C31,"Product Type","Telkomsel"),0)</f>
        <v>0</v>
      </c>
      <c r="BQ31" s="84">
        <f t="shared" si="38"/>
        <v>0</v>
      </c>
    </row>
    <row r="32" spans="1:69" x14ac:dyDescent="0.2">
      <c r="A32" s="55">
        <v>28</v>
      </c>
      <c r="B32" s="56" t="s">
        <v>73</v>
      </c>
      <c r="C32" s="57">
        <v>6240705</v>
      </c>
      <c r="D32" s="58" t="s">
        <v>84</v>
      </c>
      <c r="E32" s="85" t="s">
        <v>79</v>
      </c>
      <c r="F32" s="60">
        <v>2</v>
      </c>
      <c r="G32" s="61">
        <f>IFERROR(VLOOKUP(C32,'[1]TARGET THIS MONTH'!C:E,3,0),0)</f>
        <v>40</v>
      </c>
      <c r="H32" s="62">
        <f>IFERROR(VLOOKUP(C32,'[1]TARGET THIS MONTH'!C:M,11,0),0)</f>
        <v>172000000</v>
      </c>
      <c r="I32" s="61">
        <f>IFERROR(GETPIVOTDATA("Sum of Qty",'[1]DEVICE &amp; VALUE'!$A$6,"ID Store",$C32),0)</f>
        <v>10</v>
      </c>
      <c r="J32" s="63">
        <f t="shared" si="0"/>
        <v>0.25</v>
      </c>
      <c r="K32" s="64">
        <f t="shared" si="1"/>
        <v>-30</v>
      </c>
      <c r="L32" s="65">
        <f>IFERROR(GETPIVOTDATA("Sum of Qty",[1]PF!$A$5,"ID Store",$C32),0)</f>
        <v>2</v>
      </c>
      <c r="M32" s="65">
        <f>IFERROR(GETPIVOTDATA("Sum of Qty",'[1]DEVICE &amp; VALUE'!$A$6,"ID Store",$C32,"Segment Price","3mio&gt;"),0)</f>
        <v>7</v>
      </c>
      <c r="N32" s="66">
        <f t="shared" si="2"/>
        <v>0.7</v>
      </c>
      <c r="O32" s="67">
        <f>IFERROR(GETPIVOTDATA("Sum of Qty",[1]IQOO!$A$6,"ID Store",$C32),0)</f>
        <v>2</v>
      </c>
      <c r="P32" s="66">
        <f t="shared" si="3"/>
        <v>0.2</v>
      </c>
      <c r="Q32" s="66">
        <f t="shared" si="4"/>
        <v>0.7</v>
      </c>
      <c r="R32" s="68">
        <f>IFERROR(GETPIVOTDATA("Sum of SRP",'[1]DEVICE &amp; VALUE'!$A$6,"ID Store",$C32),0)</f>
        <v>55990000</v>
      </c>
      <c r="S32" s="66">
        <f t="shared" si="5"/>
        <v>0.32552325581395303</v>
      </c>
      <c r="T32" s="69">
        <f t="shared" si="6"/>
        <v>-116010000</v>
      </c>
      <c r="U32" s="70">
        <f t="shared" si="7"/>
        <v>50</v>
      </c>
      <c r="V32" s="71">
        <f t="shared" si="8"/>
        <v>1.25</v>
      </c>
      <c r="W32" s="72">
        <f t="shared" si="9"/>
        <v>10</v>
      </c>
      <c r="X32" s="72">
        <f t="shared" si="10"/>
        <v>35</v>
      </c>
      <c r="Y32" s="72">
        <f t="shared" si="11"/>
        <v>-5</v>
      </c>
      <c r="Z32" s="73">
        <f t="shared" si="12"/>
        <v>279950000</v>
      </c>
      <c r="AA32" s="73">
        <f t="shared" si="13"/>
        <v>107950000</v>
      </c>
      <c r="AB32" s="74">
        <f t="shared" si="14"/>
        <v>1.6276162790697699</v>
      </c>
      <c r="AC32" s="75">
        <f t="shared" si="15"/>
        <v>1.25</v>
      </c>
      <c r="AD32" s="76">
        <f t="shared" si="16"/>
        <v>4833750</v>
      </c>
      <c r="AE32" s="61">
        <f>IFERROR(GETPIVOTDATA("Sum of Qty",'[1]DATA LAST MONTH IQOO'!$A$6,"ID Store",$C32),0)</f>
        <v>7</v>
      </c>
      <c r="AF32" s="77">
        <f>IFERROR(GETPIVOTDATA("Sum of Qty",[1]IQOO!$A$6,"ID Store",$C32),0)</f>
        <v>2</v>
      </c>
      <c r="AG32" s="64">
        <f t="shared" si="17"/>
        <v>-5</v>
      </c>
      <c r="AH32" s="78">
        <f t="shared" si="18"/>
        <v>-0.71428571428571397</v>
      </c>
      <c r="AI32" s="79">
        <f>IFERROR(GETPIVOTDATA("Sum of Qty",'[1]DATA LAST MONTH DEVICE'!$A$6,"ID Store",$C32),0)</f>
        <v>31</v>
      </c>
      <c r="AJ32" s="80">
        <f t="shared" si="19"/>
        <v>10</v>
      </c>
      <c r="AK32" s="64">
        <f t="shared" si="20"/>
        <v>-21</v>
      </c>
      <c r="AL32" s="66">
        <f t="shared" si="21"/>
        <v>-0.67741935483870996</v>
      </c>
      <c r="AM32" s="65">
        <f>IFERROR(GETPIVOTDATA("Sum of Qty",'[1]Store 3mio+ last month'!$A$6,"ID Store",$C32),0)</f>
        <v>31</v>
      </c>
      <c r="AN32" s="64">
        <f t="shared" si="22"/>
        <v>50</v>
      </c>
      <c r="AO32" s="64">
        <f t="shared" si="23"/>
        <v>19</v>
      </c>
      <c r="AP32" s="66">
        <f t="shared" si="24"/>
        <v>0.61290322580645196</v>
      </c>
      <c r="AQ32" s="65">
        <f>IFERROR(GETPIVOTDATA("Sum of Qty",'[1]DATA LAST MONTH DEVICE'!$A$6,"ID Store",$C32,"Segment Price","3mio&gt;"),0)</f>
        <v>14</v>
      </c>
      <c r="AR32" s="67">
        <f t="shared" si="25"/>
        <v>7</v>
      </c>
      <c r="AS32" s="67">
        <f t="shared" si="26"/>
        <v>-7</v>
      </c>
      <c r="AT32" s="66">
        <f t="shared" si="27"/>
        <v>-0.5</v>
      </c>
      <c r="AU32" s="81">
        <f>IFERROR(GETPIVOTDATA("Sum of SRP",'[1]DATA LAST MONTH DEVICE'!$A$6,"ID Store",$C32),0)</f>
        <v>151169000</v>
      </c>
      <c r="AV32" s="81">
        <f t="shared" si="28"/>
        <v>55990000</v>
      </c>
      <c r="AW32" s="81">
        <f t="shared" si="29"/>
        <v>-95179000</v>
      </c>
      <c r="AX32" s="66">
        <f t="shared" si="30"/>
        <v>-0.62961982946239003</v>
      </c>
      <c r="AY32" s="81">
        <f>IFERROR(VLOOKUP(C32,'[1]DATA SALES LAST MONTH'!A:E,5,0),0)</f>
        <v>4876419.3548387103</v>
      </c>
      <c r="AZ32" s="68">
        <f t="shared" si="31"/>
        <v>5599000</v>
      </c>
      <c r="BA32" s="68">
        <f t="shared" si="32"/>
        <v>722580.645161291</v>
      </c>
      <c r="BB32" s="78">
        <f t="shared" si="33"/>
        <v>0.14817852866659201</v>
      </c>
      <c r="BC32" s="61">
        <f>IFERROR(VLOOKUP(C32,'[1]TARGET THIS MONTH'!C:U,15,0),0)</f>
        <v>4</v>
      </c>
      <c r="BD32" s="82">
        <f>IFERROR(GETPIVOTDATA("Sum of Qty",[1]ACC!$A$5,"ID Store",$C32),0)</f>
        <v>0</v>
      </c>
      <c r="BE32" s="66">
        <f t="shared" si="34"/>
        <v>0</v>
      </c>
      <c r="BF32" s="83">
        <f>IFERROR(VLOOKUP(C32,'[1]TARGET THIS MONTH'!C:U,16,0),0)</f>
        <v>100000</v>
      </c>
      <c r="BG32" s="83">
        <f>IFERROR(GETPIVOTDATA("Sum of SRP",'[1]Insurance by Store'!$A$5,"ID Store",$C32,"Product Type","Qoala"),0)</f>
        <v>0</v>
      </c>
      <c r="BH32" s="66">
        <f t="shared" si="35"/>
        <v>0</v>
      </c>
      <c r="BI32" s="83">
        <f>IFERROR(VLOOKUP(C32,'[1]TARGET THIS MONTH'!C:U,17,0),0)</f>
        <v>50000</v>
      </c>
      <c r="BJ32" s="83">
        <f>IFERROR(GETPIVOTDATA("Sum of SRP",'[1]Insurance by Store'!$A$5,"ID Store",$C32,"Product Type","Vivo Care"),0)</f>
        <v>0</v>
      </c>
      <c r="BK32" s="66">
        <f t="shared" si="36"/>
        <v>0</v>
      </c>
      <c r="BL32" s="64">
        <f>IFERROR(VLOOKUP(C32,'[1]TARGET THIS MONTH'!C:U,18,0),0)</f>
        <v>1.2</v>
      </c>
      <c r="BM32" s="65">
        <f>IFERROR(GETPIVOTDATA("Sum of Qty",'[1]Operator by Store'!$A$5,"ID Store",$C32,"Product Type","Indosat"),0)</f>
        <v>0</v>
      </c>
      <c r="BN32" s="66">
        <f t="shared" si="37"/>
        <v>0</v>
      </c>
      <c r="BO32" s="64">
        <f>VLOOKUP(C32,'[1]TARGET THIS MONTH'!C:U,19,0)</f>
        <v>12</v>
      </c>
      <c r="BP32" s="65">
        <f>IFERROR(GETPIVOTDATA("Sum of Qty",'[1]Operator by Store'!$A$5,"ID Store",$C32,"Product Type","Telkomsel"),0)</f>
        <v>0</v>
      </c>
      <c r="BQ32" s="84">
        <f t="shared" si="38"/>
        <v>0</v>
      </c>
    </row>
    <row r="33" spans="1:69" x14ac:dyDescent="0.2">
      <c r="A33" s="55">
        <v>29</v>
      </c>
      <c r="B33" s="56" t="s">
        <v>73</v>
      </c>
      <c r="C33" s="57">
        <v>6240709</v>
      </c>
      <c r="D33" s="58" t="s">
        <v>85</v>
      </c>
      <c r="E33" s="86" t="s">
        <v>75</v>
      </c>
      <c r="F33" s="60">
        <v>2</v>
      </c>
      <c r="G33" s="61">
        <f>IFERROR(VLOOKUP(C33,'[1]TARGET THIS MONTH'!C:E,3,0),0)</f>
        <v>30</v>
      </c>
      <c r="H33" s="62">
        <f>IFERROR(VLOOKUP(C33,'[1]TARGET THIS MONTH'!C:M,11,0),0)</f>
        <v>150000000</v>
      </c>
      <c r="I33" s="61">
        <f>IFERROR(GETPIVOTDATA("Sum of Qty",'[1]DEVICE &amp; VALUE'!$A$6,"ID Store",$C33),0)</f>
        <v>6</v>
      </c>
      <c r="J33" s="63">
        <f t="shared" si="0"/>
        <v>0.2</v>
      </c>
      <c r="K33" s="64">
        <f t="shared" si="1"/>
        <v>-24</v>
      </c>
      <c r="L33" s="65">
        <f>IFERROR(GETPIVOTDATA("Sum of Qty",[1]PF!$A$5,"ID Store",$C33),0)</f>
        <v>3</v>
      </c>
      <c r="M33" s="65">
        <f>IFERROR(GETPIVOTDATA("Sum of Qty",'[1]DEVICE &amp; VALUE'!$A$6,"ID Store",$C33,"Segment Price","3mio&gt;"),0)</f>
        <v>4</v>
      </c>
      <c r="N33" s="66">
        <f t="shared" si="2"/>
        <v>0.66666666666666696</v>
      </c>
      <c r="O33" s="67">
        <f>IFERROR(GETPIVOTDATA("Sum of Qty",[1]IQOO!$A$6,"ID Store",$C33),0)</f>
        <v>0</v>
      </c>
      <c r="P33" s="66">
        <f t="shared" si="3"/>
        <v>0</v>
      </c>
      <c r="Q33" s="66">
        <f t="shared" si="4"/>
        <v>0.66666666666666696</v>
      </c>
      <c r="R33" s="68">
        <f>IFERROR(GETPIVOTDATA("Sum of SRP",'[1]DEVICE &amp; VALUE'!$A$6,"ID Store",$C33),0)</f>
        <v>24894000</v>
      </c>
      <c r="S33" s="66">
        <f t="shared" si="5"/>
        <v>0.16596</v>
      </c>
      <c r="T33" s="69">
        <f t="shared" si="6"/>
        <v>-125106000</v>
      </c>
      <c r="U33" s="70">
        <f t="shared" si="7"/>
        <v>30</v>
      </c>
      <c r="V33" s="71">
        <f t="shared" si="8"/>
        <v>1</v>
      </c>
      <c r="W33" s="72">
        <f t="shared" si="9"/>
        <v>0</v>
      </c>
      <c r="X33" s="72">
        <f t="shared" si="10"/>
        <v>20</v>
      </c>
      <c r="Y33" s="72">
        <f t="shared" si="11"/>
        <v>-10</v>
      </c>
      <c r="Z33" s="73">
        <f t="shared" si="12"/>
        <v>124470000</v>
      </c>
      <c r="AA33" s="73">
        <f t="shared" si="13"/>
        <v>-25530000</v>
      </c>
      <c r="AB33" s="74">
        <f t="shared" si="14"/>
        <v>0.82979999999999998</v>
      </c>
      <c r="AC33" s="75">
        <f t="shared" si="15"/>
        <v>1</v>
      </c>
      <c r="AD33" s="76">
        <f t="shared" si="16"/>
        <v>5212750</v>
      </c>
      <c r="AE33" s="61">
        <f>IFERROR(GETPIVOTDATA("Sum of Qty",'[1]DATA LAST MONTH IQOO'!$A$6,"ID Store",$C33),0)</f>
        <v>3</v>
      </c>
      <c r="AF33" s="77">
        <f>IFERROR(GETPIVOTDATA("Sum of Qty",[1]IQOO!$A$6,"ID Store",$C33),0)</f>
        <v>0</v>
      </c>
      <c r="AG33" s="64">
        <f t="shared" si="17"/>
        <v>-3</v>
      </c>
      <c r="AH33" s="78">
        <f t="shared" si="18"/>
        <v>-1</v>
      </c>
      <c r="AI33" s="79">
        <f>IFERROR(GETPIVOTDATA("Sum of Qty",'[1]DATA LAST MONTH DEVICE'!$A$6,"ID Store",$C33),0)</f>
        <v>20</v>
      </c>
      <c r="AJ33" s="80">
        <f t="shared" si="19"/>
        <v>6</v>
      </c>
      <c r="AK33" s="64">
        <f t="shared" si="20"/>
        <v>-14</v>
      </c>
      <c r="AL33" s="66">
        <f t="shared" si="21"/>
        <v>-0.7</v>
      </c>
      <c r="AM33" s="65">
        <f>IFERROR(GETPIVOTDATA("Sum of Qty",'[1]Store 3mio+ last month'!$A$6,"ID Store",$C33),0)</f>
        <v>20</v>
      </c>
      <c r="AN33" s="64">
        <f t="shared" si="22"/>
        <v>30</v>
      </c>
      <c r="AO33" s="64">
        <f t="shared" si="23"/>
        <v>10</v>
      </c>
      <c r="AP33" s="66">
        <f t="shared" si="24"/>
        <v>0.5</v>
      </c>
      <c r="AQ33" s="65">
        <f>IFERROR(GETPIVOTDATA("Sum of Qty",'[1]DATA LAST MONTH DEVICE'!$A$6,"ID Store",$C33,"Segment Price","3mio&gt;"),0)</f>
        <v>11</v>
      </c>
      <c r="AR33" s="67">
        <f t="shared" si="25"/>
        <v>4</v>
      </c>
      <c r="AS33" s="67">
        <f t="shared" si="26"/>
        <v>-7</v>
      </c>
      <c r="AT33" s="66">
        <f t="shared" si="27"/>
        <v>-0.63636363636363602</v>
      </c>
      <c r="AU33" s="81">
        <f>IFERROR(GETPIVOTDATA("Sum of SRP",'[1]DATA LAST MONTH DEVICE'!$A$6,"ID Store",$C33),0)</f>
        <v>96280000</v>
      </c>
      <c r="AV33" s="81">
        <f t="shared" si="28"/>
        <v>24894000</v>
      </c>
      <c r="AW33" s="81">
        <f t="shared" si="29"/>
        <v>-71386000</v>
      </c>
      <c r="AX33" s="66">
        <f t="shared" si="30"/>
        <v>-0.74144162858329898</v>
      </c>
      <c r="AY33" s="81">
        <f>IFERROR(VLOOKUP(C33,'[1]DATA SALES LAST MONTH'!A:E,5,0),0)</f>
        <v>4814000</v>
      </c>
      <c r="AZ33" s="68">
        <f t="shared" si="31"/>
        <v>4149000</v>
      </c>
      <c r="BA33" s="68">
        <f t="shared" si="32"/>
        <v>-665000</v>
      </c>
      <c r="BB33" s="78">
        <f t="shared" si="33"/>
        <v>-0.138138761944329</v>
      </c>
      <c r="BC33" s="61">
        <f>IFERROR(VLOOKUP(C33,'[1]TARGET THIS MONTH'!C:U,15,0),0)</f>
        <v>3</v>
      </c>
      <c r="BD33" s="82">
        <f>IFERROR(GETPIVOTDATA("Sum of Qty",[1]ACC!$A$5,"ID Store",$C33),0)</f>
        <v>0</v>
      </c>
      <c r="BE33" s="66">
        <f t="shared" si="34"/>
        <v>0</v>
      </c>
      <c r="BF33" s="83">
        <f>IFERROR(VLOOKUP(C33,'[1]TARGET THIS MONTH'!C:U,16,0),0)</f>
        <v>750000</v>
      </c>
      <c r="BG33" s="83">
        <f>IFERROR(GETPIVOTDATA("Sum of SRP",'[1]Insurance by Store'!$A$5,"ID Store",$C33,"Product Type","Qoala"),0)</f>
        <v>0</v>
      </c>
      <c r="BH33" s="66">
        <f t="shared" si="35"/>
        <v>0</v>
      </c>
      <c r="BI33" s="83">
        <f>IFERROR(VLOOKUP(C33,'[1]TARGET THIS MONTH'!C:U,17,0),0)</f>
        <v>150000</v>
      </c>
      <c r="BJ33" s="83">
        <f>IFERROR(GETPIVOTDATA("Sum of SRP",'[1]Insurance by Store'!$A$5,"ID Store",$C33,"Product Type","Vivo Care"),0)</f>
        <v>0</v>
      </c>
      <c r="BK33" s="66">
        <f t="shared" si="36"/>
        <v>0</v>
      </c>
      <c r="BL33" s="64">
        <f>IFERROR(VLOOKUP(C33,'[1]TARGET THIS MONTH'!C:U,18,0),0)</f>
        <v>0.9</v>
      </c>
      <c r="BM33" s="65">
        <f>IFERROR(GETPIVOTDATA("Sum of Qty",'[1]Operator by Store'!$A$5,"ID Store",$C33,"Product Type","Indosat"),0)</f>
        <v>0</v>
      </c>
      <c r="BN33" s="66">
        <f t="shared" si="37"/>
        <v>0</v>
      </c>
      <c r="BO33" s="64">
        <f>VLOOKUP(C33,'[1]TARGET THIS MONTH'!C:U,19,0)</f>
        <v>9</v>
      </c>
      <c r="BP33" s="65">
        <f>IFERROR(GETPIVOTDATA("Sum of Qty",'[1]Operator by Store'!$A$5,"ID Store",$C33,"Product Type","Telkomsel"),0)</f>
        <v>0</v>
      </c>
      <c r="BQ33" s="84">
        <f t="shared" si="38"/>
        <v>0</v>
      </c>
    </row>
    <row r="34" spans="1:69" x14ac:dyDescent="0.2">
      <c r="A34" s="55">
        <v>30</v>
      </c>
      <c r="B34" s="56" t="s">
        <v>73</v>
      </c>
      <c r="C34" s="57">
        <v>6240708</v>
      </c>
      <c r="D34" s="58" t="s">
        <v>86</v>
      </c>
      <c r="E34" s="86" t="s">
        <v>75</v>
      </c>
      <c r="F34" s="60">
        <v>2</v>
      </c>
      <c r="G34" s="61">
        <f>IFERROR(VLOOKUP(C34,'[1]TARGET THIS MONTH'!C:E,3,0),0)</f>
        <v>30</v>
      </c>
      <c r="H34" s="62">
        <f>IFERROR(VLOOKUP(C34,'[1]TARGET THIS MONTH'!C:M,11,0),0)</f>
        <v>150000000</v>
      </c>
      <c r="I34" s="61">
        <f>IFERROR(GETPIVOTDATA("Sum of Qty",'[1]DEVICE &amp; VALUE'!$A$6,"ID Store",$C34),0)</f>
        <v>6</v>
      </c>
      <c r="J34" s="63">
        <f t="shared" si="0"/>
        <v>0.2</v>
      </c>
      <c r="K34" s="64">
        <f t="shared" si="1"/>
        <v>-24</v>
      </c>
      <c r="L34" s="65">
        <f>IFERROR(GETPIVOTDATA("Sum of Qty",[1]PF!$A$5,"ID Store",$C34),0)</f>
        <v>1</v>
      </c>
      <c r="M34" s="65">
        <f>IFERROR(GETPIVOTDATA("Sum of Qty",'[1]DEVICE &amp; VALUE'!$A$6,"ID Store",$C34,"Segment Price","3mio&gt;"),0)</f>
        <v>3</v>
      </c>
      <c r="N34" s="66">
        <f t="shared" si="2"/>
        <v>0.5</v>
      </c>
      <c r="O34" s="67">
        <f>IFERROR(GETPIVOTDATA("Sum of Qty",[1]IQOO!$A$6,"ID Store",$C34),0)</f>
        <v>0</v>
      </c>
      <c r="P34" s="66">
        <f t="shared" si="3"/>
        <v>0</v>
      </c>
      <c r="Q34" s="66">
        <f t="shared" si="4"/>
        <v>0.5</v>
      </c>
      <c r="R34" s="68">
        <f>IFERROR(GETPIVOTDATA("Sum of SRP",'[1]DEVICE &amp; VALUE'!$A$6,"ID Store",$C34),0)</f>
        <v>23194000</v>
      </c>
      <c r="S34" s="66">
        <f t="shared" si="5"/>
        <v>0.154626666666667</v>
      </c>
      <c r="T34" s="69">
        <f t="shared" si="6"/>
        <v>-126806000</v>
      </c>
      <c r="U34" s="70">
        <f t="shared" si="7"/>
        <v>30</v>
      </c>
      <c r="V34" s="71">
        <f t="shared" si="8"/>
        <v>1</v>
      </c>
      <c r="W34" s="72">
        <f t="shared" si="9"/>
        <v>0</v>
      </c>
      <c r="X34" s="72">
        <f t="shared" si="10"/>
        <v>15</v>
      </c>
      <c r="Y34" s="72">
        <f t="shared" si="11"/>
        <v>-15</v>
      </c>
      <c r="Z34" s="73">
        <f t="shared" si="12"/>
        <v>115970000</v>
      </c>
      <c r="AA34" s="73">
        <f t="shared" si="13"/>
        <v>-34030000</v>
      </c>
      <c r="AB34" s="74">
        <f t="shared" si="14"/>
        <v>0.77313333333333301</v>
      </c>
      <c r="AC34" s="75">
        <f t="shared" si="15"/>
        <v>1</v>
      </c>
      <c r="AD34" s="76">
        <f t="shared" si="16"/>
        <v>5283583.3333333302</v>
      </c>
      <c r="AE34" s="61">
        <f>IFERROR(GETPIVOTDATA("Sum of Qty",'[1]DATA LAST MONTH IQOO'!$A$6,"ID Store",$C34),0)</f>
        <v>6</v>
      </c>
      <c r="AF34" s="77">
        <f>IFERROR(GETPIVOTDATA("Sum of Qty",[1]IQOO!$A$6,"ID Store",$C34),0)</f>
        <v>0</v>
      </c>
      <c r="AG34" s="64">
        <f t="shared" si="17"/>
        <v>-6</v>
      </c>
      <c r="AH34" s="78">
        <f t="shared" si="18"/>
        <v>-1</v>
      </c>
      <c r="AI34" s="79">
        <f>IFERROR(GETPIVOTDATA("Sum of Qty",'[1]DATA LAST MONTH DEVICE'!$A$6,"ID Store",$C34),0)</f>
        <v>26</v>
      </c>
      <c r="AJ34" s="80">
        <f t="shared" si="19"/>
        <v>6</v>
      </c>
      <c r="AK34" s="64">
        <f t="shared" si="20"/>
        <v>-20</v>
      </c>
      <c r="AL34" s="66">
        <f t="shared" si="21"/>
        <v>-0.76923076923076905</v>
      </c>
      <c r="AM34" s="65">
        <f>IFERROR(GETPIVOTDATA("Sum of Qty",'[1]Store 3mio+ last month'!$A$6,"ID Store",$C34),0)</f>
        <v>26</v>
      </c>
      <c r="AN34" s="64">
        <f t="shared" si="22"/>
        <v>30</v>
      </c>
      <c r="AO34" s="64">
        <f t="shared" si="23"/>
        <v>4</v>
      </c>
      <c r="AP34" s="66">
        <f t="shared" si="24"/>
        <v>0.15384615384615399</v>
      </c>
      <c r="AQ34" s="65">
        <f>IFERROR(GETPIVOTDATA("Sum of Qty",'[1]DATA LAST MONTH DEVICE'!$A$6,"ID Store",$C34,"Segment Price","3mio&gt;"),0)</f>
        <v>13</v>
      </c>
      <c r="AR34" s="67">
        <f t="shared" si="25"/>
        <v>3</v>
      </c>
      <c r="AS34" s="67">
        <f t="shared" si="26"/>
        <v>-10</v>
      </c>
      <c r="AT34" s="66">
        <f t="shared" si="27"/>
        <v>-0.76923076923076905</v>
      </c>
      <c r="AU34" s="81">
        <f>IFERROR(GETPIVOTDATA("Sum of SRP",'[1]DATA LAST MONTH DEVICE'!$A$6,"ID Store",$C34),0)</f>
        <v>139374000</v>
      </c>
      <c r="AV34" s="81">
        <f t="shared" si="28"/>
        <v>23194000</v>
      </c>
      <c r="AW34" s="81">
        <f t="shared" si="29"/>
        <v>-116180000</v>
      </c>
      <c r="AX34" s="66">
        <f t="shared" si="30"/>
        <v>-0.83358445621134503</v>
      </c>
      <c r="AY34" s="81">
        <f>IFERROR(VLOOKUP(C34,'[1]DATA SALES LAST MONTH'!A:E,5,0),0)</f>
        <v>5360538.4615384601</v>
      </c>
      <c r="AZ34" s="68">
        <f t="shared" si="31"/>
        <v>3865666.6666666698</v>
      </c>
      <c r="BA34" s="68">
        <f t="shared" si="32"/>
        <v>-1494871.7948718001</v>
      </c>
      <c r="BB34" s="78">
        <f t="shared" si="33"/>
        <v>-0.27886597691582798</v>
      </c>
      <c r="BC34" s="61">
        <f>IFERROR(VLOOKUP(C34,'[1]TARGET THIS MONTH'!C:U,15,0),0)</f>
        <v>3</v>
      </c>
      <c r="BD34" s="82">
        <f>IFERROR(GETPIVOTDATA("Sum of Qty",[1]ACC!$A$5,"ID Store",$C34),0)</f>
        <v>1</v>
      </c>
      <c r="BE34" s="66">
        <f t="shared" si="34"/>
        <v>0.33333333333333298</v>
      </c>
      <c r="BF34" s="83">
        <f>IFERROR(VLOOKUP(C34,'[1]TARGET THIS MONTH'!C:U,16,0),0)</f>
        <v>750000</v>
      </c>
      <c r="BG34" s="83">
        <f>IFERROR(GETPIVOTDATA("Sum of SRP",'[1]Insurance by Store'!$A$5,"ID Store",$C34,"Product Type","Qoala"),0)</f>
        <v>249000</v>
      </c>
      <c r="BH34" s="66">
        <f t="shared" si="35"/>
        <v>0.33200000000000002</v>
      </c>
      <c r="BI34" s="83">
        <f>IFERROR(VLOOKUP(C34,'[1]TARGET THIS MONTH'!C:U,17,0),0)</f>
        <v>150000</v>
      </c>
      <c r="BJ34" s="83">
        <f>IFERROR(GETPIVOTDATA("Sum of SRP",'[1]Insurance by Store'!$A$5,"ID Store",$C34,"Product Type","Vivo Care"),0)</f>
        <v>0</v>
      </c>
      <c r="BK34" s="66">
        <f t="shared" si="36"/>
        <v>0</v>
      </c>
      <c r="BL34" s="64">
        <f>IFERROR(VLOOKUP(C34,'[1]TARGET THIS MONTH'!C:U,18,0),0)</f>
        <v>0.9</v>
      </c>
      <c r="BM34" s="65">
        <f>IFERROR(GETPIVOTDATA("Sum of Qty",'[1]Operator by Store'!$A$5,"ID Store",$C34,"Product Type","Indosat"),0)</f>
        <v>0</v>
      </c>
      <c r="BN34" s="66">
        <f t="shared" si="37"/>
        <v>0</v>
      </c>
      <c r="BO34" s="64">
        <f>VLOOKUP(C34,'[1]TARGET THIS MONTH'!C:U,19,0)</f>
        <v>9</v>
      </c>
      <c r="BP34" s="65">
        <f>IFERROR(GETPIVOTDATA("Sum of Qty",'[1]Operator by Store'!$A$5,"ID Store",$C34,"Product Type","Telkomsel"),0)</f>
        <v>0</v>
      </c>
      <c r="BQ34" s="84">
        <f t="shared" si="38"/>
        <v>0</v>
      </c>
    </row>
    <row r="35" spans="1:69" x14ac:dyDescent="0.2">
      <c r="A35" s="55">
        <v>31</v>
      </c>
      <c r="B35" s="56" t="s">
        <v>73</v>
      </c>
      <c r="C35" s="57">
        <v>6240707</v>
      </c>
      <c r="D35" s="58" t="s">
        <v>87</v>
      </c>
      <c r="E35" s="85" t="s">
        <v>88</v>
      </c>
      <c r="F35" s="60">
        <v>2</v>
      </c>
      <c r="G35" s="61">
        <f>IFERROR(VLOOKUP(C35,'[1]TARGET THIS MONTH'!C:E,3,0),0)</f>
        <v>30</v>
      </c>
      <c r="H35" s="62">
        <f>IFERROR(VLOOKUP(C35,'[1]TARGET THIS MONTH'!C:M,11,0),0)</f>
        <v>165000000</v>
      </c>
      <c r="I35" s="61">
        <f>IFERROR(GETPIVOTDATA("Sum of Qty",'[1]DEVICE &amp; VALUE'!$A$6,"ID Store",$C35),0)</f>
        <v>4</v>
      </c>
      <c r="J35" s="63">
        <f t="shared" si="0"/>
        <v>0.133333333333333</v>
      </c>
      <c r="K35" s="64">
        <f t="shared" si="1"/>
        <v>-26</v>
      </c>
      <c r="L35" s="65">
        <f>IFERROR(GETPIVOTDATA("Sum of Qty",[1]PF!$A$5,"ID Store",$C35),0)</f>
        <v>1</v>
      </c>
      <c r="M35" s="65">
        <f>IFERROR(GETPIVOTDATA("Sum of Qty",'[1]DEVICE &amp; VALUE'!$A$6,"ID Store",$C35,"Segment Price","3mio&gt;"),0)</f>
        <v>1</v>
      </c>
      <c r="N35" s="66">
        <f t="shared" si="2"/>
        <v>0.25</v>
      </c>
      <c r="O35" s="67">
        <f>IFERROR(GETPIVOTDATA("Sum of Qty",[1]IQOO!$A$6,"ID Store",$C35),0)</f>
        <v>0</v>
      </c>
      <c r="P35" s="66">
        <f t="shared" si="3"/>
        <v>0</v>
      </c>
      <c r="Q35" s="66">
        <f t="shared" si="4"/>
        <v>0.25</v>
      </c>
      <c r="R35" s="68">
        <f>IFERROR(GETPIVOTDATA("Sum of SRP",'[1]DEVICE &amp; VALUE'!$A$6,"ID Store",$C35),0)</f>
        <v>11996000</v>
      </c>
      <c r="S35" s="66">
        <f t="shared" si="5"/>
        <v>7.2703030303030297E-2</v>
      </c>
      <c r="T35" s="69">
        <f t="shared" si="6"/>
        <v>-153004000</v>
      </c>
      <c r="U35" s="70">
        <f t="shared" si="7"/>
        <v>20</v>
      </c>
      <c r="V35" s="71">
        <f t="shared" si="8"/>
        <v>0.66666666666666696</v>
      </c>
      <c r="W35" s="72">
        <f t="shared" si="9"/>
        <v>-10</v>
      </c>
      <c r="X35" s="72">
        <f t="shared" si="10"/>
        <v>5</v>
      </c>
      <c r="Y35" s="72">
        <f t="shared" si="11"/>
        <v>-25</v>
      </c>
      <c r="Z35" s="73">
        <f t="shared" si="12"/>
        <v>59980000</v>
      </c>
      <c r="AA35" s="73">
        <f t="shared" si="13"/>
        <v>-105020000</v>
      </c>
      <c r="AB35" s="74">
        <f t="shared" si="14"/>
        <v>0.36351515151515201</v>
      </c>
      <c r="AC35" s="75">
        <f t="shared" si="15"/>
        <v>1.0833333333333299</v>
      </c>
      <c r="AD35" s="76">
        <f t="shared" si="16"/>
        <v>6375166.6666666698</v>
      </c>
      <c r="AE35" s="61">
        <f>IFERROR(GETPIVOTDATA("Sum of Qty",'[1]DATA LAST MONTH IQOO'!$A$6,"ID Store",$C35),0)</f>
        <v>7</v>
      </c>
      <c r="AF35" s="77">
        <f>IFERROR(GETPIVOTDATA("Sum of Qty",[1]IQOO!$A$6,"ID Store",$C35),0)</f>
        <v>0</v>
      </c>
      <c r="AG35" s="64">
        <f t="shared" si="17"/>
        <v>-7</v>
      </c>
      <c r="AH35" s="78">
        <f t="shared" si="18"/>
        <v>-1</v>
      </c>
      <c r="AI35" s="79">
        <f>IFERROR(GETPIVOTDATA("Sum of Qty",'[1]DATA LAST MONTH DEVICE'!$A$6,"ID Store",$C35),0)</f>
        <v>30</v>
      </c>
      <c r="AJ35" s="80">
        <f t="shared" si="19"/>
        <v>4</v>
      </c>
      <c r="AK35" s="64">
        <f t="shared" si="20"/>
        <v>-26</v>
      </c>
      <c r="AL35" s="66">
        <f t="shared" si="21"/>
        <v>-0.86666666666666703</v>
      </c>
      <c r="AM35" s="65">
        <f>IFERROR(GETPIVOTDATA("Sum of Qty",'[1]Store 3mio+ last month'!$A$6,"ID Store",$C35),0)</f>
        <v>30</v>
      </c>
      <c r="AN35" s="64">
        <f t="shared" si="22"/>
        <v>20</v>
      </c>
      <c r="AO35" s="64">
        <f t="shared" si="23"/>
        <v>-10</v>
      </c>
      <c r="AP35" s="66">
        <f t="shared" si="24"/>
        <v>-0.33333333333333298</v>
      </c>
      <c r="AQ35" s="65">
        <f>IFERROR(GETPIVOTDATA("Sum of Qty",'[1]DATA LAST MONTH DEVICE'!$A$6,"ID Store",$C35,"Segment Price","3mio&gt;"),0)</f>
        <v>21</v>
      </c>
      <c r="AR35" s="67">
        <f t="shared" si="25"/>
        <v>1</v>
      </c>
      <c r="AS35" s="67">
        <f t="shared" si="26"/>
        <v>-20</v>
      </c>
      <c r="AT35" s="66">
        <f t="shared" si="27"/>
        <v>-0.952380952380952</v>
      </c>
      <c r="AU35" s="81">
        <f>IFERROR(GETPIVOTDATA("Sum of SRP",'[1]DATA LAST MONTH DEVICE'!$A$6,"ID Store",$C35),0)</f>
        <v>212570000</v>
      </c>
      <c r="AV35" s="81">
        <f t="shared" si="28"/>
        <v>11996000</v>
      </c>
      <c r="AW35" s="81">
        <f t="shared" si="29"/>
        <v>-200574000</v>
      </c>
      <c r="AX35" s="66">
        <f t="shared" si="30"/>
        <v>-0.94356682504586697</v>
      </c>
      <c r="AY35" s="81">
        <f>IFERROR(VLOOKUP(C35,'[1]DATA SALES LAST MONTH'!A:E,5,0),0)</f>
        <v>7085666.6666666698</v>
      </c>
      <c r="AZ35" s="68">
        <f t="shared" si="31"/>
        <v>2999000</v>
      </c>
      <c r="BA35" s="68">
        <f t="shared" si="32"/>
        <v>-4086666.6666666698</v>
      </c>
      <c r="BB35" s="78">
        <f t="shared" si="33"/>
        <v>-0.57675118784400403</v>
      </c>
      <c r="BC35" s="61">
        <f>IFERROR(VLOOKUP(C35,'[1]TARGET THIS MONTH'!C:U,15,0),0)</f>
        <v>3</v>
      </c>
      <c r="BD35" s="82">
        <f>IFERROR(GETPIVOTDATA("Sum of Qty",[1]ACC!$A$5,"ID Store",$C35),0)</f>
        <v>1</v>
      </c>
      <c r="BE35" s="66">
        <f t="shared" si="34"/>
        <v>0.33333333333333298</v>
      </c>
      <c r="BF35" s="83">
        <f>IFERROR(VLOOKUP(C35,'[1]TARGET THIS MONTH'!C:U,16,0),0)</f>
        <v>825000</v>
      </c>
      <c r="BG35" s="83">
        <f>IFERROR(GETPIVOTDATA("Sum of SRP",'[1]Insurance by Store'!$A$5,"ID Store",$C35,"Product Type","Qoala"),0)</f>
        <v>0</v>
      </c>
      <c r="BH35" s="66">
        <f t="shared" si="35"/>
        <v>0</v>
      </c>
      <c r="BI35" s="83">
        <f>IFERROR(VLOOKUP(C35,'[1]TARGET THIS MONTH'!C:U,17,0),0)</f>
        <v>165000</v>
      </c>
      <c r="BJ35" s="83">
        <f>IFERROR(GETPIVOTDATA("Sum of SRP",'[1]Insurance by Store'!$A$5,"ID Store",$C35,"Product Type","Vivo Care"),0)</f>
        <v>0</v>
      </c>
      <c r="BK35" s="66">
        <f t="shared" si="36"/>
        <v>0</v>
      </c>
      <c r="BL35" s="64">
        <f>IFERROR(VLOOKUP(C35,'[1]TARGET THIS MONTH'!C:U,18,0),0)</f>
        <v>0.9</v>
      </c>
      <c r="BM35" s="65">
        <f>IFERROR(GETPIVOTDATA("Sum of Qty",'[1]Operator by Store'!$A$5,"ID Store",$C35,"Product Type","Indosat"),0)</f>
        <v>0</v>
      </c>
      <c r="BN35" s="66">
        <f t="shared" si="37"/>
        <v>0</v>
      </c>
      <c r="BO35" s="64">
        <f>VLOOKUP(C35,'[1]TARGET THIS MONTH'!C:U,19,0)</f>
        <v>9</v>
      </c>
      <c r="BP35" s="65">
        <f>IFERROR(GETPIVOTDATA("Sum of Qty",'[1]Operator by Store'!$A$5,"ID Store",$C35,"Product Type","Telkomsel"),0)</f>
        <v>0</v>
      </c>
      <c r="BQ35" s="84">
        <f t="shared" si="38"/>
        <v>0</v>
      </c>
    </row>
    <row r="36" spans="1:69" x14ac:dyDescent="0.2">
      <c r="A36" s="55">
        <v>32</v>
      </c>
      <c r="B36" s="56" t="s">
        <v>73</v>
      </c>
      <c r="C36" s="57">
        <v>6240706</v>
      </c>
      <c r="D36" s="58" t="s">
        <v>89</v>
      </c>
      <c r="E36" s="85" t="s">
        <v>88</v>
      </c>
      <c r="F36" s="60">
        <v>2</v>
      </c>
      <c r="G36" s="61">
        <f>IFERROR(VLOOKUP(C36,'[1]TARGET THIS MONTH'!C:E,3,0),0)</f>
        <v>30</v>
      </c>
      <c r="H36" s="62">
        <f>IFERROR(VLOOKUP(C36,'[1]TARGET THIS MONTH'!C:M,11,0),0)</f>
        <v>165000000</v>
      </c>
      <c r="I36" s="61">
        <f>IFERROR(GETPIVOTDATA("Sum of Qty",'[1]DEVICE &amp; VALUE'!$A$6,"ID Store",$C36),0)</f>
        <v>5</v>
      </c>
      <c r="J36" s="63">
        <f t="shared" si="0"/>
        <v>0.16666666666666699</v>
      </c>
      <c r="K36" s="64">
        <f t="shared" si="1"/>
        <v>-25</v>
      </c>
      <c r="L36" s="65">
        <f>IFERROR(GETPIVOTDATA("Sum of Qty",[1]PF!$A$5,"ID Store",$C36),0)</f>
        <v>2</v>
      </c>
      <c r="M36" s="65">
        <f>IFERROR(GETPIVOTDATA("Sum of Qty",'[1]DEVICE &amp; VALUE'!$A$6,"ID Store",$C36,"Segment Price","3mio&gt;"),0)</f>
        <v>3</v>
      </c>
      <c r="N36" s="66">
        <f t="shared" si="2"/>
        <v>0.6</v>
      </c>
      <c r="O36" s="67">
        <f>IFERROR(GETPIVOTDATA("Sum of Qty",[1]IQOO!$A$6,"ID Store",$C36),0)</f>
        <v>0</v>
      </c>
      <c r="P36" s="66">
        <f t="shared" si="3"/>
        <v>0</v>
      </c>
      <c r="Q36" s="66">
        <f t="shared" si="4"/>
        <v>0.6</v>
      </c>
      <c r="R36" s="68">
        <f>IFERROR(GETPIVOTDATA("Sum of SRP",'[1]DEVICE &amp; VALUE'!$A$6,"ID Store",$C36),0)</f>
        <v>19895000</v>
      </c>
      <c r="S36" s="66">
        <f t="shared" si="5"/>
        <v>0.120575757575758</v>
      </c>
      <c r="T36" s="69">
        <f t="shared" si="6"/>
        <v>-145105000</v>
      </c>
      <c r="U36" s="70">
        <f t="shared" si="7"/>
        <v>25</v>
      </c>
      <c r="V36" s="71">
        <f t="shared" si="8"/>
        <v>0.83333333333333304</v>
      </c>
      <c r="W36" s="72">
        <f t="shared" si="9"/>
        <v>-5</v>
      </c>
      <c r="X36" s="72">
        <f t="shared" si="10"/>
        <v>15</v>
      </c>
      <c r="Y36" s="72">
        <f t="shared" si="11"/>
        <v>-15</v>
      </c>
      <c r="Z36" s="73">
        <f t="shared" si="12"/>
        <v>99475000</v>
      </c>
      <c r="AA36" s="73">
        <f t="shared" si="13"/>
        <v>-65525000</v>
      </c>
      <c r="AB36" s="74">
        <f t="shared" si="14"/>
        <v>0.60287878787878801</v>
      </c>
      <c r="AC36" s="75">
        <f t="shared" si="15"/>
        <v>1.0416666666666701</v>
      </c>
      <c r="AD36" s="76">
        <f t="shared" si="16"/>
        <v>6046041.6666666698</v>
      </c>
      <c r="AE36" s="61">
        <f>IFERROR(GETPIVOTDATA("Sum of Qty",'[1]DATA LAST MONTH IQOO'!$A$6,"ID Store",$C36),0)</f>
        <v>5</v>
      </c>
      <c r="AF36" s="77">
        <f>IFERROR(GETPIVOTDATA("Sum of Qty",[1]IQOO!$A$6,"ID Store",$C36),0)</f>
        <v>0</v>
      </c>
      <c r="AG36" s="64">
        <f t="shared" si="17"/>
        <v>-5</v>
      </c>
      <c r="AH36" s="78">
        <f t="shared" si="18"/>
        <v>-1</v>
      </c>
      <c r="AI36" s="79">
        <f>IFERROR(GETPIVOTDATA("Sum of Qty",'[1]DATA LAST MONTH DEVICE'!$A$6,"ID Store",$C36),0)</f>
        <v>31</v>
      </c>
      <c r="AJ36" s="80">
        <f t="shared" si="19"/>
        <v>5</v>
      </c>
      <c r="AK36" s="64">
        <f t="shared" si="20"/>
        <v>-26</v>
      </c>
      <c r="AL36" s="66">
        <f t="shared" si="21"/>
        <v>-0.83870967741935498</v>
      </c>
      <c r="AM36" s="65">
        <f>IFERROR(GETPIVOTDATA("Sum of Qty",'[1]Store 3mio+ last month'!$A$6,"ID Store",$C36),0)</f>
        <v>31</v>
      </c>
      <c r="AN36" s="64">
        <f t="shared" si="22"/>
        <v>25</v>
      </c>
      <c r="AO36" s="64">
        <f t="shared" si="23"/>
        <v>-6</v>
      </c>
      <c r="AP36" s="66">
        <f t="shared" si="24"/>
        <v>-0.19354838709677399</v>
      </c>
      <c r="AQ36" s="65">
        <f>IFERROR(GETPIVOTDATA("Sum of Qty",'[1]DATA LAST MONTH DEVICE'!$A$6,"ID Store",$C36,"Segment Price","3mio&gt;"),0)</f>
        <v>22</v>
      </c>
      <c r="AR36" s="67">
        <f t="shared" si="25"/>
        <v>3</v>
      </c>
      <c r="AS36" s="67">
        <f t="shared" si="26"/>
        <v>-19</v>
      </c>
      <c r="AT36" s="66">
        <f t="shared" si="27"/>
        <v>-0.86363636363636398</v>
      </c>
      <c r="AU36" s="81">
        <f>IFERROR(GETPIVOTDATA("Sum of SRP",'[1]DATA LAST MONTH DEVICE'!$A$6,"ID Store",$C36),0)</f>
        <v>165669000</v>
      </c>
      <c r="AV36" s="81">
        <f t="shared" si="28"/>
        <v>19895000</v>
      </c>
      <c r="AW36" s="81">
        <f t="shared" si="29"/>
        <v>-145774000</v>
      </c>
      <c r="AX36" s="66">
        <f t="shared" si="30"/>
        <v>-0.87991114813272298</v>
      </c>
      <c r="AY36" s="81">
        <f>IFERROR(VLOOKUP(C36,'[1]DATA SALES LAST MONTH'!A:E,5,0),0)</f>
        <v>5344161.2903225804</v>
      </c>
      <c r="AZ36" s="68">
        <f t="shared" si="31"/>
        <v>3979000</v>
      </c>
      <c r="BA36" s="68">
        <f t="shared" si="32"/>
        <v>-1365161.2903225799</v>
      </c>
      <c r="BB36" s="78">
        <f t="shared" si="33"/>
        <v>-0.25544911842287898</v>
      </c>
      <c r="BC36" s="61">
        <f>IFERROR(VLOOKUP(C36,'[1]TARGET THIS MONTH'!C:U,15,0),0)</f>
        <v>3</v>
      </c>
      <c r="BD36" s="82">
        <f>IFERROR(GETPIVOTDATA("Sum of Qty",[1]ACC!$A$5,"ID Store",$C36),0)</f>
        <v>1</v>
      </c>
      <c r="BE36" s="66">
        <f t="shared" si="34"/>
        <v>0.33333333333333298</v>
      </c>
      <c r="BF36" s="83">
        <f>IFERROR(VLOOKUP(C36,'[1]TARGET THIS MONTH'!C:U,16,0),0)</f>
        <v>825000</v>
      </c>
      <c r="BG36" s="83">
        <f>IFERROR(GETPIVOTDATA("Sum of SRP",'[1]Insurance by Store'!$A$5,"ID Store",$C36,"Product Type","Qoala"),0)</f>
        <v>0</v>
      </c>
      <c r="BH36" s="66">
        <f t="shared" si="35"/>
        <v>0</v>
      </c>
      <c r="BI36" s="83">
        <f>IFERROR(VLOOKUP(C36,'[1]TARGET THIS MONTH'!C:U,17,0),0)</f>
        <v>165000</v>
      </c>
      <c r="BJ36" s="83">
        <f>IFERROR(GETPIVOTDATA("Sum of SRP",'[1]Insurance by Store'!$A$5,"ID Store",$C36,"Product Type","Vivo Care"),0)</f>
        <v>0</v>
      </c>
      <c r="BK36" s="66">
        <f t="shared" si="36"/>
        <v>0</v>
      </c>
      <c r="BL36" s="64">
        <f>IFERROR(VLOOKUP(C36,'[1]TARGET THIS MONTH'!C:U,18,0),0)</f>
        <v>0.9</v>
      </c>
      <c r="BM36" s="65">
        <f>IFERROR(GETPIVOTDATA("Sum of Qty",'[1]Operator by Store'!$A$5,"ID Store",$C36,"Product Type","Indosat"),0)</f>
        <v>0</v>
      </c>
      <c r="BN36" s="66">
        <f t="shared" si="37"/>
        <v>0</v>
      </c>
      <c r="BO36" s="64">
        <f>VLOOKUP(C36,'[1]TARGET THIS MONTH'!C:U,19,0)</f>
        <v>9</v>
      </c>
      <c r="BP36" s="65">
        <f>IFERROR(GETPIVOTDATA("Sum of Qty",'[1]Operator by Store'!$A$5,"ID Store",$C36,"Product Type","Telkomsel"),0)</f>
        <v>0</v>
      </c>
      <c r="BQ36" s="84">
        <f t="shared" si="38"/>
        <v>0</v>
      </c>
    </row>
    <row r="37" spans="1:69" x14ac:dyDescent="0.2">
      <c r="A37" s="55">
        <v>33</v>
      </c>
      <c r="B37" s="56" t="s">
        <v>90</v>
      </c>
      <c r="C37" s="57">
        <v>6190701</v>
      </c>
      <c r="D37" s="58" t="s">
        <v>91</v>
      </c>
      <c r="E37" s="85" t="s">
        <v>92</v>
      </c>
      <c r="F37" s="60">
        <v>1</v>
      </c>
      <c r="G37" s="61">
        <f>IFERROR(VLOOKUP(C37,'[1]TARGET THIS MONTH'!C:E,3,0),0)</f>
        <v>50</v>
      </c>
      <c r="H37" s="62">
        <f>IFERROR(VLOOKUP(C37,'[1]TARGET THIS MONTH'!C:M,11,0),0)</f>
        <v>215000000</v>
      </c>
      <c r="I37" s="61">
        <f>IFERROR(GETPIVOTDATA("Sum of Qty",'[1]DEVICE &amp; VALUE'!$A$6,"ID Store",$C37),0)</f>
        <v>10</v>
      </c>
      <c r="J37" s="63">
        <f t="shared" si="0"/>
        <v>0.2</v>
      </c>
      <c r="K37" s="64">
        <f t="shared" si="1"/>
        <v>-40</v>
      </c>
      <c r="L37" s="65">
        <f>IFERROR(GETPIVOTDATA("Sum of Qty",[1]PF!$A$5,"ID Store",$C37),0)</f>
        <v>3</v>
      </c>
      <c r="M37" s="65">
        <f>IFERROR(GETPIVOTDATA("Sum of Qty",'[1]DEVICE &amp; VALUE'!$A$6,"ID Store",$C37,"Segment Price","3mio&gt;"),0)</f>
        <v>3</v>
      </c>
      <c r="N37" s="66">
        <f t="shared" si="2"/>
        <v>0.3</v>
      </c>
      <c r="O37" s="67">
        <f>IFERROR(GETPIVOTDATA("Sum of Qty",[1]IQOO!$A$6,"ID Store",$C37),0)</f>
        <v>0</v>
      </c>
      <c r="P37" s="66">
        <f t="shared" si="3"/>
        <v>0</v>
      </c>
      <c r="Q37" s="66">
        <f t="shared" si="4"/>
        <v>0.3</v>
      </c>
      <c r="R37" s="68">
        <f>IFERROR(GETPIVOTDATA("Sum of SRP",'[1]DEVICE &amp; VALUE'!$A$6,"ID Store",$C37),0)</f>
        <v>29390000</v>
      </c>
      <c r="S37" s="66">
        <f t="shared" si="5"/>
        <v>0.136697674418605</v>
      </c>
      <c r="T37" s="69">
        <f t="shared" si="6"/>
        <v>-185610000</v>
      </c>
      <c r="U37" s="70">
        <f t="shared" si="7"/>
        <v>50</v>
      </c>
      <c r="V37" s="71">
        <f t="shared" si="8"/>
        <v>1</v>
      </c>
      <c r="W37" s="72">
        <f t="shared" si="9"/>
        <v>0</v>
      </c>
      <c r="X37" s="72">
        <f t="shared" si="10"/>
        <v>15</v>
      </c>
      <c r="Y37" s="72">
        <f t="shared" si="11"/>
        <v>-35</v>
      </c>
      <c r="Z37" s="73">
        <f t="shared" si="12"/>
        <v>146950000</v>
      </c>
      <c r="AA37" s="73">
        <f t="shared" si="13"/>
        <v>-68050000</v>
      </c>
      <c r="AB37" s="74">
        <f t="shared" si="14"/>
        <v>0.68348837209302304</v>
      </c>
      <c r="AC37" s="75">
        <f t="shared" si="15"/>
        <v>1.6666666666666701</v>
      </c>
      <c r="AD37" s="76">
        <f t="shared" si="16"/>
        <v>7733750</v>
      </c>
      <c r="AE37" s="61">
        <f>IFERROR(GETPIVOTDATA("Sum of Qty",'[1]DATA LAST MONTH IQOO'!$A$6,"ID Store",$C37),0)</f>
        <v>3</v>
      </c>
      <c r="AF37" s="77">
        <f>IFERROR(GETPIVOTDATA("Sum of Qty",[1]IQOO!$A$6,"ID Store",$C37),0)</f>
        <v>0</v>
      </c>
      <c r="AG37" s="64">
        <f t="shared" si="17"/>
        <v>-3</v>
      </c>
      <c r="AH37" s="78">
        <f t="shared" si="18"/>
        <v>-1</v>
      </c>
      <c r="AI37" s="79">
        <f>IFERROR(GETPIVOTDATA("Sum of Qty",'[1]DATA LAST MONTH DEVICE'!$A$6,"ID Store",$C37),0)</f>
        <v>31</v>
      </c>
      <c r="AJ37" s="80">
        <f t="shared" si="19"/>
        <v>10</v>
      </c>
      <c r="AK37" s="64">
        <f t="shared" si="20"/>
        <v>-21</v>
      </c>
      <c r="AL37" s="66">
        <f t="shared" si="21"/>
        <v>-0.67741935483870996</v>
      </c>
      <c r="AM37" s="65">
        <f>IFERROR(GETPIVOTDATA("Sum of Qty",'[1]Store 3mio+ last month'!$A$6,"ID Store",$C37),0)</f>
        <v>31</v>
      </c>
      <c r="AN37" s="64">
        <f t="shared" si="22"/>
        <v>50</v>
      </c>
      <c r="AO37" s="64">
        <f t="shared" si="23"/>
        <v>19</v>
      </c>
      <c r="AP37" s="66">
        <f t="shared" si="24"/>
        <v>0.61290322580645196</v>
      </c>
      <c r="AQ37" s="65">
        <f>IFERROR(GETPIVOTDATA("Sum of Qty",'[1]DATA LAST MONTH DEVICE'!$A$6,"ID Store",$C37,"Segment Price","3mio&gt;"),0)</f>
        <v>11</v>
      </c>
      <c r="AR37" s="67">
        <f t="shared" si="25"/>
        <v>3</v>
      </c>
      <c r="AS37" s="67">
        <f t="shared" si="26"/>
        <v>-8</v>
      </c>
      <c r="AT37" s="66">
        <f t="shared" si="27"/>
        <v>-0.72727272727272696</v>
      </c>
      <c r="AU37" s="81">
        <f>IFERROR(GETPIVOTDATA("Sum of SRP",'[1]DATA LAST MONTH DEVICE'!$A$6,"ID Store",$C37),0)</f>
        <v>116569000</v>
      </c>
      <c r="AV37" s="81">
        <f t="shared" si="28"/>
        <v>29390000</v>
      </c>
      <c r="AW37" s="81">
        <f t="shared" si="29"/>
        <v>-87179000</v>
      </c>
      <c r="AX37" s="66">
        <f t="shared" si="30"/>
        <v>-0.74787464934931203</v>
      </c>
      <c r="AY37" s="81">
        <f>IFERROR(VLOOKUP(C37,'[1]DATA SALES LAST MONTH'!A:E,5,0),0)</f>
        <v>3760290.32258065</v>
      </c>
      <c r="AZ37" s="68">
        <f t="shared" si="31"/>
        <v>2939000</v>
      </c>
      <c r="BA37" s="68">
        <f t="shared" si="32"/>
        <v>-821290.32258064498</v>
      </c>
      <c r="BB37" s="78">
        <f t="shared" si="33"/>
        <v>-0.21841141298286901</v>
      </c>
      <c r="BC37" s="61">
        <f>IFERROR(VLOOKUP(C37,'[1]TARGET THIS MONTH'!C:U,15,0),0)</f>
        <v>5</v>
      </c>
      <c r="BD37" s="82">
        <f>IFERROR(GETPIVOTDATA("Sum of Qty",[1]ACC!$A$5,"ID Store",$C37),0)</f>
        <v>3</v>
      </c>
      <c r="BE37" s="66">
        <f t="shared" si="34"/>
        <v>0.6</v>
      </c>
      <c r="BF37" s="83">
        <f>IFERROR(VLOOKUP(C37,'[1]TARGET THIS MONTH'!C:U,16,0),0)</f>
        <v>1075000</v>
      </c>
      <c r="BG37" s="83">
        <f>IFERROR(GETPIVOTDATA("Sum of SRP",'[1]Insurance by Store'!$A$5,"ID Store",$C37,"Product Type","Qoala"),0)</f>
        <v>0</v>
      </c>
      <c r="BH37" s="66">
        <f t="shared" si="35"/>
        <v>0</v>
      </c>
      <c r="BI37" s="83">
        <f>IFERROR(VLOOKUP(C37,'[1]TARGET THIS MONTH'!C:U,17,0),0)</f>
        <v>215000</v>
      </c>
      <c r="BJ37" s="83">
        <f>IFERROR(GETPIVOTDATA("Sum of SRP",'[1]Insurance by Store'!$A$5,"ID Store",$C37,"Product Type","Vivo Care"),0)</f>
        <v>0</v>
      </c>
      <c r="BK37" s="66">
        <f t="shared" si="36"/>
        <v>0</v>
      </c>
      <c r="BL37" s="64">
        <f>IFERROR(VLOOKUP(C37,'[1]TARGET THIS MONTH'!C:U,18,0),0)</f>
        <v>1.5</v>
      </c>
      <c r="BM37" s="65">
        <f>IFERROR(GETPIVOTDATA("Sum of Qty",'[1]Operator by Store'!$A$5,"ID Store",$C37,"Product Type","Indosat"),0)</f>
        <v>0</v>
      </c>
      <c r="BN37" s="66">
        <f t="shared" si="37"/>
        <v>0</v>
      </c>
      <c r="BO37" s="64">
        <f>VLOOKUP(C37,'[1]TARGET THIS MONTH'!C:U,19,0)</f>
        <v>15</v>
      </c>
      <c r="BP37" s="65">
        <f>IFERROR(GETPIVOTDATA("Sum of Qty",'[1]Operator by Store'!$A$5,"ID Store",$C37,"Product Type","Telkomsel"),0)</f>
        <v>0</v>
      </c>
      <c r="BQ37" s="84">
        <f t="shared" si="38"/>
        <v>0</v>
      </c>
    </row>
    <row r="38" spans="1:69" x14ac:dyDescent="0.2">
      <c r="A38" s="55">
        <v>34</v>
      </c>
      <c r="B38" s="56" t="s">
        <v>90</v>
      </c>
      <c r="C38" s="57">
        <v>6190706</v>
      </c>
      <c r="D38" s="58" t="s">
        <v>93</v>
      </c>
      <c r="E38" s="85" t="s">
        <v>92</v>
      </c>
      <c r="F38" s="60">
        <v>4</v>
      </c>
      <c r="G38" s="61">
        <f>IFERROR(VLOOKUP(C38,'[1]TARGET THIS MONTH'!C:E,3,0),0)</f>
        <v>110</v>
      </c>
      <c r="H38" s="62">
        <f>IFERROR(VLOOKUP(C38,'[1]TARGET THIS MONTH'!C:M,11,0),0)</f>
        <v>473000000</v>
      </c>
      <c r="I38" s="61">
        <f>IFERROR(GETPIVOTDATA("Sum of Qty",'[1]DEVICE &amp; VALUE'!$A$6,"ID Store",$C38),0)</f>
        <v>27</v>
      </c>
      <c r="J38" s="63">
        <f t="shared" si="0"/>
        <v>0.24545454545454501</v>
      </c>
      <c r="K38" s="64">
        <f t="shared" si="1"/>
        <v>-83</v>
      </c>
      <c r="L38" s="65">
        <f>IFERROR(GETPIVOTDATA("Sum of Qty",[1]PF!$A$5,"ID Store",$C38),0)</f>
        <v>7</v>
      </c>
      <c r="M38" s="65">
        <f>IFERROR(GETPIVOTDATA("Sum of Qty",'[1]DEVICE &amp; VALUE'!$A$6,"ID Store",$C38,"Segment Price","3mio&gt;"),0)</f>
        <v>14</v>
      </c>
      <c r="N38" s="66">
        <f t="shared" si="2"/>
        <v>0.51851851851851805</v>
      </c>
      <c r="O38" s="67">
        <f>IFERROR(GETPIVOTDATA("Sum of Qty",[1]IQOO!$A$6,"ID Store",$C38),0)</f>
        <v>1</v>
      </c>
      <c r="P38" s="66">
        <f t="shared" si="3"/>
        <v>3.7037037037037E-2</v>
      </c>
      <c r="Q38" s="66">
        <f t="shared" si="4"/>
        <v>0.51851851851851805</v>
      </c>
      <c r="R38" s="68">
        <f>IFERROR(GETPIVOTDATA("Sum of SRP",'[1]DEVICE &amp; VALUE'!$A$6,"ID Store",$C38),0)</f>
        <v>133073000</v>
      </c>
      <c r="S38" s="66">
        <f t="shared" si="5"/>
        <v>0.28133826638477799</v>
      </c>
      <c r="T38" s="69">
        <f t="shared" si="6"/>
        <v>-339927000</v>
      </c>
      <c r="U38" s="70">
        <f t="shared" si="7"/>
        <v>135</v>
      </c>
      <c r="V38" s="71">
        <f t="shared" si="8"/>
        <v>1.22727272727273</v>
      </c>
      <c r="W38" s="72">
        <f t="shared" si="9"/>
        <v>25</v>
      </c>
      <c r="X38" s="72">
        <f t="shared" si="10"/>
        <v>70</v>
      </c>
      <c r="Y38" s="72">
        <f t="shared" si="11"/>
        <v>-40</v>
      </c>
      <c r="Z38" s="73">
        <f t="shared" si="12"/>
        <v>665365000</v>
      </c>
      <c r="AA38" s="73">
        <f t="shared" si="13"/>
        <v>192365000</v>
      </c>
      <c r="AB38" s="74">
        <f t="shared" si="14"/>
        <v>1.4066913319238901</v>
      </c>
      <c r="AC38" s="75">
        <f t="shared" si="15"/>
        <v>3.4583333333333299</v>
      </c>
      <c r="AD38" s="76">
        <f t="shared" si="16"/>
        <v>14163625</v>
      </c>
      <c r="AE38" s="61">
        <f>IFERROR(GETPIVOTDATA("Sum of Qty",'[1]DATA LAST MONTH IQOO'!$A$6,"ID Store",$C38),0)</f>
        <v>13</v>
      </c>
      <c r="AF38" s="77">
        <f>IFERROR(GETPIVOTDATA("Sum of Qty",[1]IQOO!$A$6,"ID Store",$C38),0)</f>
        <v>1</v>
      </c>
      <c r="AG38" s="64">
        <f t="shared" si="17"/>
        <v>-12</v>
      </c>
      <c r="AH38" s="78">
        <f t="shared" si="18"/>
        <v>-0.92307692307692302</v>
      </c>
      <c r="AI38" s="79">
        <f>IFERROR(GETPIVOTDATA("Sum of Qty",'[1]DATA LAST MONTH DEVICE'!$A$6,"ID Store",$C38),0)</f>
        <v>124</v>
      </c>
      <c r="AJ38" s="80">
        <f t="shared" si="19"/>
        <v>27</v>
      </c>
      <c r="AK38" s="64">
        <f t="shared" si="20"/>
        <v>-97</v>
      </c>
      <c r="AL38" s="66">
        <f t="shared" si="21"/>
        <v>-0.782258064516129</v>
      </c>
      <c r="AM38" s="65">
        <f>IFERROR(GETPIVOTDATA("Sum of Qty",'[1]Store 3mio+ last month'!$A$6,"ID Store",$C38),0)</f>
        <v>124</v>
      </c>
      <c r="AN38" s="64">
        <f t="shared" si="22"/>
        <v>135</v>
      </c>
      <c r="AO38" s="64">
        <f t="shared" si="23"/>
        <v>11</v>
      </c>
      <c r="AP38" s="66">
        <f t="shared" si="24"/>
        <v>8.8709677419354802E-2</v>
      </c>
      <c r="AQ38" s="65">
        <f>IFERROR(GETPIVOTDATA("Sum of Qty",'[1]DATA LAST MONTH DEVICE'!$A$6,"ID Store",$C38,"Segment Price","3mio&gt;"),0)</f>
        <v>47</v>
      </c>
      <c r="AR38" s="67">
        <f t="shared" si="25"/>
        <v>14</v>
      </c>
      <c r="AS38" s="67">
        <f t="shared" si="26"/>
        <v>-33</v>
      </c>
      <c r="AT38" s="66">
        <f t="shared" si="27"/>
        <v>-0.70212765957446799</v>
      </c>
      <c r="AU38" s="81">
        <f>IFERROR(GETPIVOTDATA("Sum of SRP",'[1]DATA LAST MONTH DEVICE'!$A$6,"ID Store",$C38),0)</f>
        <v>540976000</v>
      </c>
      <c r="AV38" s="81">
        <f t="shared" si="28"/>
        <v>133073000</v>
      </c>
      <c r="AW38" s="81">
        <f t="shared" si="29"/>
        <v>-407903000</v>
      </c>
      <c r="AX38" s="66">
        <f t="shared" si="30"/>
        <v>-0.75401311703291796</v>
      </c>
      <c r="AY38" s="81">
        <f>IFERROR(VLOOKUP(C38,'[1]DATA SALES LAST MONTH'!A:E,5,0),0)</f>
        <v>4362709.6774193598</v>
      </c>
      <c r="AZ38" s="68">
        <f t="shared" si="31"/>
        <v>4928629.6296296297</v>
      </c>
      <c r="BA38" s="68">
        <f t="shared" si="32"/>
        <v>565919.95221027499</v>
      </c>
      <c r="BB38" s="78">
        <f t="shared" si="33"/>
        <v>0.12971753658956001</v>
      </c>
      <c r="BC38" s="61">
        <f>IFERROR(VLOOKUP(C38,'[1]TARGET THIS MONTH'!C:U,15,0),0)</f>
        <v>11</v>
      </c>
      <c r="BD38" s="82">
        <f>IFERROR(GETPIVOTDATA("Sum of Qty",[1]ACC!$A$5,"ID Store",$C38),0)</f>
        <v>3</v>
      </c>
      <c r="BE38" s="66">
        <f t="shared" si="34"/>
        <v>0.27272727272727298</v>
      </c>
      <c r="BF38" s="83">
        <f>IFERROR(VLOOKUP(C38,'[1]TARGET THIS MONTH'!C:U,16,0),0)</f>
        <v>2365000</v>
      </c>
      <c r="BG38" s="83">
        <f>IFERROR(GETPIVOTDATA("Sum of SRP",'[1]Insurance by Store'!$A$5,"ID Store",$C38,"Product Type","Qoala"),0)</f>
        <v>1157000</v>
      </c>
      <c r="BH38" s="66">
        <f t="shared" si="35"/>
        <v>0.48921775898520098</v>
      </c>
      <c r="BI38" s="83">
        <f>IFERROR(VLOOKUP(C38,'[1]TARGET THIS MONTH'!C:U,17,0),0)</f>
        <v>473000</v>
      </c>
      <c r="BJ38" s="83">
        <f>IFERROR(GETPIVOTDATA("Sum of SRP",'[1]Insurance by Store'!$A$5,"ID Store",$C38,"Product Type","Vivo Care"),0)</f>
        <v>0</v>
      </c>
      <c r="BK38" s="66">
        <f t="shared" si="36"/>
        <v>0</v>
      </c>
      <c r="BL38" s="64">
        <f>IFERROR(VLOOKUP(C38,'[1]TARGET THIS MONTH'!C:U,18,0),0)</f>
        <v>3.3</v>
      </c>
      <c r="BM38" s="65">
        <f>IFERROR(GETPIVOTDATA("Sum of Qty",'[1]Operator by Store'!$A$5,"ID Store",$C38,"Product Type","Indosat"),0)</f>
        <v>2</v>
      </c>
      <c r="BN38" s="66">
        <f t="shared" si="37"/>
        <v>0.60606060606060597</v>
      </c>
      <c r="BO38" s="64">
        <f>VLOOKUP(C38,'[1]TARGET THIS MONTH'!C:U,19,0)</f>
        <v>33</v>
      </c>
      <c r="BP38" s="65">
        <f>IFERROR(GETPIVOTDATA("Sum of Qty",'[1]Operator by Store'!$A$5,"ID Store",$C38,"Product Type","Telkomsel"),0)</f>
        <v>0</v>
      </c>
      <c r="BQ38" s="84">
        <f t="shared" si="38"/>
        <v>0</v>
      </c>
    </row>
    <row r="39" spans="1:69" x14ac:dyDescent="0.2">
      <c r="A39" s="55">
        <v>35</v>
      </c>
      <c r="B39" s="56" t="s">
        <v>90</v>
      </c>
      <c r="C39" s="57">
        <v>6190705</v>
      </c>
      <c r="D39" s="58" t="s">
        <v>94</v>
      </c>
      <c r="E39" s="85" t="s">
        <v>92</v>
      </c>
      <c r="F39" s="60">
        <v>2</v>
      </c>
      <c r="G39" s="61">
        <f>IFERROR(VLOOKUP(C39,'[1]TARGET THIS MONTH'!C:E,3,0),0)</f>
        <v>60</v>
      </c>
      <c r="H39" s="62">
        <f>IFERROR(VLOOKUP(C39,'[1]TARGET THIS MONTH'!C:M,11,0),0)</f>
        <v>258000000</v>
      </c>
      <c r="I39" s="61">
        <f>IFERROR(GETPIVOTDATA("Sum of Qty",'[1]DEVICE &amp; VALUE'!$A$6,"ID Store",$C39),0)</f>
        <v>9</v>
      </c>
      <c r="J39" s="63">
        <f t="shared" si="0"/>
        <v>0.15</v>
      </c>
      <c r="K39" s="64">
        <f t="shared" si="1"/>
        <v>-51</v>
      </c>
      <c r="L39" s="65">
        <f>IFERROR(GETPIVOTDATA("Sum of Qty",[1]PF!$A$5,"ID Store",$C39),0)</f>
        <v>2</v>
      </c>
      <c r="M39" s="65">
        <f>IFERROR(GETPIVOTDATA("Sum of Qty",'[1]DEVICE &amp; VALUE'!$A$6,"ID Store",$C39,"Segment Price","3mio&gt;"),0)</f>
        <v>4</v>
      </c>
      <c r="N39" s="66">
        <f t="shared" si="2"/>
        <v>0.44444444444444398</v>
      </c>
      <c r="O39" s="67">
        <f>IFERROR(GETPIVOTDATA("Sum of Qty",[1]IQOO!$A$6,"ID Store",$C39),0)</f>
        <v>1</v>
      </c>
      <c r="P39" s="66">
        <f t="shared" si="3"/>
        <v>0.11111111111111099</v>
      </c>
      <c r="Q39" s="66">
        <f t="shared" si="4"/>
        <v>0.44444444444444398</v>
      </c>
      <c r="R39" s="68">
        <f>IFERROR(GETPIVOTDATA("Sum of SRP",'[1]DEVICE &amp; VALUE'!$A$6,"ID Store",$C39),0)</f>
        <v>35391000</v>
      </c>
      <c r="S39" s="66">
        <f t="shared" si="5"/>
        <v>0.13717441860465099</v>
      </c>
      <c r="T39" s="69">
        <f t="shared" si="6"/>
        <v>-222609000</v>
      </c>
      <c r="U39" s="70">
        <f t="shared" si="7"/>
        <v>45</v>
      </c>
      <c r="V39" s="71">
        <f t="shared" si="8"/>
        <v>0.75</v>
      </c>
      <c r="W39" s="72">
        <f t="shared" si="9"/>
        <v>-15</v>
      </c>
      <c r="X39" s="72">
        <f t="shared" si="10"/>
        <v>20</v>
      </c>
      <c r="Y39" s="72">
        <f t="shared" si="11"/>
        <v>-40</v>
      </c>
      <c r="Z39" s="73">
        <f t="shared" si="12"/>
        <v>176955000</v>
      </c>
      <c r="AA39" s="73">
        <f t="shared" si="13"/>
        <v>-81045000</v>
      </c>
      <c r="AB39" s="74">
        <f t="shared" si="14"/>
        <v>0.68587209302325602</v>
      </c>
      <c r="AC39" s="75">
        <f t="shared" si="15"/>
        <v>2.125</v>
      </c>
      <c r="AD39" s="76">
        <f t="shared" si="16"/>
        <v>9275375</v>
      </c>
      <c r="AE39" s="61">
        <f>IFERROR(GETPIVOTDATA("Sum of Qty",'[1]DATA LAST MONTH IQOO'!$A$6,"ID Store",$C39),0)</f>
        <v>4</v>
      </c>
      <c r="AF39" s="77">
        <f>IFERROR(GETPIVOTDATA("Sum of Qty",[1]IQOO!$A$6,"ID Store",$C39),0)</f>
        <v>1</v>
      </c>
      <c r="AG39" s="64">
        <f t="shared" si="17"/>
        <v>-3</v>
      </c>
      <c r="AH39" s="78">
        <f t="shared" si="18"/>
        <v>-0.75</v>
      </c>
      <c r="AI39" s="79">
        <f>IFERROR(GETPIVOTDATA("Sum of Qty",'[1]DATA LAST MONTH DEVICE'!$A$6,"ID Store",$C39),0)</f>
        <v>53</v>
      </c>
      <c r="AJ39" s="80">
        <f t="shared" si="19"/>
        <v>9</v>
      </c>
      <c r="AK39" s="64">
        <f t="shared" si="20"/>
        <v>-44</v>
      </c>
      <c r="AL39" s="66">
        <f t="shared" si="21"/>
        <v>-0.83018867924528295</v>
      </c>
      <c r="AM39" s="65">
        <f>IFERROR(GETPIVOTDATA("Sum of Qty",'[1]Store 3mio+ last month'!$A$6,"ID Store",$C39),0)</f>
        <v>53</v>
      </c>
      <c r="AN39" s="64">
        <f t="shared" si="22"/>
        <v>45</v>
      </c>
      <c r="AO39" s="64">
        <f t="shared" si="23"/>
        <v>-8</v>
      </c>
      <c r="AP39" s="66">
        <f t="shared" si="24"/>
        <v>-0.15094339622641501</v>
      </c>
      <c r="AQ39" s="65">
        <f>IFERROR(GETPIVOTDATA("Sum of Qty",'[1]DATA LAST MONTH DEVICE'!$A$6,"ID Store",$C39,"Segment Price","3mio&gt;"),0)</f>
        <v>17</v>
      </c>
      <c r="AR39" s="67">
        <f t="shared" si="25"/>
        <v>4</v>
      </c>
      <c r="AS39" s="67">
        <f t="shared" si="26"/>
        <v>-13</v>
      </c>
      <c r="AT39" s="66">
        <f t="shared" si="27"/>
        <v>-0.76470588235294101</v>
      </c>
      <c r="AU39" s="81">
        <f>IFERROR(GETPIVOTDATA("Sum of SRP",'[1]DATA LAST MONTH DEVICE'!$A$6,"ID Store",$C39),0)</f>
        <v>183847000</v>
      </c>
      <c r="AV39" s="81">
        <f t="shared" si="28"/>
        <v>35391000</v>
      </c>
      <c r="AW39" s="81">
        <f t="shared" si="29"/>
        <v>-148456000</v>
      </c>
      <c r="AX39" s="66">
        <f t="shared" si="30"/>
        <v>-0.807497538714257</v>
      </c>
      <c r="AY39" s="81">
        <f>IFERROR(VLOOKUP(C39,'[1]DATA SALES LAST MONTH'!A:E,5,0),0)</f>
        <v>3468811.3207547199</v>
      </c>
      <c r="AZ39" s="68">
        <f t="shared" si="31"/>
        <v>3932333.3333333302</v>
      </c>
      <c r="BA39" s="68">
        <f t="shared" si="32"/>
        <v>463522.01257861598</v>
      </c>
      <c r="BB39" s="78">
        <f t="shared" si="33"/>
        <v>0.13362560534937601</v>
      </c>
      <c r="BC39" s="61">
        <f>IFERROR(VLOOKUP(C39,'[1]TARGET THIS MONTH'!C:U,15,0),0)</f>
        <v>6</v>
      </c>
      <c r="BD39" s="82">
        <f>IFERROR(GETPIVOTDATA("Sum of Qty",[1]ACC!$A$5,"ID Store",$C39),0)</f>
        <v>1</v>
      </c>
      <c r="BE39" s="66">
        <f t="shared" si="34"/>
        <v>0.16666666666666699</v>
      </c>
      <c r="BF39" s="83">
        <f>IFERROR(VLOOKUP(C39,'[1]TARGET THIS MONTH'!C:U,16,0),0)</f>
        <v>1290000</v>
      </c>
      <c r="BG39" s="83">
        <f>IFERROR(GETPIVOTDATA("Sum of SRP",'[1]Insurance by Store'!$A$5,"ID Store",$C39,"Product Type","Qoala"),0)</f>
        <v>249000</v>
      </c>
      <c r="BH39" s="66">
        <f t="shared" si="35"/>
        <v>0.19302325581395299</v>
      </c>
      <c r="BI39" s="83">
        <f>IFERROR(VLOOKUP(C39,'[1]TARGET THIS MONTH'!C:U,17,0),0)</f>
        <v>258000</v>
      </c>
      <c r="BJ39" s="83">
        <f>IFERROR(GETPIVOTDATA("Sum of SRP",'[1]Insurance by Store'!$A$5,"ID Store",$C39,"Product Type","Vivo Care"),0)</f>
        <v>0</v>
      </c>
      <c r="BK39" s="66">
        <f t="shared" si="36"/>
        <v>0</v>
      </c>
      <c r="BL39" s="64">
        <f>IFERROR(VLOOKUP(C39,'[1]TARGET THIS MONTH'!C:U,18,0),0)</f>
        <v>1.8</v>
      </c>
      <c r="BM39" s="65">
        <f>IFERROR(GETPIVOTDATA("Sum of Qty",'[1]Operator by Store'!$A$5,"ID Store",$C39,"Product Type","Indosat"),0)</f>
        <v>0</v>
      </c>
      <c r="BN39" s="66">
        <f t="shared" si="37"/>
        <v>0</v>
      </c>
      <c r="BO39" s="64">
        <f>VLOOKUP(C39,'[1]TARGET THIS MONTH'!C:U,19,0)</f>
        <v>18</v>
      </c>
      <c r="BP39" s="65">
        <f>IFERROR(GETPIVOTDATA("Sum of Qty",'[1]Operator by Store'!$A$5,"ID Store",$C39,"Product Type","Telkomsel"),0)</f>
        <v>0</v>
      </c>
      <c r="BQ39" s="84">
        <f t="shared" si="38"/>
        <v>0</v>
      </c>
    </row>
    <row r="40" spans="1:69" x14ac:dyDescent="0.2">
      <c r="A40" s="55">
        <v>36</v>
      </c>
      <c r="B40" s="56" t="s">
        <v>90</v>
      </c>
      <c r="C40" s="57">
        <v>6190704</v>
      </c>
      <c r="D40" s="58" t="s">
        <v>95</v>
      </c>
      <c r="E40" s="85" t="s">
        <v>96</v>
      </c>
      <c r="F40" s="60">
        <v>4</v>
      </c>
      <c r="G40" s="61">
        <f>IFERROR(VLOOKUP(C40,'[1]TARGET THIS MONTH'!C:E,3,0),0)</f>
        <v>120</v>
      </c>
      <c r="H40" s="62">
        <f>IFERROR(VLOOKUP(C40,'[1]TARGET THIS MONTH'!C:M,11,0),0)</f>
        <v>516000000</v>
      </c>
      <c r="I40" s="61">
        <f>IFERROR(GETPIVOTDATA("Sum of Qty",'[1]DEVICE &amp; VALUE'!$A$6,"ID Store",$C40),0)</f>
        <v>30</v>
      </c>
      <c r="J40" s="63">
        <f t="shared" si="0"/>
        <v>0.25</v>
      </c>
      <c r="K40" s="64">
        <f t="shared" si="1"/>
        <v>-90</v>
      </c>
      <c r="L40" s="65">
        <f>IFERROR(GETPIVOTDATA("Sum of Qty",[1]PF!$A$5,"ID Store",$C40),0)</f>
        <v>6</v>
      </c>
      <c r="M40" s="65">
        <f>IFERROR(GETPIVOTDATA("Sum of Qty",'[1]DEVICE &amp; VALUE'!$A$6,"ID Store",$C40,"Segment Price","3mio&gt;"),0)</f>
        <v>11</v>
      </c>
      <c r="N40" s="66">
        <f t="shared" si="2"/>
        <v>0.36666666666666697</v>
      </c>
      <c r="O40" s="67">
        <f>IFERROR(GETPIVOTDATA("Sum of Qty",[1]IQOO!$A$6,"ID Store",$C40),0)</f>
        <v>0</v>
      </c>
      <c r="P40" s="66">
        <f t="shared" si="3"/>
        <v>0</v>
      </c>
      <c r="Q40" s="66">
        <f t="shared" si="4"/>
        <v>0.36666666666666697</v>
      </c>
      <c r="R40" s="68">
        <f>IFERROR(GETPIVOTDATA("Sum of SRP",'[1]DEVICE &amp; VALUE'!$A$6,"ID Store",$C40),0)</f>
        <v>112170000</v>
      </c>
      <c r="S40" s="66">
        <f t="shared" si="5"/>
        <v>0.217383720930233</v>
      </c>
      <c r="T40" s="69">
        <f t="shared" si="6"/>
        <v>-403830000</v>
      </c>
      <c r="U40" s="70">
        <f t="shared" si="7"/>
        <v>150</v>
      </c>
      <c r="V40" s="71">
        <f t="shared" si="8"/>
        <v>1.25</v>
      </c>
      <c r="W40" s="72">
        <f t="shared" si="9"/>
        <v>30</v>
      </c>
      <c r="X40" s="72">
        <f t="shared" si="10"/>
        <v>55</v>
      </c>
      <c r="Y40" s="72">
        <f t="shared" si="11"/>
        <v>-65</v>
      </c>
      <c r="Z40" s="73">
        <f t="shared" si="12"/>
        <v>560850000</v>
      </c>
      <c r="AA40" s="73">
        <f t="shared" si="13"/>
        <v>44850000</v>
      </c>
      <c r="AB40" s="74">
        <f t="shared" si="14"/>
        <v>1.0869186046511601</v>
      </c>
      <c r="AC40" s="75">
        <f t="shared" si="15"/>
        <v>3.75</v>
      </c>
      <c r="AD40" s="76">
        <f t="shared" si="16"/>
        <v>16826250</v>
      </c>
      <c r="AE40" s="61">
        <f>IFERROR(GETPIVOTDATA("Sum of Qty",'[1]DATA LAST MONTH IQOO'!$A$6,"ID Store",$C40),0)</f>
        <v>20</v>
      </c>
      <c r="AF40" s="77">
        <f>IFERROR(GETPIVOTDATA("Sum of Qty",[1]IQOO!$A$6,"ID Store",$C40),0)</f>
        <v>0</v>
      </c>
      <c r="AG40" s="64">
        <f t="shared" si="17"/>
        <v>-20</v>
      </c>
      <c r="AH40" s="78">
        <f t="shared" si="18"/>
        <v>-1</v>
      </c>
      <c r="AI40" s="79">
        <f>IFERROR(GETPIVOTDATA("Sum of Qty",'[1]DATA LAST MONTH DEVICE'!$A$6,"ID Store",$C40),0)</f>
        <v>114</v>
      </c>
      <c r="AJ40" s="80">
        <f t="shared" si="19"/>
        <v>30</v>
      </c>
      <c r="AK40" s="64">
        <f t="shared" si="20"/>
        <v>-84</v>
      </c>
      <c r="AL40" s="66">
        <f t="shared" si="21"/>
        <v>-0.73684210526315796</v>
      </c>
      <c r="AM40" s="65">
        <f>IFERROR(GETPIVOTDATA("Sum of Qty",'[1]Store 3mio+ last month'!$A$6,"ID Store",$C40),0)</f>
        <v>114</v>
      </c>
      <c r="AN40" s="64">
        <f t="shared" si="22"/>
        <v>150</v>
      </c>
      <c r="AO40" s="64">
        <f t="shared" si="23"/>
        <v>36</v>
      </c>
      <c r="AP40" s="66">
        <f t="shared" si="24"/>
        <v>0.31578947368421101</v>
      </c>
      <c r="AQ40" s="65">
        <f>IFERROR(GETPIVOTDATA("Sum of Qty",'[1]DATA LAST MONTH DEVICE'!$A$6,"ID Store",$C40,"Segment Price","3mio&gt;"),0)</f>
        <v>54</v>
      </c>
      <c r="AR40" s="67">
        <f t="shared" si="25"/>
        <v>11</v>
      </c>
      <c r="AS40" s="67">
        <f t="shared" si="26"/>
        <v>-43</v>
      </c>
      <c r="AT40" s="66">
        <f t="shared" si="27"/>
        <v>-0.79629629629629595</v>
      </c>
      <c r="AU40" s="81">
        <f>IFERROR(GETPIVOTDATA("Sum of SRP",'[1]DATA LAST MONTH DEVICE'!$A$6,"ID Store",$C40),0)</f>
        <v>535686000</v>
      </c>
      <c r="AV40" s="81">
        <f t="shared" si="28"/>
        <v>112170000</v>
      </c>
      <c r="AW40" s="81">
        <f t="shared" si="29"/>
        <v>-423516000</v>
      </c>
      <c r="AX40" s="66">
        <f t="shared" si="30"/>
        <v>-0.79060494394103997</v>
      </c>
      <c r="AY40" s="81">
        <f>IFERROR(VLOOKUP(C40,'[1]DATA SALES LAST MONTH'!A:E,5,0),0)</f>
        <v>4699000</v>
      </c>
      <c r="AZ40" s="68">
        <f t="shared" si="31"/>
        <v>3739000</v>
      </c>
      <c r="BA40" s="68">
        <f t="shared" si="32"/>
        <v>-960000</v>
      </c>
      <c r="BB40" s="78">
        <f t="shared" si="33"/>
        <v>-0.204298786975952</v>
      </c>
      <c r="BC40" s="61">
        <f>IFERROR(VLOOKUP(C40,'[1]TARGET THIS MONTH'!C:U,15,0),0)</f>
        <v>12</v>
      </c>
      <c r="BD40" s="82">
        <f>IFERROR(GETPIVOTDATA("Sum of Qty",[1]ACC!$A$5,"ID Store",$C40),0)</f>
        <v>1</v>
      </c>
      <c r="BE40" s="66">
        <f t="shared" si="34"/>
        <v>8.3333333333333301E-2</v>
      </c>
      <c r="BF40" s="83">
        <f>IFERROR(VLOOKUP(C40,'[1]TARGET THIS MONTH'!C:U,16,0),0)</f>
        <v>2580000</v>
      </c>
      <c r="BG40" s="83">
        <f>IFERROR(GETPIVOTDATA("Sum of SRP",'[1]Insurance by Store'!$A$5,"ID Store",$C40,"Product Type","Qoala"),0)</f>
        <v>159000</v>
      </c>
      <c r="BH40" s="66">
        <f t="shared" si="35"/>
        <v>6.1627906976744203E-2</v>
      </c>
      <c r="BI40" s="83">
        <f>IFERROR(VLOOKUP(C40,'[1]TARGET THIS MONTH'!C:U,17,0),0)</f>
        <v>516000</v>
      </c>
      <c r="BJ40" s="83">
        <f>IFERROR(GETPIVOTDATA("Sum of SRP",'[1]Insurance by Store'!$A$5,"ID Store",$C40,"Product Type","Vivo Care"),0)</f>
        <v>0</v>
      </c>
      <c r="BK40" s="66">
        <f t="shared" si="36"/>
        <v>0</v>
      </c>
      <c r="BL40" s="64">
        <f>IFERROR(VLOOKUP(C40,'[1]TARGET THIS MONTH'!C:U,18,0),0)</f>
        <v>3.6</v>
      </c>
      <c r="BM40" s="65">
        <f>IFERROR(GETPIVOTDATA("Sum of Qty",'[1]Operator by Store'!$A$5,"ID Store",$C40,"Product Type","Indosat"),0)</f>
        <v>0</v>
      </c>
      <c r="BN40" s="66">
        <f t="shared" si="37"/>
        <v>0</v>
      </c>
      <c r="BO40" s="64">
        <f>VLOOKUP(C40,'[1]TARGET THIS MONTH'!C:U,19,0)</f>
        <v>36</v>
      </c>
      <c r="BP40" s="65">
        <f>IFERROR(GETPIVOTDATA("Sum of Qty",'[1]Operator by Store'!$A$5,"ID Store",$C40,"Product Type","Telkomsel"),0)</f>
        <v>0</v>
      </c>
      <c r="BQ40" s="84">
        <f t="shared" si="38"/>
        <v>0</v>
      </c>
    </row>
    <row r="41" spans="1:69" x14ac:dyDescent="0.2">
      <c r="A41" s="55">
        <v>37</v>
      </c>
      <c r="B41" s="56" t="s">
        <v>90</v>
      </c>
      <c r="C41" s="57">
        <v>6190707</v>
      </c>
      <c r="D41" s="58" t="s">
        <v>97</v>
      </c>
      <c r="E41" s="85" t="s">
        <v>96</v>
      </c>
      <c r="F41" s="60">
        <v>4</v>
      </c>
      <c r="G41" s="61">
        <f>IFERROR(VLOOKUP(C41,'[1]TARGET THIS MONTH'!C:E,3,0),0)</f>
        <v>120</v>
      </c>
      <c r="H41" s="62">
        <f>IFERROR(VLOOKUP(C41,'[1]TARGET THIS MONTH'!C:M,11,0),0)</f>
        <v>516000000</v>
      </c>
      <c r="I41" s="61">
        <f>IFERROR(GETPIVOTDATA("Sum of Qty",'[1]DEVICE &amp; VALUE'!$A$6,"ID Store",$C41),0)</f>
        <v>29</v>
      </c>
      <c r="J41" s="63">
        <f t="shared" si="0"/>
        <v>0.241666666666667</v>
      </c>
      <c r="K41" s="64">
        <f t="shared" si="1"/>
        <v>-91</v>
      </c>
      <c r="L41" s="65">
        <f>IFERROR(GETPIVOTDATA("Sum of Qty",[1]PF!$A$5,"ID Store",$C41),0)</f>
        <v>4</v>
      </c>
      <c r="M41" s="65">
        <f>IFERROR(GETPIVOTDATA("Sum of Qty",'[1]DEVICE &amp; VALUE'!$A$6,"ID Store",$C41,"Segment Price","3mio&gt;"),0)</f>
        <v>7</v>
      </c>
      <c r="N41" s="66">
        <f t="shared" si="2"/>
        <v>0.24137931034482801</v>
      </c>
      <c r="O41" s="67">
        <f>IFERROR(GETPIVOTDATA("Sum of Qty",[1]IQOO!$A$6,"ID Store",$C41),0)</f>
        <v>2</v>
      </c>
      <c r="P41" s="66">
        <f t="shared" si="3"/>
        <v>6.8965517241379296E-2</v>
      </c>
      <c r="Q41" s="66">
        <f t="shared" si="4"/>
        <v>0.24137931034482801</v>
      </c>
      <c r="R41" s="68">
        <f>IFERROR(GETPIVOTDATA("Sum of SRP",'[1]DEVICE &amp; VALUE'!$A$6,"ID Store",$C41),0)</f>
        <v>90671000</v>
      </c>
      <c r="S41" s="66">
        <f t="shared" si="5"/>
        <v>0.17571899224806201</v>
      </c>
      <c r="T41" s="69">
        <f t="shared" si="6"/>
        <v>-425329000</v>
      </c>
      <c r="U41" s="70">
        <f t="shared" si="7"/>
        <v>145</v>
      </c>
      <c r="V41" s="71">
        <f t="shared" si="8"/>
        <v>1.2083333333333299</v>
      </c>
      <c r="W41" s="72">
        <f t="shared" si="9"/>
        <v>25</v>
      </c>
      <c r="X41" s="72">
        <f t="shared" si="10"/>
        <v>35</v>
      </c>
      <c r="Y41" s="72">
        <f t="shared" si="11"/>
        <v>-85</v>
      </c>
      <c r="Z41" s="73">
        <f t="shared" si="12"/>
        <v>453355000</v>
      </c>
      <c r="AA41" s="73">
        <f t="shared" si="13"/>
        <v>-62645000</v>
      </c>
      <c r="AB41" s="74">
        <f t="shared" si="14"/>
        <v>0.87859496124031</v>
      </c>
      <c r="AC41" s="75">
        <f t="shared" si="15"/>
        <v>3.7916666666666701</v>
      </c>
      <c r="AD41" s="76">
        <f t="shared" si="16"/>
        <v>17722041.666666701</v>
      </c>
      <c r="AE41" s="61">
        <f>IFERROR(GETPIVOTDATA("Sum of Qty",'[1]DATA LAST MONTH IQOO'!$A$6,"ID Store",$C41),0)</f>
        <v>12</v>
      </c>
      <c r="AF41" s="77">
        <f>IFERROR(GETPIVOTDATA("Sum of Qty",[1]IQOO!$A$6,"ID Store",$C41),0)</f>
        <v>2</v>
      </c>
      <c r="AG41" s="64">
        <f t="shared" si="17"/>
        <v>-10</v>
      </c>
      <c r="AH41" s="78">
        <f t="shared" si="18"/>
        <v>-0.83333333333333304</v>
      </c>
      <c r="AI41" s="79">
        <f>IFERROR(GETPIVOTDATA("Sum of Qty",'[1]DATA LAST MONTH DEVICE'!$A$6,"ID Store",$C41),0)</f>
        <v>118</v>
      </c>
      <c r="AJ41" s="80">
        <f t="shared" si="19"/>
        <v>29</v>
      </c>
      <c r="AK41" s="64">
        <f t="shared" si="20"/>
        <v>-89</v>
      </c>
      <c r="AL41" s="66">
        <f t="shared" si="21"/>
        <v>-0.75423728813559299</v>
      </c>
      <c r="AM41" s="65">
        <f>IFERROR(GETPIVOTDATA("Sum of Qty",'[1]Store 3mio+ last month'!$A$6,"ID Store",$C41),0)</f>
        <v>118</v>
      </c>
      <c r="AN41" s="64">
        <f t="shared" si="22"/>
        <v>145</v>
      </c>
      <c r="AO41" s="64">
        <f t="shared" si="23"/>
        <v>27</v>
      </c>
      <c r="AP41" s="66">
        <f t="shared" si="24"/>
        <v>0.22881355932203401</v>
      </c>
      <c r="AQ41" s="65">
        <f>IFERROR(GETPIVOTDATA("Sum of Qty",'[1]DATA LAST MONTH DEVICE'!$A$6,"ID Store",$C41,"Segment Price","3mio&gt;"),0)</f>
        <v>41</v>
      </c>
      <c r="AR41" s="67">
        <f t="shared" si="25"/>
        <v>7</v>
      </c>
      <c r="AS41" s="67">
        <f t="shared" si="26"/>
        <v>-34</v>
      </c>
      <c r="AT41" s="66">
        <f t="shared" si="27"/>
        <v>-0.82926829268292701</v>
      </c>
      <c r="AU41" s="81">
        <f>IFERROR(GETPIVOTDATA("Sum of SRP",'[1]DATA LAST MONTH DEVICE'!$A$6,"ID Store",$C41),0)</f>
        <v>482282000</v>
      </c>
      <c r="AV41" s="81">
        <f t="shared" si="28"/>
        <v>90671000</v>
      </c>
      <c r="AW41" s="81">
        <f t="shared" si="29"/>
        <v>-391611000</v>
      </c>
      <c r="AX41" s="66">
        <f t="shared" si="30"/>
        <v>-0.81199588622424201</v>
      </c>
      <c r="AY41" s="81">
        <f>IFERROR(VLOOKUP(C41,'[1]DATA SALES LAST MONTH'!A:E,5,0),0)</f>
        <v>4087135.5932203401</v>
      </c>
      <c r="AZ41" s="68">
        <f t="shared" si="31"/>
        <v>3126586.20689655</v>
      </c>
      <c r="BA41" s="68">
        <f t="shared" si="32"/>
        <v>-960549.38632378704</v>
      </c>
      <c r="BB41" s="78">
        <f t="shared" si="33"/>
        <v>-0.23501774394691699</v>
      </c>
      <c r="BC41" s="61">
        <f>IFERROR(VLOOKUP(C41,'[1]TARGET THIS MONTH'!C:U,15,0),0)</f>
        <v>12</v>
      </c>
      <c r="BD41" s="82">
        <f>IFERROR(GETPIVOTDATA("Sum of Qty",[1]ACC!$A$5,"ID Store",$C41),0)</f>
        <v>3</v>
      </c>
      <c r="BE41" s="66">
        <f t="shared" si="34"/>
        <v>0.25</v>
      </c>
      <c r="BF41" s="83">
        <f>IFERROR(VLOOKUP(C41,'[1]TARGET THIS MONTH'!C:U,16,0),0)</f>
        <v>2580000</v>
      </c>
      <c r="BG41" s="83">
        <f>IFERROR(GETPIVOTDATA("Sum of SRP",'[1]Insurance by Store'!$A$5,"ID Store",$C41,"Product Type","Qoala"),0)</f>
        <v>318000</v>
      </c>
      <c r="BH41" s="66">
        <f t="shared" si="35"/>
        <v>0.123255813953488</v>
      </c>
      <c r="BI41" s="83">
        <f>IFERROR(VLOOKUP(C41,'[1]TARGET THIS MONTH'!C:U,17,0),0)</f>
        <v>516000</v>
      </c>
      <c r="BJ41" s="83">
        <f>IFERROR(GETPIVOTDATA("Sum of SRP",'[1]Insurance by Store'!$A$5,"ID Store",$C41,"Product Type","Vivo Care"),0)</f>
        <v>0</v>
      </c>
      <c r="BK41" s="66">
        <f t="shared" si="36"/>
        <v>0</v>
      </c>
      <c r="BL41" s="64">
        <f>IFERROR(VLOOKUP(C41,'[1]TARGET THIS MONTH'!C:U,18,0),0)</f>
        <v>3.6</v>
      </c>
      <c r="BM41" s="65">
        <f>IFERROR(GETPIVOTDATA("Sum of Qty",'[1]Operator by Store'!$A$5,"ID Store",$C41,"Product Type","Indosat"),0)</f>
        <v>2</v>
      </c>
      <c r="BN41" s="66">
        <f t="shared" si="37"/>
        <v>0.55555555555555602</v>
      </c>
      <c r="BO41" s="64">
        <f>VLOOKUP(C41,'[1]TARGET THIS MONTH'!C:U,19,0)</f>
        <v>36</v>
      </c>
      <c r="BP41" s="65">
        <f>IFERROR(GETPIVOTDATA("Sum of Qty",'[1]Operator by Store'!$A$5,"ID Store",$C41,"Product Type","Telkomsel"),0)</f>
        <v>0</v>
      </c>
      <c r="BQ41" s="84">
        <f t="shared" si="38"/>
        <v>0</v>
      </c>
    </row>
    <row r="42" spans="1:69" x14ac:dyDescent="0.2">
      <c r="A42" s="55">
        <v>38</v>
      </c>
      <c r="B42" s="56" t="s">
        <v>90</v>
      </c>
      <c r="C42" s="57">
        <v>6190708</v>
      </c>
      <c r="D42" s="58" t="s">
        <v>98</v>
      </c>
      <c r="E42" s="85" t="s">
        <v>96</v>
      </c>
      <c r="F42" s="60">
        <v>1</v>
      </c>
      <c r="G42" s="61">
        <f>IFERROR(VLOOKUP(C42,'[1]TARGET THIS MONTH'!C:E,3,0),0)</f>
        <v>20</v>
      </c>
      <c r="H42" s="62">
        <f>IFERROR(VLOOKUP(C42,'[1]TARGET THIS MONTH'!C:M,11,0),0)</f>
        <v>86000000</v>
      </c>
      <c r="I42" s="61">
        <f>IFERROR(GETPIVOTDATA("Sum of Qty",'[1]DEVICE &amp; VALUE'!$A$6,"ID Store",$C42),0)</f>
        <v>1</v>
      </c>
      <c r="J42" s="63">
        <f t="shared" si="0"/>
        <v>0.05</v>
      </c>
      <c r="K42" s="64">
        <f t="shared" si="1"/>
        <v>-19</v>
      </c>
      <c r="L42" s="65">
        <f>IFERROR(GETPIVOTDATA("Sum of Qty",[1]PF!$A$5,"ID Store",$C42),0)</f>
        <v>0</v>
      </c>
      <c r="M42" s="65">
        <f>IFERROR(GETPIVOTDATA("Sum of Qty",'[1]DEVICE &amp; VALUE'!$A$6,"ID Store",$C42,"Segment Price","3mio&gt;"),0)</f>
        <v>1</v>
      </c>
      <c r="N42" s="66">
        <f t="shared" si="2"/>
        <v>1</v>
      </c>
      <c r="O42" s="67">
        <f>IFERROR(GETPIVOTDATA("Sum of Qty",[1]IQOO!$A$6,"ID Store",$C42),0)</f>
        <v>0</v>
      </c>
      <c r="P42" s="66">
        <f t="shared" si="3"/>
        <v>0</v>
      </c>
      <c r="Q42" s="66">
        <f t="shared" si="4"/>
        <v>1</v>
      </c>
      <c r="R42" s="68">
        <f>IFERROR(GETPIVOTDATA("Sum of SRP",'[1]DEVICE &amp; VALUE'!$A$6,"ID Store",$C42),0)</f>
        <v>9999000</v>
      </c>
      <c r="S42" s="66">
        <f t="shared" si="5"/>
        <v>0.116267441860465</v>
      </c>
      <c r="T42" s="69">
        <f t="shared" si="6"/>
        <v>-76001000</v>
      </c>
      <c r="U42" s="70">
        <f t="shared" si="7"/>
        <v>5</v>
      </c>
      <c r="V42" s="71">
        <f t="shared" si="8"/>
        <v>0.25</v>
      </c>
      <c r="W42" s="72">
        <f t="shared" si="9"/>
        <v>-15</v>
      </c>
      <c r="X42" s="72">
        <f t="shared" si="10"/>
        <v>5</v>
      </c>
      <c r="Y42" s="72">
        <f t="shared" si="11"/>
        <v>-15</v>
      </c>
      <c r="Z42" s="73">
        <f t="shared" si="12"/>
        <v>49995000</v>
      </c>
      <c r="AA42" s="73">
        <f t="shared" si="13"/>
        <v>-36005000</v>
      </c>
      <c r="AB42" s="74">
        <f t="shared" si="14"/>
        <v>0.58133720930232602</v>
      </c>
      <c r="AC42" s="75">
        <f t="shared" si="15"/>
        <v>0.79166666666666696</v>
      </c>
      <c r="AD42" s="76">
        <f t="shared" si="16"/>
        <v>3166708.3333333302</v>
      </c>
      <c r="AE42" s="61">
        <f>IFERROR(GETPIVOTDATA("Sum of Qty",'[1]DATA LAST MONTH IQOO'!$A$6,"ID Store",$C42),0)</f>
        <v>0</v>
      </c>
      <c r="AF42" s="77">
        <f>IFERROR(GETPIVOTDATA("Sum of Qty",[1]IQOO!$A$6,"ID Store",$C42),0)</f>
        <v>0</v>
      </c>
      <c r="AG42" s="64">
        <f t="shared" si="17"/>
        <v>0</v>
      </c>
      <c r="AH42" s="78">
        <f t="shared" si="18"/>
        <v>0</v>
      </c>
      <c r="AI42" s="79">
        <f>IFERROR(GETPIVOTDATA("Sum of Qty",'[1]DATA LAST MONTH DEVICE'!$A$6,"ID Store",$C42),0)</f>
        <v>0</v>
      </c>
      <c r="AJ42" s="80">
        <f t="shared" si="19"/>
        <v>1</v>
      </c>
      <c r="AK42" s="64">
        <f t="shared" si="20"/>
        <v>1</v>
      </c>
      <c r="AL42" s="66">
        <f t="shared" si="21"/>
        <v>0</v>
      </c>
      <c r="AM42" s="65">
        <f>IFERROR(GETPIVOTDATA("Sum of Qty",'[1]Store 3mio+ last month'!$A$6,"ID Store",$C42),0)</f>
        <v>0</v>
      </c>
      <c r="AN42" s="64">
        <f t="shared" si="22"/>
        <v>5</v>
      </c>
      <c r="AO42" s="64">
        <f t="shared" si="23"/>
        <v>5</v>
      </c>
      <c r="AP42" s="66">
        <f t="shared" si="24"/>
        <v>0</v>
      </c>
      <c r="AQ42" s="65">
        <f>IFERROR(GETPIVOTDATA("Sum of Qty",'[1]DATA LAST MONTH DEVICE'!$A$6,"ID Store",$C42,"Segment Price","3mio&gt;"),0)</f>
        <v>0</v>
      </c>
      <c r="AR42" s="67">
        <f t="shared" si="25"/>
        <v>1</v>
      </c>
      <c r="AS42" s="67">
        <f t="shared" si="26"/>
        <v>1</v>
      </c>
      <c r="AT42" s="66">
        <f t="shared" si="27"/>
        <v>0</v>
      </c>
      <c r="AU42" s="81">
        <f>IFERROR(GETPIVOTDATA("Sum of SRP",'[1]DATA LAST MONTH DEVICE'!$A$6,"ID Store",$C42),0)</f>
        <v>0</v>
      </c>
      <c r="AV42" s="81">
        <f t="shared" si="28"/>
        <v>9999000</v>
      </c>
      <c r="AW42" s="81">
        <f t="shared" si="29"/>
        <v>9999000</v>
      </c>
      <c r="AX42" s="66">
        <f t="shared" si="30"/>
        <v>0</v>
      </c>
      <c r="AY42" s="81">
        <f>IFERROR(VLOOKUP(C42,'[1]DATA SALES LAST MONTH'!A:E,5,0),0)</f>
        <v>0</v>
      </c>
      <c r="AZ42" s="68">
        <f t="shared" si="31"/>
        <v>9999000</v>
      </c>
      <c r="BA42" s="68">
        <f t="shared" si="32"/>
        <v>9999000</v>
      </c>
      <c r="BB42" s="78">
        <f t="shared" si="33"/>
        <v>0</v>
      </c>
      <c r="BC42" s="61">
        <f>IFERROR(VLOOKUP(C42,'[1]TARGET THIS MONTH'!C:U,15,0),0)</f>
        <v>2</v>
      </c>
      <c r="BD42" s="82">
        <f>IFERROR(GETPIVOTDATA("Sum of Qty",[1]ACC!$A$5,"ID Store",$C42),0)</f>
        <v>0</v>
      </c>
      <c r="BE42" s="66">
        <f t="shared" si="34"/>
        <v>0</v>
      </c>
      <c r="BF42" s="83">
        <f>IFERROR(VLOOKUP(C42,'[1]TARGET THIS MONTH'!C:U,16,0),0)</f>
        <v>430000</v>
      </c>
      <c r="BG42" s="83">
        <f>IFERROR(GETPIVOTDATA("Sum of SRP",'[1]Insurance by Store'!$A$5,"ID Store",$C42,"Product Type","Qoala"),0)</f>
        <v>0</v>
      </c>
      <c r="BH42" s="66">
        <f t="shared" si="35"/>
        <v>0</v>
      </c>
      <c r="BI42" s="83">
        <f>IFERROR(VLOOKUP(C42,'[1]TARGET THIS MONTH'!C:U,17,0),0)</f>
        <v>86000</v>
      </c>
      <c r="BJ42" s="83">
        <f>IFERROR(GETPIVOTDATA("Sum of SRP",'[1]Insurance by Store'!$A$5,"ID Store",$C42,"Product Type","Vivo Care"),0)</f>
        <v>0</v>
      </c>
      <c r="BK42" s="66">
        <f t="shared" si="36"/>
        <v>0</v>
      </c>
      <c r="BL42" s="64">
        <f>IFERROR(VLOOKUP(C42,'[1]TARGET THIS MONTH'!C:U,18,0),0)</f>
        <v>0.6</v>
      </c>
      <c r="BM42" s="65">
        <f>IFERROR(GETPIVOTDATA("Sum of Qty",'[1]Operator by Store'!$A$5,"ID Store",$C42,"Product Type","Indosat"),0)</f>
        <v>0</v>
      </c>
      <c r="BN42" s="66">
        <f t="shared" si="37"/>
        <v>0</v>
      </c>
      <c r="BO42" s="64">
        <f>VLOOKUP(C42,'[1]TARGET THIS MONTH'!C:U,19,0)</f>
        <v>6</v>
      </c>
      <c r="BP42" s="65">
        <f>IFERROR(GETPIVOTDATA("Sum of Qty",'[1]Operator by Store'!$A$5,"ID Store",$C42,"Product Type","Telkomsel"),0)</f>
        <v>0</v>
      </c>
      <c r="BQ42" s="84">
        <f t="shared" si="38"/>
        <v>0</v>
      </c>
    </row>
    <row r="43" spans="1:69" x14ac:dyDescent="0.2">
      <c r="A43" s="55">
        <v>39</v>
      </c>
      <c r="B43" s="56" t="s">
        <v>99</v>
      </c>
      <c r="C43" s="57">
        <v>6150702</v>
      </c>
      <c r="D43" s="58" t="s">
        <v>100</v>
      </c>
      <c r="E43" s="86" t="s">
        <v>101</v>
      </c>
      <c r="F43" s="60">
        <v>2</v>
      </c>
      <c r="G43" s="61">
        <f>IFERROR(VLOOKUP(C43,'[1]TARGET THIS MONTH'!C:E,3,0),0)</f>
        <v>20</v>
      </c>
      <c r="H43" s="62">
        <f>IFERROR(VLOOKUP(C43,'[1]TARGET THIS MONTH'!C:M,11,0),0)</f>
        <v>80000000</v>
      </c>
      <c r="I43" s="61">
        <f>IFERROR(GETPIVOTDATA("Sum of Qty",'[1]DEVICE &amp; VALUE'!$A$6,"ID Store",$C43),0)</f>
        <v>2</v>
      </c>
      <c r="J43" s="63">
        <f t="shared" si="0"/>
        <v>0.1</v>
      </c>
      <c r="K43" s="64">
        <f t="shared" si="1"/>
        <v>-18</v>
      </c>
      <c r="L43" s="65">
        <f>IFERROR(GETPIVOTDATA("Sum of Qty",[1]PF!$A$5,"ID Store",$C43),0)</f>
        <v>2</v>
      </c>
      <c r="M43" s="65">
        <f>IFERROR(GETPIVOTDATA("Sum of Qty",'[1]DEVICE &amp; VALUE'!$A$6,"ID Store",$C43,"Segment Price","3mio&gt;"),0)</f>
        <v>2</v>
      </c>
      <c r="N43" s="66">
        <f t="shared" si="2"/>
        <v>1</v>
      </c>
      <c r="O43" s="67">
        <f>IFERROR(GETPIVOTDATA("Sum of Qty",[1]IQOO!$A$6,"ID Store",$C43),0)</f>
        <v>0</v>
      </c>
      <c r="P43" s="66">
        <f t="shared" si="3"/>
        <v>0</v>
      </c>
      <c r="Q43" s="66">
        <f t="shared" si="4"/>
        <v>1</v>
      </c>
      <c r="R43" s="68">
        <f>IFERROR(GETPIVOTDATA("Sum of SRP",'[1]DEVICE &amp; VALUE'!$A$6,"ID Store",$C43),0)</f>
        <v>9798000</v>
      </c>
      <c r="S43" s="66">
        <f t="shared" si="5"/>
        <v>0.122475</v>
      </c>
      <c r="T43" s="69">
        <f t="shared" si="6"/>
        <v>-70202000</v>
      </c>
      <c r="U43" s="70">
        <f t="shared" si="7"/>
        <v>10</v>
      </c>
      <c r="V43" s="71">
        <f t="shared" si="8"/>
        <v>0.5</v>
      </c>
      <c r="W43" s="72">
        <f t="shared" si="9"/>
        <v>-10</v>
      </c>
      <c r="X43" s="72">
        <f t="shared" si="10"/>
        <v>10</v>
      </c>
      <c r="Y43" s="72">
        <f t="shared" si="11"/>
        <v>-10</v>
      </c>
      <c r="Z43" s="73">
        <f t="shared" si="12"/>
        <v>48990000</v>
      </c>
      <c r="AA43" s="73">
        <f t="shared" si="13"/>
        <v>-31010000</v>
      </c>
      <c r="AB43" s="74">
        <f t="shared" si="14"/>
        <v>0.612375</v>
      </c>
      <c r="AC43" s="75">
        <f t="shared" si="15"/>
        <v>0.75</v>
      </c>
      <c r="AD43" s="76">
        <f t="shared" si="16"/>
        <v>2925083.3333333302</v>
      </c>
      <c r="AE43" s="61">
        <f>IFERROR(GETPIVOTDATA("Sum of Qty",'[1]DATA LAST MONTH IQOO'!$A$6,"ID Store",$C43),0)</f>
        <v>0</v>
      </c>
      <c r="AF43" s="77">
        <f>IFERROR(GETPIVOTDATA("Sum of Qty",[1]IQOO!$A$6,"ID Store",$C43),0)</f>
        <v>0</v>
      </c>
      <c r="AG43" s="64">
        <f t="shared" si="17"/>
        <v>0</v>
      </c>
      <c r="AH43" s="78">
        <f t="shared" si="18"/>
        <v>0</v>
      </c>
      <c r="AI43" s="79">
        <f>IFERROR(GETPIVOTDATA("Sum of Qty",'[1]DATA LAST MONTH DEVICE'!$A$6,"ID Store",$C43),0)</f>
        <v>0</v>
      </c>
      <c r="AJ43" s="80">
        <f t="shared" si="19"/>
        <v>2</v>
      </c>
      <c r="AK43" s="64">
        <f t="shared" si="20"/>
        <v>2</v>
      </c>
      <c r="AL43" s="66">
        <f t="shared" si="21"/>
        <v>0</v>
      </c>
      <c r="AM43" s="65">
        <f>IFERROR(GETPIVOTDATA("Sum of Qty",'[1]Store 3mio+ last month'!$A$6,"ID Store",$C43),0)</f>
        <v>0</v>
      </c>
      <c r="AN43" s="64">
        <f t="shared" si="22"/>
        <v>10</v>
      </c>
      <c r="AO43" s="64">
        <f t="shared" si="23"/>
        <v>10</v>
      </c>
      <c r="AP43" s="66">
        <f t="shared" si="24"/>
        <v>0</v>
      </c>
      <c r="AQ43" s="65">
        <f>IFERROR(GETPIVOTDATA("Sum of Qty",'[1]DATA LAST MONTH DEVICE'!$A$6,"ID Store",$C43,"Segment Price","3mio&gt;"),0)</f>
        <v>0</v>
      </c>
      <c r="AR43" s="67">
        <f t="shared" si="25"/>
        <v>2</v>
      </c>
      <c r="AS43" s="67">
        <f t="shared" si="26"/>
        <v>2</v>
      </c>
      <c r="AT43" s="66">
        <f t="shared" si="27"/>
        <v>0</v>
      </c>
      <c r="AU43" s="81">
        <f>IFERROR(GETPIVOTDATA("Sum of SRP",'[1]DATA LAST MONTH DEVICE'!$A$6,"ID Store",$C43),0)</f>
        <v>0</v>
      </c>
      <c r="AV43" s="81">
        <f t="shared" si="28"/>
        <v>9798000</v>
      </c>
      <c r="AW43" s="81">
        <f t="shared" si="29"/>
        <v>9798000</v>
      </c>
      <c r="AX43" s="66">
        <f t="shared" si="30"/>
        <v>0</v>
      </c>
      <c r="AY43" s="81">
        <f>IFERROR(VLOOKUP(C43,'[1]DATA SALES LAST MONTH'!A:E,5,0),0)</f>
        <v>0</v>
      </c>
      <c r="AZ43" s="68">
        <f t="shared" si="31"/>
        <v>4899000</v>
      </c>
      <c r="BA43" s="68">
        <f t="shared" si="32"/>
        <v>4899000</v>
      </c>
      <c r="BB43" s="78">
        <f t="shared" si="33"/>
        <v>0</v>
      </c>
      <c r="BC43" s="61">
        <f>IFERROR(VLOOKUP(C43,'[1]TARGET THIS MONTH'!C:U,15,0),0)</f>
        <v>2</v>
      </c>
      <c r="BD43" s="82">
        <f>IFERROR(GETPIVOTDATA("Sum of Qty",[1]ACC!$A$5,"ID Store",$C43),0)</f>
        <v>0</v>
      </c>
      <c r="BE43" s="66">
        <f t="shared" si="34"/>
        <v>0</v>
      </c>
      <c r="BF43" s="83">
        <f>IFERROR(VLOOKUP(C43,'[1]TARGET THIS MONTH'!C:U,16,0),0)</f>
        <v>400000</v>
      </c>
      <c r="BG43" s="83">
        <f>IFERROR(GETPIVOTDATA("Sum of SRP",'[1]Insurance by Store'!$A$5,"ID Store",$C43,"Product Type","Qoala"),0)</f>
        <v>0</v>
      </c>
      <c r="BH43" s="66">
        <f t="shared" si="35"/>
        <v>0</v>
      </c>
      <c r="BI43" s="83">
        <f>IFERROR(VLOOKUP(C43,'[1]TARGET THIS MONTH'!C:U,17,0),0)</f>
        <v>80000</v>
      </c>
      <c r="BJ43" s="83">
        <f>IFERROR(GETPIVOTDATA("Sum of SRP",'[1]Insurance by Store'!$A$5,"ID Store",$C43,"Product Type","Vivo Care"),0)</f>
        <v>0</v>
      </c>
      <c r="BK43" s="66">
        <f t="shared" si="36"/>
        <v>0</v>
      </c>
      <c r="BL43" s="64">
        <f>IFERROR(VLOOKUP(C43,'[1]TARGET THIS MONTH'!C:U,18,0),0)</f>
        <v>0.6</v>
      </c>
      <c r="BM43" s="65">
        <f>IFERROR(GETPIVOTDATA("Sum of Qty",'[1]Operator by Store'!$A$5,"ID Store",$C43,"Product Type","Indosat"),0)</f>
        <v>0</v>
      </c>
      <c r="BN43" s="66">
        <f t="shared" si="37"/>
        <v>0</v>
      </c>
      <c r="BO43" s="64">
        <f>VLOOKUP(C43,'[1]TARGET THIS MONTH'!C:U,19,0)</f>
        <v>6</v>
      </c>
      <c r="BP43" s="65">
        <f>IFERROR(GETPIVOTDATA("Sum of Qty",'[1]Operator by Store'!$A$5,"ID Store",$C43,"Product Type","Telkomsel"),0)</f>
        <v>0</v>
      </c>
      <c r="BQ43" s="84">
        <f t="shared" si="38"/>
        <v>0</v>
      </c>
    </row>
    <row r="44" spans="1:69" x14ac:dyDescent="0.2">
      <c r="A44" s="55">
        <v>40</v>
      </c>
      <c r="B44" s="56" t="s">
        <v>102</v>
      </c>
      <c r="C44" s="57">
        <v>6130702</v>
      </c>
      <c r="D44" s="58" t="s">
        <v>103</v>
      </c>
      <c r="E44" s="85" t="s">
        <v>104</v>
      </c>
      <c r="F44" s="60">
        <v>3</v>
      </c>
      <c r="G44" s="61">
        <f>IFERROR(VLOOKUP(C44,'[1]TARGET THIS MONTH'!C:E,3,0),0)</f>
        <v>60</v>
      </c>
      <c r="H44" s="62">
        <f>IFERROR(VLOOKUP(C44,'[1]TARGET THIS MONTH'!C:M,11,0),0)</f>
        <v>300000000</v>
      </c>
      <c r="I44" s="61">
        <f>IFERROR(GETPIVOTDATA("Sum of Qty",'[1]DEVICE &amp; VALUE'!$A$6,"ID Store",$C44),0)</f>
        <v>8</v>
      </c>
      <c r="J44" s="63">
        <f t="shared" si="0"/>
        <v>0.133333333333333</v>
      </c>
      <c r="K44" s="64">
        <f t="shared" si="1"/>
        <v>-52</v>
      </c>
      <c r="L44" s="65">
        <f>IFERROR(GETPIVOTDATA("Sum of Qty",[1]PF!$A$5,"ID Store",$C44),0)</f>
        <v>2</v>
      </c>
      <c r="M44" s="65">
        <f>IFERROR(GETPIVOTDATA("Sum of Qty",'[1]DEVICE &amp; VALUE'!$A$6,"ID Store",$C44,"Segment Price","3mio&gt;"),0)</f>
        <v>6</v>
      </c>
      <c r="N44" s="66">
        <f t="shared" si="2"/>
        <v>0.75</v>
      </c>
      <c r="O44" s="67">
        <f>IFERROR(GETPIVOTDATA("Sum of Qty",[1]IQOO!$A$6,"ID Store",$C44),0)</f>
        <v>1</v>
      </c>
      <c r="P44" s="66">
        <f t="shared" si="3"/>
        <v>0.125</v>
      </c>
      <c r="Q44" s="66">
        <f t="shared" si="4"/>
        <v>0.75</v>
      </c>
      <c r="R44" s="68">
        <f>IFERROR(GETPIVOTDATA("Sum of SRP",'[1]DEVICE &amp; VALUE'!$A$6,"ID Store",$C44),0)</f>
        <v>44892000</v>
      </c>
      <c r="S44" s="66">
        <f t="shared" si="5"/>
        <v>0.14964</v>
      </c>
      <c r="T44" s="69">
        <f t="shared" si="6"/>
        <v>-255108000</v>
      </c>
      <c r="U44" s="70">
        <f t="shared" si="7"/>
        <v>40</v>
      </c>
      <c r="V44" s="71">
        <f t="shared" si="8"/>
        <v>0.66666666666666696</v>
      </c>
      <c r="W44" s="72">
        <f t="shared" si="9"/>
        <v>-20</v>
      </c>
      <c r="X44" s="72">
        <f t="shared" si="10"/>
        <v>30</v>
      </c>
      <c r="Y44" s="72">
        <f t="shared" si="11"/>
        <v>-30</v>
      </c>
      <c r="Z44" s="73">
        <f t="shared" si="12"/>
        <v>224460000</v>
      </c>
      <c r="AA44" s="73">
        <f t="shared" si="13"/>
        <v>-75540000</v>
      </c>
      <c r="AB44" s="74">
        <f t="shared" si="14"/>
        <v>0.74819999999999998</v>
      </c>
      <c r="AC44" s="75">
        <f t="shared" si="15"/>
        <v>2.1666666666666701</v>
      </c>
      <c r="AD44" s="76">
        <f t="shared" si="16"/>
        <v>10629500</v>
      </c>
      <c r="AE44" s="61">
        <f>IFERROR(GETPIVOTDATA("Sum of Qty",'[1]DATA LAST MONTH IQOO'!$A$6,"ID Store",$C44),0)</f>
        <v>18</v>
      </c>
      <c r="AF44" s="77">
        <f>IFERROR(GETPIVOTDATA("Sum of Qty",[1]IQOO!$A$6,"ID Store",$C44),0)</f>
        <v>1</v>
      </c>
      <c r="AG44" s="64">
        <f t="shared" si="17"/>
        <v>-17</v>
      </c>
      <c r="AH44" s="78">
        <f t="shared" si="18"/>
        <v>-0.94444444444444398</v>
      </c>
      <c r="AI44" s="79">
        <f>IFERROR(GETPIVOTDATA("Sum of Qty",'[1]DATA LAST MONTH DEVICE'!$A$6,"ID Store",$C44),0)</f>
        <v>70</v>
      </c>
      <c r="AJ44" s="80">
        <f t="shared" si="19"/>
        <v>8</v>
      </c>
      <c r="AK44" s="64">
        <f t="shared" si="20"/>
        <v>-62</v>
      </c>
      <c r="AL44" s="66">
        <f t="shared" si="21"/>
        <v>-0.88571428571428601</v>
      </c>
      <c r="AM44" s="65">
        <f>IFERROR(GETPIVOTDATA("Sum of Qty",'[1]Store 3mio+ last month'!$A$6,"ID Store",$C44),0)</f>
        <v>70</v>
      </c>
      <c r="AN44" s="64">
        <f t="shared" si="22"/>
        <v>40</v>
      </c>
      <c r="AO44" s="64">
        <f t="shared" si="23"/>
        <v>-30</v>
      </c>
      <c r="AP44" s="66">
        <f t="shared" si="24"/>
        <v>-0.42857142857142899</v>
      </c>
      <c r="AQ44" s="65">
        <f>IFERROR(GETPIVOTDATA("Sum of Qty",'[1]DATA LAST MONTH DEVICE'!$A$6,"ID Store",$C44,"Segment Price","3mio&gt;"),0)</f>
        <v>41</v>
      </c>
      <c r="AR44" s="67">
        <f t="shared" si="25"/>
        <v>6</v>
      </c>
      <c r="AS44" s="67">
        <f t="shared" si="26"/>
        <v>-35</v>
      </c>
      <c r="AT44" s="66">
        <f t="shared" si="27"/>
        <v>-0.85365853658536595</v>
      </c>
      <c r="AU44" s="81">
        <f>IFERROR(GETPIVOTDATA("Sum of SRP",'[1]DATA LAST MONTH DEVICE'!$A$6,"ID Store",$C44),0)</f>
        <v>369330000</v>
      </c>
      <c r="AV44" s="81">
        <f t="shared" si="28"/>
        <v>44892000</v>
      </c>
      <c r="AW44" s="81">
        <f t="shared" si="29"/>
        <v>-324438000</v>
      </c>
      <c r="AX44" s="66">
        <f t="shared" si="30"/>
        <v>-0.87845016651774799</v>
      </c>
      <c r="AY44" s="81">
        <f>IFERROR(VLOOKUP(C44,'[1]DATA SALES LAST MONTH'!A:E,5,0),0)</f>
        <v>5276142.8571428601</v>
      </c>
      <c r="AZ44" s="68">
        <f t="shared" si="31"/>
        <v>5611500</v>
      </c>
      <c r="BA44" s="68">
        <f t="shared" si="32"/>
        <v>335357.14285714302</v>
      </c>
      <c r="BB44" s="78">
        <f t="shared" si="33"/>
        <v>6.35610429697019E-2</v>
      </c>
      <c r="BC44" s="61">
        <f>IFERROR(VLOOKUP(C44,'[1]TARGET THIS MONTH'!C:U,15,0),0)</f>
        <v>6</v>
      </c>
      <c r="BD44" s="82">
        <f>IFERROR(GETPIVOTDATA("Sum of Qty",[1]ACC!$A$5,"ID Store",$C44),0)</f>
        <v>0</v>
      </c>
      <c r="BE44" s="66">
        <f t="shared" si="34"/>
        <v>0</v>
      </c>
      <c r="BF44" s="83">
        <f>IFERROR(VLOOKUP(C44,'[1]TARGET THIS MONTH'!C:U,16,0),0)</f>
        <v>1500000</v>
      </c>
      <c r="BG44" s="83">
        <f>IFERROR(GETPIVOTDATA("Sum of SRP",'[1]Insurance by Store'!$A$5,"ID Store",$C44,"Product Type","Qoala"),0)</f>
        <v>329000</v>
      </c>
      <c r="BH44" s="66">
        <f t="shared" si="35"/>
        <v>0.21933333333333299</v>
      </c>
      <c r="BI44" s="83">
        <f>IFERROR(VLOOKUP(C44,'[1]TARGET THIS MONTH'!C:U,17,0),0)</f>
        <v>300000</v>
      </c>
      <c r="BJ44" s="83">
        <f>IFERROR(GETPIVOTDATA("Sum of SRP",'[1]Insurance by Store'!$A$5,"ID Store",$C44,"Product Type","Vivo Care"),0)</f>
        <v>0</v>
      </c>
      <c r="BK44" s="66">
        <f t="shared" si="36"/>
        <v>0</v>
      </c>
      <c r="BL44" s="64">
        <f>IFERROR(VLOOKUP(C44,'[1]TARGET THIS MONTH'!C:U,18,0),0)</f>
        <v>1.8</v>
      </c>
      <c r="BM44" s="65">
        <f>IFERROR(GETPIVOTDATA("Sum of Qty",'[1]Operator by Store'!$A$5,"ID Store",$C44,"Product Type","Indosat"),0)</f>
        <v>0</v>
      </c>
      <c r="BN44" s="66">
        <f t="shared" si="37"/>
        <v>0</v>
      </c>
      <c r="BO44" s="64">
        <f>VLOOKUP(C44,'[1]TARGET THIS MONTH'!C:U,19,0)</f>
        <v>18</v>
      </c>
      <c r="BP44" s="65">
        <f>IFERROR(GETPIVOTDATA("Sum of Qty",'[1]Operator by Store'!$A$5,"ID Store",$C44,"Product Type","Telkomsel"),0)</f>
        <v>0</v>
      </c>
      <c r="BQ44" s="84">
        <f t="shared" si="38"/>
        <v>0</v>
      </c>
    </row>
    <row r="45" spans="1:69" x14ac:dyDescent="0.2">
      <c r="A45" s="55">
        <v>41</v>
      </c>
      <c r="B45" s="56" t="s">
        <v>105</v>
      </c>
      <c r="C45" s="57">
        <v>6100702</v>
      </c>
      <c r="D45" s="58" t="s">
        <v>106</v>
      </c>
      <c r="E45" s="86" t="s">
        <v>101</v>
      </c>
      <c r="F45" s="60">
        <v>1</v>
      </c>
      <c r="G45" s="61">
        <f>IFERROR(VLOOKUP(C45,'[1]TARGET THIS MONTH'!C:E,3,0),0)</f>
        <v>50</v>
      </c>
      <c r="H45" s="62">
        <f>IFERROR(VLOOKUP(C45,'[1]TARGET THIS MONTH'!C:M,11,0),0)</f>
        <v>350000000</v>
      </c>
      <c r="I45" s="61">
        <f>IFERROR(GETPIVOTDATA("Sum of Qty",'[1]DEVICE &amp; VALUE'!$A$6,"ID Store",$C45),0)</f>
        <v>6</v>
      </c>
      <c r="J45" s="63">
        <f t="shared" si="0"/>
        <v>0.12</v>
      </c>
      <c r="K45" s="64">
        <f t="shared" si="1"/>
        <v>-44</v>
      </c>
      <c r="L45" s="65">
        <f>IFERROR(GETPIVOTDATA("Sum of Qty",[1]PF!$A$5,"ID Store",$C45),0)</f>
        <v>1</v>
      </c>
      <c r="M45" s="65">
        <f>IFERROR(GETPIVOTDATA("Sum of Qty",'[1]DEVICE &amp; VALUE'!$A$6,"ID Store",$C45,"Segment Price","3mio&gt;"),0)</f>
        <v>3</v>
      </c>
      <c r="N45" s="66">
        <f t="shared" si="2"/>
        <v>0.5</v>
      </c>
      <c r="O45" s="67">
        <f>IFERROR(GETPIVOTDATA("Sum of Qty",[1]IQOO!$A$6,"ID Store",$C45),0)</f>
        <v>1</v>
      </c>
      <c r="P45" s="66">
        <f t="shared" si="3"/>
        <v>0.16666666666666699</v>
      </c>
      <c r="Q45" s="66">
        <f t="shared" si="4"/>
        <v>0.5</v>
      </c>
      <c r="R45" s="68">
        <f>IFERROR(GETPIVOTDATA("Sum of SRP",'[1]DEVICE &amp; VALUE'!$A$6,"ID Store",$C45),0)</f>
        <v>29494000</v>
      </c>
      <c r="S45" s="66">
        <f t="shared" si="5"/>
        <v>8.4268571428571401E-2</v>
      </c>
      <c r="T45" s="69">
        <f t="shared" si="6"/>
        <v>-320506000</v>
      </c>
      <c r="U45" s="70">
        <f t="shared" si="7"/>
        <v>30</v>
      </c>
      <c r="V45" s="71">
        <f t="shared" si="8"/>
        <v>0.6</v>
      </c>
      <c r="W45" s="72">
        <f t="shared" si="9"/>
        <v>-20</v>
      </c>
      <c r="X45" s="72">
        <f t="shared" si="10"/>
        <v>15</v>
      </c>
      <c r="Y45" s="72">
        <f t="shared" si="11"/>
        <v>-35</v>
      </c>
      <c r="Z45" s="73">
        <f t="shared" si="12"/>
        <v>147470000</v>
      </c>
      <c r="AA45" s="73">
        <f t="shared" si="13"/>
        <v>-202530000</v>
      </c>
      <c r="AB45" s="74">
        <f t="shared" si="14"/>
        <v>0.42134285714285702</v>
      </c>
      <c r="AC45" s="75">
        <f t="shared" si="15"/>
        <v>1.8333333333333299</v>
      </c>
      <c r="AD45" s="76">
        <f t="shared" si="16"/>
        <v>13354416.6666667</v>
      </c>
      <c r="AE45" s="61">
        <f>IFERROR(GETPIVOTDATA("Sum of Qty",'[1]DATA LAST MONTH IQOO'!$A$6,"ID Store",$C45),0)</f>
        <v>18</v>
      </c>
      <c r="AF45" s="77">
        <f>IFERROR(GETPIVOTDATA("Sum of Qty",[1]IQOO!$A$6,"ID Store",$C45),0)</f>
        <v>1</v>
      </c>
      <c r="AG45" s="64">
        <f t="shared" si="17"/>
        <v>-17</v>
      </c>
      <c r="AH45" s="78">
        <f t="shared" si="18"/>
        <v>-0.94444444444444398</v>
      </c>
      <c r="AI45" s="79">
        <f>IFERROR(GETPIVOTDATA("Sum of Qty",'[1]DATA LAST MONTH DEVICE'!$A$6,"ID Store",$C45),0)</f>
        <v>47</v>
      </c>
      <c r="AJ45" s="80">
        <f t="shared" si="19"/>
        <v>6</v>
      </c>
      <c r="AK45" s="64">
        <f t="shared" si="20"/>
        <v>-41</v>
      </c>
      <c r="AL45" s="66">
        <f t="shared" si="21"/>
        <v>-0.87234042553191504</v>
      </c>
      <c r="AM45" s="65">
        <f>IFERROR(GETPIVOTDATA("Sum of Qty",'[1]Store 3mio+ last month'!$A$6,"ID Store",$C45),0)</f>
        <v>47</v>
      </c>
      <c r="AN45" s="64">
        <f t="shared" si="22"/>
        <v>30</v>
      </c>
      <c r="AO45" s="64">
        <f t="shared" si="23"/>
        <v>-17</v>
      </c>
      <c r="AP45" s="66">
        <f t="shared" si="24"/>
        <v>-0.36170212765957399</v>
      </c>
      <c r="AQ45" s="65">
        <f>IFERROR(GETPIVOTDATA("Sum of Qty",'[1]DATA LAST MONTH DEVICE'!$A$6,"ID Store",$C45,"Segment Price","3mio&gt;"),0)</f>
        <v>39</v>
      </c>
      <c r="AR45" s="67">
        <f t="shared" si="25"/>
        <v>3</v>
      </c>
      <c r="AS45" s="67">
        <f t="shared" si="26"/>
        <v>-36</v>
      </c>
      <c r="AT45" s="66">
        <f t="shared" si="27"/>
        <v>-0.92307692307692302</v>
      </c>
      <c r="AU45" s="81">
        <f>IFERROR(GETPIVOTDATA("Sum of SRP",'[1]DATA LAST MONTH DEVICE'!$A$6,"ID Store",$C45),0)</f>
        <v>387653000</v>
      </c>
      <c r="AV45" s="81">
        <f t="shared" si="28"/>
        <v>29494000</v>
      </c>
      <c r="AW45" s="81">
        <f t="shared" si="29"/>
        <v>-358159000</v>
      </c>
      <c r="AX45" s="66">
        <f t="shared" si="30"/>
        <v>-0.92391649232690098</v>
      </c>
      <c r="AY45" s="81">
        <f>IFERROR(VLOOKUP(C45,'[1]DATA SALES LAST MONTH'!A:E,5,0),0)</f>
        <v>8247936.1702127699</v>
      </c>
      <c r="AZ45" s="68">
        <f t="shared" si="31"/>
        <v>4915666.6666666698</v>
      </c>
      <c r="BA45" s="68">
        <f t="shared" si="32"/>
        <v>-3332269.5035461001</v>
      </c>
      <c r="BB45" s="78">
        <f t="shared" si="33"/>
        <v>-0.40401252322738801</v>
      </c>
      <c r="BC45" s="61">
        <f>IFERROR(VLOOKUP(C45,'[1]TARGET THIS MONTH'!C:U,15,0),0)</f>
        <v>5</v>
      </c>
      <c r="BD45" s="82">
        <f>IFERROR(GETPIVOTDATA("Sum of Qty",[1]ACC!$A$5,"ID Store",$C45),0)</f>
        <v>0</v>
      </c>
      <c r="BE45" s="66">
        <f t="shared" si="34"/>
        <v>0</v>
      </c>
      <c r="BF45" s="83">
        <f>IFERROR(VLOOKUP(C45,'[1]TARGET THIS MONTH'!C:U,16,0),0)</f>
        <v>1750000</v>
      </c>
      <c r="BG45" s="83">
        <f>IFERROR(GETPIVOTDATA("Sum of SRP",'[1]Insurance by Store'!$A$5,"ID Store",$C45,"Product Type","Qoala"),0)</f>
        <v>0</v>
      </c>
      <c r="BH45" s="66">
        <f t="shared" si="35"/>
        <v>0</v>
      </c>
      <c r="BI45" s="83">
        <f>IFERROR(VLOOKUP(C45,'[1]TARGET THIS MONTH'!C:U,17,0),0)</f>
        <v>350000</v>
      </c>
      <c r="BJ45" s="83">
        <f>IFERROR(GETPIVOTDATA("Sum of SRP",'[1]Insurance by Store'!$A$5,"ID Store",$C45,"Product Type","Vivo Care"),0)</f>
        <v>0</v>
      </c>
      <c r="BK45" s="66">
        <f t="shared" si="36"/>
        <v>0</v>
      </c>
      <c r="BL45" s="64">
        <f>IFERROR(VLOOKUP(C45,'[1]TARGET THIS MONTH'!C:U,18,0),0)</f>
        <v>1.5</v>
      </c>
      <c r="BM45" s="65">
        <f>IFERROR(GETPIVOTDATA("Sum of Qty",'[1]Operator by Store'!$A$5,"ID Store",$C45,"Product Type","Indosat"),0)</f>
        <v>0</v>
      </c>
      <c r="BN45" s="66">
        <f t="shared" si="37"/>
        <v>0</v>
      </c>
      <c r="BO45" s="64">
        <f>VLOOKUP(C45,'[1]TARGET THIS MONTH'!C:U,19,0)</f>
        <v>15</v>
      </c>
      <c r="BP45" s="65">
        <f>IFERROR(GETPIVOTDATA("Sum of Qty",'[1]Operator by Store'!$A$5,"ID Store",$C45,"Product Type","Telkomsel"),0)</f>
        <v>0</v>
      </c>
      <c r="BQ45" s="84">
        <f t="shared" si="38"/>
        <v>0</v>
      </c>
    </row>
    <row r="46" spans="1:69" x14ac:dyDescent="0.2">
      <c r="A46" s="55">
        <v>42</v>
      </c>
      <c r="B46" s="56" t="s">
        <v>105</v>
      </c>
      <c r="C46" s="57">
        <v>6140706</v>
      </c>
      <c r="D46" s="58" t="s">
        <v>107</v>
      </c>
      <c r="E46" s="85" t="s">
        <v>108</v>
      </c>
      <c r="F46" s="60">
        <v>2</v>
      </c>
      <c r="G46" s="61">
        <f>IFERROR(VLOOKUP(C46,'[1]TARGET THIS MONTH'!C:E,3,0),0)</f>
        <v>30</v>
      </c>
      <c r="H46" s="62">
        <f>IFERROR(VLOOKUP(C46,'[1]TARGET THIS MONTH'!C:M,11,0),0)</f>
        <v>210000000</v>
      </c>
      <c r="I46" s="61">
        <f>IFERROR(GETPIVOTDATA("Sum of Qty",'[1]DEVICE &amp; VALUE'!$A$6,"ID Store",$C46),0)</f>
        <v>4</v>
      </c>
      <c r="J46" s="63">
        <f t="shared" si="0"/>
        <v>0.133333333333333</v>
      </c>
      <c r="K46" s="64">
        <f t="shared" si="1"/>
        <v>-26</v>
      </c>
      <c r="L46" s="65">
        <f>IFERROR(GETPIVOTDATA("Sum of Qty",[1]PF!$A$5,"ID Store",$C46),0)</f>
        <v>1</v>
      </c>
      <c r="M46" s="65">
        <f>IFERROR(GETPIVOTDATA("Sum of Qty",'[1]DEVICE &amp; VALUE'!$A$6,"ID Store",$C46,"Segment Price","3mio&gt;"),0)</f>
        <v>3</v>
      </c>
      <c r="N46" s="66">
        <f t="shared" si="2"/>
        <v>0.75</v>
      </c>
      <c r="O46" s="67">
        <f>IFERROR(GETPIVOTDATA("Sum of Qty",[1]IQOO!$A$6,"ID Store",$C46),0)</f>
        <v>0</v>
      </c>
      <c r="P46" s="66">
        <f t="shared" si="3"/>
        <v>0</v>
      </c>
      <c r="Q46" s="66">
        <f t="shared" si="4"/>
        <v>0.75</v>
      </c>
      <c r="R46" s="68">
        <f>IFERROR(GETPIVOTDATA("Sum of SRP",'[1]DEVICE &amp; VALUE'!$A$6,"ID Store",$C46),0)</f>
        <v>42696000</v>
      </c>
      <c r="S46" s="66">
        <f t="shared" si="5"/>
        <v>0.203314285714286</v>
      </c>
      <c r="T46" s="69">
        <f t="shared" si="6"/>
        <v>-167304000</v>
      </c>
      <c r="U46" s="70">
        <f t="shared" si="7"/>
        <v>20</v>
      </c>
      <c r="V46" s="71">
        <f t="shared" si="8"/>
        <v>0.66666666666666696</v>
      </c>
      <c r="W46" s="72">
        <f t="shared" si="9"/>
        <v>-10</v>
      </c>
      <c r="X46" s="72">
        <f t="shared" si="10"/>
        <v>15</v>
      </c>
      <c r="Y46" s="72">
        <f t="shared" si="11"/>
        <v>-15</v>
      </c>
      <c r="Z46" s="73">
        <f t="shared" si="12"/>
        <v>213480000</v>
      </c>
      <c r="AA46" s="73">
        <f t="shared" si="13"/>
        <v>3480000</v>
      </c>
      <c r="AB46" s="74">
        <f t="shared" si="14"/>
        <v>1.01657142857143</v>
      </c>
      <c r="AC46" s="75">
        <f t="shared" si="15"/>
        <v>1.0833333333333299</v>
      </c>
      <c r="AD46" s="76">
        <f t="shared" si="16"/>
        <v>6971000</v>
      </c>
      <c r="AE46" s="61">
        <f>IFERROR(GETPIVOTDATA("Sum of Qty",'[1]DATA LAST MONTH IQOO'!$A$6,"ID Store",$C46),0)</f>
        <v>9</v>
      </c>
      <c r="AF46" s="77">
        <f>IFERROR(GETPIVOTDATA("Sum of Qty",[1]IQOO!$A$6,"ID Store",$C46),0)</f>
        <v>0</v>
      </c>
      <c r="AG46" s="64">
        <f t="shared" si="17"/>
        <v>-9</v>
      </c>
      <c r="AH46" s="78">
        <f t="shared" si="18"/>
        <v>-1</v>
      </c>
      <c r="AI46" s="79">
        <f>IFERROR(GETPIVOTDATA("Sum of Qty",'[1]DATA LAST MONTH DEVICE'!$A$6,"ID Store",$C46),0)</f>
        <v>21</v>
      </c>
      <c r="AJ46" s="80">
        <f t="shared" si="19"/>
        <v>4</v>
      </c>
      <c r="AK46" s="64">
        <f t="shared" si="20"/>
        <v>-17</v>
      </c>
      <c r="AL46" s="66">
        <f t="shared" si="21"/>
        <v>-0.80952380952380998</v>
      </c>
      <c r="AM46" s="65">
        <f>IFERROR(GETPIVOTDATA("Sum of Qty",'[1]Store 3mio+ last month'!$A$6,"ID Store",$C46),0)</f>
        <v>21</v>
      </c>
      <c r="AN46" s="64">
        <f t="shared" si="22"/>
        <v>20</v>
      </c>
      <c r="AO46" s="64">
        <f t="shared" si="23"/>
        <v>-1</v>
      </c>
      <c r="AP46" s="66">
        <f t="shared" si="24"/>
        <v>-4.7619047619047603E-2</v>
      </c>
      <c r="AQ46" s="65">
        <f>IFERROR(GETPIVOTDATA("Sum of Qty",'[1]DATA LAST MONTH DEVICE'!$A$6,"ID Store",$C46,"Segment Price","3mio&gt;"),0)</f>
        <v>19</v>
      </c>
      <c r="AR46" s="67">
        <f t="shared" si="25"/>
        <v>3</v>
      </c>
      <c r="AS46" s="67">
        <f t="shared" si="26"/>
        <v>-16</v>
      </c>
      <c r="AT46" s="66">
        <f t="shared" si="27"/>
        <v>-0.84210526315789502</v>
      </c>
      <c r="AU46" s="81">
        <f>IFERROR(GETPIVOTDATA("Sum of SRP",'[1]DATA LAST MONTH DEVICE'!$A$6,"ID Store",$C46),0)</f>
        <v>222079000</v>
      </c>
      <c r="AV46" s="81">
        <f t="shared" si="28"/>
        <v>42696000</v>
      </c>
      <c r="AW46" s="81">
        <f t="shared" si="29"/>
        <v>-179383000</v>
      </c>
      <c r="AX46" s="66">
        <f t="shared" si="30"/>
        <v>-0.80774409106669298</v>
      </c>
      <c r="AY46" s="81">
        <f>IFERROR(VLOOKUP(C46,'[1]DATA SALES LAST MONTH'!A:E,5,0),0)</f>
        <v>0</v>
      </c>
      <c r="AZ46" s="68">
        <f t="shared" si="31"/>
        <v>10674000</v>
      </c>
      <c r="BA46" s="68">
        <f t="shared" si="32"/>
        <v>10674000</v>
      </c>
      <c r="BB46" s="78">
        <f t="shared" si="33"/>
        <v>0</v>
      </c>
      <c r="BC46" s="61">
        <f>IFERROR(VLOOKUP(C46,'[1]TARGET THIS MONTH'!C:U,15,0),0)</f>
        <v>3</v>
      </c>
      <c r="BD46" s="82">
        <f>IFERROR(GETPIVOTDATA("Sum of Qty",[1]ACC!$A$5,"ID Store",$C46),0)</f>
        <v>0</v>
      </c>
      <c r="BE46" s="66">
        <f t="shared" si="34"/>
        <v>0</v>
      </c>
      <c r="BF46" s="83">
        <f>IFERROR(VLOOKUP(C46,'[1]TARGET THIS MONTH'!C:U,16,0),0)</f>
        <v>1050000</v>
      </c>
      <c r="BG46" s="83">
        <f>IFERROR(GETPIVOTDATA("Sum of SRP",'[1]Insurance by Store'!$A$5,"ID Store",$C46,"Product Type","Qoala"),0)</f>
        <v>0</v>
      </c>
      <c r="BH46" s="66">
        <f t="shared" si="35"/>
        <v>0</v>
      </c>
      <c r="BI46" s="83">
        <f>IFERROR(VLOOKUP(C46,'[1]TARGET THIS MONTH'!C:U,17,0),0)</f>
        <v>210000</v>
      </c>
      <c r="BJ46" s="83">
        <f>IFERROR(GETPIVOTDATA("Sum of SRP",'[1]Insurance by Store'!$A$5,"ID Store",$C46,"Product Type","Vivo Care"),0)</f>
        <v>0</v>
      </c>
      <c r="BK46" s="66">
        <f t="shared" si="36"/>
        <v>0</v>
      </c>
      <c r="BL46" s="64">
        <f>IFERROR(VLOOKUP(C46,'[1]TARGET THIS MONTH'!C:U,18,0),0)</f>
        <v>0.9</v>
      </c>
      <c r="BM46" s="65">
        <f>IFERROR(GETPIVOTDATA("Sum of Qty",'[1]Operator by Store'!$A$5,"ID Store",$C46,"Product Type","Indosat"),0)</f>
        <v>0</v>
      </c>
      <c r="BN46" s="66">
        <f t="shared" si="37"/>
        <v>0</v>
      </c>
      <c r="BO46" s="64">
        <f>VLOOKUP(C46,'[1]TARGET THIS MONTH'!C:U,19,0)</f>
        <v>9</v>
      </c>
      <c r="BP46" s="65">
        <f>IFERROR(GETPIVOTDATA("Sum of Qty",'[1]Operator by Store'!$A$5,"ID Store",$C46,"Product Type","Telkomsel"),0)</f>
        <v>0</v>
      </c>
      <c r="BQ46" s="84">
        <f t="shared" si="38"/>
        <v>0</v>
      </c>
    </row>
    <row r="47" spans="1:69" x14ac:dyDescent="0.2">
      <c r="A47" s="87">
        <v>43</v>
      </c>
      <c r="B47" s="88" t="s">
        <v>105</v>
      </c>
      <c r="C47" s="89">
        <v>6140705</v>
      </c>
      <c r="D47" s="90" t="s">
        <v>109</v>
      </c>
      <c r="E47" s="91" t="s">
        <v>110</v>
      </c>
      <c r="F47" s="92">
        <v>3</v>
      </c>
      <c r="G47" s="93">
        <f>IFERROR(VLOOKUP(C47,'[1]TARGET THIS MONTH'!C:E,3,0),0)</f>
        <v>60</v>
      </c>
      <c r="H47" s="94">
        <f>IFERROR(VLOOKUP(C47,'[1]TARGET THIS MONTH'!C:M,11,0),0)</f>
        <v>420000000</v>
      </c>
      <c r="I47" s="93">
        <f>IFERROR(GETPIVOTDATA("Sum of Qty",'[1]DEVICE &amp; VALUE'!$A$6,"ID Store",$C47),0)</f>
        <v>11</v>
      </c>
      <c r="J47" s="95">
        <f t="shared" si="0"/>
        <v>0.18333333333333299</v>
      </c>
      <c r="K47" s="96">
        <f t="shared" si="1"/>
        <v>-49</v>
      </c>
      <c r="L47" s="97">
        <f>IFERROR(GETPIVOTDATA("Sum of Qty",[1]PF!$A$5,"ID Store",$C47),0)</f>
        <v>0</v>
      </c>
      <c r="M47" s="97">
        <f>IFERROR(GETPIVOTDATA("Sum of Qty",'[1]DEVICE &amp; VALUE'!$A$6,"ID Store",$C47,"Segment Price","3mio&gt;"),0)</f>
        <v>10</v>
      </c>
      <c r="N47" s="98">
        <f t="shared" si="2"/>
        <v>0.90909090909090895</v>
      </c>
      <c r="O47" s="99">
        <f>IFERROR(GETPIVOTDATA("Sum of Qty",[1]IQOO!$A$6,"ID Store",$C47),0)</f>
        <v>4</v>
      </c>
      <c r="P47" s="98">
        <f t="shared" si="3"/>
        <v>0.36363636363636398</v>
      </c>
      <c r="Q47" s="98">
        <f t="shared" si="4"/>
        <v>0.90909090909090895</v>
      </c>
      <c r="R47" s="100">
        <f>IFERROR(GETPIVOTDATA("Sum of SRP",'[1]DEVICE &amp; VALUE'!$A$6,"ID Store",$C47),0)</f>
        <v>93089000</v>
      </c>
      <c r="S47" s="98">
        <f t="shared" si="5"/>
        <v>0.221640476190476</v>
      </c>
      <c r="T47" s="101">
        <f t="shared" si="6"/>
        <v>-326911000</v>
      </c>
      <c r="U47" s="102">
        <f t="shared" si="7"/>
        <v>55</v>
      </c>
      <c r="V47" s="103">
        <f t="shared" si="8"/>
        <v>0.91666666666666696</v>
      </c>
      <c r="W47" s="104">
        <f t="shared" si="9"/>
        <v>-5</v>
      </c>
      <c r="X47" s="104">
        <f t="shared" si="10"/>
        <v>50</v>
      </c>
      <c r="Y47" s="104">
        <f t="shared" si="11"/>
        <v>-10</v>
      </c>
      <c r="Z47" s="105">
        <f t="shared" si="12"/>
        <v>465445000</v>
      </c>
      <c r="AA47" s="105">
        <f t="shared" si="13"/>
        <v>45445000</v>
      </c>
      <c r="AB47" s="106">
        <f t="shared" si="14"/>
        <v>1.10820238095238</v>
      </c>
      <c r="AC47" s="107">
        <f t="shared" si="15"/>
        <v>2.0416666666666701</v>
      </c>
      <c r="AD47" s="108">
        <f t="shared" si="16"/>
        <v>13621291.6666667</v>
      </c>
      <c r="AE47" s="93">
        <f>IFERROR(GETPIVOTDATA("Sum of Qty",'[1]DATA LAST MONTH IQOO'!$A$6,"ID Store",$C47),0)</f>
        <v>27</v>
      </c>
      <c r="AF47" s="109">
        <f>IFERROR(GETPIVOTDATA("Sum of Qty",[1]IQOO!$A$6,"ID Store",$C47),0)</f>
        <v>4</v>
      </c>
      <c r="AG47" s="96">
        <f t="shared" si="17"/>
        <v>-23</v>
      </c>
      <c r="AH47" s="110">
        <f t="shared" si="18"/>
        <v>-0.85185185185185197</v>
      </c>
      <c r="AI47" s="111">
        <f>IFERROR(GETPIVOTDATA("Sum of Qty",'[1]DATA LAST MONTH DEVICE'!$A$6,"ID Store",$C47),0)</f>
        <v>56</v>
      </c>
      <c r="AJ47" s="112">
        <f t="shared" si="19"/>
        <v>11</v>
      </c>
      <c r="AK47" s="96">
        <f t="shared" si="20"/>
        <v>-45</v>
      </c>
      <c r="AL47" s="98">
        <f t="shared" si="21"/>
        <v>-0.80357142857142905</v>
      </c>
      <c r="AM47" s="97">
        <f>IFERROR(GETPIVOTDATA("Sum of Qty",'[1]Store 3mio+ last month'!$A$6,"ID Store",$C47),0)</f>
        <v>56</v>
      </c>
      <c r="AN47" s="96">
        <f t="shared" si="22"/>
        <v>55</v>
      </c>
      <c r="AO47" s="96">
        <f t="shared" si="23"/>
        <v>-1</v>
      </c>
      <c r="AP47" s="98">
        <f t="shared" si="24"/>
        <v>-1.7857142857142901E-2</v>
      </c>
      <c r="AQ47" s="97">
        <f>IFERROR(GETPIVOTDATA("Sum of Qty",'[1]DATA LAST MONTH DEVICE'!$A$6,"ID Store",$C47,"Segment Price","3mio&gt;"),0)</f>
        <v>45</v>
      </c>
      <c r="AR47" s="99">
        <f t="shared" si="25"/>
        <v>10</v>
      </c>
      <c r="AS47" s="99">
        <f t="shared" si="26"/>
        <v>-35</v>
      </c>
      <c r="AT47" s="98">
        <f t="shared" si="27"/>
        <v>-0.77777777777777801</v>
      </c>
      <c r="AU47" s="113">
        <f>IFERROR(GETPIVOTDATA("Sum of SRP",'[1]DATA LAST MONTH DEVICE'!$A$6,"ID Store",$C47),0)</f>
        <v>500244000</v>
      </c>
      <c r="AV47" s="113">
        <f t="shared" si="28"/>
        <v>93089000</v>
      </c>
      <c r="AW47" s="113">
        <f t="shared" si="29"/>
        <v>-407155000</v>
      </c>
      <c r="AX47" s="98">
        <f t="shared" si="30"/>
        <v>-0.81391281054845199</v>
      </c>
      <c r="AY47" s="113">
        <f>IFERROR(VLOOKUP(C47,'[1]DATA SALES LAST MONTH'!A:E,5,0),0)</f>
        <v>8932928.5714285709</v>
      </c>
      <c r="AZ47" s="100">
        <f t="shared" si="31"/>
        <v>8462636.3636363596</v>
      </c>
      <c r="BA47" s="100">
        <f t="shared" si="32"/>
        <v>-470292.20779220801</v>
      </c>
      <c r="BB47" s="110">
        <f t="shared" si="33"/>
        <v>-5.2647035519393801E-2</v>
      </c>
      <c r="BC47" s="93">
        <f>IFERROR(VLOOKUP(C47,'[1]TARGET THIS MONTH'!C:U,15,0),0)</f>
        <v>6</v>
      </c>
      <c r="BD47" s="114">
        <f>IFERROR(GETPIVOTDATA("Sum of Qty",[1]ACC!$A$5,"ID Store",$C47),0)</f>
        <v>1</v>
      </c>
      <c r="BE47" s="98">
        <f t="shared" si="34"/>
        <v>0.16666666666666699</v>
      </c>
      <c r="BF47" s="115">
        <f>IFERROR(VLOOKUP(C47,'[1]TARGET THIS MONTH'!C:U,16,0),0)</f>
        <v>2100000</v>
      </c>
      <c r="BG47" s="115">
        <f>IFERROR(GETPIVOTDATA("Sum of SRP",'[1]Insurance by Store'!$A$5,"ID Store",$C47,"Product Type","Qoala"),0)</f>
        <v>499000</v>
      </c>
      <c r="BH47" s="98">
        <f t="shared" si="35"/>
        <v>0.23761904761904801</v>
      </c>
      <c r="BI47" s="115">
        <f>IFERROR(VLOOKUP(C47,'[1]TARGET THIS MONTH'!C:U,17,0),0)</f>
        <v>420000</v>
      </c>
      <c r="BJ47" s="115">
        <f>IFERROR(GETPIVOTDATA("Sum of SRP",'[1]Insurance by Store'!$A$5,"ID Store",$C47,"Product Type","Vivo Care"),0)</f>
        <v>0</v>
      </c>
      <c r="BK47" s="98">
        <f t="shared" si="36"/>
        <v>0</v>
      </c>
      <c r="BL47" s="96">
        <f>IFERROR(VLOOKUP(C47,'[1]TARGET THIS MONTH'!C:U,18,0),0)</f>
        <v>1.8</v>
      </c>
      <c r="BM47" s="97">
        <f>IFERROR(GETPIVOTDATA("Sum of Qty",'[1]Operator by Store'!$A$5,"ID Store",$C47,"Product Type","Indosat"),0)</f>
        <v>0</v>
      </c>
      <c r="BN47" s="98">
        <f t="shared" si="37"/>
        <v>0</v>
      </c>
      <c r="BO47" s="96">
        <f>VLOOKUP(C47,'[1]TARGET THIS MONTH'!C:U,19,0)</f>
        <v>18</v>
      </c>
      <c r="BP47" s="97">
        <f>IFERROR(GETPIVOTDATA("Sum of Qty",'[1]Operator by Store'!$A$5,"ID Store",$C47,"Product Type","Telkomsel"),0)</f>
        <v>0</v>
      </c>
      <c r="BQ47" s="116">
        <f t="shared" si="38"/>
        <v>0</v>
      </c>
    </row>
    <row r="48" spans="1:69" x14ac:dyDescent="0.2">
      <c r="A48" s="145" t="s">
        <v>111</v>
      </c>
      <c r="B48" s="146"/>
      <c r="C48" s="146"/>
      <c r="D48" s="146"/>
      <c r="E48" s="146"/>
      <c r="F48" s="118">
        <f t="shared" ref="F48:I48" si="39">SUM(F5:F47)</f>
        <v>114</v>
      </c>
      <c r="G48" s="119">
        <f t="shared" si="39"/>
        <v>3400</v>
      </c>
      <c r="H48" s="120">
        <f t="shared" si="39"/>
        <v>15659000000</v>
      </c>
      <c r="I48" s="119">
        <f t="shared" si="39"/>
        <v>749</v>
      </c>
      <c r="J48" s="121">
        <f t="shared" si="0"/>
        <v>0.220294117647059</v>
      </c>
      <c r="K48" s="122">
        <f t="shared" si="1"/>
        <v>-2651</v>
      </c>
      <c r="L48" s="117">
        <f t="shared" ref="L48:O48" si="40">SUM(L5:L47)</f>
        <v>146</v>
      </c>
      <c r="M48" s="117">
        <f t="shared" si="40"/>
        <v>273</v>
      </c>
      <c r="N48" s="123">
        <f>M48/I48</f>
        <v>0.36448598130841098</v>
      </c>
      <c r="O48" s="122">
        <f t="shared" si="40"/>
        <v>28</v>
      </c>
      <c r="P48" s="123">
        <f>O48/I48</f>
        <v>3.7383177570093497E-2</v>
      </c>
      <c r="Q48" s="123">
        <f>M48/I48</f>
        <v>0.36448598130841098</v>
      </c>
      <c r="R48" s="124">
        <f>SUM(R5:R47)</f>
        <v>2922151000</v>
      </c>
      <c r="S48" s="123">
        <f>R48/H48</f>
        <v>0.18661159716456999</v>
      </c>
      <c r="T48" s="125">
        <f t="shared" si="6"/>
        <v>-12736849000</v>
      </c>
      <c r="U48" s="126">
        <f t="shared" ref="U48:Z48" si="41">SUM(U5:U47)</f>
        <v>3745</v>
      </c>
      <c r="V48" s="121">
        <f>U48/G48</f>
        <v>1.10147058823529</v>
      </c>
      <c r="W48" s="122">
        <f t="shared" si="9"/>
        <v>345</v>
      </c>
      <c r="X48" s="122">
        <f t="shared" si="41"/>
        <v>1365</v>
      </c>
      <c r="Y48" s="122">
        <f t="shared" si="11"/>
        <v>-2035</v>
      </c>
      <c r="Z48" s="124">
        <f t="shared" si="41"/>
        <v>14610755000</v>
      </c>
      <c r="AA48" s="124">
        <f t="shared" si="13"/>
        <v>-1048245000</v>
      </c>
      <c r="AB48" s="127">
        <f>Z48/H48</f>
        <v>0.93305798582284905</v>
      </c>
      <c r="AC48" s="128">
        <f t="shared" ref="AC48:AF48" si="42">SUM(AC5:AC47)</f>
        <v>110.458333333333</v>
      </c>
      <c r="AD48" s="120">
        <f t="shared" si="42"/>
        <v>530702041.66666698</v>
      </c>
      <c r="AE48" s="119">
        <f t="shared" si="42"/>
        <v>481</v>
      </c>
      <c r="AF48" s="129">
        <f t="shared" si="42"/>
        <v>28</v>
      </c>
      <c r="AG48" s="122">
        <f t="shared" si="17"/>
        <v>-453</v>
      </c>
      <c r="AH48" s="127">
        <f>AG48/AE48</f>
        <v>-0.94178794178794201</v>
      </c>
      <c r="AI48" s="130">
        <f t="shared" ref="AI48:AN48" si="43">SUM(AI5:AI47)</f>
        <v>3166</v>
      </c>
      <c r="AJ48" s="129">
        <f t="shared" si="43"/>
        <v>749</v>
      </c>
      <c r="AK48" s="122">
        <f t="shared" si="20"/>
        <v>-2417</v>
      </c>
      <c r="AL48" s="123">
        <f>AK48/AI48</f>
        <v>-0.76342387871130801</v>
      </c>
      <c r="AM48" s="117">
        <f t="shared" si="43"/>
        <v>3166</v>
      </c>
      <c r="AN48" s="122">
        <f t="shared" si="43"/>
        <v>3745</v>
      </c>
      <c r="AO48" s="122">
        <f t="shared" si="23"/>
        <v>579</v>
      </c>
      <c r="AP48" s="123">
        <f>AO48/AM48</f>
        <v>0.18288060644346199</v>
      </c>
      <c r="AQ48" s="117">
        <f t="shared" ref="AQ48:AV48" si="44">SUM(AQ5:AQ47)</f>
        <v>1431</v>
      </c>
      <c r="AR48" s="122">
        <f t="shared" si="44"/>
        <v>273</v>
      </c>
      <c r="AS48" s="122">
        <f t="shared" si="26"/>
        <v>-1158</v>
      </c>
      <c r="AT48" s="123">
        <f>AS48/AQ48</f>
        <v>-0.80922431865828104</v>
      </c>
      <c r="AU48" s="124">
        <f t="shared" si="44"/>
        <v>14942734000</v>
      </c>
      <c r="AV48" s="124">
        <f t="shared" si="44"/>
        <v>2922151000</v>
      </c>
      <c r="AW48" s="124">
        <f t="shared" si="29"/>
        <v>-12020583000</v>
      </c>
      <c r="AX48" s="123">
        <f>AW48/AU48</f>
        <v>-0.80444335019280899</v>
      </c>
      <c r="AY48" s="124">
        <f>AU48/AI48</f>
        <v>4719751.73720783</v>
      </c>
      <c r="AZ48" s="124">
        <f>Z48/U48</f>
        <v>3901403.2042723601</v>
      </c>
      <c r="BA48" s="124">
        <f t="shared" si="32"/>
        <v>-818348.53293546999</v>
      </c>
      <c r="BB48" s="127">
        <f>BA48/AY48</f>
        <v>-0.17338804634236901</v>
      </c>
      <c r="BC48" s="119">
        <f t="shared" ref="BC48:BG48" si="45">SUM(BC5:BC47)</f>
        <v>340</v>
      </c>
      <c r="BD48" s="131">
        <f t="shared" si="45"/>
        <v>130</v>
      </c>
      <c r="BE48" s="123">
        <f>BD48/BC48</f>
        <v>0.38235294117647101</v>
      </c>
      <c r="BF48" s="124">
        <f t="shared" si="45"/>
        <v>76290000</v>
      </c>
      <c r="BG48" s="124">
        <f t="shared" si="45"/>
        <v>15004000</v>
      </c>
      <c r="BH48" s="123">
        <f>BG48/BF48</f>
        <v>0.19667059903001699</v>
      </c>
      <c r="BI48" s="124">
        <f t="shared" ref="BI48:BM48" si="46">SUM(BI5:BI47)</f>
        <v>15508000</v>
      </c>
      <c r="BJ48" s="124">
        <f t="shared" si="46"/>
        <v>0</v>
      </c>
      <c r="BK48" s="123">
        <f>BJ48/BI48</f>
        <v>0</v>
      </c>
      <c r="BL48" s="122">
        <f t="shared" si="46"/>
        <v>102</v>
      </c>
      <c r="BM48" s="117">
        <f t="shared" si="46"/>
        <v>9</v>
      </c>
      <c r="BN48" s="123">
        <f>BM48/BL48</f>
        <v>8.8235294117647106E-2</v>
      </c>
      <c r="BO48" s="122">
        <f>SUM(BO5:BO47)</f>
        <v>1020</v>
      </c>
      <c r="BP48" s="117">
        <f>SUM(BP5:BP47)</f>
        <v>0</v>
      </c>
      <c r="BQ48" s="132">
        <f>BP48/BO48</f>
        <v>0</v>
      </c>
    </row>
  </sheetData>
  <mergeCells count="40">
    <mergeCell ref="BQ3:BQ4"/>
    <mergeCell ref="A1:C2"/>
    <mergeCell ref="G1:H3"/>
    <mergeCell ref="AC1:AD3"/>
    <mergeCell ref="I1:T3"/>
    <mergeCell ref="U1:AB3"/>
    <mergeCell ref="AE1:AH3"/>
    <mergeCell ref="AI1:BB2"/>
    <mergeCell ref="BL3:BL4"/>
    <mergeCell ref="BM3:BM4"/>
    <mergeCell ref="BN3:BN4"/>
    <mergeCell ref="BO3:BO4"/>
    <mergeCell ref="BP3:BP4"/>
    <mergeCell ref="BG3:BG4"/>
    <mergeCell ref="BH3:BH4"/>
    <mergeCell ref="BI3:BI4"/>
    <mergeCell ref="BJ3:BJ4"/>
    <mergeCell ref="BK3:BK4"/>
    <mergeCell ref="F3:F4"/>
    <mergeCell ref="BC3:BC4"/>
    <mergeCell ref="BD3:BD4"/>
    <mergeCell ref="BE3:BE4"/>
    <mergeCell ref="BF3:BF4"/>
    <mergeCell ref="A48:E48"/>
    <mergeCell ref="A3:A4"/>
    <mergeCell ref="B3:B4"/>
    <mergeCell ref="C3:C4"/>
    <mergeCell ref="D3:D4"/>
    <mergeCell ref="E3:E4"/>
    <mergeCell ref="AI3:AL3"/>
    <mergeCell ref="AM3:AP3"/>
    <mergeCell ref="AQ3:AT3"/>
    <mergeCell ref="AU3:AX3"/>
    <mergeCell ref="AY3:BB3"/>
    <mergeCell ref="BC1:BQ1"/>
    <mergeCell ref="BC2:BE2"/>
    <mergeCell ref="BF2:BH2"/>
    <mergeCell ref="BI2:BK2"/>
    <mergeCell ref="BL2:BN2"/>
    <mergeCell ref="BO2:BQ2"/>
  </mergeCells>
  <conditionalFormatting sqref="A5 C5:D5 A7 A9 A11 A13 A15 A17 A19 A21:A23 A25 A27 A29 A31 A33 A35 A37 A39:A41 A43 A45 A47">
    <cfRule type="duplicateValues" dxfId="53" priority="52"/>
  </conditionalFormatting>
  <conditionalFormatting sqref="A6 A8 A10 A12 A14 A16 A18 A20 A24 A26 A28 A30 A32 A34 A36 A38 A42 A44 A46">
    <cfRule type="duplicateValues" dxfId="52" priority="9"/>
  </conditionalFormatting>
  <conditionalFormatting sqref="A5:BQ47">
    <cfRule type="expression" dxfId="51" priority="53">
      <formula>MOD(ROW(),2)=0</formula>
    </cfRule>
  </conditionalFormatting>
  <conditionalFormatting sqref="B5:B47">
    <cfRule type="expression" dxfId="50" priority="54" stopIfTrue="1">
      <formula>AND(ROW()&gt;5,$B5=$B4)</formula>
    </cfRule>
  </conditionalFormatting>
  <conditionalFormatting sqref="B6:C6">
    <cfRule type="duplicateValues" dxfId="49" priority="51"/>
  </conditionalFormatting>
  <conditionalFormatting sqref="B7:C7">
    <cfRule type="duplicateValues" dxfId="48" priority="50"/>
  </conditionalFormatting>
  <conditionalFormatting sqref="B8:C8">
    <cfRule type="duplicateValues" dxfId="47" priority="49"/>
  </conditionalFormatting>
  <conditionalFormatting sqref="B9:C9">
    <cfRule type="duplicateValues" dxfId="46" priority="48"/>
  </conditionalFormatting>
  <conditionalFormatting sqref="B10:C10">
    <cfRule type="duplicateValues" dxfId="45" priority="47"/>
  </conditionalFormatting>
  <conditionalFormatting sqref="B11:C11">
    <cfRule type="duplicateValues" dxfId="44" priority="46"/>
  </conditionalFormatting>
  <conditionalFormatting sqref="B12:C12">
    <cfRule type="duplicateValues" dxfId="43" priority="45"/>
  </conditionalFormatting>
  <conditionalFormatting sqref="B13:C13">
    <cfRule type="duplicateValues" dxfId="42" priority="44"/>
  </conditionalFormatting>
  <conditionalFormatting sqref="B14:C14">
    <cfRule type="duplicateValues" dxfId="41" priority="43"/>
  </conditionalFormatting>
  <conditionalFormatting sqref="B15:C15">
    <cfRule type="duplicateValues" dxfId="40" priority="42"/>
  </conditionalFormatting>
  <conditionalFormatting sqref="B16:C16">
    <cfRule type="duplicateValues" dxfId="39" priority="41"/>
  </conditionalFormatting>
  <conditionalFormatting sqref="B17:C17">
    <cfRule type="duplicateValues" dxfId="38" priority="40"/>
  </conditionalFormatting>
  <conditionalFormatting sqref="B18:C18">
    <cfRule type="duplicateValues" dxfId="37" priority="39"/>
  </conditionalFormatting>
  <conditionalFormatting sqref="B19:C19">
    <cfRule type="duplicateValues" dxfId="36" priority="38"/>
  </conditionalFormatting>
  <conditionalFormatting sqref="B20:C20">
    <cfRule type="duplicateValues" dxfId="35" priority="37"/>
  </conditionalFormatting>
  <conditionalFormatting sqref="B21:C21">
    <cfRule type="duplicateValues" dxfId="34" priority="36"/>
  </conditionalFormatting>
  <conditionalFormatting sqref="B22:C22">
    <cfRule type="duplicateValues" dxfId="33" priority="35"/>
  </conditionalFormatting>
  <conditionalFormatting sqref="B23:C23">
    <cfRule type="duplicateValues" dxfId="32" priority="34"/>
  </conditionalFormatting>
  <conditionalFormatting sqref="B24:C24">
    <cfRule type="duplicateValues" dxfId="31" priority="33"/>
  </conditionalFormatting>
  <conditionalFormatting sqref="B25:C25">
    <cfRule type="duplicateValues" dxfId="30" priority="32"/>
  </conditionalFormatting>
  <conditionalFormatting sqref="B26:C26">
    <cfRule type="duplicateValues" dxfId="29" priority="31"/>
  </conditionalFormatting>
  <conditionalFormatting sqref="B27:C27">
    <cfRule type="duplicateValues" dxfId="28" priority="30"/>
  </conditionalFormatting>
  <conditionalFormatting sqref="B28:C28">
    <cfRule type="duplicateValues" dxfId="27" priority="29"/>
  </conditionalFormatting>
  <conditionalFormatting sqref="B29:C29">
    <cfRule type="duplicateValues" dxfId="26" priority="28"/>
  </conditionalFormatting>
  <conditionalFormatting sqref="B30:C30">
    <cfRule type="duplicateValues" dxfId="25" priority="27"/>
  </conditionalFormatting>
  <conditionalFormatting sqref="B31:C31">
    <cfRule type="duplicateValues" dxfId="24" priority="26"/>
  </conditionalFormatting>
  <conditionalFormatting sqref="B32:C32">
    <cfRule type="duplicateValues" dxfId="23" priority="25"/>
  </conditionalFormatting>
  <conditionalFormatting sqref="B33:C33">
    <cfRule type="duplicateValues" dxfId="22" priority="24"/>
  </conditionalFormatting>
  <conditionalFormatting sqref="B34:C34">
    <cfRule type="duplicateValues" dxfId="21" priority="23"/>
  </conditionalFormatting>
  <conditionalFormatting sqref="B35:C35">
    <cfRule type="duplicateValues" dxfId="20" priority="22"/>
  </conditionalFormatting>
  <conditionalFormatting sqref="B36:C36">
    <cfRule type="duplicateValues" dxfId="19" priority="21"/>
  </conditionalFormatting>
  <conditionalFormatting sqref="B37:C37">
    <cfRule type="duplicateValues" dxfId="18" priority="20"/>
  </conditionalFormatting>
  <conditionalFormatting sqref="B38:C38">
    <cfRule type="duplicateValues" dxfId="17" priority="19"/>
  </conditionalFormatting>
  <conditionalFormatting sqref="B39:C39">
    <cfRule type="duplicateValues" dxfId="16" priority="18"/>
  </conditionalFormatting>
  <conditionalFormatting sqref="B40:C40">
    <cfRule type="duplicateValues" dxfId="15" priority="17"/>
  </conditionalFormatting>
  <conditionalFormatting sqref="B41:C41">
    <cfRule type="duplicateValues" dxfId="14" priority="16"/>
  </conditionalFormatting>
  <conditionalFormatting sqref="B42:C42">
    <cfRule type="duplicateValues" dxfId="13" priority="15"/>
  </conditionalFormatting>
  <conditionalFormatting sqref="B43:C43">
    <cfRule type="duplicateValues" dxfId="12" priority="14"/>
  </conditionalFormatting>
  <conditionalFormatting sqref="B44:C44">
    <cfRule type="duplicateValues" dxfId="11" priority="13"/>
  </conditionalFormatting>
  <conditionalFormatting sqref="B45:C45">
    <cfRule type="duplicateValues" dxfId="10" priority="12"/>
  </conditionalFormatting>
  <conditionalFormatting sqref="B46:C46">
    <cfRule type="duplicateValues" dxfId="9" priority="11"/>
  </conditionalFormatting>
  <conditionalFormatting sqref="B47:C47">
    <cfRule type="duplicateValues" dxfId="8" priority="10"/>
  </conditionalFormatting>
  <conditionalFormatting sqref="J5:J47">
    <cfRule type="cellIs" dxfId="7" priority="8" operator="lessThan">
      <formula>$F$2</formula>
    </cfRule>
  </conditionalFormatting>
  <conditionalFormatting sqref="K5:K47">
    <cfRule type="cellIs" dxfId="6" priority="4" operator="lessThan">
      <formula>0</formula>
    </cfRule>
  </conditionalFormatting>
  <conditionalFormatting sqref="S5:S47">
    <cfRule type="cellIs" dxfId="5" priority="7" operator="lessThan">
      <formula>$F$2</formula>
    </cfRule>
  </conditionalFormatting>
  <conditionalFormatting sqref="AL5:AL47">
    <cfRule type="cellIs" dxfId="4" priority="6" operator="lessThan">
      <formula>0</formula>
    </cfRule>
  </conditionalFormatting>
  <conditionalFormatting sqref="AX5:AX47">
    <cfRule type="cellIs" dxfId="3" priority="5" operator="lessThan">
      <formula>0</formula>
    </cfRule>
  </conditionalFormatting>
  <conditionalFormatting sqref="BE5:BE47">
    <cfRule type="cellIs" dxfId="2" priority="3" operator="lessThan">
      <formula>$F$2</formula>
    </cfRule>
  </conditionalFormatting>
  <conditionalFormatting sqref="BH5:BH47">
    <cfRule type="cellIs" dxfId="1" priority="2" operator="lessThan">
      <formula>$F$2</formula>
    </cfRule>
  </conditionalFormatting>
  <conditionalFormatting sqref="BN5:BN47">
    <cfRule type="cellIs" dxfId="0" priority="1" operator="lessThan">
      <formula>$F$2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9C2C4-875A-8D44-BFEC-167108D945A8}">
  <dimension ref="A1:AO48"/>
  <sheetViews>
    <sheetView tabSelected="1" workbookViewId="0">
      <selection activeCell="G20" sqref="G20"/>
    </sheetView>
  </sheetViews>
  <sheetFormatPr baseColWidth="10" defaultRowHeight="13" x14ac:dyDescent="0.15"/>
  <cols>
    <col min="1" max="1" width="5.83203125" style="176" customWidth="1"/>
    <col min="2" max="2" width="23.33203125" style="176" customWidth="1"/>
    <col min="3" max="3" width="12.5" style="176" customWidth="1"/>
    <col min="4" max="4" width="36.6640625" style="176" customWidth="1"/>
    <col min="5" max="5" width="18.33203125" style="176" customWidth="1"/>
    <col min="6" max="41" width="10.33203125" style="176" customWidth="1"/>
    <col min="42" max="16384" width="10.83203125" style="176"/>
  </cols>
  <sheetData>
    <row r="1" spans="1:41" ht="16" x14ac:dyDescent="0.2">
      <c r="A1" s="190" t="s">
        <v>116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0"/>
      <c r="AH1" s="190"/>
      <c r="AI1" s="190"/>
      <c r="AJ1" s="190"/>
      <c r="AK1" s="190"/>
      <c r="AL1" s="190"/>
      <c r="AM1" s="190"/>
      <c r="AN1" s="190"/>
      <c r="AO1" s="190"/>
    </row>
    <row r="2" spans="1:41" x14ac:dyDescent="0.15">
      <c r="F2" s="187" t="str">
        <f>'[2]SALES PERTYPE'!D7</f>
        <v>3mio&lt;</v>
      </c>
      <c r="G2" s="187"/>
      <c r="H2" s="187"/>
      <c r="I2" s="187"/>
      <c r="J2" s="187"/>
      <c r="K2" s="187"/>
      <c r="L2" s="187"/>
      <c r="M2" s="187"/>
      <c r="N2" s="187" t="str">
        <f>'[2]SALES PERTYPE'!L7</f>
        <v>3mio&gt;</v>
      </c>
      <c r="O2" s="187"/>
      <c r="P2" s="187"/>
      <c r="Q2" s="187"/>
      <c r="R2" s="187"/>
      <c r="S2" s="187"/>
      <c r="T2" s="187"/>
      <c r="U2" s="187"/>
      <c r="V2" s="187"/>
      <c r="W2" s="187"/>
      <c r="X2" s="187"/>
      <c r="Y2" s="187"/>
      <c r="Z2" s="187"/>
      <c r="AA2" s="187"/>
      <c r="AB2" s="187"/>
      <c r="AC2" s="187"/>
      <c r="AD2" s="187"/>
      <c r="AE2" s="187"/>
      <c r="AF2" s="187"/>
      <c r="AG2" s="187"/>
      <c r="AH2" s="187"/>
      <c r="AI2" s="187"/>
      <c r="AJ2" s="187"/>
      <c r="AK2" s="187"/>
      <c r="AL2" s="187"/>
      <c r="AM2" s="187"/>
      <c r="AN2" s="188" t="s">
        <v>111</v>
      </c>
      <c r="AO2" s="188"/>
    </row>
    <row r="3" spans="1:41" ht="30" customHeight="1" x14ac:dyDescent="0.15">
      <c r="A3" s="187" t="s">
        <v>16</v>
      </c>
      <c r="B3" s="187" t="s">
        <v>17</v>
      </c>
      <c r="C3" s="187" t="s">
        <v>115</v>
      </c>
      <c r="D3" s="187" t="s">
        <v>19</v>
      </c>
      <c r="E3" s="187" t="s">
        <v>114</v>
      </c>
      <c r="F3" s="189" t="str">
        <f>'[2]SALES PERTYPE'!D8</f>
        <v>Y05</v>
      </c>
      <c r="G3" s="189"/>
      <c r="H3" s="189" t="str">
        <f>'[2]SALES PERTYPE'!F8</f>
        <v>Y11d</v>
      </c>
      <c r="I3" s="189"/>
      <c r="J3" s="189" t="str">
        <f>'[2]SALES PERTYPE'!H8</f>
        <v>Watch GT 2</v>
      </c>
      <c r="K3" s="189"/>
      <c r="L3" s="189" t="str">
        <f>'[2]SALES PERTYPE'!J8</f>
        <v>Y05e</v>
      </c>
      <c r="M3" s="189"/>
      <c r="N3" s="189" t="str">
        <f>'[2]SALES PERTYPE'!L8</f>
        <v>V70</v>
      </c>
      <c r="O3" s="189"/>
      <c r="P3" s="189" t="str">
        <f>'[2]SALES PERTYPE'!N8</f>
        <v>Y31d Pro</v>
      </c>
      <c r="Q3" s="189"/>
      <c r="R3" s="189" t="str">
        <f>'[2]SALES PERTYPE'!P8</f>
        <v>Y11d</v>
      </c>
      <c r="S3" s="189"/>
      <c r="T3" s="189" t="str">
        <f>'[2]SALES PERTYPE'!R8</f>
        <v xml:space="preserve">Y31d </v>
      </c>
      <c r="U3" s="189"/>
      <c r="V3" s="189" t="str">
        <f>'[2]SALES PERTYPE'!T8</f>
        <v>V70 FE</v>
      </c>
      <c r="W3" s="189"/>
      <c r="X3" s="189" t="str">
        <f>'[2]SALES PERTYPE'!V8</f>
        <v>Y31d</v>
      </c>
      <c r="Y3" s="189"/>
      <c r="Z3" s="189" t="str">
        <f>'[2]SALES PERTYPE'!X8</f>
        <v>Y500</v>
      </c>
      <c r="AA3" s="189"/>
      <c r="AB3" s="189" t="str">
        <f>'[2]SALES PERTYPE'!Z8</f>
        <v>IQOO 15R</v>
      </c>
      <c r="AC3" s="189"/>
      <c r="AD3" s="189" t="str">
        <f>'[2]SALES PERTYPE'!AB8</f>
        <v>V60 Lite</v>
      </c>
      <c r="AE3" s="189"/>
      <c r="AF3" s="189" t="str">
        <f>'[2]SALES PERTYPE'!AD8</f>
        <v>X300 Ultra</v>
      </c>
      <c r="AG3" s="189"/>
      <c r="AH3" s="189" t="str">
        <f>'[2]SALES PERTYPE'!AF8</f>
        <v>IQOO 15</v>
      </c>
      <c r="AI3" s="189"/>
      <c r="AJ3" s="189" t="str">
        <f>'[2]SALES PERTYPE'!AH8</f>
        <v>IQOO Z11x</v>
      </c>
      <c r="AK3" s="189"/>
      <c r="AL3" s="189" t="str">
        <f>'[2]SALES PERTYPE'!AJ8</f>
        <v>IQOO Z11</v>
      </c>
      <c r="AM3" s="189"/>
      <c r="AN3" s="188" t="s">
        <v>111</v>
      </c>
      <c r="AO3" s="188"/>
    </row>
    <row r="4" spans="1:41" x14ac:dyDescent="0.15">
      <c r="A4" s="187"/>
      <c r="B4" s="187"/>
      <c r="C4" s="187"/>
      <c r="D4" s="187"/>
      <c r="E4" s="187"/>
      <c r="F4" s="186" t="s">
        <v>113</v>
      </c>
      <c r="G4" s="186" t="s">
        <v>112</v>
      </c>
      <c r="H4" s="186" t="s">
        <v>113</v>
      </c>
      <c r="I4" s="186" t="s">
        <v>112</v>
      </c>
      <c r="J4" s="186" t="s">
        <v>113</v>
      </c>
      <c r="K4" s="186" t="s">
        <v>112</v>
      </c>
      <c r="L4" s="186" t="s">
        <v>113</v>
      </c>
      <c r="M4" s="186" t="s">
        <v>112</v>
      </c>
      <c r="N4" s="186" t="s">
        <v>113</v>
      </c>
      <c r="O4" s="186" t="s">
        <v>112</v>
      </c>
      <c r="P4" s="186" t="s">
        <v>113</v>
      </c>
      <c r="Q4" s="186" t="s">
        <v>112</v>
      </c>
      <c r="R4" s="186" t="s">
        <v>113</v>
      </c>
      <c r="S4" s="186" t="s">
        <v>112</v>
      </c>
      <c r="T4" s="186" t="s">
        <v>113</v>
      </c>
      <c r="U4" s="186" t="s">
        <v>112</v>
      </c>
      <c r="V4" s="186" t="s">
        <v>113</v>
      </c>
      <c r="W4" s="186" t="s">
        <v>112</v>
      </c>
      <c r="X4" s="186" t="s">
        <v>113</v>
      </c>
      <c r="Y4" s="186" t="s">
        <v>112</v>
      </c>
      <c r="Z4" s="186" t="s">
        <v>113</v>
      </c>
      <c r="AA4" s="186" t="s">
        <v>112</v>
      </c>
      <c r="AB4" s="186" t="s">
        <v>113</v>
      </c>
      <c r="AC4" s="186" t="s">
        <v>112</v>
      </c>
      <c r="AD4" s="186" t="s">
        <v>113</v>
      </c>
      <c r="AE4" s="186" t="s">
        <v>112</v>
      </c>
      <c r="AF4" s="186" t="s">
        <v>113</v>
      </c>
      <c r="AG4" s="186" t="s">
        <v>112</v>
      </c>
      <c r="AH4" s="186" t="s">
        <v>113</v>
      </c>
      <c r="AI4" s="186" t="s">
        <v>112</v>
      </c>
      <c r="AJ4" s="186" t="s">
        <v>113</v>
      </c>
      <c r="AK4" s="186" t="s">
        <v>112</v>
      </c>
      <c r="AL4" s="186" t="s">
        <v>113</v>
      </c>
      <c r="AM4" s="186" t="s">
        <v>112</v>
      </c>
      <c r="AN4" s="185" t="s">
        <v>113</v>
      </c>
      <c r="AO4" s="185" t="s">
        <v>112</v>
      </c>
    </row>
    <row r="5" spans="1:41" x14ac:dyDescent="0.15">
      <c r="A5" s="181">
        <f>'[2]ACHIEVEMENT STORE'!A5</f>
        <v>1</v>
      </c>
      <c r="B5" s="180" t="str">
        <f>'[2]ACHIEVEMENT STORE'!B5</f>
        <v>601 雅加达西北 JKT BU</v>
      </c>
      <c r="C5" s="181">
        <f>'[2]ACHIEVEMENT STORE'!C5</f>
        <v>6010708</v>
      </c>
      <c r="D5" s="180" t="str">
        <f>'[2]ACHIEVEMENT STORE'!D5</f>
        <v>6010708-MVS SHOWROOM CENTRAL PARK</v>
      </c>
      <c r="E5" s="180" t="str">
        <f>'[2]ACHIEVEMENT STORE'!E5</f>
        <v>NANDI FEBRIANA</v>
      </c>
      <c r="F5" s="179">
        <f>IFERROR(INDEX('[2]SALES PERTYPE'!$D$10:$D$52,MATCH($C5,'[2]SALES PERTYPE'!$B$10:$B$52,0)),0)</f>
        <v>3</v>
      </c>
      <c r="G5" s="179">
        <f>IFERROR(INDEX('[2]SALES PERTYPE'!$E$10:$E$52,MATCH($C5,'[2]SALES PERTYPE'!$B$10:$B$52,0)),0)</f>
        <v>7797000</v>
      </c>
      <c r="H5" s="179">
        <f>IFERROR(INDEX('[2]SALES PERTYPE'!$F$10:$F$52,MATCH($C5,'[2]SALES PERTYPE'!$B$10:$B$52,0)),0)</f>
        <v>2</v>
      </c>
      <c r="I5" s="179">
        <f>IFERROR(INDEX('[2]SALES PERTYPE'!$G$10:$G$52,MATCH($C5,'[2]SALES PERTYPE'!$B$10:$B$52,0)),0)</f>
        <v>4798000</v>
      </c>
      <c r="J5" s="179">
        <f>IFERROR(INDEX('[2]SALES PERTYPE'!$H$10:$H$52,MATCH($C5,'[2]SALES PERTYPE'!$B$10:$B$52,0)),0)</f>
        <v>0</v>
      </c>
      <c r="K5" s="179">
        <f>IFERROR(INDEX('[2]SALES PERTYPE'!$I$10:$I$52,MATCH($C5,'[2]SALES PERTYPE'!$B$10:$B$52,0)),0)</f>
        <v>0</v>
      </c>
      <c r="L5" s="179">
        <f>IFERROR(INDEX('[2]SALES PERTYPE'!$J$10:$J$52,MATCH($C5,'[2]SALES PERTYPE'!$B$10:$B$52,0)),0)</f>
        <v>3</v>
      </c>
      <c r="M5" s="179">
        <f>IFERROR(INDEX('[2]SALES PERTYPE'!$K$10:$K$52,MATCH($C5,'[2]SALES PERTYPE'!$B$10:$B$52,0)),0)</f>
        <v>6297000</v>
      </c>
      <c r="N5" s="179">
        <f>IFERROR(INDEX('[2]SALES PERTYPE'!$L$10:$L$52,MATCH($C5,'[2]SALES PERTYPE'!$B$10:$B$52,0)),0)</f>
        <v>0</v>
      </c>
      <c r="O5" s="179">
        <f>IFERROR(INDEX('[2]SALES PERTYPE'!$M$10:$M$52,MATCH($C5,'[2]SALES PERTYPE'!$B$10:$B$52,0)),0)</f>
        <v>0</v>
      </c>
      <c r="P5" s="179">
        <f>IFERROR(INDEX('[2]SALES PERTYPE'!$N$10:$N$52,MATCH($C5,'[2]SALES PERTYPE'!$B$10:$B$52,0)),0)</f>
        <v>3</v>
      </c>
      <c r="Q5" s="179">
        <f>IFERROR(INDEX('[2]SALES PERTYPE'!$O$10:$O$52,MATCH($C5,'[2]SALES PERTYPE'!$B$10:$B$52,0)),0)</f>
        <v>12897000</v>
      </c>
      <c r="R5" s="179">
        <f>IFERROR(INDEX('[2]SALES PERTYPE'!$P$10:$P$52,MATCH($C5,'[2]SALES PERTYPE'!$B$10:$B$52,0)),0)</f>
        <v>0</v>
      </c>
      <c r="S5" s="179">
        <f>IFERROR(INDEX('[2]SALES PERTYPE'!$Q$10:$Q$52,MATCH($C5,'[2]SALES PERTYPE'!$B$10:$B$52,0)),0)</f>
        <v>0</v>
      </c>
      <c r="T5" s="179">
        <f>IFERROR(INDEX('[2]SALES PERTYPE'!$R$10:$R$52,MATCH($C5,'[2]SALES PERTYPE'!$B$10:$B$52,0)),0)</f>
        <v>0</v>
      </c>
      <c r="U5" s="179">
        <f>IFERROR(INDEX('[2]SALES PERTYPE'!$S$10:$S$52,MATCH($C5,'[2]SALES PERTYPE'!$B$10:$B$52,0)),0)</f>
        <v>0</v>
      </c>
      <c r="V5" s="179">
        <f>IFERROR(INDEX('[2]SALES PERTYPE'!$T$10:$T$52,MATCH($C5,'[2]SALES PERTYPE'!$B$10:$B$52,0)),0)</f>
        <v>1</v>
      </c>
      <c r="W5" s="179">
        <f>IFERROR(INDEX('[2]SALES PERTYPE'!$U$10:$U$52,MATCH($C5,'[2]SALES PERTYPE'!$B$10:$B$52,0)),0)</f>
        <v>7999000</v>
      </c>
      <c r="X5" s="179">
        <f>IFERROR(INDEX('[2]SALES PERTYPE'!$V$10:$V$52,MATCH($C5,'[2]SALES PERTYPE'!$B$10:$B$52,0)),0)</f>
        <v>0</v>
      </c>
      <c r="Y5" s="179">
        <f>IFERROR(INDEX('[2]SALES PERTYPE'!$W$10:$W$52,MATCH($C5,'[2]SALES PERTYPE'!$B$10:$B$52,0)),0)</f>
        <v>0</v>
      </c>
      <c r="Z5" s="179">
        <f>IFERROR(INDEX('[2]SALES PERTYPE'!$X$10:$X$52,MATCH($C5,'[2]SALES PERTYPE'!$B$10:$B$52,0)),0)</f>
        <v>0</v>
      </c>
      <c r="AA5" s="179">
        <f>IFERROR(INDEX('[2]SALES PERTYPE'!$Y$10:$Y$52,MATCH($C5,'[2]SALES PERTYPE'!$B$10:$B$52,0)),0)</f>
        <v>0</v>
      </c>
      <c r="AB5" s="179">
        <f>IFERROR(INDEX('[2]SALES PERTYPE'!$Z$10:$Z$52,MATCH($C5,'[2]SALES PERTYPE'!$B$10:$B$52,0)),0)</f>
        <v>0</v>
      </c>
      <c r="AC5" s="179">
        <f>IFERROR(INDEX('[2]SALES PERTYPE'!$AA$10:$AA$52,MATCH($C5,'[2]SALES PERTYPE'!$B$10:$B$52,0)),0)</f>
        <v>0</v>
      </c>
      <c r="AD5" s="179">
        <f>IFERROR(INDEX('[2]SALES PERTYPE'!$AB$10:$AB$52,MATCH($C5,'[2]SALES PERTYPE'!$B$10:$B$52,0)),0)</f>
        <v>2</v>
      </c>
      <c r="AE5" s="179">
        <f>IFERROR(INDEX('[2]SALES PERTYPE'!$AC$10:$AC$52,MATCH($C5,'[2]SALES PERTYPE'!$B$10:$B$52,0)),0)</f>
        <v>11198000</v>
      </c>
      <c r="AF5" s="179">
        <f>IFERROR(INDEX('[2]SALES PERTYPE'!$AD$10:$AD$52,MATCH($C5,'[2]SALES PERTYPE'!$B$10:$B$52,0)),0)</f>
        <v>0</v>
      </c>
      <c r="AG5" s="179">
        <f>IFERROR(INDEX('[2]SALES PERTYPE'!$AE$10:$AE$52,MATCH($C5,'[2]SALES PERTYPE'!$B$10:$B$52,0)),0)</f>
        <v>0</v>
      </c>
      <c r="AH5" s="179">
        <f>IFERROR(INDEX('[2]SALES PERTYPE'!$AF$10:$AF$52,MATCH($C5,'[2]SALES PERTYPE'!$B$10:$B$52,0)),0)</f>
        <v>0</v>
      </c>
      <c r="AI5" s="179">
        <f>IFERROR(INDEX('[2]SALES PERTYPE'!$AG$10:$AG$52,MATCH($C5,'[2]SALES PERTYPE'!$B$10:$B$52,0)),0)</f>
        <v>0</v>
      </c>
      <c r="AJ5" s="179">
        <f>IFERROR(INDEX('[2]SALES PERTYPE'!$AH$10:$AH$52,MATCH($C5,'[2]SALES PERTYPE'!$B$10:$B$52,0)),0)</f>
        <v>1</v>
      </c>
      <c r="AK5" s="179">
        <f>IFERROR(INDEX('[2]SALES PERTYPE'!$AI$10:$AI$52,MATCH($C5,'[2]SALES PERTYPE'!$B$10:$B$52,0)),0)</f>
        <v>5699000</v>
      </c>
      <c r="AL5" s="179">
        <f>IFERROR(INDEX('[2]SALES PERTYPE'!$AJ$10:$AJ$52,MATCH($C5,'[2]SALES PERTYPE'!$B$10:$B$52,0)),0)</f>
        <v>1</v>
      </c>
      <c r="AM5" s="179">
        <f>IFERROR(INDEX('[2]SALES PERTYPE'!$AK$10:$AK$52,MATCH($C5,'[2]SALES PERTYPE'!$B$10:$B$52,0)),0)</f>
        <v>8399000</v>
      </c>
      <c r="AN5" s="179">
        <f>IFERROR(INDEX('[2]SALES PERTYPE'!$AL$10:$AL$52,MATCH($C5,'[2]SALES PERTYPE'!$B$10:$B$52,0)),0)</f>
        <v>16</v>
      </c>
      <c r="AO5" s="179">
        <f>IFERROR(INDEX('[2]SALES PERTYPE'!$AM$10:$AM$52,MATCH($C5,'[2]SALES PERTYPE'!$B$10:$B$52,0)),0)</f>
        <v>65084000</v>
      </c>
    </row>
    <row r="6" spans="1:41" x14ac:dyDescent="0.15">
      <c r="A6" s="184">
        <f>'[2]ACHIEVEMENT STORE'!A6</f>
        <v>2</v>
      </c>
      <c r="B6" s="183" t="str">
        <f>'[2]ACHIEVEMENT STORE'!B6</f>
        <v>601 雅加达西北 JKT BU</v>
      </c>
      <c r="C6" s="184">
        <f>'[2]ACHIEVEMENT STORE'!C6</f>
        <v>6010701</v>
      </c>
      <c r="D6" s="183" t="str">
        <f>'[2]ACHIEVEMENT STORE'!D6</f>
        <v>6010701-MVS ROXY SHOWROOM 21</v>
      </c>
      <c r="E6" s="183" t="str">
        <f>'[2]ACHIEVEMENT STORE'!E6</f>
        <v>ANGGARIA</v>
      </c>
      <c r="F6" s="182">
        <f>IFERROR(INDEX('[2]SALES PERTYPE'!$D$10:$D$52,MATCH($C6,'[2]SALES PERTYPE'!$B$10:$B$52,0)),0)</f>
        <v>14</v>
      </c>
      <c r="G6" s="182">
        <f>IFERROR(INDEX('[2]SALES PERTYPE'!$E$10:$E$52,MATCH($C6,'[2]SALES PERTYPE'!$B$10:$B$52,0)),0)</f>
        <v>33086000</v>
      </c>
      <c r="H6" s="182">
        <f>IFERROR(INDEX('[2]SALES PERTYPE'!$F$10:$F$52,MATCH($C6,'[2]SALES PERTYPE'!$B$10:$B$52,0)),0)</f>
        <v>8</v>
      </c>
      <c r="I6" s="182">
        <f>IFERROR(INDEX('[2]SALES PERTYPE'!$G$10:$G$52,MATCH($C6,'[2]SALES PERTYPE'!$B$10:$B$52,0)),0)</f>
        <v>21192000</v>
      </c>
      <c r="J6" s="182">
        <f>IFERROR(INDEX('[2]SALES PERTYPE'!$H$10:$H$52,MATCH($C6,'[2]SALES PERTYPE'!$B$10:$B$52,0)),0)</f>
        <v>0</v>
      </c>
      <c r="K6" s="182">
        <f>IFERROR(INDEX('[2]SALES PERTYPE'!$I$10:$I$52,MATCH($C6,'[2]SALES PERTYPE'!$B$10:$B$52,0)),0)</f>
        <v>0</v>
      </c>
      <c r="L6" s="182">
        <f>IFERROR(INDEX('[2]SALES PERTYPE'!$J$10:$J$52,MATCH($C6,'[2]SALES PERTYPE'!$B$10:$B$52,0)),0)</f>
        <v>18</v>
      </c>
      <c r="M6" s="182">
        <f>IFERROR(INDEX('[2]SALES PERTYPE'!$K$10:$K$52,MATCH($C6,'[2]SALES PERTYPE'!$B$10:$B$52,0)),0)</f>
        <v>37782000</v>
      </c>
      <c r="N6" s="182">
        <f>IFERROR(INDEX('[2]SALES PERTYPE'!$L$10:$L$52,MATCH($C6,'[2]SALES PERTYPE'!$B$10:$B$52,0)),0)</f>
        <v>1</v>
      </c>
      <c r="O6" s="182">
        <f>IFERROR(INDEX('[2]SALES PERTYPE'!$M$10:$M$52,MATCH($C6,'[2]SALES PERTYPE'!$B$10:$B$52,0)),0)</f>
        <v>9999000</v>
      </c>
      <c r="P6" s="182">
        <f>IFERROR(INDEX('[2]SALES PERTYPE'!$N$10:$N$52,MATCH($C6,'[2]SALES PERTYPE'!$B$10:$B$52,0)),0)</f>
        <v>13</v>
      </c>
      <c r="Q6" s="182">
        <f>IFERROR(INDEX('[2]SALES PERTYPE'!$O$10:$O$52,MATCH($C6,'[2]SALES PERTYPE'!$B$10:$B$52,0)),0)</f>
        <v>58887000</v>
      </c>
      <c r="R6" s="182">
        <f>IFERROR(INDEX('[2]SALES PERTYPE'!$P$10:$P$52,MATCH($C6,'[2]SALES PERTYPE'!$B$10:$B$52,0)),0)</f>
        <v>1</v>
      </c>
      <c r="S6" s="182">
        <f>IFERROR(INDEX('[2]SALES PERTYPE'!$Q$10:$Q$52,MATCH($C6,'[2]SALES PERTYPE'!$B$10:$B$52,0)),0)</f>
        <v>3599000</v>
      </c>
      <c r="T6" s="182">
        <f>IFERROR(INDEX('[2]SALES PERTYPE'!$R$10:$R$52,MATCH($C6,'[2]SALES PERTYPE'!$B$10:$B$52,0)),0)</f>
        <v>2</v>
      </c>
      <c r="U6" s="182">
        <f>IFERROR(INDEX('[2]SALES PERTYPE'!$S$10:$S$52,MATCH($C6,'[2]SALES PERTYPE'!$B$10:$B$52,0)),0)</f>
        <v>7198000</v>
      </c>
      <c r="V6" s="182">
        <f>IFERROR(INDEX('[2]SALES PERTYPE'!$T$10:$T$52,MATCH($C6,'[2]SALES PERTYPE'!$B$10:$B$52,0)),0)</f>
        <v>2</v>
      </c>
      <c r="W6" s="182">
        <f>IFERROR(INDEX('[2]SALES PERTYPE'!$U$10:$U$52,MATCH($C6,'[2]SALES PERTYPE'!$B$10:$B$52,0)),0)</f>
        <v>15998000</v>
      </c>
      <c r="X6" s="182">
        <f>IFERROR(INDEX('[2]SALES PERTYPE'!$V$10:$V$52,MATCH($C6,'[2]SALES PERTYPE'!$B$10:$B$52,0)),0)</f>
        <v>0</v>
      </c>
      <c r="Y6" s="182">
        <f>IFERROR(INDEX('[2]SALES PERTYPE'!$W$10:$W$52,MATCH($C6,'[2]SALES PERTYPE'!$B$10:$B$52,0)),0)</f>
        <v>0</v>
      </c>
      <c r="Z6" s="182">
        <f>IFERROR(INDEX('[2]SALES PERTYPE'!$X$10:$X$52,MATCH($C6,'[2]SALES PERTYPE'!$B$10:$B$52,0)),0)</f>
        <v>3</v>
      </c>
      <c r="AA6" s="182">
        <f>IFERROR(INDEX('[2]SALES PERTYPE'!$Y$10:$Y$52,MATCH($C6,'[2]SALES PERTYPE'!$B$10:$B$52,0)),0)</f>
        <v>18097000</v>
      </c>
      <c r="AB6" s="182">
        <f>IFERROR(INDEX('[2]SALES PERTYPE'!$Z$10:$Z$52,MATCH($C6,'[2]SALES PERTYPE'!$B$10:$B$52,0)),0)</f>
        <v>0</v>
      </c>
      <c r="AC6" s="182">
        <f>IFERROR(INDEX('[2]SALES PERTYPE'!$AA$10:$AA$52,MATCH($C6,'[2]SALES PERTYPE'!$B$10:$B$52,0)),0)</f>
        <v>0</v>
      </c>
      <c r="AD6" s="182">
        <f>IFERROR(INDEX('[2]SALES PERTYPE'!$AB$10:$AB$52,MATCH($C6,'[2]SALES PERTYPE'!$B$10:$B$52,0)),0)</f>
        <v>0</v>
      </c>
      <c r="AE6" s="182">
        <f>IFERROR(INDEX('[2]SALES PERTYPE'!$AC$10:$AC$52,MATCH($C6,'[2]SALES PERTYPE'!$B$10:$B$52,0)),0)</f>
        <v>0</v>
      </c>
      <c r="AF6" s="182">
        <f>IFERROR(INDEX('[2]SALES PERTYPE'!$AD$10:$AD$52,MATCH($C6,'[2]SALES PERTYPE'!$B$10:$B$52,0)),0)</f>
        <v>1</v>
      </c>
      <c r="AG6" s="182">
        <f>IFERROR(INDEX('[2]SALES PERTYPE'!$AE$10:$AE$52,MATCH($C6,'[2]SALES PERTYPE'!$B$10:$B$52,0)),0)</f>
        <v>25999000</v>
      </c>
      <c r="AH6" s="182">
        <f>IFERROR(INDEX('[2]SALES PERTYPE'!$AF$10:$AF$52,MATCH($C6,'[2]SALES PERTYPE'!$B$10:$B$52,0)),0)</f>
        <v>0</v>
      </c>
      <c r="AI6" s="182">
        <f>IFERROR(INDEX('[2]SALES PERTYPE'!$AG$10:$AG$52,MATCH($C6,'[2]SALES PERTYPE'!$B$10:$B$52,0)),0)</f>
        <v>0</v>
      </c>
      <c r="AJ6" s="182">
        <f>IFERROR(INDEX('[2]SALES PERTYPE'!$AH$10:$AH$52,MATCH($C6,'[2]SALES PERTYPE'!$B$10:$B$52,0)),0)</f>
        <v>1</v>
      </c>
      <c r="AK6" s="182">
        <f>IFERROR(INDEX('[2]SALES PERTYPE'!$AI$10:$AI$52,MATCH($C6,'[2]SALES PERTYPE'!$B$10:$B$52,0)),0)</f>
        <v>5699000</v>
      </c>
      <c r="AL6" s="182">
        <f>IFERROR(INDEX('[2]SALES PERTYPE'!$AJ$10:$AJ$52,MATCH($C6,'[2]SALES PERTYPE'!$B$10:$B$52,0)),0)</f>
        <v>2</v>
      </c>
      <c r="AM6" s="182">
        <f>IFERROR(INDEX('[2]SALES PERTYPE'!$AK$10:$AK$52,MATCH($C6,'[2]SALES PERTYPE'!$B$10:$B$52,0)),0)</f>
        <v>15298000</v>
      </c>
      <c r="AN6" s="182">
        <f>IFERROR(INDEX('[2]SALES PERTYPE'!$AL$10:$AL$52,MATCH($C6,'[2]SALES PERTYPE'!$B$10:$B$52,0)),0)</f>
        <v>66</v>
      </c>
      <c r="AO6" s="182">
        <f>IFERROR(INDEX('[2]SALES PERTYPE'!$AM$10:$AM$52,MATCH($C6,'[2]SALES PERTYPE'!$B$10:$B$52,0)),0)</f>
        <v>252834000</v>
      </c>
    </row>
    <row r="7" spans="1:41" x14ac:dyDescent="0.15">
      <c r="A7" s="181">
        <f>'[2]ACHIEVEMENT STORE'!A7</f>
        <v>3</v>
      </c>
      <c r="B7" s="180" t="str">
        <f>'[2]ACHIEVEMENT STORE'!B7</f>
        <v>601 雅加达西北 JKT BU</v>
      </c>
      <c r="C7" s="181">
        <f>'[2]ACHIEVEMENT STORE'!C7</f>
        <v>6010702</v>
      </c>
      <c r="D7" s="180" t="str">
        <f>'[2]ACHIEVEMENT STORE'!D7</f>
        <v>6010702-ME ROXY PAMERAN TIMUR</v>
      </c>
      <c r="E7" s="180" t="str">
        <f>'[2]ACHIEVEMENT STORE'!E7</f>
        <v>ANGGARIA</v>
      </c>
      <c r="F7" s="179">
        <f>IFERROR(INDEX('[2]SALES PERTYPE'!$D$10:$D$52,MATCH($C7,'[2]SALES PERTYPE'!$B$10:$B$52,0)),0)</f>
        <v>11</v>
      </c>
      <c r="G7" s="179">
        <f>IFERROR(INDEX('[2]SALES PERTYPE'!$E$10:$E$52,MATCH($C7,'[2]SALES PERTYPE'!$B$10:$B$52,0)),0)</f>
        <v>26489000</v>
      </c>
      <c r="H7" s="179">
        <f>IFERROR(INDEX('[2]SALES PERTYPE'!$F$10:$F$52,MATCH($C7,'[2]SALES PERTYPE'!$B$10:$B$52,0)),0)</f>
        <v>16</v>
      </c>
      <c r="I7" s="179">
        <f>IFERROR(INDEX('[2]SALES PERTYPE'!$G$10:$G$52,MATCH($C7,'[2]SALES PERTYPE'!$B$10:$B$52,0)),0)</f>
        <v>42384000</v>
      </c>
      <c r="J7" s="179">
        <f>IFERROR(INDEX('[2]SALES PERTYPE'!$H$10:$H$52,MATCH($C7,'[2]SALES PERTYPE'!$B$10:$B$52,0)),0)</f>
        <v>0</v>
      </c>
      <c r="K7" s="179">
        <f>IFERROR(INDEX('[2]SALES PERTYPE'!$I$10:$I$52,MATCH($C7,'[2]SALES PERTYPE'!$B$10:$B$52,0)),0)</f>
        <v>0</v>
      </c>
      <c r="L7" s="179">
        <f>IFERROR(INDEX('[2]SALES PERTYPE'!$J$10:$J$52,MATCH($C7,'[2]SALES PERTYPE'!$B$10:$B$52,0)),0)</f>
        <v>27</v>
      </c>
      <c r="M7" s="179">
        <f>IFERROR(INDEX('[2]SALES PERTYPE'!$K$10:$K$52,MATCH($C7,'[2]SALES PERTYPE'!$B$10:$B$52,0)),0)</f>
        <v>56673000</v>
      </c>
      <c r="N7" s="179">
        <f>IFERROR(INDEX('[2]SALES PERTYPE'!$L$10:$L$52,MATCH($C7,'[2]SALES PERTYPE'!$B$10:$B$52,0)),0)</f>
        <v>0</v>
      </c>
      <c r="O7" s="179">
        <f>IFERROR(INDEX('[2]SALES PERTYPE'!$M$10:$M$52,MATCH($C7,'[2]SALES PERTYPE'!$B$10:$B$52,0)),0)</f>
        <v>0</v>
      </c>
      <c r="P7" s="179">
        <f>IFERROR(INDEX('[2]SALES PERTYPE'!$N$10:$N$52,MATCH($C7,'[2]SALES PERTYPE'!$B$10:$B$52,0)),0)</f>
        <v>9</v>
      </c>
      <c r="Q7" s="179">
        <f>IFERROR(INDEX('[2]SALES PERTYPE'!$O$10:$O$52,MATCH($C7,'[2]SALES PERTYPE'!$B$10:$B$52,0)),0)</f>
        <v>40491000</v>
      </c>
      <c r="R7" s="179">
        <f>IFERROR(INDEX('[2]SALES PERTYPE'!$P$10:$P$52,MATCH($C7,'[2]SALES PERTYPE'!$B$10:$B$52,0)),0)</f>
        <v>0</v>
      </c>
      <c r="S7" s="179">
        <f>IFERROR(INDEX('[2]SALES PERTYPE'!$Q$10:$Q$52,MATCH($C7,'[2]SALES PERTYPE'!$B$10:$B$52,0)),0)</f>
        <v>0</v>
      </c>
      <c r="T7" s="179">
        <f>IFERROR(INDEX('[2]SALES PERTYPE'!$R$10:$R$52,MATCH($C7,'[2]SALES PERTYPE'!$B$10:$B$52,0)),0)</f>
        <v>0</v>
      </c>
      <c r="U7" s="179">
        <f>IFERROR(INDEX('[2]SALES PERTYPE'!$S$10:$S$52,MATCH($C7,'[2]SALES PERTYPE'!$B$10:$B$52,0)),0)</f>
        <v>0</v>
      </c>
      <c r="V7" s="179">
        <f>IFERROR(INDEX('[2]SALES PERTYPE'!$T$10:$T$52,MATCH($C7,'[2]SALES PERTYPE'!$B$10:$B$52,0)),0)</f>
        <v>0</v>
      </c>
      <c r="W7" s="179">
        <f>IFERROR(INDEX('[2]SALES PERTYPE'!$U$10:$U$52,MATCH($C7,'[2]SALES PERTYPE'!$B$10:$B$52,0)),0)</f>
        <v>0</v>
      </c>
      <c r="X7" s="179">
        <f>IFERROR(INDEX('[2]SALES PERTYPE'!$V$10:$V$52,MATCH($C7,'[2]SALES PERTYPE'!$B$10:$B$52,0)),0)</f>
        <v>0</v>
      </c>
      <c r="Y7" s="179">
        <f>IFERROR(INDEX('[2]SALES PERTYPE'!$W$10:$W$52,MATCH($C7,'[2]SALES PERTYPE'!$B$10:$B$52,0)),0)</f>
        <v>0</v>
      </c>
      <c r="Z7" s="179">
        <f>IFERROR(INDEX('[2]SALES PERTYPE'!$X$10:$X$52,MATCH($C7,'[2]SALES PERTYPE'!$B$10:$B$52,0)),0)</f>
        <v>1</v>
      </c>
      <c r="AA7" s="179">
        <f>IFERROR(INDEX('[2]SALES PERTYPE'!$Y$10:$Y$52,MATCH($C7,'[2]SALES PERTYPE'!$B$10:$B$52,0)),0)</f>
        <v>5499000</v>
      </c>
      <c r="AB7" s="179">
        <f>IFERROR(INDEX('[2]SALES PERTYPE'!$Z$10:$Z$52,MATCH($C7,'[2]SALES PERTYPE'!$B$10:$B$52,0)),0)</f>
        <v>0</v>
      </c>
      <c r="AC7" s="179">
        <f>IFERROR(INDEX('[2]SALES PERTYPE'!$AA$10:$AA$52,MATCH($C7,'[2]SALES PERTYPE'!$B$10:$B$52,0)),0)</f>
        <v>0</v>
      </c>
      <c r="AD7" s="179">
        <f>IFERROR(INDEX('[2]SALES PERTYPE'!$AB$10:$AB$52,MATCH($C7,'[2]SALES PERTYPE'!$B$10:$B$52,0)),0)</f>
        <v>1</v>
      </c>
      <c r="AE7" s="179">
        <f>IFERROR(INDEX('[2]SALES PERTYPE'!$AC$10:$AC$52,MATCH($C7,'[2]SALES PERTYPE'!$B$10:$B$52,0)),0)</f>
        <v>5299000</v>
      </c>
      <c r="AF7" s="179">
        <f>IFERROR(INDEX('[2]SALES PERTYPE'!$AD$10:$AD$52,MATCH($C7,'[2]SALES PERTYPE'!$B$10:$B$52,0)),0)</f>
        <v>0</v>
      </c>
      <c r="AG7" s="179">
        <f>IFERROR(INDEX('[2]SALES PERTYPE'!$AE$10:$AE$52,MATCH($C7,'[2]SALES PERTYPE'!$B$10:$B$52,0)),0)</f>
        <v>0</v>
      </c>
      <c r="AH7" s="179">
        <f>IFERROR(INDEX('[2]SALES PERTYPE'!$AF$10:$AF$52,MATCH($C7,'[2]SALES PERTYPE'!$B$10:$B$52,0)),0)</f>
        <v>0</v>
      </c>
      <c r="AI7" s="179">
        <f>IFERROR(INDEX('[2]SALES PERTYPE'!$AG$10:$AG$52,MATCH($C7,'[2]SALES PERTYPE'!$B$10:$B$52,0)),0)</f>
        <v>0</v>
      </c>
      <c r="AJ7" s="179">
        <f>IFERROR(INDEX('[2]SALES PERTYPE'!$AH$10:$AH$52,MATCH($C7,'[2]SALES PERTYPE'!$B$10:$B$52,0)),0)</f>
        <v>1</v>
      </c>
      <c r="AK7" s="179">
        <f>IFERROR(INDEX('[2]SALES PERTYPE'!$AI$10:$AI$52,MATCH($C7,'[2]SALES PERTYPE'!$B$10:$B$52,0)),0)</f>
        <v>5599000</v>
      </c>
      <c r="AL7" s="179">
        <f>IFERROR(INDEX('[2]SALES PERTYPE'!$AJ$10:$AJ$52,MATCH($C7,'[2]SALES PERTYPE'!$B$10:$B$52,0)),0)</f>
        <v>1</v>
      </c>
      <c r="AM7" s="179">
        <f>IFERROR(INDEX('[2]SALES PERTYPE'!$AK$10:$AK$52,MATCH($C7,'[2]SALES PERTYPE'!$B$10:$B$52,0)),0)</f>
        <v>6699000</v>
      </c>
      <c r="AN7" s="179">
        <f>IFERROR(INDEX('[2]SALES PERTYPE'!$AL$10:$AL$52,MATCH($C7,'[2]SALES PERTYPE'!$B$10:$B$52,0)),0)</f>
        <v>67</v>
      </c>
      <c r="AO7" s="179">
        <f>IFERROR(INDEX('[2]SALES PERTYPE'!$AM$10:$AM$52,MATCH($C7,'[2]SALES PERTYPE'!$B$10:$B$52,0)),0)</f>
        <v>189133000</v>
      </c>
    </row>
    <row r="8" spans="1:41" x14ac:dyDescent="0.15">
      <c r="A8" s="184">
        <f>'[2]ACHIEVEMENT STORE'!A8</f>
        <v>4</v>
      </c>
      <c r="B8" s="183" t="str">
        <f>'[2]ACHIEVEMENT STORE'!B8</f>
        <v>601 雅加达西北 JKT BU</v>
      </c>
      <c r="C8" s="184">
        <f>'[2]ACHIEVEMENT STORE'!C8</f>
        <v>6010703</v>
      </c>
      <c r="D8" s="183" t="str">
        <f>'[2]ACHIEVEMENT STORE'!D8</f>
        <v>6010703-VIVO STORE WINSHOP</v>
      </c>
      <c r="E8" s="183" t="str">
        <f>'[2]ACHIEVEMENT STORE'!E8</f>
        <v>NUR IRAWATI</v>
      </c>
      <c r="F8" s="182">
        <f>IFERROR(INDEX('[2]SALES PERTYPE'!$D$10:$D$52,MATCH($C8,'[2]SALES PERTYPE'!$B$10:$B$52,0)),0)</f>
        <v>2</v>
      </c>
      <c r="G8" s="182">
        <f>IFERROR(INDEX('[2]SALES PERTYPE'!$E$10:$E$52,MATCH($C8,'[2]SALES PERTYPE'!$B$10:$B$52,0)),0)</f>
        <v>4898000</v>
      </c>
      <c r="H8" s="182">
        <f>IFERROR(INDEX('[2]SALES PERTYPE'!$F$10:$F$52,MATCH($C8,'[2]SALES PERTYPE'!$B$10:$B$52,0)),0)</f>
        <v>2</v>
      </c>
      <c r="I8" s="182">
        <f>IFERROR(INDEX('[2]SALES PERTYPE'!$G$10:$G$52,MATCH($C8,'[2]SALES PERTYPE'!$B$10:$B$52,0)),0)</f>
        <v>4798000</v>
      </c>
      <c r="J8" s="182">
        <f>IFERROR(INDEX('[2]SALES PERTYPE'!$H$10:$H$52,MATCH($C8,'[2]SALES PERTYPE'!$B$10:$B$52,0)),0)</f>
        <v>0</v>
      </c>
      <c r="K8" s="182">
        <f>IFERROR(INDEX('[2]SALES PERTYPE'!$I$10:$I$52,MATCH($C8,'[2]SALES PERTYPE'!$B$10:$B$52,0)),0)</f>
        <v>0</v>
      </c>
      <c r="L8" s="182">
        <f>IFERROR(INDEX('[2]SALES PERTYPE'!$J$10:$J$52,MATCH($C8,'[2]SALES PERTYPE'!$B$10:$B$52,0)),0)</f>
        <v>22</v>
      </c>
      <c r="M8" s="182">
        <f>IFERROR(INDEX('[2]SALES PERTYPE'!$K$10:$K$52,MATCH($C8,'[2]SALES PERTYPE'!$B$10:$B$52,0)),0)</f>
        <v>46178000</v>
      </c>
      <c r="N8" s="182">
        <f>IFERROR(INDEX('[2]SALES PERTYPE'!$L$10:$L$52,MATCH($C8,'[2]SALES PERTYPE'!$B$10:$B$52,0)),0)</f>
        <v>0</v>
      </c>
      <c r="O8" s="182">
        <f>IFERROR(INDEX('[2]SALES PERTYPE'!$M$10:$M$52,MATCH($C8,'[2]SALES PERTYPE'!$B$10:$B$52,0)),0)</f>
        <v>0</v>
      </c>
      <c r="P8" s="182">
        <f>IFERROR(INDEX('[2]SALES PERTYPE'!$N$10:$N$52,MATCH($C8,'[2]SALES PERTYPE'!$B$10:$B$52,0)),0)</f>
        <v>3</v>
      </c>
      <c r="Q8" s="182">
        <f>IFERROR(INDEX('[2]SALES PERTYPE'!$O$10:$O$52,MATCH($C8,'[2]SALES PERTYPE'!$B$10:$B$52,0)),0)</f>
        <v>12097000</v>
      </c>
      <c r="R8" s="182">
        <f>IFERROR(INDEX('[2]SALES PERTYPE'!$P$10:$P$52,MATCH($C8,'[2]SALES PERTYPE'!$B$10:$B$52,0)),0)</f>
        <v>0</v>
      </c>
      <c r="S8" s="182">
        <f>IFERROR(INDEX('[2]SALES PERTYPE'!$Q$10:$Q$52,MATCH($C8,'[2]SALES PERTYPE'!$B$10:$B$52,0)),0)</f>
        <v>0</v>
      </c>
      <c r="T8" s="182">
        <f>IFERROR(INDEX('[2]SALES PERTYPE'!$R$10:$R$52,MATCH($C8,'[2]SALES PERTYPE'!$B$10:$B$52,0)),0)</f>
        <v>0</v>
      </c>
      <c r="U8" s="182">
        <f>IFERROR(INDEX('[2]SALES PERTYPE'!$S$10:$S$52,MATCH($C8,'[2]SALES PERTYPE'!$B$10:$B$52,0)),0)</f>
        <v>0</v>
      </c>
      <c r="V8" s="182">
        <f>IFERROR(INDEX('[2]SALES PERTYPE'!$T$10:$T$52,MATCH($C8,'[2]SALES PERTYPE'!$B$10:$B$52,0)),0)</f>
        <v>0</v>
      </c>
      <c r="W8" s="182">
        <f>IFERROR(INDEX('[2]SALES PERTYPE'!$U$10:$U$52,MATCH($C8,'[2]SALES PERTYPE'!$B$10:$B$52,0)),0)</f>
        <v>0</v>
      </c>
      <c r="X8" s="182">
        <f>IFERROR(INDEX('[2]SALES PERTYPE'!$V$10:$V$52,MATCH($C8,'[2]SALES PERTYPE'!$B$10:$B$52,0)),0)</f>
        <v>0</v>
      </c>
      <c r="Y8" s="182">
        <f>IFERROR(INDEX('[2]SALES PERTYPE'!$W$10:$W$52,MATCH($C8,'[2]SALES PERTYPE'!$B$10:$B$52,0)),0)</f>
        <v>0</v>
      </c>
      <c r="Z8" s="182">
        <f>IFERROR(INDEX('[2]SALES PERTYPE'!$X$10:$X$52,MATCH($C8,'[2]SALES PERTYPE'!$B$10:$B$52,0)),0)</f>
        <v>1</v>
      </c>
      <c r="AA8" s="182">
        <f>IFERROR(INDEX('[2]SALES PERTYPE'!$Y$10:$Y$52,MATCH($C8,'[2]SALES PERTYPE'!$B$10:$B$52,0)),0)</f>
        <v>6299000</v>
      </c>
      <c r="AB8" s="182">
        <f>IFERROR(INDEX('[2]SALES PERTYPE'!$Z$10:$Z$52,MATCH($C8,'[2]SALES PERTYPE'!$B$10:$B$52,0)),0)</f>
        <v>0</v>
      </c>
      <c r="AC8" s="182">
        <f>IFERROR(INDEX('[2]SALES PERTYPE'!$AA$10:$AA$52,MATCH($C8,'[2]SALES PERTYPE'!$B$10:$B$52,0)),0)</f>
        <v>0</v>
      </c>
      <c r="AD8" s="182">
        <f>IFERROR(INDEX('[2]SALES PERTYPE'!$AB$10:$AB$52,MATCH($C8,'[2]SALES PERTYPE'!$B$10:$B$52,0)),0)</f>
        <v>0</v>
      </c>
      <c r="AE8" s="182">
        <f>IFERROR(INDEX('[2]SALES PERTYPE'!$AC$10:$AC$52,MATCH($C8,'[2]SALES PERTYPE'!$B$10:$B$52,0)),0)</f>
        <v>0</v>
      </c>
      <c r="AF8" s="182">
        <f>IFERROR(INDEX('[2]SALES PERTYPE'!$AD$10:$AD$52,MATCH($C8,'[2]SALES PERTYPE'!$B$10:$B$52,0)),0)</f>
        <v>0</v>
      </c>
      <c r="AG8" s="182">
        <f>IFERROR(INDEX('[2]SALES PERTYPE'!$AE$10:$AE$52,MATCH($C8,'[2]SALES PERTYPE'!$B$10:$B$52,0)),0)</f>
        <v>0</v>
      </c>
      <c r="AH8" s="182">
        <f>IFERROR(INDEX('[2]SALES PERTYPE'!$AF$10:$AF$52,MATCH($C8,'[2]SALES PERTYPE'!$B$10:$B$52,0)),0)</f>
        <v>0</v>
      </c>
      <c r="AI8" s="182">
        <f>IFERROR(INDEX('[2]SALES PERTYPE'!$AG$10:$AG$52,MATCH($C8,'[2]SALES PERTYPE'!$B$10:$B$52,0)),0)</f>
        <v>0</v>
      </c>
      <c r="AJ8" s="182">
        <f>IFERROR(INDEX('[2]SALES PERTYPE'!$AH$10:$AH$52,MATCH($C8,'[2]SALES PERTYPE'!$B$10:$B$52,0)),0)</f>
        <v>0</v>
      </c>
      <c r="AK8" s="182">
        <f>IFERROR(INDEX('[2]SALES PERTYPE'!$AI$10:$AI$52,MATCH($C8,'[2]SALES PERTYPE'!$B$10:$B$52,0)),0)</f>
        <v>0</v>
      </c>
      <c r="AL8" s="182">
        <f>IFERROR(INDEX('[2]SALES PERTYPE'!$AJ$10:$AJ$52,MATCH($C8,'[2]SALES PERTYPE'!$B$10:$B$52,0)),0)</f>
        <v>0</v>
      </c>
      <c r="AM8" s="182">
        <f>IFERROR(INDEX('[2]SALES PERTYPE'!$AK$10:$AK$52,MATCH($C8,'[2]SALES PERTYPE'!$B$10:$B$52,0)),0)</f>
        <v>0</v>
      </c>
      <c r="AN8" s="182">
        <f>IFERROR(INDEX('[2]SALES PERTYPE'!$AL$10:$AL$52,MATCH($C8,'[2]SALES PERTYPE'!$B$10:$B$52,0)),0)</f>
        <v>30</v>
      </c>
      <c r="AO8" s="182">
        <f>IFERROR(INDEX('[2]SALES PERTYPE'!$AM$10:$AM$52,MATCH($C8,'[2]SALES PERTYPE'!$B$10:$B$52,0)),0)</f>
        <v>74270000</v>
      </c>
    </row>
    <row r="9" spans="1:41" x14ac:dyDescent="0.15">
      <c r="A9" s="181">
        <f>'[2]ACHIEVEMENT STORE'!A9</f>
        <v>5</v>
      </c>
      <c r="B9" s="180" t="str">
        <f>'[2]ACHIEVEMENT STORE'!B9</f>
        <v>601 雅加达西北 JKT BU</v>
      </c>
      <c r="C9" s="181">
        <f>'[2]ACHIEVEMENT STORE'!C9</f>
        <v>6010709</v>
      </c>
      <c r="D9" s="180" t="str">
        <f>'[2]ACHIEVEMENT STORE'!D9</f>
        <v>A100303-PAMERAN UTARA</v>
      </c>
      <c r="E9" s="180" t="str">
        <f>'[2]ACHIEVEMENT STORE'!E9</f>
        <v>NUR IRAWATI</v>
      </c>
      <c r="F9" s="179">
        <f>IFERROR(INDEX('[2]SALES PERTYPE'!$D$10:$D$52,MATCH($C9,'[2]SALES PERTYPE'!$B$10:$B$52,0)),0)</f>
        <v>11</v>
      </c>
      <c r="G9" s="179">
        <f>IFERROR(INDEX('[2]SALES PERTYPE'!$E$10:$E$52,MATCH($C9,'[2]SALES PERTYPE'!$B$10:$B$52,0)),0)</f>
        <v>26189000</v>
      </c>
      <c r="H9" s="179">
        <f>IFERROR(INDEX('[2]SALES PERTYPE'!$F$10:$F$52,MATCH($C9,'[2]SALES PERTYPE'!$B$10:$B$52,0)),0)</f>
        <v>16</v>
      </c>
      <c r="I9" s="179">
        <f>IFERROR(INDEX('[2]SALES PERTYPE'!$G$10:$G$52,MATCH($C9,'[2]SALES PERTYPE'!$B$10:$B$52,0)),0)</f>
        <v>41584000</v>
      </c>
      <c r="J9" s="179">
        <f>IFERROR(INDEX('[2]SALES PERTYPE'!$H$10:$H$52,MATCH($C9,'[2]SALES PERTYPE'!$B$10:$B$52,0)),0)</f>
        <v>0</v>
      </c>
      <c r="K9" s="179">
        <f>IFERROR(INDEX('[2]SALES PERTYPE'!$I$10:$I$52,MATCH($C9,'[2]SALES PERTYPE'!$B$10:$B$52,0)),0)</f>
        <v>0</v>
      </c>
      <c r="L9" s="179">
        <f>IFERROR(INDEX('[2]SALES PERTYPE'!$J$10:$J$52,MATCH($C9,'[2]SALES PERTYPE'!$B$10:$B$52,0)),0)</f>
        <v>30</v>
      </c>
      <c r="M9" s="179">
        <f>IFERROR(INDEX('[2]SALES PERTYPE'!$K$10:$K$52,MATCH($C9,'[2]SALES PERTYPE'!$B$10:$B$52,0)),0)</f>
        <v>62970000</v>
      </c>
      <c r="N9" s="179">
        <f>IFERROR(INDEX('[2]SALES PERTYPE'!$L$10:$L$52,MATCH($C9,'[2]SALES PERTYPE'!$B$10:$B$52,0)),0)</f>
        <v>2</v>
      </c>
      <c r="O9" s="179">
        <f>IFERROR(INDEX('[2]SALES PERTYPE'!$M$10:$M$52,MATCH($C9,'[2]SALES PERTYPE'!$B$10:$B$52,0)),0)</f>
        <v>18998000</v>
      </c>
      <c r="P9" s="179">
        <f>IFERROR(INDEX('[2]SALES PERTYPE'!$N$10:$N$52,MATCH($C9,'[2]SALES PERTYPE'!$B$10:$B$52,0)),0)</f>
        <v>4</v>
      </c>
      <c r="Q9" s="179">
        <f>IFERROR(INDEX('[2]SALES PERTYPE'!$O$10:$O$52,MATCH($C9,'[2]SALES PERTYPE'!$B$10:$B$52,0)),0)</f>
        <v>16796000</v>
      </c>
      <c r="R9" s="179">
        <f>IFERROR(INDEX('[2]SALES PERTYPE'!$P$10:$P$52,MATCH($C9,'[2]SALES PERTYPE'!$B$10:$B$52,0)),0)</f>
        <v>0</v>
      </c>
      <c r="S9" s="179">
        <f>IFERROR(INDEX('[2]SALES PERTYPE'!$Q$10:$Q$52,MATCH($C9,'[2]SALES PERTYPE'!$B$10:$B$52,0)),0)</f>
        <v>0</v>
      </c>
      <c r="T9" s="179">
        <f>IFERROR(INDEX('[2]SALES PERTYPE'!$R$10:$R$52,MATCH($C9,'[2]SALES PERTYPE'!$B$10:$B$52,0)),0)</f>
        <v>3</v>
      </c>
      <c r="U9" s="179">
        <f>IFERROR(INDEX('[2]SALES PERTYPE'!$S$10:$S$52,MATCH($C9,'[2]SALES PERTYPE'!$B$10:$B$52,0)),0)</f>
        <v>10797000</v>
      </c>
      <c r="V9" s="179">
        <f>IFERROR(INDEX('[2]SALES PERTYPE'!$T$10:$T$52,MATCH($C9,'[2]SALES PERTYPE'!$B$10:$B$52,0)),0)</f>
        <v>1</v>
      </c>
      <c r="W9" s="179">
        <f>IFERROR(INDEX('[2]SALES PERTYPE'!$U$10:$U$52,MATCH($C9,'[2]SALES PERTYPE'!$B$10:$B$52,0)),0)</f>
        <v>6499000</v>
      </c>
      <c r="X9" s="179">
        <f>IFERROR(INDEX('[2]SALES PERTYPE'!$V$10:$V$52,MATCH($C9,'[2]SALES PERTYPE'!$B$10:$B$52,0)),0)</f>
        <v>4</v>
      </c>
      <c r="Y9" s="179">
        <f>IFERROR(INDEX('[2]SALES PERTYPE'!$W$10:$W$52,MATCH($C9,'[2]SALES PERTYPE'!$B$10:$B$52,0)),0)</f>
        <v>14396000</v>
      </c>
      <c r="Z9" s="179">
        <f>IFERROR(INDEX('[2]SALES PERTYPE'!$X$10:$X$52,MATCH($C9,'[2]SALES PERTYPE'!$B$10:$B$52,0)),0)</f>
        <v>3</v>
      </c>
      <c r="AA9" s="179">
        <f>IFERROR(INDEX('[2]SALES PERTYPE'!$Y$10:$Y$52,MATCH($C9,'[2]SALES PERTYPE'!$B$10:$B$52,0)),0)</f>
        <v>16497000</v>
      </c>
      <c r="AB9" s="179">
        <f>IFERROR(INDEX('[2]SALES PERTYPE'!$Z$10:$Z$52,MATCH($C9,'[2]SALES PERTYPE'!$B$10:$B$52,0)),0)</f>
        <v>0</v>
      </c>
      <c r="AC9" s="179">
        <f>IFERROR(INDEX('[2]SALES PERTYPE'!$AA$10:$AA$52,MATCH($C9,'[2]SALES PERTYPE'!$B$10:$B$52,0)),0)</f>
        <v>0</v>
      </c>
      <c r="AD9" s="179">
        <f>IFERROR(INDEX('[2]SALES PERTYPE'!$AB$10:$AB$52,MATCH($C9,'[2]SALES PERTYPE'!$B$10:$B$52,0)),0)</f>
        <v>3</v>
      </c>
      <c r="AE9" s="179">
        <f>IFERROR(INDEX('[2]SALES PERTYPE'!$AC$10:$AC$52,MATCH($C9,'[2]SALES PERTYPE'!$B$10:$B$52,0)),0)</f>
        <v>17097000</v>
      </c>
      <c r="AF9" s="179">
        <f>IFERROR(INDEX('[2]SALES PERTYPE'!$AD$10:$AD$52,MATCH($C9,'[2]SALES PERTYPE'!$B$10:$B$52,0)),0)</f>
        <v>0</v>
      </c>
      <c r="AG9" s="179">
        <f>IFERROR(INDEX('[2]SALES PERTYPE'!$AE$10:$AE$52,MATCH($C9,'[2]SALES PERTYPE'!$B$10:$B$52,0)),0)</f>
        <v>0</v>
      </c>
      <c r="AH9" s="179">
        <f>IFERROR(INDEX('[2]SALES PERTYPE'!$AF$10:$AF$52,MATCH($C9,'[2]SALES PERTYPE'!$B$10:$B$52,0)),0)</f>
        <v>0</v>
      </c>
      <c r="AI9" s="179">
        <f>IFERROR(INDEX('[2]SALES PERTYPE'!$AG$10:$AG$52,MATCH($C9,'[2]SALES PERTYPE'!$B$10:$B$52,0)),0)</f>
        <v>0</v>
      </c>
      <c r="AJ9" s="179">
        <f>IFERROR(INDEX('[2]SALES PERTYPE'!$AH$10:$AH$52,MATCH($C9,'[2]SALES PERTYPE'!$B$10:$B$52,0)),0)</f>
        <v>0</v>
      </c>
      <c r="AK9" s="179">
        <f>IFERROR(INDEX('[2]SALES PERTYPE'!$AI$10:$AI$52,MATCH($C9,'[2]SALES PERTYPE'!$B$10:$B$52,0)),0)</f>
        <v>0</v>
      </c>
      <c r="AL9" s="179">
        <f>IFERROR(INDEX('[2]SALES PERTYPE'!$AJ$10:$AJ$52,MATCH($C9,'[2]SALES PERTYPE'!$B$10:$B$52,0)),0)</f>
        <v>1</v>
      </c>
      <c r="AM9" s="179">
        <f>IFERROR(INDEX('[2]SALES PERTYPE'!$AK$10:$AK$52,MATCH($C9,'[2]SALES PERTYPE'!$B$10:$B$52,0)),0)</f>
        <v>6899000</v>
      </c>
      <c r="AN9" s="179">
        <f>IFERROR(INDEX('[2]SALES PERTYPE'!$AL$10:$AL$52,MATCH($C9,'[2]SALES PERTYPE'!$B$10:$B$52,0)),0)</f>
        <v>78</v>
      </c>
      <c r="AO9" s="179">
        <f>IFERROR(INDEX('[2]SALES PERTYPE'!$AM$10:$AM$52,MATCH($C9,'[2]SALES PERTYPE'!$B$10:$B$52,0)),0)</f>
        <v>238722000</v>
      </c>
    </row>
    <row r="10" spans="1:41" x14ac:dyDescent="0.15">
      <c r="A10" s="184">
        <f>'[2]ACHIEVEMENT STORE'!A10</f>
        <v>6</v>
      </c>
      <c r="B10" s="183" t="str">
        <f>'[2]ACHIEVEMENT STORE'!B10</f>
        <v>601 雅加达西北 JKT BU</v>
      </c>
      <c r="C10" s="184">
        <f>'[2]ACHIEVEMENT STORE'!C10</f>
        <v>6010710</v>
      </c>
      <c r="D10" s="183" t="str">
        <f>'[2]ACHIEVEMENT STORE'!D10</f>
        <v>A100304-PAMERAN SELATAN</v>
      </c>
      <c r="E10" s="183" t="str">
        <f>'[2]ACHIEVEMENT STORE'!E10</f>
        <v>NUR IRAWATI</v>
      </c>
      <c r="F10" s="182">
        <f>IFERROR(INDEX('[2]SALES PERTYPE'!$D$10:$D$52,MATCH($C10,'[2]SALES PERTYPE'!$B$10:$B$52,0)),0)</f>
        <v>7</v>
      </c>
      <c r="G10" s="182">
        <f>IFERROR(INDEX('[2]SALES PERTYPE'!$E$10:$E$52,MATCH($C10,'[2]SALES PERTYPE'!$B$10:$B$52,0)),0)</f>
        <v>17293000</v>
      </c>
      <c r="H10" s="182">
        <f>IFERROR(INDEX('[2]SALES PERTYPE'!$F$10:$F$52,MATCH($C10,'[2]SALES PERTYPE'!$B$10:$B$52,0)),0)</f>
        <v>5</v>
      </c>
      <c r="I10" s="182">
        <f>IFERROR(INDEX('[2]SALES PERTYPE'!$G$10:$G$52,MATCH($C10,'[2]SALES PERTYPE'!$B$10:$B$52,0)),0)</f>
        <v>13195000</v>
      </c>
      <c r="J10" s="182">
        <f>IFERROR(INDEX('[2]SALES PERTYPE'!$H$10:$H$52,MATCH($C10,'[2]SALES PERTYPE'!$B$10:$B$52,0)),0)</f>
        <v>0</v>
      </c>
      <c r="K10" s="182">
        <f>IFERROR(INDEX('[2]SALES PERTYPE'!$I$10:$I$52,MATCH($C10,'[2]SALES PERTYPE'!$B$10:$B$52,0)),0)</f>
        <v>0</v>
      </c>
      <c r="L10" s="182">
        <f>IFERROR(INDEX('[2]SALES PERTYPE'!$J$10:$J$52,MATCH($C10,'[2]SALES PERTYPE'!$B$10:$B$52,0)),0)</f>
        <v>19</v>
      </c>
      <c r="M10" s="182">
        <f>IFERROR(INDEX('[2]SALES PERTYPE'!$K$10:$K$52,MATCH($C10,'[2]SALES PERTYPE'!$B$10:$B$52,0)),0)</f>
        <v>39881000</v>
      </c>
      <c r="N10" s="182">
        <f>IFERROR(INDEX('[2]SALES PERTYPE'!$L$10:$L$52,MATCH($C10,'[2]SALES PERTYPE'!$B$10:$B$52,0)),0)</f>
        <v>0</v>
      </c>
      <c r="O10" s="182">
        <f>IFERROR(INDEX('[2]SALES PERTYPE'!$M$10:$M$52,MATCH($C10,'[2]SALES PERTYPE'!$B$10:$B$52,0)),0)</f>
        <v>0</v>
      </c>
      <c r="P10" s="182">
        <f>IFERROR(INDEX('[2]SALES PERTYPE'!$N$10:$N$52,MATCH($C10,'[2]SALES PERTYPE'!$B$10:$B$52,0)),0)</f>
        <v>2</v>
      </c>
      <c r="Q10" s="182">
        <f>IFERROR(INDEX('[2]SALES PERTYPE'!$O$10:$O$52,MATCH($C10,'[2]SALES PERTYPE'!$B$10:$B$52,0)),0)</f>
        <v>8598000</v>
      </c>
      <c r="R10" s="182">
        <f>IFERROR(INDEX('[2]SALES PERTYPE'!$P$10:$P$52,MATCH($C10,'[2]SALES PERTYPE'!$B$10:$B$52,0)),0)</f>
        <v>0</v>
      </c>
      <c r="S10" s="182">
        <f>IFERROR(INDEX('[2]SALES PERTYPE'!$Q$10:$Q$52,MATCH($C10,'[2]SALES PERTYPE'!$B$10:$B$52,0)),0)</f>
        <v>0</v>
      </c>
      <c r="T10" s="182">
        <f>IFERROR(INDEX('[2]SALES PERTYPE'!$R$10:$R$52,MATCH($C10,'[2]SALES PERTYPE'!$B$10:$B$52,0)),0)</f>
        <v>1</v>
      </c>
      <c r="U10" s="182">
        <f>IFERROR(INDEX('[2]SALES PERTYPE'!$S$10:$S$52,MATCH($C10,'[2]SALES PERTYPE'!$B$10:$B$52,0)),0)</f>
        <v>3599000</v>
      </c>
      <c r="V10" s="182">
        <f>IFERROR(INDEX('[2]SALES PERTYPE'!$T$10:$T$52,MATCH($C10,'[2]SALES PERTYPE'!$B$10:$B$52,0)),0)</f>
        <v>0</v>
      </c>
      <c r="W10" s="182">
        <f>IFERROR(INDEX('[2]SALES PERTYPE'!$U$10:$U$52,MATCH($C10,'[2]SALES PERTYPE'!$B$10:$B$52,0)),0)</f>
        <v>0</v>
      </c>
      <c r="X10" s="182">
        <f>IFERROR(INDEX('[2]SALES PERTYPE'!$V$10:$V$52,MATCH($C10,'[2]SALES PERTYPE'!$B$10:$B$52,0)),0)</f>
        <v>0</v>
      </c>
      <c r="Y10" s="182">
        <f>IFERROR(INDEX('[2]SALES PERTYPE'!$W$10:$W$52,MATCH($C10,'[2]SALES PERTYPE'!$B$10:$B$52,0)),0)</f>
        <v>0</v>
      </c>
      <c r="Z10" s="182">
        <f>IFERROR(INDEX('[2]SALES PERTYPE'!$X$10:$X$52,MATCH($C10,'[2]SALES PERTYPE'!$B$10:$B$52,0)),0)</f>
        <v>0</v>
      </c>
      <c r="AA10" s="182">
        <f>IFERROR(INDEX('[2]SALES PERTYPE'!$Y$10:$Y$52,MATCH($C10,'[2]SALES PERTYPE'!$B$10:$B$52,0)),0)</f>
        <v>0</v>
      </c>
      <c r="AB10" s="182">
        <f>IFERROR(INDEX('[2]SALES PERTYPE'!$Z$10:$Z$52,MATCH($C10,'[2]SALES PERTYPE'!$B$10:$B$52,0)),0)</f>
        <v>0</v>
      </c>
      <c r="AC10" s="182">
        <f>IFERROR(INDEX('[2]SALES PERTYPE'!$AA$10:$AA$52,MATCH($C10,'[2]SALES PERTYPE'!$B$10:$B$52,0)),0)</f>
        <v>0</v>
      </c>
      <c r="AD10" s="182">
        <f>IFERROR(INDEX('[2]SALES PERTYPE'!$AB$10:$AB$52,MATCH($C10,'[2]SALES PERTYPE'!$B$10:$B$52,0)),0)</f>
        <v>0</v>
      </c>
      <c r="AE10" s="182">
        <f>IFERROR(INDEX('[2]SALES PERTYPE'!$AC$10:$AC$52,MATCH($C10,'[2]SALES PERTYPE'!$B$10:$B$52,0)),0)</f>
        <v>0</v>
      </c>
      <c r="AF10" s="182">
        <f>IFERROR(INDEX('[2]SALES PERTYPE'!$AD$10:$AD$52,MATCH($C10,'[2]SALES PERTYPE'!$B$10:$B$52,0)),0)</f>
        <v>0</v>
      </c>
      <c r="AG10" s="182">
        <f>IFERROR(INDEX('[2]SALES PERTYPE'!$AE$10:$AE$52,MATCH($C10,'[2]SALES PERTYPE'!$B$10:$B$52,0)),0)</f>
        <v>0</v>
      </c>
      <c r="AH10" s="182">
        <f>IFERROR(INDEX('[2]SALES PERTYPE'!$AF$10:$AF$52,MATCH($C10,'[2]SALES PERTYPE'!$B$10:$B$52,0)),0)</f>
        <v>0</v>
      </c>
      <c r="AI10" s="182">
        <f>IFERROR(INDEX('[2]SALES PERTYPE'!$AG$10:$AG$52,MATCH($C10,'[2]SALES PERTYPE'!$B$10:$B$52,0)),0)</f>
        <v>0</v>
      </c>
      <c r="AJ10" s="182">
        <f>IFERROR(INDEX('[2]SALES PERTYPE'!$AH$10:$AH$52,MATCH($C10,'[2]SALES PERTYPE'!$B$10:$B$52,0)),0)</f>
        <v>0</v>
      </c>
      <c r="AK10" s="182">
        <f>IFERROR(INDEX('[2]SALES PERTYPE'!$AI$10:$AI$52,MATCH($C10,'[2]SALES PERTYPE'!$B$10:$B$52,0)),0)</f>
        <v>0</v>
      </c>
      <c r="AL10" s="182">
        <f>IFERROR(INDEX('[2]SALES PERTYPE'!$AJ$10:$AJ$52,MATCH($C10,'[2]SALES PERTYPE'!$B$10:$B$52,0)),0)</f>
        <v>0</v>
      </c>
      <c r="AM10" s="182">
        <f>IFERROR(INDEX('[2]SALES PERTYPE'!$AK$10:$AK$52,MATCH($C10,'[2]SALES PERTYPE'!$B$10:$B$52,0)),0)</f>
        <v>0</v>
      </c>
      <c r="AN10" s="182">
        <f>IFERROR(INDEX('[2]SALES PERTYPE'!$AL$10:$AL$52,MATCH($C10,'[2]SALES PERTYPE'!$B$10:$B$52,0)),0)</f>
        <v>34</v>
      </c>
      <c r="AO10" s="182">
        <f>IFERROR(INDEX('[2]SALES PERTYPE'!$AM$10:$AM$52,MATCH($C10,'[2]SALES PERTYPE'!$B$10:$B$52,0)),0)</f>
        <v>82566000</v>
      </c>
    </row>
    <row r="11" spans="1:41" x14ac:dyDescent="0.15">
      <c r="A11" s="181">
        <f>'[2]ACHIEVEMENT STORE'!A11</f>
        <v>7</v>
      </c>
      <c r="B11" s="180" t="str">
        <f>'[2]ACHIEVEMENT STORE'!B11</f>
        <v>601 雅加达西北 JKT BU</v>
      </c>
      <c r="C11" s="181">
        <f>'[2]ACHIEVEMENT STORE'!C11</f>
        <v>6020711</v>
      </c>
      <c r="D11" s="180" t="str">
        <f>'[2]ACHIEVEMENT STORE'!D11</f>
        <v>6020711-vivostore emporium</v>
      </c>
      <c r="E11" s="180" t="str">
        <f>'[2]ACHIEVEMENT STORE'!E11</f>
        <v>M KHOIRUDIN</v>
      </c>
      <c r="F11" s="179">
        <f>IFERROR(INDEX('[2]SALES PERTYPE'!$D$10:$D$52,MATCH($C11,'[2]SALES PERTYPE'!$B$10:$B$52,0)),0)</f>
        <v>4</v>
      </c>
      <c r="G11" s="179">
        <f>IFERROR(INDEX('[2]SALES PERTYPE'!$E$10:$E$52,MATCH($C11,'[2]SALES PERTYPE'!$B$10:$B$52,0)),0)</f>
        <v>9196000</v>
      </c>
      <c r="H11" s="179">
        <f>IFERROR(INDEX('[2]SALES PERTYPE'!$F$10:$F$52,MATCH($C11,'[2]SALES PERTYPE'!$B$10:$B$52,0)),0)</f>
        <v>5</v>
      </c>
      <c r="I11" s="179">
        <f>IFERROR(INDEX('[2]SALES PERTYPE'!$G$10:$G$52,MATCH($C11,'[2]SALES PERTYPE'!$B$10:$B$52,0)),0)</f>
        <v>11995000</v>
      </c>
      <c r="J11" s="179">
        <f>IFERROR(INDEX('[2]SALES PERTYPE'!$H$10:$H$52,MATCH($C11,'[2]SALES PERTYPE'!$B$10:$B$52,0)),0)</f>
        <v>0</v>
      </c>
      <c r="K11" s="179">
        <f>IFERROR(INDEX('[2]SALES PERTYPE'!$I$10:$I$52,MATCH($C11,'[2]SALES PERTYPE'!$B$10:$B$52,0)),0)</f>
        <v>0</v>
      </c>
      <c r="L11" s="179">
        <f>IFERROR(INDEX('[2]SALES PERTYPE'!$J$10:$J$52,MATCH($C11,'[2]SALES PERTYPE'!$B$10:$B$52,0)),0)</f>
        <v>2</v>
      </c>
      <c r="M11" s="179">
        <f>IFERROR(INDEX('[2]SALES PERTYPE'!$K$10:$K$52,MATCH($C11,'[2]SALES PERTYPE'!$B$10:$B$52,0)),0)</f>
        <v>4198000</v>
      </c>
      <c r="N11" s="179">
        <f>IFERROR(INDEX('[2]SALES PERTYPE'!$L$10:$L$52,MATCH($C11,'[2]SALES PERTYPE'!$B$10:$B$52,0)),0)</f>
        <v>2</v>
      </c>
      <c r="O11" s="179">
        <f>IFERROR(INDEX('[2]SALES PERTYPE'!$M$10:$M$52,MATCH($C11,'[2]SALES PERTYPE'!$B$10:$B$52,0)),0)</f>
        <v>19998000</v>
      </c>
      <c r="P11" s="179">
        <f>IFERROR(INDEX('[2]SALES PERTYPE'!$N$10:$N$52,MATCH($C11,'[2]SALES PERTYPE'!$B$10:$B$52,0)),0)</f>
        <v>3</v>
      </c>
      <c r="Q11" s="179">
        <f>IFERROR(INDEX('[2]SALES PERTYPE'!$O$10:$O$52,MATCH($C11,'[2]SALES PERTYPE'!$B$10:$B$52,0)),0)</f>
        <v>14297000</v>
      </c>
      <c r="R11" s="179">
        <f>IFERROR(INDEX('[2]SALES PERTYPE'!$P$10:$P$52,MATCH($C11,'[2]SALES PERTYPE'!$B$10:$B$52,0)),0)</f>
        <v>0</v>
      </c>
      <c r="S11" s="179">
        <f>IFERROR(INDEX('[2]SALES PERTYPE'!$Q$10:$Q$52,MATCH($C11,'[2]SALES PERTYPE'!$B$10:$B$52,0)),0)</f>
        <v>0</v>
      </c>
      <c r="T11" s="179">
        <f>IFERROR(INDEX('[2]SALES PERTYPE'!$R$10:$R$52,MATCH($C11,'[2]SALES PERTYPE'!$B$10:$B$52,0)),0)</f>
        <v>0</v>
      </c>
      <c r="U11" s="179">
        <f>IFERROR(INDEX('[2]SALES PERTYPE'!$S$10:$S$52,MATCH($C11,'[2]SALES PERTYPE'!$B$10:$B$52,0)),0)</f>
        <v>0</v>
      </c>
      <c r="V11" s="179">
        <f>IFERROR(INDEX('[2]SALES PERTYPE'!$T$10:$T$52,MATCH($C11,'[2]SALES PERTYPE'!$B$10:$B$52,0)),0)</f>
        <v>2</v>
      </c>
      <c r="W11" s="179">
        <f>IFERROR(INDEX('[2]SALES PERTYPE'!$U$10:$U$52,MATCH($C11,'[2]SALES PERTYPE'!$B$10:$B$52,0)),0)</f>
        <v>13498000</v>
      </c>
      <c r="X11" s="179">
        <f>IFERROR(INDEX('[2]SALES PERTYPE'!$V$10:$V$52,MATCH($C11,'[2]SALES PERTYPE'!$B$10:$B$52,0)),0)</f>
        <v>0</v>
      </c>
      <c r="Y11" s="179">
        <f>IFERROR(INDEX('[2]SALES PERTYPE'!$W$10:$W$52,MATCH($C11,'[2]SALES PERTYPE'!$B$10:$B$52,0)),0)</f>
        <v>0</v>
      </c>
      <c r="Z11" s="179">
        <f>IFERROR(INDEX('[2]SALES PERTYPE'!$X$10:$X$52,MATCH($C11,'[2]SALES PERTYPE'!$B$10:$B$52,0)),0)</f>
        <v>0</v>
      </c>
      <c r="AA11" s="179">
        <f>IFERROR(INDEX('[2]SALES PERTYPE'!$Y$10:$Y$52,MATCH($C11,'[2]SALES PERTYPE'!$B$10:$B$52,0)),0)</f>
        <v>0</v>
      </c>
      <c r="AB11" s="179">
        <f>IFERROR(INDEX('[2]SALES PERTYPE'!$Z$10:$Z$52,MATCH($C11,'[2]SALES PERTYPE'!$B$10:$B$52,0)),0)</f>
        <v>0</v>
      </c>
      <c r="AC11" s="179">
        <f>IFERROR(INDEX('[2]SALES PERTYPE'!$AA$10:$AA$52,MATCH($C11,'[2]SALES PERTYPE'!$B$10:$B$52,0)),0)</f>
        <v>0</v>
      </c>
      <c r="AD11" s="179">
        <f>IFERROR(INDEX('[2]SALES PERTYPE'!$AB$10:$AB$52,MATCH($C11,'[2]SALES PERTYPE'!$B$10:$B$52,0)),0)</f>
        <v>0</v>
      </c>
      <c r="AE11" s="179">
        <f>IFERROR(INDEX('[2]SALES PERTYPE'!$AC$10:$AC$52,MATCH($C11,'[2]SALES PERTYPE'!$B$10:$B$52,0)),0)</f>
        <v>0</v>
      </c>
      <c r="AF11" s="179">
        <f>IFERROR(INDEX('[2]SALES PERTYPE'!$AD$10:$AD$52,MATCH($C11,'[2]SALES PERTYPE'!$B$10:$B$52,0)),0)</f>
        <v>1</v>
      </c>
      <c r="AG11" s="179">
        <f>IFERROR(INDEX('[2]SALES PERTYPE'!$AE$10:$AE$52,MATCH($C11,'[2]SALES PERTYPE'!$B$10:$B$52,0)),0)</f>
        <v>29999000</v>
      </c>
      <c r="AH11" s="179">
        <f>IFERROR(INDEX('[2]SALES PERTYPE'!$AF$10:$AF$52,MATCH($C11,'[2]SALES PERTYPE'!$B$10:$B$52,0)),0)</f>
        <v>0</v>
      </c>
      <c r="AI11" s="179">
        <f>IFERROR(INDEX('[2]SALES PERTYPE'!$AG$10:$AG$52,MATCH($C11,'[2]SALES PERTYPE'!$B$10:$B$52,0)),0)</f>
        <v>0</v>
      </c>
      <c r="AJ11" s="179">
        <f>IFERROR(INDEX('[2]SALES PERTYPE'!$AH$10:$AH$52,MATCH($C11,'[2]SALES PERTYPE'!$B$10:$B$52,0)),0)</f>
        <v>0</v>
      </c>
      <c r="AK11" s="179">
        <f>IFERROR(INDEX('[2]SALES PERTYPE'!$AI$10:$AI$52,MATCH($C11,'[2]SALES PERTYPE'!$B$10:$B$52,0)),0)</f>
        <v>0</v>
      </c>
      <c r="AL11" s="179">
        <f>IFERROR(INDEX('[2]SALES PERTYPE'!$AJ$10:$AJ$52,MATCH($C11,'[2]SALES PERTYPE'!$B$10:$B$52,0)),0)</f>
        <v>0</v>
      </c>
      <c r="AM11" s="179">
        <f>IFERROR(INDEX('[2]SALES PERTYPE'!$AK$10:$AK$52,MATCH($C11,'[2]SALES PERTYPE'!$B$10:$B$52,0)),0)</f>
        <v>0</v>
      </c>
      <c r="AN11" s="179">
        <f>IFERROR(INDEX('[2]SALES PERTYPE'!$AL$10:$AL$52,MATCH($C11,'[2]SALES PERTYPE'!$B$10:$B$52,0)),0)</f>
        <v>19</v>
      </c>
      <c r="AO11" s="179">
        <f>IFERROR(INDEX('[2]SALES PERTYPE'!$AM$10:$AM$52,MATCH($C11,'[2]SALES PERTYPE'!$B$10:$B$52,0)),0)</f>
        <v>103181000</v>
      </c>
    </row>
    <row r="12" spans="1:41" x14ac:dyDescent="0.15">
      <c r="A12" s="184">
        <f>'[2]ACHIEVEMENT STORE'!A12</f>
        <v>8</v>
      </c>
      <c r="B12" s="183" t="str">
        <f>'[2]ACHIEVEMENT STORE'!B12</f>
        <v>601 雅加达西北 JKT BU</v>
      </c>
      <c r="C12" s="184">
        <f>'[2]ACHIEVEMENT STORE'!C12</f>
        <v>6010711</v>
      </c>
      <c r="D12" s="183" t="str">
        <f>'[2]ACHIEVEMENT STORE'!D12</f>
        <v>6010711-LIPPO MALL PURI 1FK02</v>
      </c>
      <c r="E12" s="183" t="str">
        <f>'[2]ACHIEVEMENT STORE'!E12</f>
        <v>HERRU ILYASA</v>
      </c>
      <c r="F12" s="182">
        <f>IFERROR(INDEX('[2]SALES PERTYPE'!$D$10:$D$52,MATCH($C12,'[2]SALES PERTYPE'!$B$10:$B$52,0)),0)</f>
        <v>3</v>
      </c>
      <c r="G12" s="182">
        <f>IFERROR(INDEX('[2]SALES PERTYPE'!$E$10:$E$52,MATCH($C12,'[2]SALES PERTYPE'!$B$10:$B$52,0)),0)</f>
        <v>7197000</v>
      </c>
      <c r="H12" s="182">
        <f>IFERROR(INDEX('[2]SALES PERTYPE'!$F$10:$F$52,MATCH($C12,'[2]SALES PERTYPE'!$B$10:$B$52,0)),0)</f>
        <v>3</v>
      </c>
      <c r="I12" s="182">
        <f>IFERROR(INDEX('[2]SALES PERTYPE'!$G$10:$G$52,MATCH($C12,'[2]SALES PERTYPE'!$B$10:$B$52,0)),0)</f>
        <v>7997000</v>
      </c>
      <c r="J12" s="182">
        <f>IFERROR(INDEX('[2]SALES PERTYPE'!$H$10:$H$52,MATCH($C12,'[2]SALES PERTYPE'!$B$10:$B$52,0)),0)</f>
        <v>0</v>
      </c>
      <c r="K12" s="182">
        <f>IFERROR(INDEX('[2]SALES PERTYPE'!$I$10:$I$52,MATCH($C12,'[2]SALES PERTYPE'!$B$10:$B$52,0)),0)</f>
        <v>0</v>
      </c>
      <c r="L12" s="182">
        <f>IFERROR(INDEX('[2]SALES PERTYPE'!$J$10:$J$52,MATCH($C12,'[2]SALES PERTYPE'!$B$10:$B$52,0)),0)</f>
        <v>0</v>
      </c>
      <c r="M12" s="182">
        <f>IFERROR(INDEX('[2]SALES PERTYPE'!$K$10:$K$52,MATCH($C12,'[2]SALES PERTYPE'!$B$10:$B$52,0)),0)</f>
        <v>0</v>
      </c>
      <c r="N12" s="182">
        <f>IFERROR(INDEX('[2]SALES PERTYPE'!$L$10:$L$52,MATCH($C12,'[2]SALES PERTYPE'!$B$10:$B$52,0)),0)</f>
        <v>0</v>
      </c>
      <c r="O12" s="182">
        <f>IFERROR(INDEX('[2]SALES PERTYPE'!$M$10:$M$52,MATCH($C12,'[2]SALES PERTYPE'!$B$10:$B$52,0)),0)</f>
        <v>0</v>
      </c>
      <c r="P12" s="182">
        <f>IFERROR(INDEX('[2]SALES PERTYPE'!$N$10:$N$52,MATCH($C12,'[2]SALES PERTYPE'!$B$10:$B$52,0)),0)</f>
        <v>2</v>
      </c>
      <c r="Q12" s="182">
        <f>IFERROR(INDEX('[2]SALES PERTYPE'!$O$10:$O$52,MATCH($C12,'[2]SALES PERTYPE'!$B$10:$B$52,0)),0)</f>
        <v>8198000</v>
      </c>
      <c r="R12" s="182">
        <f>IFERROR(INDEX('[2]SALES PERTYPE'!$P$10:$P$52,MATCH($C12,'[2]SALES PERTYPE'!$B$10:$B$52,0)),0)</f>
        <v>0</v>
      </c>
      <c r="S12" s="182">
        <f>IFERROR(INDEX('[2]SALES PERTYPE'!$Q$10:$Q$52,MATCH($C12,'[2]SALES PERTYPE'!$B$10:$B$52,0)),0)</f>
        <v>0</v>
      </c>
      <c r="T12" s="182">
        <f>IFERROR(INDEX('[2]SALES PERTYPE'!$R$10:$R$52,MATCH($C12,'[2]SALES PERTYPE'!$B$10:$B$52,0)),0)</f>
        <v>0</v>
      </c>
      <c r="U12" s="182">
        <f>IFERROR(INDEX('[2]SALES PERTYPE'!$S$10:$S$52,MATCH($C12,'[2]SALES PERTYPE'!$B$10:$B$52,0)),0)</f>
        <v>0</v>
      </c>
      <c r="V12" s="182">
        <f>IFERROR(INDEX('[2]SALES PERTYPE'!$T$10:$T$52,MATCH($C12,'[2]SALES PERTYPE'!$B$10:$B$52,0)),0)</f>
        <v>0</v>
      </c>
      <c r="W12" s="182">
        <f>IFERROR(INDEX('[2]SALES PERTYPE'!$U$10:$U$52,MATCH($C12,'[2]SALES PERTYPE'!$B$10:$B$52,0)),0)</f>
        <v>0</v>
      </c>
      <c r="X12" s="182">
        <f>IFERROR(INDEX('[2]SALES PERTYPE'!$V$10:$V$52,MATCH($C12,'[2]SALES PERTYPE'!$B$10:$B$52,0)),0)</f>
        <v>0</v>
      </c>
      <c r="Y12" s="182">
        <f>IFERROR(INDEX('[2]SALES PERTYPE'!$W$10:$W$52,MATCH($C12,'[2]SALES PERTYPE'!$B$10:$B$52,0)),0)</f>
        <v>0</v>
      </c>
      <c r="Z12" s="182">
        <f>IFERROR(INDEX('[2]SALES PERTYPE'!$X$10:$X$52,MATCH($C12,'[2]SALES PERTYPE'!$B$10:$B$52,0)),0)</f>
        <v>1</v>
      </c>
      <c r="AA12" s="182">
        <f>IFERROR(INDEX('[2]SALES PERTYPE'!$Y$10:$Y$52,MATCH($C12,'[2]SALES PERTYPE'!$B$10:$B$52,0)),0)</f>
        <v>5499000</v>
      </c>
      <c r="AB12" s="182">
        <f>IFERROR(INDEX('[2]SALES PERTYPE'!$Z$10:$Z$52,MATCH($C12,'[2]SALES PERTYPE'!$B$10:$B$52,0)),0)</f>
        <v>0</v>
      </c>
      <c r="AC12" s="182">
        <f>IFERROR(INDEX('[2]SALES PERTYPE'!$AA$10:$AA$52,MATCH($C12,'[2]SALES PERTYPE'!$B$10:$B$52,0)),0)</f>
        <v>0</v>
      </c>
      <c r="AD12" s="182">
        <f>IFERROR(INDEX('[2]SALES PERTYPE'!$AB$10:$AB$52,MATCH($C12,'[2]SALES PERTYPE'!$B$10:$B$52,0)),0)</f>
        <v>0</v>
      </c>
      <c r="AE12" s="182">
        <f>IFERROR(INDEX('[2]SALES PERTYPE'!$AC$10:$AC$52,MATCH($C12,'[2]SALES PERTYPE'!$B$10:$B$52,0)),0)</f>
        <v>0</v>
      </c>
      <c r="AF12" s="182">
        <f>IFERROR(INDEX('[2]SALES PERTYPE'!$AD$10:$AD$52,MATCH($C12,'[2]SALES PERTYPE'!$B$10:$B$52,0)),0)</f>
        <v>2</v>
      </c>
      <c r="AG12" s="182">
        <f>IFERROR(INDEX('[2]SALES PERTYPE'!$AE$10:$AE$52,MATCH($C12,'[2]SALES PERTYPE'!$B$10:$B$52,0)),0)</f>
        <v>55998000</v>
      </c>
      <c r="AH12" s="182">
        <f>IFERROR(INDEX('[2]SALES PERTYPE'!$AF$10:$AF$52,MATCH($C12,'[2]SALES PERTYPE'!$B$10:$B$52,0)),0)</f>
        <v>1</v>
      </c>
      <c r="AI12" s="182">
        <f>IFERROR(INDEX('[2]SALES PERTYPE'!$AG$10:$AG$52,MATCH($C12,'[2]SALES PERTYPE'!$B$10:$B$52,0)),0)</f>
        <v>15999000</v>
      </c>
      <c r="AJ12" s="182">
        <f>IFERROR(INDEX('[2]SALES PERTYPE'!$AH$10:$AH$52,MATCH($C12,'[2]SALES PERTYPE'!$B$10:$B$52,0)),0)</f>
        <v>0</v>
      </c>
      <c r="AK12" s="182">
        <f>IFERROR(INDEX('[2]SALES PERTYPE'!$AI$10:$AI$52,MATCH($C12,'[2]SALES PERTYPE'!$B$10:$B$52,0)),0)</f>
        <v>0</v>
      </c>
      <c r="AL12" s="182">
        <f>IFERROR(INDEX('[2]SALES PERTYPE'!$AJ$10:$AJ$52,MATCH($C12,'[2]SALES PERTYPE'!$B$10:$B$52,0)),0)</f>
        <v>1</v>
      </c>
      <c r="AM12" s="182">
        <f>IFERROR(INDEX('[2]SALES PERTYPE'!$AK$10:$AK$52,MATCH($C12,'[2]SALES PERTYPE'!$B$10:$B$52,0)),0)</f>
        <v>7999000</v>
      </c>
      <c r="AN12" s="182">
        <f>IFERROR(INDEX('[2]SALES PERTYPE'!$AL$10:$AL$52,MATCH($C12,'[2]SALES PERTYPE'!$B$10:$B$52,0)),0)</f>
        <v>13</v>
      </c>
      <c r="AO12" s="182">
        <f>IFERROR(INDEX('[2]SALES PERTYPE'!$AM$10:$AM$52,MATCH($C12,'[2]SALES PERTYPE'!$B$10:$B$52,0)),0)</f>
        <v>108887000</v>
      </c>
    </row>
    <row r="13" spans="1:41" x14ac:dyDescent="0.15">
      <c r="A13" s="181">
        <f>'[2]ACHIEVEMENT STORE'!A13</f>
        <v>9</v>
      </c>
      <c r="B13" s="180" t="str">
        <f>'[2]ACHIEVEMENT STORE'!B13</f>
        <v>601 雅加达西北 JKT BU</v>
      </c>
      <c r="C13" s="181">
        <f>'[2]ACHIEVEMENT STORE'!C13</f>
        <v>6020706</v>
      </c>
      <c r="D13" s="180" t="str">
        <f>'[2]ACHIEVEMENT STORE'!D13</f>
        <v>6020706-MVS CEMPAKA SHOWROOM 2 (454)</v>
      </c>
      <c r="E13" s="180" t="str">
        <f>'[2]ACHIEVEMENT STORE'!E13</f>
        <v>NOVIA HARYANTI</v>
      </c>
      <c r="F13" s="179">
        <f>IFERROR(INDEX('[2]SALES PERTYPE'!$D$10:$D$52,MATCH($C13,'[2]SALES PERTYPE'!$B$10:$B$52,0)),0)</f>
        <v>5</v>
      </c>
      <c r="G13" s="179">
        <f>IFERROR(INDEX('[2]SALES PERTYPE'!$E$10:$E$52,MATCH($C13,'[2]SALES PERTYPE'!$B$10:$B$52,0)),0)</f>
        <v>12095000</v>
      </c>
      <c r="H13" s="179">
        <f>IFERROR(INDEX('[2]SALES PERTYPE'!$F$10:$F$52,MATCH($C13,'[2]SALES PERTYPE'!$B$10:$B$52,0)),0)</f>
        <v>3</v>
      </c>
      <c r="I13" s="179">
        <f>IFERROR(INDEX('[2]SALES PERTYPE'!$G$10:$G$52,MATCH($C13,'[2]SALES PERTYPE'!$B$10:$B$52,0)),0)</f>
        <v>8397000</v>
      </c>
      <c r="J13" s="179">
        <f>IFERROR(INDEX('[2]SALES PERTYPE'!$H$10:$H$52,MATCH($C13,'[2]SALES PERTYPE'!$B$10:$B$52,0)),0)</f>
        <v>0</v>
      </c>
      <c r="K13" s="179">
        <f>IFERROR(INDEX('[2]SALES PERTYPE'!$I$10:$I$52,MATCH($C13,'[2]SALES PERTYPE'!$B$10:$B$52,0)),0)</f>
        <v>0</v>
      </c>
      <c r="L13" s="179">
        <f>IFERROR(INDEX('[2]SALES PERTYPE'!$J$10:$J$52,MATCH($C13,'[2]SALES PERTYPE'!$B$10:$B$52,0)),0)</f>
        <v>1</v>
      </c>
      <c r="M13" s="179">
        <f>IFERROR(INDEX('[2]SALES PERTYPE'!$K$10:$K$52,MATCH($C13,'[2]SALES PERTYPE'!$B$10:$B$52,0)),0)</f>
        <v>2099000</v>
      </c>
      <c r="N13" s="179">
        <f>IFERROR(INDEX('[2]SALES PERTYPE'!$L$10:$L$52,MATCH($C13,'[2]SALES PERTYPE'!$B$10:$B$52,0)),0)</f>
        <v>0</v>
      </c>
      <c r="O13" s="179">
        <f>IFERROR(INDEX('[2]SALES PERTYPE'!$M$10:$M$52,MATCH($C13,'[2]SALES PERTYPE'!$B$10:$B$52,0)),0)</f>
        <v>0</v>
      </c>
      <c r="P13" s="179">
        <f>IFERROR(INDEX('[2]SALES PERTYPE'!$N$10:$N$52,MATCH($C13,'[2]SALES PERTYPE'!$B$10:$B$52,0)),0)</f>
        <v>4</v>
      </c>
      <c r="Q13" s="179">
        <f>IFERROR(INDEX('[2]SALES PERTYPE'!$O$10:$O$52,MATCH($C13,'[2]SALES PERTYPE'!$B$10:$B$52,0)),0)</f>
        <v>18596000</v>
      </c>
      <c r="R13" s="179">
        <f>IFERROR(INDEX('[2]SALES PERTYPE'!$P$10:$P$52,MATCH($C13,'[2]SALES PERTYPE'!$B$10:$B$52,0)),0)</f>
        <v>0</v>
      </c>
      <c r="S13" s="179">
        <f>IFERROR(INDEX('[2]SALES PERTYPE'!$Q$10:$Q$52,MATCH($C13,'[2]SALES PERTYPE'!$B$10:$B$52,0)),0)</f>
        <v>0</v>
      </c>
      <c r="T13" s="179">
        <f>IFERROR(INDEX('[2]SALES PERTYPE'!$R$10:$R$52,MATCH($C13,'[2]SALES PERTYPE'!$B$10:$B$52,0)),0)</f>
        <v>1</v>
      </c>
      <c r="U13" s="179">
        <f>IFERROR(INDEX('[2]SALES PERTYPE'!$S$10:$S$52,MATCH($C13,'[2]SALES PERTYPE'!$B$10:$B$52,0)),0)</f>
        <v>3599000</v>
      </c>
      <c r="V13" s="179">
        <f>IFERROR(INDEX('[2]SALES PERTYPE'!$T$10:$T$52,MATCH($C13,'[2]SALES PERTYPE'!$B$10:$B$52,0)),0)</f>
        <v>0</v>
      </c>
      <c r="W13" s="179">
        <f>IFERROR(INDEX('[2]SALES PERTYPE'!$U$10:$U$52,MATCH($C13,'[2]SALES PERTYPE'!$B$10:$B$52,0)),0)</f>
        <v>0</v>
      </c>
      <c r="X13" s="179">
        <f>IFERROR(INDEX('[2]SALES PERTYPE'!$V$10:$V$52,MATCH($C13,'[2]SALES PERTYPE'!$B$10:$B$52,0)),0)</f>
        <v>0</v>
      </c>
      <c r="Y13" s="179">
        <f>IFERROR(INDEX('[2]SALES PERTYPE'!$W$10:$W$52,MATCH($C13,'[2]SALES PERTYPE'!$B$10:$B$52,0)),0)</f>
        <v>0</v>
      </c>
      <c r="Z13" s="179">
        <f>IFERROR(INDEX('[2]SALES PERTYPE'!$X$10:$X$52,MATCH($C13,'[2]SALES PERTYPE'!$B$10:$B$52,0)),0)</f>
        <v>1</v>
      </c>
      <c r="AA13" s="179">
        <f>IFERROR(INDEX('[2]SALES PERTYPE'!$Y$10:$Y$52,MATCH($C13,'[2]SALES PERTYPE'!$B$10:$B$52,0)),0)</f>
        <v>6299000</v>
      </c>
      <c r="AB13" s="179">
        <f>IFERROR(INDEX('[2]SALES PERTYPE'!$Z$10:$Z$52,MATCH($C13,'[2]SALES PERTYPE'!$B$10:$B$52,0)),0)</f>
        <v>0</v>
      </c>
      <c r="AC13" s="179">
        <f>IFERROR(INDEX('[2]SALES PERTYPE'!$AA$10:$AA$52,MATCH($C13,'[2]SALES PERTYPE'!$B$10:$B$52,0)),0)</f>
        <v>0</v>
      </c>
      <c r="AD13" s="179">
        <f>IFERROR(INDEX('[2]SALES PERTYPE'!$AB$10:$AB$52,MATCH($C13,'[2]SALES PERTYPE'!$B$10:$B$52,0)),0)</f>
        <v>2</v>
      </c>
      <c r="AE13" s="179">
        <f>IFERROR(INDEX('[2]SALES PERTYPE'!$AC$10:$AC$52,MATCH($C13,'[2]SALES PERTYPE'!$B$10:$B$52,0)),0)</f>
        <v>11298000</v>
      </c>
      <c r="AF13" s="179">
        <f>IFERROR(INDEX('[2]SALES PERTYPE'!$AD$10:$AD$52,MATCH($C13,'[2]SALES PERTYPE'!$B$10:$B$52,0)),0)</f>
        <v>0</v>
      </c>
      <c r="AG13" s="179">
        <f>IFERROR(INDEX('[2]SALES PERTYPE'!$AE$10:$AE$52,MATCH($C13,'[2]SALES PERTYPE'!$B$10:$B$52,0)),0)</f>
        <v>0</v>
      </c>
      <c r="AH13" s="179">
        <f>IFERROR(INDEX('[2]SALES PERTYPE'!$AF$10:$AF$52,MATCH($C13,'[2]SALES PERTYPE'!$B$10:$B$52,0)),0)</f>
        <v>0</v>
      </c>
      <c r="AI13" s="179">
        <f>IFERROR(INDEX('[2]SALES PERTYPE'!$AG$10:$AG$52,MATCH($C13,'[2]SALES PERTYPE'!$B$10:$B$52,0)),0)</f>
        <v>0</v>
      </c>
      <c r="AJ13" s="179">
        <f>IFERROR(INDEX('[2]SALES PERTYPE'!$AH$10:$AH$52,MATCH($C13,'[2]SALES PERTYPE'!$B$10:$B$52,0)),0)</f>
        <v>0</v>
      </c>
      <c r="AK13" s="179">
        <f>IFERROR(INDEX('[2]SALES PERTYPE'!$AI$10:$AI$52,MATCH($C13,'[2]SALES PERTYPE'!$B$10:$B$52,0)),0)</f>
        <v>0</v>
      </c>
      <c r="AL13" s="179">
        <f>IFERROR(INDEX('[2]SALES PERTYPE'!$AJ$10:$AJ$52,MATCH($C13,'[2]SALES PERTYPE'!$B$10:$B$52,0)),0)</f>
        <v>0</v>
      </c>
      <c r="AM13" s="179">
        <f>IFERROR(INDEX('[2]SALES PERTYPE'!$AK$10:$AK$52,MATCH($C13,'[2]SALES PERTYPE'!$B$10:$B$52,0)),0)</f>
        <v>0</v>
      </c>
      <c r="AN13" s="179">
        <f>IFERROR(INDEX('[2]SALES PERTYPE'!$AL$10:$AL$52,MATCH($C13,'[2]SALES PERTYPE'!$B$10:$B$52,0)),0)</f>
        <v>17</v>
      </c>
      <c r="AO13" s="179">
        <f>IFERROR(INDEX('[2]SALES PERTYPE'!$AM$10:$AM$52,MATCH($C13,'[2]SALES PERTYPE'!$B$10:$B$52,0)),0)</f>
        <v>62383000</v>
      </c>
    </row>
    <row r="14" spans="1:41" x14ac:dyDescent="0.15">
      <c r="A14" s="184">
        <f>'[2]ACHIEVEMENT STORE'!A14</f>
        <v>10</v>
      </c>
      <c r="B14" s="183" t="str">
        <f>'[2]ACHIEVEMENT STORE'!B14</f>
        <v>601 雅加达西北 JKT BU</v>
      </c>
      <c r="C14" s="184">
        <f>'[2]ACHIEVEMENT STORE'!C14</f>
        <v>6020704</v>
      </c>
      <c r="D14" s="183" t="str">
        <f>'[2]ACHIEVEMENT STORE'!D14</f>
        <v>6020704-MVS CEMPAKA SHOWROOM 14 (8TOKO)</v>
      </c>
      <c r="E14" s="183" t="str">
        <f>'[2]ACHIEVEMENT STORE'!E14</f>
        <v>NOVIA HARYANTI</v>
      </c>
      <c r="F14" s="182">
        <f>IFERROR(INDEX('[2]SALES PERTYPE'!$D$10:$D$52,MATCH($C14,'[2]SALES PERTYPE'!$B$10:$B$52,0)),0)</f>
        <v>1</v>
      </c>
      <c r="G14" s="182">
        <f>IFERROR(INDEX('[2]SALES PERTYPE'!$E$10:$E$52,MATCH($C14,'[2]SALES PERTYPE'!$B$10:$B$52,0)),0)</f>
        <v>2299000</v>
      </c>
      <c r="H14" s="182">
        <f>IFERROR(INDEX('[2]SALES PERTYPE'!$F$10:$F$52,MATCH($C14,'[2]SALES PERTYPE'!$B$10:$B$52,0)),0)</f>
        <v>3</v>
      </c>
      <c r="I14" s="182">
        <f>IFERROR(INDEX('[2]SALES PERTYPE'!$G$10:$G$52,MATCH($C14,'[2]SALES PERTYPE'!$B$10:$B$52,0)),0)</f>
        <v>8397000</v>
      </c>
      <c r="J14" s="182">
        <f>IFERROR(INDEX('[2]SALES PERTYPE'!$H$10:$H$52,MATCH($C14,'[2]SALES PERTYPE'!$B$10:$B$52,0)),0)</f>
        <v>0</v>
      </c>
      <c r="K14" s="182">
        <f>IFERROR(INDEX('[2]SALES PERTYPE'!$I$10:$I$52,MATCH($C14,'[2]SALES PERTYPE'!$B$10:$B$52,0)),0)</f>
        <v>0</v>
      </c>
      <c r="L14" s="182">
        <f>IFERROR(INDEX('[2]SALES PERTYPE'!$J$10:$J$52,MATCH($C14,'[2]SALES PERTYPE'!$B$10:$B$52,0)),0)</f>
        <v>2</v>
      </c>
      <c r="M14" s="182">
        <f>IFERROR(INDEX('[2]SALES PERTYPE'!$K$10:$K$52,MATCH($C14,'[2]SALES PERTYPE'!$B$10:$B$52,0)),0)</f>
        <v>4198000</v>
      </c>
      <c r="N14" s="182">
        <f>IFERROR(INDEX('[2]SALES PERTYPE'!$L$10:$L$52,MATCH($C14,'[2]SALES PERTYPE'!$B$10:$B$52,0)),0)</f>
        <v>0</v>
      </c>
      <c r="O14" s="182">
        <f>IFERROR(INDEX('[2]SALES PERTYPE'!$M$10:$M$52,MATCH($C14,'[2]SALES PERTYPE'!$B$10:$B$52,0)),0)</f>
        <v>0</v>
      </c>
      <c r="P14" s="182">
        <f>IFERROR(INDEX('[2]SALES PERTYPE'!$N$10:$N$52,MATCH($C14,'[2]SALES PERTYPE'!$B$10:$B$52,0)),0)</f>
        <v>2</v>
      </c>
      <c r="Q14" s="182">
        <f>IFERROR(INDEX('[2]SALES PERTYPE'!$O$10:$O$52,MATCH($C14,'[2]SALES PERTYPE'!$B$10:$B$52,0)),0)</f>
        <v>8198000</v>
      </c>
      <c r="R14" s="182">
        <f>IFERROR(INDEX('[2]SALES PERTYPE'!$P$10:$P$52,MATCH($C14,'[2]SALES PERTYPE'!$B$10:$B$52,0)),0)</f>
        <v>0</v>
      </c>
      <c r="S14" s="182">
        <f>IFERROR(INDEX('[2]SALES PERTYPE'!$Q$10:$Q$52,MATCH($C14,'[2]SALES PERTYPE'!$B$10:$B$52,0)),0)</f>
        <v>0</v>
      </c>
      <c r="T14" s="182">
        <f>IFERROR(INDEX('[2]SALES PERTYPE'!$R$10:$R$52,MATCH($C14,'[2]SALES PERTYPE'!$B$10:$B$52,0)),0)</f>
        <v>1</v>
      </c>
      <c r="U14" s="182">
        <f>IFERROR(INDEX('[2]SALES PERTYPE'!$S$10:$S$52,MATCH($C14,'[2]SALES PERTYPE'!$B$10:$B$52,0)),0)</f>
        <v>3599000</v>
      </c>
      <c r="V14" s="182">
        <f>IFERROR(INDEX('[2]SALES PERTYPE'!$T$10:$T$52,MATCH($C14,'[2]SALES PERTYPE'!$B$10:$B$52,0)),0)</f>
        <v>0</v>
      </c>
      <c r="W14" s="182">
        <f>IFERROR(INDEX('[2]SALES PERTYPE'!$U$10:$U$52,MATCH($C14,'[2]SALES PERTYPE'!$B$10:$B$52,0)),0)</f>
        <v>0</v>
      </c>
      <c r="X14" s="182">
        <f>IFERROR(INDEX('[2]SALES PERTYPE'!$V$10:$V$52,MATCH($C14,'[2]SALES PERTYPE'!$B$10:$B$52,0)),0)</f>
        <v>0</v>
      </c>
      <c r="Y14" s="182">
        <f>IFERROR(INDEX('[2]SALES PERTYPE'!$W$10:$W$52,MATCH($C14,'[2]SALES PERTYPE'!$B$10:$B$52,0)),0)</f>
        <v>0</v>
      </c>
      <c r="Z14" s="182">
        <f>IFERROR(INDEX('[2]SALES PERTYPE'!$X$10:$X$52,MATCH($C14,'[2]SALES PERTYPE'!$B$10:$B$52,0)),0)</f>
        <v>0</v>
      </c>
      <c r="AA14" s="182">
        <f>IFERROR(INDEX('[2]SALES PERTYPE'!$Y$10:$Y$52,MATCH($C14,'[2]SALES PERTYPE'!$B$10:$B$52,0)),0)</f>
        <v>0</v>
      </c>
      <c r="AB14" s="182">
        <f>IFERROR(INDEX('[2]SALES PERTYPE'!$Z$10:$Z$52,MATCH($C14,'[2]SALES PERTYPE'!$B$10:$B$52,0)),0)</f>
        <v>0</v>
      </c>
      <c r="AC14" s="182">
        <f>IFERROR(INDEX('[2]SALES PERTYPE'!$AA$10:$AA$52,MATCH($C14,'[2]SALES PERTYPE'!$B$10:$B$52,0)),0)</f>
        <v>0</v>
      </c>
      <c r="AD14" s="182">
        <f>IFERROR(INDEX('[2]SALES PERTYPE'!$AB$10:$AB$52,MATCH($C14,'[2]SALES PERTYPE'!$B$10:$B$52,0)),0)</f>
        <v>1</v>
      </c>
      <c r="AE14" s="182">
        <f>IFERROR(INDEX('[2]SALES PERTYPE'!$AC$10:$AC$52,MATCH($C14,'[2]SALES PERTYPE'!$B$10:$B$52,0)),0)</f>
        <v>5299000</v>
      </c>
      <c r="AF14" s="182">
        <f>IFERROR(INDEX('[2]SALES PERTYPE'!$AD$10:$AD$52,MATCH($C14,'[2]SALES PERTYPE'!$B$10:$B$52,0)),0)</f>
        <v>0</v>
      </c>
      <c r="AG14" s="182">
        <f>IFERROR(INDEX('[2]SALES PERTYPE'!$AE$10:$AE$52,MATCH($C14,'[2]SALES PERTYPE'!$B$10:$B$52,0)),0)</f>
        <v>0</v>
      </c>
      <c r="AH14" s="182">
        <f>IFERROR(INDEX('[2]SALES PERTYPE'!$AF$10:$AF$52,MATCH($C14,'[2]SALES PERTYPE'!$B$10:$B$52,0)),0)</f>
        <v>0</v>
      </c>
      <c r="AI14" s="182">
        <f>IFERROR(INDEX('[2]SALES PERTYPE'!$AG$10:$AG$52,MATCH($C14,'[2]SALES PERTYPE'!$B$10:$B$52,0)),0)</f>
        <v>0</v>
      </c>
      <c r="AJ14" s="182">
        <f>IFERROR(INDEX('[2]SALES PERTYPE'!$AH$10:$AH$52,MATCH($C14,'[2]SALES PERTYPE'!$B$10:$B$52,0)),0)</f>
        <v>0</v>
      </c>
      <c r="AK14" s="182">
        <f>IFERROR(INDEX('[2]SALES PERTYPE'!$AI$10:$AI$52,MATCH($C14,'[2]SALES PERTYPE'!$B$10:$B$52,0)),0)</f>
        <v>0</v>
      </c>
      <c r="AL14" s="182">
        <f>IFERROR(INDEX('[2]SALES PERTYPE'!$AJ$10:$AJ$52,MATCH($C14,'[2]SALES PERTYPE'!$B$10:$B$52,0)),0)</f>
        <v>1</v>
      </c>
      <c r="AM14" s="182">
        <f>IFERROR(INDEX('[2]SALES PERTYPE'!$AK$10:$AK$52,MATCH($C14,'[2]SALES PERTYPE'!$B$10:$B$52,0)),0)</f>
        <v>6899000</v>
      </c>
      <c r="AN14" s="182">
        <f>IFERROR(INDEX('[2]SALES PERTYPE'!$AL$10:$AL$52,MATCH($C14,'[2]SALES PERTYPE'!$B$10:$B$52,0)),0)</f>
        <v>11</v>
      </c>
      <c r="AO14" s="182">
        <f>IFERROR(INDEX('[2]SALES PERTYPE'!$AM$10:$AM$52,MATCH($C14,'[2]SALES PERTYPE'!$B$10:$B$52,0)),0)</f>
        <v>38889000</v>
      </c>
    </row>
    <row r="15" spans="1:41" x14ac:dyDescent="0.15">
      <c r="A15" s="181">
        <f>'[2]ACHIEVEMENT STORE'!A15</f>
        <v>11</v>
      </c>
      <c r="B15" s="180" t="str">
        <f>'[2]ACHIEVEMENT STORE'!B15</f>
        <v>604 雅加达东南 JKT TS</v>
      </c>
      <c r="C15" s="181">
        <f>'[2]ACHIEVEMENT STORE'!C15</f>
        <v>6040701</v>
      </c>
      <c r="D15" s="180" t="str">
        <f>'[2]ACHIEVEMENT STORE'!D15</f>
        <v>A200402-ITC-VIVO STORE 1</v>
      </c>
      <c r="E15" s="180" t="str">
        <f>'[2]ACHIEVEMENT STORE'!E15</f>
        <v>Erlangga Pradita</v>
      </c>
      <c r="F15" s="179">
        <f>IFERROR(INDEX('[2]SALES PERTYPE'!$D$10:$D$52,MATCH($C15,'[2]SALES PERTYPE'!$B$10:$B$52,0)),0)</f>
        <v>4</v>
      </c>
      <c r="G15" s="179">
        <f>IFERROR(INDEX('[2]SALES PERTYPE'!$E$10:$E$52,MATCH($C15,'[2]SALES PERTYPE'!$B$10:$B$52,0)),0)</f>
        <v>10396000</v>
      </c>
      <c r="H15" s="179">
        <f>IFERROR(INDEX('[2]SALES PERTYPE'!$F$10:$F$52,MATCH($C15,'[2]SALES PERTYPE'!$B$10:$B$52,0)),0)</f>
        <v>4</v>
      </c>
      <c r="I15" s="179">
        <f>IFERROR(INDEX('[2]SALES PERTYPE'!$G$10:$G$52,MATCH($C15,'[2]SALES PERTYPE'!$B$10:$B$52,0)),0)</f>
        <v>10396000</v>
      </c>
      <c r="J15" s="179">
        <f>IFERROR(INDEX('[2]SALES PERTYPE'!$H$10:$H$52,MATCH($C15,'[2]SALES PERTYPE'!$B$10:$B$52,0)),0)</f>
        <v>0</v>
      </c>
      <c r="K15" s="179">
        <f>IFERROR(INDEX('[2]SALES PERTYPE'!$I$10:$I$52,MATCH($C15,'[2]SALES PERTYPE'!$B$10:$B$52,0)),0)</f>
        <v>0</v>
      </c>
      <c r="L15" s="179">
        <f>IFERROR(INDEX('[2]SALES PERTYPE'!$J$10:$J$52,MATCH($C15,'[2]SALES PERTYPE'!$B$10:$B$52,0)),0)</f>
        <v>1</v>
      </c>
      <c r="M15" s="179">
        <f>IFERROR(INDEX('[2]SALES PERTYPE'!$K$10:$K$52,MATCH($C15,'[2]SALES PERTYPE'!$B$10:$B$52,0)),0)</f>
        <v>2099000</v>
      </c>
      <c r="N15" s="179">
        <f>IFERROR(INDEX('[2]SALES PERTYPE'!$L$10:$L$52,MATCH($C15,'[2]SALES PERTYPE'!$B$10:$B$52,0)),0)</f>
        <v>0</v>
      </c>
      <c r="O15" s="179">
        <f>IFERROR(INDEX('[2]SALES PERTYPE'!$M$10:$M$52,MATCH($C15,'[2]SALES PERTYPE'!$B$10:$B$52,0)),0)</f>
        <v>0</v>
      </c>
      <c r="P15" s="179">
        <f>IFERROR(INDEX('[2]SALES PERTYPE'!$N$10:$N$52,MATCH($C15,'[2]SALES PERTYPE'!$B$10:$B$52,0)),0)</f>
        <v>6</v>
      </c>
      <c r="Q15" s="179">
        <f>IFERROR(INDEX('[2]SALES PERTYPE'!$O$10:$O$52,MATCH($C15,'[2]SALES PERTYPE'!$B$10:$B$52,0)),0)</f>
        <v>27394000</v>
      </c>
      <c r="R15" s="179">
        <f>IFERROR(INDEX('[2]SALES PERTYPE'!$P$10:$P$52,MATCH($C15,'[2]SALES PERTYPE'!$B$10:$B$52,0)),0)</f>
        <v>0</v>
      </c>
      <c r="S15" s="179">
        <f>IFERROR(INDEX('[2]SALES PERTYPE'!$Q$10:$Q$52,MATCH($C15,'[2]SALES PERTYPE'!$B$10:$B$52,0)),0)</f>
        <v>0</v>
      </c>
      <c r="T15" s="179">
        <f>IFERROR(INDEX('[2]SALES PERTYPE'!$R$10:$R$52,MATCH($C15,'[2]SALES PERTYPE'!$B$10:$B$52,0)),0)</f>
        <v>0</v>
      </c>
      <c r="U15" s="179">
        <f>IFERROR(INDEX('[2]SALES PERTYPE'!$S$10:$S$52,MATCH($C15,'[2]SALES PERTYPE'!$B$10:$B$52,0)),0)</f>
        <v>0</v>
      </c>
      <c r="V15" s="179">
        <f>IFERROR(INDEX('[2]SALES PERTYPE'!$T$10:$T$52,MATCH($C15,'[2]SALES PERTYPE'!$B$10:$B$52,0)),0)</f>
        <v>3</v>
      </c>
      <c r="W15" s="179">
        <f>IFERROR(INDEX('[2]SALES PERTYPE'!$U$10:$U$52,MATCH($C15,'[2]SALES PERTYPE'!$B$10:$B$52,0)),0)</f>
        <v>21197000</v>
      </c>
      <c r="X15" s="179">
        <f>IFERROR(INDEX('[2]SALES PERTYPE'!$V$10:$V$52,MATCH($C15,'[2]SALES PERTYPE'!$B$10:$B$52,0)),0)</f>
        <v>0</v>
      </c>
      <c r="Y15" s="179">
        <f>IFERROR(INDEX('[2]SALES PERTYPE'!$W$10:$W$52,MATCH($C15,'[2]SALES PERTYPE'!$B$10:$B$52,0)),0)</f>
        <v>0</v>
      </c>
      <c r="Z15" s="179">
        <f>IFERROR(INDEX('[2]SALES PERTYPE'!$X$10:$X$52,MATCH($C15,'[2]SALES PERTYPE'!$B$10:$B$52,0)),0)</f>
        <v>1</v>
      </c>
      <c r="AA15" s="179">
        <f>IFERROR(INDEX('[2]SALES PERTYPE'!$Y$10:$Y$52,MATCH($C15,'[2]SALES PERTYPE'!$B$10:$B$52,0)),0)</f>
        <v>5499000</v>
      </c>
      <c r="AB15" s="179">
        <f>IFERROR(INDEX('[2]SALES PERTYPE'!$Z$10:$Z$52,MATCH($C15,'[2]SALES PERTYPE'!$B$10:$B$52,0)),0)</f>
        <v>0</v>
      </c>
      <c r="AC15" s="179">
        <f>IFERROR(INDEX('[2]SALES PERTYPE'!$AA$10:$AA$52,MATCH($C15,'[2]SALES PERTYPE'!$B$10:$B$52,0)),0)</f>
        <v>0</v>
      </c>
      <c r="AD15" s="179">
        <f>IFERROR(INDEX('[2]SALES PERTYPE'!$AB$10:$AB$52,MATCH($C15,'[2]SALES PERTYPE'!$B$10:$B$52,0)),0)</f>
        <v>0</v>
      </c>
      <c r="AE15" s="179">
        <f>IFERROR(INDEX('[2]SALES PERTYPE'!$AC$10:$AC$52,MATCH($C15,'[2]SALES PERTYPE'!$B$10:$B$52,0)),0)</f>
        <v>0</v>
      </c>
      <c r="AF15" s="179">
        <f>IFERROR(INDEX('[2]SALES PERTYPE'!$AD$10:$AD$52,MATCH($C15,'[2]SALES PERTYPE'!$B$10:$B$52,0)),0)</f>
        <v>0</v>
      </c>
      <c r="AG15" s="179">
        <f>IFERROR(INDEX('[2]SALES PERTYPE'!$AE$10:$AE$52,MATCH($C15,'[2]SALES PERTYPE'!$B$10:$B$52,0)),0)</f>
        <v>0</v>
      </c>
      <c r="AH15" s="179">
        <f>IFERROR(INDEX('[2]SALES PERTYPE'!$AF$10:$AF$52,MATCH($C15,'[2]SALES PERTYPE'!$B$10:$B$52,0)),0)</f>
        <v>0</v>
      </c>
      <c r="AI15" s="179">
        <f>IFERROR(INDEX('[2]SALES PERTYPE'!$AG$10:$AG$52,MATCH($C15,'[2]SALES PERTYPE'!$B$10:$B$52,0)),0)</f>
        <v>0</v>
      </c>
      <c r="AJ15" s="179">
        <f>IFERROR(INDEX('[2]SALES PERTYPE'!$AH$10:$AH$52,MATCH($C15,'[2]SALES PERTYPE'!$B$10:$B$52,0)),0)</f>
        <v>0</v>
      </c>
      <c r="AK15" s="179">
        <f>IFERROR(INDEX('[2]SALES PERTYPE'!$AI$10:$AI$52,MATCH($C15,'[2]SALES PERTYPE'!$B$10:$B$52,0)),0)</f>
        <v>0</v>
      </c>
      <c r="AL15" s="179">
        <f>IFERROR(INDEX('[2]SALES PERTYPE'!$AJ$10:$AJ$52,MATCH($C15,'[2]SALES PERTYPE'!$B$10:$B$52,0)),0)</f>
        <v>0</v>
      </c>
      <c r="AM15" s="179">
        <f>IFERROR(INDEX('[2]SALES PERTYPE'!$AK$10:$AK$52,MATCH($C15,'[2]SALES PERTYPE'!$B$10:$B$52,0)),0)</f>
        <v>0</v>
      </c>
      <c r="AN15" s="179">
        <f>IFERROR(INDEX('[2]SALES PERTYPE'!$AL$10:$AL$52,MATCH($C15,'[2]SALES PERTYPE'!$B$10:$B$52,0)),0)</f>
        <v>19</v>
      </c>
      <c r="AO15" s="179">
        <f>IFERROR(INDEX('[2]SALES PERTYPE'!$AM$10:$AM$52,MATCH($C15,'[2]SALES PERTYPE'!$B$10:$B$52,0)),0)</f>
        <v>76981000</v>
      </c>
    </row>
    <row r="16" spans="1:41" x14ac:dyDescent="0.15">
      <c r="A16" s="184">
        <f>'[2]ACHIEVEMENT STORE'!A16</f>
        <v>12</v>
      </c>
      <c r="B16" s="183" t="str">
        <f>'[2]ACHIEVEMENT STORE'!B16</f>
        <v>604 雅加达东南 JKT TS</v>
      </c>
      <c r="C16" s="184">
        <f>'[2]ACHIEVEMENT STORE'!C16</f>
        <v>6080712</v>
      </c>
      <c r="D16" s="183" t="str">
        <f>'[2]ACHIEVEMENT STORE'!D16</f>
        <v>6080712-MVS ITC DEPOK VIVO STORE 2</v>
      </c>
      <c r="E16" s="183" t="str">
        <f>'[2]ACHIEVEMENT STORE'!E16</f>
        <v>Erlangga Pradita</v>
      </c>
      <c r="F16" s="182">
        <f>IFERROR(INDEX('[2]SALES PERTYPE'!$D$10:$D$52,MATCH($C16,'[2]SALES PERTYPE'!$B$10:$B$52,0)),0)</f>
        <v>1</v>
      </c>
      <c r="G16" s="182">
        <f>IFERROR(INDEX('[2]SALES PERTYPE'!$E$10:$E$52,MATCH($C16,'[2]SALES PERTYPE'!$B$10:$B$52,0)),0)</f>
        <v>2599000</v>
      </c>
      <c r="H16" s="182">
        <f>IFERROR(INDEX('[2]SALES PERTYPE'!$F$10:$F$52,MATCH($C16,'[2]SALES PERTYPE'!$B$10:$B$52,0)),0)</f>
        <v>4</v>
      </c>
      <c r="I16" s="182">
        <f>IFERROR(INDEX('[2]SALES PERTYPE'!$G$10:$G$52,MATCH($C16,'[2]SALES PERTYPE'!$B$10:$B$52,0)),0)</f>
        <v>10796000</v>
      </c>
      <c r="J16" s="182">
        <f>IFERROR(INDEX('[2]SALES PERTYPE'!$H$10:$H$52,MATCH($C16,'[2]SALES PERTYPE'!$B$10:$B$52,0)),0)</f>
        <v>0</v>
      </c>
      <c r="K16" s="182">
        <f>IFERROR(INDEX('[2]SALES PERTYPE'!$I$10:$I$52,MATCH($C16,'[2]SALES PERTYPE'!$B$10:$B$52,0)),0)</f>
        <v>0</v>
      </c>
      <c r="L16" s="182">
        <f>IFERROR(INDEX('[2]SALES PERTYPE'!$J$10:$J$52,MATCH($C16,'[2]SALES PERTYPE'!$B$10:$B$52,0)),0)</f>
        <v>1</v>
      </c>
      <c r="M16" s="182">
        <f>IFERROR(INDEX('[2]SALES PERTYPE'!$K$10:$K$52,MATCH($C16,'[2]SALES PERTYPE'!$B$10:$B$52,0)),0)</f>
        <v>2099000</v>
      </c>
      <c r="N16" s="182">
        <f>IFERROR(INDEX('[2]SALES PERTYPE'!$L$10:$L$52,MATCH($C16,'[2]SALES PERTYPE'!$B$10:$B$52,0)),0)</f>
        <v>2</v>
      </c>
      <c r="O16" s="182">
        <f>IFERROR(INDEX('[2]SALES PERTYPE'!$M$10:$M$52,MATCH($C16,'[2]SALES PERTYPE'!$B$10:$B$52,0)),0)</f>
        <v>20998000</v>
      </c>
      <c r="P16" s="182">
        <f>IFERROR(INDEX('[2]SALES PERTYPE'!$N$10:$N$52,MATCH($C16,'[2]SALES PERTYPE'!$B$10:$B$52,0)),0)</f>
        <v>1</v>
      </c>
      <c r="Q16" s="182">
        <f>IFERROR(INDEX('[2]SALES PERTYPE'!$O$10:$O$52,MATCH($C16,'[2]SALES PERTYPE'!$B$10:$B$52,0)),0)</f>
        <v>5499000</v>
      </c>
      <c r="R16" s="182">
        <f>IFERROR(INDEX('[2]SALES PERTYPE'!$P$10:$P$52,MATCH($C16,'[2]SALES PERTYPE'!$B$10:$B$52,0)),0)</f>
        <v>0</v>
      </c>
      <c r="S16" s="182">
        <f>IFERROR(INDEX('[2]SALES PERTYPE'!$Q$10:$Q$52,MATCH($C16,'[2]SALES PERTYPE'!$B$10:$B$52,0)),0)</f>
        <v>0</v>
      </c>
      <c r="T16" s="182">
        <f>IFERROR(INDEX('[2]SALES PERTYPE'!$R$10:$R$52,MATCH($C16,'[2]SALES PERTYPE'!$B$10:$B$52,0)),0)</f>
        <v>0</v>
      </c>
      <c r="U16" s="182">
        <f>IFERROR(INDEX('[2]SALES PERTYPE'!$S$10:$S$52,MATCH($C16,'[2]SALES PERTYPE'!$B$10:$B$52,0)),0)</f>
        <v>0</v>
      </c>
      <c r="V16" s="182">
        <f>IFERROR(INDEX('[2]SALES PERTYPE'!$T$10:$T$52,MATCH($C16,'[2]SALES PERTYPE'!$B$10:$B$52,0)),0)</f>
        <v>0</v>
      </c>
      <c r="W16" s="182">
        <f>IFERROR(INDEX('[2]SALES PERTYPE'!$U$10:$U$52,MATCH($C16,'[2]SALES PERTYPE'!$B$10:$B$52,0)),0)</f>
        <v>0</v>
      </c>
      <c r="X16" s="182">
        <f>IFERROR(INDEX('[2]SALES PERTYPE'!$V$10:$V$52,MATCH($C16,'[2]SALES PERTYPE'!$B$10:$B$52,0)),0)</f>
        <v>0</v>
      </c>
      <c r="Y16" s="182">
        <f>IFERROR(INDEX('[2]SALES PERTYPE'!$W$10:$W$52,MATCH($C16,'[2]SALES PERTYPE'!$B$10:$B$52,0)),0)</f>
        <v>0</v>
      </c>
      <c r="Z16" s="182">
        <f>IFERROR(INDEX('[2]SALES PERTYPE'!$X$10:$X$52,MATCH($C16,'[2]SALES PERTYPE'!$B$10:$B$52,0)),0)</f>
        <v>2</v>
      </c>
      <c r="AA16" s="182">
        <f>IFERROR(INDEX('[2]SALES PERTYPE'!$Y$10:$Y$52,MATCH($C16,'[2]SALES PERTYPE'!$B$10:$B$52,0)),0)</f>
        <v>11798000</v>
      </c>
      <c r="AB16" s="182">
        <f>IFERROR(INDEX('[2]SALES PERTYPE'!$Z$10:$Z$52,MATCH($C16,'[2]SALES PERTYPE'!$B$10:$B$52,0)),0)</f>
        <v>0</v>
      </c>
      <c r="AC16" s="182">
        <f>IFERROR(INDEX('[2]SALES PERTYPE'!$AA$10:$AA$52,MATCH($C16,'[2]SALES PERTYPE'!$B$10:$B$52,0)),0)</f>
        <v>0</v>
      </c>
      <c r="AD16" s="182">
        <f>IFERROR(INDEX('[2]SALES PERTYPE'!$AB$10:$AB$52,MATCH($C16,'[2]SALES PERTYPE'!$B$10:$B$52,0)),0)</f>
        <v>2</v>
      </c>
      <c r="AE16" s="182">
        <f>IFERROR(INDEX('[2]SALES PERTYPE'!$AC$10:$AC$52,MATCH($C16,'[2]SALES PERTYPE'!$B$10:$B$52,0)),0)</f>
        <v>11998000</v>
      </c>
      <c r="AF16" s="182">
        <f>IFERROR(INDEX('[2]SALES PERTYPE'!$AD$10:$AD$52,MATCH($C16,'[2]SALES PERTYPE'!$B$10:$B$52,0)),0)</f>
        <v>0</v>
      </c>
      <c r="AG16" s="182">
        <f>IFERROR(INDEX('[2]SALES PERTYPE'!$AE$10:$AE$52,MATCH($C16,'[2]SALES PERTYPE'!$B$10:$B$52,0)),0)</f>
        <v>0</v>
      </c>
      <c r="AH16" s="182">
        <f>IFERROR(INDEX('[2]SALES PERTYPE'!$AF$10:$AF$52,MATCH($C16,'[2]SALES PERTYPE'!$B$10:$B$52,0)),0)</f>
        <v>0</v>
      </c>
      <c r="AI16" s="182">
        <f>IFERROR(INDEX('[2]SALES PERTYPE'!$AG$10:$AG$52,MATCH($C16,'[2]SALES PERTYPE'!$B$10:$B$52,0)),0)</f>
        <v>0</v>
      </c>
      <c r="AJ16" s="182">
        <f>IFERROR(INDEX('[2]SALES PERTYPE'!$AH$10:$AH$52,MATCH($C16,'[2]SALES PERTYPE'!$B$10:$B$52,0)),0)</f>
        <v>1</v>
      </c>
      <c r="AK16" s="182">
        <f>IFERROR(INDEX('[2]SALES PERTYPE'!$AI$10:$AI$52,MATCH($C16,'[2]SALES PERTYPE'!$B$10:$B$52,0)),0)</f>
        <v>5699000</v>
      </c>
      <c r="AL16" s="182">
        <f>IFERROR(INDEX('[2]SALES PERTYPE'!$AJ$10:$AJ$52,MATCH($C16,'[2]SALES PERTYPE'!$B$10:$B$52,0)),0)</f>
        <v>1</v>
      </c>
      <c r="AM16" s="182">
        <f>IFERROR(INDEX('[2]SALES PERTYPE'!$AK$10:$AK$52,MATCH($C16,'[2]SALES PERTYPE'!$B$10:$B$52,0)),0)</f>
        <v>8399000</v>
      </c>
      <c r="AN16" s="182">
        <f>IFERROR(INDEX('[2]SALES PERTYPE'!$AL$10:$AL$52,MATCH($C16,'[2]SALES PERTYPE'!$B$10:$B$52,0)),0)</f>
        <v>15</v>
      </c>
      <c r="AO16" s="182">
        <f>IFERROR(INDEX('[2]SALES PERTYPE'!$AM$10:$AM$52,MATCH($C16,'[2]SALES PERTYPE'!$B$10:$B$52,0)),0)</f>
        <v>79885000</v>
      </c>
    </row>
    <row r="17" spans="1:41" x14ac:dyDescent="0.15">
      <c r="A17" s="181">
        <f>'[2]ACHIEVEMENT STORE'!A17</f>
        <v>13</v>
      </c>
      <c r="B17" s="180" t="str">
        <f>'[2]ACHIEVEMENT STORE'!B17</f>
        <v>604 雅加达东南 JKT TS</v>
      </c>
      <c r="C17" s="181">
        <f>'[2]ACHIEVEMENT STORE'!C17</f>
        <v>6040702</v>
      </c>
      <c r="D17" s="180" t="str">
        <f>'[2]ACHIEVEMENT STORE'!D17</f>
        <v>6040702-TRAN STUDIO MALL 2F059</v>
      </c>
      <c r="E17" s="180" t="str">
        <f>'[2]ACHIEVEMENT STORE'!E17</f>
        <v>Erlangga Pradita</v>
      </c>
      <c r="F17" s="179">
        <f>IFERROR(INDEX('[2]SALES PERTYPE'!$D$10:$D$52,MATCH($C17,'[2]SALES PERTYPE'!$B$10:$B$52,0)),0)</f>
        <v>2</v>
      </c>
      <c r="G17" s="179">
        <f>IFERROR(INDEX('[2]SALES PERTYPE'!$E$10:$E$52,MATCH($C17,'[2]SALES PERTYPE'!$B$10:$B$52,0)),0)</f>
        <v>5198000</v>
      </c>
      <c r="H17" s="179">
        <f>IFERROR(INDEX('[2]SALES PERTYPE'!$F$10:$F$52,MATCH($C17,'[2]SALES PERTYPE'!$B$10:$B$52,0)),0)</f>
        <v>0</v>
      </c>
      <c r="I17" s="179">
        <f>IFERROR(INDEX('[2]SALES PERTYPE'!$G$10:$G$52,MATCH($C17,'[2]SALES PERTYPE'!$B$10:$B$52,0)),0)</f>
        <v>0</v>
      </c>
      <c r="J17" s="179">
        <f>IFERROR(INDEX('[2]SALES PERTYPE'!$H$10:$H$52,MATCH($C17,'[2]SALES PERTYPE'!$B$10:$B$52,0)),0)</f>
        <v>0</v>
      </c>
      <c r="K17" s="179">
        <f>IFERROR(INDEX('[2]SALES PERTYPE'!$I$10:$I$52,MATCH($C17,'[2]SALES PERTYPE'!$B$10:$B$52,0)),0)</f>
        <v>0</v>
      </c>
      <c r="L17" s="179">
        <f>IFERROR(INDEX('[2]SALES PERTYPE'!$J$10:$J$52,MATCH($C17,'[2]SALES PERTYPE'!$B$10:$B$52,0)),0)</f>
        <v>1</v>
      </c>
      <c r="M17" s="179">
        <f>IFERROR(INDEX('[2]SALES PERTYPE'!$K$10:$K$52,MATCH($C17,'[2]SALES PERTYPE'!$B$10:$B$52,0)),0)</f>
        <v>2099000</v>
      </c>
      <c r="N17" s="179">
        <f>IFERROR(INDEX('[2]SALES PERTYPE'!$L$10:$L$52,MATCH($C17,'[2]SALES PERTYPE'!$B$10:$B$52,0)),0)</f>
        <v>1</v>
      </c>
      <c r="O17" s="179">
        <f>IFERROR(INDEX('[2]SALES PERTYPE'!$M$10:$M$52,MATCH($C17,'[2]SALES PERTYPE'!$B$10:$B$52,0)),0)</f>
        <v>10999000</v>
      </c>
      <c r="P17" s="179">
        <f>IFERROR(INDEX('[2]SALES PERTYPE'!$N$10:$N$52,MATCH($C17,'[2]SALES PERTYPE'!$B$10:$B$52,0)),0)</f>
        <v>0</v>
      </c>
      <c r="Q17" s="179">
        <f>IFERROR(INDEX('[2]SALES PERTYPE'!$O$10:$O$52,MATCH($C17,'[2]SALES PERTYPE'!$B$10:$B$52,0)),0)</f>
        <v>0</v>
      </c>
      <c r="R17" s="179">
        <f>IFERROR(INDEX('[2]SALES PERTYPE'!$P$10:$P$52,MATCH($C17,'[2]SALES PERTYPE'!$B$10:$B$52,0)),0)</f>
        <v>0</v>
      </c>
      <c r="S17" s="179">
        <f>IFERROR(INDEX('[2]SALES PERTYPE'!$Q$10:$Q$52,MATCH($C17,'[2]SALES PERTYPE'!$B$10:$B$52,0)),0)</f>
        <v>0</v>
      </c>
      <c r="T17" s="179">
        <f>IFERROR(INDEX('[2]SALES PERTYPE'!$R$10:$R$52,MATCH($C17,'[2]SALES PERTYPE'!$B$10:$B$52,0)),0)</f>
        <v>0</v>
      </c>
      <c r="U17" s="179">
        <f>IFERROR(INDEX('[2]SALES PERTYPE'!$S$10:$S$52,MATCH($C17,'[2]SALES PERTYPE'!$B$10:$B$52,0)),0)</f>
        <v>0</v>
      </c>
      <c r="V17" s="179">
        <f>IFERROR(INDEX('[2]SALES PERTYPE'!$T$10:$T$52,MATCH($C17,'[2]SALES PERTYPE'!$B$10:$B$52,0)),0)</f>
        <v>1</v>
      </c>
      <c r="W17" s="179">
        <f>IFERROR(INDEX('[2]SALES PERTYPE'!$U$10:$U$52,MATCH($C17,'[2]SALES PERTYPE'!$B$10:$B$52,0)),0)</f>
        <v>6499000</v>
      </c>
      <c r="X17" s="179">
        <f>IFERROR(INDEX('[2]SALES PERTYPE'!$V$10:$V$52,MATCH($C17,'[2]SALES PERTYPE'!$B$10:$B$52,0)),0)</f>
        <v>0</v>
      </c>
      <c r="Y17" s="179">
        <f>IFERROR(INDEX('[2]SALES PERTYPE'!$W$10:$W$52,MATCH($C17,'[2]SALES PERTYPE'!$B$10:$B$52,0)),0)</f>
        <v>0</v>
      </c>
      <c r="Z17" s="179">
        <f>IFERROR(INDEX('[2]SALES PERTYPE'!$X$10:$X$52,MATCH($C17,'[2]SALES PERTYPE'!$B$10:$B$52,0)),0)</f>
        <v>2</v>
      </c>
      <c r="AA17" s="179">
        <f>IFERROR(INDEX('[2]SALES PERTYPE'!$Y$10:$Y$52,MATCH($C17,'[2]SALES PERTYPE'!$B$10:$B$52,0)),0)</f>
        <v>11798000</v>
      </c>
      <c r="AB17" s="179">
        <f>IFERROR(INDEX('[2]SALES PERTYPE'!$Z$10:$Z$52,MATCH($C17,'[2]SALES PERTYPE'!$B$10:$B$52,0)),0)</f>
        <v>0</v>
      </c>
      <c r="AC17" s="179">
        <f>IFERROR(INDEX('[2]SALES PERTYPE'!$AA$10:$AA$52,MATCH($C17,'[2]SALES PERTYPE'!$B$10:$B$52,0)),0)</f>
        <v>0</v>
      </c>
      <c r="AD17" s="179">
        <f>IFERROR(INDEX('[2]SALES PERTYPE'!$AB$10:$AB$52,MATCH($C17,'[2]SALES PERTYPE'!$B$10:$B$52,0)),0)</f>
        <v>0</v>
      </c>
      <c r="AE17" s="179">
        <f>IFERROR(INDEX('[2]SALES PERTYPE'!$AC$10:$AC$52,MATCH($C17,'[2]SALES PERTYPE'!$B$10:$B$52,0)),0)</f>
        <v>0</v>
      </c>
      <c r="AF17" s="179">
        <f>IFERROR(INDEX('[2]SALES PERTYPE'!$AD$10:$AD$52,MATCH($C17,'[2]SALES PERTYPE'!$B$10:$B$52,0)),0)</f>
        <v>0</v>
      </c>
      <c r="AG17" s="179">
        <f>IFERROR(INDEX('[2]SALES PERTYPE'!$AE$10:$AE$52,MATCH($C17,'[2]SALES PERTYPE'!$B$10:$B$52,0)),0)</f>
        <v>0</v>
      </c>
      <c r="AH17" s="179">
        <f>IFERROR(INDEX('[2]SALES PERTYPE'!$AF$10:$AF$52,MATCH($C17,'[2]SALES PERTYPE'!$B$10:$B$52,0)),0)</f>
        <v>0</v>
      </c>
      <c r="AI17" s="179">
        <f>IFERROR(INDEX('[2]SALES PERTYPE'!$AG$10:$AG$52,MATCH($C17,'[2]SALES PERTYPE'!$B$10:$B$52,0)),0)</f>
        <v>0</v>
      </c>
      <c r="AJ17" s="179">
        <f>IFERROR(INDEX('[2]SALES PERTYPE'!$AH$10:$AH$52,MATCH($C17,'[2]SALES PERTYPE'!$B$10:$B$52,0)),0)</f>
        <v>0</v>
      </c>
      <c r="AK17" s="179">
        <f>IFERROR(INDEX('[2]SALES PERTYPE'!$AI$10:$AI$52,MATCH($C17,'[2]SALES PERTYPE'!$B$10:$B$52,0)),0)</f>
        <v>0</v>
      </c>
      <c r="AL17" s="179">
        <f>IFERROR(INDEX('[2]SALES PERTYPE'!$AJ$10:$AJ$52,MATCH($C17,'[2]SALES PERTYPE'!$B$10:$B$52,0)),0)</f>
        <v>1</v>
      </c>
      <c r="AM17" s="179">
        <f>IFERROR(INDEX('[2]SALES PERTYPE'!$AK$10:$AK$52,MATCH($C17,'[2]SALES PERTYPE'!$B$10:$B$52,0)),0)</f>
        <v>6899000</v>
      </c>
      <c r="AN17" s="179">
        <f>IFERROR(INDEX('[2]SALES PERTYPE'!$AL$10:$AL$52,MATCH($C17,'[2]SALES PERTYPE'!$B$10:$B$52,0)),0)</f>
        <v>8</v>
      </c>
      <c r="AO17" s="179">
        <f>IFERROR(INDEX('[2]SALES PERTYPE'!$AM$10:$AM$52,MATCH($C17,'[2]SALES PERTYPE'!$B$10:$B$52,0)),0)</f>
        <v>43492000</v>
      </c>
    </row>
    <row r="18" spans="1:41" x14ac:dyDescent="0.15">
      <c r="A18" s="184">
        <f>'[2]ACHIEVEMENT STORE'!A18</f>
        <v>14</v>
      </c>
      <c r="B18" s="183" t="str">
        <f>'[2]ACHIEVEMENT STORE'!B18</f>
        <v>604 雅加达东南 JKT TS</v>
      </c>
      <c r="C18" s="184">
        <f>'[2]ACHIEVEMENT STORE'!C18</f>
        <v>6040703</v>
      </c>
      <c r="D18" s="183" t="str">
        <f>'[2]ACHIEVEMENT STORE'!D18</f>
        <v>6040703-SAWANGAN 1F1-0320</v>
      </c>
      <c r="E18" s="183" t="str">
        <f>'[2]ACHIEVEMENT STORE'!E18</f>
        <v>Erlangga Pradita</v>
      </c>
      <c r="F18" s="182">
        <f>IFERROR(INDEX('[2]SALES PERTYPE'!$D$10:$D$52,MATCH($C18,'[2]SALES PERTYPE'!$B$10:$B$52,0)),0)</f>
        <v>1</v>
      </c>
      <c r="G18" s="182">
        <f>IFERROR(INDEX('[2]SALES PERTYPE'!$E$10:$E$52,MATCH($C18,'[2]SALES PERTYPE'!$B$10:$B$52,0)),0)</f>
        <v>2599000</v>
      </c>
      <c r="H18" s="182">
        <f>IFERROR(INDEX('[2]SALES PERTYPE'!$F$10:$F$52,MATCH($C18,'[2]SALES PERTYPE'!$B$10:$B$52,0)),0)</f>
        <v>2</v>
      </c>
      <c r="I18" s="182">
        <f>IFERROR(INDEX('[2]SALES PERTYPE'!$G$10:$G$52,MATCH($C18,'[2]SALES PERTYPE'!$B$10:$B$52,0)),0)</f>
        <v>5198000</v>
      </c>
      <c r="J18" s="182">
        <f>IFERROR(INDEX('[2]SALES PERTYPE'!$H$10:$H$52,MATCH($C18,'[2]SALES PERTYPE'!$B$10:$B$52,0)),0)</f>
        <v>1</v>
      </c>
      <c r="K18" s="182">
        <f>IFERROR(INDEX('[2]SALES PERTYPE'!$I$10:$I$52,MATCH($C18,'[2]SALES PERTYPE'!$B$10:$B$52,0)),0)</f>
        <v>1799000</v>
      </c>
      <c r="L18" s="182">
        <f>IFERROR(INDEX('[2]SALES PERTYPE'!$J$10:$J$52,MATCH($C18,'[2]SALES PERTYPE'!$B$10:$B$52,0)),0)</f>
        <v>1</v>
      </c>
      <c r="M18" s="182">
        <f>IFERROR(INDEX('[2]SALES PERTYPE'!$K$10:$K$52,MATCH($C18,'[2]SALES PERTYPE'!$B$10:$B$52,0)),0)</f>
        <v>2099000</v>
      </c>
      <c r="N18" s="182">
        <f>IFERROR(INDEX('[2]SALES PERTYPE'!$L$10:$L$52,MATCH($C18,'[2]SALES PERTYPE'!$B$10:$B$52,0)),0)</f>
        <v>0</v>
      </c>
      <c r="O18" s="182">
        <f>IFERROR(INDEX('[2]SALES PERTYPE'!$M$10:$M$52,MATCH($C18,'[2]SALES PERTYPE'!$B$10:$B$52,0)),0)</f>
        <v>0</v>
      </c>
      <c r="P18" s="182">
        <f>IFERROR(INDEX('[2]SALES PERTYPE'!$N$10:$N$52,MATCH($C18,'[2]SALES PERTYPE'!$B$10:$B$52,0)),0)</f>
        <v>0</v>
      </c>
      <c r="Q18" s="182">
        <f>IFERROR(INDEX('[2]SALES PERTYPE'!$O$10:$O$52,MATCH($C18,'[2]SALES PERTYPE'!$B$10:$B$52,0)),0)</f>
        <v>0</v>
      </c>
      <c r="R18" s="182">
        <f>IFERROR(INDEX('[2]SALES PERTYPE'!$P$10:$P$52,MATCH($C18,'[2]SALES PERTYPE'!$B$10:$B$52,0)),0)</f>
        <v>0</v>
      </c>
      <c r="S18" s="182">
        <f>IFERROR(INDEX('[2]SALES PERTYPE'!$Q$10:$Q$52,MATCH($C18,'[2]SALES PERTYPE'!$B$10:$B$52,0)),0)</f>
        <v>0</v>
      </c>
      <c r="T18" s="182">
        <f>IFERROR(INDEX('[2]SALES PERTYPE'!$R$10:$R$52,MATCH($C18,'[2]SALES PERTYPE'!$B$10:$B$52,0)),0)</f>
        <v>0</v>
      </c>
      <c r="U18" s="182">
        <f>IFERROR(INDEX('[2]SALES PERTYPE'!$S$10:$S$52,MATCH($C18,'[2]SALES PERTYPE'!$B$10:$B$52,0)),0)</f>
        <v>0</v>
      </c>
      <c r="V18" s="182">
        <f>IFERROR(INDEX('[2]SALES PERTYPE'!$T$10:$T$52,MATCH($C18,'[2]SALES PERTYPE'!$B$10:$B$52,0)),0)</f>
        <v>1</v>
      </c>
      <c r="W18" s="182">
        <f>IFERROR(INDEX('[2]SALES PERTYPE'!$U$10:$U$52,MATCH($C18,'[2]SALES PERTYPE'!$B$10:$B$52,0)),0)</f>
        <v>6999000</v>
      </c>
      <c r="X18" s="182">
        <f>IFERROR(INDEX('[2]SALES PERTYPE'!$V$10:$V$52,MATCH($C18,'[2]SALES PERTYPE'!$B$10:$B$52,0)),0)</f>
        <v>0</v>
      </c>
      <c r="Y18" s="182">
        <f>IFERROR(INDEX('[2]SALES PERTYPE'!$W$10:$W$52,MATCH($C18,'[2]SALES PERTYPE'!$B$10:$B$52,0)),0)</f>
        <v>0</v>
      </c>
      <c r="Z18" s="182">
        <f>IFERROR(INDEX('[2]SALES PERTYPE'!$X$10:$X$52,MATCH($C18,'[2]SALES PERTYPE'!$B$10:$B$52,0)),0)</f>
        <v>1</v>
      </c>
      <c r="AA18" s="182">
        <f>IFERROR(INDEX('[2]SALES PERTYPE'!$Y$10:$Y$52,MATCH($C18,'[2]SALES PERTYPE'!$B$10:$B$52,0)),0)</f>
        <v>6299000</v>
      </c>
      <c r="AB18" s="182">
        <f>IFERROR(INDEX('[2]SALES PERTYPE'!$Z$10:$Z$52,MATCH($C18,'[2]SALES PERTYPE'!$B$10:$B$52,0)),0)</f>
        <v>0</v>
      </c>
      <c r="AC18" s="182">
        <f>IFERROR(INDEX('[2]SALES PERTYPE'!$AA$10:$AA$52,MATCH($C18,'[2]SALES PERTYPE'!$B$10:$B$52,0)),0)</f>
        <v>0</v>
      </c>
      <c r="AD18" s="182">
        <f>IFERROR(INDEX('[2]SALES PERTYPE'!$AB$10:$AB$52,MATCH($C18,'[2]SALES PERTYPE'!$B$10:$B$52,0)),0)</f>
        <v>0</v>
      </c>
      <c r="AE18" s="182">
        <f>IFERROR(INDEX('[2]SALES PERTYPE'!$AC$10:$AC$52,MATCH($C18,'[2]SALES PERTYPE'!$B$10:$B$52,0)),0)</f>
        <v>0</v>
      </c>
      <c r="AF18" s="182">
        <f>IFERROR(INDEX('[2]SALES PERTYPE'!$AD$10:$AD$52,MATCH($C18,'[2]SALES PERTYPE'!$B$10:$B$52,0)),0)</f>
        <v>1</v>
      </c>
      <c r="AG18" s="182">
        <f>IFERROR(INDEX('[2]SALES PERTYPE'!$AE$10:$AE$52,MATCH($C18,'[2]SALES PERTYPE'!$B$10:$B$52,0)),0)</f>
        <v>25999000</v>
      </c>
      <c r="AH18" s="182">
        <f>IFERROR(INDEX('[2]SALES PERTYPE'!$AF$10:$AF$52,MATCH($C18,'[2]SALES PERTYPE'!$B$10:$B$52,0)),0)</f>
        <v>0</v>
      </c>
      <c r="AI18" s="182">
        <f>IFERROR(INDEX('[2]SALES PERTYPE'!$AG$10:$AG$52,MATCH($C18,'[2]SALES PERTYPE'!$B$10:$B$52,0)),0)</f>
        <v>0</v>
      </c>
      <c r="AJ18" s="182">
        <f>IFERROR(INDEX('[2]SALES PERTYPE'!$AH$10:$AH$52,MATCH($C18,'[2]SALES PERTYPE'!$B$10:$B$52,0)),0)</f>
        <v>2</v>
      </c>
      <c r="AK18" s="182">
        <f>IFERROR(INDEX('[2]SALES PERTYPE'!$AI$10:$AI$52,MATCH($C18,'[2]SALES PERTYPE'!$B$10:$B$52,0)),0)</f>
        <v>11298000</v>
      </c>
      <c r="AL18" s="182">
        <f>IFERROR(INDEX('[2]SALES PERTYPE'!$AJ$10:$AJ$52,MATCH($C18,'[2]SALES PERTYPE'!$B$10:$B$52,0)),0)</f>
        <v>0</v>
      </c>
      <c r="AM18" s="182">
        <f>IFERROR(INDEX('[2]SALES PERTYPE'!$AK$10:$AK$52,MATCH($C18,'[2]SALES PERTYPE'!$B$10:$B$52,0)),0)</f>
        <v>0</v>
      </c>
      <c r="AN18" s="182">
        <f>IFERROR(INDEX('[2]SALES PERTYPE'!$AL$10:$AL$52,MATCH($C18,'[2]SALES PERTYPE'!$B$10:$B$52,0)),0)</f>
        <v>10</v>
      </c>
      <c r="AO18" s="182">
        <f>IFERROR(INDEX('[2]SALES PERTYPE'!$AM$10:$AM$52,MATCH($C18,'[2]SALES PERTYPE'!$B$10:$B$52,0)),0)</f>
        <v>62290000</v>
      </c>
    </row>
    <row r="19" spans="1:41" x14ac:dyDescent="0.15">
      <c r="A19" s="181">
        <f>'[2]ACHIEVEMENT STORE'!A19</f>
        <v>15</v>
      </c>
      <c r="B19" s="180" t="str">
        <f>'[2]ACHIEVEMENT STORE'!B19</f>
        <v>605 勿加泗 BEKASI</v>
      </c>
      <c r="C19" s="181">
        <f>'[2]ACHIEVEMENT STORE'!C19</f>
        <v>6050701</v>
      </c>
      <c r="D19" s="180" t="str">
        <f>'[2]ACHIEVEMENT STORE'!D19</f>
        <v>6050701-MVS X6 DS0824</v>
      </c>
      <c r="E19" s="180" t="str">
        <f>'[2]ACHIEVEMENT STORE'!E19</f>
        <v>M RIZKI</v>
      </c>
      <c r="F19" s="179">
        <f>IFERROR(INDEX('[2]SALES PERTYPE'!$D$10:$D$52,MATCH($C19,'[2]SALES PERTYPE'!$B$10:$B$52,0)),0)</f>
        <v>0</v>
      </c>
      <c r="G19" s="179">
        <f>IFERROR(INDEX('[2]SALES PERTYPE'!$E$10:$E$52,MATCH($C19,'[2]SALES PERTYPE'!$B$10:$B$52,0)),0)</f>
        <v>0</v>
      </c>
      <c r="H19" s="179">
        <f>IFERROR(INDEX('[2]SALES PERTYPE'!$F$10:$F$52,MATCH($C19,'[2]SALES PERTYPE'!$B$10:$B$52,0)),0)</f>
        <v>4</v>
      </c>
      <c r="I19" s="179">
        <f>IFERROR(INDEX('[2]SALES PERTYPE'!$G$10:$G$52,MATCH($C19,'[2]SALES PERTYPE'!$B$10:$B$52,0)),0)</f>
        <v>11196000</v>
      </c>
      <c r="J19" s="179">
        <f>IFERROR(INDEX('[2]SALES PERTYPE'!$H$10:$H$52,MATCH($C19,'[2]SALES PERTYPE'!$B$10:$B$52,0)),0)</f>
        <v>0</v>
      </c>
      <c r="K19" s="179">
        <f>IFERROR(INDEX('[2]SALES PERTYPE'!$I$10:$I$52,MATCH($C19,'[2]SALES PERTYPE'!$B$10:$B$52,0)),0)</f>
        <v>0</v>
      </c>
      <c r="L19" s="179">
        <f>IFERROR(INDEX('[2]SALES PERTYPE'!$J$10:$J$52,MATCH($C19,'[2]SALES PERTYPE'!$B$10:$B$52,0)),0)</f>
        <v>1</v>
      </c>
      <c r="M19" s="179">
        <f>IFERROR(INDEX('[2]SALES PERTYPE'!$K$10:$K$52,MATCH($C19,'[2]SALES PERTYPE'!$B$10:$B$52,0)),0)</f>
        <v>2099000</v>
      </c>
      <c r="N19" s="179">
        <f>IFERROR(INDEX('[2]SALES PERTYPE'!$L$10:$L$52,MATCH($C19,'[2]SALES PERTYPE'!$B$10:$B$52,0)),0)</f>
        <v>1</v>
      </c>
      <c r="O19" s="179">
        <f>IFERROR(INDEX('[2]SALES PERTYPE'!$M$10:$M$52,MATCH($C19,'[2]SALES PERTYPE'!$B$10:$B$52,0)),0)</f>
        <v>9999000</v>
      </c>
      <c r="P19" s="179">
        <f>IFERROR(INDEX('[2]SALES PERTYPE'!$N$10:$N$52,MATCH($C19,'[2]SALES PERTYPE'!$B$10:$B$52,0)),0)</f>
        <v>1</v>
      </c>
      <c r="Q19" s="179">
        <f>IFERROR(INDEX('[2]SALES PERTYPE'!$O$10:$O$52,MATCH($C19,'[2]SALES PERTYPE'!$B$10:$B$52,0)),0)</f>
        <v>4299000</v>
      </c>
      <c r="R19" s="179">
        <f>IFERROR(INDEX('[2]SALES PERTYPE'!$P$10:$P$52,MATCH($C19,'[2]SALES PERTYPE'!$B$10:$B$52,0)),0)</f>
        <v>0</v>
      </c>
      <c r="S19" s="179">
        <f>IFERROR(INDEX('[2]SALES PERTYPE'!$Q$10:$Q$52,MATCH($C19,'[2]SALES PERTYPE'!$B$10:$B$52,0)),0)</f>
        <v>0</v>
      </c>
      <c r="T19" s="179">
        <f>IFERROR(INDEX('[2]SALES PERTYPE'!$R$10:$R$52,MATCH($C19,'[2]SALES PERTYPE'!$B$10:$B$52,0)),0)</f>
        <v>0</v>
      </c>
      <c r="U19" s="179">
        <f>IFERROR(INDEX('[2]SALES PERTYPE'!$S$10:$S$52,MATCH($C19,'[2]SALES PERTYPE'!$B$10:$B$52,0)),0)</f>
        <v>0</v>
      </c>
      <c r="V19" s="179">
        <f>IFERROR(INDEX('[2]SALES PERTYPE'!$T$10:$T$52,MATCH($C19,'[2]SALES PERTYPE'!$B$10:$B$52,0)),0)</f>
        <v>1</v>
      </c>
      <c r="W19" s="179">
        <f>IFERROR(INDEX('[2]SALES PERTYPE'!$U$10:$U$52,MATCH($C19,'[2]SALES PERTYPE'!$B$10:$B$52,0)),0)</f>
        <v>6499000</v>
      </c>
      <c r="X19" s="179">
        <f>IFERROR(INDEX('[2]SALES PERTYPE'!$V$10:$V$52,MATCH($C19,'[2]SALES PERTYPE'!$B$10:$B$52,0)),0)</f>
        <v>0</v>
      </c>
      <c r="Y19" s="179">
        <f>IFERROR(INDEX('[2]SALES PERTYPE'!$W$10:$W$52,MATCH($C19,'[2]SALES PERTYPE'!$B$10:$B$52,0)),0)</f>
        <v>0</v>
      </c>
      <c r="Z19" s="179">
        <f>IFERROR(INDEX('[2]SALES PERTYPE'!$X$10:$X$52,MATCH($C19,'[2]SALES PERTYPE'!$B$10:$B$52,0)),0)</f>
        <v>0</v>
      </c>
      <c r="AA19" s="179">
        <f>IFERROR(INDEX('[2]SALES PERTYPE'!$Y$10:$Y$52,MATCH($C19,'[2]SALES PERTYPE'!$B$10:$B$52,0)),0)</f>
        <v>0</v>
      </c>
      <c r="AB19" s="179">
        <f>IFERROR(INDEX('[2]SALES PERTYPE'!$Z$10:$Z$52,MATCH($C19,'[2]SALES PERTYPE'!$B$10:$B$52,0)),0)</f>
        <v>0</v>
      </c>
      <c r="AC19" s="179">
        <f>IFERROR(INDEX('[2]SALES PERTYPE'!$AA$10:$AA$52,MATCH($C19,'[2]SALES PERTYPE'!$B$10:$B$52,0)),0)</f>
        <v>0</v>
      </c>
      <c r="AD19" s="179">
        <f>IFERROR(INDEX('[2]SALES PERTYPE'!$AB$10:$AB$52,MATCH($C19,'[2]SALES PERTYPE'!$B$10:$B$52,0)),0)</f>
        <v>1</v>
      </c>
      <c r="AE19" s="179">
        <f>IFERROR(INDEX('[2]SALES PERTYPE'!$AC$10:$AC$52,MATCH($C19,'[2]SALES PERTYPE'!$B$10:$B$52,0)),0)</f>
        <v>5299000</v>
      </c>
      <c r="AF19" s="179">
        <f>IFERROR(INDEX('[2]SALES PERTYPE'!$AD$10:$AD$52,MATCH($C19,'[2]SALES PERTYPE'!$B$10:$B$52,0)),0)</f>
        <v>0</v>
      </c>
      <c r="AG19" s="179">
        <f>IFERROR(INDEX('[2]SALES PERTYPE'!$AE$10:$AE$52,MATCH($C19,'[2]SALES PERTYPE'!$B$10:$B$52,0)),0)</f>
        <v>0</v>
      </c>
      <c r="AH19" s="179">
        <f>IFERROR(INDEX('[2]SALES PERTYPE'!$AF$10:$AF$52,MATCH($C19,'[2]SALES PERTYPE'!$B$10:$B$52,0)),0)</f>
        <v>0</v>
      </c>
      <c r="AI19" s="179">
        <f>IFERROR(INDEX('[2]SALES PERTYPE'!$AG$10:$AG$52,MATCH($C19,'[2]SALES PERTYPE'!$B$10:$B$52,0)),0)</f>
        <v>0</v>
      </c>
      <c r="AJ19" s="179">
        <f>IFERROR(INDEX('[2]SALES PERTYPE'!$AH$10:$AH$52,MATCH($C19,'[2]SALES PERTYPE'!$B$10:$B$52,0)),0)</f>
        <v>0</v>
      </c>
      <c r="AK19" s="179">
        <f>IFERROR(INDEX('[2]SALES PERTYPE'!$AI$10:$AI$52,MATCH($C19,'[2]SALES PERTYPE'!$B$10:$B$52,0)),0)</f>
        <v>0</v>
      </c>
      <c r="AL19" s="179">
        <f>IFERROR(INDEX('[2]SALES PERTYPE'!$AJ$10:$AJ$52,MATCH($C19,'[2]SALES PERTYPE'!$B$10:$B$52,0)),0)</f>
        <v>1</v>
      </c>
      <c r="AM19" s="179">
        <f>IFERROR(INDEX('[2]SALES PERTYPE'!$AK$10:$AK$52,MATCH($C19,'[2]SALES PERTYPE'!$B$10:$B$52,0)),0)</f>
        <v>6899000</v>
      </c>
      <c r="AN19" s="179">
        <f>IFERROR(INDEX('[2]SALES PERTYPE'!$AL$10:$AL$52,MATCH($C19,'[2]SALES PERTYPE'!$B$10:$B$52,0)),0)</f>
        <v>10</v>
      </c>
      <c r="AO19" s="179">
        <f>IFERROR(INDEX('[2]SALES PERTYPE'!$AM$10:$AM$52,MATCH($C19,'[2]SALES PERTYPE'!$B$10:$B$52,0)),0)</f>
        <v>46290000</v>
      </c>
    </row>
    <row r="20" spans="1:41" x14ac:dyDescent="0.15">
      <c r="A20" s="184">
        <f>'[2]ACHIEVEMENT STORE'!A20</f>
        <v>16</v>
      </c>
      <c r="B20" s="183" t="str">
        <f>'[2]ACHIEVEMENT STORE'!B20</f>
        <v>605 勿加泗 BEKASI</v>
      </c>
      <c r="C20" s="184">
        <f>'[2]ACHIEVEMENT STORE'!C20</f>
        <v>6220701</v>
      </c>
      <c r="D20" s="183" t="str">
        <f>'[2]ACHIEVEMENT STORE'!D20</f>
        <v>6220701-MVS MBH-VIP VIVO STORE-DD284</v>
      </c>
      <c r="E20" s="183" t="str">
        <f>'[2]ACHIEVEMENT STORE'!E20</f>
        <v>M RIZKI</v>
      </c>
      <c r="F20" s="182">
        <f>IFERROR(INDEX('[2]SALES PERTYPE'!$D$10:$D$52,MATCH($C20,'[2]SALES PERTYPE'!$B$10:$B$52,0)),0)</f>
        <v>4</v>
      </c>
      <c r="G20" s="182">
        <f>IFERROR(INDEX('[2]SALES PERTYPE'!$E$10:$E$52,MATCH($C20,'[2]SALES PERTYPE'!$B$10:$B$52,0)),0)</f>
        <v>9496000</v>
      </c>
      <c r="H20" s="182">
        <f>IFERROR(INDEX('[2]SALES PERTYPE'!$F$10:$F$52,MATCH($C20,'[2]SALES PERTYPE'!$B$10:$B$52,0)),0)</f>
        <v>4</v>
      </c>
      <c r="I20" s="182">
        <f>IFERROR(INDEX('[2]SALES PERTYPE'!$G$10:$G$52,MATCH($C20,'[2]SALES PERTYPE'!$B$10:$B$52,0)),0)</f>
        <v>11196000</v>
      </c>
      <c r="J20" s="182">
        <f>IFERROR(INDEX('[2]SALES PERTYPE'!$H$10:$H$52,MATCH($C20,'[2]SALES PERTYPE'!$B$10:$B$52,0)),0)</f>
        <v>0</v>
      </c>
      <c r="K20" s="182">
        <f>IFERROR(INDEX('[2]SALES PERTYPE'!$I$10:$I$52,MATCH($C20,'[2]SALES PERTYPE'!$B$10:$B$52,0)),0)</f>
        <v>0</v>
      </c>
      <c r="L20" s="182">
        <f>IFERROR(INDEX('[2]SALES PERTYPE'!$J$10:$J$52,MATCH($C20,'[2]SALES PERTYPE'!$B$10:$B$52,0)),0)</f>
        <v>0</v>
      </c>
      <c r="M20" s="182">
        <f>IFERROR(INDEX('[2]SALES PERTYPE'!$K$10:$K$52,MATCH($C20,'[2]SALES PERTYPE'!$B$10:$B$52,0)),0)</f>
        <v>0</v>
      </c>
      <c r="N20" s="182">
        <f>IFERROR(INDEX('[2]SALES PERTYPE'!$L$10:$L$52,MATCH($C20,'[2]SALES PERTYPE'!$B$10:$B$52,0)),0)</f>
        <v>0</v>
      </c>
      <c r="O20" s="182">
        <f>IFERROR(INDEX('[2]SALES PERTYPE'!$M$10:$M$52,MATCH($C20,'[2]SALES PERTYPE'!$B$10:$B$52,0)),0)</f>
        <v>0</v>
      </c>
      <c r="P20" s="182">
        <f>IFERROR(INDEX('[2]SALES PERTYPE'!$N$10:$N$52,MATCH($C20,'[2]SALES PERTYPE'!$B$10:$B$52,0)),0)</f>
        <v>1</v>
      </c>
      <c r="Q20" s="182">
        <f>IFERROR(INDEX('[2]SALES PERTYPE'!$O$10:$O$52,MATCH($C20,'[2]SALES PERTYPE'!$B$10:$B$52,0)),0)</f>
        <v>4299000</v>
      </c>
      <c r="R20" s="182">
        <f>IFERROR(INDEX('[2]SALES PERTYPE'!$P$10:$P$52,MATCH($C20,'[2]SALES PERTYPE'!$B$10:$B$52,0)),0)</f>
        <v>0</v>
      </c>
      <c r="S20" s="182">
        <f>IFERROR(INDEX('[2]SALES PERTYPE'!$Q$10:$Q$52,MATCH($C20,'[2]SALES PERTYPE'!$B$10:$B$52,0)),0)</f>
        <v>0</v>
      </c>
      <c r="T20" s="182">
        <f>IFERROR(INDEX('[2]SALES PERTYPE'!$R$10:$R$52,MATCH($C20,'[2]SALES PERTYPE'!$B$10:$B$52,0)),0)</f>
        <v>0</v>
      </c>
      <c r="U20" s="182">
        <f>IFERROR(INDEX('[2]SALES PERTYPE'!$S$10:$S$52,MATCH($C20,'[2]SALES PERTYPE'!$B$10:$B$52,0)),0)</f>
        <v>0</v>
      </c>
      <c r="V20" s="182">
        <f>IFERROR(INDEX('[2]SALES PERTYPE'!$T$10:$T$52,MATCH($C20,'[2]SALES PERTYPE'!$B$10:$B$52,0)),0)</f>
        <v>0</v>
      </c>
      <c r="W20" s="182">
        <f>IFERROR(INDEX('[2]SALES PERTYPE'!$U$10:$U$52,MATCH($C20,'[2]SALES PERTYPE'!$B$10:$B$52,0)),0)</f>
        <v>0</v>
      </c>
      <c r="X20" s="182">
        <f>IFERROR(INDEX('[2]SALES PERTYPE'!$V$10:$V$52,MATCH($C20,'[2]SALES PERTYPE'!$B$10:$B$52,0)),0)</f>
        <v>0</v>
      </c>
      <c r="Y20" s="182">
        <f>IFERROR(INDEX('[2]SALES PERTYPE'!$W$10:$W$52,MATCH($C20,'[2]SALES PERTYPE'!$B$10:$B$52,0)),0)</f>
        <v>0</v>
      </c>
      <c r="Z20" s="182">
        <f>IFERROR(INDEX('[2]SALES PERTYPE'!$X$10:$X$52,MATCH($C20,'[2]SALES PERTYPE'!$B$10:$B$52,0)),0)</f>
        <v>1</v>
      </c>
      <c r="AA20" s="182">
        <f>IFERROR(INDEX('[2]SALES PERTYPE'!$Y$10:$Y$52,MATCH($C20,'[2]SALES PERTYPE'!$B$10:$B$52,0)),0)</f>
        <v>6299000</v>
      </c>
      <c r="AB20" s="182">
        <f>IFERROR(INDEX('[2]SALES PERTYPE'!$Z$10:$Z$52,MATCH($C20,'[2]SALES PERTYPE'!$B$10:$B$52,0)),0)</f>
        <v>0</v>
      </c>
      <c r="AC20" s="182">
        <f>IFERROR(INDEX('[2]SALES PERTYPE'!$AA$10:$AA$52,MATCH($C20,'[2]SALES PERTYPE'!$B$10:$B$52,0)),0)</f>
        <v>0</v>
      </c>
      <c r="AD20" s="182">
        <f>IFERROR(INDEX('[2]SALES PERTYPE'!$AB$10:$AB$52,MATCH($C20,'[2]SALES PERTYPE'!$B$10:$B$52,0)),0)</f>
        <v>1</v>
      </c>
      <c r="AE20" s="182">
        <f>IFERROR(INDEX('[2]SALES PERTYPE'!$AC$10:$AC$52,MATCH($C20,'[2]SALES PERTYPE'!$B$10:$B$52,0)),0)</f>
        <v>5999000</v>
      </c>
      <c r="AF20" s="182">
        <f>IFERROR(INDEX('[2]SALES PERTYPE'!$AD$10:$AD$52,MATCH($C20,'[2]SALES PERTYPE'!$B$10:$B$52,0)),0)</f>
        <v>0</v>
      </c>
      <c r="AG20" s="182">
        <f>IFERROR(INDEX('[2]SALES PERTYPE'!$AE$10:$AE$52,MATCH($C20,'[2]SALES PERTYPE'!$B$10:$B$52,0)),0)</f>
        <v>0</v>
      </c>
      <c r="AH20" s="182">
        <f>IFERROR(INDEX('[2]SALES PERTYPE'!$AF$10:$AF$52,MATCH($C20,'[2]SALES PERTYPE'!$B$10:$B$52,0)),0)</f>
        <v>0</v>
      </c>
      <c r="AI20" s="182">
        <f>IFERROR(INDEX('[2]SALES PERTYPE'!$AG$10:$AG$52,MATCH($C20,'[2]SALES PERTYPE'!$B$10:$B$52,0)),0)</f>
        <v>0</v>
      </c>
      <c r="AJ20" s="182">
        <f>IFERROR(INDEX('[2]SALES PERTYPE'!$AH$10:$AH$52,MATCH($C20,'[2]SALES PERTYPE'!$B$10:$B$52,0)),0)</f>
        <v>1</v>
      </c>
      <c r="AK20" s="182">
        <f>IFERROR(INDEX('[2]SALES PERTYPE'!$AI$10:$AI$52,MATCH($C20,'[2]SALES PERTYPE'!$B$10:$B$52,0)),0)</f>
        <v>5699000</v>
      </c>
      <c r="AL20" s="182">
        <f>IFERROR(INDEX('[2]SALES PERTYPE'!$AJ$10:$AJ$52,MATCH($C20,'[2]SALES PERTYPE'!$B$10:$B$52,0)),0)</f>
        <v>0</v>
      </c>
      <c r="AM20" s="182">
        <f>IFERROR(INDEX('[2]SALES PERTYPE'!$AK$10:$AK$52,MATCH($C20,'[2]SALES PERTYPE'!$B$10:$B$52,0)),0)</f>
        <v>0</v>
      </c>
      <c r="AN20" s="182">
        <f>IFERROR(INDEX('[2]SALES PERTYPE'!$AL$10:$AL$52,MATCH($C20,'[2]SALES PERTYPE'!$B$10:$B$52,0)),0)</f>
        <v>12</v>
      </c>
      <c r="AO20" s="182">
        <f>IFERROR(INDEX('[2]SALES PERTYPE'!$AM$10:$AM$52,MATCH($C20,'[2]SALES PERTYPE'!$B$10:$B$52,0)),0)</f>
        <v>42988000</v>
      </c>
    </row>
    <row r="21" spans="1:41" x14ac:dyDescent="0.15">
      <c r="A21" s="181">
        <f>'[2]ACHIEVEMENT STORE'!A21</f>
        <v>17</v>
      </c>
      <c r="B21" s="180" t="str">
        <f>'[2]ACHIEVEMENT STORE'!B21</f>
        <v>605 勿加泗 BEKASI</v>
      </c>
      <c r="C21" s="181">
        <f>'[2]ACHIEVEMENT STORE'!C21</f>
        <v>6050705</v>
      </c>
      <c r="D21" s="180" t="str">
        <f>'[2]ACHIEVEMENT STORE'!D21</f>
        <v>6050705-MBH 2F009</v>
      </c>
      <c r="E21" s="180" t="str">
        <f>'[2]ACHIEVEMENT STORE'!E21</f>
        <v>M RIZKI</v>
      </c>
      <c r="F21" s="179">
        <f>IFERROR(INDEX('[2]SALES PERTYPE'!$D$10:$D$52,MATCH($C21,'[2]SALES PERTYPE'!$B$10:$B$52,0)),0)</f>
        <v>0</v>
      </c>
      <c r="G21" s="179">
        <f>IFERROR(INDEX('[2]SALES PERTYPE'!$E$10:$E$52,MATCH($C21,'[2]SALES PERTYPE'!$B$10:$B$52,0)),0)</f>
        <v>0</v>
      </c>
      <c r="H21" s="179">
        <f>IFERROR(INDEX('[2]SALES PERTYPE'!$F$10:$F$52,MATCH($C21,'[2]SALES PERTYPE'!$B$10:$B$52,0)),0)</f>
        <v>3</v>
      </c>
      <c r="I21" s="179">
        <f>IFERROR(INDEX('[2]SALES PERTYPE'!$G$10:$G$52,MATCH($C21,'[2]SALES PERTYPE'!$B$10:$B$52,0)),0)</f>
        <v>7597000</v>
      </c>
      <c r="J21" s="179">
        <f>IFERROR(INDEX('[2]SALES PERTYPE'!$H$10:$H$52,MATCH($C21,'[2]SALES PERTYPE'!$B$10:$B$52,0)),0)</f>
        <v>0</v>
      </c>
      <c r="K21" s="179">
        <f>IFERROR(INDEX('[2]SALES PERTYPE'!$I$10:$I$52,MATCH($C21,'[2]SALES PERTYPE'!$B$10:$B$52,0)),0)</f>
        <v>0</v>
      </c>
      <c r="L21" s="179">
        <f>IFERROR(INDEX('[2]SALES PERTYPE'!$J$10:$J$52,MATCH($C21,'[2]SALES PERTYPE'!$B$10:$B$52,0)),0)</f>
        <v>1</v>
      </c>
      <c r="M21" s="179">
        <f>IFERROR(INDEX('[2]SALES PERTYPE'!$K$10:$K$52,MATCH($C21,'[2]SALES PERTYPE'!$B$10:$B$52,0)),0)</f>
        <v>2099000</v>
      </c>
      <c r="N21" s="179">
        <f>IFERROR(INDEX('[2]SALES PERTYPE'!$L$10:$L$52,MATCH($C21,'[2]SALES PERTYPE'!$B$10:$B$52,0)),0)</f>
        <v>0</v>
      </c>
      <c r="O21" s="179">
        <f>IFERROR(INDEX('[2]SALES PERTYPE'!$M$10:$M$52,MATCH($C21,'[2]SALES PERTYPE'!$B$10:$B$52,0)),0)</f>
        <v>0</v>
      </c>
      <c r="P21" s="179">
        <f>IFERROR(INDEX('[2]SALES PERTYPE'!$N$10:$N$52,MATCH($C21,'[2]SALES PERTYPE'!$B$10:$B$52,0)),0)</f>
        <v>3</v>
      </c>
      <c r="Q21" s="179">
        <f>IFERROR(INDEX('[2]SALES PERTYPE'!$O$10:$O$52,MATCH($C21,'[2]SALES PERTYPE'!$B$10:$B$52,0)),0)</f>
        <v>13697000</v>
      </c>
      <c r="R21" s="179">
        <f>IFERROR(INDEX('[2]SALES PERTYPE'!$P$10:$P$52,MATCH($C21,'[2]SALES PERTYPE'!$B$10:$B$52,0)),0)</f>
        <v>0</v>
      </c>
      <c r="S21" s="179">
        <f>IFERROR(INDEX('[2]SALES PERTYPE'!$Q$10:$Q$52,MATCH($C21,'[2]SALES PERTYPE'!$B$10:$B$52,0)),0)</f>
        <v>0</v>
      </c>
      <c r="T21" s="179">
        <f>IFERROR(INDEX('[2]SALES PERTYPE'!$R$10:$R$52,MATCH($C21,'[2]SALES PERTYPE'!$B$10:$B$52,0)),0)</f>
        <v>0</v>
      </c>
      <c r="U21" s="179">
        <f>IFERROR(INDEX('[2]SALES PERTYPE'!$S$10:$S$52,MATCH($C21,'[2]SALES PERTYPE'!$B$10:$B$52,0)),0)</f>
        <v>0</v>
      </c>
      <c r="V21" s="179">
        <f>IFERROR(INDEX('[2]SALES PERTYPE'!$T$10:$T$52,MATCH($C21,'[2]SALES PERTYPE'!$B$10:$B$52,0)),0)</f>
        <v>0</v>
      </c>
      <c r="W21" s="179">
        <f>IFERROR(INDEX('[2]SALES PERTYPE'!$U$10:$U$52,MATCH($C21,'[2]SALES PERTYPE'!$B$10:$B$52,0)),0)</f>
        <v>0</v>
      </c>
      <c r="X21" s="179">
        <f>IFERROR(INDEX('[2]SALES PERTYPE'!$V$10:$V$52,MATCH($C21,'[2]SALES PERTYPE'!$B$10:$B$52,0)),0)</f>
        <v>0</v>
      </c>
      <c r="Y21" s="179">
        <f>IFERROR(INDEX('[2]SALES PERTYPE'!$W$10:$W$52,MATCH($C21,'[2]SALES PERTYPE'!$B$10:$B$52,0)),0)</f>
        <v>0</v>
      </c>
      <c r="Z21" s="179">
        <f>IFERROR(INDEX('[2]SALES PERTYPE'!$X$10:$X$52,MATCH($C21,'[2]SALES PERTYPE'!$B$10:$B$52,0)),0)</f>
        <v>0</v>
      </c>
      <c r="AA21" s="179">
        <f>IFERROR(INDEX('[2]SALES PERTYPE'!$Y$10:$Y$52,MATCH($C21,'[2]SALES PERTYPE'!$B$10:$B$52,0)),0)</f>
        <v>0</v>
      </c>
      <c r="AB21" s="179">
        <f>IFERROR(INDEX('[2]SALES PERTYPE'!$Z$10:$Z$52,MATCH($C21,'[2]SALES PERTYPE'!$B$10:$B$52,0)),0)</f>
        <v>1</v>
      </c>
      <c r="AC21" s="179">
        <f>IFERROR(INDEX('[2]SALES PERTYPE'!$AA$10:$AA$52,MATCH($C21,'[2]SALES PERTYPE'!$B$10:$B$52,0)),0)</f>
        <v>11999000</v>
      </c>
      <c r="AD21" s="179">
        <f>IFERROR(INDEX('[2]SALES PERTYPE'!$AB$10:$AB$52,MATCH($C21,'[2]SALES PERTYPE'!$B$10:$B$52,0)),0)</f>
        <v>0</v>
      </c>
      <c r="AE21" s="179">
        <f>IFERROR(INDEX('[2]SALES PERTYPE'!$AC$10:$AC$52,MATCH($C21,'[2]SALES PERTYPE'!$B$10:$B$52,0)),0)</f>
        <v>0</v>
      </c>
      <c r="AF21" s="179">
        <f>IFERROR(INDEX('[2]SALES PERTYPE'!$AD$10:$AD$52,MATCH($C21,'[2]SALES PERTYPE'!$B$10:$B$52,0)),0)</f>
        <v>0</v>
      </c>
      <c r="AG21" s="179">
        <f>IFERROR(INDEX('[2]SALES PERTYPE'!$AE$10:$AE$52,MATCH($C21,'[2]SALES PERTYPE'!$B$10:$B$52,0)),0)</f>
        <v>0</v>
      </c>
      <c r="AH21" s="179">
        <f>IFERROR(INDEX('[2]SALES PERTYPE'!$AF$10:$AF$52,MATCH($C21,'[2]SALES PERTYPE'!$B$10:$B$52,0)),0)</f>
        <v>0</v>
      </c>
      <c r="AI21" s="179">
        <f>IFERROR(INDEX('[2]SALES PERTYPE'!$AG$10:$AG$52,MATCH($C21,'[2]SALES PERTYPE'!$B$10:$B$52,0)),0)</f>
        <v>0</v>
      </c>
      <c r="AJ21" s="179">
        <f>IFERROR(INDEX('[2]SALES PERTYPE'!$AH$10:$AH$52,MATCH($C21,'[2]SALES PERTYPE'!$B$10:$B$52,0)),0)</f>
        <v>0</v>
      </c>
      <c r="AK21" s="179">
        <f>IFERROR(INDEX('[2]SALES PERTYPE'!$AI$10:$AI$52,MATCH($C21,'[2]SALES PERTYPE'!$B$10:$B$52,0)),0)</f>
        <v>0</v>
      </c>
      <c r="AL21" s="179">
        <f>IFERROR(INDEX('[2]SALES PERTYPE'!$AJ$10:$AJ$52,MATCH($C21,'[2]SALES PERTYPE'!$B$10:$B$52,0)),0)</f>
        <v>1</v>
      </c>
      <c r="AM21" s="179">
        <f>IFERROR(INDEX('[2]SALES PERTYPE'!$AK$10:$AK$52,MATCH($C21,'[2]SALES PERTYPE'!$B$10:$B$52,0)),0)</f>
        <v>7999000</v>
      </c>
      <c r="AN21" s="179">
        <f>IFERROR(INDEX('[2]SALES PERTYPE'!$AL$10:$AL$52,MATCH($C21,'[2]SALES PERTYPE'!$B$10:$B$52,0)),0)</f>
        <v>9</v>
      </c>
      <c r="AO21" s="179">
        <f>IFERROR(INDEX('[2]SALES PERTYPE'!$AM$10:$AM$52,MATCH($C21,'[2]SALES PERTYPE'!$B$10:$B$52,0)),0)</f>
        <v>43391000</v>
      </c>
    </row>
    <row r="22" spans="1:41" x14ac:dyDescent="0.15">
      <c r="A22" s="184">
        <f>'[2]ACHIEVEMENT STORE'!A22</f>
        <v>18</v>
      </c>
      <c r="B22" s="183" t="str">
        <f>'[2]ACHIEVEMENT STORE'!B22</f>
        <v>605 勿加泗 BEKASI</v>
      </c>
      <c r="C22" s="184">
        <f>'[2]ACHIEVEMENT STORE'!C22</f>
        <v>6050706</v>
      </c>
      <c r="D22" s="183" t="str">
        <f>'[2]ACHIEVEMENT STORE'!D22</f>
        <v>6050706-AEON MALL DELTAMAS 1F081</v>
      </c>
      <c r="E22" s="183" t="str">
        <f>'[2]ACHIEVEMENT STORE'!E22</f>
        <v>M RIZKI</v>
      </c>
      <c r="F22" s="182">
        <f>IFERROR(INDEX('[2]SALES PERTYPE'!$D$10:$D$52,MATCH($C22,'[2]SALES PERTYPE'!$B$10:$B$52,0)),0)</f>
        <v>5</v>
      </c>
      <c r="G22" s="182">
        <f>IFERROR(INDEX('[2]SALES PERTYPE'!$E$10:$E$52,MATCH($C22,'[2]SALES PERTYPE'!$B$10:$B$52,0)),0)</f>
        <v>12695000</v>
      </c>
      <c r="H22" s="182">
        <f>IFERROR(INDEX('[2]SALES PERTYPE'!$F$10:$F$52,MATCH($C22,'[2]SALES PERTYPE'!$B$10:$B$52,0)),0)</f>
        <v>7</v>
      </c>
      <c r="I22" s="182">
        <f>IFERROR(INDEX('[2]SALES PERTYPE'!$G$10:$G$52,MATCH($C22,'[2]SALES PERTYPE'!$B$10:$B$52,0)),0)</f>
        <v>18793000</v>
      </c>
      <c r="J22" s="182">
        <f>IFERROR(INDEX('[2]SALES PERTYPE'!$H$10:$H$52,MATCH($C22,'[2]SALES PERTYPE'!$B$10:$B$52,0)),0)</f>
        <v>0</v>
      </c>
      <c r="K22" s="182">
        <f>IFERROR(INDEX('[2]SALES PERTYPE'!$I$10:$I$52,MATCH($C22,'[2]SALES PERTYPE'!$B$10:$B$52,0)),0)</f>
        <v>0</v>
      </c>
      <c r="L22" s="182">
        <f>IFERROR(INDEX('[2]SALES PERTYPE'!$J$10:$J$52,MATCH($C22,'[2]SALES PERTYPE'!$B$10:$B$52,0)),0)</f>
        <v>0</v>
      </c>
      <c r="M22" s="182">
        <f>IFERROR(INDEX('[2]SALES PERTYPE'!$K$10:$K$52,MATCH($C22,'[2]SALES PERTYPE'!$B$10:$B$52,0)),0)</f>
        <v>0</v>
      </c>
      <c r="N22" s="182">
        <f>IFERROR(INDEX('[2]SALES PERTYPE'!$L$10:$L$52,MATCH($C22,'[2]SALES PERTYPE'!$B$10:$B$52,0)),0)</f>
        <v>0</v>
      </c>
      <c r="O22" s="182">
        <f>IFERROR(INDEX('[2]SALES PERTYPE'!$M$10:$M$52,MATCH($C22,'[2]SALES PERTYPE'!$B$10:$B$52,0)),0)</f>
        <v>0</v>
      </c>
      <c r="P22" s="182">
        <f>IFERROR(INDEX('[2]SALES PERTYPE'!$N$10:$N$52,MATCH($C22,'[2]SALES PERTYPE'!$B$10:$B$52,0)),0)</f>
        <v>0</v>
      </c>
      <c r="Q22" s="182">
        <f>IFERROR(INDEX('[2]SALES PERTYPE'!$O$10:$O$52,MATCH($C22,'[2]SALES PERTYPE'!$B$10:$B$52,0)),0)</f>
        <v>0</v>
      </c>
      <c r="R22" s="182">
        <f>IFERROR(INDEX('[2]SALES PERTYPE'!$P$10:$P$52,MATCH($C22,'[2]SALES PERTYPE'!$B$10:$B$52,0)),0)</f>
        <v>0</v>
      </c>
      <c r="S22" s="182">
        <f>IFERROR(INDEX('[2]SALES PERTYPE'!$Q$10:$Q$52,MATCH($C22,'[2]SALES PERTYPE'!$B$10:$B$52,0)),0)</f>
        <v>0</v>
      </c>
      <c r="T22" s="182">
        <f>IFERROR(INDEX('[2]SALES PERTYPE'!$R$10:$R$52,MATCH($C22,'[2]SALES PERTYPE'!$B$10:$B$52,0)),0)</f>
        <v>0</v>
      </c>
      <c r="U22" s="182">
        <f>IFERROR(INDEX('[2]SALES PERTYPE'!$S$10:$S$52,MATCH($C22,'[2]SALES PERTYPE'!$B$10:$B$52,0)),0)</f>
        <v>0</v>
      </c>
      <c r="V22" s="182">
        <f>IFERROR(INDEX('[2]SALES PERTYPE'!$T$10:$T$52,MATCH($C22,'[2]SALES PERTYPE'!$B$10:$B$52,0)),0)</f>
        <v>1</v>
      </c>
      <c r="W22" s="182">
        <f>IFERROR(INDEX('[2]SALES PERTYPE'!$U$10:$U$52,MATCH($C22,'[2]SALES PERTYPE'!$B$10:$B$52,0)),0)</f>
        <v>6999000</v>
      </c>
      <c r="X22" s="182">
        <f>IFERROR(INDEX('[2]SALES PERTYPE'!$V$10:$V$52,MATCH($C22,'[2]SALES PERTYPE'!$B$10:$B$52,0)),0)</f>
        <v>0</v>
      </c>
      <c r="Y22" s="182">
        <f>IFERROR(INDEX('[2]SALES PERTYPE'!$W$10:$W$52,MATCH($C22,'[2]SALES PERTYPE'!$B$10:$B$52,0)),0)</f>
        <v>0</v>
      </c>
      <c r="Z22" s="182">
        <f>IFERROR(INDEX('[2]SALES PERTYPE'!$X$10:$X$52,MATCH($C22,'[2]SALES PERTYPE'!$B$10:$B$52,0)),0)</f>
        <v>2</v>
      </c>
      <c r="AA22" s="182">
        <f>IFERROR(INDEX('[2]SALES PERTYPE'!$Y$10:$Y$52,MATCH($C22,'[2]SALES PERTYPE'!$B$10:$B$52,0)),0)</f>
        <v>11798000</v>
      </c>
      <c r="AB22" s="182">
        <f>IFERROR(INDEX('[2]SALES PERTYPE'!$Z$10:$Z$52,MATCH($C22,'[2]SALES PERTYPE'!$B$10:$B$52,0)),0)</f>
        <v>0</v>
      </c>
      <c r="AC22" s="182">
        <f>IFERROR(INDEX('[2]SALES PERTYPE'!$AA$10:$AA$52,MATCH($C22,'[2]SALES PERTYPE'!$B$10:$B$52,0)),0)</f>
        <v>0</v>
      </c>
      <c r="AD22" s="182">
        <f>IFERROR(INDEX('[2]SALES PERTYPE'!$AB$10:$AB$52,MATCH($C22,'[2]SALES PERTYPE'!$B$10:$B$52,0)),0)</f>
        <v>0</v>
      </c>
      <c r="AE22" s="182">
        <f>IFERROR(INDEX('[2]SALES PERTYPE'!$AC$10:$AC$52,MATCH($C22,'[2]SALES PERTYPE'!$B$10:$B$52,0)),0)</f>
        <v>0</v>
      </c>
      <c r="AF22" s="182">
        <f>IFERROR(INDEX('[2]SALES PERTYPE'!$AD$10:$AD$52,MATCH($C22,'[2]SALES PERTYPE'!$B$10:$B$52,0)),0)</f>
        <v>0</v>
      </c>
      <c r="AG22" s="182">
        <f>IFERROR(INDEX('[2]SALES PERTYPE'!$AE$10:$AE$52,MATCH($C22,'[2]SALES PERTYPE'!$B$10:$B$52,0)),0)</f>
        <v>0</v>
      </c>
      <c r="AH22" s="182">
        <f>IFERROR(INDEX('[2]SALES PERTYPE'!$AF$10:$AF$52,MATCH($C22,'[2]SALES PERTYPE'!$B$10:$B$52,0)),0)</f>
        <v>0</v>
      </c>
      <c r="AI22" s="182">
        <f>IFERROR(INDEX('[2]SALES PERTYPE'!$AG$10:$AG$52,MATCH($C22,'[2]SALES PERTYPE'!$B$10:$B$52,0)),0)</f>
        <v>0</v>
      </c>
      <c r="AJ22" s="182">
        <f>IFERROR(INDEX('[2]SALES PERTYPE'!$AH$10:$AH$52,MATCH($C22,'[2]SALES PERTYPE'!$B$10:$B$52,0)),0)</f>
        <v>0</v>
      </c>
      <c r="AK22" s="182">
        <f>IFERROR(INDEX('[2]SALES PERTYPE'!$AI$10:$AI$52,MATCH($C22,'[2]SALES PERTYPE'!$B$10:$B$52,0)),0)</f>
        <v>0</v>
      </c>
      <c r="AL22" s="182">
        <f>IFERROR(INDEX('[2]SALES PERTYPE'!$AJ$10:$AJ$52,MATCH($C22,'[2]SALES PERTYPE'!$B$10:$B$52,0)),0)</f>
        <v>0</v>
      </c>
      <c r="AM22" s="182">
        <f>IFERROR(INDEX('[2]SALES PERTYPE'!$AK$10:$AK$52,MATCH($C22,'[2]SALES PERTYPE'!$B$10:$B$52,0)),0)</f>
        <v>0</v>
      </c>
      <c r="AN22" s="182">
        <f>IFERROR(INDEX('[2]SALES PERTYPE'!$AL$10:$AL$52,MATCH($C22,'[2]SALES PERTYPE'!$B$10:$B$52,0)),0)</f>
        <v>15</v>
      </c>
      <c r="AO22" s="182">
        <f>IFERROR(INDEX('[2]SALES PERTYPE'!$AM$10:$AM$52,MATCH($C22,'[2]SALES PERTYPE'!$B$10:$B$52,0)),0)</f>
        <v>50285000</v>
      </c>
    </row>
    <row r="23" spans="1:41" x14ac:dyDescent="0.15">
      <c r="A23" s="181">
        <f>'[2]ACHIEVEMENT STORE'!A23</f>
        <v>19</v>
      </c>
      <c r="B23" s="180" t="str">
        <f>'[2]ACHIEVEMENT STORE'!B23</f>
        <v>618 茂物 BOGOR</v>
      </c>
      <c r="C23" s="181">
        <f>'[2]ACHIEVEMENT STORE'!C23</f>
        <v>6180706</v>
      </c>
      <c r="D23" s="180" t="str">
        <f>'[2]ACHIEVEMENT STORE'!D23</f>
        <v>6180706-MVS MALL CCM</v>
      </c>
      <c r="E23" s="180" t="str">
        <f>'[2]ACHIEVEMENT STORE'!E23</f>
        <v>DANDI SURYA</v>
      </c>
      <c r="F23" s="179">
        <f>IFERROR(INDEX('[2]SALES PERTYPE'!$D$10:$D$52,MATCH($C23,'[2]SALES PERTYPE'!$B$10:$B$52,0)),0)</f>
        <v>3</v>
      </c>
      <c r="G23" s="179">
        <f>IFERROR(INDEX('[2]SALES PERTYPE'!$E$10:$E$52,MATCH($C23,'[2]SALES PERTYPE'!$B$10:$B$52,0)),0)</f>
        <v>6897000</v>
      </c>
      <c r="H23" s="179">
        <f>IFERROR(INDEX('[2]SALES PERTYPE'!$F$10:$F$52,MATCH($C23,'[2]SALES PERTYPE'!$B$10:$B$52,0)),0)</f>
        <v>5</v>
      </c>
      <c r="I23" s="179">
        <f>IFERROR(INDEX('[2]SALES PERTYPE'!$G$10:$G$52,MATCH($C23,'[2]SALES PERTYPE'!$B$10:$B$52,0)),0)</f>
        <v>13195000</v>
      </c>
      <c r="J23" s="179">
        <f>IFERROR(INDEX('[2]SALES PERTYPE'!$H$10:$H$52,MATCH($C23,'[2]SALES PERTYPE'!$B$10:$B$52,0)),0)</f>
        <v>0</v>
      </c>
      <c r="K23" s="179">
        <f>IFERROR(INDEX('[2]SALES PERTYPE'!$I$10:$I$52,MATCH($C23,'[2]SALES PERTYPE'!$B$10:$B$52,0)),0)</f>
        <v>0</v>
      </c>
      <c r="L23" s="179">
        <f>IFERROR(INDEX('[2]SALES PERTYPE'!$J$10:$J$52,MATCH($C23,'[2]SALES PERTYPE'!$B$10:$B$52,0)),0)</f>
        <v>8</v>
      </c>
      <c r="M23" s="179">
        <f>IFERROR(INDEX('[2]SALES PERTYPE'!$K$10:$K$52,MATCH($C23,'[2]SALES PERTYPE'!$B$10:$B$52,0)),0)</f>
        <v>16792000</v>
      </c>
      <c r="N23" s="179">
        <f>IFERROR(INDEX('[2]SALES PERTYPE'!$L$10:$L$52,MATCH($C23,'[2]SALES PERTYPE'!$B$10:$B$52,0)),0)</f>
        <v>2</v>
      </c>
      <c r="O23" s="179">
        <f>IFERROR(INDEX('[2]SALES PERTYPE'!$M$10:$M$52,MATCH($C23,'[2]SALES PERTYPE'!$B$10:$B$52,0)),0)</f>
        <v>19998000</v>
      </c>
      <c r="P23" s="179">
        <f>IFERROR(INDEX('[2]SALES PERTYPE'!$N$10:$N$52,MATCH($C23,'[2]SALES PERTYPE'!$B$10:$B$52,0)),0)</f>
        <v>1</v>
      </c>
      <c r="Q23" s="179">
        <f>IFERROR(INDEX('[2]SALES PERTYPE'!$O$10:$O$52,MATCH($C23,'[2]SALES PERTYPE'!$B$10:$B$52,0)),0)</f>
        <v>3899000</v>
      </c>
      <c r="R23" s="179">
        <f>IFERROR(INDEX('[2]SALES PERTYPE'!$P$10:$P$52,MATCH($C23,'[2]SALES PERTYPE'!$B$10:$B$52,0)),0)</f>
        <v>0</v>
      </c>
      <c r="S23" s="179">
        <f>IFERROR(INDEX('[2]SALES PERTYPE'!$Q$10:$Q$52,MATCH($C23,'[2]SALES PERTYPE'!$B$10:$B$52,0)),0)</f>
        <v>0</v>
      </c>
      <c r="T23" s="179">
        <f>IFERROR(INDEX('[2]SALES PERTYPE'!$R$10:$R$52,MATCH($C23,'[2]SALES PERTYPE'!$B$10:$B$52,0)),0)</f>
        <v>0</v>
      </c>
      <c r="U23" s="179">
        <f>IFERROR(INDEX('[2]SALES PERTYPE'!$S$10:$S$52,MATCH($C23,'[2]SALES PERTYPE'!$B$10:$B$52,0)),0)</f>
        <v>0</v>
      </c>
      <c r="V23" s="179">
        <f>IFERROR(INDEX('[2]SALES PERTYPE'!$T$10:$T$52,MATCH($C23,'[2]SALES PERTYPE'!$B$10:$B$52,0)),0)</f>
        <v>2</v>
      </c>
      <c r="W23" s="179">
        <f>IFERROR(INDEX('[2]SALES PERTYPE'!$U$10:$U$52,MATCH($C23,'[2]SALES PERTYPE'!$B$10:$B$52,0)),0)</f>
        <v>15998000</v>
      </c>
      <c r="X23" s="179">
        <f>IFERROR(INDEX('[2]SALES PERTYPE'!$V$10:$V$52,MATCH($C23,'[2]SALES PERTYPE'!$B$10:$B$52,0)),0)</f>
        <v>0</v>
      </c>
      <c r="Y23" s="179">
        <f>IFERROR(INDEX('[2]SALES PERTYPE'!$W$10:$W$52,MATCH($C23,'[2]SALES PERTYPE'!$B$10:$B$52,0)),0)</f>
        <v>0</v>
      </c>
      <c r="Z23" s="179">
        <f>IFERROR(INDEX('[2]SALES PERTYPE'!$X$10:$X$52,MATCH($C23,'[2]SALES PERTYPE'!$B$10:$B$52,0)),0)</f>
        <v>1</v>
      </c>
      <c r="AA23" s="179">
        <f>IFERROR(INDEX('[2]SALES PERTYPE'!$Y$10:$Y$52,MATCH($C23,'[2]SALES PERTYPE'!$B$10:$B$52,0)),0)</f>
        <v>6299000</v>
      </c>
      <c r="AB23" s="179">
        <f>IFERROR(INDEX('[2]SALES PERTYPE'!$Z$10:$Z$52,MATCH($C23,'[2]SALES PERTYPE'!$B$10:$B$52,0)),0)</f>
        <v>0</v>
      </c>
      <c r="AC23" s="179">
        <f>IFERROR(INDEX('[2]SALES PERTYPE'!$AA$10:$AA$52,MATCH($C23,'[2]SALES PERTYPE'!$B$10:$B$52,0)),0)</f>
        <v>0</v>
      </c>
      <c r="AD23" s="179">
        <f>IFERROR(INDEX('[2]SALES PERTYPE'!$AB$10:$AB$52,MATCH($C23,'[2]SALES PERTYPE'!$B$10:$B$52,0)),0)</f>
        <v>2</v>
      </c>
      <c r="AE23" s="179">
        <f>IFERROR(INDEX('[2]SALES PERTYPE'!$AC$10:$AC$52,MATCH($C23,'[2]SALES PERTYPE'!$B$10:$B$52,0)),0)</f>
        <v>10598000</v>
      </c>
      <c r="AF23" s="179">
        <f>IFERROR(INDEX('[2]SALES PERTYPE'!$AD$10:$AD$52,MATCH($C23,'[2]SALES PERTYPE'!$B$10:$B$52,0)),0)</f>
        <v>0</v>
      </c>
      <c r="AG23" s="179">
        <f>IFERROR(INDEX('[2]SALES PERTYPE'!$AE$10:$AE$52,MATCH($C23,'[2]SALES PERTYPE'!$B$10:$B$52,0)),0)</f>
        <v>0</v>
      </c>
      <c r="AH23" s="179">
        <f>IFERROR(INDEX('[2]SALES PERTYPE'!$AF$10:$AF$52,MATCH($C23,'[2]SALES PERTYPE'!$B$10:$B$52,0)),0)</f>
        <v>0</v>
      </c>
      <c r="AI23" s="179">
        <f>IFERROR(INDEX('[2]SALES PERTYPE'!$AG$10:$AG$52,MATCH($C23,'[2]SALES PERTYPE'!$B$10:$B$52,0)),0)</f>
        <v>0</v>
      </c>
      <c r="AJ23" s="179">
        <f>IFERROR(INDEX('[2]SALES PERTYPE'!$AH$10:$AH$52,MATCH($C23,'[2]SALES PERTYPE'!$B$10:$B$52,0)),0)</f>
        <v>0</v>
      </c>
      <c r="AK23" s="179">
        <f>IFERROR(INDEX('[2]SALES PERTYPE'!$AI$10:$AI$52,MATCH($C23,'[2]SALES PERTYPE'!$B$10:$B$52,0)),0)</f>
        <v>0</v>
      </c>
      <c r="AL23" s="179">
        <f>IFERROR(INDEX('[2]SALES PERTYPE'!$AJ$10:$AJ$52,MATCH($C23,'[2]SALES PERTYPE'!$B$10:$B$52,0)),0)</f>
        <v>0</v>
      </c>
      <c r="AM23" s="179">
        <f>IFERROR(INDEX('[2]SALES PERTYPE'!$AK$10:$AK$52,MATCH($C23,'[2]SALES PERTYPE'!$B$10:$B$52,0)),0)</f>
        <v>0</v>
      </c>
      <c r="AN23" s="179">
        <f>IFERROR(INDEX('[2]SALES PERTYPE'!$AL$10:$AL$52,MATCH($C23,'[2]SALES PERTYPE'!$B$10:$B$52,0)),0)</f>
        <v>24</v>
      </c>
      <c r="AO23" s="179">
        <f>IFERROR(INDEX('[2]SALES PERTYPE'!$AM$10:$AM$52,MATCH($C23,'[2]SALES PERTYPE'!$B$10:$B$52,0)),0)</f>
        <v>93676000</v>
      </c>
    </row>
    <row r="24" spans="1:41" x14ac:dyDescent="0.15">
      <c r="A24" s="184">
        <f>'[2]ACHIEVEMENT STORE'!A24</f>
        <v>20</v>
      </c>
      <c r="B24" s="183" t="str">
        <f>'[2]ACHIEVEMENT STORE'!B24</f>
        <v>618 茂物 BOGOR</v>
      </c>
      <c r="C24" s="184">
        <f>'[2]ACHIEVEMENT STORE'!C24</f>
        <v>6180707</v>
      </c>
      <c r="D24" s="183" t="str">
        <f>'[2]ACHIEVEMENT STORE'!D24</f>
        <v>6180707-SC BTM</v>
      </c>
      <c r="E24" s="183" t="str">
        <f>'[2]ACHIEVEMENT STORE'!E24</f>
        <v>DANDI SURYA</v>
      </c>
      <c r="F24" s="182">
        <f>IFERROR(INDEX('[2]SALES PERTYPE'!$D$10:$D$52,MATCH($C24,'[2]SALES PERTYPE'!$B$10:$B$52,0)),0)</f>
        <v>0</v>
      </c>
      <c r="G24" s="182">
        <f>IFERROR(INDEX('[2]SALES PERTYPE'!$E$10:$E$52,MATCH($C24,'[2]SALES PERTYPE'!$B$10:$B$52,0)),0)</f>
        <v>0</v>
      </c>
      <c r="H24" s="182">
        <f>IFERROR(INDEX('[2]SALES PERTYPE'!$F$10:$F$52,MATCH($C24,'[2]SALES PERTYPE'!$B$10:$B$52,0)),0)</f>
        <v>1</v>
      </c>
      <c r="I24" s="182">
        <f>IFERROR(INDEX('[2]SALES PERTYPE'!$G$10:$G$52,MATCH($C24,'[2]SALES PERTYPE'!$B$10:$B$52,0)),0)</f>
        <v>2799000</v>
      </c>
      <c r="J24" s="182">
        <f>IFERROR(INDEX('[2]SALES PERTYPE'!$H$10:$H$52,MATCH($C24,'[2]SALES PERTYPE'!$B$10:$B$52,0)),0)</f>
        <v>0</v>
      </c>
      <c r="K24" s="182">
        <f>IFERROR(INDEX('[2]SALES PERTYPE'!$I$10:$I$52,MATCH($C24,'[2]SALES PERTYPE'!$B$10:$B$52,0)),0)</f>
        <v>0</v>
      </c>
      <c r="L24" s="182">
        <f>IFERROR(INDEX('[2]SALES PERTYPE'!$J$10:$J$52,MATCH($C24,'[2]SALES PERTYPE'!$B$10:$B$52,0)),0)</f>
        <v>0</v>
      </c>
      <c r="M24" s="182">
        <f>IFERROR(INDEX('[2]SALES PERTYPE'!$K$10:$K$52,MATCH($C24,'[2]SALES PERTYPE'!$B$10:$B$52,0)),0)</f>
        <v>0</v>
      </c>
      <c r="N24" s="182">
        <f>IFERROR(INDEX('[2]SALES PERTYPE'!$L$10:$L$52,MATCH($C24,'[2]SALES PERTYPE'!$B$10:$B$52,0)),0)</f>
        <v>0</v>
      </c>
      <c r="O24" s="182">
        <f>IFERROR(INDEX('[2]SALES PERTYPE'!$M$10:$M$52,MATCH($C24,'[2]SALES PERTYPE'!$B$10:$B$52,0)),0)</f>
        <v>0</v>
      </c>
      <c r="P24" s="182">
        <f>IFERROR(INDEX('[2]SALES PERTYPE'!$N$10:$N$52,MATCH($C24,'[2]SALES PERTYPE'!$B$10:$B$52,0)),0)</f>
        <v>1</v>
      </c>
      <c r="Q24" s="182">
        <f>IFERROR(INDEX('[2]SALES PERTYPE'!$O$10:$O$52,MATCH($C24,'[2]SALES PERTYPE'!$B$10:$B$52,0)),0)</f>
        <v>4899000</v>
      </c>
      <c r="R24" s="182">
        <f>IFERROR(INDEX('[2]SALES PERTYPE'!$P$10:$P$52,MATCH($C24,'[2]SALES PERTYPE'!$B$10:$B$52,0)),0)</f>
        <v>0</v>
      </c>
      <c r="S24" s="182">
        <f>IFERROR(INDEX('[2]SALES PERTYPE'!$Q$10:$Q$52,MATCH($C24,'[2]SALES PERTYPE'!$B$10:$B$52,0)),0)</f>
        <v>0</v>
      </c>
      <c r="T24" s="182">
        <f>IFERROR(INDEX('[2]SALES PERTYPE'!$R$10:$R$52,MATCH($C24,'[2]SALES PERTYPE'!$B$10:$B$52,0)),0)</f>
        <v>0</v>
      </c>
      <c r="U24" s="182">
        <f>IFERROR(INDEX('[2]SALES PERTYPE'!$S$10:$S$52,MATCH($C24,'[2]SALES PERTYPE'!$B$10:$B$52,0)),0)</f>
        <v>0</v>
      </c>
      <c r="V24" s="182">
        <f>IFERROR(INDEX('[2]SALES PERTYPE'!$T$10:$T$52,MATCH($C24,'[2]SALES PERTYPE'!$B$10:$B$52,0)),0)</f>
        <v>0</v>
      </c>
      <c r="W24" s="182">
        <f>IFERROR(INDEX('[2]SALES PERTYPE'!$U$10:$U$52,MATCH($C24,'[2]SALES PERTYPE'!$B$10:$B$52,0)),0)</f>
        <v>0</v>
      </c>
      <c r="X24" s="182">
        <f>IFERROR(INDEX('[2]SALES PERTYPE'!$V$10:$V$52,MATCH($C24,'[2]SALES PERTYPE'!$B$10:$B$52,0)),0)</f>
        <v>0</v>
      </c>
      <c r="Y24" s="182">
        <f>IFERROR(INDEX('[2]SALES PERTYPE'!$W$10:$W$52,MATCH($C24,'[2]SALES PERTYPE'!$B$10:$B$52,0)),0)</f>
        <v>0</v>
      </c>
      <c r="Z24" s="182">
        <f>IFERROR(INDEX('[2]SALES PERTYPE'!$X$10:$X$52,MATCH($C24,'[2]SALES PERTYPE'!$B$10:$B$52,0)),0)</f>
        <v>0</v>
      </c>
      <c r="AA24" s="182">
        <f>IFERROR(INDEX('[2]SALES PERTYPE'!$Y$10:$Y$52,MATCH($C24,'[2]SALES PERTYPE'!$B$10:$B$52,0)),0)</f>
        <v>0</v>
      </c>
      <c r="AB24" s="182">
        <f>IFERROR(INDEX('[2]SALES PERTYPE'!$Z$10:$Z$52,MATCH($C24,'[2]SALES PERTYPE'!$B$10:$B$52,0)),0)</f>
        <v>0</v>
      </c>
      <c r="AC24" s="182">
        <f>IFERROR(INDEX('[2]SALES PERTYPE'!$AA$10:$AA$52,MATCH($C24,'[2]SALES PERTYPE'!$B$10:$B$52,0)),0)</f>
        <v>0</v>
      </c>
      <c r="AD24" s="182">
        <f>IFERROR(INDEX('[2]SALES PERTYPE'!$AB$10:$AB$52,MATCH($C24,'[2]SALES PERTYPE'!$B$10:$B$52,0)),0)</f>
        <v>0</v>
      </c>
      <c r="AE24" s="182">
        <f>IFERROR(INDEX('[2]SALES PERTYPE'!$AC$10:$AC$52,MATCH($C24,'[2]SALES PERTYPE'!$B$10:$B$52,0)),0)</f>
        <v>0</v>
      </c>
      <c r="AF24" s="182">
        <f>IFERROR(INDEX('[2]SALES PERTYPE'!$AD$10:$AD$52,MATCH($C24,'[2]SALES PERTYPE'!$B$10:$B$52,0)),0)</f>
        <v>0</v>
      </c>
      <c r="AG24" s="182">
        <f>IFERROR(INDEX('[2]SALES PERTYPE'!$AE$10:$AE$52,MATCH($C24,'[2]SALES PERTYPE'!$B$10:$B$52,0)),0)</f>
        <v>0</v>
      </c>
      <c r="AH24" s="182">
        <f>IFERROR(INDEX('[2]SALES PERTYPE'!$AF$10:$AF$52,MATCH($C24,'[2]SALES PERTYPE'!$B$10:$B$52,0)),0)</f>
        <v>0</v>
      </c>
      <c r="AI24" s="182">
        <f>IFERROR(INDEX('[2]SALES PERTYPE'!$AG$10:$AG$52,MATCH($C24,'[2]SALES PERTYPE'!$B$10:$B$52,0)),0)</f>
        <v>0</v>
      </c>
      <c r="AJ24" s="182">
        <f>IFERROR(INDEX('[2]SALES PERTYPE'!$AH$10:$AH$52,MATCH($C24,'[2]SALES PERTYPE'!$B$10:$B$52,0)),0)</f>
        <v>0</v>
      </c>
      <c r="AK24" s="182">
        <f>IFERROR(INDEX('[2]SALES PERTYPE'!$AI$10:$AI$52,MATCH($C24,'[2]SALES PERTYPE'!$B$10:$B$52,0)),0)</f>
        <v>0</v>
      </c>
      <c r="AL24" s="182">
        <f>IFERROR(INDEX('[2]SALES PERTYPE'!$AJ$10:$AJ$52,MATCH($C24,'[2]SALES PERTYPE'!$B$10:$B$52,0)),0)</f>
        <v>0</v>
      </c>
      <c r="AM24" s="182">
        <f>IFERROR(INDEX('[2]SALES PERTYPE'!$AK$10:$AK$52,MATCH($C24,'[2]SALES PERTYPE'!$B$10:$B$52,0)),0)</f>
        <v>0</v>
      </c>
      <c r="AN24" s="182">
        <f>IFERROR(INDEX('[2]SALES PERTYPE'!$AL$10:$AL$52,MATCH($C24,'[2]SALES PERTYPE'!$B$10:$B$52,0)),0)</f>
        <v>2</v>
      </c>
      <c r="AO24" s="182">
        <f>IFERROR(INDEX('[2]SALES PERTYPE'!$AM$10:$AM$52,MATCH($C24,'[2]SALES PERTYPE'!$B$10:$B$52,0)),0)</f>
        <v>7698000</v>
      </c>
    </row>
    <row r="25" spans="1:41" x14ac:dyDescent="0.15">
      <c r="A25" s="181">
        <f>'[2]ACHIEVEMENT STORE'!A25</f>
        <v>21</v>
      </c>
      <c r="B25" s="180" t="str">
        <f>'[2]ACHIEVEMENT STORE'!B25</f>
        <v>624-万丹BANTEN</v>
      </c>
      <c r="C25" s="181">
        <f>'[2]ACHIEVEMENT STORE'!C25</f>
        <v>6170707</v>
      </c>
      <c r="D25" s="180" t="str">
        <f>'[2]ACHIEVEMENT STORE'!D25</f>
        <v>6170707-LG BLOK D NO. 01D SKY 7</v>
      </c>
      <c r="E25" s="180" t="str">
        <f>'[2]ACHIEVEMENT STORE'!E25</f>
        <v>ARIES FITRIYANTO</v>
      </c>
      <c r="F25" s="179">
        <f>IFERROR(INDEX('[2]SALES PERTYPE'!$D$10:$D$52,MATCH($C25,'[2]SALES PERTYPE'!$B$10:$B$52,0)),0)</f>
        <v>6</v>
      </c>
      <c r="G25" s="179">
        <f>IFERROR(INDEX('[2]SALES PERTYPE'!$E$10:$E$52,MATCH($C25,'[2]SALES PERTYPE'!$B$10:$B$52,0)),0)</f>
        <v>14694000</v>
      </c>
      <c r="H25" s="179">
        <f>IFERROR(INDEX('[2]SALES PERTYPE'!$F$10:$F$52,MATCH($C25,'[2]SALES PERTYPE'!$B$10:$B$52,0)),0)</f>
        <v>8</v>
      </c>
      <c r="I25" s="179">
        <f>IFERROR(INDEX('[2]SALES PERTYPE'!$G$10:$G$52,MATCH($C25,'[2]SALES PERTYPE'!$B$10:$B$52,0)),0)</f>
        <v>21192000</v>
      </c>
      <c r="J25" s="179">
        <f>IFERROR(INDEX('[2]SALES PERTYPE'!$H$10:$H$52,MATCH($C25,'[2]SALES PERTYPE'!$B$10:$B$52,0)),0)</f>
        <v>0</v>
      </c>
      <c r="K25" s="179">
        <f>IFERROR(INDEX('[2]SALES PERTYPE'!$I$10:$I$52,MATCH($C25,'[2]SALES PERTYPE'!$B$10:$B$52,0)),0)</f>
        <v>0</v>
      </c>
      <c r="L25" s="179">
        <f>IFERROR(INDEX('[2]SALES PERTYPE'!$J$10:$J$52,MATCH($C25,'[2]SALES PERTYPE'!$B$10:$B$52,0)),0)</f>
        <v>0</v>
      </c>
      <c r="M25" s="179">
        <f>IFERROR(INDEX('[2]SALES PERTYPE'!$K$10:$K$52,MATCH($C25,'[2]SALES PERTYPE'!$B$10:$B$52,0)),0)</f>
        <v>0</v>
      </c>
      <c r="N25" s="179">
        <f>IFERROR(INDEX('[2]SALES PERTYPE'!$L$10:$L$52,MATCH($C25,'[2]SALES PERTYPE'!$B$10:$B$52,0)),0)</f>
        <v>0</v>
      </c>
      <c r="O25" s="179">
        <f>IFERROR(INDEX('[2]SALES PERTYPE'!$M$10:$M$52,MATCH($C25,'[2]SALES PERTYPE'!$B$10:$B$52,0)),0)</f>
        <v>0</v>
      </c>
      <c r="P25" s="179">
        <f>IFERROR(INDEX('[2]SALES PERTYPE'!$N$10:$N$52,MATCH($C25,'[2]SALES PERTYPE'!$B$10:$B$52,0)),0)</f>
        <v>0</v>
      </c>
      <c r="Q25" s="179">
        <f>IFERROR(INDEX('[2]SALES PERTYPE'!$O$10:$O$52,MATCH($C25,'[2]SALES PERTYPE'!$B$10:$B$52,0)),0)</f>
        <v>0</v>
      </c>
      <c r="R25" s="179">
        <f>IFERROR(INDEX('[2]SALES PERTYPE'!$P$10:$P$52,MATCH($C25,'[2]SALES PERTYPE'!$B$10:$B$52,0)),0)</f>
        <v>0</v>
      </c>
      <c r="S25" s="179">
        <f>IFERROR(INDEX('[2]SALES PERTYPE'!$Q$10:$Q$52,MATCH($C25,'[2]SALES PERTYPE'!$B$10:$B$52,0)),0)</f>
        <v>0</v>
      </c>
      <c r="T25" s="179">
        <f>IFERROR(INDEX('[2]SALES PERTYPE'!$R$10:$R$52,MATCH($C25,'[2]SALES PERTYPE'!$B$10:$B$52,0)),0)</f>
        <v>0</v>
      </c>
      <c r="U25" s="179">
        <f>IFERROR(INDEX('[2]SALES PERTYPE'!$S$10:$S$52,MATCH($C25,'[2]SALES PERTYPE'!$B$10:$B$52,0)),0)</f>
        <v>0</v>
      </c>
      <c r="V25" s="179">
        <f>IFERROR(INDEX('[2]SALES PERTYPE'!$T$10:$T$52,MATCH($C25,'[2]SALES PERTYPE'!$B$10:$B$52,0)),0)</f>
        <v>0</v>
      </c>
      <c r="W25" s="179">
        <f>IFERROR(INDEX('[2]SALES PERTYPE'!$U$10:$U$52,MATCH($C25,'[2]SALES PERTYPE'!$B$10:$B$52,0)),0)</f>
        <v>0</v>
      </c>
      <c r="X25" s="179">
        <f>IFERROR(INDEX('[2]SALES PERTYPE'!$V$10:$V$52,MATCH($C25,'[2]SALES PERTYPE'!$B$10:$B$52,0)),0)</f>
        <v>0</v>
      </c>
      <c r="Y25" s="179">
        <f>IFERROR(INDEX('[2]SALES PERTYPE'!$W$10:$W$52,MATCH($C25,'[2]SALES PERTYPE'!$B$10:$B$52,0)),0)</f>
        <v>0</v>
      </c>
      <c r="Z25" s="179">
        <f>IFERROR(INDEX('[2]SALES PERTYPE'!$X$10:$X$52,MATCH($C25,'[2]SALES PERTYPE'!$B$10:$B$52,0)),0)</f>
        <v>1</v>
      </c>
      <c r="AA25" s="179">
        <f>IFERROR(INDEX('[2]SALES PERTYPE'!$Y$10:$Y$52,MATCH($C25,'[2]SALES PERTYPE'!$B$10:$B$52,0)),0)</f>
        <v>5499000</v>
      </c>
      <c r="AB25" s="179">
        <f>IFERROR(INDEX('[2]SALES PERTYPE'!$Z$10:$Z$52,MATCH($C25,'[2]SALES PERTYPE'!$B$10:$B$52,0)),0)</f>
        <v>0</v>
      </c>
      <c r="AC25" s="179">
        <f>IFERROR(INDEX('[2]SALES PERTYPE'!$AA$10:$AA$52,MATCH($C25,'[2]SALES PERTYPE'!$B$10:$B$52,0)),0)</f>
        <v>0</v>
      </c>
      <c r="AD25" s="179">
        <f>IFERROR(INDEX('[2]SALES PERTYPE'!$AB$10:$AB$52,MATCH($C25,'[2]SALES PERTYPE'!$B$10:$B$52,0)),0)</f>
        <v>1</v>
      </c>
      <c r="AE25" s="179">
        <f>IFERROR(INDEX('[2]SALES PERTYPE'!$AC$10:$AC$52,MATCH($C25,'[2]SALES PERTYPE'!$B$10:$B$52,0)),0)</f>
        <v>5299000</v>
      </c>
      <c r="AF25" s="179">
        <f>IFERROR(INDEX('[2]SALES PERTYPE'!$AD$10:$AD$52,MATCH($C25,'[2]SALES PERTYPE'!$B$10:$B$52,0)),0)</f>
        <v>0</v>
      </c>
      <c r="AG25" s="179">
        <f>IFERROR(INDEX('[2]SALES PERTYPE'!$AE$10:$AE$52,MATCH($C25,'[2]SALES PERTYPE'!$B$10:$B$52,0)),0)</f>
        <v>0</v>
      </c>
      <c r="AH25" s="179">
        <f>IFERROR(INDEX('[2]SALES PERTYPE'!$AF$10:$AF$52,MATCH($C25,'[2]SALES PERTYPE'!$B$10:$B$52,0)),0)</f>
        <v>0</v>
      </c>
      <c r="AI25" s="179">
        <f>IFERROR(INDEX('[2]SALES PERTYPE'!$AG$10:$AG$52,MATCH($C25,'[2]SALES PERTYPE'!$B$10:$B$52,0)),0)</f>
        <v>0</v>
      </c>
      <c r="AJ25" s="179">
        <f>IFERROR(INDEX('[2]SALES PERTYPE'!$AH$10:$AH$52,MATCH($C25,'[2]SALES PERTYPE'!$B$10:$B$52,0)),0)</f>
        <v>0</v>
      </c>
      <c r="AK25" s="179">
        <f>IFERROR(INDEX('[2]SALES PERTYPE'!$AI$10:$AI$52,MATCH($C25,'[2]SALES PERTYPE'!$B$10:$B$52,0)),0)</f>
        <v>0</v>
      </c>
      <c r="AL25" s="179">
        <f>IFERROR(INDEX('[2]SALES PERTYPE'!$AJ$10:$AJ$52,MATCH($C25,'[2]SALES PERTYPE'!$B$10:$B$52,0)),0)</f>
        <v>0</v>
      </c>
      <c r="AM25" s="179">
        <f>IFERROR(INDEX('[2]SALES PERTYPE'!$AK$10:$AK$52,MATCH($C25,'[2]SALES PERTYPE'!$B$10:$B$52,0)),0)</f>
        <v>0</v>
      </c>
      <c r="AN25" s="179">
        <f>IFERROR(INDEX('[2]SALES PERTYPE'!$AL$10:$AL$52,MATCH($C25,'[2]SALES PERTYPE'!$B$10:$B$52,0)),0)</f>
        <v>16</v>
      </c>
      <c r="AO25" s="179">
        <f>IFERROR(INDEX('[2]SALES PERTYPE'!$AM$10:$AM$52,MATCH($C25,'[2]SALES PERTYPE'!$B$10:$B$52,0)),0)</f>
        <v>46684000</v>
      </c>
    </row>
    <row r="26" spans="1:41" x14ac:dyDescent="0.15">
      <c r="A26" s="184">
        <f>'[2]ACHIEVEMENT STORE'!A26</f>
        <v>22</v>
      </c>
      <c r="B26" s="183" t="str">
        <f>'[2]ACHIEVEMENT STORE'!B26</f>
        <v>624-万丹BANTEN</v>
      </c>
      <c r="C26" s="184">
        <f>'[2]ACHIEVEMENT STORE'!C26</f>
        <v>6240702</v>
      </c>
      <c r="D26" s="183" t="str">
        <f>'[2]ACHIEVEMENT STORE'!D26</f>
        <v>A200902-LG BLOK B NO. 01B SKY M3</v>
      </c>
      <c r="E26" s="183" t="str">
        <f>'[2]ACHIEVEMENT STORE'!E26</f>
        <v>ARIES FITRIYANTO</v>
      </c>
      <c r="F26" s="182">
        <f>IFERROR(INDEX('[2]SALES PERTYPE'!$D$10:$D$52,MATCH($C26,'[2]SALES PERTYPE'!$B$10:$B$52,0)),0)</f>
        <v>2</v>
      </c>
      <c r="G26" s="182">
        <f>IFERROR(INDEX('[2]SALES PERTYPE'!$E$10:$E$52,MATCH($C26,'[2]SALES PERTYPE'!$B$10:$B$52,0)),0)</f>
        <v>4898000</v>
      </c>
      <c r="H26" s="182">
        <f>IFERROR(INDEX('[2]SALES PERTYPE'!$F$10:$F$52,MATCH($C26,'[2]SALES PERTYPE'!$B$10:$B$52,0)),0)</f>
        <v>6</v>
      </c>
      <c r="I26" s="182">
        <f>IFERROR(INDEX('[2]SALES PERTYPE'!$G$10:$G$52,MATCH($C26,'[2]SALES PERTYPE'!$B$10:$B$52,0)),0)</f>
        <v>15194000</v>
      </c>
      <c r="J26" s="182">
        <f>IFERROR(INDEX('[2]SALES PERTYPE'!$H$10:$H$52,MATCH($C26,'[2]SALES PERTYPE'!$B$10:$B$52,0)),0)</f>
        <v>0</v>
      </c>
      <c r="K26" s="182">
        <f>IFERROR(INDEX('[2]SALES PERTYPE'!$I$10:$I$52,MATCH($C26,'[2]SALES PERTYPE'!$B$10:$B$52,0)),0)</f>
        <v>0</v>
      </c>
      <c r="L26" s="182">
        <f>IFERROR(INDEX('[2]SALES PERTYPE'!$J$10:$J$52,MATCH($C26,'[2]SALES PERTYPE'!$B$10:$B$52,0)),0)</f>
        <v>3</v>
      </c>
      <c r="M26" s="182">
        <f>IFERROR(INDEX('[2]SALES PERTYPE'!$K$10:$K$52,MATCH($C26,'[2]SALES PERTYPE'!$B$10:$B$52,0)),0)</f>
        <v>6297000</v>
      </c>
      <c r="N26" s="182">
        <f>IFERROR(INDEX('[2]SALES PERTYPE'!$L$10:$L$52,MATCH($C26,'[2]SALES PERTYPE'!$B$10:$B$52,0)),0)</f>
        <v>2</v>
      </c>
      <c r="O26" s="182">
        <f>IFERROR(INDEX('[2]SALES PERTYPE'!$M$10:$M$52,MATCH($C26,'[2]SALES PERTYPE'!$B$10:$B$52,0)),0)</f>
        <v>18998000</v>
      </c>
      <c r="P26" s="182">
        <f>IFERROR(INDEX('[2]SALES PERTYPE'!$N$10:$N$52,MATCH($C26,'[2]SALES PERTYPE'!$B$10:$B$52,0)),0)</f>
        <v>2</v>
      </c>
      <c r="Q26" s="182">
        <f>IFERROR(INDEX('[2]SALES PERTYPE'!$O$10:$O$52,MATCH($C26,'[2]SALES PERTYPE'!$B$10:$B$52,0)),0)</f>
        <v>8798000</v>
      </c>
      <c r="R26" s="182">
        <f>IFERROR(INDEX('[2]SALES PERTYPE'!$P$10:$P$52,MATCH($C26,'[2]SALES PERTYPE'!$B$10:$B$52,0)),0)</f>
        <v>0</v>
      </c>
      <c r="S26" s="182">
        <f>IFERROR(INDEX('[2]SALES PERTYPE'!$Q$10:$Q$52,MATCH($C26,'[2]SALES PERTYPE'!$B$10:$B$52,0)),0)</f>
        <v>0</v>
      </c>
      <c r="T26" s="182">
        <f>IFERROR(INDEX('[2]SALES PERTYPE'!$R$10:$R$52,MATCH($C26,'[2]SALES PERTYPE'!$B$10:$B$52,0)),0)</f>
        <v>0</v>
      </c>
      <c r="U26" s="182">
        <f>IFERROR(INDEX('[2]SALES PERTYPE'!$S$10:$S$52,MATCH($C26,'[2]SALES PERTYPE'!$B$10:$B$52,0)),0)</f>
        <v>0</v>
      </c>
      <c r="V26" s="182">
        <f>IFERROR(INDEX('[2]SALES PERTYPE'!$T$10:$T$52,MATCH($C26,'[2]SALES PERTYPE'!$B$10:$B$52,0)),0)</f>
        <v>0</v>
      </c>
      <c r="W26" s="182">
        <f>IFERROR(INDEX('[2]SALES PERTYPE'!$U$10:$U$52,MATCH($C26,'[2]SALES PERTYPE'!$B$10:$B$52,0)),0)</f>
        <v>0</v>
      </c>
      <c r="X26" s="182">
        <f>IFERROR(INDEX('[2]SALES PERTYPE'!$V$10:$V$52,MATCH($C26,'[2]SALES PERTYPE'!$B$10:$B$52,0)),0)</f>
        <v>0</v>
      </c>
      <c r="Y26" s="182">
        <f>IFERROR(INDEX('[2]SALES PERTYPE'!$W$10:$W$52,MATCH($C26,'[2]SALES PERTYPE'!$B$10:$B$52,0)),0)</f>
        <v>0</v>
      </c>
      <c r="Z26" s="182">
        <f>IFERROR(INDEX('[2]SALES PERTYPE'!$X$10:$X$52,MATCH($C26,'[2]SALES PERTYPE'!$B$10:$B$52,0)),0)</f>
        <v>1</v>
      </c>
      <c r="AA26" s="182">
        <f>IFERROR(INDEX('[2]SALES PERTYPE'!$Y$10:$Y$52,MATCH($C26,'[2]SALES PERTYPE'!$B$10:$B$52,0)),0)</f>
        <v>5499000</v>
      </c>
      <c r="AB26" s="182">
        <f>IFERROR(INDEX('[2]SALES PERTYPE'!$Z$10:$Z$52,MATCH($C26,'[2]SALES PERTYPE'!$B$10:$B$52,0)),0)</f>
        <v>0</v>
      </c>
      <c r="AC26" s="182">
        <f>IFERROR(INDEX('[2]SALES PERTYPE'!$AA$10:$AA$52,MATCH($C26,'[2]SALES PERTYPE'!$B$10:$B$52,0)),0)</f>
        <v>0</v>
      </c>
      <c r="AD26" s="182">
        <f>IFERROR(INDEX('[2]SALES PERTYPE'!$AB$10:$AB$52,MATCH($C26,'[2]SALES PERTYPE'!$B$10:$B$52,0)),0)</f>
        <v>3</v>
      </c>
      <c r="AE26" s="182">
        <f>IFERROR(INDEX('[2]SALES PERTYPE'!$AC$10:$AC$52,MATCH($C26,'[2]SALES PERTYPE'!$B$10:$B$52,0)),0)</f>
        <v>16497000</v>
      </c>
      <c r="AF26" s="182">
        <f>IFERROR(INDEX('[2]SALES PERTYPE'!$AD$10:$AD$52,MATCH($C26,'[2]SALES PERTYPE'!$B$10:$B$52,0)),0)</f>
        <v>0</v>
      </c>
      <c r="AG26" s="182">
        <f>IFERROR(INDEX('[2]SALES PERTYPE'!$AE$10:$AE$52,MATCH($C26,'[2]SALES PERTYPE'!$B$10:$B$52,0)),0)</f>
        <v>0</v>
      </c>
      <c r="AH26" s="182">
        <f>IFERROR(INDEX('[2]SALES PERTYPE'!$AF$10:$AF$52,MATCH($C26,'[2]SALES PERTYPE'!$B$10:$B$52,0)),0)</f>
        <v>0</v>
      </c>
      <c r="AI26" s="182">
        <f>IFERROR(INDEX('[2]SALES PERTYPE'!$AG$10:$AG$52,MATCH($C26,'[2]SALES PERTYPE'!$B$10:$B$52,0)),0)</f>
        <v>0</v>
      </c>
      <c r="AJ26" s="182">
        <f>IFERROR(INDEX('[2]SALES PERTYPE'!$AH$10:$AH$52,MATCH($C26,'[2]SALES PERTYPE'!$B$10:$B$52,0)),0)</f>
        <v>0</v>
      </c>
      <c r="AK26" s="182">
        <f>IFERROR(INDEX('[2]SALES PERTYPE'!$AI$10:$AI$52,MATCH($C26,'[2]SALES PERTYPE'!$B$10:$B$52,0)),0)</f>
        <v>0</v>
      </c>
      <c r="AL26" s="182">
        <f>IFERROR(INDEX('[2]SALES PERTYPE'!$AJ$10:$AJ$52,MATCH($C26,'[2]SALES PERTYPE'!$B$10:$B$52,0)),0)</f>
        <v>0</v>
      </c>
      <c r="AM26" s="182">
        <f>IFERROR(INDEX('[2]SALES PERTYPE'!$AK$10:$AK$52,MATCH($C26,'[2]SALES PERTYPE'!$B$10:$B$52,0)),0)</f>
        <v>0</v>
      </c>
      <c r="AN26" s="182">
        <f>IFERROR(INDEX('[2]SALES PERTYPE'!$AL$10:$AL$52,MATCH($C26,'[2]SALES PERTYPE'!$B$10:$B$52,0)),0)</f>
        <v>19</v>
      </c>
      <c r="AO26" s="182">
        <f>IFERROR(INDEX('[2]SALES PERTYPE'!$AM$10:$AM$52,MATCH($C26,'[2]SALES PERTYPE'!$B$10:$B$52,0)),0)</f>
        <v>76181000</v>
      </c>
    </row>
    <row r="27" spans="1:41" x14ac:dyDescent="0.15">
      <c r="A27" s="181">
        <f>'[2]ACHIEVEMENT STORE'!A27</f>
        <v>23</v>
      </c>
      <c r="B27" s="180" t="str">
        <f>'[2]ACHIEVEMENT STORE'!B27</f>
        <v>624-万丹BANTEN</v>
      </c>
      <c r="C27" s="181">
        <f>'[2]ACHIEVEMENT STORE'!C27</f>
        <v>6240704</v>
      </c>
      <c r="D27" s="180" t="str">
        <f>'[2]ACHIEVEMENT STORE'!D27</f>
        <v>6240704-TANGCITY LG017 WEST LOBBY</v>
      </c>
      <c r="E27" s="180" t="str">
        <f>'[2]ACHIEVEMENT STORE'!E27</f>
        <v>ARIES FITRIYANTO</v>
      </c>
      <c r="F27" s="179">
        <f>IFERROR(INDEX('[2]SALES PERTYPE'!$D$10:$D$52,MATCH($C27,'[2]SALES PERTYPE'!$B$10:$B$52,0)),0)</f>
        <v>0</v>
      </c>
      <c r="G27" s="179">
        <f>IFERROR(INDEX('[2]SALES PERTYPE'!$E$10:$E$52,MATCH($C27,'[2]SALES PERTYPE'!$B$10:$B$52,0)),0)</f>
        <v>0</v>
      </c>
      <c r="H27" s="179">
        <f>IFERROR(INDEX('[2]SALES PERTYPE'!$F$10:$F$52,MATCH($C27,'[2]SALES PERTYPE'!$B$10:$B$52,0)),0)</f>
        <v>0</v>
      </c>
      <c r="I27" s="179">
        <f>IFERROR(INDEX('[2]SALES PERTYPE'!$G$10:$G$52,MATCH($C27,'[2]SALES PERTYPE'!$B$10:$B$52,0)),0)</f>
        <v>0</v>
      </c>
      <c r="J27" s="179">
        <f>IFERROR(INDEX('[2]SALES PERTYPE'!$H$10:$H$52,MATCH($C27,'[2]SALES PERTYPE'!$B$10:$B$52,0)),0)</f>
        <v>0</v>
      </c>
      <c r="K27" s="179">
        <f>IFERROR(INDEX('[2]SALES PERTYPE'!$I$10:$I$52,MATCH($C27,'[2]SALES PERTYPE'!$B$10:$B$52,0)),0)</f>
        <v>0</v>
      </c>
      <c r="L27" s="179">
        <f>IFERROR(INDEX('[2]SALES PERTYPE'!$J$10:$J$52,MATCH($C27,'[2]SALES PERTYPE'!$B$10:$B$52,0)),0)</f>
        <v>2</v>
      </c>
      <c r="M27" s="179">
        <f>IFERROR(INDEX('[2]SALES PERTYPE'!$K$10:$K$52,MATCH($C27,'[2]SALES PERTYPE'!$B$10:$B$52,0)),0)</f>
        <v>4198000</v>
      </c>
      <c r="N27" s="179">
        <f>IFERROR(INDEX('[2]SALES PERTYPE'!$L$10:$L$52,MATCH($C27,'[2]SALES PERTYPE'!$B$10:$B$52,0)),0)</f>
        <v>0</v>
      </c>
      <c r="O27" s="179">
        <f>IFERROR(INDEX('[2]SALES PERTYPE'!$M$10:$M$52,MATCH($C27,'[2]SALES PERTYPE'!$B$10:$B$52,0)),0)</f>
        <v>0</v>
      </c>
      <c r="P27" s="179">
        <f>IFERROR(INDEX('[2]SALES PERTYPE'!$N$10:$N$52,MATCH($C27,'[2]SALES PERTYPE'!$B$10:$B$52,0)),0)</f>
        <v>0</v>
      </c>
      <c r="Q27" s="179">
        <f>IFERROR(INDEX('[2]SALES PERTYPE'!$O$10:$O$52,MATCH($C27,'[2]SALES PERTYPE'!$B$10:$B$52,0)),0)</f>
        <v>0</v>
      </c>
      <c r="R27" s="179">
        <f>IFERROR(INDEX('[2]SALES PERTYPE'!$P$10:$P$52,MATCH($C27,'[2]SALES PERTYPE'!$B$10:$B$52,0)),0)</f>
        <v>0</v>
      </c>
      <c r="S27" s="179">
        <f>IFERROR(INDEX('[2]SALES PERTYPE'!$Q$10:$Q$52,MATCH($C27,'[2]SALES PERTYPE'!$B$10:$B$52,0)),0)</f>
        <v>0</v>
      </c>
      <c r="T27" s="179">
        <f>IFERROR(INDEX('[2]SALES PERTYPE'!$R$10:$R$52,MATCH($C27,'[2]SALES PERTYPE'!$B$10:$B$52,0)),0)</f>
        <v>0</v>
      </c>
      <c r="U27" s="179">
        <f>IFERROR(INDEX('[2]SALES PERTYPE'!$S$10:$S$52,MATCH($C27,'[2]SALES PERTYPE'!$B$10:$B$52,0)),0)</f>
        <v>0</v>
      </c>
      <c r="V27" s="179">
        <f>IFERROR(INDEX('[2]SALES PERTYPE'!$T$10:$T$52,MATCH($C27,'[2]SALES PERTYPE'!$B$10:$B$52,0)),0)</f>
        <v>0</v>
      </c>
      <c r="W27" s="179">
        <f>IFERROR(INDEX('[2]SALES PERTYPE'!$U$10:$U$52,MATCH($C27,'[2]SALES PERTYPE'!$B$10:$B$52,0)),0)</f>
        <v>0</v>
      </c>
      <c r="X27" s="179">
        <f>IFERROR(INDEX('[2]SALES PERTYPE'!$V$10:$V$52,MATCH($C27,'[2]SALES PERTYPE'!$B$10:$B$52,0)),0)</f>
        <v>0</v>
      </c>
      <c r="Y27" s="179">
        <f>IFERROR(INDEX('[2]SALES PERTYPE'!$W$10:$W$52,MATCH($C27,'[2]SALES PERTYPE'!$B$10:$B$52,0)),0)</f>
        <v>0</v>
      </c>
      <c r="Z27" s="179">
        <f>IFERROR(INDEX('[2]SALES PERTYPE'!$X$10:$X$52,MATCH($C27,'[2]SALES PERTYPE'!$B$10:$B$52,0)),0)</f>
        <v>0</v>
      </c>
      <c r="AA27" s="179">
        <f>IFERROR(INDEX('[2]SALES PERTYPE'!$Y$10:$Y$52,MATCH($C27,'[2]SALES PERTYPE'!$B$10:$B$52,0)),0)</f>
        <v>0</v>
      </c>
      <c r="AB27" s="179">
        <f>IFERROR(INDEX('[2]SALES PERTYPE'!$Z$10:$Z$52,MATCH($C27,'[2]SALES PERTYPE'!$B$10:$B$52,0)),0)</f>
        <v>0</v>
      </c>
      <c r="AC27" s="179">
        <f>IFERROR(INDEX('[2]SALES PERTYPE'!$AA$10:$AA$52,MATCH($C27,'[2]SALES PERTYPE'!$B$10:$B$52,0)),0)</f>
        <v>0</v>
      </c>
      <c r="AD27" s="179">
        <f>IFERROR(INDEX('[2]SALES PERTYPE'!$AB$10:$AB$52,MATCH($C27,'[2]SALES PERTYPE'!$B$10:$B$52,0)),0)</f>
        <v>0</v>
      </c>
      <c r="AE27" s="179">
        <f>IFERROR(INDEX('[2]SALES PERTYPE'!$AC$10:$AC$52,MATCH($C27,'[2]SALES PERTYPE'!$B$10:$B$52,0)),0)</f>
        <v>0</v>
      </c>
      <c r="AF27" s="179">
        <f>IFERROR(INDEX('[2]SALES PERTYPE'!$AD$10:$AD$52,MATCH($C27,'[2]SALES PERTYPE'!$B$10:$B$52,0)),0)</f>
        <v>0</v>
      </c>
      <c r="AG27" s="179">
        <f>IFERROR(INDEX('[2]SALES PERTYPE'!$AE$10:$AE$52,MATCH($C27,'[2]SALES PERTYPE'!$B$10:$B$52,0)),0)</f>
        <v>0</v>
      </c>
      <c r="AH27" s="179">
        <f>IFERROR(INDEX('[2]SALES PERTYPE'!$AF$10:$AF$52,MATCH($C27,'[2]SALES PERTYPE'!$B$10:$B$52,0)),0)</f>
        <v>0</v>
      </c>
      <c r="AI27" s="179">
        <f>IFERROR(INDEX('[2]SALES PERTYPE'!$AG$10:$AG$52,MATCH($C27,'[2]SALES PERTYPE'!$B$10:$B$52,0)),0)</f>
        <v>0</v>
      </c>
      <c r="AJ27" s="179">
        <f>IFERROR(INDEX('[2]SALES PERTYPE'!$AH$10:$AH$52,MATCH($C27,'[2]SALES PERTYPE'!$B$10:$B$52,0)),0)</f>
        <v>0</v>
      </c>
      <c r="AK27" s="179">
        <f>IFERROR(INDEX('[2]SALES PERTYPE'!$AI$10:$AI$52,MATCH($C27,'[2]SALES PERTYPE'!$B$10:$B$52,0)),0)</f>
        <v>0</v>
      </c>
      <c r="AL27" s="179">
        <f>IFERROR(INDEX('[2]SALES PERTYPE'!$AJ$10:$AJ$52,MATCH($C27,'[2]SALES PERTYPE'!$B$10:$B$52,0)),0)</f>
        <v>0</v>
      </c>
      <c r="AM27" s="179">
        <f>IFERROR(INDEX('[2]SALES PERTYPE'!$AK$10:$AK$52,MATCH($C27,'[2]SALES PERTYPE'!$B$10:$B$52,0)),0)</f>
        <v>0</v>
      </c>
      <c r="AN27" s="179">
        <f>IFERROR(INDEX('[2]SALES PERTYPE'!$AL$10:$AL$52,MATCH($C27,'[2]SALES PERTYPE'!$B$10:$B$52,0)),0)</f>
        <v>2</v>
      </c>
      <c r="AO27" s="179">
        <f>IFERROR(INDEX('[2]SALES PERTYPE'!$AM$10:$AM$52,MATCH($C27,'[2]SALES PERTYPE'!$B$10:$B$52,0)),0)</f>
        <v>4198000</v>
      </c>
    </row>
    <row r="28" spans="1:41" x14ac:dyDescent="0.15">
      <c r="A28" s="184">
        <f>'[2]ACHIEVEMENT STORE'!A28</f>
        <v>24</v>
      </c>
      <c r="B28" s="183" t="str">
        <f>'[2]ACHIEVEMENT STORE'!B28</f>
        <v>624-万丹BANTEN</v>
      </c>
      <c r="C28" s="184">
        <f>'[2]ACHIEVEMENT STORE'!C28</f>
        <v>6240701</v>
      </c>
      <c r="D28" s="183" t="str">
        <f>'[2]ACHIEVEMENT STORE'!D28</f>
        <v>A200803-LG BLOK A-B NO. 12 SKY 5</v>
      </c>
      <c r="E28" s="183" t="str">
        <f>'[2]ACHIEVEMENT STORE'!E28</f>
        <v>DHANI EKO NUGROHO</v>
      </c>
      <c r="F28" s="182">
        <f>IFERROR(INDEX('[2]SALES PERTYPE'!$D$10:$D$52,MATCH($C28,'[2]SALES PERTYPE'!$B$10:$B$52,0)),0)</f>
        <v>5</v>
      </c>
      <c r="G28" s="182">
        <f>IFERROR(INDEX('[2]SALES PERTYPE'!$E$10:$E$52,MATCH($C28,'[2]SALES PERTYPE'!$B$10:$B$52,0)),0)</f>
        <v>12695000</v>
      </c>
      <c r="H28" s="182">
        <f>IFERROR(INDEX('[2]SALES PERTYPE'!$F$10:$F$52,MATCH($C28,'[2]SALES PERTYPE'!$B$10:$B$52,0)),0)</f>
        <v>11</v>
      </c>
      <c r="I28" s="182">
        <f>IFERROR(INDEX('[2]SALES PERTYPE'!$G$10:$G$52,MATCH($C28,'[2]SALES PERTYPE'!$B$10:$B$52,0)),0)</f>
        <v>28789000</v>
      </c>
      <c r="J28" s="182">
        <f>IFERROR(INDEX('[2]SALES PERTYPE'!$H$10:$H$52,MATCH($C28,'[2]SALES PERTYPE'!$B$10:$B$52,0)),0)</f>
        <v>0</v>
      </c>
      <c r="K28" s="182">
        <f>IFERROR(INDEX('[2]SALES PERTYPE'!$I$10:$I$52,MATCH($C28,'[2]SALES PERTYPE'!$B$10:$B$52,0)),0)</f>
        <v>0</v>
      </c>
      <c r="L28" s="182">
        <f>IFERROR(INDEX('[2]SALES PERTYPE'!$J$10:$J$52,MATCH($C28,'[2]SALES PERTYPE'!$B$10:$B$52,0)),0)</f>
        <v>3</v>
      </c>
      <c r="M28" s="182">
        <f>IFERROR(INDEX('[2]SALES PERTYPE'!$K$10:$K$52,MATCH($C28,'[2]SALES PERTYPE'!$B$10:$B$52,0)),0)</f>
        <v>6297000</v>
      </c>
      <c r="N28" s="182">
        <f>IFERROR(INDEX('[2]SALES PERTYPE'!$L$10:$L$52,MATCH($C28,'[2]SALES PERTYPE'!$B$10:$B$52,0)),0)</f>
        <v>0</v>
      </c>
      <c r="O28" s="182">
        <f>IFERROR(INDEX('[2]SALES PERTYPE'!$M$10:$M$52,MATCH($C28,'[2]SALES PERTYPE'!$B$10:$B$52,0)),0)</f>
        <v>0</v>
      </c>
      <c r="P28" s="182">
        <f>IFERROR(INDEX('[2]SALES PERTYPE'!$N$10:$N$52,MATCH($C28,'[2]SALES PERTYPE'!$B$10:$B$52,0)),0)</f>
        <v>4</v>
      </c>
      <c r="Q28" s="182">
        <f>IFERROR(INDEX('[2]SALES PERTYPE'!$O$10:$O$52,MATCH($C28,'[2]SALES PERTYPE'!$B$10:$B$52,0)),0)</f>
        <v>18596000</v>
      </c>
      <c r="R28" s="182">
        <f>IFERROR(INDEX('[2]SALES PERTYPE'!$P$10:$P$52,MATCH($C28,'[2]SALES PERTYPE'!$B$10:$B$52,0)),0)</f>
        <v>0</v>
      </c>
      <c r="S28" s="182">
        <f>IFERROR(INDEX('[2]SALES PERTYPE'!$Q$10:$Q$52,MATCH($C28,'[2]SALES PERTYPE'!$B$10:$B$52,0)),0)</f>
        <v>0</v>
      </c>
      <c r="T28" s="182">
        <f>IFERROR(INDEX('[2]SALES PERTYPE'!$R$10:$R$52,MATCH($C28,'[2]SALES PERTYPE'!$B$10:$B$52,0)),0)</f>
        <v>1</v>
      </c>
      <c r="U28" s="182">
        <f>IFERROR(INDEX('[2]SALES PERTYPE'!$S$10:$S$52,MATCH($C28,'[2]SALES PERTYPE'!$B$10:$B$52,0)),0)</f>
        <v>3599000</v>
      </c>
      <c r="V28" s="182">
        <f>IFERROR(INDEX('[2]SALES PERTYPE'!$T$10:$T$52,MATCH($C28,'[2]SALES PERTYPE'!$B$10:$B$52,0)),0)</f>
        <v>1</v>
      </c>
      <c r="W28" s="182">
        <f>IFERROR(INDEX('[2]SALES PERTYPE'!$U$10:$U$52,MATCH($C28,'[2]SALES PERTYPE'!$B$10:$B$52,0)),0)</f>
        <v>6499000</v>
      </c>
      <c r="X28" s="182">
        <f>IFERROR(INDEX('[2]SALES PERTYPE'!$V$10:$V$52,MATCH($C28,'[2]SALES PERTYPE'!$B$10:$B$52,0)),0)</f>
        <v>0</v>
      </c>
      <c r="Y28" s="182">
        <f>IFERROR(INDEX('[2]SALES PERTYPE'!$W$10:$W$52,MATCH($C28,'[2]SALES PERTYPE'!$B$10:$B$52,0)),0)</f>
        <v>0</v>
      </c>
      <c r="Z28" s="182">
        <f>IFERROR(INDEX('[2]SALES PERTYPE'!$X$10:$X$52,MATCH($C28,'[2]SALES PERTYPE'!$B$10:$B$52,0)),0)</f>
        <v>1</v>
      </c>
      <c r="AA28" s="182">
        <f>IFERROR(INDEX('[2]SALES PERTYPE'!$Y$10:$Y$52,MATCH($C28,'[2]SALES PERTYPE'!$B$10:$B$52,0)),0)</f>
        <v>6299000</v>
      </c>
      <c r="AB28" s="182">
        <f>IFERROR(INDEX('[2]SALES PERTYPE'!$Z$10:$Z$52,MATCH($C28,'[2]SALES PERTYPE'!$B$10:$B$52,0)),0)</f>
        <v>0</v>
      </c>
      <c r="AC28" s="182">
        <f>IFERROR(INDEX('[2]SALES PERTYPE'!$AA$10:$AA$52,MATCH($C28,'[2]SALES PERTYPE'!$B$10:$B$52,0)),0)</f>
        <v>0</v>
      </c>
      <c r="AD28" s="182">
        <f>IFERROR(INDEX('[2]SALES PERTYPE'!$AB$10:$AB$52,MATCH($C28,'[2]SALES PERTYPE'!$B$10:$B$52,0)),0)</f>
        <v>0</v>
      </c>
      <c r="AE28" s="182">
        <f>IFERROR(INDEX('[2]SALES PERTYPE'!$AC$10:$AC$52,MATCH($C28,'[2]SALES PERTYPE'!$B$10:$B$52,0)),0)</f>
        <v>0</v>
      </c>
      <c r="AF28" s="182">
        <f>IFERROR(INDEX('[2]SALES PERTYPE'!$AD$10:$AD$52,MATCH($C28,'[2]SALES PERTYPE'!$B$10:$B$52,0)),0)</f>
        <v>0</v>
      </c>
      <c r="AG28" s="182">
        <f>IFERROR(INDEX('[2]SALES PERTYPE'!$AE$10:$AE$52,MATCH($C28,'[2]SALES PERTYPE'!$B$10:$B$52,0)),0)</f>
        <v>0</v>
      </c>
      <c r="AH28" s="182">
        <f>IFERROR(INDEX('[2]SALES PERTYPE'!$AF$10:$AF$52,MATCH($C28,'[2]SALES PERTYPE'!$B$10:$B$52,0)),0)</f>
        <v>0</v>
      </c>
      <c r="AI28" s="182">
        <f>IFERROR(INDEX('[2]SALES PERTYPE'!$AG$10:$AG$52,MATCH($C28,'[2]SALES PERTYPE'!$B$10:$B$52,0)),0)</f>
        <v>0</v>
      </c>
      <c r="AJ28" s="182">
        <f>IFERROR(INDEX('[2]SALES PERTYPE'!$AH$10:$AH$52,MATCH($C28,'[2]SALES PERTYPE'!$B$10:$B$52,0)),0)</f>
        <v>0</v>
      </c>
      <c r="AK28" s="182">
        <f>IFERROR(INDEX('[2]SALES PERTYPE'!$AI$10:$AI$52,MATCH($C28,'[2]SALES PERTYPE'!$B$10:$B$52,0)),0)</f>
        <v>0</v>
      </c>
      <c r="AL28" s="182">
        <f>IFERROR(INDEX('[2]SALES PERTYPE'!$AJ$10:$AJ$52,MATCH($C28,'[2]SALES PERTYPE'!$B$10:$B$52,0)),0)</f>
        <v>0</v>
      </c>
      <c r="AM28" s="182">
        <f>IFERROR(INDEX('[2]SALES PERTYPE'!$AK$10:$AK$52,MATCH($C28,'[2]SALES PERTYPE'!$B$10:$B$52,0)),0)</f>
        <v>0</v>
      </c>
      <c r="AN28" s="182">
        <f>IFERROR(INDEX('[2]SALES PERTYPE'!$AL$10:$AL$52,MATCH($C28,'[2]SALES PERTYPE'!$B$10:$B$52,0)),0)</f>
        <v>26</v>
      </c>
      <c r="AO28" s="182">
        <f>IFERROR(INDEX('[2]SALES PERTYPE'!$AM$10:$AM$52,MATCH($C28,'[2]SALES PERTYPE'!$B$10:$B$52,0)),0)</f>
        <v>82774000</v>
      </c>
    </row>
    <row r="29" spans="1:41" x14ac:dyDescent="0.15">
      <c r="A29" s="181">
        <f>'[2]ACHIEVEMENT STORE'!A29</f>
        <v>25</v>
      </c>
      <c r="B29" s="180" t="str">
        <f>'[2]ACHIEVEMENT STORE'!B29</f>
        <v>624-万丹BANTEN</v>
      </c>
      <c r="C29" s="181">
        <f>'[2]ACHIEVEMENT STORE'!C29</f>
        <v>6170706</v>
      </c>
      <c r="D29" s="180" t="str">
        <f>'[2]ACHIEVEMENT STORE'!D29</f>
        <v>A200802-CHARLES</v>
      </c>
      <c r="E29" s="180" t="str">
        <f>'[2]ACHIEVEMENT STORE'!E29</f>
        <v>DHANI EKO NUGROHO</v>
      </c>
      <c r="F29" s="179">
        <f>IFERROR(INDEX('[2]SALES PERTYPE'!$D$10:$D$52,MATCH($C29,'[2]SALES PERTYPE'!$B$10:$B$52,0)),0)</f>
        <v>4</v>
      </c>
      <c r="G29" s="179">
        <f>IFERROR(INDEX('[2]SALES PERTYPE'!$E$10:$E$52,MATCH($C29,'[2]SALES PERTYPE'!$B$10:$B$52,0)),0)</f>
        <v>9796000</v>
      </c>
      <c r="H29" s="179">
        <f>IFERROR(INDEX('[2]SALES PERTYPE'!$F$10:$F$52,MATCH($C29,'[2]SALES PERTYPE'!$B$10:$B$52,0)),0)</f>
        <v>10</v>
      </c>
      <c r="I29" s="179">
        <f>IFERROR(INDEX('[2]SALES PERTYPE'!$G$10:$G$52,MATCH($C29,'[2]SALES PERTYPE'!$B$10:$B$52,0)),0)</f>
        <v>27590000</v>
      </c>
      <c r="J29" s="179">
        <f>IFERROR(INDEX('[2]SALES PERTYPE'!$H$10:$H$52,MATCH($C29,'[2]SALES PERTYPE'!$B$10:$B$52,0)),0)</f>
        <v>0</v>
      </c>
      <c r="K29" s="179">
        <f>IFERROR(INDEX('[2]SALES PERTYPE'!$I$10:$I$52,MATCH($C29,'[2]SALES PERTYPE'!$B$10:$B$52,0)),0)</f>
        <v>0</v>
      </c>
      <c r="L29" s="179">
        <f>IFERROR(INDEX('[2]SALES PERTYPE'!$J$10:$J$52,MATCH($C29,'[2]SALES PERTYPE'!$B$10:$B$52,0)),0)</f>
        <v>4</v>
      </c>
      <c r="M29" s="179">
        <f>IFERROR(INDEX('[2]SALES PERTYPE'!$K$10:$K$52,MATCH($C29,'[2]SALES PERTYPE'!$B$10:$B$52,0)),0)</f>
        <v>8396000</v>
      </c>
      <c r="N29" s="179">
        <f>IFERROR(INDEX('[2]SALES PERTYPE'!$L$10:$L$52,MATCH($C29,'[2]SALES PERTYPE'!$B$10:$B$52,0)),0)</f>
        <v>0</v>
      </c>
      <c r="O29" s="179">
        <f>IFERROR(INDEX('[2]SALES PERTYPE'!$M$10:$M$52,MATCH($C29,'[2]SALES PERTYPE'!$B$10:$B$52,0)),0)</f>
        <v>0</v>
      </c>
      <c r="P29" s="179">
        <f>IFERROR(INDEX('[2]SALES PERTYPE'!$N$10:$N$52,MATCH($C29,'[2]SALES PERTYPE'!$B$10:$B$52,0)),0)</f>
        <v>2</v>
      </c>
      <c r="Q29" s="179">
        <f>IFERROR(INDEX('[2]SALES PERTYPE'!$O$10:$O$52,MATCH($C29,'[2]SALES PERTYPE'!$B$10:$B$52,0)),0)</f>
        <v>7798000</v>
      </c>
      <c r="R29" s="179">
        <f>IFERROR(INDEX('[2]SALES PERTYPE'!$P$10:$P$52,MATCH($C29,'[2]SALES PERTYPE'!$B$10:$B$52,0)),0)</f>
        <v>0</v>
      </c>
      <c r="S29" s="179">
        <f>IFERROR(INDEX('[2]SALES PERTYPE'!$Q$10:$Q$52,MATCH($C29,'[2]SALES PERTYPE'!$B$10:$B$52,0)),0)</f>
        <v>0</v>
      </c>
      <c r="T29" s="179">
        <f>IFERROR(INDEX('[2]SALES PERTYPE'!$R$10:$R$52,MATCH($C29,'[2]SALES PERTYPE'!$B$10:$B$52,0)),0)</f>
        <v>0</v>
      </c>
      <c r="U29" s="179">
        <f>IFERROR(INDEX('[2]SALES PERTYPE'!$S$10:$S$52,MATCH($C29,'[2]SALES PERTYPE'!$B$10:$B$52,0)),0)</f>
        <v>0</v>
      </c>
      <c r="V29" s="179">
        <f>IFERROR(INDEX('[2]SALES PERTYPE'!$T$10:$T$52,MATCH($C29,'[2]SALES PERTYPE'!$B$10:$B$52,0)),0)</f>
        <v>1</v>
      </c>
      <c r="W29" s="179">
        <f>IFERROR(INDEX('[2]SALES PERTYPE'!$U$10:$U$52,MATCH($C29,'[2]SALES PERTYPE'!$B$10:$B$52,0)),0)</f>
        <v>7199000</v>
      </c>
      <c r="X29" s="179">
        <f>IFERROR(INDEX('[2]SALES PERTYPE'!$V$10:$V$52,MATCH($C29,'[2]SALES PERTYPE'!$B$10:$B$52,0)),0)</f>
        <v>0</v>
      </c>
      <c r="Y29" s="179">
        <f>IFERROR(INDEX('[2]SALES PERTYPE'!$W$10:$W$52,MATCH($C29,'[2]SALES PERTYPE'!$B$10:$B$52,0)),0)</f>
        <v>0</v>
      </c>
      <c r="Z29" s="179">
        <f>IFERROR(INDEX('[2]SALES PERTYPE'!$X$10:$X$52,MATCH($C29,'[2]SALES PERTYPE'!$B$10:$B$52,0)),0)</f>
        <v>1</v>
      </c>
      <c r="AA29" s="179">
        <f>IFERROR(INDEX('[2]SALES PERTYPE'!$Y$10:$Y$52,MATCH($C29,'[2]SALES PERTYPE'!$B$10:$B$52,0)),0)</f>
        <v>6299000</v>
      </c>
      <c r="AB29" s="179">
        <f>IFERROR(INDEX('[2]SALES PERTYPE'!$Z$10:$Z$52,MATCH($C29,'[2]SALES PERTYPE'!$B$10:$B$52,0)),0)</f>
        <v>0</v>
      </c>
      <c r="AC29" s="179">
        <f>IFERROR(INDEX('[2]SALES PERTYPE'!$AA$10:$AA$52,MATCH($C29,'[2]SALES PERTYPE'!$B$10:$B$52,0)),0)</f>
        <v>0</v>
      </c>
      <c r="AD29" s="179">
        <f>IFERROR(INDEX('[2]SALES PERTYPE'!$AB$10:$AB$52,MATCH($C29,'[2]SALES PERTYPE'!$B$10:$B$52,0)),0)</f>
        <v>0</v>
      </c>
      <c r="AE29" s="179">
        <f>IFERROR(INDEX('[2]SALES PERTYPE'!$AC$10:$AC$52,MATCH($C29,'[2]SALES PERTYPE'!$B$10:$B$52,0)),0)</f>
        <v>0</v>
      </c>
      <c r="AF29" s="179">
        <f>IFERROR(INDEX('[2]SALES PERTYPE'!$AD$10:$AD$52,MATCH($C29,'[2]SALES PERTYPE'!$B$10:$B$52,0)),0)</f>
        <v>0</v>
      </c>
      <c r="AG29" s="179">
        <f>IFERROR(INDEX('[2]SALES PERTYPE'!$AE$10:$AE$52,MATCH($C29,'[2]SALES PERTYPE'!$B$10:$B$52,0)),0)</f>
        <v>0</v>
      </c>
      <c r="AH29" s="179">
        <f>IFERROR(INDEX('[2]SALES PERTYPE'!$AF$10:$AF$52,MATCH($C29,'[2]SALES PERTYPE'!$B$10:$B$52,0)),0)</f>
        <v>0</v>
      </c>
      <c r="AI29" s="179">
        <f>IFERROR(INDEX('[2]SALES PERTYPE'!$AG$10:$AG$52,MATCH($C29,'[2]SALES PERTYPE'!$B$10:$B$52,0)),0)</f>
        <v>0</v>
      </c>
      <c r="AJ29" s="179">
        <f>IFERROR(INDEX('[2]SALES PERTYPE'!$AH$10:$AH$52,MATCH($C29,'[2]SALES PERTYPE'!$B$10:$B$52,0)),0)</f>
        <v>0</v>
      </c>
      <c r="AK29" s="179">
        <f>IFERROR(INDEX('[2]SALES PERTYPE'!$AI$10:$AI$52,MATCH($C29,'[2]SALES PERTYPE'!$B$10:$B$52,0)),0)</f>
        <v>0</v>
      </c>
      <c r="AL29" s="179">
        <f>IFERROR(INDEX('[2]SALES PERTYPE'!$AJ$10:$AJ$52,MATCH($C29,'[2]SALES PERTYPE'!$B$10:$B$52,0)),0)</f>
        <v>0</v>
      </c>
      <c r="AM29" s="179">
        <f>IFERROR(INDEX('[2]SALES PERTYPE'!$AK$10:$AK$52,MATCH($C29,'[2]SALES PERTYPE'!$B$10:$B$52,0)),0)</f>
        <v>0</v>
      </c>
      <c r="AN29" s="179">
        <f>IFERROR(INDEX('[2]SALES PERTYPE'!$AL$10:$AL$52,MATCH($C29,'[2]SALES PERTYPE'!$B$10:$B$52,0)),0)</f>
        <v>22</v>
      </c>
      <c r="AO29" s="179">
        <f>IFERROR(INDEX('[2]SALES PERTYPE'!$AM$10:$AM$52,MATCH($C29,'[2]SALES PERTYPE'!$B$10:$B$52,0)),0)</f>
        <v>67078000</v>
      </c>
    </row>
    <row r="30" spans="1:41" x14ac:dyDescent="0.15">
      <c r="A30" s="184">
        <f>'[2]ACHIEVEMENT STORE'!A30</f>
        <v>26</v>
      </c>
      <c r="B30" s="183" t="str">
        <f>'[2]ACHIEVEMENT STORE'!B30</f>
        <v>624-万丹BANTEN</v>
      </c>
      <c r="C30" s="184">
        <f>'[2]ACHIEVEMENT STORE'!C30</f>
        <v>6240703</v>
      </c>
      <c r="D30" s="183" t="str">
        <f>'[2]ACHIEVEMENT STORE'!D30</f>
        <v>6240703-TANGCITY LG009 CENTER</v>
      </c>
      <c r="E30" s="183" t="str">
        <f>'[2]ACHIEVEMENT STORE'!E30</f>
        <v>DHANI EKO NUGROHO</v>
      </c>
      <c r="F30" s="182">
        <f>IFERROR(INDEX('[2]SALES PERTYPE'!$D$10:$D$52,MATCH($C30,'[2]SALES PERTYPE'!$B$10:$B$52,0)),0)</f>
        <v>4</v>
      </c>
      <c r="G30" s="182">
        <f>IFERROR(INDEX('[2]SALES PERTYPE'!$E$10:$E$52,MATCH($C30,'[2]SALES PERTYPE'!$B$10:$B$52,0)),0)</f>
        <v>9796000</v>
      </c>
      <c r="H30" s="182">
        <f>IFERROR(INDEX('[2]SALES PERTYPE'!$F$10:$F$52,MATCH($C30,'[2]SALES PERTYPE'!$B$10:$B$52,0)),0)</f>
        <v>3</v>
      </c>
      <c r="I30" s="182">
        <f>IFERROR(INDEX('[2]SALES PERTYPE'!$G$10:$G$52,MATCH($C30,'[2]SALES PERTYPE'!$B$10:$B$52,0)),0)</f>
        <v>7997000</v>
      </c>
      <c r="J30" s="182">
        <f>IFERROR(INDEX('[2]SALES PERTYPE'!$H$10:$H$52,MATCH($C30,'[2]SALES PERTYPE'!$B$10:$B$52,0)),0)</f>
        <v>0</v>
      </c>
      <c r="K30" s="182">
        <f>IFERROR(INDEX('[2]SALES PERTYPE'!$I$10:$I$52,MATCH($C30,'[2]SALES PERTYPE'!$B$10:$B$52,0)),0)</f>
        <v>0</v>
      </c>
      <c r="L30" s="182">
        <f>IFERROR(INDEX('[2]SALES PERTYPE'!$J$10:$J$52,MATCH($C30,'[2]SALES PERTYPE'!$B$10:$B$52,0)),0)</f>
        <v>1</v>
      </c>
      <c r="M30" s="182">
        <f>IFERROR(INDEX('[2]SALES PERTYPE'!$K$10:$K$52,MATCH($C30,'[2]SALES PERTYPE'!$B$10:$B$52,0)),0)</f>
        <v>2099000</v>
      </c>
      <c r="N30" s="182">
        <f>IFERROR(INDEX('[2]SALES PERTYPE'!$L$10:$L$52,MATCH($C30,'[2]SALES PERTYPE'!$B$10:$B$52,0)),0)</f>
        <v>1</v>
      </c>
      <c r="O30" s="182">
        <f>IFERROR(INDEX('[2]SALES PERTYPE'!$M$10:$M$52,MATCH($C30,'[2]SALES PERTYPE'!$B$10:$B$52,0)),0)</f>
        <v>9999000</v>
      </c>
      <c r="P30" s="182">
        <f>IFERROR(INDEX('[2]SALES PERTYPE'!$N$10:$N$52,MATCH($C30,'[2]SALES PERTYPE'!$B$10:$B$52,0)),0)</f>
        <v>4</v>
      </c>
      <c r="Q30" s="182">
        <f>IFERROR(INDEX('[2]SALES PERTYPE'!$O$10:$O$52,MATCH($C30,'[2]SALES PERTYPE'!$B$10:$B$52,0)),0)</f>
        <v>15996000</v>
      </c>
      <c r="R30" s="182">
        <f>IFERROR(INDEX('[2]SALES PERTYPE'!$P$10:$P$52,MATCH($C30,'[2]SALES PERTYPE'!$B$10:$B$52,0)),0)</f>
        <v>0</v>
      </c>
      <c r="S30" s="182">
        <f>IFERROR(INDEX('[2]SALES PERTYPE'!$Q$10:$Q$52,MATCH($C30,'[2]SALES PERTYPE'!$B$10:$B$52,0)),0)</f>
        <v>0</v>
      </c>
      <c r="T30" s="182">
        <f>IFERROR(INDEX('[2]SALES PERTYPE'!$R$10:$R$52,MATCH($C30,'[2]SALES PERTYPE'!$B$10:$B$52,0)),0)</f>
        <v>0</v>
      </c>
      <c r="U30" s="182">
        <f>IFERROR(INDEX('[2]SALES PERTYPE'!$S$10:$S$52,MATCH($C30,'[2]SALES PERTYPE'!$B$10:$B$52,0)),0)</f>
        <v>0</v>
      </c>
      <c r="V30" s="182">
        <f>IFERROR(INDEX('[2]SALES PERTYPE'!$T$10:$T$52,MATCH($C30,'[2]SALES PERTYPE'!$B$10:$B$52,0)),0)</f>
        <v>0</v>
      </c>
      <c r="W30" s="182">
        <f>IFERROR(INDEX('[2]SALES PERTYPE'!$U$10:$U$52,MATCH($C30,'[2]SALES PERTYPE'!$B$10:$B$52,0)),0)</f>
        <v>0</v>
      </c>
      <c r="X30" s="182">
        <f>IFERROR(INDEX('[2]SALES PERTYPE'!$V$10:$V$52,MATCH($C30,'[2]SALES PERTYPE'!$B$10:$B$52,0)),0)</f>
        <v>1</v>
      </c>
      <c r="Y30" s="182">
        <f>IFERROR(INDEX('[2]SALES PERTYPE'!$W$10:$W$52,MATCH($C30,'[2]SALES PERTYPE'!$B$10:$B$52,0)),0)</f>
        <v>3599000</v>
      </c>
      <c r="Z30" s="182">
        <f>IFERROR(INDEX('[2]SALES PERTYPE'!$X$10:$X$52,MATCH($C30,'[2]SALES PERTYPE'!$B$10:$B$52,0)),0)</f>
        <v>0</v>
      </c>
      <c r="AA30" s="182">
        <f>IFERROR(INDEX('[2]SALES PERTYPE'!$Y$10:$Y$52,MATCH($C30,'[2]SALES PERTYPE'!$B$10:$B$52,0)),0)</f>
        <v>0</v>
      </c>
      <c r="AB30" s="182">
        <f>IFERROR(INDEX('[2]SALES PERTYPE'!$Z$10:$Z$52,MATCH($C30,'[2]SALES PERTYPE'!$B$10:$B$52,0)),0)</f>
        <v>0</v>
      </c>
      <c r="AC30" s="182">
        <f>IFERROR(INDEX('[2]SALES PERTYPE'!$AA$10:$AA$52,MATCH($C30,'[2]SALES PERTYPE'!$B$10:$B$52,0)),0)</f>
        <v>0</v>
      </c>
      <c r="AD30" s="182">
        <f>IFERROR(INDEX('[2]SALES PERTYPE'!$AB$10:$AB$52,MATCH($C30,'[2]SALES PERTYPE'!$B$10:$B$52,0)),0)</f>
        <v>1</v>
      </c>
      <c r="AE30" s="182">
        <f>IFERROR(INDEX('[2]SALES PERTYPE'!$AC$10:$AC$52,MATCH($C30,'[2]SALES PERTYPE'!$B$10:$B$52,0)),0)</f>
        <v>5899000</v>
      </c>
      <c r="AF30" s="182">
        <f>IFERROR(INDEX('[2]SALES PERTYPE'!$AD$10:$AD$52,MATCH($C30,'[2]SALES PERTYPE'!$B$10:$B$52,0)),0)</f>
        <v>1</v>
      </c>
      <c r="AG30" s="182">
        <f>IFERROR(INDEX('[2]SALES PERTYPE'!$AE$10:$AE$52,MATCH($C30,'[2]SALES PERTYPE'!$B$10:$B$52,0)),0)</f>
        <v>25999000</v>
      </c>
      <c r="AH30" s="182">
        <f>IFERROR(INDEX('[2]SALES PERTYPE'!$AF$10:$AF$52,MATCH($C30,'[2]SALES PERTYPE'!$B$10:$B$52,0)),0)</f>
        <v>0</v>
      </c>
      <c r="AI30" s="182">
        <f>IFERROR(INDEX('[2]SALES PERTYPE'!$AG$10:$AG$52,MATCH($C30,'[2]SALES PERTYPE'!$B$10:$B$52,0)),0)</f>
        <v>0</v>
      </c>
      <c r="AJ30" s="182">
        <f>IFERROR(INDEX('[2]SALES PERTYPE'!$AH$10:$AH$52,MATCH($C30,'[2]SALES PERTYPE'!$B$10:$B$52,0)),0)</f>
        <v>0</v>
      </c>
      <c r="AK30" s="182">
        <f>IFERROR(INDEX('[2]SALES PERTYPE'!$AI$10:$AI$52,MATCH($C30,'[2]SALES PERTYPE'!$B$10:$B$52,0)),0)</f>
        <v>0</v>
      </c>
      <c r="AL30" s="182">
        <f>IFERROR(INDEX('[2]SALES PERTYPE'!$AJ$10:$AJ$52,MATCH($C30,'[2]SALES PERTYPE'!$B$10:$B$52,0)),0)</f>
        <v>1</v>
      </c>
      <c r="AM30" s="182">
        <f>IFERROR(INDEX('[2]SALES PERTYPE'!$AK$10:$AK$52,MATCH($C30,'[2]SALES PERTYPE'!$B$10:$B$52,0)),0)</f>
        <v>7999000</v>
      </c>
      <c r="AN30" s="182">
        <f>IFERROR(INDEX('[2]SALES PERTYPE'!$AL$10:$AL$52,MATCH($C30,'[2]SALES PERTYPE'!$B$10:$B$52,0)),0)</f>
        <v>17</v>
      </c>
      <c r="AO30" s="182">
        <f>IFERROR(INDEX('[2]SALES PERTYPE'!$AM$10:$AM$52,MATCH($C30,'[2]SALES PERTYPE'!$B$10:$B$52,0)),0)</f>
        <v>89383000</v>
      </c>
    </row>
    <row r="31" spans="1:41" x14ac:dyDescent="0.15">
      <c r="A31" s="181">
        <f>'[2]ACHIEVEMENT STORE'!A31</f>
        <v>27</v>
      </c>
      <c r="B31" s="180" t="str">
        <f>'[2]ACHIEVEMENT STORE'!B31</f>
        <v>624-万丹BANTEN</v>
      </c>
      <c r="C31" s="181">
        <f>'[2]ACHIEVEMENT STORE'!C31</f>
        <v>6170703</v>
      </c>
      <c r="D31" s="180" t="str">
        <f>'[2]ACHIEVEMENT STORE'!D31</f>
        <v>6170703-4004 MVS-BNT-CCM STORE</v>
      </c>
      <c r="E31" s="180" t="str">
        <f>'[2]ACHIEVEMENT STORE'!E31</f>
        <v>DWI IRAWAN ( PIC )</v>
      </c>
      <c r="F31" s="179">
        <f>IFERROR(INDEX('[2]SALES PERTYPE'!$D$10:$D$52,MATCH($C31,'[2]SALES PERTYPE'!$B$10:$B$52,0)),0)</f>
        <v>0</v>
      </c>
      <c r="G31" s="179">
        <f>IFERROR(INDEX('[2]SALES PERTYPE'!$E$10:$E$52,MATCH($C31,'[2]SALES PERTYPE'!$B$10:$B$52,0)),0)</f>
        <v>0</v>
      </c>
      <c r="H31" s="179">
        <f>IFERROR(INDEX('[2]SALES PERTYPE'!$F$10:$F$52,MATCH($C31,'[2]SALES PERTYPE'!$B$10:$B$52,0)),0)</f>
        <v>1</v>
      </c>
      <c r="I31" s="179">
        <f>IFERROR(INDEX('[2]SALES PERTYPE'!$G$10:$G$52,MATCH($C31,'[2]SALES PERTYPE'!$B$10:$B$52,0)),0)</f>
        <v>2399000</v>
      </c>
      <c r="J31" s="179">
        <f>IFERROR(INDEX('[2]SALES PERTYPE'!$H$10:$H$52,MATCH($C31,'[2]SALES PERTYPE'!$B$10:$B$52,0)),0)</f>
        <v>0</v>
      </c>
      <c r="K31" s="179">
        <f>IFERROR(INDEX('[2]SALES PERTYPE'!$I$10:$I$52,MATCH($C31,'[2]SALES PERTYPE'!$B$10:$B$52,0)),0)</f>
        <v>0</v>
      </c>
      <c r="L31" s="179">
        <f>IFERROR(INDEX('[2]SALES PERTYPE'!$J$10:$J$52,MATCH($C31,'[2]SALES PERTYPE'!$B$10:$B$52,0)),0)</f>
        <v>0</v>
      </c>
      <c r="M31" s="179">
        <f>IFERROR(INDEX('[2]SALES PERTYPE'!$K$10:$K$52,MATCH($C31,'[2]SALES PERTYPE'!$B$10:$B$52,0)),0)</f>
        <v>0</v>
      </c>
      <c r="N31" s="179">
        <f>IFERROR(INDEX('[2]SALES PERTYPE'!$L$10:$L$52,MATCH($C31,'[2]SALES PERTYPE'!$B$10:$B$52,0)),0)</f>
        <v>1</v>
      </c>
      <c r="O31" s="179">
        <f>IFERROR(INDEX('[2]SALES PERTYPE'!$M$10:$M$52,MATCH($C31,'[2]SALES PERTYPE'!$B$10:$B$52,0)),0)</f>
        <v>9999000</v>
      </c>
      <c r="P31" s="179">
        <f>IFERROR(INDEX('[2]SALES PERTYPE'!$N$10:$N$52,MATCH($C31,'[2]SALES PERTYPE'!$B$10:$B$52,0)),0)</f>
        <v>0</v>
      </c>
      <c r="Q31" s="179">
        <f>IFERROR(INDEX('[2]SALES PERTYPE'!$O$10:$O$52,MATCH($C31,'[2]SALES PERTYPE'!$B$10:$B$52,0)),0)</f>
        <v>0</v>
      </c>
      <c r="R31" s="179">
        <f>IFERROR(INDEX('[2]SALES PERTYPE'!$P$10:$P$52,MATCH($C31,'[2]SALES PERTYPE'!$B$10:$B$52,0)),0)</f>
        <v>0</v>
      </c>
      <c r="S31" s="179">
        <f>IFERROR(INDEX('[2]SALES PERTYPE'!$Q$10:$Q$52,MATCH($C31,'[2]SALES PERTYPE'!$B$10:$B$52,0)),0)</f>
        <v>0</v>
      </c>
      <c r="T31" s="179">
        <f>IFERROR(INDEX('[2]SALES PERTYPE'!$R$10:$R$52,MATCH($C31,'[2]SALES PERTYPE'!$B$10:$B$52,0)),0)</f>
        <v>0</v>
      </c>
      <c r="U31" s="179">
        <f>IFERROR(INDEX('[2]SALES PERTYPE'!$S$10:$S$52,MATCH($C31,'[2]SALES PERTYPE'!$B$10:$B$52,0)),0)</f>
        <v>0</v>
      </c>
      <c r="V31" s="179">
        <f>IFERROR(INDEX('[2]SALES PERTYPE'!$T$10:$T$52,MATCH($C31,'[2]SALES PERTYPE'!$B$10:$B$52,0)),0)</f>
        <v>1</v>
      </c>
      <c r="W31" s="179">
        <f>IFERROR(INDEX('[2]SALES PERTYPE'!$U$10:$U$52,MATCH($C31,'[2]SALES PERTYPE'!$B$10:$B$52,0)),0)</f>
        <v>6999000</v>
      </c>
      <c r="X31" s="179">
        <f>IFERROR(INDEX('[2]SALES PERTYPE'!$V$10:$V$52,MATCH($C31,'[2]SALES PERTYPE'!$B$10:$B$52,0)),0)</f>
        <v>0</v>
      </c>
      <c r="Y31" s="179">
        <f>IFERROR(INDEX('[2]SALES PERTYPE'!$W$10:$W$52,MATCH($C31,'[2]SALES PERTYPE'!$B$10:$B$52,0)),0)</f>
        <v>0</v>
      </c>
      <c r="Z31" s="179">
        <f>IFERROR(INDEX('[2]SALES PERTYPE'!$X$10:$X$52,MATCH($C31,'[2]SALES PERTYPE'!$B$10:$B$52,0)),0)</f>
        <v>0</v>
      </c>
      <c r="AA31" s="179">
        <f>IFERROR(INDEX('[2]SALES PERTYPE'!$Y$10:$Y$52,MATCH($C31,'[2]SALES PERTYPE'!$B$10:$B$52,0)),0)</f>
        <v>0</v>
      </c>
      <c r="AB31" s="179">
        <f>IFERROR(INDEX('[2]SALES PERTYPE'!$Z$10:$Z$52,MATCH($C31,'[2]SALES PERTYPE'!$B$10:$B$52,0)),0)</f>
        <v>0</v>
      </c>
      <c r="AC31" s="179">
        <f>IFERROR(INDEX('[2]SALES PERTYPE'!$AA$10:$AA$52,MATCH($C31,'[2]SALES PERTYPE'!$B$10:$B$52,0)),0)</f>
        <v>0</v>
      </c>
      <c r="AD31" s="179">
        <f>IFERROR(INDEX('[2]SALES PERTYPE'!$AB$10:$AB$52,MATCH($C31,'[2]SALES PERTYPE'!$B$10:$B$52,0)),0)</f>
        <v>0</v>
      </c>
      <c r="AE31" s="179">
        <f>IFERROR(INDEX('[2]SALES PERTYPE'!$AC$10:$AC$52,MATCH($C31,'[2]SALES PERTYPE'!$B$10:$B$52,0)),0)</f>
        <v>0</v>
      </c>
      <c r="AF31" s="179">
        <f>IFERROR(INDEX('[2]SALES PERTYPE'!$AD$10:$AD$52,MATCH($C31,'[2]SALES PERTYPE'!$B$10:$B$52,0)),0)</f>
        <v>0</v>
      </c>
      <c r="AG31" s="179">
        <f>IFERROR(INDEX('[2]SALES PERTYPE'!$AE$10:$AE$52,MATCH($C31,'[2]SALES PERTYPE'!$B$10:$B$52,0)),0)</f>
        <v>0</v>
      </c>
      <c r="AH31" s="179">
        <f>IFERROR(INDEX('[2]SALES PERTYPE'!$AF$10:$AF$52,MATCH($C31,'[2]SALES PERTYPE'!$B$10:$B$52,0)),0)</f>
        <v>0</v>
      </c>
      <c r="AI31" s="179">
        <f>IFERROR(INDEX('[2]SALES PERTYPE'!$AG$10:$AG$52,MATCH($C31,'[2]SALES PERTYPE'!$B$10:$B$52,0)),0)</f>
        <v>0</v>
      </c>
      <c r="AJ31" s="179">
        <f>IFERROR(INDEX('[2]SALES PERTYPE'!$AH$10:$AH$52,MATCH($C31,'[2]SALES PERTYPE'!$B$10:$B$52,0)),0)</f>
        <v>0</v>
      </c>
      <c r="AK31" s="179">
        <f>IFERROR(INDEX('[2]SALES PERTYPE'!$AI$10:$AI$52,MATCH($C31,'[2]SALES PERTYPE'!$B$10:$B$52,0)),0)</f>
        <v>0</v>
      </c>
      <c r="AL31" s="179">
        <f>IFERROR(INDEX('[2]SALES PERTYPE'!$AJ$10:$AJ$52,MATCH($C31,'[2]SALES PERTYPE'!$B$10:$B$52,0)),0)</f>
        <v>1</v>
      </c>
      <c r="AM31" s="179">
        <f>IFERROR(INDEX('[2]SALES PERTYPE'!$AK$10:$AK$52,MATCH($C31,'[2]SALES PERTYPE'!$B$10:$B$52,0)),0)</f>
        <v>6899000</v>
      </c>
      <c r="AN31" s="179">
        <f>IFERROR(INDEX('[2]SALES PERTYPE'!$AL$10:$AL$52,MATCH($C31,'[2]SALES PERTYPE'!$B$10:$B$52,0)),0)</f>
        <v>4</v>
      </c>
      <c r="AO31" s="179">
        <f>IFERROR(INDEX('[2]SALES PERTYPE'!$AM$10:$AM$52,MATCH($C31,'[2]SALES PERTYPE'!$B$10:$B$52,0)),0)</f>
        <v>26296000</v>
      </c>
    </row>
    <row r="32" spans="1:41" x14ac:dyDescent="0.15">
      <c r="A32" s="184">
        <f>'[2]ACHIEVEMENT STORE'!A32</f>
        <v>28</v>
      </c>
      <c r="B32" s="183" t="str">
        <f>'[2]ACHIEVEMENT STORE'!B32</f>
        <v>624-万丹BANTEN</v>
      </c>
      <c r="C32" s="184">
        <f>'[2]ACHIEVEMENT STORE'!C32</f>
        <v>6240705</v>
      </c>
      <c r="D32" s="183" t="str">
        <f>'[2]ACHIEVEMENT STORE'!D32</f>
        <v>6240705-CIPUTRA 2FC15</v>
      </c>
      <c r="E32" s="183" t="str">
        <f>'[2]ACHIEVEMENT STORE'!E32</f>
        <v>DHANI EKO NUGROHO</v>
      </c>
      <c r="F32" s="182">
        <f>IFERROR(INDEX('[2]SALES PERTYPE'!$D$10:$D$52,MATCH($C32,'[2]SALES PERTYPE'!$B$10:$B$52,0)),0)</f>
        <v>1</v>
      </c>
      <c r="G32" s="182">
        <f>IFERROR(INDEX('[2]SALES PERTYPE'!$E$10:$E$52,MATCH($C32,'[2]SALES PERTYPE'!$B$10:$B$52,0)),0)</f>
        <v>2599000</v>
      </c>
      <c r="H32" s="182">
        <f>IFERROR(INDEX('[2]SALES PERTYPE'!$F$10:$F$52,MATCH($C32,'[2]SALES PERTYPE'!$B$10:$B$52,0)),0)</f>
        <v>1</v>
      </c>
      <c r="I32" s="182">
        <f>IFERROR(INDEX('[2]SALES PERTYPE'!$G$10:$G$52,MATCH($C32,'[2]SALES PERTYPE'!$B$10:$B$52,0)),0)</f>
        <v>2799000</v>
      </c>
      <c r="J32" s="182">
        <f>IFERROR(INDEX('[2]SALES PERTYPE'!$H$10:$H$52,MATCH($C32,'[2]SALES PERTYPE'!$B$10:$B$52,0)),0)</f>
        <v>0</v>
      </c>
      <c r="K32" s="182">
        <f>IFERROR(INDEX('[2]SALES PERTYPE'!$I$10:$I$52,MATCH($C32,'[2]SALES PERTYPE'!$B$10:$B$52,0)),0)</f>
        <v>0</v>
      </c>
      <c r="L32" s="182">
        <f>IFERROR(INDEX('[2]SALES PERTYPE'!$J$10:$J$52,MATCH($C32,'[2]SALES PERTYPE'!$B$10:$B$52,0)),0)</f>
        <v>1</v>
      </c>
      <c r="M32" s="182">
        <f>IFERROR(INDEX('[2]SALES PERTYPE'!$K$10:$K$52,MATCH($C32,'[2]SALES PERTYPE'!$B$10:$B$52,0)),0)</f>
        <v>2099000</v>
      </c>
      <c r="N32" s="182">
        <f>IFERROR(INDEX('[2]SALES PERTYPE'!$L$10:$L$52,MATCH($C32,'[2]SALES PERTYPE'!$B$10:$B$52,0)),0)</f>
        <v>1</v>
      </c>
      <c r="O32" s="182">
        <f>IFERROR(INDEX('[2]SALES PERTYPE'!$M$10:$M$52,MATCH($C32,'[2]SALES PERTYPE'!$B$10:$B$52,0)),0)</f>
        <v>9999000</v>
      </c>
      <c r="P32" s="182">
        <f>IFERROR(INDEX('[2]SALES PERTYPE'!$N$10:$N$52,MATCH($C32,'[2]SALES PERTYPE'!$B$10:$B$52,0)),0)</f>
        <v>1</v>
      </c>
      <c r="Q32" s="182">
        <f>IFERROR(INDEX('[2]SALES PERTYPE'!$O$10:$O$52,MATCH($C32,'[2]SALES PERTYPE'!$B$10:$B$52,0)),0)</f>
        <v>4299000</v>
      </c>
      <c r="R32" s="182">
        <f>IFERROR(INDEX('[2]SALES PERTYPE'!$P$10:$P$52,MATCH($C32,'[2]SALES PERTYPE'!$B$10:$B$52,0)),0)</f>
        <v>0</v>
      </c>
      <c r="S32" s="182">
        <f>IFERROR(INDEX('[2]SALES PERTYPE'!$Q$10:$Q$52,MATCH($C32,'[2]SALES PERTYPE'!$B$10:$B$52,0)),0)</f>
        <v>0</v>
      </c>
      <c r="T32" s="182">
        <f>IFERROR(INDEX('[2]SALES PERTYPE'!$R$10:$R$52,MATCH($C32,'[2]SALES PERTYPE'!$B$10:$B$52,0)),0)</f>
        <v>0</v>
      </c>
      <c r="U32" s="182">
        <f>IFERROR(INDEX('[2]SALES PERTYPE'!$S$10:$S$52,MATCH($C32,'[2]SALES PERTYPE'!$B$10:$B$52,0)),0)</f>
        <v>0</v>
      </c>
      <c r="V32" s="182">
        <f>IFERROR(INDEX('[2]SALES PERTYPE'!$T$10:$T$52,MATCH($C32,'[2]SALES PERTYPE'!$B$10:$B$52,0)),0)</f>
        <v>1</v>
      </c>
      <c r="W32" s="182">
        <f>IFERROR(INDEX('[2]SALES PERTYPE'!$U$10:$U$52,MATCH($C32,'[2]SALES PERTYPE'!$B$10:$B$52,0)),0)</f>
        <v>6499000</v>
      </c>
      <c r="X32" s="182">
        <f>IFERROR(INDEX('[2]SALES PERTYPE'!$V$10:$V$52,MATCH($C32,'[2]SALES PERTYPE'!$B$10:$B$52,0)),0)</f>
        <v>0</v>
      </c>
      <c r="Y32" s="182">
        <f>IFERROR(INDEX('[2]SALES PERTYPE'!$W$10:$W$52,MATCH($C32,'[2]SALES PERTYPE'!$B$10:$B$52,0)),0)</f>
        <v>0</v>
      </c>
      <c r="Z32" s="182">
        <f>IFERROR(INDEX('[2]SALES PERTYPE'!$X$10:$X$52,MATCH($C32,'[2]SALES PERTYPE'!$B$10:$B$52,0)),0)</f>
        <v>1</v>
      </c>
      <c r="AA32" s="182">
        <f>IFERROR(INDEX('[2]SALES PERTYPE'!$Y$10:$Y$52,MATCH($C32,'[2]SALES PERTYPE'!$B$10:$B$52,0)),0)</f>
        <v>5499000</v>
      </c>
      <c r="AB32" s="182">
        <f>IFERROR(INDEX('[2]SALES PERTYPE'!$Z$10:$Z$52,MATCH($C32,'[2]SALES PERTYPE'!$B$10:$B$52,0)),0)</f>
        <v>0</v>
      </c>
      <c r="AC32" s="182">
        <f>IFERROR(INDEX('[2]SALES PERTYPE'!$AA$10:$AA$52,MATCH($C32,'[2]SALES PERTYPE'!$B$10:$B$52,0)),0)</f>
        <v>0</v>
      </c>
      <c r="AD32" s="182">
        <f>IFERROR(INDEX('[2]SALES PERTYPE'!$AB$10:$AB$52,MATCH($C32,'[2]SALES PERTYPE'!$B$10:$B$52,0)),0)</f>
        <v>0</v>
      </c>
      <c r="AE32" s="182">
        <f>IFERROR(INDEX('[2]SALES PERTYPE'!$AC$10:$AC$52,MATCH($C32,'[2]SALES PERTYPE'!$B$10:$B$52,0)),0)</f>
        <v>0</v>
      </c>
      <c r="AF32" s="182">
        <f>IFERROR(INDEX('[2]SALES PERTYPE'!$AD$10:$AD$52,MATCH($C32,'[2]SALES PERTYPE'!$B$10:$B$52,0)),0)</f>
        <v>0</v>
      </c>
      <c r="AG32" s="182">
        <f>IFERROR(INDEX('[2]SALES PERTYPE'!$AE$10:$AE$52,MATCH($C32,'[2]SALES PERTYPE'!$B$10:$B$52,0)),0)</f>
        <v>0</v>
      </c>
      <c r="AH32" s="182">
        <f>IFERROR(INDEX('[2]SALES PERTYPE'!$AF$10:$AF$52,MATCH($C32,'[2]SALES PERTYPE'!$B$10:$B$52,0)),0)</f>
        <v>0</v>
      </c>
      <c r="AI32" s="182">
        <f>IFERROR(INDEX('[2]SALES PERTYPE'!$AG$10:$AG$52,MATCH($C32,'[2]SALES PERTYPE'!$B$10:$B$52,0)),0)</f>
        <v>0</v>
      </c>
      <c r="AJ32" s="182">
        <f>IFERROR(INDEX('[2]SALES PERTYPE'!$AH$10:$AH$52,MATCH($C32,'[2]SALES PERTYPE'!$B$10:$B$52,0)),0)</f>
        <v>0</v>
      </c>
      <c r="AK32" s="182">
        <f>IFERROR(INDEX('[2]SALES PERTYPE'!$AI$10:$AI$52,MATCH($C32,'[2]SALES PERTYPE'!$B$10:$B$52,0)),0)</f>
        <v>0</v>
      </c>
      <c r="AL32" s="182">
        <f>IFERROR(INDEX('[2]SALES PERTYPE'!$AJ$10:$AJ$52,MATCH($C32,'[2]SALES PERTYPE'!$B$10:$B$52,0)),0)</f>
        <v>3</v>
      </c>
      <c r="AM32" s="182">
        <f>IFERROR(INDEX('[2]SALES PERTYPE'!$AK$10:$AK$52,MATCH($C32,'[2]SALES PERTYPE'!$B$10:$B$52,0)),0)</f>
        <v>22197000</v>
      </c>
      <c r="AN32" s="182">
        <f>IFERROR(INDEX('[2]SALES PERTYPE'!$AL$10:$AL$52,MATCH($C32,'[2]SALES PERTYPE'!$B$10:$B$52,0)),0)</f>
        <v>10</v>
      </c>
      <c r="AO32" s="182">
        <f>IFERROR(INDEX('[2]SALES PERTYPE'!$AM$10:$AM$52,MATCH($C32,'[2]SALES PERTYPE'!$B$10:$B$52,0)),0)</f>
        <v>55990000</v>
      </c>
    </row>
    <row r="33" spans="1:41" x14ac:dyDescent="0.15">
      <c r="A33" s="181">
        <f>'[2]ACHIEVEMENT STORE'!A33</f>
        <v>29</v>
      </c>
      <c r="B33" s="180" t="str">
        <f>'[2]ACHIEVEMENT STORE'!B33</f>
        <v>624-万丹BANTEN</v>
      </c>
      <c r="C33" s="181">
        <f>'[2]ACHIEVEMENT STORE'!C33</f>
        <v>6240709</v>
      </c>
      <c r="D33" s="180" t="str">
        <f>'[2]ACHIEVEMENT STORE'!D33</f>
        <v>6240709-ITC BSD 1F49-50</v>
      </c>
      <c r="E33" s="180" t="str">
        <f>'[2]ACHIEVEMENT STORE'!E33</f>
        <v>ARIES FITRIYANTO</v>
      </c>
      <c r="F33" s="179">
        <f>IFERROR(INDEX('[2]SALES PERTYPE'!$D$10:$D$52,MATCH($C33,'[2]SALES PERTYPE'!$B$10:$B$52,0)),0)</f>
        <v>1</v>
      </c>
      <c r="G33" s="179">
        <f>IFERROR(INDEX('[2]SALES PERTYPE'!$E$10:$E$52,MATCH($C33,'[2]SALES PERTYPE'!$B$10:$B$52,0)),0)</f>
        <v>2299000</v>
      </c>
      <c r="H33" s="179">
        <f>IFERROR(INDEX('[2]SALES PERTYPE'!$F$10:$F$52,MATCH($C33,'[2]SALES PERTYPE'!$B$10:$B$52,0)),0)</f>
        <v>1</v>
      </c>
      <c r="I33" s="179">
        <f>IFERROR(INDEX('[2]SALES PERTYPE'!$G$10:$G$52,MATCH($C33,'[2]SALES PERTYPE'!$B$10:$B$52,0)),0)</f>
        <v>2399000</v>
      </c>
      <c r="J33" s="179">
        <f>IFERROR(INDEX('[2]SALES PERTYPE'!$H$10:$H$52,MATCH($C33,'[2]SALES PERTYPE'!$B$10:$B$52,0)),0)</f>
        <v>0</v>
      </c>
      <c r="K33" s="179">
        <f>IFERROR(INDEX('[2]SALES PERTYPE'!$I$10:$I$52,MATCH($C33,'[2]SALES PERTYPE'!$B$10:$B$52,0)),0)</f>
        <v>0</v>
      </c>
      <c r="L33" s="179">
        <f>IFERROR(INDEX('[2]SALES PERTYPE'!$J$10:$J$52,MATCH($C33,'[2]SALES PERTYPE'!$B$10:$B$52,0)),0)</f>
        <v>0</v>
      </c>
      <c r="M33" s="179">
        <f>IFERROR(INDEX('[2]SALES PERTYPE'!$K$10:$K$52,MATCH($C33,'[2]SALES PERTYPE'!$B$10:$B$52,0)),0)</f>
        <v>0</v>
      </c>
      <c r="N33" s="179">
        <f>IFERROR(INDEX('[2]SALES PERTYPE'!$L$10:$L$52,MATCH($C33,'[2]SALES PERTYPE'!$B$10:$B$52,0)),0)</f>
        <v>0</v>
      </c>
      <c r="O33" s="179">
        <f>IFERROR(INDEX('[2]SALES PERTYPE'!$M$10:$M$52,MATCH($C33,'[2]SALES PERTYPE'!$B$10:$B$52,0)),0)</f>
        <v>0</v>
      </c>
      <c r="P33" s="179">
        <f>IFERROR(INDEX('[2]SALES PERTYPE'!$N$10:$N$52,MATCH($C33,'[2]SALES PERTYPE'!$B$10:$B$52,0)),0)</f>
        <v>2</v>
      </c>
      <c r="Q33" s="179">
        <f>IFERROR(INDEX('[2]SALES PERTYPE'!$O$10:$O$52,MATCH($C33,'[2]SALES PERTYPE'!$B$10:$B$52,0)),0)</f>
        <v>8198000</v>
      </c>
      <c r="R33" s="179">
        <f>IFERROR(INDEX('[2]SALES PERTYPE'!$P$10:$P$52,MATCH($C33,'[2]SALES PERTYPE'!$B$10:$B$52,0)),0)</f>
        <v>0</v>
      </c>
      <c r="S33" s="179">
        <f>IFERROR(INDEX('[2]SALES PERTYPE'!$Q$10:$Q$52,MATCH($C33,'[2]SALES PERTYPE'!$B$10:$B$52,0)),0)</f>
        <v>0</v>
      </c>
      <c r="T33" s="179">
        <f>IFERROR(INDEX('[2]SALES PERTYPE'!$R$10:$R$52,MATCH($C33,'[2]SALES PERTYPE'!$B$10:$B$52,0)),0)</f>
        <v>0</v>
      </c>
      <c r="U33" s="179">
        <f>IFERROR(INDEX('[2]SALES PERTYPE'!$S$10:$S$52,MATCH($C33,'[2]SALES PERTYPE'!$B$10:$B$52,0)),0)</f>
        <v>0</v>
      </c>
      <c r="V33" s="179">
        <f>IFERROR(INDEX('[2]SALES PERTYPE'!$T$10:$T$52,MATCH($C33,'[2]SALES PERTYPE'!$B$10:$B$52,0)),0)</f>
        <v>1</v>
      </c>
      <c r="W33" s="179">
        <f>IFERROR(INDEX('[2]SALES PERTYPE'!$U$10:$U$52,MATCH($C33,'[2]SALES PERTYPE'!$B$10:$B$52,0)),0)</f>
        <v>6499000</v>
      </c>
      <c r="X33" s="179">
        <f>IFERROR(INDEX('[2]SALES PERTYPE'!$V$10:$V$52,MATCH($C33,'[2]SALES PERTYPE'!$B$10:$B$52,0)),0)</f>
        <v>0</v>
      </c>
      <c r="Y33" s="179">
        <f>IFERROR(INDEX('[2]SALES PERTYPE'!$W$10:$W$52,MATCH($C33,'[2]SALES PERTYPE'!$B$10:$B$52,0)),0)</f>
        <v>0</v>
      </c>
      <c r="Z33" s="179">
        <f>IFERROR(INDEX('[2]SALES PERTYPE'!$X$10:$X$52,MATCH($C33,'[2]SALES PERTYPE'!$B$10:$B$52,0)),0)</f>
        <v>1</v>
      </c>
      <c r="AA33" s="179">
        <f>IFERROR(INDEX('[2]SALES PERTYPE'!$Y$10:$Y$52,MATCH($C33,'[2]SALES PERTYPE'!$B$10:$B$52,0)),0)</f>
        <v>5499000</v>
      </c>
      <c r="AB33" s="179">
        <f>IFERROR(INDEX('[2]SALES PERTYPE'!$Z$10:$Z$52,MATCH($C33,'[2]SALES PERTYPE'!$B$10:$B$52,0)),0)</f>
        <v>0</v>
      </c>
      <c r="AC33" s="179">
        <f>IFERROR(INDEX('[2]SALES PERTYPE'!$AA$10:$AA$52,MATCH($C33,'[2]SALES PERTYPE'!$B$10:$B$52,0)),0)</f>
        <v>0</v>
      </c>
      <c r="AD33" s="179">
        <f>IFERROR(INDEX('[2]SALES PERTYPE'!$AB$10:$AB$52,MATCH($C33,'[2]SALES PERTYPE'!$B$10:$B$52,0)),0)</f>
        <v>0</v>
      </c>
      <c r="AE33" s="179">
        <f>IFERROR(INDEX('[2]SALES PERTYPE'!$AC$10:$AC$52,MATCH($C33,'[2]SALES PERTYPE'!$B$10:$B$52,0)),0)</f>
        <v>0</v>
      </c>
      <c r="AF33" s="179">
        <f>IFERROR(INDEX('[2]SALES PERTYPE'!$AD$10:$AD$52,MATCH($C33,'[2]SALES PERTYPE'!$B$10:$B$52,0)),0)</f>
        <v>0</v>
      </c>
      <c r="AG33" s="179">
        <f>IFERROR(INDEX('[2]SALES PERTYPE'!$AE$10:$AE$52,MATCH($C33,'[2]SALES PERTYPE'!$B$10:$B$52,0)),0)</f>
        <v>0</v>
      </c>
      <c r="AH33" s="179">
        <f>IFERROR(INDEX('[2]SALES PERTYPE'!$AF$10:$AF$52,MATCH($C33,'[2]SALES PERTYPE'!$B$10:$B$52,0)),0)</f>
        <v>0</v>
      </c>
      <c r="AI33" s="179">
        <f>IFERROR(INDEX('[2]SALES PERTYPE'!$AG$10:$AG$52,MATCH($C33,'[2]SALES PERTYPE'!$B$10:$B$52,0)),0)</f>
        <v>0</v>
      </c>
      <c r="AJ33" s="179">
        <f>IFERROR(INDEX('[2]SALES PERTYPE'!$AH$10:$AH$52,MATCH($C33,'[2]SALES PERTYPE'!$B$10:$B$52,0)),0)</f>
        <v>0</v>
      </c>
      <c r="AK33" s="179">
        <f>IFERROR(INDEX('[2]SALES PERTYPE'!$AI$10:$AI$52,MATCH($C33,'[2]SALES PERTYPE'!$B$10:$B$52,0)),0)</f>
        <v>0</v>
      </c>
      <c r="AL33" s="179">
        <f>IFERROR(INDEX('[2]SALES PERTYPE'!$AJ$10:$AJ$52,MATCH($C33,'[2]SALES PERTYPE'!$B$10:$B$52,0)),0)</f>
        <v>0</v>
      </c>
      <c r="AM33" s="179">
        <f>IFERROR(INDEX('[2]SALES PERTYPE'!$AK$10:$AK$52,MATCH($C33,'[2]SALES PERTYPE'!$B$10:$B$52,0)),0)</f>
        <v>0</v>
      </c>
      <c r="AN33" s="179">
        <f>IFERROR(INDEX('[2]SALES PERTYPE'!$AL$10:$AL$52,MATCH($C33,'[2]SALES PERTYPE'!$B$10:$B$52,0)),0)</f>
        <v>6</v>
      </c>
      <c r="AO33" s="179">
        <f>IFERROR(INDEX('[2]SALES PERTYPE'!$AM$10:$AM$52,MATCH($C33,'[2]SALES PERTYPE'!$B$10:$B$52,0)),0)</f>
        <v>24894000</v>
      </c>
    </row>
    <row r="34" spans="1:41" x14ac:dyDescent="0.15">
      <c r="A34" s="184">
        <f>'[2]ACHIEVEMENT STORE'!A34</f>
        <v>30</v>
      </c>
      <c r="B34" s="183" t="str">
        <f>'[2]ACHIEVEMENT STORE'!B34</f>
        <v>624-万丹BANTEN</v>
      </c>
      <c r="C34" s="184">
        <f>'[2]ACHIEVEMENT STORE'!C34</f>
        <v>6240708</v>
      </c>
      <c r="D34" s="183" t="str">
        <f>'[2]ACHIEVEMENT STORE'!D34</f>
        <v>6240708-ITC BSD 1F09-14</v>
      </c>
      <c r="E34" s="183" t="str">
        <f>'[2]ACHIEVEMENT STORE'!E34</f>
        <v>ARIES FITRIYANTO</v>
      </c>
      <c r="F34" s="182">
        <f>IFERROR(INDEX('[2]SALES PERTYPE'!$D$10:$D$52,MATCH($C34,'[2]SALES PERTYPE'!$B$10:$B$52,0)),0)</f>
        <v>0</v>
      </c>
      <c r="G34" s="182">
        <f>IFERROR(INDEX('[2]SALES PERTYPE'!$E$10:$E$52,MATCH($C34,'[2]SALES PERTYPE'!$B$10:$B$52,0)),0)</f>
        <v>0</v>
      </c>
      <c r="H34" s="182">
        <f>IFERROR(INDEX('[2]SALES PERTYPE'!$F$10:$F$52,MATCH($C34,'[2]SALES PERTYPE'!$B$10:$B$52,0)),0)</f>
        <v>2</v>
      </c>
      <c r="I34" s="182">
        <f>IFERROR(INDEX('[2]SALES PERTYPE'!$G$10:$G$52,MATCH($C34,'[2]SALES PERTYPE'!$B$10:$B$52,0)),0)</f>
        <v>5598000</v>
      </c>
      <c r="J34" s="182">
        <f>IFERROR(INDEX('[2]SALES PERTYPE'!$H$10:$H$52,MATCH($C34,'[2]SALES PERTYPE'!$B$10:$B$52,0)),0)</f>
        <v>0</v>
      </c>
      <c r="K34" s="182">
        <f>IFERROR(INDEX('[2]SALES PERTYPE'!$I$10:$I$52,MATCH($C34,'[2]SALES PERTYPE'!$B$10:$B$52,0)),0)</f>
        <v>0</v>
      </c>
      <c r="L34" s="182">
        <f>IFERROR(INDEX('[2]SALES PERTYPE'!$J$10:$J$52,MATCH($C34,'[2]SALES PERTYPE'!$B$10:$B$52,0)),0)</f>
        <v>1</v>
      </c>
      <c r="M34" s="182">
        <f>IFERROR(INDEX('[2]SALES PERTYPE'!$K$10:$K$52,MATCH($C34,'[2]SALES PERTYPE'!$B$10:$B$52,0)),0)</f>
        <v>2099000</v>
      </c>
      <c r="N34" s="182">
        <f>IFERROR(INDEX('[2]SALES PERTYPE'!$L$10:$L$52,MATCH($C34,'[2]SALES PERTYPE'!$B$10:$B$52,0)),0)</f>
        <v>0</v>
      </c>
      <c r="O34" s="182">
        <f>IFERROR(INDEX('[2]SALES PERTYPE'!$M$10:$M$52,MATCH($C34,'[2]SALES PERTYPE'!$B$10:$B$52,0)),0)</f>
        <v>0</v>
      </c>
      <c r="P34" s="182">
        <f>IFERROR(INDEX('[2]SALES PERTYPE'!$N$10:$N$52,MATCH($C34,'[2]SALES PERTYPE'!$B$10:$B$52,0)),0)</f>
        <v>1</v>
      </c>
      <c r="Q34" s="182">
        <f>IFERROR(INDEX('[2]SALES PERTYPE'!$O$10:$O$52,MATCH($C34,'[2]SALES PERTYPE'!$B$10:$B$52,0)),0)</f>
        <v>3899000</v>
      </c>
      <c r="R34" s="182">
        <f>IFERROR(INDEX('[2]SALES PERTYPE'!$P$10:$P$52,MATCH($C34,'[2]SALES PERTYPE'!$B$10:$B$52,0)),0)</f>
        <v>1</v>
      </c>
      <c r="S34" s="182">
        <f>IFERROR(INDEX('[2]SALES PERTYPE'!$Q$10:$Q$52,MATCH($C34,'[2]SALES PERTYPE'!$B$10:$B$52,0)),0)</f>
        <v>3599000</v>
      </c>
      <c r="T34" s="182">
        <f>IFERROR(INDEX('[2]SALES PERTYPE'!$R$10:$R$52,MATCH($C34,'[2]SALES PERTYPE'!$B$10:$B$52,0)),0)</f>
        <v>0</v>
      </c>
      <c r="U34" s="182">
        <f>IFERROR(INDEX('[2]SALES PERTYPE'!$S$10:$S$52,MATCH($C34,'[2]SALES PERTYPE'!$B$10:$B$52,0)),0)</f>
        <v>0</v>
      </c>
      <c r="V34" s="182">
        <f>IFERROR(INDEX('[2]SALES PERTYPE'!$T$10:$T$52,MATCH($C34,'[2]SALES PERTYPE'!$B$10:$B$52,0)),0)</f>
        <v>1</v>
      </c>
      <c r="W34" s="182">
        <f>IFERROR(INDEX('[2]SALES PERTYPE'!$U$10:$U$52,MATCH($C34,'[2]SALES PERTYPE'!$B$10:$B$52,0)),0)</f>
        <v>7999000</v>
      </c>
      <c r="X34" s="182">
        <f>IFERROR(INDEX('[2]SALES PERTYPE'!$V$10:$V$52,MATCH($C34,'[2]SALES PERTYPE'!$B$10:$B$52,0)),0)</f>
        <v>0</v>
      </c>
      <c r="Y34" s="182">
        <f>IFERROR(INDEX('[2]SALES PERTYPE'!$W$10:$W$52,MATCH($C34,'[2]SALES PERTYPE'!$B$10:$B$52,0)),0)</f>
        <v>0</v>
      </c>
      <c r="Z34" s="182">
        <f>IFERROR(INDEX('[2]SALES PERTYPE'!$X$10:$X$52,MATCH($C34,'[2]SALES PERTYPE'!$B$10:$B$52,0)),0)</f>
        <v>0</v>
      </c>
      <c r="AA34" s="182">
        <f>IFERROR(INDEX('[2]SALES PERTYPE'!$Y$10:$Y$52,MATCH($C34,'[2]SALES PERTYPE'!$B$10:$B$52,0)),0)</f>
        <v>0</v>
      </c>
      <c r="AB34" s="182">
        <f>IFERROR(INDEX('[2]SALES PERTYPE'!$Z$10:$Z$52,MATCH($C34,'[2]SALES PERTYPE'!$B$10:$B$52,0)),0)</f>
        <v>0</v>
      </c>
      <c r="AC34" s="182">
        <f>IFERROR(INDEX('[2]SALES PERTYPE'!$AA$10:$AA$52,MATCH($C34,'[2]SALES PERTYPE'!$B$10:$B$52,0)),0)</f>
        <v>0</v>
      </c>
      <c r="AD34" s="182">
        <f>IFERROR(INDEX('[2]SALES PERTYPE'!$AB$10:$AB$52,MATCH($C34,'[2]SALES PERTYPE'!$B$10:$B$52,0)),0)</f>
        <v>0</v>
      </c>
      <c r="AE34" s="182">
        <f>IFERROR(INDEX('[2]SALES PERTYPE'!$AC$10:$AC$52,MATCH($C34,'[2]SALES PERTYPE'!$B$10:$B$52,0)),0)</f>
        <v>0</v>
      </c>
      <c r="AF34" s="182">
        <f>IFERROR(INDEX('[2]SALES PERTYPE'!$AD$10:$AD$52,MATCH($C34,'[2]SALES PERTYPE'!$B$10:$B$52,0)),0)</f>
        <v>0</v>
      </c>
      <c r="AG34" s="182">
        <f>IFERROR(INDEX('[2]SALES PERTYPE'!$AE$10:$AE$52,MATCH($C34,'[2]SALES PERTYPE'!$B$10:$B$52,0)),0)</f>
        <v>0</v>
      </c>
      <c r="AH34" s="182">
        <f>IFERROR(INDEX('[2]SALES PERTYPE'!$AF$10:$AF$52,MATCH($C34,'[2]SALES PERTYPE'!$B$10:$B$52,0)),0)</f>
        <v>0</v>
      </c>
      <c r="AI34" s="182">
        <f>IFERROR(INDEX('[2]SALES PERTYPE'!$AG$10:$AG$52,MATCH($C34,'[2]SALES PERTYPE'!$B$10:$B$52,0)),0)</f>
        <v>0</v>
      </c>
      <c r="AJ34" s="182">
        <f>IFERROR(INDEX('[2]SALES PERTYPE'!$AH$10:$AH$52,MATCH($C34,'[2]SALES PERTYPE'!$B$10:$B$52,0)),0)</f>
        <v>0</v>
      </c>
      <c r="AK34" s="182">
        <f>IFERROR(INDEX('[2]SALES PERTYPE'!$AI$10:$AI$52,MATCH($C34,'[2]SALES PERTYPE'!$B$10:$B$52,0)),0)</f>
        <v>0</v>
      </c>
      <c r="AL34" s="182">
        <f>IFERROR(INDEX('[2]SALES PERTYPE'!$AJ$10:$AJ$52,MATCH($C34,'[2]SALES PERTYPE'!$B$10:$B$52,0)),0)</f>
        <v>0</v>
      </c>
      <c r="AM34" s="182">
        <f>IFERROR(INDEX('[2]SALES PERTYPE'!$AK$10:$AK$52,MATCH($C34,'[2]SALES PERTYPE'!$B$10:$B$52,0)),0)</f>
        <v>0</v>
      </c>
      <c r="AN34" s="182">
        <f>IFERROR(INDEX('[2]SALES PERTYPE'!$AL$10:$AL$52,MATCH($C34,'[2]SALES PERTYPE'!$B$10:$B$52,0)),0)</f>
        <v>6</v>
      </c>
      <c r="AO34" s="182">
        <f>IFERROR(INDEX('[2]SALES PERTYPE'!$AM$10:$AM$52,MATCH($C34,'[2]SALES PERTYPE'!$B$10:$B$52,0)),0)</f>
        <v>23194000</v>
      </c>
    </row>
    <row r="35" spans="1:41" x14ac:dyDescent="0.15">
      <c r="A35" s="181">
        <f>'[2]ACHIEVEMENT STORE'!A35</f>
        <v>31</v>
      </c>
      <c r="B35" s="180" t="str">
        <f>'[2]ACHIEVEMENT STORE'!B35</f>
        <v>624-万丹BANTEN</v>
      </c>
      <c r="C35" s="181">
        <f>'[2]ACHIEVEMENT STORE'!C35</f>
        <v>6240707</v>
      </c>
      <c r="D35" s="180" t="str">
        <f>'[2]ACHIEVEMENT STORE'!D35</f>
        <v>6240707-SUPERMALL UGN3A</v>
      </c>
      <c r="E35" s="180" t="str">
        <f>'[2]ACHIEVEMENT STORE'!E35</f>
        <v>ADE RIVALDI L</v>
      </c>
      <c r="F35" s="179">
        <f>IFERROR(INDEX('[2]SALES PERTYPE'!$D$10:$D$52,MATCH($C35,'[2]SALES PERTYPE'!$B$10:$B$52,0)),0)</f>
        <v>0</v>
      </c>
      <c r="G35" s="179">
        <f>IFERROR(INDEX('[2]SALES PERTYPE'!$E$10:$E$52,MATCH($C35,'[2]SALES PERTYPE'!$B$10:$B$52,0)),0)</f>
        <v>0</v>
      </c>
      <c r="H35" s="179">
        <f>IFERROR(INDEX('[2]SALES PERTYPE'!$F$10:$F$52,MATCH($C35,'[2]SALES PERTYPE'!$B$10:$B$52,0)),0)</f>
        <v>2</v>
      </c>
      <c r="I35" s="179">
        <f>IFERROR(INDEX('[2]SALES PERTYPE'!$G$10:$G$52,MATCH($C35,'[2]SALES PERTYPE'!$B$10:$B$52,0)),0)</f>
        <v>5598000</v>
      </c>
      <c r="J35" s="179">
        <f>IFERROR(INDEX('[2]SALES PERTYPE'!$H$10:$H$52,MATCH($C35,'[2]SALES PERTYPE'!$B$10:$B$52,0)),0)</f>
        <v>0</v>
      </c>
      <c r="K35" s="179">
        <f>IFERROR(INDEX('[2]SALES PERTYPE'!$I$10:$I$52,MATCH($C35,'[2]SALES PERTYPE'!$B$10:$B$52,0)),0)</f>
        <v>0</v>
      </c>
      <c r="L35" s="179">
        <f>IFERROR(INDEX('[2]SALES PERTYPE'!$J$10:$J$52,MATCH($C35,'[2]SALES PERTYPE'!$B$10:$B$52,0)),0)</f>
        <v>1</v>
      </c>
      <c r="M35" s="179">
        <f>IFERROR(INDEX('[2]SALES PERTYPE'!$K$10:$K$52,MATCH($C35,'[2]SALES PERTYPE'!$B$10:$B$52,0)),0)</f>
        <v>2099000</v>
      </c>
      <c r="N35" s="179">
        <f>IFERROR(INDEX('[2]SALES PERTYPE'!$L$10:$L$52,MATCH($C35,'[2]SALES PERTYPE'!$B$10:$B$52,0)),0)</f>
        <v>0</v>
      </c>
      <c r="O35" s="179">
        <f>IFERROR(INDEX('[2]SALES PERTYPE'!$M$10:$M$52,MATCH($C35,'[2]SALES PERTYPE'!$B$10:$B$52,0)),0)</f>
        <v>0</v>
      </c>
      <c r="P35" s="179">
        <f>IFERROR(INDEX('[2]SALES PERTYPE'!$N$10:$N$52,MATCH($C35,'[2]SALES PERTYPE'!$B$10:$B$52,0)),0)</f>
        <v>1</v>
      </c>
      <c r="Q35" s="179">
        <f>IFERROR(INDEX('[2]SALES PERTYPE'!$O$10:$O$52,MATCH($C35,'[2]SALES PERTYPE'!$B$10:$B$52,0)),0)</f>
        <v>4299000</v>
      </c>
      <c r="R35" s="179">
        <f>IFERROR(INDEX('[2]SALES PERTYPE'!$P$10:$P$52,MATCH($C35,'[2]SALES PERTYPE'!$B$10:$B$52,0)),0)</f>
        <v>0</v>
      </c>
      <c r="S35" s="179">
        <f>IFERROR(INDEX('[2]SALES PERTYPE'!$Q$10:$Q$52,MATCH($C35,'[2]SALES PERTYPE'!$B$10:$B$52,0)),0)</f>
        <v>0</v>
      </c>
      <c r="T35" s="179">
        <f>IFERROR(INDEX('[2]SALES PERTYPE'!$R$10:$R$52,MATCH($C35,'[2]SALES PERTYPE'!$B$10:$B$52,0)),0)</f>
        <v>0</v>
      </c>
      <c r="U35" s="179">
        <f>IFERROR(INDEX('[2]SALES PERTYPE'!$S$10:$S$52,MATCH($C35,'[2]SALES PERTYPE'!$B$10:$B$52,0)),0)</f>
        <v>0</v>
      </c>
      <c r="V35" s="179">
        <f>IFERROR(INDEX('[2]SALES PERTYPE'!$T$10:$T$52,MATCH($C35,'[2]SALES PERTYPE'!$B$10:$B$52,0)),0)</f>
        <v>0</v>
      </c>
      <c r="W35" s="179">
        <f>IFERROR(INDEX('[2]SALES PERTYPE'!$U$10:$U$52,MATCH($C35,'[2]SALES PERTYPE'!$B$10:$B$52,0)),0)</f>
        <v>0</v>
      </c>
      <c r="X35" s="179">
        <f>IFERROR(INDEX('[2]SALES PERTYPE'!$V$10:$V$52,MATCH($C35,'[2]SALES PERTYPE'!$B$10:$B$52,0)),0)</f>
        <v>0</v>
      </c>
      <c r="Y35" s="179">
        <f>IFERROR(INDEX('[2]SALES PERTYPE'!$W$10:$W$52,MATCH($C35,'[2]SALES PERTYPE'!$B$10:$B$52,0)),0)</f>
        <v>0</v>
      </c>
      <c r="Z35" s="179">
        <f>IFERROR(INDEX('[2]SALES PERTYPE'!$X$10:$X$52,MATCH($C35,'[2]SALES PERTYPE'!$B$10:$B$52,0)),0)</f>
        <v>0</v>
      </c>
      <c r="AA35" s="179">
        <f>IFERROR(INDEX('[2]SALES PERTYPE'!$Y$10:$Y$52,MATCH($C35,'[2]SALES PERTYPE'!$B$10:$B$52,0)),0)</f>
        <v>0</v>
      </c>
      <c r="AB35" s="179">
        <f>IFERROR(INDEX('[2]SALES PERTYPE'!$Z$10:$Z$52,MATCH($C35,'[2]SALES PERTYPE'!$B$10:$B$52,0)),0)</f>
        <v>0</v>
      </c>
      <c r="AC35" s="179">
        <f>IFERROR(INDEX('[2]SALES PERTYPE'!$AA$10:$AA$52,MATCH($C35,'[2]SALES PERTYPE'!$B$10:$B$52,0)),0)</f>
        <v>0</v>
      </c>
      <c r="AD35" s="179">
        <f>IFERROR(INDEX('[2]SALES PERTYPE'!$AB$10:$AB$52,MATCH($C35,'[2]SALES PERTYPE'!$B$10:$B$52,0)),0)</f>
        <v>0</v>
      </c>
      <c r="AE35" s="179">
        <f>IFERROR(INDEX('[2]SALES PERTYPE'!$AC$10:$AC$52,MATCH($C35,'[2]SALES PERTYPE'!$B$10:$B$52,0)),0)</f>
        <v>0</v>
      </c>
      <c r="AF35" s="179">
        <f>IFERROR(INDEX('[2]SALES PERTYPE'!$AD$10:$AD$52,MATCH($C35,'[2]SALES PERTYPE'!$B$10:$B$52,0)),0)</f>
        <v>0</v>
      </c>
      <c r="AG35" s="179">
        <f>IFERROR(INDEX('[2]SALES PERTYPE'!$AE$10:$AE$52,MATCH($C35,'[2]SALES PERTYPE'!$B$10:$B$52,0)),0)</f>
        <v>0</v>
      </c>
      <c r="AH35" s="179">
        <f>IFERROR(INDEX('[2]SALES PERTYPE'!$AF$10:$AF$52,MATCH($C35,'[2]SALES PERTYPE'!$B$10:$B$52,0)),0)</f>
        <v>0</v>
      </c>
      <c r="AI35" s="179">
        <f>IFERROR(INDEX('[2]SALES PERTYPE'!$AG$10:$AG$52,MATCH($C35,'[2]SALES PERTYPE'!$B$10:$B$52,0)),0)</f>
        <v>0</v>
      </c>
      <c r="AJ35" s="179">
        <f>IFERROR(INDEX('[2]SALES PERTYPE'!$AH$10:$AH$52,MATCH($C35,'[2]SALES PERTYPE'!$B$10:$B$52,0)),0)</f>
        <v>0</v>
      </c>
      <c r="AK35" s="179">
        <f>IFERROR(INDEX('[2]SALES PERTYPE'!$AI$10:$AI$52,MATCH($C35,'[2]SALES PERTYPE'!$B$10:$B$52,0)),0)</f>
        <v>0</v>
      </c>
      <c r="AL35" s="179">
        <f>IFERROR(INDEX('[2]SALES PERTYPE'!$AJ$10:$AJ$52,MATCH($C35,'[2]SALES PERTYPE'!$B$10:$B$52,0)),0)</f>
        <v>0</v>
      </c>
      <c r="AM35" s="179">
        <f>IFERROR(INDEX('[2]SALES PERTYPE'!$AK$10:$AK$52,MATCH($C35,'[2]SALES PERTYPE'!$B$10:$B$52,0)),0)</f>
        <v>0</v>
      </c>
      <c r="AN35" s="179">
        <f>IFERROR(INDEX('[2]SALES PERTYPE'!$AL$10:$AL$52,MATCH($C35,'[2]SALES PERTYPE'!$B$10:$B$52,0)),0)</f>
        <v>4</v>
      </c>
      <c r="AO35" s="179">
        <f>IFERROR(INDEX('[2]SALES PERTYPE'!$AM$10:$AM$52,MATCH($C35,'[2]SALES PERTYPE'!$B$10:$B$52,0)),0)</f>
        <v>11996000</v>
      </c>
    </row>
    <row r="36" spans="1:41" x14ac:dyDescent="0.15">
      <c r="A36" s="184">
        <f>'[2]ACHIEVEMENT STORE'!A36</f>
        <v>32</v>
      </c>
      <c r="B36" s="183" t="str">
        <f>'[2]ACHIEVEMENT STORE'!B36</f>
        <v>624-万丹BANTEN</v>
      </c>
      <c r="C36" s="184">
        <f>'[2]ACHIEVEMENT STORE'!C36</f>
        <v>6240706</v>
      </c>
      <c r="D36" s="183" t="str">
        <f>'[2]ACHIEVEMENT STORE'!D36</f>
        <v>6240706-SUPERMALL LGC3A</v>
      </c>
      <c r="E36" s="183" t="str">
        <f>'[2]ACHIEVEMENT STORE'!E36</f>
        <v>ADE RIVALDI L</v>
      </c>
      <c r="F36" s="182">
        <f>IFERROR(INDEX('[2]SALES PERTYPE'!$D$10:$D$52,MATCH($C36,'[2]SALES PERTYPE'!$B$10:$B$52,0)),0)</f>
        <v>0</v>
      </c>
      <c r="G36" s="182">
        <f>IFERROR(INDEX('[2]SALES PERTYPE'!$E$10:$E$52,MATCH($C36,'[2]SALES PERTYPE'!$B$10:$B$52,0)),0)</f>
        <v>0</v>
      </c>
      <c r="H36" s="182">
        <f>IFERROR(INDEX('[2]SALES PERTYPE'!$F$10:$F$52,MATCH($C36,'[2]SALES PERTYPE'!$B$10:$B$52,0)),0)</f>
        <v>2</v>
      </c>
      <c r="I36" s="182">
        <f>IFERROR(INDEX('[2]SALES PERTYPE'!$G$10:$G$52,MATCH($C36,'[2]SALES PERTYPE'!$B$10:$B$52,0)),0)</f>
        <v>5198000</v>
      </c>
      <c r="J36" s="182">
        <f>IFERROR(INDEX('[2]SALES PERTYPE'!$H$10:$H$52,MATCH($C36,'[2]SALES PERTYPE'!$B$10:$B$52,0)),0)</f>
        <v>0</v>
      </c>
      <c r="K36" s="182">
        <f>IFERROR(INDEX('[2]SALES PERTYPE'!$I$10:$I$52,MATCH($C36,'[2]SALES PERTYPE'!$B$10:$B$52,0)),0)</f>
        <v>0</v>
      </c>
      <c r="L36" s="182">
        <f>IFERROR(INDEX('[2]SALES PERTYPE'!$J$10:$J$52,MATCH($C36,'[2]SALES PERTYPE'!$B$10:$B$52,0)),0)</f>
        <v>0</v>
      </c>
      <c r="M36" s="182">
        <f>IFERROR(INDEX('[2]SALES PERTYPE'!$K$10:$K$52,MATCH($C36,'[2]SALES PERTYPE'!$B$10:$B$52,0)),0)</f>
        <v>0</v>
      </c>
      <c r="N36" s="182">
        <f>IFERROR(INDEX('[2]SALES PERTYPE'!$L$10:$L$52,MATCH($C36,'[2]SALES PERTYPE'!$B$10:$B$52,0)),0)</f>
        <v>0</v>
      </c>
      <c r="O36" s="182">
        <f>IFERROR(INDEX('[2]SALES PERTYPE'!$M$10:$M$52,MATCH($C36,'[2]SALES PERTYPE'!$B$10:$B$52,0)),0)</f>
        <v>0</v>
      </c>
      <c r="P36" s="182">
        <f>IFERROR(INDEX('[2]SALES PERTYPE'!$N$10:$N$52,MATCH($C36,'[2]SALES PERTYPE'!$B$10:$B$52,0)),0)</f>
        <v>2</v>
      </c>
      <c r="Q36" s="182">
        <f>IFERROR(INDEX('[2]SALES PERTYPE'!$O$10:$O$52,MATCH($C36,'[2]SALES PERTYPE'!$B$10:$B$52,0)),0)</f>
        <v>9398000</v>
      </c>
      <c r="R36" s="182">
        <f>IFERROR(INDEX('[2]SALES PERTYPE'!$P$10:$P$52,MATCH($C36,'[2]SALES PERTYPE'!$B$10:$B$52,0)),0)</f>
        <v>0</v>
      </c>
      <c r="S36" s="182">
        <f>IFERROR(INDEX('[2]SALES PERTYPE'!$Q$10:$Q$52,MATCH($C36,'[2]SALES PERTYPE'!$B$10:$B$52,0)),0)</f>
        <v>0</v>
      </c>
      <c r="T36" s="182">
        <f>IFERROR(INDEX('[2]SALES PERTYPE'!$R$10:$R$52,MATCH($C36,'[2]SALES PERTYPE'!$B$10:$B$52,0)),0)</f>
        <v>0</v>
      </c>
      <c r="U36" s="182">
        <f>IFERROR(INDEX('[2]SALES PERTYPE'!$S$10:$S$52,MATCH($C36,'[2]SALES PERTYPE'!$B$10:$B$52,0)),0)</f>
        <v>0</v>
      </c>
      <c r="V36" s="182">
        <f>IFERROR(INDEX('[2]SALES PERTYPE'!$T$10:$T$52,MATCH($C36,'[2]SALES PERTYPE'!$B$10:$B$52,0)),0)</f>
        <v>0</v>
      </c>
      <c r="W36" s="182">
        <f>IFERROR(INDEX('[2]SALES PERTYPE'!$U$10:$U$52,MATCH($C36,'[2]SALES PERTYPE'!$B$10:$B$52,0)),0)</f>
        <v>0</v>
      </c>
      <c r="X36" s="182">
        <f>IFERROR(INDEX('[2]SALES PERTYPE'!$V$10:$V$52,MATCH($C36,'[2]SALES PERTYPE'!$B$10:$B$52,0)),0)</f>
        <v>0</v>
      </c>
      <c r="Y36" s="182">
        <f>IFERROR(INDEX('[2]SALES PERTYPE'!$W$10:$W$52,MATCH($C36,'[2]SALES PERTYPE'!$B$10:$B$52,0)),0)</f>
        <v>0</v>
      </c>
      <c r="Z36" s="182">
        <f>IFERROR(INDEX('[2]SALES PERTYPE'!$X$10:$X$52,MATCH($C36,'[2]SALES PERTYPE'!$B$10:$B$52,0)),0)</f>
        <v>0</v>
      </c>
      <c r="AA36" s="182">
        <f>IFERROR(INDEX('[2]SALES PERTYPE'!$Y$10:$Y$52,MATCH($C36,'[2]SALES PERTYPE'!$B$10:$B$52,0)),0)</f>
        <v>0</v>
      </c>
      <c r="AB36" s="182">
        <f>IFERROR(INDEX('[2]SALES PERTYPE'!$Z$10:$Z$52,MATCH($C36,'[2]SALES PERTYPE'!$B$10:$B$52,0)),0)</f>
        <v>0</v>
      </c>
      <c r="AC36" s="182">
        <f>IFERROR(INDEX('[2]SALES PERTYPE'!$AA$10:$AA$52,MATCH($C36,'[2]SALES PERTYPE'!$B$10:$B$52,0)),0)</f>
        <v>0</v>
      </c>
      <c r="AD36" s="182">
        <f>IFERROR(INDEX('[2]SALES PERTYPE'!$AB$10:$AB$52,MATCH($C36,'[2]SALES PERTYPE'!$B$10:$B$52,0)),0)</f>
        <v>1</v>
      </c>
      <c r="AE36" s="182">
        <f>IFERROR(INDEX('[2]SALES PERTYPE'!$AC$10:$AC$52,MATCH($C36,'[2]SALES PERTYPE'!$B$10:$B$52,0)),0)</f>
        <v>5299000</v>
      </c>
      <c r="AF36" s="182">
        <f>IFERROR(INDEX('[2]SALES PERTYPE'!$AD$10:$AD$52,MATCH($C36,'[2]SALES PERTYPE'!$B$10:$B$52,0)),0)</f>
        <v>0</v>
      </c>
      <c r="AG36" s="182">
        <f>IFERROR(INDEX('[2]SALES PERTYPE'!$AE$10:$AE$52,MATCH($C36,'[2]SALES PERTYPE'!$B$10:$B$52,0)),0)</f>
        <v>0</v>
      </c>
      <c r="AH36" s="182">
        <f>IFERROR(INDEX('[2]SALES PERTYPE'!$AF$10:$AF$52,MATCH($C36,'[2]SALES PERTYPE'!$B$10:$B$52,0)),0)</f>
        <v>0</v>
      </c>
      <c r="AI36" s="182">
        <f>IFERROR(INDEX('[2]SALES PERTYPE'!$AG$10:$AG$52,MATCH($C36,'[2]SALES PERTYPE'!$B$10:$B$52,0)),0)</f>
        <v>0</v>
      </c>
      <c r="AJ36" s="182">
        <f>IFERROR(INDEX('[2]SALES PERTYPE'!$AH$10:$AH$52,MATCH($C36,'[2]SALES PERTYPE'!$B$10:$B$52,0)),0)</f>
        <v>0</v>
      </c>
      <c r="AK36" s="182">
        <f>IFERROR(INDEX('[2]SALES PERTYPE'!$AI$10:$AI$52,MATCH($C36,'[2]SALES PERTYPE'!$B$10:$B$52,0)),0)</f>
        <v>0</v>
      </c>
      <c r="AL36" s="182">
        <f>IFERROR(INDEX('[2]SALES PERTYPE'!$AJ$10:$AJ$52,MATCH($C36,'[2]SALES PERTYPE'!$B$10:$B$52,0)),0)</f>
        <v>0</v>
      </c>
      <c r="AM36" s="182">
        <f>IFERROR(INDEX('[2]SALES PERTYPE'!$AK$10:$AK$52,MATCH($C36,'[2]SALES PERTYPE'!$B$10:$B$52,0)),0)</f>
        <v>0</v>
      </c>
      <c r="AN36" s="182">
        <f>IFERROR(INDEX('[2]SALES PERTYPE'!$AL$10:$AL$52,MATCH($C36,'[2]SALES PERTYPE'!$B$10:$B$52,0)),0)</f>
        <v>5</v>
      </c>
      <c r="AO36" s="182">
        <f>IFERROR(INDEX('[2]SALES PERTYPE'!$AM$10:$AM$52,MATCH($C36,'[2]SALES PERTYPE'!$B$10:$B$52,0)),0)</f>
        <v>19895000</v>
      </c>
    </row>
    <row r="37" spans="1:41" x14ac:dyDescent="0.15">
      <c r="A37" s="181">
        <f>'[2]ACHIEVEMENT STORE'!A37</f>
        <v>33</v>
      </c>
      <c r="B37" s="180" t="str">
        <f>'[2]ACHIEVEMENT STORE'!B37</f>
        <v>619-万隆市区BDG KOTA</v>
      </c>
      <c r="C37" s="181">
        <f>'[2]ACHIEVEMENT STORE'!C37</f>
        <v>6190701</v>
      </c>
      <c r="D37" s="180" t="str">
        <f>'[2]ACHIEVEMENT STORE'!D37</f>
        <v>6190701-VIVO STORE UG</v>
      </c>
      <c r="E37" s="180" t="str">
        <f>'[2]ACHIEVEMENT STORE'!E37</f>
        <v>EKO PURWANTO</v>
      </c>
      <c r="F37" s="179">
        <f>IFERROR(INDEX('[2]SALES PERTYPE'!$D$10:$D$52,MATCH($C37,'[2]SALES PERTYPE'!$B$10:$B$52,0)),0)</f>
        <v>1</v>
      </c>
      <c r="G37" s="179">
        <f>IFERROR(INDEX('[2]SALES PERTYPE'!$E$10:$E$52,MATCH($C37,'[2]SALES PERTYPE'!$B$10:$B$52,0)),0)</f>
        <v>2299000</v>
      </c>
      <c r="H37" s="179">
        <f>IFERROR(INDEX('[2]SALES PERTYPE'!$F$10:$F$52,MATCH($C37,'[2]SALES PERTYPE'!$B$10:$B$52,0)),0)</f>
        <v>4</v>
      </c>
      <c r="I37" s="179">
        <f>IFERROR(INDEX('[2]SALES PERTYPE'!$G$10:$G$52,MATCH($C37,'[2]SALES PERTYPE'!$B$10:$B$52,0)),0)</f>
        <v>11196000</v>
      </c>
      <c r="J37" s="179">
        <f>IFERROR(INDEX('[2]SALES PERTYPE'!$H$10:$H$52,MATCH($C37,'[2]SALES PERTYPE'!$B$10:$B$52,0)),0)</f>
        <v>0</v>
      </c>
      <c r="K37" s="179">
        <f>IFERROR(INDEX('[2]SALES PERTYPE'!$I$10:$I$52,MATCH($C37,'[2]SALES PERTYPE'!$B$10:$B$52,0)),0)</f>
        <v>0</v>
      </c>
      <c r="L37" s="179">
        <f>IFERROR(INDEX('[2]SALES PERTYPE'!$J$10:$J$52,MATCH($C37,'[2]SALES PERTYPE'!$B$10:$B$52,0)),0)</f>
        <v>2</v>
      </c>
      <c r="M37" s="179">
        <f>IFERROR(INDEX('[2]SALES PERTYPE'!$K$10:$K$52,MATCH($C37,'[2]SALES PERTYPE'!$B$10:$B$52,0)),0)</f>
        <v>4198000</v>
      </c>
      <c r="N37" s="179">
        <f>IFERROR(INDEX('[2]SALES PERTYPE'!$L$10:$L$52,MATCH($C37,'[2]SALES PERTYPE'!$B$10:$B$52,0)),0)</f>
        <v>0</v>
      </c>
      <c r="O37" s="179">
        <f>IFERROR(INDEX('[2]SALES PERTYPE'!$M$10:$M$52,MATCH($C37,'[2]SALES PERTYPE'!$B$10:$B$52,0)),0)</f>
        <v>0</v>
      </c>
      <c r="P37" s="179">
        <f>IFERROR(INDEX('[2]SALES PERTYPE'!$N$10:$N$52,MATCH($C37,'[2]SALES PERTYPE'!$B$10:$B$52,0)),0)</f>
        <v>3</v>
      </c>
      <c r="Q37" s="179">
        <f>IFERROR(INDEX('[2]SALES PERTYPE'!$O$10:$O$52,MATCH($C37,'[2]SALES PERTYPE'!$B$10:$B$52,0)),0)</f>
        <v>11697000</v>
      </c>
      <c r="R37" s="179">
        <f>IFERROR(INDEX('[2]SALES PERTYPE'!$P$10:$P$52,MATCH($C37,'[2]SALES PERTYPE'!$B$10:$B$52,0)),0)</f>
        <v>0</v>
      </c>
      <c r="S37" s="179">
        <f>IFERROR(INDEX('[2]SALES PERTYPE'!$Q$10:$Q$52,MATCH($C37,'[2]SALES PERTYPE'!$B$10:$B$52,0)),0)</f>
        <v>0</v>
      </c>
      <c r="T37" s="179">
        <f>IFERROR(INDEX('[2]SALES PERTYPE'!$R$10:$R$52,MATCH($C37,'[2]SALES PERTYPE'!$B$10:$B$52,0)),0)</f>
        <v>0</v>
      </c>
      <c r="U37" s="179">
        <f>IFERROR(INDEX('[2]SALES PERTYPE'!$S$10:$S$52,MATCH($C37,'[2]SALES PERTYPE'!$B$10:$B$52,0)),0)</f>
        <v>0</v>
      </c>
      <c r="V37" s="179">
        <f>IFERROR(INDEX('[2]SALES PERTYPE'!$T$10:$T$52,MATCH($C37,'[2]SALES PERTYPE'!$B$10:$B$52,0)),0)</f>
        <v>0</v>
      </c>
      <c r="W37" s="179">
        <f>IFERROR(INDEX('[2]SALES PERTYPE'!$U$10:$U$52,MATCH($C37,'[2]SALES PERTYPE'!$B$10:$B$52,0)),0)</f>
        <v>0</v>
      </c>
      <c r="X37" s="179">
        <f>IFERROR(INDEX('[2]SALES PERTYPE'!$V$10:$V$52,MATCH($C37,'[2]SALES PERTYPE'!$B$10:$B$52,0)),0)</f>
        <v>0</v>
      </c>
      <c r="Y37" s="179">
        <f>IFERROR(INDEX('[2]SALES PERTYPE'!$W$10:$W$52,MATCH($C37,'[2]SALES PERTYPE'!$B$10:$B$52,0)),0)</f>
        <v>0</v>
      </c>
      <c r="Z37" s="179">
        <f>IFERROR(INDEX('[2]SALES PERTYPE'!$X$10:$X$52,MATCH($C37,'[2]SALES PERTYPE'!$B$10:$B$52,0)),0)</f>
        <v>0</v>
      </c>
      <c r="AA37" s="179">
        <f>IFERROR(INDEX('[2]SALES PERTYPE'!$Y$10:$Y$52,MATCH($C37,'[2]SALES PERTYPE'!$B$10:$B$52,0)),0)</f>
        <v>0</v>
      </c>
      <c r="AB37" s="179">
        <f>IFERROR(INDEX('[2]SALES PERTYPE'!$Z$10:$Z$52,MATCH($C37,'[2]SALES PERTYPE'!$B$10:$B$52,0)),0)</f>
        <v>0</v>
      </c>
      <c r="AC37" s="179">
        <f>IFERROR(INDEX('[2]SALES PERTYPE'!$AA$10:$AA$52,MATCH($C37,'[2]SALES PERTYPE'!$B$10:$B$52,0)),0)</f>
        <v>0</v>
      </c>
      <c r="AD37" s="179">
        <f>IFERROR(INDEX('[2]SALES PERTYPE'!$AB$10:$AB$52,MATCH($C37,'[2]SALES PERTYPE'!$B$10:$B$52,0)),0)</f>
        <v>0</v>
      </c>
      <c r="AE37" s="179">
        <f>IFERROR(INDEX('[2]SALES PERTYPE'!$AC$10:$AC$52,MATCH($C37,'[2]SALES PERTYPE'!$B$10:$B$52,0)),0)</f>
        <v>0</v>
      </c>
      <c r="AF37" s="179">
        <f>IFERROR(INDEX('[2]SALES PERTYPE'!$AD$10:$AD$52,MATCH($C37,'[2]SALES PERTYPE'!$B$10:$B$52,0)),0)</f>
        <v>0</v>
      </c>
      <c r="AG37" s="179">
        <f>IFERROR(INDEX('[2]SALES PERTYPE'!$AE$10:$AE$52,MATCH($C37,'[2]SALES PERTYPE'!$B$10:$B$52,0)),0)</f>
        <v>0</v>
      </c>
      <c r="AH37" s="179">
        <f>IFERROR(INDEX('[2]SALES PERTYPE'!$AF$10:$AF$52,MATCH($C37,'[2]SALES PERTYPE'!$B$10:$B$52,0)),0)</f>
        <v>0</v>
      </c>
      <c r="AI37" s="179">
        <f>IFERROR(INDEX('[2]SALES PERTYPE'!$AG$10:$AG$52,MATCH($C37,'[2]SALES PERTYPE'!$B$10:$B$52,0)),0)</f>
        <v>0</v>
      </c>
      <c r="AJ37" s="179">
        <f>IFERROR(INDEX('[2]SALES PERTYPE'!$AH$10:$AH$52,MATCH($C37,'[2]SALES PERTYPE'!$B$10:$B$52,0)),0)</f>
        <v>0</v>
      </c>
      <c r="AK37" s="179">
        <f>IFERROR(INDEX('[2]SALES PERTYPE'!$AI$10:$AI$52,MATCH($C37,'[2]SALES PERTYPE'!$B$10:$B$52,0)),0)</f>
        <v>0</v>
      </c>
      <c r="AL37" s="179">
        <f>IFERROR(INDEX('[2]SALES PERTYPE'!$AJ$10:$AJ$52,MATCH($C37,'[2]SALES PERTYPE'!$B$10:$B$52,0)),0)</f>
        <v>0</v>
      </c>
      <c r="AM37" s="179">
        <f>IFERROR(INDEX('[2]SALES PERTYPE'!$AK$10:$AK$52,MATCH($C37,'[2]SALES PERTYPE'!$B$10:$B$52,0)),0)</f>
        <v>0</v>
      </c>
      <c r="AN37" s="179">
        <f>IFERROR(INDEX('[2]SALES PERTYPE'!$AL$10:$AL$52,MATCH($C37,'[2]SALES PERTYPE'!$B$10:$B$52,0)),0)</f>
        <v>10</v>
      </c>
      <c r="AO37" s="179">
        <f>IFERROR(INDEX('[2]SALES PERTYPE'!$AM$10:$AM$52,MATCH($C37,'[2]SALES PERTYPE'!$B$10:$B$52,0)),0)</f>
        <v>29390000</v>
      </c>
    </row>
    <row r="38" spans="1:41" x14ac:dyDescent="0.15">
      <c r="A38" s="184">
        <f>'[2]ACHIEVEMENT STORE'!A38</f>
        <v>34</v>
      </c>
      <c r="B38" s="183" t="str">
        <f>'[2]ACHIEVEMENT STORE'!B38</f>
        <v>619-万隆市区BDG KOTA</v>
      </c>
      <c r="C38" s="184">
        <f>'[2]ACHIEVEMENT STORE'!C38</f>
        <v>6190706</v>
      </c>
      <c r="D38" s="183" t="str">
        <f>'[2]ACHIEVEMENT STORE'!D38</f>
        <v>A300102-VIVO STORE 4 BEC</v>
      </c>
      <c r="E38" s="183" t="str">
        <f>'[2]ACHIEVEMENT STORE'!E38</f>
        <v>EKO PURWANTO</v>
      </c>
      <c r="F38" s="182">
        <f>IFERROR(INDEX('[2]SALES PERTYPE'!$D$10:$D$52,MATCH($C38,'[2]SALES PERTYPE'!$B$10:$B$52,0)),0)</f>
        <v>4</v>
      </c>
      <c r="G38" s="182">
        <f>IFERROR(INDEX('[2]SALES PERTYPE'!$E$10:$E$52,MATCH($C38,'[2]SALES PERTYPE'!$B$10:$B$52,0)),0)</f>
        <v>9796000</v>
      </c>
      <c r="H38" s="182">
        <f>IFERROR(INDEX('[2]SALES PERTYPE'!$F$10:$F$52,MATCH($C38,'[2]SALES PERTYPE'!$B$10:$B$52,0)),0)</f>
        <v>7</v>
      </c>
      <c r="I38" s="182">
        <f>IFERROR(INDEX('[2]SALES PERTYPE'!$G$10:$G$52,MATCH($C38,'[2]SALES PERTYPE'!$B$10:$B$52,0)),0)</f>
        <v>17993000</v>
      </c>
      <c r="J38" s="182">
        <f>IFERROR(INDEX('[2]SALES PERTYPE'!$H$10:$H$52,MATCH($C38,'[2]SALES PERTYPE'!$B$10:$B$52,0)),0)</f>
        <v>0</v>
      </c>
      <c r="K38" s="182">
        <f>IFERROR(INDEX('[2]SALES PERTYPE'!$I$10:$I$52,MATCH($C38,'[2]SALES PERTYPE'!$B$10:$B$52,0)),0)</f>
        <v>0</v>
      </c>
      <c r="L38" s="182">
        <f>IFERROR(INDEX('[2]SALES PERTYPE'!$J$10:$J$52,MATCH($C38,'[2]SALES PERTYPE'!$B$10:$B$52,0)),0)</f>
        <v>2</v>
      </c>
      <c r="M38" s="182">
        <f>IFERROR(INDEX('[2]SALES PERTYPE'!$K$10:$K$52,MATCH($C38,'[2]SALES PERTYPE'!$B$10:$B$52,0)),0)</f>
        <v>4198000</v>
      </c>
      <c r="N38" s="182">
        <f>IFERROR(INDEX('[2]SALES PERTYPE'!$L$10:$L$52,MATCH($C38,'[2]SALES PERTYPE'!$B$10:$B$52,0)),0)</f>
        <v>1</v>
      </c>
      <c r="O38" s="182">
        <f>IFERROR(INDEX('[2]SALES PERTYPE'!$M$10:$M$52,MATCH($C38,'[2]SALES PERTYPE'!$B$10:$B$52,0)),0)</f>
        <v>9999000</v>
      </c>
      <c r="P38" s="182">
        <f>IFERROR(INDEX('[2]SALES PERTYPE'!$N$10:$N$52,MATCH($C38,'[2]SALES PERTYPE'!$B$10:$B$52,0)),0)</f>
        <v>6</v>
      </c>
      <c r="Q38" s="182">
        <f>IFERROR(INDEX('[2]SALES PERTYPE'!$O$10:$O$52,MATCH($C38,'[2]SALES PERTYPE'!$B$10:$B$52,0)),0)</f>
        <v>24994000</v>
      </c>
      <c r="R38" s="182">
        <f>IFERROR(INDEX('[2]SALES PERTYPE'!$P$10:$P$52,MATCH($C38,'[2]SALES PERTYPE'!$B$10:$B$52,0)),0)</f>
        <v>0</v>
      </c>
      <c r="S38" s="182">
        <f>IFERROR(INDEX('[2]SALES PERTYPE'!$Q$10:$Q$52,MATCH($C38,'[2]SALES PERTYPE'!$B$10:$B$52,0)),0)</f>
        <v>0</v>
      </c>
      <c r="T38" s="182">
        <f>IFERROR(INDEX('[2]SALES PERTYPE'!$R$10:$R$52,MATCH($C38,'[2]SALES PERTYPE'!$B$10:$B$52,0)),0)</f>
        <v>0</v>
      </c>
      <c r="U38" s="182">
        <f>IFERROR(INDEX('[2]SALES PERTYPE'!$S$10:$S$52,MATCH($C38,'[2]SALES PERTYPE'!$B$10:$B$52,0)),0)</f>
        <v>0</v>
      </c>
      <c r="V38" s="182">
        <f>IFERROR(INDEX('[2]SALES PERTYPE'!$T$10:$T$52,MATCH($C38,'[2]SALES PERTYPE'!$B$10:$B$52,0)),0)</f>
        <v>3</v>
      </c>
      <c r="W38" s="182">
        <f>IFERROR(INDEX('[2]SALES PERTYPE'!$U$10:$U$52,MATCH($C38,'[2]SALES PERTYPE'!$B$10:$B$52,0)),0)</f>
        <v>22397000</v>
      </c>
      <c r="X38" s="182">
        <f>IFERROR(INDEX('[2]SALES PERTYPE'!$V$10:$V$52,MATCH($C38,'[2]SALES PERTYPE'!$B$10:$B$52,0)),0)</f>
        <v>0</v>
      </c>
      <c r="Y38" s="182">
        <f>IFERROR(INDEX('[2]SALES PERTYPE'!$W$10:$W$52,MATCH($C38,'[2]SALES PERTYPE'!$B$10:$B$52,0)),0)</f>
        <v>0</v>
      </c>
      <c r="Z38" s="182">
        <f>IFERROR(INDEX('[2]SALES PERTYPE'!$X$10:$X$52,MATCH($C38,'[2]SALES PERTYPE'!$B$10:$B$52,0)),0)</f>
        <v>1</v>
      </c>
      <c r="AA38" s="182">
        <f>IFERROR(INDEX('[2]SALES PERTYPE'!$Y$10:$Y$52,MATCH($C38,'[2]SALES PERTYPE'!$B$10:$B$52,0)),0)</f>
        <v>5499000</v>
      </c>
      <c r="AB38" s="182">
        <f>IFERROR(INDEX('[2]SALES PERTYPE'!$Z$10:$Z$52,MATCH($C38,'[2]SALES PERTYPE'!$B$10:$B$52,0)),0)</f>
        <v>0</v>
      </c>
      <c r="AC38" s="182">
        <f>IFERROR(INDEX('[2]SALES PERTYPE'!$AA$10:$AA$52,MATCH($C38,'[2]SALES PERTYPE'!$B$10:$B$52,0)),0)</f>
        <v>0</v>
      </c>
      <c r="AD38" s="182">
        <f>IFERROR(INDEX('[2]SALES PERTYPE'!$AB$10:$AB$52,MATCH($C38,'[2]SALES PERTYPE'!$B$10:$B$52,0)),0)</f>
        <v>1</v>
      </c>
      <c r="AE38" s="182">
        <f>IFERROR(INDEX('[2]SALES PERTYPE'!$AC$10:$AC$52,MATCH($C38,'[2]SALES PERTYPE'!$B$10:$B$52,0)),0)</f>
        <v>5299000</v>
      </c>
      <c r="AF38" s="182">
        <f>IFERROR(INDEX('[2]SALES PERTYPE'!$AD$10:$AD$52,MATCH($C38,'[2]SALES PERTYPE'!$B$10:$B$52,0)),0)</f>
        <v>1</v>
      </c>
      <c r="AG38" s="182">
        <f>IFERROR(INDEX('[2]SALES PERTYPE'!$AE$10:$AE$52,MATCH($C38,'[2]SALES PERTYPE'!$B$10:$B$52,0)),0)</f>
        <v>25999000</v>
      </c>
      <c r="AH38" s="182">
        <f>IFERROR(INDEX('[2]SALES PERTYPE'!$AF$10:$AF$52,MATCH($C38,'[2]SALES PERTYPE'!$B$10:$B$52,0)),0)</f>
        <v>0</v>
      </c>
      <c r="AI38" s="182">
        <f>IFERROR(INDEX('[2]SALES PERTYPE'!$AG$10:$AG$52,MATCH($C38,'[2]SALES PERTYPE'!$B$10:$B$52,0)),0)</f>
        <v>0</v>
      </c>
      <c r="AJ38" s="182">
        <f>IFERROR(INDEX('[2]SALES PERTYPE'!$AH$10:$AH$52,MATCH($C38,'[2]SALES PERTYPE'!$B$10:$B$52,0)),0)</f>
        <v>0</v>
      </c>
      <c r="AK38" s="182">
        <f>IFERROR(INDEX('[2]SALES PERTYPE'!$AI$10:$AI$52,MATCH($C38,'[2]SALES PERTYPE'!$B$10:$B$52,0)),0)</f>
        <v>0</v>
      </c>
      <c r="AL38" s="182">
        <f>IFERROR(INDEX('[2]SALES PERTYPE'!$AJ$10:$AJ$52,MATCH($C38,'[2]SALES PERTYPE'!$B$10:$B$52,0)),0)</f>
        <v>1</v>
      </c>
      <c r="AM38" s="182">
        <f>IFERROR(INDEX('[2]SALES PERTYPE'!$AK$10:$AK$52,MATCH($C38,'[2]SALES PERTYPE'!$B$10:$B$52,0)),0)</f>
        <v>6899000</v>
      </c>
      <c r="AN38" s="182">
        <f>IFERROR(INDEX('[2]SALES PERTYPE'!$AL$10:$AL$52,MATCH($C38,'[2]SALES PERTYPE'!$B$10:$B$52,0)),0)</f>
        <v>27</v>
      </c>
      <c r="AO38" s="182">
        <f>IFERROR(INDEX('[2]SALES PERTYPE'!$AM$10:$AM$52,MATCH($C38,'[2]SALES PERTYPE'!$B$10:$B$52,0)),0)</f>
        <v>133073000</v>
      </c>
    </row>
    <row r="39" spans="1:41" x14ac:dyDescent="0.15">
      <c r="A39" s="181">
        <f>'[2]ACHIEVEMENT STORE'!A39</f>
        <v>35</v>
      </c>
      <c r="B39" s="180" t="str">
        <f>'[2]ACHIEVEMENT STORE'!B39</f>
        <v>619-万隆市区BDG KOTA</v>
      </c>
      <c r="C39" s="181">
        <f>'[2]ACHIEVEMENT STORE'!C39</f>
        <v>6190705</v>
      </c>
      <c r="D39" s="180" t="str">
        <f>'[2]ACHIEVEMENT STORE'!D39</f>
        <v>A300105-VIVO STORE LG F20</v>
      </c>
      <c r="E39" s="180" t="str">
        <f>'[2]ACHIEVEMENT STORE'!E39</f>
        <v>EKO PURWANTO</v>
      </c>
      <c r="F39" s="179">
        <f>IFERROR(INDEX('[2]SALES PERTYPE'!$D$10:$D$52,MATCH($C39,'[2]SALES PERTYPE'!$B$10:$B$52,0)),0)</f>
        <v>1</v>
      </c>
      <c r="G39" s="179">
        <f>IFERROR(INDEX('[2]SALES PERTYPE'!$E$10:$E$52,MATCH($C39,'[2]SALES PERTYPE'!$B$10:$B$52,0)),0)</f>
        <v>2299000</v>
      </c>
      <c r="H39" s="179">
        <f>IFERROR(INDEX('[2]SALES PERTYPE'!$F$10:$F$52,MATCH($C39,'[2]SALES PERTYPE'!$B$10:$B$52,0)),0)</f>
        <v>3</v>
      </c>
      <c r="I39" s="179">
        <f>IFERROR(INDEX('[2]SALES PERTYPE'!$G$10:$G$52,MATCH($C39,'[2]SALES PERTYPE'!$B$10:$B$52,0)),0)</f>
        <v>7597000</v>
      </c>
      <c r="J39" s="179">
        <f>IFERROR(INDEX('[2]SALES PERTYPE'!$H$10:$H$52,MATCH($C39,'[2]SALES PERTYPE'!$B$10:$B$52,0)),0)</f>
        <v>0</v>
      </c>
      <c r="K39" s="179">
        <f>IFERROR(INDEX('[2]SALES PERTYPE'!$I$10:$I$52,MATCH($C39,'[2]SALES PERTYPE'!$B$10:$B$52,0)),0)</f>
        <v>0</v>
      </c>
      <c r="L39" s="179">
        <f>IFERROR(INDEX('[2]SALES PERTYPE'!$J$10:$J$52,MATCH($C39,'[2]SALES PERTYPE'!$B$10:$B$52,0)),0)</f>
        <v>1</v>
      </c>
      <c r="M39" s="179">
        <f>IFERROR(INDEX('[2]SALES PERTYPE'!$K$10:$K$52,MATCH($C39,'[2]SALES PERTYPE'!$B$10:$B$52,0)),0)</f>
        <v>2099000</v>
      </c>
      <c r="N39" s="179">
        <f>IFERROR(INDEX('[2]SALES PERTYPE'!$L$10:$L$52,MATCH($C39,'[2]SALES PERTYPE'!$B$10:$B$52,0)),0)</f>
        <v>0</v>
      </c>
      <c r="O39" s="179">
        <f>IFERROR(INDEX('[2]SALES PERTYPE'!$M$10:$M$52,MATCH($C39,'[2]SALES PERTYPE'!$B$10:$B$52,0)),0)</f>
        <v>0</v>
      </c>
      <c r="P39" s="179">
        <f>IFERROR(INDEX('[2]SALES PERTYPE'!$N$10:$N$52,MATCH($C39,'[2]SALES PERTYPE'!$B$10:$B$52,0)),0)</f>
        <v>2</v>
      </c>
      <c r="Q39" s="179">
        <f>IFERROR(INDEX('[2]SALES PERTYPE'!$O$10:$O$52,MATCH($C39,'[2]SALES PERTYPE'!$B$10:$B$52,0)),0)</f>
        <v>7798000</v>
      </c>
      <c r="R39" s="179">
        <f>IFERROR(INDEX('[2]SALES PERTYPE'!$P$10:$P$52,MATCH($C39,'[2]SALES PERTYPE'!$B$10:$B$52,0)),0)</f>
        <v>1</v>
      </c>
      <c r="S39" s="179">
        <f>IFERROR(INDEX('[2]SALES PERTYPE'!$Q$10:$Q$52,MATCH($C39,'[2]SALES PERTYPE'!$B$10:$B$52,0)),0)</f>
        <v>3599000</v>
      </c>
      <c r="T39" s="179">
        <f>IFERROR(INDEX('[2]SALES PERTYPE'!$R$10:$R$52,MATCH($C39,'[2]SALES PERTYPE'!$B$10:$B$52,0)),0)</f>
        <v>0</v>
      </c>
      <c r="U39" s="179">
        <f>IFERROR(INDEX('[2]SALES PERTYPE'!$S$10:$S$52,MATCH($C39,'[2]SALES PERTYPE'!$B$10:$B$52,0)),0)</f>
        <v>0</v>
      </c>
      <c r="V39" s="179">
        <f>IFERROR(INDEX('[2]SALES PERTYPE'!$T$10:$T$52,MATCH($C39,'[2]SALES PERTYPE'!$B$10:$B$52,0)),0)</f>
        <v>0</v>
      </c>
      <c r="W39" s="179">
        <f>IFERROR(INDEX('[2]SALES PERTYPE'!$U$10:$U$52,MATCH($C39,'[2]SALES PERTYPE'!$B$10:$B$52,0)),0)</f>
        <v>0</v>
      </c>
      <c r="X39" s="179">
        <f>IFERROR(INDEX('[2]SALES PERTYPE'!$V$10:$V$52,MATCH($C39,'[2]SALES PERTYPE'!$B$10:$B$52,0)),0)</f>
        <v>0</v>
      </c>
      <c r="Y39" s="179">
        <f>IFERROR(INDEX('[2]SALES PERTYPE'!$W$10:$W$52,MATCH($C39,'[2]SALES PERTYPE'!$B$10:$B$52,0)),0)</f>
        <v>0</v>
      </c>
      <c r="Z39" s="179">
        <f>IFERROR(INDEX('[2]SALES PERTYPE'!$X$10:$X$52,MATCH($C39,'[2]SALES PERTYPE'!$B$10:$B$52,0)),0)</f>
        <v>0</v>
      </c>
      <c r="AA39" s="179">
        <f>IFERROR(INDEX('[2]SALES PERTYPE'!$Y$10:$Y$52,MATCH($C39,'[2]SALES PERTYPE'!$B$10:$B$52,0)),0)</f>
        <v>0</v>
      </c>
      <c r="AB39" s="179">
        <f>IFERROR(INDEX('[2]SALES PERTYPE'!$Z$10:$Z$52,MATCH($C39,'[2]SALES PERTYPE'!$B$10:$B$52,0)),0)</f>
        <v>1</v>
      </c>
      <c r="AC39" s="179">
        <f>IFERROR(INDEX('[2]SALES PERTYPE'!$AA$10:$AA$52,MATCH($C39,'[2]SALES PERTYPE'!$B$10:$B$52,0)),0)</f>
        <v>11999000</v>
      </c>
      <c r="AD39" s="179">
        <f>IFERROR(INDEX('[2]SALES PERTYPE'!$AB$10:$AB$52,MATCH($C39,'[2]SALES PERTYPE'!$B$10:$B$52,0)),0)</f>
        <v>0</v>
      </c>
      <c r="AE39" s="179">
        <f>IFERROR(INDEX('[2]SALES PERTYPE'!$AC$10:$AC$52,MATCH($C39,'[2]SALES PERTYPE'!$B$10:$B$52,0)),0)</f>
        <v>0</v>
      </c>
      <c r="AF39" s="179">
        <f>IFERROR(INDEX('[2]SALES PERTYPE'!$AD$10:$AD$52,MATCH($C39,'[2]SALES PERTYPE'!$B$10:$B$52,0)),0)</f>
        <v>0</v>
      </c>
      <c r="AG39" s="179">
        <f>IFERROR(INDEX('[2]SALES PERTYPE'!$AE$10:$AE$52,MATCH($C39,'[2]SALES PERTYPE'!$B$10:$B$52,0)),0)</f>
        <v>0</v>
      </c>
      <c r="AH39" s="179">
        <f>IFERROR(INDEX('[2]SALES PERTYPE'!$AF$10:$AF$52,MATCH($C39,'[2]SALES PERTYPE'!$B$10:$B$52,0)),0)</f>
        <v>0</v>
      </c>
      <c r="AI39" s="179">
        <f>IFERROR(INDEX('[2]SALES PERTYPE'!$AG$10:$AG$52,MATCH($C39,'[2]SALES PERTYPE'!$B$10:$B$52,0)),0)</f>
        <v>0</v>
      </c>
      <c r="AJ39" s="179">
        <f>IFERROR(INDEX('[2]SALES PERTYPE'!$AH$10:$AH$52,MATCH($C39,'[2]SALES PERTYPE'!$B$10:$B$52,0)),0)</f>
        <v>0</v>
      </c>
      <c r="AK39" s="179">
        <f>IFERROR(INDEX('[2]SALES PERTYPE'!$AI$10:$AI$52,MATCH($C39,'[2]SALES PERTYPE'!$B$10:$B$52,0)),0)</f>
        <v>0</v>
      </c>
      <c r="AL39" s="179">
        <f>IFERROR(INDEX('[2]SALES PERTYPE'!$AJ$10:$AJ$52,MATCH($C39,'[2]SALES PERTYPE'!$B$10:$B$52,0)),0)</f>
        <v>0</v>
      </c>
      <c r="AM39" s="179">
        <f>IFERROR(INDEX('[2]SALES PERTYPE'!$AK$10:$AK$52,MATCH($C39,'[2]SALES PERTYPE'!$B$10:$B$52,0)),0)</f>
        <v>0</v>
      </c>
      <c r="AN39" s="179">
        <f>IFERROR(INDEX('[2]SALES PERTYPE'!$AL$10:$AL$52,MATCH($C39,'[2]SALES PERTYPE'!$B$10:$B$52,0)),0)</f>
        <v>9</v>
      </c>
      <c r="AO39" s="179">
        <f>IFERROR(INDEX('[2]SALES PERTYPE'!$AM$10:$AM$52,MATCH($C39,'[2]SALES PERTYPE'!$B$10:$B$52,0)),0)</f>
        <v>35391000</v>
      </c>
    </row>
    <row r="40" spans="1:41" x14ac:dyDescent="0.15">
      <c r="A40" s="184">
        <f>'[2]ACHIEVEMENT STORE'!A40</f>
        <v>36</v>
      </c>
      <c r="B40" s="183" t="str">
        <f>'[2]ACHIEVEMENT STORE'!B40</f>
        <v>619-万隆市区BDG KOTA</v>
      </c>
      <c r="C40" s="184">
        <f>'[2]ACHIEVEMENT STORE'!C40</f>
        <v>6190704</v>
      </c>
      <c r="D40" s="183" t="str">
        <f>'[2]ACHIEVEMENT STORE'!D40</f>
        <v>A300201-VIVO STORE 1 BEC</v>
      </c>
      <c r="E40" s="183" t="str">
        <f>'[2]ACHIEVEMENT STORE'!E40</f>
        <v>NENG TOTOH</v>
      </c>
      <c r="F40" s="182">
        <f>IFERROR(INDEX('[2]SALES PERTYPE'!$D$10:$D$52,MATCH($C40,'[2]SALES PERTYPE'!$B$10:$B$52,0)),0)</f>
        <v>1</v>
      </c>
      <c r="G40" s="182">
        <f>IFERROR(INDEX('[2]SALES PERTYPE'!$E$10:$E$52,MATCH($C40,'[2]SALES PERTYPE'!$B$10:$B$52,0)),0)</f>
        <v>2299000</v>
      </c>
      <c r="H40" s="182">
        <f>IFERROR(INDEX('[2]SALES PERTYPE'!$F$10:$F$52,MATCH($C40,'[2]SALES PERTYPE'!$B$10:$B$52,0)),0)</f>
        <v>8</v>
      </c>
      <c r="I40" s="182">
        <f>IFERROR(INDEX('[2]SALES PERTYPE'!$G$10:$G$52,MATCH($C40,'[2]SALES PERTYPE'!$B$10:$B$52,0)),0)</f>
        <v>20792000</v>
      </c>
      <c r="J40" s="182">
        <f>IFERROR(INDEX('[2]SALES PERTYPE'!$H$10:$H$52,MATCH($C40,'[2]SALES PERTYPE'!$B$10:$B$52,0)),0)</f>
        <v>0</v>
      </c>
      <c r="K40" s="182">
        <f>IFERROR(INDEX('[2]SALES PERTYPE'!$I$10:$I$52,MATCH($C40,'[2]SALES PERTYPE'!$B$10:$B$52,0)),0)</f>
        <v>0</v>
      </c>
      <c r="L40" s="182">
        <f>IFERROR(INDEX('[2]SALES PERTYPE'!$J$10:$J$52,MATCH($C40,'[2]SALES PERTYPE'!$B$10:$B$52,0)),0)</f>
        <v>10</v>
      </c>
      <c r="M40" s="182">
        <f>IFERROR(INDEX('[2]SALES PERTYPE'!$K$10:$K$52,MATCH($C40,'[2]SALES PERTYPE'!$B$10:$B$52,0)),0)</f>
        <v>20990000</v>
      </c>
      <c r="N40" s="182">
        <f>IFERROR(INDEX('[2]SALES PERTYPE'!$L$10:$L$52,MATCH($C40,'[2]SALES PERTYPE'!$B$10:$B$52,0)),0)</f>
        <v>1</v>
      </c>
      <c r="O40" s="182">
        <f>IFERROR(INDEX('[2]SALES PERTYPE'!$M$10:$M$52,MATCH($C40,'[2]SALES PERTYPE'!$B$10:$B$52,0)),0)</f>
        <v>8999000</v>
      </c>
      <c r="P40" s="182">
        <f>IFERROR(INDEX('[2]SALES PERTYPE'!$N$10:$N$52,MATCH($C40,'[2]SALES PERTYPE'!$B$10:$B$52,0)),0)</f>
        <v>5</v>
      </c>
      <c r="Q40" s="182">
        <f>IFERROR(INDEX('[2]SALES PERTYPE'!$O$10:$O$52,MATCH($C40,'[2]SALES PERTYPE'!$B$10:$B$52,0)),0)</f>
        <v>24695000</v>
      </c>
      <c r="R40" s="182">
        <f>IFERROR(INDEX('[2]SALES PERTYPE'!$P$10:$P$52,MATCH($C40,'[2]SALES PERTYPE'!$B$10:$B$52,0)),0)</f>
        <v>0</v>
      </c>
      <c r="S40" s="182">
        <f>IFERROR(INDEX('[2]SALES PERTYPE'!$Q$10:$Q$52,MATCH($C40,'[2]SALES PERTYPE'!$B$10:$B$52,0)),0)</f>
        <v>0</v>
      </c>
      <c r="T40" s="182">
        <f>IFERROR(INDEX('[2]SALES PERTYPE'!$R$10:$R$52,MATCH($C40,'[2]SALES PERTYPE'!$B$10:$B$52,0)),0)</f>
        <v>0</v>
      </c>
      <c r="U40" s="182">
        <f>IFERROR(INDEX('[2]SALES PERTYPE'!$S$10:$S$52,MATCH($C40,'[2]SALES PERTYPE'!$B$10:$B$52,0)),0)</f>
        <v>0</v>
      </c>
      <c r="V40" s="182">
        <f>IFERROR(INDEX('[2]SALES PERTYPE'!$T$10:$T$52,MATCH($C40,'[2]SALES PERTYPE'!$B$10:$B$52,0)),0)</f>
        <v>4</v>
      </c>
      <c r="W40" s="182">
        <f>IFERROR(INDEX('[2]SALES PERTYPE'!$U$10:$U$52,MATCH($C40,'[2]SALES PERTYPE'!$B$10:$B$52,0)),0)</f>
        <v>28896000</v>
      </c>
      <c r="X40" s="182">
        <f>IFERROR(INDEX('[2]SALES PERTYPE'!$V$10:$V$52,MATCH($C40,'[2]SALES PERTYPE'!$B$10:$B$52,0)),0)</f>
        <v>0</v>
      </c>
      <c r="Y40" s="182">
        <f>IFERROR(INDEX('[2]SALES PERTYPE'!$W$10:$W$52,MATCH($C40,'[2]SALES PERTYPE'!$B$10:$B$52,0)),0)</f>
        <v>0</v>
      </c>
      <c r="Z40" s="182">
        <f>IFERROR(INDEX('[2]SALES PERTYPE'!$X$10:$X$52,MATCH($C40,'[2]SALES PERTYPE'!$B$10:$B$52,0)),0)</f>
        <v>1</v>
      </c>
      <c r="AA40" s="182">
        <f>IFERROR(INDEX('[2]SALES PERTYPE'!$Y$10:$Y$52,MATCH($C40,'[2]SALES PERTYPE'!$B$10:$B$52,0)),0)</f>
        <v>5499000</v>
      </c>
      <c r="AB40" s="182">
        <f>IFERROR(INDEX('[2]SALES PERTYPE'!$Z$10:$Z$52,MATCH($C40,'[2]SALES PERTYPE'!$B$10:$B$52,0)),0)</f>
        <v>0</v>
      </c>
      <c r="AC40" s="182">
        <f>IFERROR(INDEX('[2]SALES PERTYPE'!$AA$10:$AA$52,MATCH($C40,'[2]SALES PERTYPE'!$B$10:$B$52,0)),0)</f>
        <v>0</v>
      </c>
      <c r="AD40" s="182">
        <f>IFERROR(INDEX('[2]SALES PERTYPE'!$AB$10:$AB$52,MATCH($C40,'[2]SALES PERTYPE'!$B$10:$B$52,0)),0)</f>
        <v>0</v>
      </c>
      <c r="AE40" s="182">
        <f>IFERROR(INDEX('[2]SALES PERTYPE'!$AC$10:$AC$52,MATCH($C40,'[2]SALES PERTYPE'!$B$10:$B$52,0)),0)</f>
        <v>0</v>
      </c>
      <c r="AF40" s="182">
        <f>IFERROR(INDEX('[2]SALES PERTYPE'!$AD$10:$AD$52,MATCH($C40,'[2]SALES PERTYPE'!$B$10:$B$52,0)),0)</f>
        <v>0</v>
      </c>
      <c r="AG40" s="182">
        <f>IFERROR(INDEX('[2]SALES PERTYPE'!$AE$10:$AE$52,MATCH($C40,'[2]SALES PERTYPE'!$B$10:$B$52,0)),0)</f>
        <v>0</v>
      </c>
      <c r="AH40" s="182">
        <f>IFERROR(INDEX('[2]SALES PERTYPE'!$AF$10:$AF$52,MATCH($C40,'[2]SALES PERTYPE'!$B$10:$B$52,0)),0)</f>
        <v>0</v>
      </c>
      <c r="AI40" s="182">
        <f>IFERROR(INDEX('[2]SALES PERTYPE'!$AG$10:$AG$52,MATCH($C40,'[2]SALES PERTYPE'!$B$10:$B$52,0)),0)</f>
        <v>0</v>
      </c>
      <c r="AJ40" s="182">
        <f>IFERROR(INDEX('[2]SALES PERTYPE'!$AH$10:$AH$52,MATCH($C40,'[2]SALES PERTYPE'!$B$10:$B$52,0)),0)</f>
        <v>0</v>
      </c>
      <c r="AK40" s="182">
        <f>IFERROR(INDEX('[2]SALES PERTYPE'!$AI$10:$AI$52,MATCH($C40,'[2]SALES PERTYPE'!$B$10:$B$52,0)),0)</f>
        <v>0</v>
      </c>
      <c r="AL40" s="182">
        <f>IFERROR(INDEX('[2]SALES PERTYPE'!$AJ$10:$AJ$52,MATCH($C40,'[2]SALES PERTYPE'!$B$10:$B$52,0)),0)</f>
        <v>0</v>
      </c>
      <c r="AM40" s="182">
        <f>IFERROR(INDEX('[2]SALES PERTYPE'!$AK$10:$AK$52,MATCH($C40,'[2]SALES PERTYPE'!$B$10:$B$52,0)),0)</f>
        <v>0</v>
      </c>
      <c r="AN40" s="182">
        <f>IFERROR(INDEX('[2]SALES PERTYPE'!$AL$10:$AL$52,MATCH($C40,'[2]SALES PERTYPE'!$B$10:$B$52,0)),0)</f>
        <v>30</v>
      </c>
      <c r="AO40" s="182">
        <f>IFERROR(INDEX('[2]SALES PERTYPE'!$AM$10:$AM$52,MATCH($C40,'[2]SALES PERTYPE'!$B$10:$B$52,0)),0)</f>
        <v>112170000</v>
      </c>
    </row>
    <row r="41" spans="1:41" x14ac:dyDescent="0.15">
      <c r="A41" s="181">
        <f>'[2]ACHIEVEMENT STORE'!A41</f>
        <v>37</v>
      </c>
      <c r="B41" s="180" t="str">
        <f>'[2]ACHIEVEMENT STORE'!B41</f>
        <v>619-万隆市区BDG KOTA</v>
      </c>
      <c r="C41" s="181">
        <f>'[2]ACHIEVEMENT STORE'!C41</f>
        <v>6190707</v>
      </c>
      <c r="D41" s="180" t="str">
        <f>'[2]ACHIEVEMENT STORE'!D41</f>
        <v>A300202-VIVO STORE LU</v>
      </c>
      <c r="E41" s="180" t="str">
        <f>'[2]ACHIEVEMENT STORE'!E41</f>
        <v>NENG TOTOH</v>
      </c>
      <c r="F41" s="179">
        <f>IFERROR(INDEX('[2]SALES PERTYPE'!$D$10:$D$52,MATCH($C41,'[2]SALES PERTYPE'!$B$10:$B$52,0)),0)</f>
        <v>9</v>
      </c>
      <c r="G41" s="179">
        <f>IFERROR(INDEX('[2]SALES PERTYPE'!$E$10:$E$52,MATCH($C41,'[2]SALES PERTYPE'!$B$10:$B$52,0)),0)</f>
        <v>21591000</v>
      </c>
      <c r="H41" s="179">
        <f>IFERROR(INDEX('[2]SALES PERTYPE'!$F$10:$F$52,MATCH($C41,'[2]SALES PERTYPE'!$B$10:$B$52,0)),0)</f>
        <v>9</v>
      </c>
      <c r="I41" s="179">
        <f>IFERROR(INDEX('[2]SALES PERTYPE'!$G$10:$G$52,MATCH($C41,'[2]SALES PERTYPE'!$B$10:$B$52,0)),0)</f>
        <v>23991000</v>
      </c>
      <c r="J41" s="179">
        <f>IFERROR(INDEX('[2]SALES PERTYPE'!$H$10:$H$52,MATCH($C41,'[2]SALES PERTYPE'!$B$10:$B$52,0)),0)</f>
        <v>0</v>
      </c>
      <c r="K41" s="179">
        <f>IFERROR(INDEX('[2]SALES PERTYPE'!$I$10:$I$52,MATCH($C41,'[2]SALES PERTYPE'!$B$10:$B$52,0)),0)</f>
        <v>0</v>
      </c>
      <c r="L41" s="179">
        <f>IFERROR(INDEX('[2]SALES PERTYPE'!$J$10:$J$52,MATCH($C41,'[2]SALES PERTYPE'!$B$10:$B$52,0)),0)</f>
        <v>4</v>
      </c>
      <c r="M41" s="179">
        <f>IFERROR(INDEX('[2]SALES PERTYPE'!$K$10:$K$52,MATCH($C41,'[2]SALES PERTYPE'!$B$10:$B$52,0)),0)</f>
        <v>8396000</v>
      </c>
      <c r="N41" s="179">
        <f>IFERROR(INDEX('[2]SALES PERTYPE'!$L$10:$L$52,MATCH($C41,'[2]SALES PERTYPE'!$B$10:$B$52,0)),0)</f>
        <v>0</v>
      </c>
      <c r="O41" s="179">
        <f>IFERROR(INDEX('[2]SALES PERTYPE'!$M$10:$M$52,MATCH($C41,'[2]SALES PERTYPE'!$B$10:$B$52,0)),0)</f>
        <v>0</v>
      </c>
      <c r="P41" s="179">
        <f>IFERROR(INDEX('[2]SALES PERTYPE'!$N$10:$N$52,MATCH($C41,'[2]SALES PERTYPE'!$B$10:$B$52,0)),0)</f>
        <v>4</v>
      </c>
      <c r="Q41" s="179">
        <f>IFERROR(INDEX('[2]SALES PERTYPE'!$O$10:$O$52,MATCH($C41,'[2]SALES PERTYPE'!$B$10:$B$52,0)),0)</f>
        <v>18796000</v>
      </c>
      <c r="R41" s="179">
        <f>IFERROR(INDEX('[2]SALES PERTYPE'!$P$10:$P$52,MATCH($C41,'[2]SALES PERTYPE'!$B$10:$B$52,0)),0)</f>
        <v>0</v>
      </c>
      <c r="S41" s="179">
        <f>IFERROR(INDEX('[2]SALES PERTYPE'!$Q$10:$Q$52,MATCH($C41,'[2]SALES PERTYPE'!$B$10:$B$52,0)),0)</f>
        <v>0</v>
      </c>
      <c r="T41" s="179">
        <f>IFERROR(INDEX('[2]SALES PERTYPE'!$R$10:$R$52,MATCH($C41,'[2]SALES PERTYPE'!$B$10:$B$52,0)),0)</f>
        <v>0</v>
      </c>
      <c r="U41" s="179">
        <f>IFERROR(INDEX('[2]SALES PERTYPE'!$S$10:$S$52,MATCH($C41,'[2]SALES PERTYPE'!$B$10:$B$52,0)),0)</f>
        <v>0</v>
      </c>
      <c r="V41" s="179">
        <f>IFERROR(INDEX('[2]SALES PERTYPE'!$T$10:$T$52,MATCH($C41,'[2]SALES PERTYPE'!$B$10:$B$52,0)),0)</f>
        <v>0</v>
      </c>
      <c r="W41" s="179">
        <f>IFERROR(INDEX('[2]SALES PERTYPE'!$U$10:$U$52,MATCH($C41,'[2]SALES PERTYPE'!$B$10:$B$52,0)),0)</f>
        <v>0</v>
      </c>
      <c r="X41" s="179">
        <f>IFERROR(INDEX('[2]SALES PERTYPE'!$V$10:$V$52,MATCH($C41,'[2]SALES PERTYPE'!$B$10:$B$52,0)),0)</f>
        <v>0</v>
      </c>
      <c r="Y41" s="179">
        <f>IFERROR(INDEX('[2]SALES PERTYPE'!$W$10:$W$52,MATCH($C41,'[2]SALES PERTYPE'!$B$10:$B$52,0)),0)</f>
        <v>0</v>
      </c>
      <c r="Z41" s="179">
        <f>IFERROR(INDEX('[2]SALES PERTYPE'!$X$10:$X$52,MATCH($C41,'[2]SALES PERTYPE'!$B$10:$B$52,0)),0)</f>
        <v>0</v>
      </c>
      <c r="AA41" s="179">
        <f>IFERROR(INDEX('[2]SALES PERTYPE'!$Y$10:$Y$52,MATCH($C41,'[2]SALES PERTYPE'!$B$10:$B$52,0)),0)</f>
        <v>0</v>
      </c>
      <c r="AB41" s="179">
        <f>IFERROR(INDEX('[2]SALES PERTYPE'!$Z$10:$Z$52,MATCH($C41,'[2]SALES PERTYPE'!$B$10:$B$52,0)),0)</f>
        <v>0</v>
      </c>
      <c r="AC41" s="179">
        <f>IFERROR(INDEX('[2]SALES PERTYPE'!$AA$10:$AA$52,MATCH($C41,'[2]SALES PERTYPE'!$B$10:$B$52,0)),0)</f>
        <v>0</v>
      </c>
      <c r="AD41" s="179">
        <f>IFERROR(INDEX('[2]SALES PERTYPE'!$AB$10:$AB$52,MATCH($C41,'[2]SALES PERTYPE'!$B$10:$B$52,0)),0)</f>
        <v>1</v>
      </c>
      <c r="AE41" s="179">
        <f>IFERROR(INDEX('[2]SALES PERTYPE'!$AC$10:$AC$52,MATCH($C41,'[2]SALES PERTYPE'!$B$10:$B$52,0)),0)</f>
        <v>5299000</v>
      </c>
      <c r="AF41" s="179">
        <f>IFERROR(INDEX('[2]SALES PERTYPE'!$AD$10:$AD$52,MATCH($C41,'[2]SALES PERTYPE'!$B$10:$B$52,0)),0)</f>
        <v>0</v>
      </c>
      <c r="AG41" s="179">
        <f>IFERROR(INDEX('[2]SALES PERTYPE'!$AE$10:$AE$52,MATCH($C41,'[2]SALES PERTYPE'!$B$10:$B$52,0)),0)</f>
        <v>0</v>
      </c>
      <c r="AH41" s="179">
        <f>IFERROR(INDEX('[2]SALES PERTYPE'!$AF$10:$AF$52,MATCH($C41,'[2]SALES PERTYPE'!$B$10:$B$52,0)),0)</f>
        <v>0</v>
      </c>
      <c r="AI41" s="179">
        <f>IFERROR(INDEX('[2]SALES PERTYPE'!$AG$10:$AG$52,MATCH($C41,'[2]SALES PERTYPE'!$B$10:$B$52,0)),0)</f>
        <v>0</v>
      </c>
      <c r="AJ41" s="179">
        <f>IFERROR(INDEX('[2]SALES PERTYPE'!$AH$10:$AH$52,MATCH($C41,'[2]SALES PERTYPE'!$B$10:$B$52,0)),0)</f>
        <v>1</v>
      </c>
      <c r="AK41" s="179">
        <f>IFERROR(INDEX('[2]SALES PERTYPE'!$AI$10:$AI$52,MATCH($C41,'[2]SALES PERTYPE'!$B$10:$B$52,0)),0)</f>
        <v>5699000</v>
      </c>
      <c r="AL41" s="179">
        <f>IFERROR(INDEX('[2]SALES PERTYPE'!$AJ$10:$AJ$52,MATCH($C41,'[2]SALES PERTYPE'!$B$10:$B$52,0)),0)</f>
        <v>1</v>
      </c>
      <c r="AM41" s="179">
        <f>IFERROR(INDEX('[2]SALES PERTYPE'!$AK$10:$AK$52,MATCH($C41,'[2]SALES PERTYPE'!$B$10:$B$52,0)),0)</f>
        <v>6899000</v>
      </c>
      <c r="AN41" s="179">
        <f>IFERROR(INDEX('[2]SALES PERTYPE'!$AL$10:$AL$52,MATCH($C41,'[2]SALES PERTYPE'!$B$10:$B$52,0)),0)</f>
        <v>29</v>
      </c>
      <c r="AO41" s="179">
        <f>IFERROR(INDEX('[2]SALES PERTYPE'!$AM$10:$AM$52,MATCH($C41,'[2]SALES PERTYPE'!$B$10:$B$52,0)),0)</f>
        <v>90671000</v>
      </c>
    </row>
    <row r="42" spans="1:41" x14ac:dyDescent="0.15">
      <c r="A42" s="184">
        <f>'[2]ACHIEVEMENT STORE'!A42</f>
        <v>38</v>
      </c>
      <c r="B42" s="183" t="str">
        <f>'[2]ACHIEVEMENT STORE'!B42</f>
        <v>619-万隆市区BDG KOTA</v>
      </c>
      <c r="C42" s="184">
        <f>'[2]ACHIEVEMENT STORE'!C42</f>
        <v>6190708</v>
      </c>
      <c r="D42" s="183" t="str">
        <f>'[2]ACHIEVEMENT STORE'!D42</f>
        <v>6190708-BEC SC LGAA07</v>
      </c>
      <c r="E42" s="183" t="str">
        <f>'[2]ACHIEVEMENT STORE'!E42</f>
        <v>NENG TOTOH</v>
      </c>
      <c r="F42" s="182">
        <f>IFERROR(INDEX('[2]SALES PERTYPE'!$D$10:$D$52,MATCH($C42,'[2]SALES PERTYPE'!$B$10:$B$52,0)),0)</f>
        <v>0</v>
      </c>
      <c r="G42" s="182">
        <f>IFERROR(INDEX('[2]SALES PERTYPE'!$E$10:$E$52,MATCH($C42,'[2]SALES PERTYPE'!$B$10:$B$52,0)),0)</f>
        <v>0</v>
      </c>
      <c r="H42" s="182">
        <f>IFERROR(INDEX('[2]SALES PERTYPE'!$F$10:$F$52,MATCH($C42,'[2]SALES PERTYPE'!$B$10:$B$52,0)),0)</f>
        <v>0</v>
      </c>
      <c r="I42" s="182">
        <f>IFERROR(INDEX('[2]SALES PERTYPE'!$G$10:$G$52,MATCH($C42,'[2]SALES PERTYPE'!$B$10:$B$52,0)),0)</f>
        <v>0</v>
      </c>
      <c r="J42" s="182">
        <f>IFERROR(INDEX('[2]SALES PERTYPE'!$H$10:$H$52,MATCH($C42,'[2]SALES PERTYPE'!$B$10:$B$52,0)),0)</f>
        <v>0</v>
      </c>
      <c r="K42" s="182">
        <f>IFERROR(INDEX('[2]SALES PERTYPE'!$I$10:$I$52,MATCH($C42,'[2]SALES PERTYPE'!$B$10:$B$52,0)),0)</f>
        <v>0</v>
      </c>
      <c r="L42" s="182">
        <f>IFERROR(INDEX('[2]SALES PERTYPE'!$J$10:$J$52,MATCH($C42,'[2]SALES PERTYPE'!$B$10:$B$52,0)),0)</f>
        <v>0</v>
      </c>
      <c r="M42" s="182">
        <f>IFERROR(INDEX('[2]SALES PERTYPE'!$K$10:$K$52,MATCH($C42,'[2]SALES PERTYPE'!$B$10:$B$52,0)),0)</f>
        <v>0</v>
      </c>
      <c r="N42" s="182">
        <f>IFERROR(INDEX('[2]SALES PERTYPE'!$L$10:$L$52,MATCH($C42,'[2]SALES PERTYPE'!$B$10:$B$52,0)),0)</f>
        <v>1</v>
      </c>
      <c r="O42" s="182">
        <f>IFERROR(INDEX('[2]SALES PERTYPE'!$M$10:$M$52,MATCH($C42,'[2]SALES PERTYPE'!$B$10:$B$52,0)),0)</f>
        <v>9999000</v>
      </c>
      <c r="P42" s="182">
        <f>IFERROR(INDEX('[2]SALES PERTYPE'!$N$10:$N$52,MATCH($C42,'[2]SALES PERTYPE'!$B$10:$B$52,0)),0)</f>
        <v>0</v>
      </c>
      <c r="Q42" s="182">
        <f>IFERROR(INDEX('[2]SALES PERTYPE'!$O$10:$O$52,MATCH($C42,'[2]SALES PERTYPE'!$B$10:$B$52,0)),0)</f>
        <v>0</v>
      </c>
      <c r="R42" s="182">
        <f>IFERROR(INDEX('[2]SALES PERTYPE'!$P$10:$P$52,MATCH($C42,'[2]SALES PERTYPE'!$B$10:$B$52,0)),0)</f>
        <v>0</v>
      </c>
      <c r="S42" s="182">
        <f>IFERROR(INDEX('[2]SALES PERTYPE'!$Q$10:$Q$52,MATCH($C42,'[2]SALES PERTYPE'!$B$10:$B$52,0)),0)</f>
        <v>0</v>
      </c>
      <c r="T42" s="182">
        <f>IFERROR(INDEX('[2]SALES PERTYPE'!$R$10:$R$52,MATCH($C42,'[2]SALES PERTYPE'!$B$10:$B$52,0)),0)</f>
        <v>0</v>
      </c>
      <c r="U42" s="182">
        <f>IFERROR(INDEX('[2]SALES PERTYPE'!$S$10:$S$52,MATCH($C42,'[2]SALES PERTYPE'!$B$10:$B$52,0)),0)</f>
        <v>0</v>
      </c>
      <c r="V42" s="182">
        <f>IFERROR(INDEX('[2]SALES PERTYPE'!$T$10:$T$52,MATCH($C42,'[2]SALES PERTYPE'!$B$10:$B$52,0)),0)</f>
        <v>0</v>
      </c>
      <c r="W42" s="182">
        <f>IFERROR(INDEX('[2]SALES PERTYPE'!$U$10:$U$52,MATCH($C42,'[2]SALES PERTYPE'!$B$10:$B$52,0)),0)</f>
        <v>0</v>
      </c>
      <c r="X42" s="182">
        <f>IFERROR(INDEX('[2]SALES PERTYPE'!$V$10:$V$52,MATCH($C42,'[2]SALES PERTYPE'!$B$10:$B$52,0)),0)</f>
        <v>0</v>
      </c>
      <c r="Y42" s="182">
        <f>IFERROR(INDEX('[2]SALES PERTYPE'!$W$10:$W$52,MATCH($C42,'[2]SALES PERTYPE'!$B$10:$B$52,0)),0)</f>
        <v>0</v>
      </c>
      <c r="Z42" s="182">
        <f>IFERROR(INDEX('[2]SALES PERTYPE'!$X$10:$X$52,MATCH($C42,'[2]SALES PERTYPE'!$B$10:$B$52,0)),0)</f>
        <v>0</v>
      </c>
      <c r="AA42" s="182">
        <f>IFERROR(INDEX('[2]SALES PERTYPE'!$Y$10:$Y$52,MATCH($C42,'[2]SALES PERTYPE'!$B$10:$B$52,0)),0)</f>
        <v>0</v>
      </c>
      <c r="AB42" s="182">
        <f>IFERROR(INDEX('[2]SALES PERTYPE'!$Z$10:$Z$52,MATCH($C42,'[2]SALES PERTYPE'!$B$10:$B$52,0)),0)</f>
        <v>0</v>
      </c>
      <c r="AC42" s="182">
        <f>IFERROR(INDEX('[2]SALES PERTYPE'!$AA$10:$AA$52,MATCH($C42,'[2]SALES PERTYPE'!$B$10:$B$52,0)),0)</f>
        <v>0</v>
      </c>
      <c r="AD42" s="182">
        <f>IFERROR(INDEX('[2]SALES PERTYPE'!$AB$10:$AB$52,MATCH($C42,'[2]SALES PERTYPE'!$B$10:$B$52,0)),0)</f>
        <v>0</v>
      </c>
      <c r="AE42" s="182">
        <f>IFERROR(INDEX('[2]SALES PERTYPE'!$AC$10:$AC$52,MATCH($C42,'[2]SALES PERTYPE'!$B$10:$B$52,0)),0)</f>
        <v>0</v>
      </c>
      <c r="AF42" s="182">
        <f>IFERROR(INDEX('[2]SALES PERTYPE'!$AD$10:$AD$52,MATCH($C42,'[2]SALES PERTYPE'!$B$10:$B$52,0)),0)</f>
        <v>0</v>
      </c>
      <c r="AG42" s="182">
        <f>IFERROR(INDEX('[2]SALES PERTYPE'!$AE$10:$AE$52,MATCH($C42,'[2]SALES PERTYPE'!$B$10:$B$52,0)),0)</f>
        <v>0</v>
      </c>
      <c r="AH42" s="182">
        <f>IFERROR(INDEX('[2]SALES PERTYPE'!$AF$10:$AF$52,MATCH($C42,'[2]SALES PERTYPE'!$B$10:$B$52,0)),0)</f>
        <v>0</v>
      </c>
      <c r="AI42" s="182">
        <f>IFERROR(INDEX('[2]SALES PERTYPE'!$AG$10:$AG$52,MATCH($C42,'[2]SALES PERTYPE'!$B$10:$B$52,0)),0)</f>
        <v>0</v>
      </c>
      <c r="AJ42" s="182">
        <f>IFERROR(INDEX('[2]SALES PERTYPE'!$AH$10:$AH$52,MATCH($C42,'[2]SALES PERTYPE'!$B$10:$B$52,0)),0)</f>
        <v>0</v>
      </c>
      <c r="AK42" s="182">
        <f>IFERROR(INDEX('[2]SALES PERTYPE'!$AI$10:$AI$52,MATCH($C42,'[2]SALES PERTYPE'!$B$10:$B$52,0)),0)</f>
        <v>0</v>
      </c>
      <c r="AL42" s="182">
        <f>IFERROR(INDEX('[2]SALES PERTYPE'!$AJ$10:$AJ$52,MATCH($C42,'[2]SALES PERTYPE'!$B$10:$B$52,0)),0)</f>
        <v>0</v>
      </c>
      <c r="AM42" s="182">
        <f>IFERROR(INDEX('[2]SALES PERTYPE'!$AK$10:$AK$52,MATCH($C42,'[2]SALES PERTYPE'!$B$10:$B$52,0)),0)</f>
        <v>0</v>
      </c>
      <c r="AN42" s="182">
        <f>IFERROR(INDEX('[2]SALES PERTYPE'!$AL$10:$AL$52,MATCH($C42,'[2]SALES PERTYPE'!$B$10:$B$52,0)),0)</f>
        <v>1</v>
      </c>
      <c r="AO42" s="182">
        <f>IFERROR(INDEX('[2]SALES PERTYPE'!$AM$10:$AM$52,MATCH($C42,'[2]SALES PERTYPE'!$B$10:$B$52,0)),0)</f>
        <v>9999000</v>
      </c>
    </row>
    <row r="43" spans="1:41" x14ac:dyDescent="0.15">
      <c r="A43" s="181">
        <f>'[2]ACHIEVEMENT STORE'!A43</f>
        <v>39</v>
      </c>
      <c r="B43" s="180" t="str">
        <f>'[2]ACHIEVEMENT STORE'!B43</f>
        <v>615-中爪哇东SOLO</v>
      </c>
      <c r="C43" s="181">
        <f>'[2]ACHIEVEMENT STORE'!C43</f>
        <v>6150702</v>
      </c>
      <c r="D43" s="180" t="str">
        <f>'[2]ACHIEVEMENT STORE'!D43</f>
        <v>6150702-GRANMALL SC GF-11</v>
      </c>
      <c r="E43" s="180" t="str">
        <f>'[2]ACHIEVEMENT STORE'!E43</f>
        <v>BIRILYAN KUSWARA</v>
      </c>
      <c r="F43" s="179">
        <f>IFERROR(INDEX('[2]SALES PERTYPE'!$D$10:$D$52,MATCH($C43,'[2]SALES PERTYPE'!$B$10:$B$52,0)),0)</f>
        <v>0</v>
      </c>
      <c r="G43" s="179">
        <f>IFERROR(INDEX('[2]SALES PERTYPE'!$E$10:$E$52,MATCH($C43,'[2]SALES PERTYPE'!$B$10:$B$52,0)),0)</f>
        <v>0</v>
      </c>
      <c r="H43" s="179">
        <f>IFERROR(INDEX('[2]SALES PERTYPE'!$F$10:$F$52,MATCH($C43,'[2]SALES PERTYPE'!$B$10:$B$52,0)),0)</f>
        <v>0</v>
      </c>
      <c r="I43" s="179">
        <f>IFERROR(INDEX('[2]SALES PERTYPE'!$G$10:$G$52,MATCH($C43,'[2]SALES PERTYPE'!$B$10:$B$52,0)),0)</f>
        <v>0</v>
      </c>
      <c r="J43" s="179">
        <f>IFERROR(INDEX('[2]SALES PERTYPE'!$H$10:$H$52,MATCH($C43,'[2]SALES PERTYPE'!$B$10:$B$52,0)),0)</f>
        <v>0</v>
      </c>
      <c r="K43" s="179">
        <f>IFERROR(INDEX('[2]SALES PERTYPE'!$I$10:$I$52,MATCH($C43,'[2]SALES PERTYPE'!$B$10:$B$52,0)),0)</f>
        <v>0</v>
      </c>
      <c r="L43" s="179">
        <f>IFERROR(INDEX('[2]SALES PERTYPE'!$J$10:$J$52,MATCH($C43,'[2]SALES PERTYPE'!$B$10:$B$52,0)),0)</f>
        <v>0</v>
      </c>
      <c r="M43" s="179">
        <f>IFERROR(INDEX('[2]SALES PERTYPE'!$K$10:$K$52,MATCH($C43,'[2]SALES PERTYPE'!$B$10:$B$52,0)),0)</f>
        <v>0</v>
      </c>
      <c r="N43" s="179">
        <f>IFERROR(INDEX('[2]SALES PERTYPE'!$L$10:$L$52,MATCH($C43,'[2]SALES PERTYPE'!$B$10:$B$52,0)),0)</f>
        <v>0</v>
      </c>
      <c r="O43" s="179">
        <f>IFERROR(INDEX('[2]SALES PERTYPE'!$M$10:$M$52,MATCH($C43,'[2]SALES PERTYPE'!$B$10:$B$52,0)),0)</f>
        <v>0</v>
      </c>
      <c r="P43" s="179">
        <f>IFERROR(INDEX('[2]SALES PERTYPE'!$N$10:$N$52,MATCH($C43,'[2]SALES PERTYPE'!$B$10:$B$52,0)),0)</f>
        <v>1</v>
      </c>
      <c r="Q43" s="179">
        <f>IFERROR(INDEX('[2]SALES PERTYPE'!$O$10:$O$52,MATCH($C43,'[2]SALES PERTYPE'!$B$10:$B$52,0)),0)</f>
        <v>4299000</v>
      </c>
      <c r="R43" s="179">
        <f>IFERROR(INDEX('[2]SALES PERTYPE'!$P$10:$P$52,MATCH($C43,'[2]SALES PERTYPE'!$B$10:$B$52,0)),0)</f>
        <v>0</v>
      </c>
      <c r="S43" s="179">
        <f>IFERROR(INDEX('[2]SALES PERTYPE'!$Q$10:$Q$52,MATCH($C43,'[2]SALES PERTYPE'!$B$10:$B$52,0)),0)</f>
        <v>0</v>
      </c>
      <c r="T43" s="179">
        <f>IFERROR(INDEX('[2]SALES PERTYPE'!$R$10:$R$52,MATCH($C43,'[2]SALES PERTYPE'!$B$10:$B$52,0)),0)</f>
        <v>0</v>
      </c>
      <c r="U43" s="179">
        <f>IFERROR(INDEX('[2]SALES PERTYPE'!$S$10:$S$52,MATCH($C43,'[2]SALES PERTYPE'!$B$10:$B$52,0)),0)</f>
        <v>0</v>
      </c>
      <c r="V43" s="179">
        <f>IFERROR(INDEX('[2]SALES PERTYPE'!$T$10:$T$52,MATCH($C43,'[2]SALES PERTYPE'!$B$10:$B$52,0)),0)</f>
        <v>0</v>
      </c>
      <c r="W43" s="179">
        <f>IFERROR(INDEX('[2]SALES PERTYPE'!$U$10:$U$52,MATCH($C43,'[2]SALES PERTYPE'!$B$10:$B$52,0)),0)</f>
        <v>0</v>
      </c>
      <c r="X43" s="179">
        <f>IFERROR(INDEX('[2]SALES PERTYPE'!$V$10:$V$52,MATCH($C43,'[2]SALES PERTYPE'!$B$10:$B$52,0)),0)</f>
        <v>0</v>
      </c>
      <c r="Y43" s="179">
        <f>IFERROR(INDEX('[2]SALES PERTYPE'!$W$10:$W$52,MATCH($C43,'[2]SALES PERTYPE'!$B$10:$B$52,0)),0)</f>
        <v>0</v>
      </c>
      <c r="Z43" s="179">
        <f>IFERROR(INDEX('[2]SALES PERTYPE'!$X$10:$X$52,MATCH($C43,'[2]SALES PERTYPE'!$B$10:$B$52,0)),0)</f>
        <v>1</v>
      </c>
      <c r="AA43" s="179">
        <f>IFERROR(INDEX('[2]SALES PERTYPE'!$Y$10:$Y$52,MATCH($C43,'[2]SALES PERTYPE'!$B$10:$B$52,0)),0)</f>
        <v>5499000</v>
      </c>
      <c r="AB43" s="179">
        <f>IFERROR(INDEX('[2]SALES PERTYPE'!$Z$10:$Z$52,MATCH($C43,'[2]SALES PERTYPE'!$B$10:$B$52,0)),0)</f>
        <v>0</v>
      </c>
      <c r="AC43" s="179">
        <f>IFERROR(INDEX('[2]SALES PERTYPE'!$AA$10:$AA$52,MATCH($C43,'[2]SALES PERTYPE'!$B$10:$B$52,0)),0)</f>
        <v>0</v>
      </c>
      <c r="AD43" s="179">
        <f>IFERROR(INDEX('[2]SALES PERTYPE'!$AB$10:$AB$52,MATCH($C43,'[2]SALES PERTYPE'!$B$10:$B$52,0)),0)</f>
        <v>0</v>
      </c>
      <c r="AE43" s="179">
        <f>IFERROR(INDEX('[2]SALES PERTYPE'!$AC$10:$AC$52,MATCH($C43,'[2]SALES PERTYPE'!$B$10:$B$52,0)),0)</f>
        <v>0</v>
      </c>
      <c r="AF43" s="179">
        <f>IFERROR(INDEX('[2]SALES PERTYPE'!$AD$10:$AD$52,MATCH($C43,'[2]SALES PERTYPE'!$B$10:$B$52,0)),0)</f>
        <v>0</v>
      </c>
      <c r="AG43" s="179">
        <f>IFERROR(INDEX('[2]SALES PERTYPE'!$AE$10:$AE$52,MATCH($C43,'[2]SALES PERTYPE'!$B$10:$B$52,0)),0)</f>
        <v>0</v>
      </c>
      <c r="AH43" s="179">
        <f>IFERROR(INDEX('[2]SALES PERTYPE'!$AF$10:$AF$52,MATCH($C43,'[2]SALES PERTYPE'!$B$10:$B$52,0)),0)</f>
        <v>0</v>
      </c>
      <c r="AI43" s="179">
        <f>IFERROR(INDEX('[2]SALES PERTYPE'!$AG$10:$AG$52,MATCH($C43,'[2]SALES PERTYPE'!$B$10:$B$52,0)),0)</f>
        <v>0</v>
      </c>
      <c r="AJ43" s="179">
        <f>IFERROR(INDEX('[2]SALES PERTYPE'!$AH$10:$AH$52,MATCH($C43,'[2]SALES PERTYPE'!$B$10:$B$52,0)),0)</f>
        <v>0</v>
      </c>
      <c r="AK43" s="179">
        <f>IFERROR(INDEX('[2]SALES PERTYPE'!$AI$10:$AI$52,MATCH($C43,'[2]SALES PERTYPE'!$B$10:$B$52,0)),0)</f>
        <v>0</v>
      </c>
      <c r="AL43" s="179">
        <f>IFERROR(INDEX('[2]SALES PERTYPE'!$AJ$10:$AJ$52,MATCH($C43,'[2]SALES PERTYPE'!$B$10:$B$52,0)),0)</f>
        <v>0</v>
      </c>
      <c r="AM43" s="179">
        <f>IFERROR(INDEX('[2]SALES PERTYPE'!$AK$10:$AK$52,MATCH($C43,'[2]SALES PERTYPE'!$B$10:$B$52,0)),0)</f>
        <v>0</v>
      </c>
      <c r="AN43" s="179">
        <f>IFERROR(INDEX('[2]SALES PERTYPE'!$AL$10:$AL$52,MATCH($C43,'[2]SALES PERTYPE'!$B$10:$B$52,0)),0)</f>
        <v>2</v>
      </c>
      <c r="AO43" s="179">
        <f>IFERROR(INDEX('[2]SALES PERTYPE'!$AM$10:$AM$52,MATCH($C43,'[2]SALES PERTYPE'!$B$10:$B$52,0)),0)</f>
        <v>9798000</v>
      </c>
    </row>
    <row r="44" spans="1:41" x14ac:dyDescent="0.15">
      <c r="A44" s="184">
        <f>'[2]ACHIEVEMENT STORE'!A44</f>
        <v>40</v>
      </c>
      <c r="B44" s="183" t="str">
        <f>'[2]ACHIEVEMENT STORE'!B44</f>
        <v>中爪哇西 - Purwokerto</v>
      </c>
      <c r="C44" s="184">
        <f>'[2]ACHIEVEMENT STORE'!C44</f>
        <v>6130702</v>
      </c>
      <c r="D44" s="183" t="str">
        <f>'[2]ACHIEVEMENT STORE'!D44</f>
        <v>6130702-RITA SUPERMALL SF36-37</v>
      </c>
      <c r="E44" s="183" t="str">
        <f>'[2]ACHIEVEMENT STORE'!E44</f>
        <v>FRISKA FAJAR</v>
      </c>
      <c r="F44" s="182">
        <f>IFERROR(INDEX('[2]SALES PERTYPE'!$D$10:$D$52,MATCH($C44,'[2]SALES PERTYPE'!$B$10:$B$52,0)),0)</f>
        <v>2</v>
      </c>
      <c r="G44" s="182">
        <f>IFERROR(INDEX('[2]SALES PERTYPE'!$E$10:$E$52,MATCH($C44,'[2]SALES PERTYPE'!$B$10:$B$52,0)),0)</f>
        <v>4598000</v>
      </c>
      <c r="H44" s="182">
        <f>IFERROR(INDEX('[2]SALES PERTYPE'!$F$10:$F$52,MATCH($C44,'[2]SALES PERTYPE'!$B$10:$B$52,0)),0)</f>
        <v>0</v>
      </c>
      <c r="I44" s="182">
        <f>IFERROR(INDEX('[2]SALES PERTYPE'!$G$10:$G$52,MATCH($C44,'[2]SALES PERTYPE'!$B$10:$B$52,0)),0)</f>
        <v>0</v>
      </c>
      <c r="J44" s="182">
        <f>IFERROR(INDEX('[2]SALES PERTYPE'!$H$10:$H$52,MATCH($C44,'[2]SALES PERTYPE'!$B$10:$B$52,0)),0)</f>
        <v>0</v>
      </c>
      <c r="K44" s="182">
        <f>IFERROR(INDEX('[2]SALES PERTYPE'!$I$10:$I$52,MATCH($C44,'[2]SALES PERTYPE'!$B$10:$B$52,0)),0)</f>
        <v>0</v>
      </c>
      <c r="L44" s="182">
        <f>IFERROR(INDEX('[2]SALES PERTYPE'!$J$10:$J$52,MATCH($C44,'[2]SALES PERTYPE'!$B$10:$B$52,0)),0)</f>
        <v>0</v>
      </c>
      <c r="M44" s="182">
        <f>IFERROR(INDEX('[2]SALES PERTYPE'!$K$10:$K$52,MATCH($C44,'[2]SALES PERTYPE'!$B$10:$B$52,0)),0)</f>
        <v>0</v>
      </c>
      <c r="N44" s="182">
        <f>IFERROR(INDEX('[2]SALES PERTYPE'!$L$10:$L$52,MATCH($C44,'[2]SALES PERTYPE'!$B$10:$B$52,0)),0)</f>
        <v>1</v>
      </c>
      <c r="O44" s="182">
        <f>IFERROR(INDEX('[2]SALES PERTYPE'!$M$10:$M$52,MATCH($C44,'[2]SALES PERTYPE'!$B$10:$B$52,0)),0)</f>
        <v>8999000</v>
      </c>
      <c r="P44" s="182">
        <f>IFERROR(INDEX('[2]SALES PERTYPE'!$N$10:$N$52,MATCH($C44,'[2]SALES PERTYPE'!$B$10:$B$52,0)),0)</f>
        <v>2</v>
      </c>
      <c r="Q44" s="182">
        <f>IFERROR(INDEX('[2]SALES PERTYPE'!$O$10:$O$52,MATCH($C44,'[2]SALES PERTYPE'!$B$10:$B$52,0)),0)</f>
        <v>9198000</v>
      </c>
      <c r="R44" s="182">
        <f>IFERROR(INDEX('[2]SALES PERTYPE'!$P$10:$P$52,MATCH($C44,'[2]SALES PERTYPE'!$B$10:$B$52,0)),0)</f>
        <v>0</v>
      </c>
      <c r="S44" s="182">
        <f>IFERROR(INDEX('[2]SALES PERTYPE'!$Q$10:$Q$52,MATCH($C44,'[2]SALES PERTYPE'!$B$10:$B$52,0)),0)</f>
        <v>0</v>
      </c>
      <c r="T44" s="182">
        <f>IFERROR(INDEX('[2]SALES PERTYPE'!$R$10:$R$52,MATCH($C44,'[2]SALES PERTYPE'!$B$10:$B$52,0)),0)</f>
        <v>0</v>
      </c>
      <c r="U44" s="182">
        <f>IFERROR(INDEX('[2]SALES PERTYPE'!$S$10:$S$52,MATCH($C44,'[2]SALES PERTYPE'!$B$10:$B$52,0)),0)</f>
        <v>0</v>
      </c>
      <c r="V44" s="182">
        <f>IFERROR(INDEX('[2]SALES PERTYPE'!$T$10:$T$52,MATCH($C44,'[2]SALES PERTYPE'!$B$10:$B$52,0)),0)</f>
        <v>1</v>
      </c>
      <c r="W44" s="182">
        <f>IFERROR(INDEX('[2]SALES PERTYPE'!$U$10:$U$52,MATCH($C44,'[2]SALES PERTYPE'!$B$10:$B$52,0)),0)</f>
        <v>6999000</v>
      </c>
      <c r="X44" s="182">
        <f>IFERROR(INDEX('[2]SALES PERTYPE'!$V$10:$V$52,MATCH($C44,'[2]SALES PERTYPE'!$B$10:$B$52,0)),0)</f>
        <v>0</v>
      </c>
      <c r="Y44" s="182">
        <f>IFERROR(INDEX('[2]SALES PERTYPE'!$W$10:$W$52,MATCH($C44,'[2]SALES PERTYPE'!$B$10:$B$52,0)),0)</f>
        <v>0</v>
      </c>
      <c r="Z44" s="182">
        <f>IFERROR(INDEX('[2]SALES PERTYPE'!$X$10:$X$52,MATCH($C44,'[2]SALES PERTYPE'!$B$10:$B$52,0)),0)</f>
        <v>0</v>
      </c>
      <c r="AA44" s="182">
        <f>IFERROR(INDEX('[2]SALES PERTYPE'!$Y$10:$Y$52,MATCH($C44,'[2]SALES PERTYPE'!$B$10:$B$52,0)),0)</f>
        <v>0</v>
      </c>
      <c r="AB44" s="182">
        <f>IFERROR(INDEX('[2]SALES PERTYPE'!$Z$10:$Z$52,MATCH($C44,'[2]SALES PERTYPE'!$B$10:$B$52,0)),0)</f>
        <v>0</v>
      </c>
      <c r="AC44" s="182">
        <f>IFERROR(INDEX('[2]SALES PERTYPE'!$AA$10:$AA$52,MATCH($C44,'[2]SALES PERTYPE'!$B$10:$B$52,0)),0)</f>
        <v>0</v>
      </c>
      <c r="AD44" s="182">
        <f>IFERROR(INDEX('[2]SALES PERTYPE'!$AB$10:$AB$52,MATCH($C44,'[2]SALES PERTYPE'!$B$10:$B$52,0)),0)</f>
        <v>0</v>
      </c>
      <c r="AE44" s="182">
        <f>IFERROR(INDEX('[2]SALES PERTYPE'!$AC$10:$AC$52,MATCH($C44,'[2]SALES PERTYPE'!$B$10:$B$52,0)),0)</f>
        <v>0</v>
      </c>
      <c r="AF44" s="182">
        <f>IFERROR(INDEX('[2]SALES PERTYPE'!$AD$10:$AD$52,MATCH($C44,'[2]SALES PERTYPE'!$B$10:$B$52,0)),0)</f>
        <v>0</v>
      </c>
      <c r="AG44" s="182">
        <f>IFERROR(INDEX('[2]SALES PERTYPE'!$AE$10:$AE$52,MATCH($C44,'[2]SALES PERTYPE'!$B$10:$B$52,0)),0)</f>
        <v>0</v>
      </c>
      <c r="AH44" s="182">
        <f>IFERROR(INDEX('[2]SALES PERTYPE'!$AF$10:$AF$52,MATCH($C44,'[2]SALES PERTYPE'!$B$10:$B$52,0)),0)</f>
        <v>0</v>
      </c>
      <c r="AI44" s="182">
        <f>IFERROR(INDEX('[2]SALES PERTYPE'!$AG$10:$AG$52,MATCH($C44,'[2]SALES PERTYPE'!$B$10:$B$52,0)),0)</f>
        <v>0</v>
      </c>
      <c r="AJ44" s="182">
        <f>IFERROR(INDEX('[2]SALES PERTYPE'!$AH$10:$AH$52,MATCH($C44,'[2]SALES PERTYPE'!$B$10:$B$52,0)),0)</f>
        <v>0</v>
      </c>
      <c r="AK44" s="182">
        <f>IFERROR(INDEX('[2]SALES PERTYPE'!$AI$10:$AI$52,MATCH($C44,'[2]SALES PERTYPE'!$B$10:$B$52,0)),0)</f>
        <v>0</v>
      </c>
      <c r="AL44" s="182">
        <f>IFERROR(INDEX('[2]SALES PERTYPE'!$AJ$10:$AJ$52,MATCH($C44,'[2]SALES PERTYPE'!$B$10:$B$52,0)),0)</f>
        <v>2</v>
      </c>
      <c r="AM44" s="182">
        <f>IFERROR(INDEX('[2]SALES PERTYPE'!$AK$10:$AK$52,MATCH($C44,'[2]SALES PERTYPE'!$B$10:$B$52,0)),0)</f>
        <v>15098000</v>
      </c>
      <c r="AN44" s="182">
        <f>IFERROR(INDEX('[2]SALES PERTYPE'!$AL$10:$AL$52,MATCH($C44,'[2]SALES PERTYPE'!$B$10:$B$52,0)),0)</f>
        <v>8</v>
      </c>
      <c r="AO44" s="182">
        <f>IFERROR(INDEX('[2]SALES PERTYPE'!$AM$10:$AM$52,MATCH($C44,'[2]SALES PERTYPE'!$B$10:$B$52,0)),0)</f>
        <v>44892000</v>
      </c>
    </row>
    <row r="45" spans="1:41" x14ac:dyDescent="0.15">
      <c r="A45" s="181">
        <f>'[2]ACHIEVEMENT STORE'!A45</f>
        <v>41</v>
      </c>
      <c r="B45" s="180" t="str">
        <f>'[2]ACHIEVEMENT STORE'!B45</f>
        <v>614 三宝垄 Semarang</v>
      </c>
      <c r="C45" s="181">
        <f>'[2]ACHIEVEMENT STORE'!C45</f>
        <v>6100702</v>
      </c>
      <c r="D45" s="180" t="str">
        <f>'[2]ACHIEVEMENT STORE'!D45</f>
        <v>6100702-VS Jogja City Mall</v>
      </c>
      <c r="E45" s="180" t="str">
        <f>'[2]ACHIEVEMENT STORE'!E45</f>
        <v>BIRILYAN KUSWARA</v>
      </c>
      <c r="F45" s="179">
        <f>IFERROR(INDEX('[2]SALES PERTYPE'!$D$10:$D$52,MATCH($C45,'[2]SALES PERTYPE'!$B$10:$B$52,0)),0)</f>
        <v>0</v>
      </c>
      <c r="G45" s="179">
        <f>IFERROR(INDEX('[2]SALES PERTYPE'!$E$10:$E$52,MATCH($C45,'[2]SALES PERTYPE'!$B$10:$B$52,0)),0)</f>
        <v>0</v>
      </c>
      <c r="H45" s="179">
        <f>IFERROR(INDEX('[2]SALES PERTYPE'!$F$10:$F$52,MATCH($C45,'[2]SALES PERTYPE'!$B$10:$B$52,0)),0)</f>
        <v>2</v>
      </c>
      <c r="I45" s="179">
        <f>IFERROR(INDEX('[2]SALES PERTYPE'!$G$10:$G$52,MATCH($C45,'[2]SALES PERTYPE'!$B$10:$B$52,0)),0)</f>
        <v>5198000</v>
      </c>
      <c r="J45" s="179">
        <f>IFERROR(INDEX('[2]SALES PERTYPE'!$H$10:$H$52,MATCH($C45,'[2]SALES PERTYPE'!$B$10:$B$52,0)),0)</f>
        <v>0</v>
      </c>
      <c r="K45" s="179">
        <f>IFERROR(INDEX('[2]SALES PERTYPE'!$I$10:$I$52,MATCH($C45,'[2]SALES PERTYPE'!$B$10:$B$52,0)),0)</f>
        <v>0</v>
      </c>
      <c r="L45" s="179">
        <f>IFERROR(INDEX('[2]SALES PERTYPE'!$J$10:$J$52,MATCH($C45,'[2]SALES PERTYPE'!$B$10:$B$52,0)),0)</f>
        <v>1</v>
      </c>
      <c r="M45" s="179">
        <f>IFERROR(INDEX('[2]SALES PERTYPE'!$K$10:$K$52,MATCH($C45,'[2]SALES PERTYPE'!$B$10:$B$52,0)),0)</f>
        <v>2099000</v>
      </c>
      <c r="N45" s="179">
        <f>IFERROR(INDEX('[2]SALES PERTYPE'!$L$10:$L$52,MATCH($C45,'[2]SALES PERTYPE'!$B$10:$B$52,0)),0)</f>
        <v>0</v>
      </c>
      <c r="O45" s="179">
        <f>IFERROR(INDEX('[2]SALES PERTYPE'!$M$10:$M$52,MATCH($C45,'[2]SALES PERTYPE'!$B$10:$B$52,0)),0)</f>
        <v>0</v>
      </c>
      <c r="P45" s="179">
        <f>IFERROR(INDEX('[2]SALES PERTYPE'!$N$10:$N$52,MATCH($C45,'[2]SALES PERTYPE'!$B$10:$B$52,0)),0)</f>
        <v>1</v>
      </c>
      <c r="Q45" s="179">
        <f>IFERROR(INDEX('[2]SALES PERTYPE'!$O$10:$O$52,MATCH($C45,'[2]SALES PERTYPE'!$B$10:$B$52,0)),0)</f>
        <v>4299000</v>
      </c>
      <c r="R45" s="179">
        <f>IFERROR(INDEX('[2]SALES PERTYPE'!$P$10:$P$52,MATCH($C45,'[2]SALES PERTYPE'!$B$10:$B$52,0)),0)</f>
        <v>0</v>
      </c>
      <c r="S45" s="179">
        <f>IFERROR(INDEX('[2]SALES PERTYPE'!$Q$10:$Q$52,MATCH($C45,'[2]SALES PERTYPE'!$B$10:$B$52,0)),0)</f>
        <v>0</v>
      </c>
      <c r="T45" s="179">
        <f>IFERROR(INDEX('[2]SALES PERTYPE'!$R$10:$R$52,MATCH($C45,'[2]SALES PERTYPE'!$B$10:$B$52,0)),0)</f>
        <v>0</v>
      </c>
      <c r="U45" s="179">
        <f>IFERROR(INDEX('[2]SALES PERTYPE'!$S$10:$S$52,MATCH($C45,'[2]SALES PERTYPE'!$B$10:$B$52,0)),0)</f>
        <v>0</v>
      </c>
      <c r="V45" s="179">
        <f>IFERROR(INDEX('[2]SALES PERTYPE'!$T$10:$T$52,MATCH($C45,'[2]SALES PERTYPE'!$B$10:$B$52,0)),0)</f>
        <v>0</v>
      </c>
      <c r="W45" s="179">
        <f>IFERROR(INDEX('[2]SALES PERTYPE'!$U$10:$U$52,MATCH($C45,'[2]SALES PERTYPE'!$B$10:$B$52,0)),0)</f>
        <v>0</v>
      </c>
      <c r="X45" s="179">
        <f>IFERROR(INDEX('[2]SALES PERTYPE'!$V$10:$V$52,MATCH($C45,'[2]SALES PERTYPE'!$B$10:$B$52,0)),0)</f>
        <v>0</v>
      </c>
      <c r="Y45" s="179">
        <f>IFERROR(INDEX('[2]SALES PERTYPE'!$W$10:$W$52,MATCH($C45,'[2]SALES PERTYPE'!$B$10:$B$52,0)),0)</f>
        <v>0</v>
      </c>
      <c r="Z45" s="179">
        <f>IFERROR(INDEX('[2]SALES PERTYPE'!$X$10:$X$52,MATCH($C45,'[2]SALES PERTYPE'!$B$10:$B$52,0)),0)</f>
        <v>0</v>
      </c>
      <c r="AA45" s="179">
        <f>IFERROR(INDEX('[2]SALES PERTYPE'!$Y$10:$Y$52,MATCH($C45,'[2]SALES PERTYPE'!$B$10:$B$52,0)),0)</f>
        <v>0</v>
      </c>
      <c r="AB45" s="179">
        <f>IFERROR(INDEX('[2]SALES PERTYPE'!$Z$10:$Z$52,MATCH($C45,'[2]SALES PERTYPE'!$B$10:$B$52,0)),0)</f>
        <v>1</v>
      </c>
      <c r="AC45" s="179">
        <f>IFERROR(INDEX('[2]SALES PERTYPE'!$AA$10:$AA$52,MATCH($C45,'[2]SALES PERTYPE'!$B$10:$B$52,0)),0)</f>
        <v>11999000</v>
      </c>
      <c r="AD45" s="179">
        <f>IFERROR(INDEX('[2]SALES PERTYPE'!$AB$10:$AB$52,MATCH($C45,'[2]SALES PERTYPE'!$B$10:$B$52,0)),0)</f>
        <v>1</v>
      </c>
      <c r="AE45" s="179">
        <f>IFERROR(INDEX('[2]SALES PERTYPE'!$AC$10:$AC$52,MATCH($C45,'[2]SALES PERTYPE'!$B$10:$B$52,0)),0)</f>
        <v>5899000</v>
      </c>
      <c r="AF45" s="179">
        <f>IFERROR(INDEX('[2]SALES PERTYPE'!$AD$10:$AD$52,MATCH($C45,'[2]SALES PERTYPE'!$B$10:$B$52,0)),0)</f>
        <v>0</v>
      </c>
      <c r="AG45" s="179">
        <f>IFERROR(INDEX('[2]SALES PERTYPE'!$AE$10:$AE$52,MATCH($C45,'[2]SALES PERTYPE'!$B$10:$B$52,0)),0)</f>
        <v>0</v>
      </c>
      <c r="AH45" s="179">
        <f>IFERROR(INDEX('[2]SALES PERTYPE'!$AF$10:$AF$52,MATCH($C45,'[2]SALES PERTYPE'!$B$10:$B$52,0)),0)</f>
        <v>0</v>
      </c>
      <c r="AI45" s="179">
        <f>IFERROR(INDEX('[2]SALES PERTYPE'!$AG$10:$AG$52,MATCH($C45,'[2]SALES PERTYPE'!$B$10:$B$52,0)),0)</f>
        <v>0</v>
      </c>
      <c r="AJ45" s="179">
        <f>IFERROR(INDEX('[2]SALES PERTYPE'!$AH$10:$AH$52,MATCH($C45,'[2]SALES PERTYPE'!$B$10:$B$52,0)),0)</f>
        <v>0</v>
      </c>
      <c r="AK45" s="179">
        <f>IFERROR(INDEX('[2]SALES PERTYPE'!$AI$10:$AI$52,MATCH($C45,'[2]SALES PERTYPE'!$B$10:$B$52,0)),0)</f>
        <v>0</v>
      </c>
      <c r="AL45" s="179">
        <f>IFERROR(INDEX('[2]SALES PERTYPE'!$AJ$10:$AJ$52,MATCH($C45,'[2]SALES PERTYPE'!$B$10:$B$52,0)),0)</f>
        <v>0</v>
      </c>
      <c r="AM45" s="179">
        <f>IFERROR(INDEX('[2]SALES PERTYPE'!$AK$10:$AK$52,MATCH($C45,'[2]SALES PERTYPE'!$B$10:$B$52,0)),0)</f>
        <v>0</v>
      </c>
      <c r="AN45" s="179">
        <f>IFERROR(INDEX('[2]SALES PERTYPE'!$AL$10:$AL$52,MATCH($C45,'[2]SALES PERTYPE'!$B$10:$B$52,0)),0)</f>
        <v>6</v>
      </c>
      <c r="AO45" s="179">
        <f>IFERROR(INDEX('[2]SALES PERTYPE'!$AM$10:$AM$52,MATCH($C45,'[2]SALES PERTYPE'!$B$10:$B$52,0)),0)</f>
        <v>29494000</v>
      </c>
    </row>
    <row r="46" spans="1:41" x14ac:dyDescent="0.15">
      <c r="A46" s="184">
        <f>'[2]ACHIEVEMENT STORE'!A46</f>
        <v>42</v>
      </c>
      <c r="B46" s="183" t="str">
        <f>'[2]ACHIEVEMENT STORE'!B46</f>
        <v>614 三宝垄 Semarang</v>
      </c>
      <c r="C46" s="184">
        <f>'[2]ACHIEVEMENT STORE'!C46</f>
        <v>6140706</v>
      </c>
      <c r="D46" s="183" t="str">
        <f>'[2]ACHIEVEMENT STORE'!D46</f>
        <v>6140706-23 SEMARANG MALL 1F065-66</v>
      </c>
      <c r="E46" s="183" t="str">
        <f>'[2]ACHIEVEMENT STORE'!E46</f>
        <v>VICKY DINDA INEZ</v>
      </c>
      <c r="F46" s="182">
        <f>IFERROR(INDEX('[2]SALES PERTYPE'!$D$10:$D$52,MATCH($C46,'[2]SALES PERTYPE'!$B$10:$B$52,0)),0)</f>
        <v>0</v>
      </c>
      <c r="G46" s="182">
        <f>IFERROR(INDEX('[2]SALES PERTYPE'!$E$10:$E$52,MATCH($C46,'[2]SALES PERTYPE'!$B$10:$B$52,0)),0)</f>
        <v>0</v>
      </c>
      <c r="H46" s="182">
        <f>IFERROR(INDEX('[2]SALES PERTYPE'!$F$10:$F$52,MATCH($C46,'[2]SALES PERTYPE'!$B$10:$B$52,0)),0)</f>
        <v>1</v>
      </c>
      <c r="I46" s="182">
        <f>IFERROR(INDEX('[2]SALES PERTYPE'!$G$10:$G$52,MATCH($C46,'[2]SALES PERTYPE'!$B$10:$B$52,0)),0)</f>
        <v>2799000</v>
      </c>
      <c r="J46" s="182">
        <f>IFERROR(INDEX('[2]SALES PERTYPE'!$H$10:$H$52,MATCH($C46,'[2]SALES PERTYPE'!$B$10:$B$52,0)),0)</f>
        <v>0</v>
      </c>
      <c r="K46" s="182">
        <f>IFERROR(INDEX('[2]SALES PERTYPE'!$I$10:$I$52,MATCH($C46,'[2]SALES PERTYPE'!$B$10:$B$52,0)),0)</f>
        <v>0</v>
      </c>
      <c r="L46" s="182">
        <f>IFERROR(INDEX('[2]SALES PERTYPE'!$J$10:$J$52,MATCH($C46,'[2]SALES PERTYPE'!$B$10:$B$52,0)),0)</f>
        <v>0</v>
      </c>
      <c r="M46" s="182">
        <f>IFERROR(INDEX('[2]SALES PERTYPE'!$K$10:$K$52,MATCH($C46,'[2]SALES PERTYPE'!$B$10:$B$52,0)),0)</f>
        <v>0</v>
      </c>
      <c r="N46" s="182">
        <f>IFERROR(INDEX('[2]SALES PERTYPE'!$L$10:$L$52,MATCH($C46,'[2]SALES PERTYPE'!$B$10:$B$52,0)),0)</f>
        <v>1</v>
      </c>
      <c r="O46" s="182">
        <f>IFERROR(INDEX('[2]SALES PERTYPE'!$M$10:$M$52,MATCH($C46,'[2]SALES PERTYPE'!$B$10:$B$52,0)),0)</f>
        <v>9999000</v>
      </c>
      <c r="P46" s="182">
        <f>IFERROR(INDEX('[2]SALES PERTYPE'!$N$10:$N$52,MATCH($C46,'[2]SALES PERTYPE'!$B$10:$B$52,0)),0)</f>
        <v>1</v>
      </c>
      <c r="Q46" s="182">
        <f>IFERROR(INDEX('[2]SALES PERTYPE'!$O$10:$O$52,MATCH($C46,'[2]SALES PERTYPE'!$B$10:$B$52,0)),0)</f>
        <v>3899000</v>
      </c>
      <c r="R46" s="182">
        <f>IFERROR(INDEX('[2]SALES PERTYPE'!$P$10:$P$52,MATCH($C46,'[2]SALES PERTYPE'!$B$10:$B$52,0)),0)</f>
        <v>0</v>
      </c>
      <c r="S46" s="182">
        <f>IFERROR(INDEX('[2]SALES PERTYPE'!$Q$10:$Q$52,MATCH($C46,'[2]SALES PERTYPE'!$B$10:$B$52,0)),0)</f>
        <v>0</v>
      </c>
      <c r="T46" s="182">
        <f>IFERROR(INDEX('[2]SALES PERTYPE'!$R$10:$R$52,MATCH($C46,'[2]SALES PERTYPE'!$B$10:$B$52,0)),0)</f>
        <v>0</v>
      </c>
      <c r="U46" s="182">
        <f>IFERROR(INDEX('[2]SALES PERTYPE'!$S$10:$S$52,MATCH($C46,'[2]SALES PERTYPE'!$B$10:$B$52,0)),0)</f>
        <v>0</v>
      </c>
      <c r="V46" s="182">
        <f>IFERROR(INDEX('[2]SALES PERTYPE'!$T$10:$T$52,MATCH($C46,'[2]SALES PERTYPE'!$B$10:$B$52,0)),0)</f>
        <v>0</v>
      </c>
      <c r="W46" s="182">
        <f>IFERROR(INDEX('[2]SALES PERTYPE'!$U$10:$U$52,MATCH($C46,'[2]SALES PERTYPE'!$B$10:$B$52,0)),0)</f>
        <v>0</v>
      </c>
      <c r="X46" s="182">
        <f>IFERROR(INDEX('[2]SALES PERTYPE'!$V$10:$V$52,MATCH($C46,'[2]SALES PERTYPE'!$B$10:$B$52,0)),0)</f>
        <v>0</v>
      </c>
      <c r="Y46" s="182">
        <f>IFERROR(INDEX('[2]SALES PERTYPE'!$W$10:$W$52,MATCH($C46,'[2]SALES PERTYPE'!$B$10:$B$52,0)),0)</f>
        <v>0</v>
      </c>
      <c r="Z46" s="182">
        <f>IFERROR(INDEX('[2]SALES PERTYPE'!$X$10:$X$52,MATCH($C46,'[2]SALES PERTYPE'!$B$10:$B$52,0)),0)</f>
        <v>0</v>
      </c>
      <c r="AA46" s="182">
        <f>IFERROR(INDEX('[2]SALES PERTYPE'!$Y$10:$Y$52,MATCH($C46,'[2]SALES PERTYPE'!$B$10:$B$52,0)),0)</f>
        <v>0</v>
      </c>
      <c r="AB46" s="182">
        <f>IFERROR(INDEX('[2]SALES PERTYPE'!$Z$10:$Z$52,MATCH($C46,'[2]SALES PERTYPE'!$B$10:$B$52,0)),0)</f>
        <v>0</v>
      </c>
      <c r="AC46" s="182">
        <f>IFERROR(INDEX('[2]SALES PERTYPE'!$AA$10:$AA$52,MATCH($C46,'[2]SALES PERTYPE'!$B$10:$B$52,0)),0)</f>
        <v>0</v>
      </c>
      <c r="AD46" s="182">
        <f>IFERROR(INDEX('[2]SALES PERTYPE'!$AB$10:$AB$52,MATCH($C46,'[2]SALES PERTYPE'!$B$10:$B$52,0)),0)</f>
        <v>0</v>
      </c>
      <c r="AE46" s="182">
        <f>IFERROR(INDEX('[2]SALES PERTYPE'!$AC$10:$AC$52,MATCH($C46,'[2]SALES PERTYPE'!$B$10:$B$52,0)),0)</f>
        <v>0</v>
      </c>
      <c r="AF46" s="182">
        <f>IFERROR(INDEX('[2]SALES PERTYPE'!$AD$10:$AD$52,MATCH($C46,'[2]SALES PERTYPE'!$B$10:$B$52,0)),0)</f>
        <v>1</v>
      </c>
      <c r="AG46" s="182">
        <f>IFERROR(INDEX('[2]SALES PERTYPE'!$AE$10:$AE$52,MATCH($C46,'[2]SALES PERTYPE'!$B$10:$B$52,0)),0)</f>
        <v>25999000</v>
      </c>
      <c r="AH46" s="182">
        <f>IFERROR(INDEX('[2]SALES PERTYPE'!$AF$10:$AF$52,MATCH($C46,'[2]SALES PERTYPE'!$B$10:$B$52,0)),0)</f>
        <v>0</v>
      </c>
      <c r="AI46" s="182">
        <f>IFERROR(INDEX('[2]SALES PERTYPE'!$AG$10:$AG$52,MATCH($C46,'[2]SALES PERTYPE'!$B$10:$B$52,0)),0)</f>
        <v>0</v>
      </c>
      <c r="AJ46" s="182">
        <f>IFERROR(INDEX('[2]SALES PERTYPE'!$AH$10:$AH$52,MATCH($C46,'[2]SALES PERTYPE'!$B$10:$B$52,0)),0)</f>
        <v>0</v>
      </c>
      <c r="AK46" s="182">
        <f>IFERROR(INDEX('[2]SALES PERTYPE'!$AI$10:$AI$52,MATCH($C46,'[2]SALES PERTYPE'!$B$10:$B$52,0)),0)</f>
        <v>0</v>
      </c>
      <c r="AL46" s="182">
        <f>IFERROR(INDEX('[2]SALES PERTYPE'!$AJ$10:$AJ$52,MATCH($C46,'[2]SALES PERTYPE'!$B$10:$B$52,0)),0)</f>
        <v>0</v>
      </c>
      <c r="AM46" s="182">
        <f>IFERROR(INDEX('[2]SALES PERTYPE'!$AK$10:$AK$52,MATCH($C46,'[2]SALES PERTYPE'!$B$10:$B$52,0)),0)</f>
        <v>0</v>
      </c>
      <c r="AN46" s="182">
        <f>IFERROR(INDEX('[2]SALES PERTYPE'!$AL$10:$AL$52,MATCH($C46,'[2]SALES PERTYPE'!$B$10:$B$52,0)),0)</f>
        <v>4</v>
      </c>
      <c r="AO46" s="182">
        <f>IFERROR(INDEX('[2]SALES PERTYPE'!$AM$10:$AM$52,MATCH($C46,'[2]SALES PERTYPE'!$B$10:$B$52,0)),0)</f>
        <v>42696000</v>
      </c>
    </row>
    <row r="47" spans="1:41" x14ac:dyDescent="0.15">
      <c r="A47" s="181">
        <f>'[2]ACHIEVEMENT STORE'!A47</f>
        <v>43</v>
      </c>
      <c r="B47" s="180" t="str">
        <f>'[2]ACHIEVEMENT STORE'!B47</f>
        <v>614 三宝垄 Semarang</v>
      </c>
      <c r="C47" s="181">
        <f>'[2]ACHIEVEMENT STORE'!C47</f>
        <v>6140705</v>
      </c>
      <c r="D47" s="180" t="str">
        <f>'[2]ACHIEVEMENT STORE'!D47</f>
        <v>6140705-QUEENCITY 2F027</v>
      </c>
      <c r="E47" s="180" t="str">
        <f>'[2]ACHIEVEMENT STORE'!E47</f>
        <v>EDI SUSANTO</v>
      </c>
      <c r="F47" s="179">
        <f>IFERROR(INDEX('[2]SALES PERTYPE'!$D$10:$D$52,MATCH($C47,'[2]SALES PERTYPE'!$B$10:$B$52,0)),0)</f>
        <v>0</v>
      </c>
      <c r="G47" s="179">
        <f>IFERROR(INDEX('[2]SALES PERTYPE'!$E$10:$E$52,MATCH($C47,'[2]SALES PERTYPE'!$B$10:$B$52,0)),0)</f>
        <v>0</v>
      </c>
      <c r="H47" s="179">
        <f>IFERROR(INDEX('[2]SALES PERTYPE'!$F$10:$F$52,MATCH($C47,'[2]SALES PERTYPE'!$B$10:$B$52,0)),0)</f>
        <v>1</v>
      </c>
      <c r="I47" s="179">
        <f>IFERROR(INDEX('[2]SALES PERTYPE'!$G$10:$G$52,MATCH($C47,'[2]SALES PERTYPE'!$B$10:$B$52,0)),0)</f>
        <v>2399000</v>
      </c>
      <c r="J47" s="179">
        <f>IFERROR(INDEX('[2]SALES PERTYPE'!$H$10:$H$52,MATCH($C47,'[2]SALES PERTYPE'!$B$10:$B$52,0)),0)</f>
        <v>0</v>
      </c>
      <c r="K47" s="179">
        <f>IFERROR(INDEX('[2]SALES PERTYPE'!$I$10:$I$52,MATCH($C47,'[2]SALES PERTYPE'!$B$10:$B$52,0)),0)</f>
        <v>0</v>
      </c>
      <c r="L47" s="179">
        <f>IFERROR(INDEX('[2]SALES PERTYPE'!$J$10:$J$52,MATCH($C47,'[2]SALES PERTYPE'!$B$10:$B$52,0)),0)</f>
        <v>0</v>
      </c>
      <c r="M47" s="179">
        <f>IFERROR(INDEX('[2]SALES PERTYPE'!$K$10:$K$52,MATCH($C47,'[2]SALES PERTYPE'!$B$10:$B$52,0)),0)</f>
        <v>0</v>
      </c>
      <c r="N47" s="179">
        <f>IFERROR(INDEX('[2]SALES PERTYPE'!$L$10:$L$52,MATCH($C47,'[2]SALES PERTYPE'!$B$10:$B$52,0)),0)</f>
        <v>2</v>
      </c>
      <c r="O47" s="179">
        <f>IFERROR(INDEX('[2]SALES PERTYPE'!$M$10:$M$52,MATCH($C47,'[2]SALES PERTYPE'!$B$10:$B$52,0)),0)</f>
        <v>19998000</v>
      </c>
      <c r="P47" s="179">
        <f>IFERROR(INDEX('[2]SALES PERTYPE'!$N$10:$N$52,MATCH($C47,'[2]SALES PERTYPE'!$B$10:$B$52,0)),0)</f>
        <v>0</v>
      </c>
      <c r="Q47" s="179">
        <f>IFERROR(INDEX('[2]SALES PERTYPE'!$O$10:$O$52,MATCH($C47,'[2]SALES PERTYPE'!$B$10:$B$52,0)),0)</f>
        <v>0</v>
      </c>
      <c r="R47" s="179">
        <f>IFERROR(INDEX('[2]SALES PERTYPE'!$P$10:$P$52,MATCH($C47,'[2]SALES PERTYPE'!$B$10:$B$52,0)),0)</f>
        <v>0</v>
      </c>
      <c r="S47" s="179">
        <f>IFERROR(INDEX('[2]SALES PERTYPE'!$Q$10:$Q$52,MATCH($C47,'[2]SALES PERTYPE'!$B$10:$B$52,0)),0)</f>
        <v>0</v>
      </c>
      <c r="T47" s="179">
        <f>IFERROR(INDEX('[2]SALES PERTYPE'!$R$10:$R$52,MATCH($C47,'[2]SALES PERTYPE'!$B$10:$B$52,0)),0)</f>
        <v>0</v>
      </c>
      <c r="U47" s="179">
        <f>IFERROR(INDEX('[2]SALES PERTYPE'!$S$10:$S$52,MATCH($C47,'[2]SALES PERTYPE'!$B$10:$B$52,0)),0)</f>
        <v>0</v>
      </c>
      <c r="V47" s="179">
        <f>IFERROR(INDEX('[2]SALES PERTYPE'!$T$10:$T$52,MATCH($C47,'[2]SALES PERTYPE'!$B$10:$B$52,0)),0)</f>
        <v>2</v>
      </c>
      <c r="W47" s="179">
        <f>IFERROR(INDEX('[2]SALES PERTYPE'!$U$10:$U$52,MATCH($C47,'[2]SALES PERTYPE'!$B$10:$B$52,0)),0)</f>
        <v>12998000</v>
      </c>
      <c r="X47" s="179">
        <f>IFERROR(INDEX('[2]SALES PERTYPE'!$V$10:$V$52,MATCH($C47,'[2]SALES PERTYPE'!$B$10:$B$52,0)),0)</f>
        <v>0</v>
      </c>
      <c r="Y47" s="179">
        <f>IFERROR(INDEX('[2]SALES PERTYPE'!$W$10:$W$52,MATCH($C47,'[2]SALES PERTYPE'!$B$10:$B$52,0)),0)</f>
        <v>0</v>
      </c>
      <c r="Z47" s="179">
        <f>IFERROR(INDEX('[2]SALES PERTYPE'!$X$10:$X$52,MATCH($C47,'[2]SALES PERTYPE'!$B$10:$B$52,0)),0)</f>
        <v>0</v>
      </c>
      <c r="AA47" s="179">
        <f>IFERROR(INDEX('[2]SALES PERTYPE'!$Y$10:$Y$52,MATCH($C47,'[2]SALES PERTYPE'!$B$10:$B$52,0)),0)</f>
        <v>0</v>
      </c>
      <c r="AB47" s="179">
        <f>IFERROR(INDEX('[2]SALES PERTYPE'!$Z$10:$Z$52,MATCH($C47,'[2]SALES PERTYPE'!$B$10:$B$52,0)),0)</f>
        <v>0</v>
      </c>
      <c r="AC47" s="179">
        <f>IFERROR(INDEX('[2]SALES PERTYPE'!$AA$10:$AA$52,MATCH($C47,'[2]SALES PERTYPE'!$B$10:$B$52,0)),0)</f>
        <v>0</v>
      </c>
      <c r="AD47" s="179">
        <f>IFERROR(INDEX('[2]SALES PERTYPE'!$AB$10:$AB$52,MATCH($C47,'[2]SALES PERTYPE'!$B$10:$B$52,0)),0)</f>
        <v>1</v>
      </c>
      <c r="AE47" s="179">
        <f>IFERROR(INDEX('[2]SALES PERTYPE'!$AC$10:$AC$52,MATCH($C47,'[2]SALES PERTYPE'!$B$10:$B$52,0)),0)</f>
        <v>5299000</v>
      </c>
      <c r="AF47" s="179">
        <f>IFERROR(INDEX('[2]SALES PERTYPE'!$AD$10:$AD$52,MATCH($C47,'[2]SALES PERTYPE'!$B$10:$B$52,0)),0)</f>
        <v>1</v>
      </c>
      <c r="AG47" s="179">
        <f>IFERROR(INDEX('[2]SALES PERTYPE'!$AE$10:$AE$52,MATCH($C47,'[2]SALES PERTYPE'!$B$10:$B$52,0)),0)</f>
        <v>25999000</v>
      </c>
      <c r="AH47" s="179">
        <f>IFERROR(INDEX('[2]SALES PERTYPE'!$AF$10:$AF$52,MATCH($C47,'[2]SALES PERTYPE'!$B$10:$B$52,0)),0)</f>
        <v>0</v>
      </c>
      <c r="AI47" s="179">
        <f>IFERROR(INDEX('[2]SALES PERTYPE'!$AG$10:$AG$52,MATCH($C47,'[2]SALES PERTYPE'!$B$10:$B$52,0)),0)</f>
        <v>0</v>
      </c>
      <c r="AJ47" s="179">
        <f>IFERROR(INDEX('[2]SALES PERTYPE'!$AH$10:$AH$52,MATCH($C47,'[2]SALES PERTYPE'!$B$10:$B$52,0)),0)</f>
        <v>1</v>
      </c>
      <c r="AK47" s="179">
        <f>IFERROR(INDEX('[2]SALES PERTYPE'!$AI$10:$AI$52,MATCH($C47,'[2]SALES PERTYPE'!$B$10:$B$52,0)),0)</f>
        <v>5699000</v>
      </c>
      <c r="AL47" s="179">
        <f>IFERROR(INDEX('[2]SALES PERTYPE'!$AJ$10:$AJ$52,MATCH($C47,'[2]SALES PERTYPE'!$B$10:$B$52,0)),0)</f>
        <v>3</v>
      </c>
      <c r="AM47" s="179">
        <f>IFERROR(INDEX('[2]SALES PERTYPE'!$AK$10:$AK$52,MATCH($C47,'[2]SALES PERTYPE'!$B$10:$B$52,0)),0)</f>
        <v>20697000</v>
      </c>
      <c r="AN47" s="179">
        <f>IFERROR(INDEX('[2]SALES PERTYPE'!$AL$10:$AL$52,MATCH($C47,'[2]SALES PERTYPE'!$B$10:$B$52,0)),0)</f>
        <v>11</v>
      </c>
      <c r="AO47" s="179">
        <f>IFERROR(INDEX('[2]SALES PERTYPE'!$AM$10:$AM$52,MATCH($C47,'[2]SALES PERTYPE'!$B$10:$B$52,0)),0)</f>
        <v>93089000</v>
      </c>
    </row>
    <row r="48" spans="1:41" x14ac:dyDescent="0.15">
      <c r="A48" s="178" t="s">
        <v>111</v>
      </c>
      <c r="B48" s="178"/>
      <c r="C48" s="178"/>
      <c r="D48" s="178"/>
      <c r="E48" s="178"/>
      <c r="F48" s="177">
        <f>SUM(F5:F47)</f>
        <v>122</v>
      </c>
      <c r="G48" s="177">
        <f>SUM(G5:G47)</f>
        <v>296078000</v>
      </c>
      <c r="H48" s="177">
        <f>SUM(H5:H47)</f>
        <v>179</v>
      </c>
      <c r="I48" s="177">
        <f>SUM(I5:I47)</f>
        <v>472621000</v>
      </c>
      <c r="J48" s="177">
        <f>SUM(J5:J47)</f>
        <v>1</v>
      </c>
      <c r="K48" s="177">
        <f>SUM(K5:K47)</f>
        <v>1799000</v>
      </c>
      <c r="L48" s="177">
        <f>SUM(L5:L47)</f>
        <v>174</v>
      </c>
      <c r="M48" s="177">
        <f>SUM(M5:M47)</f>
        <v>365226000</v>
      </c>
      <c r="N48" s="177">
        <f>SUM(N5:N47)</f>
        <v>23</v>
      </c>
      <c r="O48" s="177">
        <f>SUM(O5:O47)</f>
        <v>227977000</v>
      </c>
      <c r="P48" s="177">
        <f>SUM(P5:P47)</f>
        <v>103</v>
      </c>
      <c r="Q48" s="177">
        <f>SUM(Q5:Q47)</f>
        <v>453997000</v>
      </c>
      <c r="R48" s="177">
        <f>SUM(R5:R47)</f>
        <v>3</v>
      </c>
      <c r="S48" s="177">
        <f>SUM(S5:S47)</f>
        <v>10797000</v>
      </c>
      <c r="T48" s="177">
        <f>SUM(T5:T47)</f>
        <v>9</v>
      </c>
      <c r="U48" s="177">
        <f>SUM(U5:U47)</f>
        <v>32391000</v>
      </c>
      <c r="V48" s="177">
        <f>SUM(V5:V47)</f>
        <v>31</v>
      </c>
      <c r="W48" s="177">
        <f>SUM(W5:W47)</f>
        <v>221169000</v>
      </c>
      <c r="X48" s="177">
        <f>SUM(X5:X47)</f>
        <v>5</v>
      </c>
      <c r="Y48" s="177">
        <f>SUM(Y5:Y47)</f>
        <v>17995000</v>
      </c>
      <c r="Z48" s="177">
        <f>SUM(Z5:Z47)</f>
        <v>29</v>
      </c>
      <c r="AA48" s="177">
        <f>SUM(AA5:AA47)</f>
        <v>169071000</v>
      </c>
      <c r="AB48" s="177">
        <f>SUM(AB5:AB47)</f>
        <v>3</v>
      </c>
      <c r="AC48" s="177">
        <f>SUM(AC5:AC47)</f>
        <v>35997000</v>
      </c>
      <c r="AD48" s="177">
        <f>SUM(AD5:AD47)</f>
        <v>25</v>
      </c>
      <c r="AE48" s="177">
        <f>SUM(AE5:AE47)</f>
        <v>138875000</v>
      </c>
      <c r="AF48" s="177">
        <f>SUM(AF5:AF47)</f>
        <v>9</v>
      </c>
      <c r="AG48" s="177">
        <f>SUM(AG5:AG47)</f>
        <v>241991000</v>
      </c>
      <c r="AH48" s="177">
        <f>SUM(AH5:AH47)</f>
        <v>1</v>
      </c>
      <c r="AI48" s="177">
        <f>SUM(AI5:AI47)</f>
        <v>15999000</v>
      </c>
      <c r="AJ48" s="177">
        <f>SUM(AJ5:AJ47)</f>
        <v>9</v>
      </c>
      <c r="AK48" s="177">
        <f>SUM(AK5:AK47)</f>
        <v>51091000</v>
      </c>
      <c r="AL48" s="177">
        <f>SUM(AL5:AL47)</f>
        <v>23</v>
      </c>
      <c r="AM48" s="177">
        <f>SUM(AM5:AM47)</f>
        <v>169077000</v>
      </c>
      <c r="AN48" s="177">
        <f>SUM(AN5:AN47)</f>
        <v>749</v>
      </c>
      <c r="AO48" s="177">
        <f>SUM(AO5:AO47)</f>
        <v>2922151000</v>
      </c>
    </row>
  </sheetData>
  <mergeCells count="27">
    <mergeCell ref="R3:S3"/>
    <mergeCell ref="A1:AO1"/>
    <mergeCell ref="A3:A4"/>
    <mergeCell ref="B3:B4"/>
    <mergeCell ref="C3:C4"/>
    <mergeCell ref="D3:D4"/>
    <mergeCell ref="E3:E4"/>
    <mergeCell ref="AD3:AE3"/>
    <mergeCell ref="F2:M2"/>
    <mergeCell ref="N2:AM2"/>
    <mergeCell ref="AN2:AO2"/>
    <mergeCell ref="F3:G3"/>
    <mergeCell ref="H3:I3"/>
    <mergeCell ref="J3:K3"/>
    <mergeCell ref="L3:M3"/>
    <mergeCell ref="N3:O3"/>
    <mergeCell ref="P3:Q3"/>
    <mergeCell ref="AF3:AG3"/>
    <mergeCell ref="AH3:AI3"/>
    <mergeCell ref="AJ3:AK3"/>
    <mergeCell ref="AL3:AM3"/>
    <mergeCell ref="AN3:AO3"/>
    <mergeCell ref="T3:U3"/>
    <mergeCell ref="V3:W3"/>
    <mergeCell ref="X3:Y3"/>
    <mergeCell ref="Z3:AA3"/>
    <mergeCell ref="AB3:AC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SALES VALUE PER 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2026-08-06T15:28:00Z</dcterms:created>
  <dcterms:modified xsi:type="dcterms:W3CDTF">2026-08-07T07:30:28Z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A1233A920CE837C6D136756A0025220A_42</vt:lpwstr>
  </property>
  <property fmtid="{D5CDD505-2E9C-101B-9397-08002B2CF9AE}" pid="3" name="KSOProductBuildVer">
    <vt:lpwstr>1033-12.1.26035.26035</vt:lpwstr>
  </property>
  <property fmtid="{D5CDD505-2E9C-101B-9397-08002B2CF9AE}" pid="4" name="CalculationRule">
    <vt:i4>0</vt:i4>
  </property>
</Properties>
</file>