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85E8B905-46CD-7A47-AA80-B34AF23449D5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47" i="3" l="1" a="1"/>
  <c r="DZ47" i="3" s="1"/>
  <c r="DM47" i="3" a="1"/>
  <c r="DM47" i="3" s="1"/>
  <c r="DG47" i="3"/>
  <c r="DG47" i="3" a="1"/>
  <c r="DD47" i="3"/>
  <c r="DB47" i="3" a="1"/>
  <c r="DB47" i="3" s="1"/>
  <c r="CX47" i="3"/>
  <c r="CU47" i="3" a="1"/>
  <c r="CU47" i="3" s="1"/>
  <c r="CS47" i="3"/>
  <c r="CL47" i="3"/>
  <c r="CG47" i="3"/>
  <c r="CA47" i="3"/>
  <c r="BX47" i="3" a="1"/>
  <c r="BX47" i="3" s="1"/>
  <c r="BR47" i="3" a="1"/>
  <c r="BR47" i="3" s="1"/>
  <c r="BF47" i="3" a="1"/>
  <c r="BF47" i="3" s="1"/>
  <c r="BE47" i="3" a="1"/>
  <c r="BE47" i="3" s="1"/>
  <c r="AX47" i="3"/>
  <c r="AW47" i="3"/>
  <c r="AV47" i="3"/>
  <c r="AN47" i="3" a="1"/>
  <c r="AN47" i="3" s="1"/>
  <c r="AK47" i="3"/>
  <c r="AE47" i="3"/>
  <c r="AA47" i="3" a="1"/>
  <c r="AA47" i="3" s="1"/>
  <c r="S47" i="3"/>
  <c r="R47" i="3"/>
  <c r="T47" i="3" s="1"/>
  <c r="J47" i="3"/>
  <c r="J47" i="3" a="1"/>
  <c r="E47" i="3"/>
  <c r="D47" i="3"/>
  <c r="C47" i="3"/>
  <c r="CF47" i="3" s="1"/>
  <c r="CH47" i="3" s="1"/>
  <c r="B47" i="3"/>
  <c r="A47" i="3"/>
  <c r="DW46" i="3"/>
  <c r="DV46" i="3"/>
  <c r="DX46" i="3" s="1"/>
  <c r="DQ46" i="3"/>
  <c r="DP46" i="3"/>
  <c r="DR46" i="3" s="1"/>
  <c r="DM46" i="3" a="1"/>
  <c r="DM46" i="3" s="1"/>
  <c r="DG46" i="3" a="1"/>
  <c r="DG46" i="3" s="1"/>
  <c r="DE46" i="3"/>
  <c r="DD46" i="3"/>
  <c r="DA46" i="3" a="1"/>
  <c r="DA46" i="3" s="1"/>
  <c r="CY46" i="3"/>
  <c r="CV46" i="3" a="1"/>
  <c r="CV46" i="3" s="1"/>
  <c r="CP46" i="3"/>
  <c r="CP46" i="3" a="1"/>
  <c r="CO46" i="3" a="1"/>
  <c r="CO46" i="3" s="1"/>
  <c r="CQ46" i="3" s="1"/>
  <c r="CJ46" i="3" a="1"/>
  <c r="CJ46" i="3" s="1"/>
  <c r="CI46" i="3" a="1"/>
  <c r="CI46" i="3" s="1"/>
  <c r="CK46" i="3" s="1"/>
  <c r="CF46" i="3"/>
  <c r="CA46" i="3"/>
  <c r="BX46" i="3" a="1"/>
  <c r="BX46" i="3" s="1"/>
  <c r="BT46" i="3"/>
  <c r="BO46" i="3"/>
  <c r="BK46" i="3" a="1"/>
  <c r="BK46" i="3" s="1"/>
  <c r="BI46" i="3"/>
  <c r="BE46" i="3" a="1"/>
  <c r="BE46" i="3" s="1"/>
  <c r="BC46" i="3"/>
  <c r="BB46" i="3"/>
  <c r="BD46" i="3" s="1"/>
  <c r="AZ46" i="3" a="1"/>
  <c r="AZ46" i="3" s="1"/>
  <c r="AY46" i="3" a="1"/>
  <c r="AY46" i="3" s="1"/>
  <c r="AW46" i="3"/>
  <c r="AN46" i="3" a="1"/>
  <c r="AN46" i="3" s="1"/>
  <c r="AK46" i="3"/>
  <c r="AJ46" i="3"/>
  <c r="AH46" i="3" a="1"/>
  <c r="AH46" i="3" s="1"/>
  <c r="AE46" i="3"/>
  <c r="Y46" i="3"/>
  <c r="X46" i="3"/>
  <c r="U46" i="3" a="1"/>
  <c r="U46" i="3" s="1"/>
  <c r="R46" i="3"/>
  <c r="O46" i="3"/>
  <c r="O46" i="3" a="1"/>
  <c r="M46" i="3"/>
  <c r="I46" i="3" a="1"/>
  <c r="I46" i="3" s="1"/>
  <c r="G46" i="3"/>
  <c r="E46" i="3"/>
  <c r="D46" i="3"/>
  <c r="C46" i="3"/>
  <c r="B46" i="3"/>
  <c r="A46" i="3"/>
  <c r="DX45" i="3"/>
  <c r="DW45" i="3"/>
  <c r="DV45" i="3"/>
  <c r="DN45" i="3" a="1"/>
  <c r="DN45" i="3" s="1"/>
  <c r="DM45" i="3" a="1"/>
  <c r="DM45" i="3" s="1"/>
  <c r="DO45" i="3" s="1"/>
  <c r="DE45" i="3"/>
  <c r="CY45" i="3"/>
  <c r="CV45" i="3" a="1"/>
  <c r="CV45" i="3" s="1"/>
  <c r="CU45" i="3" a="1"/>
  <c r="CU45" i="3" s="1"/>
  <c r="CW45" i="3" s="1"/>
  <c r="CP45" i="3" a="1"/>
  <c r="CP45" i="3" s="1"/>
  <c r="CM45" i="3"/>
  <c r="CL45" i="3"/>
  <c r="CG45" i="3"/>
  <c r="CF45" i="3"/>
  <c r="CH45" i="3" s="1"/>
  <c r="CD45" i="3" a="1"/>
  <c r="CD45" i="3" s="1"/>
  <c r="BX45" i="3"/>
  <c r="BX45" i="3" a="1"/>
  <c r="BU45" i="3"/>
  <c r="BQ45" i="3" a="1"/>
  <c r="BQ45" i="3" s="1"/>
  <c r="BO45" i="3"/>
  <c r="BN45" i="3"/>
  <c r="BK45" i="3" a="1"/>
  <c r="BK45" i="3" s="1"/>
  <c r="BF45" i="3" a="1"/>
  <c r="BF45" i="3" s="1"/>
  <c r="AY45" i="3" a="1"/>
  <c r="AY45" i="3" s="1"/>
  <c r="AM45" i="3" a="1"/>
  <c r="AM45" i="3" s="1"/>
  <c r="AK45" i="3"/>
  <c r="AH45" i="3" a="1"/>
  <c r="AH45" i="3" s="1"/>
  <c r="AB45" i="3" a="1"/>
  <c r="AB45" i="3" s="1"/>
  <c r="U45" i="3" a="1"/>
  <c r="U45" i="3" s="1"/>
  <c r="S45" i="3"/>
  <c r="O45" i="3" a="1"/>
  <c r="O45" i="3" s="1"/>
  <c r="M45" i="3"/>
  <c r="I45" i="3" a="1"/>
  <c r="I45" i="3" s="1"/>
  <c r="G45" i="3"/>
  <c r="F45" i="3"/>
  <c r="E45" i="3"/>
  <c r="D45" i="3"/>
  <c r="C45" i="3"/>
  <c r="DA45" i="3" s="1" a="1"/>
  <c r="DA45" i="3" s="1"/>
  <c r="B45" i="3"/>
  <c r="A45" i="3"/>
  <c r="DZ44" i="3" a="1"/>
  <c r="DZ44" i="3" s="1"/>
  <c r="DS44" i="3" a="1"/>
  <c r="DS44" i="3" s="1"/>
  <c r="DM44" i="3" a="1"/>
  <c r="DM44" i="3" s="1"/>
  <c r="DH44" i="3" a="1"/>
  <c r="DH44" i="3" s="1"/>
  <c r="DE44" i="3"/>
  <c r="DA44" i="3" a="1"/>
  <c r="DA44" i="3" s="1"/>
  <c r="CY44" i="3"/>
  <c r="CU44" i="3"/>
  <c r="CU44" i="3" a="1"/>
  <c r="CL44" i="3"/>
  <c r="CI44" i="3" a="1"/>
  <c r="CI44" i="3" s="1"/>
  <c r="CG44" i="3"/>
  <c r="CF44" i="3"/>
  <c r="CH44" i="3" s="1"/>
  <c r="BZ44" i="3"/>
  <c r="BU44" i="3"/>
  <c r="BT44" i="3"/>
  <c r="BV44" i="3" s="1"/>
  <c r="BO44" i="3"/>
  <c r="BN44" i="3"/>
  <c r="BP44" i="3" s="1"/>
  <c r="BH44" i="3"/>
  <c r="BF44" i="3" a="1"/>
  <c r="BF44" i="3" s="1"/>
  <c r="BB44" i="3"/>
  <c r="AY44" i="3"/>
  <c r="AY44" i="3" a="1"/>
  <c r="AJ44" i="3"/>
  <c r="AH44" i="3" a="1"/>
  <c r="AH44" i="3" s="1"/>
  <c r="AG44" i="3" a="1"/>
  <c r="AG44" i="3" s="1"/>
  <c r="AD44" i="3"/>
  <c r="AB44" i="3" a="1"/>
  <c r="AB44" i="3" s="1"/>
  <c r="Y44" i="3"/>
  <c r="V44" i="3" a="1"/>
  <c r="V44" i="3" s="1"/>
  <c r="S44" i="3"/>
  <c r="R44" i="3"/>
  <c r="T44" i="3" s="1"/>
  <c r="M44" i="3"/>
  <c r="L44" i="3"/>
  <c r="N44" i="3" s="1"/>
  <c r="I44" i="3" a="1"/>
  <c r="I44" i="3" s="1"/>
  <c r="G44" i="3"/>
  <c r="E44" i="3"/>
  <c r="D44" i="3"/>
  <c r="C44" i="3"/>
  <c r="DW44" i="3" s="1"/>
  <c r="B44" i="3"/>
  <c r="A44" i="3"/>
  <c r="BH43" i="3"/>
  <c r="AJ43" i="3"/>
  <c r="M43" i="3"/>
  <c r="L43" i="3"/>
  <c r="N43" i="3" s="1"/>
  <c r="E43" i="3"/>
  <c r="D43" i="3"/>
  <c r="C43" i="3"/>
  <c r="DD43" i="3" s="1"/>
  <c r="B43" i="3"/>
  <c r="A43" i="3"/>
  <c r="DW42" i="3"/>
  <c r="DV42" i="3"/>
  <c r="DX42" i="3" s="1"/>
  <c r="DP42" i="3"/>
  <c r="DM42" i="3" a="1"/>
  <c r="DM42" i="3" s="1"/>
  <c r="DE42" i="3"/>
  <c r="CP42" i="3" a="1"/>
  <c r="CP42" i="3" s="1"/>
  <c r="CL42" i="3"/>
  <c r="CF42" i="3"/>
  <c r="CA42" i="3"/>
  <c r="BQ42" i="3" a="1"/>
  <c r="BQ42" i="3" s="1"/>
  <c r="BO42" i="3"/>
  <c r="BI42" i="3"/>
  <c r="BF42" i="3" a="1"/>
  <c r="BF42" i="3" s="1"/>
  <c r="BC42" i="3"/>
  <c r="AK42" i="3"/>
  <c r="AJ42" i="3"/>
  <c r="AL42" i="3" s="1"/>
  <c r="AE42" i="3"/>
  <c r="X42" i="3"/>
  <c r="V42" i="3" a="1"/>
  <c r="V42" i="3" s="1"/>
  <c r="U42" i="3" a="1"/>
  <c r="U42" i="3" s="1"/>
  <c r="W42" i="3" s="1"/>
  <c r="I42" i="3" a="1"/>
  <c r="I42" i="3" s="1"/>
  <c r="E42" i="3"/>
  <c r="D42" i="3"/>
  <c r="C42" i="3"/>
  <c r="CV42" i="3" s="1" a="1"/>
  <c r="CV42" i="3" s="1"/>
  <c r="B42" i="3"/>
  <c r="A42" i="3"/>
  <c r="DZ41" i="3" a="1"/>
  <c r="DZ41" i="3" s="1"/>
  <c r="DW41" i="3"/>
  <c r="DX41" i="3" s="1"/>
  <c r="DS41" i="3"/>
  <c r="DS41" i="3" a="1"/>
  <c r="DN41" i="3" a="1"/>
  <c r="DN41" i="3" s="1"/>
  <c r="DM41" i="3" a="1"/>
  <c r="DM41" i="3" s="1"/>
  <c r="DO41" i="3" s="1"/>
  <c r="DH41" i="3" a="1"/>
  <c r="DH41" i="3" s="1"/>
  <c r="DD41" i="3"/>
  <c r="CY41" i="3"/>
  <c r="CX41" i="3"/>
  <c r="CZ41" i="3" s="1"/>
  <c r="CV41" i="3" a="1"/>
  <c r="CV41" i="3" s="1"/>
  <c r="CR41" i="3"/>
  <c r="CN41" i="3"/>
  <c r="CM41" i="3"/>
  <c r="CL41" i="3"/>
  <c r="CI41" i="3" a="1"/>
  <c r="CI41" i="3" s="1"/>
  <c r="CG41" i="3"/>
  <c r="CF41" i="3"/>
  <c r="CH41" i="3" s="1"/>
  <c r="CC41" i="3" a="1"/>
  <c r="CC41" i="3" s="1"/>
  <c r="BZ41" i="3"/>
  <c r="BX41" i="3" a="1"/>
  <c r="BX41" i="3" s="1"/>
  <c r="BU41" i="3"/>
  <c r="BQ41" i="3" a="1"/>
  <c r="BQ41" i="3" s="1"/>
  <c r="BL41" i="3" a="1"/>
  <c r="BL41" i="3" s="1"/>
  <c r="BK41" i="3"/>
  <c r="BK41" i="3" a="1"/>
  <c r="BF41" i="3"/>
  <c r="BF41" i="3" a="1"/>
  <c r="BB41" i="3"/>
  <c r="AW41" i="3"/>
  <c r="AV41" i="3"/>
  <c r="AX41" i="3" s="1"/>
  <c r="AM41" i="3" a="1"/>
  <c r="AM41" i="3" s="1"/>
  <c r="AK41" i="3"/>
  <c r="AH41" i="3" a="1"/>
  <c r="AH41" i="3" s="1"/>
  <c r="AG41" i="3" a="1"/>
  <c r="AG41" i="3" s="1"/>
  <c r="AI41" i="3" s="1"/>
  <c r="AB41" i="3"/>
  <c r="AB41" i="3" a="1"/>
  <c r="U41" i="3" a="1"/>
  <c r="U41" i="3" s="1"/>
  <c r="R41" i="3"/>
  <c r="P41" i="3" a="1"/>
  <c r="P41" i="3" s="1"/>
  <c r="L41" i="3"/>
  <c r="J41" i="3" a="1"/>
  <c r="J41" i="3" s="1"/>
  <c r="G41" i="3"/>
  <c r="F41" i="3"/>
  <c r="H41" i="3" s="1"/>
  <c r="E41" i="3"/>
  <c r="D41" i="3"/>
  <c r="C41" i="3"/>
  <c r="DV41" i="3" s="1"/>
  <c r="B41" i="3"/>
  <c r="A41" i="3"/>
  <c r="DY40" i="3" a="1"/>
  <c r="DY40" i="3" s="1"/>
  <c r="DT40" i="3" a="1"/>
  <c r="DT40" i="3" s="1"/>
  <c r="DN40" i="3" a="1"/>
  <c r="DN40" i="3" s="1"/>
  <c r="DK40" i="3"/>
  <c r="DE40" i="3"/>
  <c r="DD40" i="3"/>
  <c r="DF40" i="3" s="1"/>
  <c r="DA40" i="3" a="1"/>
  <c r="DA40" i="3" s="1"/>
  <c r="CS40" i="3"/>
  <c r="CR40" i="3"/>
  <c r="CT40" i="3" s="1"/>
  <c r="CL40" i="3"/>
  <c r="CJ40" i="3" a="1"/>
  <c r="CJ40" i="3" s="1"/>
  <c r="BW40" i="3" a="1"/>
  <c r="BW40" i="3" s="1"/>
  <c r="BQ40" i="3" a="1"/>
  <c r="BQ40" i="3" s="1"/>
  <c r="BL40" i="3" a="1"/>
  <c r="BL40" i="3" s="1"/>
  <c r="BH40" i="3"/>
  <c r="BE40" i="3" a="1"/>
  <c r="BE40" i="3" s="1"/>
  <c r="BC40" i="3"/>
  <c r="AM40" i="3" a="1"/>
  <c r="AM40" i="3" s="1"/>
  <c r="AD40" i="3"/>
  <c r="Y40" i="3"/>
  <c r="P40" i="3"/>
  <c r="P40" i="3" a="1"/>
  <c r="I40" i="3" a="1"/>
  <c r="I40" i="3" s="1"/>
  <c r="E40" i="3"/>
  <c r="D40" i="3"/>
  <c r="C40" i="3"/>
  <c r="DJ40" i="3" s="1"/>
  <c r="B40" i="3"/>
  <c r="A40" i="3"/>
  <c r="DW39" i="3"/>
  <c r="DT39" i="3" a="1"/>
  <c r="DT39" i="3" s="1"/>
  <c r="DP39" i="3"/>
  <c r="DK39" i="3"/>
  <c r="DL39" i="3" s="1"/>
  <c r="DJ39" i="3"/>
  <c r="DG39" i="3" a="1"/>
  <c r="DG39" i="3" s="1"/>
  <c r="DF39" i="3"/>
  <c r="DE39" i="3"/>
  <c r="DD39" i="3"/>
  <c r="DA39" i="3" a="1"/>
  <c r="DA39" i="3" s="1"/>
  <c r="CX39" i="3"/>
  <c r="CV39" i="3" a="1"/>
  <c r="CV39" i="3" s="1"/>
  <c r="CU39" i="3"/>
  <c r="CW39" i="3" s="1"/>
  <c r="CU39" i="3" a="1"/>
  <c r="CP39" i="3" a="1"/>
  <c r="CP39" i="3" s="1"/>
  <c r="CM39" i="3"/>
  <c r="CL39" i="3"/>
  <c r="CI39" i="3" a="1"/>
  <c r="CI39" i="3" s="1"/>
  <c r="CH39" i="3"/>
  <c r="CG39" i="3"/>
  <c r="CF39" i="3"/>
  <c r="CD39" i="3" a="1"/>
  <c r="CD39" i="3" s="1"/>
  <c r="CC39" i="3" a="1"/>
  <c r="CC39" i="3" s="1"/>
  <c r="CE39" i="3" s="1"/>
  <c r="BZ39" i="3"/>
  <c r="BX39" i="3" a="1"/>
  <c r="BX39" i="3" s="1"/>
  <c r="BU39" i="3"/>
  <c r="BT39" i="3"/>
  <c r="BQ39" i="3" a="1"/>
  <c r="BQ39" i="3" s="1"/>
  <c r="BO39" i="3"/>
  <c r="BP39" i="3" s="1"/>
  <c r="BN39" i="3"/>
  <c r="BL39" i="3" a="1"/>
  <c r="BL39" i="3" s="1"/>
  <c r="BK39" i="3"/>
  <c r="BM39" i="3" s="1"/>
  <c r="BK39" i="3" a="1"/>
  <c r="BH39" i="3"/>
  <c r="BF39" i="3" a="1"/>
  <c r="BF39" i="3" s="1"/>
  <c r="BC39" i="3"/>
  <c r="BB39" i="3"/>
  <c r="AY39" i="3" a="1"/>
  <c r="AY39" i="3" s="1"/>
  <c r="AW39" i="3"/>
  <c r="AV39" i="3"/>
  <c r="AM39" i="3" a="1"/>
  <c r="AM39" i="3" s="1"/>
  <c r="AK39" i="3"/>
  <c r="AL39" i="3" s="1"/>
  <c r="AJ39" i="3"/>
  <c r="AH39" i="3" a="1"/>
  <c r="AH39" i="3" s="1"/>
  <c r="AG39" i="3" a="1"/>
  <c r="AG39" i="3" s="1"/>
  <c r="AI39" i="3" s="1"/>
  <c r="AD39" i="3"/>
  <c r="AB39" i="3"/>
  <c r="AB39" i="3" a="1"/>
  <c r="Y39" i="3"/>
  <c r="X39" i="3"/>
  <c r="Z39" i="3" s="1"/>
  <c r="U39" i="3" a="1"/>
  <c r="U39" i="3" s="1"/>
  <c r="S39" i="3"/>
  <c r="R39" i="3"/>
  <c r="T39" i="3" s="1"/>
  <c r="P39" i="3" a="1"/>
  <c r="P39" i="3" s="1"/>
  <c r="O39" i="3" a="1"/>
  <c r="O39" i="3" s="1"/>
  <c r="Q39" i="3" s="1"/>
  <c r="L39" i="3"/>
  <c r="J39" i="3"/>
  <c r="J39" i="3" a="1"/>
  <c r="G39" i="3"/>
  <c r="F39" i="3"/>
  <c r="E39" i="3"/>
  <c r="D39" i="3"/>
  <c r="C39" i="3"/>
  <c r="B39" i="3"/>
  <c r="A39" i="3"/>
  <c r="DZ38" i="3" a="1"/>
  <c r="DZ38" i="3" s="1"/>
  <c r="DX38" i="3"/>
  <c r="DW38" i="3"/>
  <c r="DV38" i="3"/>
  <c r="DS38" i="3" a="1"/>
  <c r="DS38" i="3" s="1"/>
  <c r="DQ38" i="3"/>
  <c r="DN38" i="3" a="1"/>
  <c r="DN38" i="3" s="1"/>
  <c r="DM38" i="3" a="1"/>
  <c r="DM38" i="3" s="1"/>
  <c r="DO38" i="3" s="1"/>
  <c r="DJ38" i="3"/>
  <c r="DH38" i="3" a="1"/>
  <c r="DH38" i="3" s="1"/>
  <c r="DE38" i="3"/>
  <c r="DD38" i="3"/>
  <c r="DF38" i="3" s="1"/>
  <c r="DA38" i="3" a="1"/>
  <c r="DA38" i="3" s="1"/>
  <c r="CY38" i="3"/>
  <c r="CV38" i="3" a="1"/>
  <c r="CV38" i="3" s="1"/>
  <c r="CU38" i="3" a="1"/>
  <c r="CU38" i="3" s="1"/>
  <c r="CW38" i="3" s="1"/>
  <c r="CR38" i="3"/>
  <c r="CP38" i="3" a="1"/>
  <c r="CP38" i="3" s="1"/>
  <c r="CM38" i="3"/>
  <c r="CL38" i="3"/>
  <c r="CN38" i="3" s="1"/>
  <c r="CI38" i="3"/>
  <c r="CI38" i="3" a="1"/>
  <c r="CG38" i="3"/>
  <c r="CD38" i="3" a="1"/>
  <c r="CD38" i="3" s="1"/>
  <c r="CC38" i="3" a="1"/>
  <c r="CC38" i="3" s="1"/>
  <c r="CE38" i="3" s="1"/>
  <c r="BZ38" i="3"/>
  <c r="BX38" i="3" a="1"/>
  <c r="BX38" i="3" s="1"/>
  <c r="BV38" i="3"/>
  <c r="BU38" i="3"/>
  <c r="BT38" i="3"/>
  <c r="BQ38" i="3" a="1"/>
  <c r="BQ38" i="3" s="1"/>
  <c r="BO38" i="3"/>
  <c r="BL38" i="3" a="1"/>
  <c r="BL38" i="3" s="1"/>
  <c r="BK38" i="3"/>
  <c r="BK38" i="3" a="1"/>
  <c r="BH38" i="3"/>
  <c r="BF38" i="3" a="1"/>
  <c r="BF38" i="3" s="1"/>
  <c r="BC38" i="3"/>
  <c r="BD38" i="3" s="1"/>
  <c r="BB38" i="3"/>
  <c r="AY38" i="3" a="1"/>
  <c r="AY38" i="3" s="1"/>
  <c r="AW38" i="3"/>
  <c r="AM38" i="3" a="1"/>
  <c r="AM38" i="3" s="1"/>
  <c r="AK38" i="3"/>
  <c r="AH38" i="3" a="1"/>
  <c r="AH38" i="3" s="1"/>
  <c r="AG38" i="3" a="1"/>
  <c r="AG38" i="3" s="1"/>
  <c r="AI38" i="3" s="1"/>
  <c r="AD38" i="3"/>
  <c r="AB38" i="3" a="1"/>
  <c r="AB38" i="3" s="1"/>
  <c r="Y38" i="3"/>
  <c r="X38" i="3"/>
  <c r="Z38" i="3" s="1"/>
  <c r="U38" i="3" a="1"/>
  <c r="U38" i="3" s="1"/>
  <c r="S38" i="3"/>
  <c r="P38" i="3"/>
  <c r="P38" i="3" a="1"/>
  <c r="O38" i="3"/>
  <c r="Q38" i="3" s="1"/>
  <c r="O38" i="3" a="1"/>
  <c r="L38" i="3"/>
  <c r="J38" i="3" a="1"/>
  <c r="J38" i="3" s="1"/>
  <c r="H38" i="3"/>
  <c r="G38" i="3"/>
  <c r="F38" i="3"/>
  <c r="E38" i="3"/>
  <c r="D38" i="3"/>
  <c r="C38" i="3"/>
  <c r="DY38" i="3" s="1" a="1"/>
  <c r="DY38" i="3" s="1"/>
  <c r="EA38" i="3" s="1"/>
  <c r="B38" i="3"/>
  <c r="A38" i="3"/>
  <c r="DW37" i="3"/>
  <c r="DV37" i="3"/>
  <c r="DX37" i="3" s="1"/>
  <c r="DT37" i="3" a="1"/>
  <c r="DT37" i="3" s="1"/>
  <c r="DN37" i="3"/>
  <c r="DN37" i="3" a="1"/>
  <c r="DJ37" i="3"/>
  <c r="DG37" i="3" a="1"/>
  <c r="DG37" i="3" s="1"/>
  <c r="DD37" i="3"/>
  <c r="DB37" i="3" a="1"/>
  <c r="DB37" i="3" s="1"/>
  <c r="DA37" i="3" a="1"/>
  <c r="DA37" i="3" s="1"/>
  <c r="DC37" i="3" s="1"/>
  <c r="CV37" i="3" a="1"/>
  <c r="CV37" i="3" s="1"/>
  <c r="CS37" i="3"/>
  <c r="CR37" i="3"/>
  <c r="CO37" i="3" a="1"/>
  <c r="CO37" i="3" s="1"/>
  <c r="CM37" i="3"/>
  <c r="CL37" i="3"/>
  <c r="CN37" i="3" s="1"/>
  <c r="CI37" i="3" a="1"/>
  <c r="CI37" i="3" s="1"/>
  <c r="CA37" i="3"/>
  <c r="BZ37" i="3"/>
  <c r="CB37" i="3" s="1"/>
  <c r="BU37" i="3"/>
  <c r="BT37" i="3"/>
  <c r="BV37" i="3" s="1"/>
  <c r="BR37" i="3" a="1"/>
  <c r="BR37" i="3" s="1"/>
  <c r="BL37" i="3" a="1"/>
  <c r="BL37" i="3" s="1"/>
  <c r="BH37" i="3"/>
  <c r="BE37" i="3" a="1"/>
  <c r="BE37" i="3" s="1"/>
  <c r="BB37" i="3"/>
  <c r="AZ37" i="3" a="1"/>
  <c r="AZ37" i="3" s="1"/>
  <c r="AY37" i="3"/>
  <c r="BA37" i="3" s="1"/>
  <c r="AY37" i="3" a="1"/>
  <c r="AN37" i="3" a="1"/>
  <c r="AN37" i="3" s="1"/>
  <c r="AM37" i="3" a="1"/>
  <c r="AM37" i="3" s="1"/>
  <c r="AO37" i="3" s="1"/>
  <c r="AH37" i="3" a="1"/>
  <c r="AH37" i="3" s="1"/>
  <c r="AE37" i="3"/>
  <c r="AD37" i="3"/>
  <c r="AA37" i="3" a="1"/>
  <c r="AA37" i="3" s="1"/>
  <c r="Z37" i="3"/>
  <c r="Y37" i="3"/>
  <c r="X37" i="3"/>
  <c r="U37" i="3" a="1"/>
  <c r="U37" i="3" s="1"/>
  <c r="M37" i="3"/>
  <c r="L37" i="3"/>
  <c r="N37" i="3" s="1"/>
  <c r="G37" i="3"/>
  <c r="F37" i="3"/>
  <c r="E37" i="3"/>
  <c r="D37" i="3"/>
  <c r="C37" i="3"/>
  <c r="B37" i="3"/>
  <c r="A37" i="3"/>
  <c r="DW36" i="3"/>
  <c r="DS36" i="3" a="1"/>
  <c r="DS36" i="3" s="1"/>
  <c r="DK36" i="3"/>
  <c r="DJ36" i="3"/>
  <c r="DB36" i="3" a="1"/>
  <c r="DB36" i="3" s="1"/>
  <c r="CX36" i="3"/>
  <c r="CR36" i="3"/>
  <c r="CO36" i="3" a="1"/>
  <c r="CO36" i="3" s="1"/>
  <c r="CI36" i="3" a="1"/>
  <c r="CI36" i="3" s="1"/>
  <c r="CD36" i="3"/>
  <c r="CD36" i="3" a="1"/>
  <c r="BW36" i="3" a="1"/>
  <c r="BW36" i="3" s="1"/>
  <c r="BU36" i="3"/>
  <c r="BN36" i="3"/>
  <c r="BI36" i="3"/>
  <c r="BC36" i="3"/>
  <c r="AZ36" i="3" a="1"/>
  <c r="AZ36" i="3" s="1"/>
  <c r="AJ36" i="3"/>
  <c r="AH36" i="3"/>
  <c r="AH36" i="3" a="1"/>
  <c r="AA36" i="3" a="1"/>
  <c r="AA36" i="3" s="1"/>
  <c r="V36" i="3" a="1"/>
  <c r="V36" i="3" s="1"/>
  <c r="P36" i="3"/>
  <c r="P36" i="3" a="1"/>
  <c r="M36" i="3"/>
  <c r="G36" i="3"/>
  <c r="E36" i="3"/>
  <c r="D36" i="3"/>
  <c r="C36" i="3"/>
  <c r="B36" i="3"/>
  <c r="A36" i="3"/>
  <c r="DT35" i="3" a="1"/>
  <c r="DT35" i="3" s="1"/>
  <c r="DG35" i="3" a="1"/>
  <c r="DG35" i="3" s="1"/>
  <c r="CY35" i="3"/>
  <c r="CP35" i="3" a="1"/>
  <c r="CP35" i="3" s="1"/>
  <c r="CC35" i="3" a="1"/>
  <c r="CC35" i="3" s="1"/>
  <c r="BW35" i="3" a="1"/>
  <c r="BW35" i="3" s="1"/>
  <c r="BK35" i="3" a="1"/>
  <c r="BK35" i="3" s="1"/>
  <c r="AW35" i="3"/>
  <c r="V35" i="3" a="1"/>
  <c r="V35" i="3" s="1"/>
  <c r="O35" i="3" a="1"/>
  <c r="O35" i="3" s="1"/>
  <c r="E35" i="3"/>
  <c r="D35" i="3"/>
  <c r="C35" i="3"/>
  <c r="B35" i="3"/>
  <c r="A35" i="3"/>
  <c r="DZ34" i="3" a="1"/>
  <c r="DZ34" i="3" s="1"/>
  <c r="DV34" i="3"/>
  <c r="DT34" i="3" a="1"/>
  <c r="DT34" i="3" s="1"/>
  <c r="DP34" i="3"/>
  <c r="DH34" i="3" a="1"/>
  <c r="DH34" i="3" s="1"/>
  <c r="DG34" i="3" a="1"/>
  <c r="DG34" i="3" s="1"/>
  <c r="DI34" i="3" s="1"/>
  <c r="CU34" i="3" a="1"/>
  <c r="CU34" i="3" s="1"/>
  <c r="CO34" i="3" a="1"/>
  <c r="CO34" i="3" s="1"/>
  <c r="CL34" i="3"/>
  <c r="CA34" i="3"/>
  <c r="BR34" i="3" a="1"/>
  <c r="BR34" i="3" s="1"/>
  <c r="BN34" i="3"/>
  <c r="BK34" i="3" a="1"/>
  <c r="BK34" i="3" s="1"/>
  <c r="AZ34" i="3" a="1"/>
  <c r="AZ34" i="3" s="1"/>
  <c r="AW34" i="3"/>
  <c r="AN34" i="3" a="1"/>
  <c r="AN34" i="3" s="1"/>
  <c r="AG34" i="3" a="1"/>
  <c r="AG34" i="3" s="1"/>
  <c r="S34" i="3"/>
  <c r="T34" i="3" s="1"/>
  <c r="R34" i="3"/>
  <c r="J34" i="3" a="1"/>
  <c r="J34" i="3" s="1"/>
  <c r="F34" i="3"/>
  <c r="E34" i="3"/>
  <c r="D34" i="3"/>
  <c r="C34" i="3"/>
  <c r="B34" i="3"/>
  <c r="A34" i="3"/>
  <c r="DZ33" i="3" a="1"/>
  <c r="DZ33" i="3" s="1"/>
  <c r="DY33" i="3"/>
  <c r="DW33" i="3"/>
  <c r="DV33" i="3"/>
  <c r="DS33" i="3" a="1"/>
  <c r="DS33" i="3" s="1"/>
  <c r="DR33" i="3"/>
  <c r="DQ33" i="3"/>
  <c r="DP33" i="3"/>
  <c r="DN33" i="3" a="1"/>
  <c r="DN33" i="3" s="1"/>
  <c r="DM33" i="3" a="1"/>
  <c r="DM33" i="3" s="1"/>
  <c r="DO33" i="3" s="1"/>
  <c r="DJ33" i="3"/>
  <c r="DH33" i="3" a="1"/>
  <c r="DH33" i="3" s="1"/>
  <c r="DE33" i="3"/>
  <c r="DD33" i="3"/>
  <c r="DF33" i="3" s="1"/>
  <c r="DA33" i="3" a="1"/>
  <c r="DA33" i="3" s="1"/>
  <c r="CZ33" i="3"/>
  <c r="CY33" i="3"/>
  <c r="CX33" i="3"/>
  <c r="CV33" i="3" a="1"/>
  <c r="CV33" i="3" s="1"/>
  <c r="CU33" i="3" a="1"/>
  <c r="CU33" i="3" s="1"/>
  <c r="CW33" i="3" s="1"/>
  <c r="CR33" i="3"/>
  <c r="CP33" i="3" a="1"/>
  <c r="CP33" i="3" s="1"/>
  <c r="CN33" i="3"/>
  <c r="CM33" i="3"/>
  <c r="CL33" i="3"/>
  <c r="CI33" i="3" a="1"/>
  <c r="CI33" i="3" s="1"/>
  <c r="CG33" i="3"/>
  <c r="CF33" i="3"/>
  <c r="CH33" i="3" s="1"/>
  <c r="CD33" i="3" a="1"/>
  <c r="CD33" i="3" s="1"/>
  <c r="CC33" i="3"/>
  <c r="CC33" i="3" a="1"/>
  <c r="BZ33" i="3"/>
  <c r="BX33" i="3" a="1"/>
  <c r="BX33" i="3" s="1"/>
  <c r="BU33" i="3"/>
  <c r="BT33" i="3"/>
  <c r="BQ33" i="3" a="1"/>
  <c r="BQ33" i="3" s="1"/>
  <c r="BO33" i="3"/>
  <c r="BN33" i="3"/>
  <c r="BP33" i="3" s="1"/>
  <c r="BL33" i="3"/>
  <c r="BL33" i="3" a="1"/>
  <c r="BK33" i="3" a="1"/>
  <c r="BK33" i="3" s="1"/>
  <c r="BH33" i="3"/>
  <c r="BF33" i="3" a="1"/>
  <c r="BF33" i="3" s="1"/>
  <c r="BC33" i="3"/>
  <c r="BB33" i="3"/>
  <c r="BD33" i="3" s="1"/>
  <c r="AY33" i="3"/>
  <c r="AY33" i="3" a="1"/>
  <c r="AX33" i="3"/>
  <c r="AW33" i="3"/>
  <c r="AV33" i="3"/>
  <c r="AM33" i="3"/>
  <c r="AM33" i="3" a="1"/>
  <c r="AK33" i="3"/>
  <c r="AJ33" i="3"/>
  <c r="AH33" i="3"/>
  <c r="AH33" i="3" a="1"/>
  <c r="AG33" i="3" a="1"/>
  <c r="AG33" i="3" s="1"/>
  <c r="AD33" i="3"/>
  <c r="AB33" i="3"/>
  <c r="AB33" i="3" a="1"/>
  <c r="Z33" i="3"/>
  <c r="Y33" i="3"/>
  <c r="X33" i="3"/>
  <c r="U33" i="3" a="1"/>
  <c r="U33" i="3" s="1"/>
  <c r="T33" i="3"/>
  <c r="S33" i="3"/>
  <c r="R33" i="3"/>
  <c r="P33" i="3" a="1"/>
  <c r="P33" i="3" s="1"/>
  <c r="O33" i="3" a="1"/>
  <c r="O33" i="3" s="1"/>
  <c r="Q33" i="3" s="1"/>
  <c r="L33" i="3"/>
  <c r="J33" i="3" a="1"/>
  <c r="J33" i="3" s="1"/>
  <c r="G33" i="3"/>
  <c r="F33" i="3"/>
  <c r="E33" i="3"/>
  <c r="D33" i="3"/>
  <c r="C33" i="3"/>
  <c r="DY33" i="3" s="1" a="1"/>
  <c r="B33" i="3"/>
  <c r="A33" i="3"/>
  <c r="DW32" i="3"/>
  <c r="DX32" i="3" s="1"/>
  <c r="DV32" i="3"/>
  <c r="DQ32" i="3"/>
  <c r="DN32" i="3" a="1"/>
  <c r="DN32" i="3" s="1"/>
  <c r="DM32" i="3" a="1"/>
  <c r="DM32" i="3" s="1"/>
  <c r="DO32" i="3" s="1"/>
  <c r="DH32" i="3" a="1"/>
  <c r="DH32" i="3" s="1"/>
  <c r="DG32" i="3" a="1"/>
  <c r="DG32" i="3" s="1"/>
  <c r="DA32" i="3" a="1"/>
  <c r="DA32" i="3" s="1"/>
  <c r="CV32" i="3"/>
  <c r="CV32" i="3" a="1"/>
  <c r="CP32" i="3"/>
  <c r="CP32" i="3" a="1"/>
  <c r="CM32" i="3"/>
  <c r="CJ32" i="3" a="1"/>
  <c r="CJ32" i="3" s="1"/>
  <c r="CG32" i="3"/>
  <c r="CA32" i="3"/>
  <c r="BZ32" i="3"/>
  <c r="BW32" i="3" a="1"/>
  <c r="BW32" i="3" s="1"/>
  <c r="BT32" i="3"/>
  <c r="BQ32" i="3" a="1"/>
  <c r="BQ32" i="3" s="1"/>
  <c r="BK32" i="3"/>
  <c r="BK32" i="3" a="1"/>
  <c r="BI32" i="3"/>
  <c r="AZ32" i="3" a="1"/>
  <c r="AZ32" i="3" s="1"/>
  <c r="AM32" i="3" a="1"/>
  <c r="AM32" i="3" s="1"/>
  <c r="AK32" i="3"/>
  <c r="AG32" i="3" a="1"/>
  <c r="AG32" i="3" s="1"/>
  <c r="AE32" i="3"/>
  <c r="AD32" i="3"/>
  <c r="AB32" i="3" a="1"/>
  <c r="AB32" i="3" s="1"/>
  <c r="Y32" i="3"/>
  <c r="V32" i="3" a="1"/>
  <c r="V32" i="3" s="1"/>
  <c r="U32" i="3" a="1"/>
  <c r="U32" i="3" s="1"/>
  <c r="W32" i="3" s="1"/>
  <c r="P32" i="3" a="1"/>
  <c r="P32" i="3" s="1"/>
  <c r="O32" i="3" a="1"/>
  <c r="O32" i="3" s="1"/>
  <c r="Q32" i="3" s="1"/>
  <c r="I32" i="3" a="1"/>
  <c r="I32" i="3" s="1"/>
  <c r="F32" i="3"/>
  <c r="E32" i="3"/>
  <c r="D32" i="3"/>
  <c r="C32" i="3"/>
  <c r="B32" i="3"/>
  <c r="A32" i="3"/>
  <c r="DY31" i="3" a="1"/>
  <c r="DY31" i="3" s="1"/>
  <c r="DS31" i="3" a="1"/>
  <c r="DS31" i="3" s="1"/>
  <c r="DN31" i="3" a="1"/>
  <c r="DN31" i="3" s="1"/>
  <c r="DB31" i="3" a="1"/>
  <c r="DB31" i="3" s="1"/>
  <c r="CX31" i="3"/>
  <c r="CS31" i="3"/>
  <c r="CO31" i="3" a="1"/>
  <c r="CO31" i="3" s="1"/>
  <c r="CL31" i="3"/>
  <c r="CI31" i="3"/>
  <c r="CI31" i="3" a="1"/>
  <c r="CA31" i="3"/>
  <c r="BR31" i="3" a="1"/>
  <c r="BR31" i="3" s="1"/>
  <c r="BL31" i="3"/>
  <c r="BL31" i="3" a="1"/>
  <c r="BE31" i="3" a="1"/>
  <c r="BE31" i="3" s="1"/>
  <c r="BC31" i="3"/>
  <c r="AM31" i="3" a="1"/>
  <c r="AM31" i="3" s="1"/>
  <c r="AD31" i="3"/>
  <c r="Z31" i="3"/>
  <c r="Y31" i="3"/>
  <c r="X31" i="3"/>
  <c r="P31" i="3"/>
  <c r="P31" i="3" a="1"/>
  <c r="L31" i="3"/>
  <c r="I31" i="3" a="1"/>
  <c r="I31" i="3" s="1"/>
  <c r="F31" i="3"/>
  <c r="E31" i="3"/>
  <c r="D31" i="3"/>
  <c r="C31" i="3"/>
  <c r="B31" i="3"/>
  <c r="A31" i="3"/>
  <c r="DY30" i="3" a="1"/>
  <c r="DY30" i="3" s="1"/>
  <c r="DW30" i="3"/>
  <c r="DT30" i="3"/>
  <c r="DT30" i="3" a="1"/>
  <c r="DS30" i="3" a="1"/>
  <c r="DS30" i="3" s="1"/>
  <c r="DP30" i="3"/>
  <c r="DN30" i="3"/>
  <c r="DN30" i="3" a="1"/>
  <c r="DK30" i="3"/>
  <c r="DJ30" i="3"/>
  <c r="DG30" i="3"/>
  <c r="DG30" i="3" a="1"/>
  <c r="DE30" i="3"/>
  <c r="DB30" i="3"/>
  <c r="DB30" i="3" a="1"/>
  <c r="DA30" i="3"/>
  <c r="DC30" i="3" s="1"/>
  <c r="DA30" i="3" a="1"/>
  <c r="CV30" i="3"/>
  <c r="CV30" i="3" a="1"/>
  <c r="CS30" i="3"/>
  <c r="CO30" i="3" a="1"/>
  <c r="CO30" i="3" s="1"/>
  <c r="CM30" i="3"/>
  <c r="CJ30" i="3" a="1"/>
  <c r="CJ30" i="3" s="1"/>
  <c r="CI30" i="3"/>
  <c r="CK30" i="3" s="1"/>
  <c r="CI30" i="3" a="1"/>
  <c r="CF30" i="3"/>
  <c r="CD30" i="3" a="1"/>
  <c r="CD30" i="3" s="1"/>
  <c r="CA30" i="3"/>
  <c r="BZ30" i="3"/>
  <c r="CB30" i="3" s="1"/>
  <c r="BW30" i="3" a="1"/>
  <c r="BW30" i="3" s="1"/>
  <c r="BU30" i="3"/>
  <c r="BR30" i="3"/>
  <c r="BR30" i="3" a="1"/>
  <c r="BQ30" i="3" a="1"/>
  <c r="BQ30" i="3" s="1"/>
  <c r="BS30" i="3" s="1"/>
  <c r="BN30" i="3"/>
  <c r="BL30" i="3"/>
  <c r="BL30" i="3" a="1"/>
  <c r="BI30" i="3"/>
  <c r="BH30" i="3"/>
  <c r="BJ30" i="3" s="1"/>
  <c r="BE30" i="3"/>
  <c r="BE30" i="3" a="1"/>
  <c r="BC30" i="3"/>
  <c r="AZ30" i="3" a="1"/>
  <c r="AZ30" i="3" s="1"/>
  <c r="AY30" i="3"/>
  <c r="AY30" i="3" a="1"/>
  <c r="AN30" i="3"/>
  <c r="AN30" i="3" a="1"/>
  <c r="AM30" i="3"/>
  <c r="AM30" i="3" a="1"/>
  <c r="AH30" i="3" a="1"/>
  <c r="AH30" i="3" s="1"/>
  <c r="AE30" i="3"/>
  <c r="AA30" i="3" a="1"/>
  <c r="AA30" i="3" s="1"/>
  <c r="Y30" i="3"/>
  <c r="V30" i="3" a="1"/>
  <c r="V30" i="3" s="1"/>
  <c r="U30" i="3" a="1"/>
  <c r="U30" i="3" s="1"/>
  <c r="W30" i="3" s="1"/>
  <c r="R30" i="3"/>
  <c r="P30" i="3" a="1"/>
  <c r="P30" i="3" s="1"/>
  <c r="M30" i="3"/>
  <c r="L30" i="3"/>
  <c r="N30" i="3" s="1"/>
  <c r="I30" i="3" a="1"/>
  <c r="I30" i="3" s="1"/>
  <c r="G30" i="3"/>
  <c r="E30" i="3"/>
  <c r="D30" i="3"/>
  <c r="C30" i="3"/>
  <c r="B30" i="3"/>
  <c r="A30" i="3"/>
  <c r="DY29" i="3" a="1"/>
  <c r="DY29" i="3" s="1"/>
  <c r="DT29" i="3" a="1"/>
  <c r="DT29" i="3" s="1"/>
  <c r="DP29" i="3"/>
  <c r="DM29" i="3" a="1"/>
  <c r="DM29" i="3" s="1"/>
  <c r="DK29" i="3"/>
  <c r="DL29" i="3" s="1"/>
  <c r="DJ29" i="3"/>
  <c r="CY29" i="3"/>
  <c r="CX29" i="3"/>
  <c r="CS29" i="3"/>
  <c r="CR29" i="3"/>
  <c r="CP29" i="3" a="1"/>
  <c r="CP29" i="3" s="1"/>
  <c r="CJ29" i="3" a="1"/>
  <c r="CJ29" i="3" s="1"/>
  <c r="BX29" i="3" a="1"/>
  <c r="BX29" i="3" s="1"/>
  <c r="BW29" i="3" a="1"/>
  <c r="BW29" i="3" s="1"/>
  <c r="BY29" i="3" s="1"/>
  <c r="BO29" i="3"/>
  <c r="BN29" i="3"/>
  <c r="BK29" i="3" a="1"/>
  <c r="BK29" i="3" s="1"/>
  <c r="BH29" i="3"/>
  <c r="BE29" i="3" a="1"/>
  <c r="BE29" i="3" s="1"/>
  <c r="AV29" i="3"/>
  <c r="AK29" i="3"/>
  <c r="AJ29" i="3"/>
  <c r="AL29" i="3" s="1"/>
  <c r="AD29" i="3"/>
  <c r="AB29" i="3" a="1"/>
  <c r="AB29" i="3" s="1"/>
  <c r="O29" i="3" a="1"/>
  <c r="O29" i="3" s="1"/>
  <c r="I29" i="3" a="1"/>
  <c r="I29" i="3" s="1"/>
  <c r="E29" i="3"/>
  <c r="D29" i="3"/>
  <c r="C29" i="3"/>
  <c r="B29" i="3"/>
  <c r="A29" i="3"/>
  <c r="DM28" i="3" a="1"/>
  <c r="DM28" i="3" s="1"/>
  <c r="DH28" i="3" a="1"/>
  <c r="DH28" i="3" s="1"/>
  <c r="DB28" i="3" a="1"/>
  <c r="DB28" i="3" s="1"/>
  <c r="CS28" i="3"/>
  <c r="CO28" i="3" a="1"/>
  <c r="CO28" i="3" s="1"/>
  <c r="CG28" i="3"/>
  <c r="CF28" i="3"/>
  <c r="BX28" i="3" a="1"/>
  <c r="BX28" i="3" s="1"/>
  <c r="BE28" i="3"/>
  <c r="BE28" i="3" a="1"/>
  <c r="BB28" i="3"/>
  <c r="AZ28" i="3" a="1"/>
  <c r="AZ28" i="3" s="1"/>
  <c r="AV28" i="3"/>
  <c r="AK28" i="3"/>
  <c r="AL28" i="3" s="1"/>
  <c r="AJ28" i="3"/>
  <c r="AA28" i="3" a="1"/>
  <c r="AA28" i="3" s="1"/>
  <c r="X28" i="3"/>
  <c r="R28" i="3"/>
  <c r="M28" i="3"/>
  <c r="E28" i="3"/>
  <c r="D28" i="3"/>
  <c r="C28" i="3"/>
  <c r="B28" i="3"/>
  <c r="A28" i="3"/>
  <c r="DZ27" i="3"/>
  <c r="DZ27" i="3" a="1"/>
  <c r="DY27" i="3"/>
  <c r="EA27" i="3" s="1"/>
  <c r="DW27" i="3"/>
  <c r="DV27" i="3"/>
  <c r="DS27" i="3" a="1"/>
  <c r="DS27" i="3" s="1"/>
  <c r="DQ27" i="3"/>
  <c r="DP27" i="3"/>
  <c r="DR27" i="3" s="1"/>
  <c r="DN27" i="3" a="1"/>
  <c r="DN27" i="3" s="1"/>
  <c r="DM27" i="3"/>
  <c r="DM27" i="3" a="1"/>
  <c r="DJ27" i="3"/>
  <c r="DH27" i="3"/>
  <c r="DH27" i="3" a="1"/>
  <c r="DE27" i="3"/>
  <c r="DD27" i="3"/>
  <c r="DA27" i="3" a="1"/>
  <c r="DA27" i="3" s="1"/>
  <c r="CY27" i="3"/>
  <c r="CX27" i="3"/>
  <c r="CV27" i="3" a="1"/>
  <c r="CV27" i="3" s="1"/>
  <c r="CU27" i="3"/>
  <c r="CW27" i="3" s="1"/>
  <c r="CU27" i="3" a="1"/>
  <c r="CR27" i="3"/>
  <c r="CP27" i="3"/>
  <c r="CP27" i="3" a="1"/>
  <c r="CM27" i="3"/>
  <c r="CL27" i="3"/>
  <c r="CN27" i="3" s="1"/>
  <c r="CI27" i="3" a="1"/>
  <c r="CI27" i="3" s="1"/>
  <c r="CG27" i="3"/>
  <c r="CF27" i="3"/>
  <c r="CH27" i="3" s="1"/>
  <c r="CD27" i="3" a="1"/>
  <c r="CD27" i="3" s="1"/>
  <c r="CC27" i="3"/>
  <c r="CE27" i="3" s="1"/>
  <c r="CC27" i="3" a="1"/>
  <c r="BZ27" i="3"/>
  <c r="BX27" i="3" a="1"/>
  <c r="BX27" i="3" s="1"/>
  <c r="BU27" i="3"/>
  <c r="BT27" i="3"/>
  <c r="BQ27" i="3" a="1"/>
  <c r="BQ27" i="3" s="1"/>
  <c r="BP27" i="3"/>
  <c r="BO27" i="3"/>
  <c r="BN27" i="3"/>
  <c r="BL27" i="3" a="1"/>
  <c r="BL27" i="3" s="1"/>
  <c r="BK27" i="3"/>
  <c r="BM27" i="3" s="1"/>
  <c r="BK27" i="3" a="1"/>
  <c r="BH27" i="3"/>
  <c r="BF27" i="3"/>
  <c r="BF27" i="3" a="1"/>
  <c r="BC27" i="3"/>
  <c r="BB27" i="3"/>
  <c r="AY27" i="3" a="1"/>
  <c r="AY27" i="3" s="1"/>
  <c r="AW27" i="3"/>
  <c r="AX27" i="3" s="1"/>
  <c r="AV27" i="3"/>
  <c r="AM27" i="3" a="1"/>
  <c r="AM27" i="3" s="1"/>
  <c r="AL27" i="3"/>
  <c r="AK27" i="3"/>
  <c r="AJ27" i="3"/>
  <c r="AH27" i="3" a="1"/>
  <c r="AH27" i="3" s="1"/>
  <c r="AG27" i="3" a="1"/>
  <c r="AG27" i="3" s="1"/>
  <c r="AI27" i="3" s="1"/>
  <c r="AD27" i="3"/>
  <c r="AB27" i="3" a="1"/>
  <c r="AB27" i="3" s="1"/>
  <c r="Y27" i="3"/>
  <c r="X27" i="3"/>
  <c r="U27" i="3" a="1"/>
  <c r="U27" i="3" s="1"/>
  <c r="T27" i="3"/>
  <c r="S27" i="3"/>
  <c r="R27" i="3"/>
  <c r="P27" i="3" a="1"/>
  <c r="P27" i="3" s="1"/>
  <c r="O27" i="3" a="1"/>
  <c r="O27" i="3" s="1"/>
  <c r="Q27" i="3" s="1"/>
  <c r="L27" i="3"/>
  <c r="J27" i="3"/>
  <c r="J27" i="3" a="1"/>
  <c r="G27" i="3"/>
  <c r="F27" i="3"/>
  <c r="E27" i="3"/>
  <c r="D27" i="3"/>
  <c r="C27" i="3"/>
  <c r="DY27" i="3" s="1" a="1"/>
  <c r="B27" i="3"/>
  <c r="A27" i="3"/>
  <c r="DZ26" i="3"/>
  <c r="DZ26" i="3" a="1"/>
  <c r="DN26" i="3" a="1"/>
  <c r="DN26" i="3" s="1"/>
  <c r="DM26" i="3"/>
  <c r="DO26" i="3" s="1"/>
  <c r="DM26" i="3" a="1"/>
  <c r="DE26" i="3"/>
  <c r="DD26" i="3"/>
  <c r="DF26" i="3" s="1"/>
  <c r="DA26" i="3" a="1"/>
  <c r="DA26" i="3" s="1"/>
  <c r="CU26" i="3" a="1"/>
  <c r="CU26" i="3" s="1"/>
  <c r="CL26" i="3"/>
  <c r="CJ26" i="3" a="1"/>
  <c r="CJ26" i="3" s="1"/>
  <c r="CC26" i="3" a="1"/>
  <c r="CC26" i="3" s="1"/>
  <c r="CA26" i="3"/>
  <c r="BZ26" i="3"/>
  <c r="CB26" i="3" s="1"/>
  <c r="BU26" i="3"/>
  <c r="BO26" i="3"/>
  <c r="BL26" i="3" a="1"/>
  <c r="BL26" i="3" s="1"/>
  <c r="BK26" i="3"/>
  <c r="BK26" i="3" a="1"/>
  <c r="BE26" i="3" a="1"/>
  <c r="BE26" i="3" s="1"/>
  <c r="AY26" i="3" a="1"/>
  <c r="AY26" i="3" s="1"/>
  <c r="AP26" i="3" a="1"/>
  <c r="AP26" i="3" s="1"/>
  <c r="AM26" i="3" a="1"/>
  <c r="AM26" i="3" s="1"/>
  <c r="AG26" i="3"/>
  <c r="AG26" i="3" a="1"/>
  <c r="AE26" i="3"/>
  <c r="AA26" i="3" a="1"/>
  <c r="AA26" i="3" s="1"/>
  <c r="V26" i="3" a="1"/>
  <c r="V26" i="3" s="1"/>
  <c r="P26" i="3"/>
  <c r="P26" i="3" a="1"/>
  <c r="J26" i="3" a="1"/>
  <c r="J26" i="3" s="1"/>
  <c r="I26" i="3" a="1"/>
  <c r="I26" i="3" s="1"/>
  <c r="F26" i="3"/>
  <c r="E26" i="3"/>
  <c r="D26" i="3"/>
  <c r="C26" i="3"/>
  <c r="B26" i="3"/>
  <c r="A26" i="3"/>
  <c r="DY25" i="3" a="1"/>
  <c r="DY25" i="3" s="1"/>
  <c r="DW25" i="3"/>
  <c r="DT25" i="3" a="1"/>
  <c r="DT25" i="3" s="1"/>
  <c r="DS25" i="3"/>
  <c r="DS25" i="3" a="1"/>
  <c r="DN25" i="3" a="1"/>
  <c r="DN25" i="3" s="1"/>
  <c r="DJ25" i="3"/>
  <c r="DG25" i="3"/>
  <c r="DG25" i="3" a="1"/>
  <c r="DE25" i="3"/>
  <c r="DD25" i="3"/>
  <c r="DB25" i="3"/>
  <c r="DB25" i="3" a="1"/>
  <c r="CX25" i="3"/>
  <c r="CV25" i="3"/>
  <c r="CV25" i="3" a="1"/>
  <c r="CS25" i="3"/>
  <c r="CR25" i="3"/>
  <c r="CT25" i="3" s="1"/>
  <c r="CO25" i="3" a="1"/>
  <c r="CO25" i="3" s="1"/>
  <c r="CN25" i="3"/>
  <c r="CM25" i="3"/>
  <c r="CL25" i="3"/>
  <c r="CI25" i="3"/>
  <c r="CI25" i="3" a="1"/>
  <c r="CF25" i="3"/>
  <c r="CD25" i="3" a="1"/>
  <c r="CD25" i="3" s="1"/>
  <c r="CA25" i="3"/>
  <c r="CB25" i="3" s="1"/>
  <c r="BZ25" i="3"/>
  <c r="BW25" i="3"/>
  <c r="BW25" i="3" a="1"/>
  <c r="BU25" i="3"/>
  <c r="BR25" i="3"/>
  <c r="BR25" i="3" a="1"/>
  <c r="BQ25" i="3"/>
  <c r="BQ25" i="3" a="1"/>
  <c r="BL25" i="3"/>
  <c r="BL25" i="3" a="1"/>
  <c r="BH25" i="3"/>
  <c r="BE25" i="3"/>
  <c r="BE25" i="3" a="1"/>
  <c r="BC25" i="3"/>
  <c r="BB25" i="3"/>
  <c r="AZ25" i="3" a="1"/>
  <c r="AZ25" i="3" s="1"/>
  <c r="AV25" i="3"/>
  <c r="AN25" i="3" a="1"/>
  <c r="AN25" i="3" s="1"/>
  <c r="AM25" i="3"/>
  <c r="AM25" i="3" a="1"/>
  <c r="AJ25" i="3"/>
  <c r="AH25" i="3"/>
  <c r="AH25" i="3" a="1"/>
  <c r="AE25" i="3"/>
  <c r="AA25" i="3"/>
  <c r="AA25" i="3" a="1"/>
  <c r="X25" i="3"/>
  <c r="V25" i="3" a="1"/>
  <c r="V25" i="3" s="1"/>
  <c r="U25" i="3"/>
  <c r="U25" i="3" a="1"/>
  <c r="R25" i="3"/>
  <c r="P25" i="3" a="1"/>
  <c r="P25" i="3" s="1"/>
  <c r="M25" i="3"/>
  <c r="L25" i="3"/>
  <c r="G25" i="3"/>
  <c r="F25" i="3"/>
  <c r="E25" i="3"/>
  <c r="D25" i="3"/>
  <c r="C25" i="3"/>
  <c r="B25" i="3"/>
  <c r="A25" i="3"/>
  <c r="DZ24" i="3" a="1"/>
  <c r="DZ24" i="3" s="1"/>
  <c r="CD24" i="3" a="1"/>
  <c r="CD24" i="3" s="1"/>
  <c r="BE24" i="3" a="1"/>
  <c r="BE24" i="3" s="1"/>
  <c r="E24" i="3"/>
  <c r="D24" i="3"/>
  <c r="C24" i="3"/>
  <c r="CI24" i="3" s="1" a="1"/>
  <c r="CI24" i="3" s="1"/>
  <c r="B24" i="3"/>
  <c r="A24" i="3"/>
  <c r="E23" i="3"/>
  <c r="D23" i="3"/>
  <c r="C23" i="3"/>
  <c r="DG23" i="3" s="1" a="1"/>
  <c r="DG23" i="3" s="1"/>
  <c r="B23" i="3"/>
  <c r="A23" i="3"/>
  <c r="DY22" i="3" a="1"/>
  <c r="DY22" i="3" s="1"/>
  <c r="DW22" i="3"/>
  <c r="DS22" i="3" a="1"/>
  <c r="DS22" i="3" s="1"/>
  <c r="DN22" i="3" a="1"/>
  <c r="DN22" i="3" s="1"/>
  <c r="DH22" i="3" a="1"/>
  <c r="DH22" i="3" s="1"/>
  <c r="DB22" i="3" a="1"/>
  <c r="DB22" i="3" s="1"/>
  <c r="DA22" i="3" a="1"/>
  <c r="DA22" i="3" s="1"/>
  <c r="DC22" i="3" s="1"/>
  <c r="CX22" i="3"/>
  <c r="CS22" i="3"/>
  <c r="CL22" i="3"/>
  <c r="CC22" i="3" a="1"/>
  <c r="CC22" i="3" s="1"/>
  <c r="CA22" i="3"/>
  <c r="BW22" i="3" a="1"/>
  <c r="BW22" i="3" s="1"/>
  <c r="BU22" i="3"/>
  <c r="BR22" i="3" a="1"/>
  <c r="BR22" i="3" s="1"/>
  <c r="BO22" i="3"/>
  <c r="BL22" i="3" a="1"/>
  <c r="BL22" i="3" s="1"/>
  <c r="BK22" i="3"/>
  <c r="BM22" i="3" s="1"/>
  <c r="BK22" i="3" a="1"/>
  <c r="BE22" i="3"/>
  <c r="BE22" i="3" a="1"/>
  <c r="AY22" i="3" a="1"/>
  <c r="AY22" i="3" s="1"/>
  <c r="AV22" i="3"/>
  <c r="AT22" i="3" a="1"/>
  <c r="AT22" i="3" s="1"/>
  <c r="AM22" i="3" a="1"/>
  <c r="AM22" i="3" s="1"/>
  <c r="AG22" i="3" a="1"/>
  <c r="AG22" i="3" s="1"/>
  <c r="AA22" i="3"/>
  <c r="AA22" i="3" a="1"/>
  <c r="P22" i="3" a="1"/>
  <c r="P22" i="3" s="1"/>
  <c r="J22" i="3" a="1"/>
  <c r="J22" i="3" s="1"/>
  <c r="F22" i="3"/>
  <c r="E22" i="3"/>
  <c r="D22" i="3"/>
  <c r="C22" i="3"/>
  <c r="B22" i="3"/>
  <c r="A22" i="3"/>
  <c r="DZ21" i="3"/>
  <c r="DZ21" i="3" a="1"/>
  <c r="DY21" i="3"/>
  <c r="EA21" i="3" s="1"/>
  <c r="DX21" i="3"/>
  <c r="DW21" i="3"/>
  <c r="DV21" i="3"/>
  <c r="DS21" i="3"/>
  <c r="DS21" i="3" a="1"/>
  <c r="DQ21" i="3"/>
  <c r="DP21" i="3"/>
  <c r="DR21" i="3" s="1"/>
  <c r="DN21" i="3"/>
  <c r="DN21" i="3" a="1"/>
  <c r="DM21" i="3"/>
  <c r="DO21" i="3" s="1"/>
  <c r="DM21" i="3" a="1"/>
  <c r="DJ21" i="3"/>
  <c r="DH21" i="3"/>
  <c r="DH21" i="3" a="1"/>
  <c r="DE21" i="3"/>
  <c r="DD21" i="3"/>
  <c r="DA21" i="3"/>
  <c r="DA21" i="3" a="1"/>
  <c r="CZ21" i="3"/>
  <c r="CY21" i="3"/>
  <c r="CX21" i="3"/>
  <c r="CV21" i="3"/>
  <c r="CV21" i="3" a="1"/>
  <c r="CU21" i="3" a="1"/>
  <c r="CU21" i="3" s="1"/>
  <c r="CR21" i="3"/>
  <c r="CP21" i="3"/>
  <c r="CP21" i="3" a="1"/>
  <c r="CN21" i="3"/>
  <c r="CM21" i="3"/>
  <c r="CL21" i="3"/>
  <c r="CI21" i="3" a="1"/>
  <c r="CI21" i="3" s="1"/>
  <c r="CH21" i="3"/>
  <c r="CG21" i="3"/>
  <c r="CF21" i="3"/>
  <c r="CD21" i="3" a="1"/>
  <c r="CD21" i="3" s="1"/>
  <c r="CC21" i="3" a="1"/>
  <c r="CC21" i="3" s="1"/>
  <c r="CE21" i="3" s="1"/>
  <c r="BZ21" i="3"/>
  <c r="BX21" i="3"/>
  <c r="BX21" i="3" a="1"/>
  <c r="BV21" i="3"/>
  <c r="BU21" i="3"/>
  <c r="BT21" i="3"/>
  <c r="BQ21" i="3" a="1"/>
  <c r="BQ21" i="3" s="1"/>
  <c r="BO21" i="3"/>
  <c r="BN21" i="3"/>
  <c r="BP21" i="3" s="1"/>
  <c r="BL21" i="3"/>
  <c r="BL21" i="3" a="1"/>
  <c r="BK21" i="3"/>
  <c r="BM21" i="3" s="1"/>
  <c r="BK21" i="3" a="1"/>
  <c r="BH21" i="3"/>
  <c r="BF21" i="3"/>
  <c r="BF21" i="3" a="1"/>
  <c r="BC21" i="3"/>
  <c r="BB21" i="3"/>
  <c r="BD21" i="3" s="1"/>
  <c r="AY21" i="3"/>
  <c r="AY21" i="3" a="1"/>
  <c r="AW21" i="3"/>
  <c r="AV21" i="3"/>
  <c r="AX21" i="3" s="1"/>
  <c r="AQ21" i="3" a="1"/>
  <c r="AQ21" i="3" s="1"/>
  <c r="AM21" i="3"/>
  <c r="AM21" i="3" a="1"/>
  <c r="AL21" i="3"/>
  <c r="AK21" i="3"/>
  <c r="AJ21" i="3"/>
  <c r="AH21" i="3" a="1"/>
  <c r="AH21" i="3" s="1"/>
  <c r="AG21" i="3"/>
  <c r="AG21" i="3" a="1"/>
  <c r="AD21" i="3"/>
  <c r="AB21" i="3" a="1"/>
  <c r="AB21" i="3" s="1"/>
  <c r="Y21" i="3"/>
  <c r="X21" i="3"/>
  <c r="Z21" i="3" s="1"/>
  <c r="U21" i="3"/>
  <c r="U21" i="3" a="1"/>
  <c r="S21" i="3"/>
  <c r="R21" i="3"/>
  <c r="T21" i="3" s="1"/>
  <c r="P21" i="3"/>
  <c r="P21" i="3" a="1"/>
  <c r="O21" i="3"/>
  <c r="O21" i="3" a="1"/>
  <c r="L21" i="3"/>
  <c r="J21" i="3"/>
  <c r="J21" i="3" a="1"/>
  <c r="G21" i="3"/>
  <c r="F21" i="3"/>
  <c r="E21" i="3"/>
  <c r="D21" i="3"/>
  <c r="C21" i="3"/>
  <c r="DY21" i="3" s="1" a="1"/>
  <c r="B21" i="3"/>
  <c r="A21" i="3"/>
  <c r="EA20" i="3"/>
  <c r="DZ20" i="3"/>
  <c r="DZ20" i="3" a="1"/>
  <c r="DY20" i="3" a="1"/>
  <c r="DY20" i="3" s="1"/>
  <c r="DW20" i="3"/>
  <c r="DV20" i="3"/>
  <c r="DX20" i="3" s="1"/>
  <c r="DT20" i="3" a="1"/>
  <c r="DT20" i="3" s="1"/>
  <c r="DQ20" i="3"/>
  <c r="DN20" i="3"/>
  <c r="DO20" i="3" s="1"/>
  <c r="DN20" i="3" a="1"/>
  <c r="DM20" i="3" a="1"/>
  <c r="DM20" i="3" s="1"/>
  <c r="DK20" i="3"/>
  <c r="DJ20" i="3"/>
  <c r="DL20" i="3" s="1"/>
  <c r="DG20" i="3" a="1"/>
  <c r="DG20" i="3" s="1"/>
  <c r="DF20" i="3"/>
  <c r="DE20" i="3"/>
  <c r="DD20" i="3"/>
  <c r="DA20" i="3" a="1"/>
  <c r="DA20" i="3" s="1"/>
  <c r="CY20" i="3"/>
  <c r="CV20" i="3" a="1"/>
  <c r="CV20" i="3" s="1"/>
  <c r="CU20" i="3" a="1"/>
  <c r="CU20" i="3" s="1"/>
  <c r="CW20" i="3" s="1"/>
  <c r="CS20" i="3"/>
  <c r="CR20" i="3"/>
  <c r="CP20" i="3"/>
  <c r="CP20" i="3" a="1"/>
  <c r="CO20" i="3" a="1"/>
  <c r="CO20" i="3" s="1"/>
  <c r="CM20" i="3"/>
  <c r="CK20" i="3"/>
  <c r="CJ20" i="3" a="1"/>
  <c r="CJ20" i="3" s="1"/>
  <c r="CI20" i="3"/>
  <c r="CI20" i="3" a="1"/>
  <c r="CD20" i="3" a="1"/>
  <c r="CD20" i="3" s="1"/>
  <c r="CC20" i="3"/>
  <c r="CE20" i="3" s="1"/>
  <c r="CC20" i="3" a="1"/>
  <c r="BZ20" i="3"/>
  <c r="BX20" i="3" a="1"/>
  <c r="BX20" i="3" s="1"/>
  <c r="BY20" i="3" s="1"/>
  <c r="BW20" i="3" a="1"/>
  <c r="BW20" i="3" s="1"/>
  <c r="BU20" i="3"/>
  <c r="BT20" i="3"/>
  <c r="BR20" i="3" a="1"/>
  <c r="BR20" i="3" s="1"/>
  <c r="BO20" i="3"/>
  <c r="BL20" i="3"/>
  <c r="BL20" i="3" a="1"/>
  <c r="BK20" i="3" a="1"/>
  <c r="BK20" i="3" s="1"/>
  <c r="BM20" i="3" s="1"/>
  <c r="BI20" i="3"/>
  <c r="BH20" i="3"/>
  <c r="BJ20" i="3" s="1"/>
  <c r="BE20" i="3" a="1"/>
  <c r="BE20" i="3" s="1"/>
  <c r="BC20" i="3"/>
  <c r="BD20" i="3" s="1"/>
  <c r="BB20" i="3"/>
  <c r="AY20" i="3"/>
  <c r="AY20" i="3" a="1"/>
  <c r="AW20" i="3"/>
  <c r="AX20" i="3" s="1"/>
  <c r="AV20" i="3"/>
  <c r="AP20" i="3" a="1"/>
  <c r="AP20" i="3" s="1"/>
  <c r="AM20" i="3"/>
  <c r="AM20" i="3" a="1"/>
  <c r="AK20" i="3"/>
  <c r="AL20" i="3" s="1"/>
  <c r="AJ20" i="3"/>
  <c r="AH20" i="3"/>
  <c r="AH20" i="3" a="1"/>
  <c r="AG20" i="3" a="1"/>
  <c r="AG20" i="3" s="1"/>
  <c r="AD20" i="3"/>
  <c r="AB20" i="3"/>
  <c r="AB20" i="3" a="1"/>
  <c r="Y20" i="3"/>
  <c r="X20" i="3"/>
  <c r="U20" i="3"/>
  <c r="U20" i="3" a="1"/>
  <c r="S20" i="3"/>
  <c r="T20" i="3" s="1"/>
  <c r="R20" i="3"/>
  <c r="P20" i="3"/>
  <c r="P20" i="3" a="1"/>
  <c r="O20" i="3"/>
  <c r="O20" i="3" a="1"/>
  <c r="L20" i="3"/>
  <c r="J20" i="3"/>
  <c r="J20" i="3" a="1"/>
  <c r="G20" i="3"/>
  <c r="F20" i="3"/>
  <c r="H20" i="3" s="1"/>
  <c r="E20" i="3"/>
  <c r="D20" i="3"/>
  <c r="C20" i="3"/>
  <c r="B20" i="3"/>
  <c r="A20" i="3"/>
  <c r="DS19" i="3" a="1"/>
  <c r="DS19" i="3" s="1"/>
  <c r="DK19" i="3"/>
  <c r="DB19" i="3" a="1"/>
  <c r="DB19" i="3" s="1"/>
  <c r="CL19" i="3"/>
  <c r="CC19" i="3" a="1"/>
  <c r="CC19" i="3" s="1"/>
  <c r="CA19" i="3"/>
  <c r="BZ19" i="3"/>
  <c r="CB19" i="3" s="1"/>
  <c r="BO19" i="3"/>
  <c r="BL19" i="3" a="1"/>
  <c r="BL19" i="3" s="1"/>
  <c r="BE19" i="3" a="1"/>
  <c r="BE19" i="3" s="1"/>
  <c r="AT19" i="3" a="1"/>
  <c r="AT19" i="3" s="1"/>
  <c r="AP19" i="3" a="1"/>
  <c r="AP19" i="3" s="1"/>
  <c r="AG19" i="3" a="1"/>
  <c r="AG19" i="3" s="1"/>
  <c r="AE19" i="3"/>
  <c r="V19" i="3" a="1"/>
  <c r="V19" i="3" s="1"/>
  <c r="J19" i="3" a="1"/>
  <c r="J19" i="3" s="1"/>
  <c r="I19" i="3" a="1"/>
  <c r="I19" i="3" s="1"/>
  <c r="F19" i="3"/>
  <c r="E19" i="3"/>
  <c r="D19" i="3"/>
  <c r="C19" i="3"/>
  <c r="DJ19" i="3" s="1"/>
  <c r="DL19" i="3" s="1"/>
  <c r="B19" i="3"/>
  <c r="A19" i="3"/>
  <c r="DY18" i="3" a="1"/>
  <c r="DY18" i="3" s="1"/>
  <c r="DW18" i="3"/>
  <c r="DT18" i="3"/>
  <c r="DT18" i="3" a="1"/>
  <c r="DS18" i="3" a="1"/>
  <c r="DS18" i="3" s="1"/>
  <c r="DU18" i="3" s="1"/>
  <c r="DN18" i="3" a="1"/>
  <c r="DN18" i="3" s="1"/>
  <c r="DJ18" i="3"/>
  <c r="DG18" i="3"/>
  <c r="DG18" i="3" a="1"/>
  <c r="DE18" i="3"/>
  <c r="DD18" i="3"/>
  <c r="DF18" i="3" s="1"/>
  <c r="DB18" i="3"/>
  <c r="DB18" i="3" a="1"/>
  <c r="CX18" i="3"/>
  <c r="CV18" i="3"/>
  <c r="CV18" i="3" a="1"/>
  <c r="CS18" i="3"/>
  <c r="CR18" i="3"/>
  <c r="CT18" i="3" s="1"/>
  <c r="CO18" i="3" a="1"/>
  <c r="CO18" i="3" s="1"/>
  <c r="CN18" i="3"/>
  <c r="CM18" i="3"/>
  <c r="CL18" i="3"/>
  <c r="CI18" i="3"/>
  <c r="CI18" i="3" a="1"/>
  <c r="CF18" i="3"/>
  <c r="CD18" i="3" a="1"/>
  <c r="CD18" i="3" s="1"/>
  <c r="CB18" i="3"/>
  <c r="CA18" i="3"/>
  <c r="BZ18" i="3"/>
  <c r="BW18" i="3"/>
  <c r="BW18" i="3" a="1"/>
  <c r="BU18" i="3"/>
  <c r="BR18" i="3" a="1"/>
  <c r="BR18" i="3" s="1"/>
  <c r="BQ18" i="3"/>
  <c r="BQ18" i="3" a="1"/>
  <c r="BL18" i="3"/>
  <c r="BL18" i="3" a="1"/>
  <c r="BH18" i="3"/>
  <c r="BE18" i="3"/>
  <c r="BE18" i="3" a="1"/>
  <c r="BC18" i="3"/>
  <c r="BB18" i="3"/>
  <c r="AZ18" i="3" a="1"/>
  <c r="AZ18" i="3" s="1"/>
  <c r="AV18" i="3"/>
  <c r="AQ18" i="3" a="1"/>
  <c r="AQ18" i="3" s="1"/>
  <c r="AN18" i="3" a="1"/>
  <c r="AN18" i="3" s="1"/>
  <c r="AM18" i="3"/>
  <c r="AM18" i="3" a="1"/>
  <c r="AJ18" i="3"/>
  <c r="AH18" i="3" a="1"/>
  <c r="AH18" i="3" s="1"/>
  <c r="AE18" i="3"/>
  <c r="AA18" i="3"/>
  <c r="AA18" i="3" a="1"/>
  <c r="X18" i="3"/>
  <c r="V18" i="3"/>
  <c r="V18" i="3" a="1"/>
  <c r="U18" i="3"/>
  <c r="U18" i="3" a="1"/>
  <c r="R18" i="3"/>
  <c r="P18" i="3" a="1"/>
  <c r="P18" i="3" s="1"/>
  <c r="M18" i="3"/>
  <c r="L18" i="3"/>
  <c r="G18" i="3"/>
  <c r="F18" i="3"/>
  <c r="E18" i="3"/>
  <c r="D18" i="3"/>
  <c r="C18" i="3"/>
  <c r="B18" i="3"/>
  <c r="A18" i="3"/>
  <c r="DW17" i="3"/>
  <c r="DQ17" i="3"/>
  <c r="DP17" i="3"/>
  <c r="DR17" i="3" s="1"/>
  <c r="DJ17" i="3"/>
  <c r="DG17" i="3" a="1"/>
  <c r="DG17" i="3" s="1"/>
  <c r="CY17" i="3"/>
  <c r="CX17" i="3"/>
  <c r="CZ17" i="3" s="1"/>
  <c r="CS17" i="3"/>
  <c r="CJ17" i="3" a="1"/>
  <c r="CJ17" i="3" s="1"/>
  <c r="CI17" i="3" a="1"/>
  <c r="CI17" i="3" s="1"/>
  <c r="CK17" i="3" s="1"/>
  <c r="BZ17" i="3"/>
  <c r="BU17" i="3"/>
  <c r="BI17" i="3"/>
  <c r="BC17" i="3"/>
  <c r="AW17" i="3"/>
  <c r="AV17" i="3"/>
  <c r="AX17" i="3" s="1"/>
  <c r="AN17" i="3" a="1"/>
  <c r="AN17" i="3" s="1"/>
  <c r="AE17" i="3"/>
  <c r="AD17" i="3"/>
  <c r="AF17" i="3" s="1"/>
  <c r="Y17" i="3"/>
  <c r="R17" i="3"/>
  <c r="O17" i="3" a="1"/>
  <c r="O17" i="3" s="1"/>
  <c r="G17" i="3"/>
  <c r="E17" i="3"/>
  <c r="D17" i="3"/>
  <c r="C17" i="3"/>
  <c r="B17" i="3"/>
  <c r="A17" i="3"/>
  <c r="CP16" i="3" a="1"/>
  <c r="CP16" i="3" s="1"/>
  <c r="BE16" i="3" a="1"/>
  <c r="BE16" i="3" s="1"/>
  <c r="E16" i="3"/>
  <c r="D16" i="3"/>
  <c r="C16" i="3"/>
  <c r="DZ16" i="3" s="1" a="1"/>
  <c r="DZ16" i="3" s="1"/>
  <c r="B16" i="3"/>
  <c r="A16" i="3"/>
  <c r="DY15" i="3" a="1"/>
  <c r="DY15" i="3" s="1"/>
  <c r="DW15" i="3"/>
  <c r="DN15" i="3" a="1"/>
  <c r="DN15" i="3" s="1"/>
  <c r="DB15" i="3" a="1"/>
  <c r="DB15" i="3" s="1"/>
  <c r="DA15" i="3" a="1"/>
  <c r="DA15" i="3" s="1"/>
  <c r="CX15" i="3"/>
  <c r="CL15" i="3"/>
  <c r="CC15" i="3" a="1"/>
  <c r="CC15" i="3" s="1"/>
  <c r="CA15" i="3"/>
  <c r="BR15" i="3" a="1"/>
  <c r="BR15" i="3" s="1"/>
  <c r="BO15" i="3"/>
  <c r="BL15" i="3" a="1"/>
  <c r="BL15" i="3" s="1"/>
  <c r="BE15" i="3" a="1"/>
  <c r="BE15" i="3" s="1"/>
  <c r="AT15" i="3" a="1"/>
  <c r="AT15" i="3" s="1"/>
  <c r="AP15" i="3" a="1"/>
  <c r="AP15" i="3" s="1"/>
  <c r="AG15" i="3" a="1"/>
  <c r="AG15" i="3" s="1"/>
  <c r="J15" i="3" a="1"/>
  <c r="J15" i="3" s="1"/>
  <c r="F15" i="3"/>
  <c r="E15" i="3"/>
  <c r="D15" i="3"/>
  <c r="C15" i="3"/>
  <c r="DS15" i="3" s="1" a="1"/>
  <c r="DS15" i="3" s="1"/>
  <c r="B15" i="3"/>
  <c r="A15" i="3"/>
  <c r="DZ14" i="3" a="1"/>
  <c r="DZ14" i="3" s="1"/>
  <c r="DY14" i="3"/>
  <c r="DX14" i="3"/>
  <c r="DW14" i="3"/>
  <c r="DV14" i="3"/>
  <c r="DS14" i="3"/>
  <c r="DS14" i="3" a="1"/>
  <c r="DQ14" i="3"/>
  <c r="DP14" i="3"/>
  <c r="DR14" i="3" s="1"/>
  <c r="DN14" i="3" a="1"/>
  <c r="DN14" i="3" s="1"/>
  <c r="DM14" i="3"/>
  <c r="DM14" i="3" a="1"/>
  <c r="DJ14" i="3"/>
  <c r="DH14" i="3" a="1"/>
  <c r="DH14" i="3" s="1"/>
  <c r="DE14" i="3"/>
  <c r="DD14" i="3"/>
  <c r="DA14" i="3"/>
  <c r="DA14" i="3" a="1"/>
  <c r="CZ14" i="3"/>
  <c r="CY14" i="3"/>
  <c r="CX14" i="3"/>
  <c r="CV14" i="3"/>
  <c r="CV14" i="3" a="1"/>
  <c r="CU14" i="3" a="1"/>
  <c r="CU14" i="3" s="1"/>
  <c r="CR14" i="3"/>
  <c r="CP14" i="3"/>
  <c r="CP14" i="3" a="1"/>
  <c r="CN14" i="3"/>
  <c r="CM14" i="3"/>
  <c r="CL14" i="3"/>
  <c r="CI14" i="3" a="1"/>
  <c r="CI14" i="3" s="1"/>
  <c r="CH14" i="3"/>
  <c r="CG14" i="3"/>
  <c r="CF14" i="3"/>
  <c r="CD14" i="3" a="1"/>
  <c r="CD14" i="3" s="1"/>
  <c r="CC14" i="3" a="1"/>
  <c r="CC14" i="3" s="1"/>
  <c r="CE14" i="3" s="1"/>
  <c r="BZ14" i="3"/>
  <c r="BX14" i="3"/>
  <c r="BX14" i="3" a="1"/>
  <c r="BV14" i="3"/>
  <c r="BU14" i="3"/>
  <c r="BT14" i="3"/>
  <c r="BQ14" i="3" a="1"/>
  <c r="BQ14" i="3" s="1"/>
  <c r="BO14" i="3"/>
  <c r="BN14" i="3"/>
  <c r="BP14" i="3" s="1"/>
  <c r="BL14" i="3"/>
  <c r="BL14" i="3" a="1"/>
  <c r="BK14" i="3"/>
  <c r="BM14" i="3" s="1"/>
  <c r="BK14" i="3" a="1"/>
  <c r="BH14" i="3"/>
  <c r="BF14" i="3"/>
  <c r="BF14" i="3" a="1"/>
  <c r="BC14" i="3"/>
  <c r="BB14" i="3"/>
  <c r="BD14" i="3" s="1"/>
  <c r="AY14" i="3"/>
  <c r="AY14" i="3" a="1"/>
  <c r="AW14" i="3"/>
  <c r="AV14" i="3"/>
  <c r="AX14" i="3" s="1"/>
  <c r="AM14" i="3"/>
  <c r="AM14" i="3" a="1"/>
  <c r="AL14" i="3"/>
  <c r="AK14" i="3"/>
  <c r="AJ14" i="3"/>
  <c r="AH14" i="3" a="1"/>
  <c r="AH14" i="3" s="1"/>
  <c r="AG14" i="3"/>
  <c r="AG14" i="3" a="1"/>
  <c r="AD14" i="3"/>
  <c r="AB14" i="3" a="1"/>
  <c r="AB14" i="3" s="1"/>
  <c r="Y14" i="3"/>
  <c r="X14" i="3"/>
  <c r="Z14" i="3" s="1"/>
  <c r="U14" i="3"/>
  <c r="U14" i="3" a="1"/>
  <c r="S14" i="3"/>
  <c r="R14" i="3"/>
  <c r="T14" i="3" s="1"/>
  <c r="P14" i="3"/>
  <c r="P14" i="3" a="1"/>
  <c r="O14" i="3"/>
  <c r="O14" i="3" a="1"/>
  <c r="L14" i="3"/>
  <c r="J14" i="3"/>
  <c r="J14" i="3" a="1"/>
  <c r="G14" i="3"/>
  <c r="F14" i="3"/>
  <c r="E14" i="3"/>
  <c r="D14" i="3"/>
  <c r="C14" i="3"/>
  <c r="DY14" i="3" s="1" a="1"/>
  <c r="B14" i="3"/>
  <c r="A14" i="3"/>
  <c r="DW13" i="3"/>
  <c r="DV13" i="3"/>
  <c r="DX13" i="3" s="1"/>
  <c r="DT13" i="3" a="1"/>
  <c r="DT13" i="3" s="1"/>
  <c r="DM13" i="3" a="1"/>
  <c r="DM13" i="3" s="1"/>
  <c r="DK13" i="3"/>
  <c r="DG13" i="3" a="1"/>
  <c r="DG13" i="3" s="1"/>
  <c r="DE13" i="3"/>
  <c r="DF13" i="3" s="1"/>
  <c r="DD13" i="3"/>
  <c r="CY13" i="3"/>
  <c r="CV13" i="3" a="1"/>
  <c r="CV13" i="3" s="1"/>
  <c r="CP13" i="3"/>
  <c r="CP13" i="3" a="1"/>
  <c r="CO13" i="3" a="1"/>
  <c r="CO13" i="3" s="1"/>
  <c r="CI13" i="3" a="1"/>
  <c r="CI13" i="3" s="1"/>
  <c r="BZ13" i="3"/>
  <c r="BX13" i="3" a="1"/>
  <c r="BX13" i="3" s="1"/>
  <c r="BR13" i="3" a="1"/>
  <c r="BR13" i="3" s="1"/>
  <c r="BO13" i="3"/>
  <c r="BK13" i="3" a="1"/>
  <c r="BK13" i="3" s="1"/>
  <c r="BI13" i="3"/>
  <c r="BH13" i="3"/>
  <c r="BJ13" i="3" s="1"/>
  <c r="BC13" i="3"/>
  <c r="BB13" i="3"/>
  <c r="BD13" i="3" s="1"/>
  <c r="AY13" i="3" a="1"/>
  <c r="AY13" i="3" s="1"/>
  <c r="AT13" i="3" a="1"/>
  <c r="AT13" i="3" s="1"/>
  <c r="AN13" i="3" a="1"/>
  <c r="AN13" i="3" s="1"/>
  <c r="AK13" i="3"/>
  <c r="AE13" i="3"/>
  <c r="AD13" i="3"/>
  <c r="AF13" i="3" s="1"/>
  <c r="X13" i="3"/>
  <c r="U13" i="3" a="1"/>
  <c r="U13" i="3" s="1"/>
  <c r="O13" i="3" a="1"/>
  <c r="O13" i="3" s="1"/>
  <c r="M13" i="3"/>
  <c r="L13" i="3"/>
  <c r="G13" i="3"/>
  <c r="E13" i="3"/>
  <c r="D13" i="3"/>
  <c r="C13" i="3"/>
  <c r="B13" i="3"/>
  <c r="A13" i="3"/>
  <c r="DY12" i="3" a="1"/>
  <c r="DY12" i="3" s="1"/>
  <c r="DW12" i="3"/>
  <c r="DV12" i="3"/>
  <c r="DX12" i="3" s="1"/>
  <c r="DS12" i="3" a="1"/>
  <c r="DS12" i="3" s="1"/>
  <c r="DP12" i="3"/>
  <c r="DK12" i="3"/>
  <c r="DJ12" i="3"/>
  <c r="DL12" i="3" s="1"/>
  <c r="DE12" i="3"/>
  <c r="DB12" i="3" a="1"/>
  <c r="DB12" i="3" s="1"/>
  <c r="CV12" i="3"/>
  <c r="CV12" i="3" a="1"/>
  <c r="CR12" i="3"/>
  <c r="CL12" i="3"/>
  <c r="CJ12" i="3"/>
  <c r="CJ12" i="3" a="1"/>
  <c r="CD12" i="3" a="1"/>
  <c r="CD12" i="3" s="1"/>
  <c r="BW12" i="3" a="1"/>
  <c r="BW12" i="3" s="1"/>
  <c r="BQ12" i="3" a="1"/>
  <c r="BQ12" i="3" s="1"/>
  <c r="BL12" i="3" a="1"/>
  <c r="BL12" i="3" s="1"/>
  <c r="BI12" i="3"/>
  <c r="BE12" i="3" a="1"/>
  <c r="BE12" i="3" s="1"/>
  <c r="BC12" i="3"/>
  <c r="AY12" i="3"/>
  <c r="AY12" i="3" a="1"/>
  <c r="AQ12" i="3" a="1"/>
  <c r="AQ12" i="3" s="1"/>
  <c r="AN12" i="3" a="1"/>
  <c r="AN12" i="3" s="1"/>
  <c r="AM12" i="3" a="1"/>
  <c r="AM12" i="3" s="1"/>
  <c r="AO12" i="3" s="1"/>
  <c r="AJ12" i="3"/>
  <c r="AE12" i="3"/>
  <c r="AD12" i="3"/>
  <c r="AF12" i="3" s="1"/>
  <c r="AA12" i="3" a="1"/>
  <c r="AA12" i="3" s="1"/>
  <c r="Y12" i="3"/>
  <c r="Z12" i="3" s="1"/>
  <c r="X12" i="3"/>
  <c r="U12" i="3" a="1"/>
  <c r="U12" i="3" s="1"/>
  <c r="R12" i="3"/>
  <c r="M12" i="3"/>
  <c r="F12" i="3"/>
  <c r="E12" i="3"/>
  <c r="D12" i="3"/>
  <c r="C12" i="3"/>
  <c r="B12" i="3"/>
  <c r="A12" i="3"/>
  <c r="DZ11" i="3" a="1"/>
  <c r="DZ11" i="3" s="1"/>
  <c r="DY11" i="3" a="1"/>
  <c r="DY11" i="3" s="1"/>
  <c r="EA11" i="3" s="1"/>
  <c r="DW11" i="3"/>
  <c r="DT11" i="3" a="1"/>
  <c r="DT11" i="3" s="1"/>
  <c r="DS11" i="3" a="1"/>
  <c r="DS11" i="3" s="1"/>
  <c r="DU11" i="3" s="1"/>
  <c r="DQ11" i="3"/>
  <c r="DN11" i="3" a="1"/>
  <c r="DN11" i="3" s="1"/>
  <c r="DM11" i="3" a="1"/>
  <c r="DM11" i="3" s="1"/>
  <c r="DO11" i="3" s="1"/>
  <c r="DJ11" i="3"/>
  <c r="DG11" i="3" a="1"/>
  <c r="DG11" i="3" s="1"/>
  <c r="DE11" i="3"/>
  <c r="CY11" i="3"/>
  <c r="CX11" i="3"/>
  <c r="CZ11" i="3" s="1"/>
  <c r="CS11" i="3"/>
  <c r="CT11" i="3" s="1"/>
  <c r="CR11" i="3"/>
  <c r="CP11" i="3" a="1"/>
  <c r="CP11" i="3" s="1"/>
  <c r="CM11" i="3"/>
  <c r="CG11" i="3"/>
  <c r="CF11" i="3"/>
  <c r="CH11" i="3" s="1"/>
  <c r="CD11" i="3" a="1"/>
  <c r="CD11" i="3" s="1"/>
  <c r="CE11" i="3" s="1"/>
  <c r="CC11" i="3" a="1"/>
  <c r="CC11" i="3" s="1"/>
  <c r="CA11" i="3"/>
  <c r="BZ11" i="3"/>
  <c r="CB11" i="3" s="1"/>
  <c r="BX11" i="3" a="1"/>
  <c r="BX11" i="3" s="1"/>
  <c r="BW11" i="3"/>
  <c r="BY11" i="3" s="1"/>
  <c r="BW11" i="3" a="1"/>
  <c r="BU11" i="3"/>
  <c r="BR11" i="3" a="1"/>
  <c r="BR11" i="3" s="1"/>
  <c r="BQ11" i="3"/>
  <c r="BQ11" i="3" a="1"/>
  <c r="BL11" i="3"/>
  <c r="BM11" i="3" s="1"/>
  <c r="BL11" i="3" a="1"/>
  <c r="BK11" i="3" a="1"/>
  <c r="BK11" i="3" s="1"/>
  <c r="BF11" i="3" a="1"/>
  <c r="BF11" i="3" s="1"/>
  <c r="BE11" i="3" a="1"/>
  <c r="BE11" i="3" s="1"/>
  <c r="BG11" i="3" s="1"/>
  <c r="BC11" i="3"/>
  <c r="AZ11" i="3" a="1"/>
  <c r="AZ11" i="3" s="1"/>
  <c r="AW11" i="3"/>
  <c r="AV11" i="3"/>
  <c r="AN11" i="3" a="1"/>
  <c r="AN11" i="3" s="1"/>
  <c r="AM11" i="3" a="1"/>
  <c r="AM11" i="3" s="1"/>
  <c r="AK11" i="3"/>
  <c r="AH11" i="3" a="1"/>
  <c r="AH11" i="3" s="1"/>
  <c r="AG11" i="3" a="1"/>
  <c r="AG11" i="3" s="1"/>
  <c r="AI11" i="3" s="1"/>
  <c r="AE11" i="3"/>
  <c r="AB11" i="3" a="1"/>
  <c r="AB11" i="3" s="1"/>
  <c r="AA11" i="3" a="1"/>
  <c r="AA11" i="3" s="1"/>
  <c r="AC11" i="3" s="1"/>
  <c r="V11" i="3" a="1"/>
  <c r="V11" i="3" s="1"/>
  <c r="U11" i="3" a="1"/>
  <c r="U11" i="3" s="1"/>
  <c r="W11" i="3" s="1"/>
  <c r="R11" i="3"/>
  <c r="P11" i="3" a="1"/>
  <c r="P11" i="3" s="1"/>
  <c r="O11" i="3" a="1"/>
  <c r="O11" i="3" s="1"/>
  <c r="Q11" i="3" s="1"/>
  <c r="M11" i="3"/>
  <c r="L11" i="3"/>
  <c r="N11" i="3" s="1"/>
  <c r="G11" i="3"/>
  <c r="E11" i="3"/>
  <c r="D11" i="3"/>
  <c r="C11" i="3"/>
  <c r="B11" i="3"/>
  <c r="A11" i="3"/>
  <c r="DZ10" i="3" a="1"/>
  <c r="DZ10" i="3" s="1"/>
  <c r="DY10" i="3" a="1"/>
  <c r="DY10" i="3" s="1"/>
  <c r="DT10" i="3" a="1"/>
  <c r="DT10" i="3" s="1"/>
  <c r="DP10" i="3"/>
  <c r="DM10" i="3" a="1"/>
  <c r="DM10" i="3" s="1"/>
  <c r="DK10" i="3"/>
  <c r="DJ10" i="3"/>
  <c r="DH10" i="3" a="1"/>
  <c r="DH10" i="3" s="1"/>
  <c r="DD10" i="3"/>
  <c r="DB10" i="3" a="1"/>
  <c r="DB10" i="3" s="1"/>
  <c r="CY10" i="3"/>
  <c r="CX10" i="3"/>
  <c r="CZ10" i="3" s="1"/>
  <c r="CU10" i="3" a="1"/>
  <c r="CU10" i="3" s="1"/>
  <c r="CT10" i="3"/>
  <c r="CS10" i="3"/>
  <c r="CR10" i="3"/>
  <c r="CO10" i="3" a="1"/>
  <c r="CO10" i="3" s="1"/>
  <c r="CL10" i="3"/>
  <c r="CJ10" i="3" a="1"/>
  <c r="CJ10" i="3" s="1"/>
  <c r="CG10" i="3"/>
  <c r="CF10" i="3"/>
  <c r="CH10" i="3" s="1"/>
  <c r="CC10" i="3"/>
  <c r="CC10" i="3" a="1"/>
  <c r="CA10" i="3"/>
  <c r="BX10" i="3" a="1"/>
  <c r="BX10" i="3" s="1"/>
  <c r="BW10" i="3"/>
  <c r="BW10" i="3" a="1"/>
  <c r="BR10" i="3" a="1"/>
  <c r="BR10" i="3" s="1"/>
  <c r="BN10" i="3"/>
  <c r="BK10" i="3"/>
  <c r="BK10" i="3" a="1"/>
  <c r="BI10" i="3"/>
  <c r="BH10" i="3"/>
  <c r="BJ10" i="3" s="1"/>
  <c r="BF10" i="3" a="1"/>
  <c r="BF10" i="3" s="1"/>
  <c r="BB10" i="3"/>
  <c r="AZ10" i="3"/>
  <c r="AZ10" i="3" a="1"/>
  <c r="AX10" i="3"/>
  <c r="AW10" i="3"/>
  <c r="AV10" i="3"/>
  <c r="AP10" i="3" a="1"/>
  <c r="AP10" i="3" s="1"/>
  <c r="AN10" i="3" a="1"/>
  <c r="AN10" i="3" s="1"/>
  <c r="AK10" i="3"/>
  <c r="AG10" i="3" a="1"/>
  <c r="AG10" i="3" s="1"/>
  <c r="AD10" i="3"/>
  <c r="AB10" i="3" a="1"/>
  <c r="AB10" i="3" s="1"/>
  <c r="AA10" i="3" a="1"/>
  <c r="AA10" i="3" s="1"/>
  <c r="X10" i="3"/>
  <c r="V10" i="3"/>
  <c r="V10" i="3" a="1"/>
  <c r="S10" i="3"/>
  <c r="R10" i="3"/>
  <c r="M10" i="3"/>
  <c r="N10" i="3" s="1"/>
  <c r="L10" i="3"/>
  <c r="J10" i="3" a="1"/>
  <c r="J10" i="3" s="1"/>
  <c r="I10" i="3" a="1"/>
  <c r="I10" i="3" s="1"/>
  <c r="K10" i="3" s="1"/>
  <c r="F10" i="3"/>
  <c r="E10" i="3"/>
  <c r="D10" i="3"/>
  <c r="C10" i="3"/>
  <c r="B10" i="3"/>
  <c r="A10" i="3"/>
  <c r="DZ9" i="3" a="1"/>
  <c r="DZ9" i="3" s="1"/>
  <c r="DW9" i="3"/>
  <c r="DV9" i="3"/>
  <c r="DX9" i="3" s="1"/>
  <c r="DT9" i="3" a="1"/>
  <c r="DT9" i="3" s="1"/>
  <c r="DQ9" i="3"/>
  <c r="DP9" i="3"/>
  <c r="DR9" i="3" s="1"/>
  <c r="DN9" i="3" a="1"/>
  <c r="DN9" i="3" s="1"/>
  <c r="DM9" i="3" a="1"/>
  <c r="DM9" i="3" s="1"/>
  <c r="DO9" i="3" s="1"/>
  <c r="DK9" i="3"/>
  <c r="DG9" i="3" a="1"/>
  <c r="DG9" i="3" s="1"/>
  <c r="DE9" i="3"/>
  <c r="DD9" i="3"/>
  <c r="DB9" i="3" a="1"/>
  <c r="DB9" i="3" s="1"/>
  <c r="DC9" i="3" s="1"/>
  <c r="DA9" i="3" a="1"/>
  <c r="DA9" i="3" s="1"/>
  <c r="CZ9" i="3"/>
  <c r="CY9" i="3"/>
  <c r="CX9" i="3"/>
  <c r="CV9" i="3" a="1"/>
  <c r="CV9" i="3" s="1"/>
  <c r="CU9" i="3"/>
  <c r="CU9" i="3" a="1"/>
  <c r="CS9" i="3"/>
  <c r="CP9" i="3" a="1"/>
  <c r="CP9" i="3" s="1"/>
  <c r="CO9" i="3" a="1"/>
  <c r="CO9" i="3" s="1"/>
  <c r="CQ9" i="3" s="1"/>
  <c r="CM9" i="3"/>
  <c r="CJ9" i="3" a="1"/>
  <c r="CJ9" i="3" s="1"/>
  <c r="CI9" i="3" a="1"/>
  <c r="CI9" i="3" s="1"/>
  <c r="CK9" i="3" s="1"/>
  <c r="CF9" i="3"/>
  <c r="CD9" i="3" a="1"/>
  <c r="CD9" i="3" s="1"/>
  <c r="CC9" i="3" a="1"/>
  <c r="CC9" i="3" s="1"/>
  <c r="CE9" i="3" s="1"/>
  <c r="CA9" i="3"/>
  <c r="BX9" i="3"/>
  <c r="BX9" i="3" a="1"/>
  <c r="BU9" i="3"/>
  <c r="BT9" i="3"/>
  <c r="BV9" i="3" s="1"/>
  <c r="BQ9" i="3" a="1"/>
  <c r="BQ9" i="3" s="1"/>
  <c r="BO9" i="3"/>
  <c r="BP9" i="3" s="1"/>
  <c r="BN9" i="3"/>
  <c r="BL9" i="3" a="1"/>
  <c r="BL9" i="3" s="1"/>
  <c r="BK9" i="3" a="1"/>
  <c r="BK9" i="3" s="1"/>
  <c r="BM9" i="3" s="1"/>
  <c r="BH9" i="3"/>
  <c r="BF9" i="3" a="1"/>
  <c r="BF9" i="3" s="1"/>
  <c r="BD9" i="3"/>
  <c r="BC9" i="3"/>
  <c r="BB9" i="3"/>
  <c r="AY9" i="3"/>
  <c r="AY9" i="3" a="1"/>
  <c r="AW9" i="3"/>
  <c r="AV9" i="3"/>
  <c r="AX9" i="3" s="1"/>
  <c r="AT9" i="3" a="1"/>
  <c r="AT9" i="3" s="1"/>
  <c r="AQ9" i="3" a="1"/>
  <c r="AQ9" i="3" s="1"/>
  <c r="AM9" i="3" a="1"/>
  <c r="AM9" i="3" s="1"/>
  <c r="AK9" i="3"/>
  <c r="AL9" i="3" s="1"/>
  <c r="AJ9" i="3"/>
  <c r="AH9" i="3"/>
  <c r="AH9" i="3" a="1"/>
  <c r="AG9" i="3" a="1"/>
  <c r="AG9" i="3" s="1"/>
  <c r="AI9" i="3" s="1"/>
  <c r="AD9" i="3"/>
  <c r="AB9" i="3" a="1"/>
  <c r="AB9" i="3" s="1"/>
  <c r="Y9" i="3"/>
  <c r="Z9" i="3" s="1"/>
  <c r="X9" i="3"/>
  <c r="U9" i="3" a="1"/>
  <c r="U9" i="3" s="1"/>
  <c r="T9" i="3"/>
  <c r="S9" i="3"/>
  <c r="R9" i="3"/>
  <c r="P9" i="3" a="1"/>
  <c r="P9" i="3" s="1"/>
  <c r="O9" i="3" a="1"/>
  <c r="O9" i="3" s="1"/>
  <c r="Q9" i="3" s="1"/>
  <c r="L9" i="3"/>
  <c r="J9" i="3" a="1"/>
  <c r="J9" i="3" s="1"/>
  <c r="G9" i="3"/>
  <c r="F9" i="3"/>
  <c r="E9" i="3"/>
  <c r="D9" i="3"/>
  <c r="C9" i="3"/>
  <c r="B9" i="3"/>
  <c r="A9" i="3"/>
  <c r="DZ8" i="3" a="1"/>
  <c r="DZ8" i="3" s="1"/>
  <c r="DY8" i="3" a="1"/>
  <c r="DY8" i="3" s="1"/>
  <c r="DW8" i="3"/>
  <c r="DT8" i="3" a="1"/>
  <c r="DT8" i="3" s="1"/>
  <c r="DS8" i="3" a="1"/>
  <c r="DS8" i="3" s="1"/>
  <c r="DU8" i="3" s="1"/>
  <c r="DN8" i="3" a="1"/>
  <c r="DN8" i="3" s="1"/>
  <c r="DM8" i="3" a="1"/>
  <c r="DM8" i="3" s="1"/>
  <c r="DO8" i="3" s="1"/>
  <c r="DJ8" i="3"/>
  <c r="DH8" i="3" a="1"/>
  <c r="DH8" i="3" s="1"/>
  <c r="DI8" i="3" s="1"/>
  <c r="DG8" i="3" a="1"/>
  <c r="DG8" i="3" s="1"/>
  <c r="DE8" i="3"/>
  <c r="DD8" i="3"/>
  <c r="DF8" i="3" s="1"/>
  <c r="DB8" i="3" a="1"/>
  <c r="DB8" i="3" s="1"/>
  <c r="CY8" i="3"/>
  <c r="CW8" i="3"/>
  <c r="CV8" i="3"/>
  <c r="CV8" i="3" a="1"/>
  <c r="CU8" i="3" a="1"/>
  <c r="CU8" i="3" s="1"/>
  <c r="CS8" i="3"/>
  <c r="CR8" i="3"/>
  <c r="CT8" i="3" s="1"/>
  <c r="CO8" i="3" a="1"/>
  <c r="CO8" i="3" s="1"/>
  <c r="CM8" i="3"/>
  <c r="CL8" i="3"/>
  <c r="CN8" i="3" s="1"/>
  <c r="CI8" i="3"/>
  <c r="CI8" i="3" a="1"/>
  <c r="CG8" i="3"/>
  <c r="CD8" i="3" a="1"/>
  <c r="CD8" i="3" s="1"/>
  <c r="CC8" i="3"/>
  <c r="CE8" i="3" s="1"/>
  <c r="CC8" i="3" a="1"/>
  <c r="CA8" i="3"/>
  <c r="BZ8" i="3"/>
  <c r="CB8" i="3" s="1"/>
  <c r="BX8" i="3" a="1"/>
  <c r="BX8" i="3" s="1"/>
  <c r="BW8" i="3" a="1"/>
  <c r="BW8" i="3" s="1"/>
  <c r="BY8" i="3" s="1"/>
  <c r="BU8" i="3"/>
  <c r="BR8" i="3" a="1"/>
  <c r="BR8" i="3" s="1"/>
  <c r="BQ8" i="3"/>
  <c r="BS8" i="3" s="1"/>
  <c r="BQ8" i="3" a="1"/>
  <c r="BL8" i="3" a="1"/>
  <c r="BL8" i="3" s="1"/>
  <c r="BK8" i="3" a="1"/>
  <c r="BK8" i="3" s="1"/>
  <c r="BM8" i="3" s="1"/>
  <c r="BH8" i="3"/>
  <c r="BF8" i="3" a="1"/>
  <c r="BF8" i="3" s="1"/>
  <c r="BE8" i="3" a="1"/>
  <c r="BE8" i="3" s="1"/>
  <c r="BC8" i="3"/>
  <c r="BB8" i="3"/>
  <c r="AZ8" i="3" a="1"/>
  <c r="AZ8" i="3" s="1"/>
  <c r="AW8" i="3"/>
  <c r="AT8" i="3" a="1"/>
  <c r="AT8" i="3" s="1"/>
  <c r="AS8" i="3" a="1"/>
  <c r="AS8" i="3" s="1"/>
  <c r="AU8" i="3" s="1"/>
  <c r="AQ8" i="3" a="1"/>
  <c r="AQ8" i="3" s="1"/>
  <c r="AN8" i="3" a="1"/>
  <c r="AN8" i="3" s="1"/>
  <c r="AM8" i="3" a="1"/>
  <c r="AM8" i="3" s="1"/>
  <c r="AO8" i="3" s="1"/>
  <c r="AK8" i="3"/>
  <c r="AH8" i="3" a="1"/>
  <c r="AH8" i="3" s="1"/>
  <c r="AG8" i="3" a="1"/>
  <c r="AG8" i="3" s="1"/>
  <c r="AI8" i="3" s="1"/>
  <c r="AE8" i="3"/>
  <c r="AB8" i="3" a="1"/>
  <c r="AB8" i="3" s="1"/>
  <c r="AA8" i="3" a="1"/>
  <c r="AA8" i="3" s="1"/>
  <c r="X8" i="3"/>
  <c r="V8" i="3" a="1"/>
  <c r="V8" i="3" s="1"/>
  <c r="U8" i="3" a="1"/>
  <c r="U8" i="3" s="1"/>
  <c r="W8" i="3" s="1"/>
  <c r="S8" i="3"/>
  <c r="P8" i="3" a="1"/>
  <c r="P8" i="3" s="1"/>
  <c r="M8" i="3"/>
  <c r="L8" i="3"/>
  <c r="N8" i="3" s="1"/>
  <c r="J8" i="3" a="1"/>
  <c r="J8" i="3" s="1"/>
  <c r="G8" i="3"/>
  <c r="F8" i="3"/>
  <c r="E8" i="3"/>
  <c r="D8" i="3"/>
  <c r="C8" i="3"/>
  <c r="B8" i="3"/>
  <c r="A8" i="3"/>
  <c r="DY7" i="3" a="1"/>
  <c r="DY7" i="3" s="1"/>
  <c r="DK7" i="3"/>
  <c r="DE7" i="3"/>
  <c r="CX7" i="3"/>
  <c r="CS7" i="3"/>
  <c r="CR7" i="3"/>
  <c r="CT7" i="3" s="1"/>
  <c r="CM7" i="3"/>
  <c r="BR7" i="3" a="1"/>
  <c r="BR7" i="3" s="1"/>
  <c r="BL7" i="3"/>
  <c r="BL7" i="3" a="1"/>
  <c r="BE7" i="3" a="1"/>
  <c r="BE7" i="3" s="1"/>
  <c r="AY7" i="3" a="1"/>
  <c r="AY7" i="3" s="1"/>
  <c r="AN7" i="3" a="1"/>
  <c r="AN7" i="3" s="1"/>
  <c r="AH7" i="3" a="1"/>
  <c r="AH7" i="3" s="1"/>
  <c r="U7" i="3" a="1"/>
  <c r="U7" i="3" s="1"/>
  <c r="M7" i="3"/>
  <c r="G7" i="3"/>
  <c r="E7" i="3"/>
  <c r="D7" i="3"/>
  <c r="C7" i="3"/>
  <c r="CI7" i="3" s="1" a="1"/>
  <c r="CI7" i="3" s="1"/>
  <c r="B7" i="3"/>
  <c r="A7" i="3"/>
  <c r="DZ6" i="3" a="1"/>
  <c r="DZ6" i="3" s="1"/>
  <c r="DN6" i="3" a="1"/>
  <c r="DN6" i="3" s="1"/>
  <c r="DM6" i="3" a="1"/>
  <c r="DM6" i="3" s="1"/>
  <c r="DG6" i="3" a="1"/>
  <c r="DG6" i="3" s="1"/>
  <c r="DA6" i="3" a="1"/>
  <c r="DA6" i="3" s="1"/>
  <c r="CU6" i="3" a="1"/>
  <c r="CU6" i="3" s="1"/>
  <c r="CO6" i="3" a="1"/>
  <c r="CO6" i="3" s="1"/>
  <c r="CM6" i="3"/>
  <c r="CG6" i="3"/>
  <c r="CF6" i="3"/>
  <c r="CH6" i="3" s="1"/>
  <c r="CA6" i="3"/>
  <c r="BZ6" i="3"/>
  <c r="BU6" i="3"/>
  <c r="BN6" i="3"/>
  <c r="BH6" i="3"/>
  <c r="BF6" i="3" a="1"/>
  <c r="BF6" i="3" s="1"/>
  <c r="AZ6" i="3" a="1"/>
  <c r="AZ6" i="3" s="1"/>
  <c r="AT6" i="3" a="1"/>
  <c r="AT6" i="3" s="1"/>
  <c r="V6" i="3" a="1"/>
  <c r="V6" i="3" s="1"/>
  <c r="P6" i="3" a="1"/>
  <c r="P6" i="3" s="1"/>
  <c r="O6" i="3" a="1"/>
  <c r="O6" i="3" s="1"/>
  <c r="Q6" i="3" s="1"/>
  <c r="I6" i="3" a="1"/>
  <c r="I6" i="3" s="1"/>
  <c r="E6" i="3"/>
  <c r="D6" i="3"/>
  <c r="C6" i="3"/>
  <c r="BW6" i="3" s="1" a="1"/>
  <c r="BW6" i="3" s="1"/>
  <c r="B6" i="3"/>
  <c r="A6" i="3"/>
  <c r="DT5" i="3" a="1"/>
  <c r="DT5" i="3" s="1"/>
  <c r="DM5" i="3" a="1"/>
  <c r="DM5" i="3" s="1"/>
  <c r="DG5" i="3" a="1"/>
  <c r="DG5" i="3" s="1"/>
  <c r="CU5" i="3" a="1"/>
  <c r="CU5" i="3" s="1"/>
  <c r="CS5" i="3"/>
  <c r="CL5" i="3"/>
  <c r="CG5" i="3"/>
  <c r="CF5" i="3"/>
  <c r="CA5" i="3"/>
  <c r="BZ5" i="3"/>
  <c r="BT5" i="3"/>
  <c r="BN5" i="3"/>
  <c r="BF5" i="3" a="1"/>
  <c r="BF5" i="3" s="1"/>
  <c r="AZ5" i="3" a="1"/>
  <c r="AZ5" i="3" s="1"/>
  <c r="AB5" i="3" a="1"/>
  <c r="AB5" i="3" s="1"/>
  <c r="V5" i="3" a="1"/>
  <c r="V5" i="3" s="1"/>
  <c r="O5" i="3" a="1"/>
  <c r="O5" i="3" s="1"/>
  <c r="I5" i="3"/>
  <c r="I5" i="3" a="1"/>
  <c r="E5" i="3"/>
  <c r="D5" i="3"/>
  <c r="C5" i="3"/>
  <c r="AD5" i="3" s="1"/>
  <c r="B5" i="3"/>
  <c r="A5" i="3"/>
  <c r="EI3" i="3"/>
  <c r="EI2" i="3"/>
  <c r="AQ14" i="3" s="1" a="1"/>
  <c r="AQ14" i="3" s="1"/>
  <c r="F48" i="1"/>
  <c r="BL47" i="1"/>
  <c r="BF47" i="1"/>
  <c r="AY47" i="1"/>
  <c r="D47" i="1"/>
  <c r="BO46" i="1"/>
  <c r="BL46" i="1"/>
  <c r="BI46" i="1"/>
  <c r="BF46" i="1"/>
  <c r="BC46" i="1"/>
  <c r="AY46" i="1"/>
  <c r="H46" i="1"/>
  <c r="G46" i="1"/>
  <c r="D46" i="1"/>
  <c r="BO45" i="1"/>
  <c r="AY45" i="1"/>
  <c r="G45" i="1"/>
  <c r="D45" i="1"/>
  <c r="AY44" i="1"/>
  <c r="D44" i="1"/>
  <c r="BL44" i="1" s="1"/>
  <c r="BO43" i="1"/>
  <c r="BL43" i="1"/>
  <c r="BI43" i="1"/>
  <c r="BF43" i="1"/>
  <c r="BC43" i="1"/>
  <c r="AY43" i="1"/>
  <c r="H43" i="1"/>
  <c r="G43" i="1"/>
  <c r="D43" i="1"/>
  <c r="AY42" i="1"/>
  <c r="D42" i="1"/>
  <c r="AY41" i="1"/>
  <c r="H41" i="1"/>
  <c r="D41" i="1"/>
  <c r="BF41" i="1" s="1"/>
  <c r="BO40" i="1"/>
  <c r="BL40" i="1"/>
  <c r="BI40" i="1"/>
  <c r="BF40" i="1"/>
  <c r="BC40" i="1"/>
  <c r="AY40" i="1"/>
  <c r="H40" i="1"/>
  <c r="G40" i="1"/>
  <c r="D40" i="1"/>
  <c r="BO39" i="1"/>
  <c r="BI39" i="1"/>
  <c r="AY39" i="1"/>
  <c r="G39" i="1"/>
  <c r="D39" i="1"/>
  <c r="BO38" i="1"/>
  <c r="BI38" i="1"/>
  <c r="AY38" i="1"/>
  <c r="G38" i="1"/>
  <c r="D38" i="1"/>
  <c r="BO37" i="1"/>
  <c r="BL37" i="1"/>
  <c r="BI37" i="1"/>
  <c r="BF37" i="1"/>
  <c r="BC37" i="1"/>
  <c r="AY37" i="1"/>
  <c r="H37" i="1"/>
  <c r="G37" i="1"/>
  <c r="D37" i="1"/>
  <c r="BI36" i="1"/>
  <c r="BC36" i="1"/>
  <c r="AY36" i="1"/>
  <c r="H36" i="1"/>
  <c r="G36" i="1"/>
  <c r="D36" i="1"/>
  <c r="BL35" i="1"/>
  <c r="BC35" i="1"/>
  <c r="AY35" i="1"/>
  <c r="G35" i="1"/>
  <c r="D35" i="1"/>
  <c r="BO34" i="1"/>
  <c r="BL34" i="1"/>
  <c r="BI34" i="1"/>
  <c r="BF34" i="1"/>
  <c r="BC34" i="1"/>
  <c r="AY34" i="1"/>
  <c r="H34" i="1"/>
  <c r="G34" i="1"/>
  <c r="D34" i="1"/>
  <c r="AY33" i="1"/>
  <c r="D33" i="1"/>
  <c r="BI33" i="1" s="1"/>
  <c r="AY32" i="1"/>
  <c r="D32" i="1"/>
  <c r="BL32" i="1" s="1"/>
  <c r="BO31" i="1"/>
  <c r="BL31" i="1"/>
  <c r="BI31" i="1"/>
  <c r="BF31" i="1"/>
  <c r="BC31" i="1"/>
  <c r="AY31" i="1"/>
  <c r="H31" i="1"/>
  <c r="G31" i="1"/>
  <c r="D31" i="1"/>
  <c r="BO30" i="1"/>
  <c r="BI30" i="1"/>
  <c r="BC30" i="1"/>
  <c r="AY30" i="1"/>
  <c r="H30" i="1"/>
  <c r="D30" i="1"/>
  <c r="G30" i="1" s="1"/>
  <c r="BC29" i="1"/>
  <c r="AY29" i="1"/>
  <c r="H29" i="1"/>
  <c r="D29" i="1"/>
  <c r="BI29" i="1" s="1"/>
  <c r="AY28" i="1"/>
  <c r="D28" i="1"/>
  <c r="BC28" i="1" s="1"/>
  <c r="BF27" i="1"/>
  <c r="AY27" i="1"/>
  <c r="H27" i="1"/>
  <c r="D27" i="1"/>
  <c r="BO26" i="1"/>
  <c r="BL26" i="1"/>
  <c r="BI26" i="1"/>
  <c r="BF26" i="1"/>
  <c r="BC26" i="1"/>
  <c r="AY26" i="1"/>
  <c r="H26" i="1"/>
  <c r="G26" i="1"/>
  <c r="D26" i="1"/>
  <c r="BO25" i="1"/>
  <c r="BL25" i="1"/>
  <c r="BI25" i="1"/>
  <c r="BF25" i="1"/>
  <c r="AY25" i="1"/>
  <c r="H25" i="1"/>
  <c r="G25" i="1"/>
  <c r="D25" i="1"/>
  <c r="BC25" i="1" s="1"/>
  <c r="BL24" i="1"/>
  <c r="AY24" i="1"/>
  <c r="H24" i="1"/>
  <c r="D24" i="1"/>
  <c r="BO23" i="1"/>
  <c r="BL23" i="1"/>
  <c r="BI23" i="1"/>
  <c r="BF23" i="1"/>
  <c r="AY23" i="1"/>
  <c r="H23" i="1"/>
  <c r="G23" i="1"/>
  <c r="D23" i="1"/>
  <c r="BC23" i="1" s="1"/>
  <c r="AY22" i="1"/>
  <c r="D22" i="1"/>
  <c r="BI22" i="1" s="1"/>
  <c r="AY21" i="1"/>
  <c r="D21" i="1"/>
  <c r="BO21" i="1" s="1"/>
  <c r="BO20" i="1"/>
  <c r="BL20" i="1"/>
  <c r="BI20" i="1"/>
  <c r="BF20" i="1"/>
  <c r="BC20" i="1"/>
  <c r="AY20" i="1"/>
  <c r="H20" i="1"/>
  <c r="G20" i="1"/>
  <c r="D20" i="1"/>
  <c r="AY19" i="1"/>
  <c r="D19" i="1"/>
  <c r="BO19" i="1" s="1"/>
  <c r="BO18" i="1"/>
  <c r="BI18" i="1"/>
  <c r="BC18" i="1"/>
  <c r="AY18" i="1"/>
  <c r="D18" i="1"/>
  <c r="H18" i="1" s="1"/>
  <c r="BI17" i="1"/>
  <c r="BC17" i="1"/>
  <c r="AY17" i="1"/>
  <c r="G17" i="1"/>
  <c r="D17" i="1"/>
  <c r="BL16" i="1"/>
  <c r="BI16" i="1"/>
  <c r="BF16" i="1"/>
  <c r="BC16" i="1"/>
  <c r="AY16" i="1"/>
  <c r="G16" i="1"/>
  <c r="D16" i="1"/>
  <c r="H16" i="1" s="1"/>
  <c r="BL15" i="1"/>
  <c r="BF15" i="1"/>
  <c r="AY15" i="1"/>
  <c r="H15" i="1"/>
  <c r="D15" i="1"/>
  <c r="BO15" i="1" s="1"/>
  <c r="BO14" i="1"/>
  <c r="BI14" i="1"/>
  <c r="AY14" i="1"/>
  <c r="H14" i="1"/>
  <c r="G14" i="1"/>
  <c r="D14" i="1"/>
  <c r="BI13" i="1"/>
  <c r="AY13" i="1"/>
  <c r="D13" i="1"/>
  <c r="H13" i="1" s="1"/>
  <c r="BO12" i="1"/>
  <c r="BL12" i="1"/>
  <c r="BI12" i="1"/>
  <c r="BF12" i="1"/>
  <c r="BC12" i="1"/>
  <c r="AY12" i="1"/>
  <c r="H12" i="1"/>
  <c r="G12" i="1"/>
  <c r="D12" i="1"/>
  <c r="BO11" i="1"/>
  <c r="AY11" i="1"/>
  <c r="D11" i="1"/>
  <c r="BC10" i="1"/>
  <c r="AY10" i="1"/>
  <c r="D10" i="1"/>
  <c r="H10" i="1" s="1"/>
  <c r="BO9" i="1"/>
  <c r="BL9" i="1"/>
  <c r="BI9" i="1"/>
  <c r="BF9" i="1"/>
  <c r="BC9" i="1"/>
  <c r="AY9" i="1"/>
  <c r="H9" i="1"/>
  <c r="G9" i="1"/>
  <c r="D9" i="1"/>
  <c r="AY8" i="1"/>
  <c r="D8" i="1"/>
  <c r="BI7" i="1"/>
  <c r="BF7" i="1"/>
  <c r="BC7" i="1"/>
  <c r="AY7" i="1"/>
  <c r="G7" i="1"/>
  <c r="D7" i="1"/>
  <c r="H7" i="1" s="1"/>
  <c r="BO6" i="1"/>
  <c r="BL6" i="1"/>
  <c r="BI6" i="1"/>
  <c r="BF6" i="1"/>
  <c r="BC6" i="1"/>
  <c r="AY6" i="1"/>
  <c r="H6" i="1"/>
  <c r="G6" i="1"/>
  <c r="D6" i="1"/>
  <c r="BI5" i="1"/>
  <c r="BC5" i="1"/>
  <c r="AY5" i="1"/>
  <c r="H5" i="1"/>
  <c r="G5" i="1"/>
  <c r="D5" i="1"/>
  <c r="F2" i="1"/>
  <c r="S122" i="5"/>
  <c r="O122" i="5"/>
  <c r="M122" i="5"/>
  <c r="T122" i="5" s="1"/>
  <c r="U122" i="5" s="1"/>
  <c r="V122" i="5" s="1"/>
  <c r="L122" i="5"/>
  <c r="H122" i="5"/>
  <c r="G122" i="5"/>
  <c r="S121" i="5"/>
  <c r="O121" i="5"/>
  <c r="M121" i="5"/>
  <c r="T121" i="5" s="1"/>
  <c r="U121" i="5" s="1"/>
  <c r="V121" i="5" s="1"/>
  <c r="L121" i="5"/>
  <c r="N121" i="5" s="1"/>
  <c r="K121" i="5"/>
  <c r="J121" i="5"/>
  <c r="I121" i="5"/>
  <c r="H121" i="5"/>
  <c r="G121" i="5"/>
  <c r="S120" i="5"/>
  <c r="P120" i="5"/>
  <c r="O120" i="5"/>
  <c r="M120" i="5"/>
  <c r="N120" i="5" s="1"/>
  <c r="L120" i="5"/>
  <c r="H120" i="5"/>
  <c r="J120" i="5" s="1"/>
  <c r="G120" i="5"/>
  <c r="S119" i="5"/>
  <c r="O119" i="5"/>
  <c r="M119" i="5"/>
  <c r="T119" i="5" s="1"/>
  <c r="U119" i="5" s="1"/>
  <c r="V119" i="5" s="1"/>
  <c r="L119" i="5"/>
  <c r="P119" i="5" s="1"/>
  <c r="Q119" i="5" s="1"/>
  <c r="R119" i="5" s="1"/>
  <c r="H119" i="5"/>
  <c r="G119" i="5"/>
  <c r="S118" i="5"/>
  <c r="O118" i="5"/>
  <c r="M118" i="5"/>
  <c r="T118" i="5" s="1"/>
  <c r="U118" i="5" s="1"/>
  <c r="V118" i="5" s="1"/>
  <c r="L118" i="5"/>
  <c r="N118" i="5" s="1"/>
  <c r="K118" i="5"/>
  <c r="J118" i="5"/>
  <c r="I118" i="5"/>
  <c r="H118" i="5"/>
  <c r="G118" i="5"/>
  <c r="S117" i="5"/>
  <c r="P117" i="5"/>
  <c r="O117" i="5"/>
  <c r="N117" i="5"/>
  <c r="M117" i="5"/>
  <c r="T117" i="5" s="1"/>
  <c r="U117" i="5" s="1"/>
  <c r="V117" i="5" s="1"/>
  <c r="L117" i="5"/>
  <c r="H117" i="5"/>
  <c r="K117" i="5" s="1"/>
  <c r="G117" i="5"/>
  <c r="S116" i="5"/>
  <c r="Q116" i="5"/>
  <c r="R116" i="5" s="1"/>
  <c r="O116" i="5"/>
  <c r="N116" i="5"/>
  <c r="M116" i="5"/>
  <c r="T116" i="5" s="1"/>
  <c r="U116" i="5" s="1"/>
  <c r="V116" i="5" s="1"/>
  <c r="L116" i="5"/>
  <c r="P116" i="5" s="1"/>
  <c r="H116" i="5"/>
  <c r="G116" i="5"/>
  <c r="S115" i="5"/>
  <c r="P115" i="5"/>
  <c r="Q115" i="5" s="1"/>
  <c r="R115" i="5" s="1"/>
  <c r="O115" i="5"/>
  <c r="M115" i="5"/>
  <c r="T115" i="5" s="1"/>
  <c r="U115" i="5" s="1"/>
  <c r="V115" i="5" s="1"/>
  <c r="L115" i="5"/>
  <c r="N115" i="5" s="1"/>
  <c r="K115" i="5"/>
  <c r="J115" i="5"/>
  <c r="I115" i="5"/>
  <c r="H115" i="5"/>
  <c r="G115" i="5"/>
  <c r="T114" i="5"/>
  <c r="S114" i="5"/>
  <c r="P114" i="5"/>
  <c r="Q114" i="5" s="1"/>
  <c r="R114" i="5" s="1"/>
  <c r="O114" i="5"/>
  <c r="M114" i="5"/>
  <c r="N114" i="5" s="1"/>
  <c r="L114" i="5"/>
  <c r="J114" i="5"/>
  <c r="I114" i="5"/>
  <c r="H114" i="5"/>
  <c r="G114" i="5"/>
  <c r="S113" i="5"/>
  <c r="R113" i="5"/>
  <c r="O113" i="5"/>
  <c r="M113" i="5"/>
  <c r="T113" i="5" s="1"/>
  <c r="U113" i="5" s="1"/>
  <c r="V113" i="5" s="1"/>
  <c r="L113" i="5"/>
  <c r="P113" i="5" s="1"/>
  <c r="Q113" i="5" s="1"/>
  <c r="K113" i="5"/>
  <c r="H113" i="5"/>
  <c r="G113" i="5"/>
  <c r="S112" i="5"/>
  <c r="O112" i="5"/>
  <c r="M112" i="5"/>
  <c r="T112" i="5" s="1"/>
  <c r="U112" i="5" s="1"/>
  <c r="V112" i="5" s="1"/>
  <c r="L112" i="5"/>
  <c r="N112" i="5" s="1"/>
  <c r="K112" i="5"/>
  <c r="J112" i="5"/>
  <c r="I112" i="5"/>
  <c r="H112" i="5"/>
  <c r="G112" i="5"/>
  <c r="S111" i="5"/>
  <c r="P111" i="5"/>
  <c r="O111" i="5"/>
  <c r="M111" i="5"/>
  <c r="N111" i="5" s="1"/>
  <c r="L111" i="5"/>
  <c r="H111" i="5"/>
  <c r="J111" i="5" s="1"/>
  <c r="G111" i="5"/>
  <c r="T110" i="5"/>
  <c r="S110" i="5"/>
  <c r="O110" i="5"/>
  <c r="N110" i="5"/>
  <c r="M110" i="5"/>
  <c r="L110" i="5"/>
  <c r="P110" i="5" s="1"/>
  <c r="Q110" i="5" s="1"/>
  <c r="R110" i="5" s="1"/>
  <c r="H110" i="5"/>
  <c r="G110" i="5"/>
  <c r="V109" i="5"/>
  <c r="U109" i="5"/>
  <c r="S109" i="5"/>
  <c r="O109" i="5"/>
  <c r="M109" i="5"/>
  <c r="T109" i="5" s="1"/>
  <c r="L109" i="5"/>
  <c r="K109" i="5"/>
  <c r="J109" i="5"/>
  <c r="I109" i="5"/>
  <c r="H109" i="5"/>
  <c r="G109" i="5"/>
  <c r="V108" i="5"/>
  <c r="T108" i="5"/>
  <c r="U108" i="5" s="1"/>
  <c r="S108" i="5"/>
  <c r="P108" i="5"/>
  <c r="Q108" i="5" s="1"/>
  <c r="R108" i="5" s="1"/>
  <c r="O108" i="5"/>
  <c r="N108" i="5"/>
  <c r="M108" i="5"/>
  <c r="L108" i="5"/>
  <c r="I108" i="5"/>
  <c r="H108" i="5"/>
  <c r="G108" i="5"/>
  <c r="S107" i="5"/>
  <c r="Q107" i="5"/>
  <c r="R107" i="5" s="1"/>
  <c r="O107" i="5"/>
  <c r="N107" i="5"/>
  <c r="M107" i="5"/>
  <c r="T107" i="5" s="1"/>
  <c r="U107" i="5" s="1"/>
  <c r="V107" i="5" s="1"/>
  <c r="L107" i="5"/>
  <c r="P107" i="5" s="1"/>
  <c r="H107" i="5"/>
  <c r="G107" i="5"/>
  <c r="S106" i="5"/>
  <c r="P106" i="5"/>
  <c r="O106" i="5"/>
  <c r="Q106" i="5" s="1"/>
  <c r="R106" i="5" s="1"/>
  <c r="M106" i="5"/>
  <c r="T106" i="5" s="1"/>
  <c r="U106" i="5" s="1"/>
  <c r="V106" i="5" s="1"/>
  <c r="L106" i="5"/>
  <c r="N106" i="5" s="1"/>
  <c r="K106" i="5"/>
  <c r="J106" i="5"/>
  <c r="I106" i="5"/>
  <c r="H106" i="5"/>
  <c r="G106" i="5"/>
  <c r="T105" i="5"/>
  <c r="U105" i="5" s="1"/>
  <c r="V105" i="5" s="1"/>
  <c r="S105" i="5"/>
  <c r="P105" i="5"/>
  <c r="Q105" i="5" s="1"/>
  <c r="R105" i="5" s="1"/>
  <c r="O105" i="5"/>
  <c r="M105" i="5"/>
  <c r="N105" i="5" s="1"/>
  <c r="L105" i="5"/>
  <c r="J105" i="5"/>
  <c r="I105" i="5"/>
  <c r="H105" i="5"/>
  <c r="G105" i="5"/>
  <c r="S104" i="5"/>
  <c r="O104" i="5"/>
  <c r="M104" i="5"/>
  <c r="T104" i="5" s="1"/>
  <c r="L104" i="5"/>
  <c r="H104" i="5"/>
  <c r="G104" i="5"/>
  <c r="S103" i="5"/>
  <c r="O103" i="5"/>
  <c r="M103" i="5"/>
  <c r="T103" i="5" s="1"/>
  <c r="U103" i="5" s="1"/>
  <c r="V103" i="5" s="1"/>
  <c r="L103" i="5"/>
  <c r="K103" i="5"/>
  <c r="J103" i="5"/>
  <c r="I103" i="5"/>
  <c r="H103" i="5"/>
  <c r="G103" i="5"/>
  <c r="S102" i="5"/>
  <c r="P102" i="5"/>
  <c r="O102" i="5"/>
  <c r="N102" i="5"/>
  <c r="M102" i="5"/>
  <c r="T102" i="5" s="1"/>
  <c r="U102" i="5" s="1"/>
  <c r="V102" i="5" s="1"/>
  <c r="L102" i="5"/>
  <c r="H102" i="5"/>
  <c r="J102" i="5" s="1"/>
  <c r="G102" i="5"/>
  <c r="T101" i="5"/>
  <c r="U101" i="5" s="1"/>
  <c r="V101" i="5" s="1"/>
  <c r="S101" i="5"/>
  <c r="O101" i="5"/>
  <c r="M101" i="5"/>
  <c r="K101" i="5" s="1"/>
  <c r="L101" i="5"/>
  <c r="P101" i="5" s="1"/>
  <c r="Q101" i="5" s="1"/>
  <c r="R101" i="5" s="1"/>
  <c r="H101" i="5"/>
  <c r="G101" i="5"/>
  <c r="S100" i="5"/>
  <c r="O100" i="5"/>
  <c r="M100" i="5"/>
  <c r="T100" i="5" s="1"/>
  <c r="U100" i="5" s="1"/>
  <c r="V100" i="5" s="1"/>
  <c r="L100" i="5"/>
  <c r="K100" i="5"/>
  <c r="J100" i="5"/>
  <c r="I100" i="5"/>
  <c r="H100" i="5"/>
  <c r="G100" i="5"/>
  <c r="V99" i="5"/>
  <c r="S99" i="5"/>
  <c r="P99" i="5"/>
  <c r="O99" i="5"/>
  <c r="N99" i="5"/>
  <c r="M99" i="5"/>
  <c r="T99" i="5" s="1"/>
  <c r="U99" i="5" s="1"/>
  <c r="L99" i="5"/>
  <c r="I99" i="5"/>
  <c r="H99" i="5"/>
  <c r="G99" i="5"/>
  <c r="S98" i="5"/>
  <c r="Q98" i="5"/>
  <c r="R98" i="5" s="1"/>
  <c r="O98" i="5"/>
  <c r="N98" i="5"/>
  <c r="M98" i="5"/>
  <c r="T98" i="5" s="1"/>
  <c r="U98" i="5" s="1"/>
  <c r="V98" i="5" s="1"/>
  <c r="L98" i="5"/>
  <c r="P98" i="5" s="1"/>
  <c r="H98" i="5"/>
  <c r="G98" i="5"/>
  <c r="V97" i="5"/>
  <c r="S97" i="5"/>
  <c r="P97" i="5"/>
  <c r="O97" i="5"/>
  <c r="Q97" i="5" s="1"/>
  <c r="R97" i="5" s="1"/>
  <c r="M97" i="5"/>
  <c r="T97" i="5" s="1"/>
  <c r="U97" i="5" s="1"/>
  <c r="L97" i="5"/>
  <c r="N97" i="5" s="1"/>
  <c r="K97" i="5"/>
  <c r="J97" i="5"/>
  <c r="I97" i="5"/>
  <c r="H97" i="5"/>
  <c r="G97" i="5"/>
  <c r="T96" i="5"/>
  <c r="S96" i="5"/>
  <c r="P96" i="5"/>
  <c r="Q96" i="5" s="1"/>
  <c r="R96" i="5" s="1"/>
  <c r="O96" i="5"/>
  <c r="M96" i="5"/>
  <c r="N96" i="5" s="1"/>
  <c r="L96" i="5"/>
  <c r="J96" i="5"/>
  <c r="I96" i="5"/>
  <c r="H96" i="5"/>
  <c r="G96" i="5"/>
  <c r="T95" i="5"/>
  <c r="S95" i="5"/>
  <c r="O95" i="5"/>
  <c r="M95" i="5"/>
  <c r="L95" i="5"/>
  <c r="H95" i="5"/>
  <c r="G95" i="5"/>
  <c r="S94" i="5"/>
  <c r="O94" i="5"/>
  <c r="M94" i="5"/>
  <c r="T94" i="5" s="1"/>
  <c r="U94" i="5" s="1"/>
  <c r="V94" i="5" s="1"/>
  <c r="L94" i="5"/>
  <c r="K94" i="5"/>
  <c r="J94" i="5"/>
  <c r="I94" i="5"/>
  <c r="H94" i="5"/>
  <c r="G94" i="5"/>
  <c r="T93" i="5"/>
  <c r="U93" i="5" s="1"/>
  <c r="V93" i="5" s="1"/>
  <c r="S93" i="5"/>
  <c r="P93" i="5"/>
  <c r="O93" i="5"/>
  <c r="N93" i="5"/>
  <c r="M93" i="5"/>
  <c r="L93" i="5"/>
  <c r="H93" i="5"/>
  <c r="G93" i="5"/>
  <c r="T92" i="5"/>
  <c r="U92" i="5" s="1"/>
  <c r="V92" i="5" s="1"/>
  <c r="S92" i="5"/>
  <c r="O92" i="5"/>
  <c r="M92" i="5"/>
  <c r="K92" i="5" s="1"/>
  <c r="L92" i="5"/>
  <c r="P92" i="5" s="1"/>
  <c r="Q92" i="5" s="1"/>
  <c r="R92" i="5" s="1"/>
  <c r="H92" i="5"/>
  <c r="G92" i="5"/>
  <c r="U91" i="5"/>
  <c r="V91" i="5" s="1"/>
  <c r="S91" i="5"/>
  <c r="P91" i="5"/>
  <c r="O91" i="5"/>
  <c r="M91" i="5"/>
  <c r="T91" i="5" s="1"/>
  <c r="L91" i="5"/>
  <c r="N91" i="5" s="1"/>
  <c r="K91" i="5"/>
  <c r="J91" i="5"/>
  <c r="I91" i="5"/>
  <c r="H91" i="5"/>
  <c r="G91" i="5"/>
  <c r="S90" i="5"/>
  <c r="P90" i="5"/>
  <c r="O90" i="5"/>
  <c r="N90" i="5"/>
  <c r="M90" i="5"/>
  <c r="T90" i="5" s="1"/>
  <c r="L90" i="5"/>
  <c r="H90" i="5"/>
  <c r="K90" i="5" s="1"/>
  <c r="G90" i="5"/>
  <c r="S89" i="5"/>
  <c r="Q89" i="5"/>
  <c r="R89" i="5" s="1"/>
  <c r="O89" i="5"/>
  <c r="N89" i="5"/>
  <c r="M89" i="5"/>
  <c r="T89" i="5" s="1"/>
  <c r="U89" i="5" s="1"/>
  <c r="V89" i="5" s="1"/>
  <c r="L89" i="5"/>
  <c r="P89" i="5" s="1"/>
  <c r="H89" i="5"/>
  <c r="G89" i="5"/>
  <c r="S88" i="5"/>
  <c r="P88" i="5"/>
  <c r="Q88" i="5" s="1"/>
  <c r="R88" i="5" s="1"/>
  <c r="O88" i="5"/>
  <c r="M88" i="5"/>
  <c r="T88" i="5" s="1"/>
  <c r="U88" i="5" s="1"/>
  <c r="V88" i="5" s="1"/>
  <c r="L88" i="5"/>
  <c r="N88" i="5" s="1"/>
  <c r="K88" i="5"/>
  <c r="J88" i="5"/>
  <c r="I88" i="5"/>
  <c r="H88" i="5"/>
  <c r="G88" i="5"/>
  <c r="S87" i="5"/>
  <c r="P87" i="5"/>
  <c r="Q87" i="5" s="1"/>
  <c r="R87" i="5" s="1"/>
  <c r="O87" i="5"/>
  <c r="M87" i="5"/>
  <c r="N87" i="5" s="1"/>
  <c r="L87" i="5"/>
  <c r="J87" i="5"/>
  <c r="I87" i="5"/>
  <c r="H87" i="5"/>
  <c r="G87" i="5"/>
  <c r="T86" i="5"/>
  <c r="S86" i="5"/>
  <c r="O86" i="5"/>
  <c r="M86" i="5"/>
  <c r="L86" i="5"/>
  <c r="K86" i="5"/>
  <c r="H86" i="5"/>
  <c r="G86" i="5"/>
  <c r="U85" i="5"/>
  <c r="V85" i="5" s="1"/>
  <c r="S85" i="5"/>
  <c r="O85" i="5"/>
  <c r="M85" i="5"/>
  <c r="T85" i="5" s="1"/>
  <c r="L85" i="5"/>
  <c r="K85" i="5"/>
  <c r="J85" i="5"/>
  <c r="I85" i="5"/>
  <c r="H85" i="5"/>
  <c r="G85" i="5"/>
  <c r="T84" i="5"/>
  <c r="U84" i="5" s="1"/>
  <c r="V84" i="5" s="1"/>
  <c r="S84" i="5"/>
  <c r="P84" i="5"/>
  <c r="O84" i="5"/>
  <c r="M84" i="5"/>
  <c r="N84" i="5" s="1"/>
  <c r="L84" i="5"/>
  <c r="H84" i="5"/>
  <c r="G84" i="5"/>
  <c r="S83" i="5"/>
  <c r="O83" i="5"/>
  <c r="M83" i="5"/>
  <c r="K83" i="5" s="1"/>
  <c r="L83" i="5"/>
  <c r="P83" i="5" s="1"/>
  <c r="Q83" i="5" s="1"/>
  <c r="R83" i="5" s="1"/>
  <c r="H83" i="5"/>
  <c r="G83" i="5"/>
  <c r="S82" i="5"/>
  <c r="U82" i="5" s="1"/>
  <c r="V82" i="5" s="1"/>
  <c r="O82" i="5"/>
  <c r="M82" i="5"/>
  <c r="T82" i="5" s="1"/>
  <c r="L82" i="5"/>
  <c r="N82" i="5" s="1"/>
  <c r="H82" i="5"/>
  <c r="G82" i="5"/>
  <c r="S81" i="5"/>
  <c r="P81" i="5"/>
  <c r="Q81" i="5" s="1"/>
  <c r="R81" i="5" s="1"/>
  <c r="O81" i="5"/>
  <c r="M81" i="5"/>
  <c r="T81" i="5" s="1"/>
  <c r="L81" i="5"/>
  <c r="N81" i="5" s="1"/>
  <c r="K81" i="5"/>
  <c r="J81" i="5"/>
  <c r="H81" i="5"/>
  <c r="G81" i="5"/>
  <c r="I81" i="5" s="1"/>
  <c r="U80" i="5"/>
  <c r="V80" i="5" s="1"/>
  <c r="T80" i="5"/>
  <c r="S80" i="5"/>
  <c r="Q80" i="5"/>
  <c r="R80" i="5" s="1"/>
  <c r="P80" i="5"/>
  <c r="O80" i="5"/>
  <c r="N80" i="5"/>
  <c r="M80" i="5"/>
  <c r="L80" i="5"/>
  <c r="K80" i="5"/>
  <c r="H80" i="5"/>
  <c r="I80" i="5" s="1"/>
  <c r="G80" i="5"/>
  <c r="T79" i="5"/>
  <c r="U79" i="5" s="1"/>
  <c r="V79" i="5" s="1"/>
  <c r="S79" i="5"/>
  <c r="O79" i="5"/>
  <c r="M79" i="5"/>
  <c r="L79" i="5"/>
  <c r="P79" i="5" s="1"/>
  <c r="Q79" i="5" s="1"/>
  <c r="R79" i="5" s="1"/>
  <c r="H79" i="5"/>
  <c r="I79" i="5" s="1"/>
  <c r="G79" i="5"/>
  <c r="S78" i="5"/>
  <c r="O78" i="5"/>
  <c r="M78" i="5"/>
  <c r="T78" i="5" s="1"/>
  <c r="L78" i="5"/>
  <c r="N78" i="5" s="1"/>
  <c r="K78" i="5"/>
  <c r="J78" i="5"/>
  <c r="H78" i="5"/>
  <c r="G78" i="5"/>
  <c r="I78" i="5" s="1"/>
  <c r="T77" i="5"/>
  <c r="U77" i="5" s="1"/>
  <c r="V77" i="5" s="1"/>
  <c r="S77" i="5"/>
  <c r="P77" i="5"/>
  <c r="Q77" i="5" s="1"/>
  <c r="R77" i="5" s="1"/>
  <c r="O77" i="5"/>
  <c r="N77" i="5"/>
  <c r="M77" i="5"/>
  <c r="L77" i="5"/>
  <c r="H77" i="5"/>
  <c r="K77" i="5" s="1"/>
  <c r="G77" i="5"/>
  <c r="T76" i="5"/>
  <c r="U76" i="5" s="1"/>
  <c r="V76" i="5" s="1"/>
  <c r="S76" i="5"/>
  <c r="O76" i="5"/>
  <c r="N76" i="5"/>
  <c r="M76" i="5"/>
  <c r="L76" i="5"/>
  <c r="P76" i="5" s="1"/>
  <c r="H76" i="5"/>
  <c r="G76" i="5"/>
  <c r="I76" i="5" s="1"/>
  <c r="S75" i="5"/>
  <c r="Q75" i="5"/>
  <c r="R75" i="5" s="1"/>
  <c r="P75" i="5"/>
  <c r="O75" i="5"/>
  <c r="M75" i="5"/>
  <c r="T75" i="5" s="1"/>
  <c r="U75" i="5" s="1"/>
  <c r="V75" i="5" s="1"/>
  <c r="L75" i="5"/>
  <c r="J75" i="5"/>
  <c r="H75" i="5"/>
  <c r="G75" i="5"/>
  <c r="I75" i="5" s="1"/>
  <c r="T74" i="5"/>
  <c r="U74" i="5" s="1"/>
  <c r="V74" i="5" s="1"/>
  <c r="S74" i="5"/>
  <c r="P74" i="5"/>
  <c r="Q74" i="5" s="1"/>
  <c r="R74" i="5" s="1"/>
  <c r="O74" i="5"/>
  <c r="N74" i="5"/>
  <c r="M74" i="5"/>
  <c r="L74" i="5"/>
  <c r="K74" i="5"/>
  <c r="J74" i="5"/>
  <c r="I74" i="5"/>
  <c r="H74" i="5"/>
  <c r="G74" i="5"/>
  <c r="S73" i="5"/>
  <c r="R73" i="5"/>
  <c r="O73" i="5"/>
  <c r="M73" i="5"/>
  <c r="T73" i="5" s="1"/>
  <c r="U73" i="5" s="1"/>
  <c r="V73" i="5" s="1"/>
  <c r="L73" i="5"/>
  <c r="P73" i="5" s="1"/>
  <c r="Q73" i="5" s="1"/>
  <c r="H73" i="5"/>
  <c r="G73" i="5"/>
  <c r="S72" i="5"/>
  <c r="P72" i="5"/>
  <c r="Q72" i="5" s="1"/>
  <c r="R72" i="5" s="1"/>
  <c r="O72" i="5"/>
  <c r="M72" i="5"/>
  <c r="T72" i="5" s="1"/>
  <c r="L72" i="5"/>
  <c r="N72" i="5" s="1"/>
  <c r="K72" i="5"/>
  <c r="J72" i="5"/>
  <c r="H72" i="5"/>
  <c r="G72" i="5"/>
  <c r="I72" i="5" s="1"/>
  <c r="U71" i="5"/>
  <c r="V71" i="5" s="1"/>
  <c r="T71" i="5"/>
  <c r="S71" i="5"/>
  <c r="Q71" i="5"/>
  <c r="R71" i="5" s="1"/>
  <c r="P71" i="5"/>
  <c r="O71" i="5"/>
  <c r="N71" i="5"/>
  <c r="M71" i="5"/>
  <c r="L71" i="5"/>
  <c r="H71" i="5"/>
  <c r="I71" i="5" s="1"/>
  <c r="G71" i="5"/>
  <c r="T70" i="5"/>
  <c r="U70" i="5" s="1"/>
  <c r="V70" i="5" s="1"/>
  <c r="S70" i="5"/>
  <c r="O70" i="5"/>
  <c r="M70" i="5"/>
  <c r="L70" i="5"/>
  <c r="P70" i="5" s="1"/>
  <c r="H70" i="5"/>
  <c r="I70" i="5" s="1"/>
  <c r="G70" i="5"/>
  <c r="S69" i="5"/>
  <c r="O69" i="5"/>
  <c r="M69" i="5"/>
  <c r="T69" i="5" s="1"/>
  <c r="L69" i="5"/>
  <c r="N69" i="5" s="1"/>
  <c r="K69" i="5"/>
  <c r="J69" i="5"/>
  <c r="H69" i="5"/>
  <c r="G69" i="5"/>
  <c r="I69" i="5" s="1"/>
  <c r="S68" i="5"/>
  <c r="P68" i="5"/>
  <c r="Q68" i="5" s="1"/>
  <c r="R68" i="5" s="1"/>
  <c r="O68" i="5"/>
  <c r="N68" i="5"/>
  <c r="M68" i="5"/>
  <c r="T68" i="5" s="1"/>
  <c r="U68" i="5" s="1"/>
  <c r="V68" i="5" s="1"/>
  <c r="L68" i="5"/>
  <c r="H68" i="5"/>
  <c r="K68" i="5" s="1"/>
  <c r="G68" i="5"/>
  <c r="S67" i="5"/>
  <c r="O67" i="5"/>
  <c r="M67" i="5"/>
  <c r="T67" i="5" s="1"/>
  <c r="U67" i="5" s="1"/>
  <c r="V67" i="5" s="1"/>
  <c r="L67" i="5"/>
  <c r="P67" i="5" s="1"/>
  <c r="Q67" i="5" s="1"/>
  <c r="R67" i="5" s="1"/>
  <c r="H67" i="5"/>
  <c r="G67" i="5"/>
  <c r="S66" i="5"/>
  <c r="O66" i="5"/>
  <c r="M66" i="5"/>
  <c r="T66" i="5" s="1"/>
  <c r="U66" i="5" s="1"/>
  <c r="V66" i="5" s="1"/>
  <c r="L66" i="5"/>
  <c r="P66" i="5" s="1"/>
  <c r="Q66" i="5" s="1"/>
  <c r="R66" i="5" s="1"/>
  <c r="J66" i="5"/>
  <c r="H66" i="5"/>
  <c r="G66" i="5"/>
  <c r="I66" i="5" s="1"/>
  <c r="T65" i="5"/>
  <c r="U65" i="5" s="1"/>
  <c r="V65" i="5" s="1"/>
  <c r="S65" i="5"/>
  <c r="P65" i="5"/>
  <c r="Q65" i="5" s="1"/>
  <c r="R65" i="5" s="1"/>
  <c r="O65" i="5"/>
  <c r="M65" i="5"/>
  <c r="N65" i="5" s="1"/>
  <c r="L65" i="5"/>
  <c r="J65" i="5"/>
  <c r="H65" i="5"/>
  <c r="K65" i="5" s="1"/>
  <c r="G65" i="5"/>
  <c r="S64" i="5"/>
  <c r="O64" i="5"/>
  <c r="M64" i="5"/>
  <c r="T64" i="5" s="1"/>
  <c r="U64" i="5" s="1"/>
  <c r="V64" i="5" s="1"/>
  <c r="L64" i="5"/>
  <c r="H64" i="5"/>
  <c r="G64" i="5"/>
  <c r="S63" i="5"/>
  <c r="O63" i="5"/>
  <c r="M63" i="5"/>
  <c r="L63" i="5"/>
  <c r="P63" i="5" s="1"/>
  <c r="Q63" i="5" s="1"/>
  <c r="R63" i="5" s="1"/>
  <c r="J63" i="5"/>
  <c r="H63" i="5"/>
  <c r="G63" i="5"/>
  <c r="I63" i="5" s="1"/>
  <c r="T62" i="5"/>
  <c r="U62" i="5" s="1"/>
  <c r="V62" i="5" s="1"/>
  <c r="S62" i="5"/>
  <c r="P62" i="5"/>
  <c r="Q62" i="5" s="1"/>
  <c r="R62" i="5" s="1"/>
  <c r="O62" i="5"/>
  <c r="M62" i="5"/>
  <c r="N62" i="5" s="1"/>
  <c r="L62" i="5"/>
  <c r="J62" i="5"/>
  <c r="H62" i="5"/>
  <c r="K62" i="5" s="1"/>
  <c r="G62" i="5"/>
  <c r="S61" i="5"/>
  <c r="O61" i="5"/>
  <c r="M61" i="5"/>
  <c r="T61" i="5" s="1"/>
  <c r="U61" i="5" s="1"/>
  <c r="V61" i="5" s="1"/>
  <c r="L61" i="5"/>
  <c r="H61" i="5"/>
  <c r="G61" i="5"/>
  <c r="U60" i="5"/>
  <c r="V60" i="5" s="1"/>
  <c r="S60" i="5"/>
  <c r="Q60" i="5"/>
  <c r="R60" i="5" s="1"/>
  <c r="O60" i="5"/>
  <c r="N60" i="5"/>
  <c r="M60" i="5"/>
  <c r="T60" i="5" s="1"/>
  <c r="L60" i="5"/>
  <c r="P60" i="5" s="1"/>
  <c r="H60" i="5"/>
  <c r="K60" i="5" s="1"/>
  <c r="G60" i="5"/>
  <c r="U59" i="5"/>
  <c r="V59" i="5" s="1"/>
  <c r="S59" i="5"/>
  <c r="O59" i="5"/>
  <c r="M59" i="5"/>
  <c r="T59" i="5" s="1"/>
  <c r="L59" i="5"/>
  <c r="K59" i="5"/>
  <c r="J59" i="5"/>
  <c r="I59" i="5"/>
  <c r="H59" i="5"/>
  <c r="G59" i="5"/>
  <c r="S58" i="5"/>
  <c r="P58" i="5"/>
  <c r="Q58" i="5" s="1"/>
  <c r="R58" i="5" s="1"/>
  <c r="O58" i="5"/>
  <c r="M58" i="5"/>
  <c r="L58" i="5"/>
  <c r="J58" i="5"/>
  <c r="H58" i="5"/>
  <c r="K58" i="5" s="1"/>
  <c r="G58" i="5"/>
  <c r="T57" i="5"/>
  <c r="U57" i="5" s="1"/>
  <c r="V57" i="5" s="1"/>
  <c r="S57" i="5"/>
  <c r="Q57" i="5"/>
  <c r="R57" i="5" s="1"/>
  <c r="O57" i="5"/>
  <c r="N57" i="5"/>
  <c r="M57" i="5"/>
  <c r="L57" i="5"/>
  <c r="P57" i="5" s="1"/>
  <c r="H57" i="5"/>
  <c r="K57" i="5" s="1"/>
  <c r="G57" i="5"/>
  <c r="U56" i="5"/>
  <c r="V56" i="5" s="1"/>
  <c r="S56" i="5"/>
  <c r="O56" i="5"/>
  <c r="M56" i="5"/>
  <c r="T56" i="5" s="1"/>
  <c r="L56" i="5"/>
  <c r="K56" i="5"/>
  <c r="J56" i="5"/>
  <c r="I56" i="5"/>
  <c r="H56" i="5"/>
  <c r="G56" i="5"/>
  <c r="S55" i="5"/>
  <c r="P55" i="5"/>
  <c r="Q55" i="5" s="1"/>
  <c r="R55" i="5" s="1"/>
  <c r="O55" i="5"/>
  <c r="M55" i="5"/>
  <c r="L55" i="5"/>
  <c r="J55" i="5"/>
  <c r="H55" i="5"/>
  <c r="K55" i="5" s="1"/>
  <c r="G55" i="5"/>
  <c r="T54" i="5"/>
  <c r="U54" i="5" s="1"/>
  <c r="V54" i="5" s="1"/>
  <c r="S54" i="5"/>
  <c r="Q54" i="5"/>
  <c r="R54" i="5" s="1"/>
  <c r="O54" i="5"/>
  <c r="N54" i="5"/>
  <c r="M54" i="5"/>
  <c r="L54" i="5"/>
  <c r="P54" i="5" s="1"/>
  <c r="H54" i="5"/>
  <c r="K54" i="5" s="1"/>
  <c r="G54" i="5"/>
  <c r="U53" i="5"/>
  <c r="V53" i="5" s="1"/>
  <c r="S53" i="5"/>
  <c r="O53" i="5"/>
  <c r="M53" i="5"/>
  <c r="T53" i="5" s="1"/>
  <c r="L53" i="5"/>
  <c r="K53" i="5"/>
  <c r="J53" i="5"/>
  <c r="I53" i="5"/>
  <c r="H53" i="5"/>
  <c r="G53" i="5"/>
  <c r="S52" i="5"/>
  <c r="P52" i="5"/>
  <c r="Q52" i="5" s="1"/>
  <c r="R52" i="5" s="1"/>
  <c r="O52" i="5"/>
  <c r="M52" i="5"/>
  <c r="L52" i="5"/>
  <c r="J52" i="5"/>
  <c r="H52" i="5"/>
  <c r="K52" i="5" s="1"/>
  <c r="G52" i="5"/>
  <c r="T51" i="5"/>
  <c r="U51" i="5" s="1"/>
  <c r="V51" i="5" s="1"/>
  <c r="S51" i="5"/>
  <c r="Q51" i="5"/>
  <c r="R51" i="5" s="1"/>
  <c r="O51" i="5"/>
  <c r="N51" i="5"/>
  <c r="M51" i="5"/>
  <c r="L51" i="5"/>
  <c r="P51" i="5" s="1"/>
  <c r="H51" i="5"/>
  <c r="K51" i="5" s="1"/>
  <c r="G51" i="5"/>
  <c r="U50" i="5"/>
  <c r="V50" i="5" s="1"/>
  <c r="S50" i="5"/>
  <c r="O50" i="5"/>
  <c r="M50" i="5"/>
  <c r="T50" i="5" s="1"/>
  <c r="L50" i="5"/>
  <c r="K50" i="5"/>
  <c r="J50" i="5"/>
  <c r="I50" i="5"/>
  <c r="H50" i="5"/>
  <c r="G50" i="5"/>
  <c r="S49" i="5"/>
  <c r="P49" i="5"/>
  <c r="Q49" i="5" s="1"/>
  <c r="R49" i="5" s="1"/>
  <c r="O49" i="5"/>
  <c r="M49" i="5"/>
  <c r="L49" i="5"/>
  <c r="J49" i="5"/>
  <c r="H49" i="5"/>
  <c r="K49" i="5" s="1"/>
  <c r="G49" i="5"/>
  <c r="S48" i="5"/>
  <c r="Q48" i="5"/>
  <c r="R48" i="5" s="1"/>
  <c r="O48" i="5"/>
  <c r="N48" i="5"/>
  <c r="M48" i="5"/>
  <c r="T48" i="5" s="1"/>
  <c r="U48" i="5" s="1"/>
  <c r="V48" i="5" s="1"/>
  <c r="L48" i="5"/>
  <c r="P48" i="5" s="1"/>
  <c r="H48" i="5"/>
  <c r="K48" i="5" s="1"/>
  <c r="G48" i="5"/>
  <c r="S47" i="5"/>
  <c r="O47" i="5"/>
  <c r="M47" i="5"/>
  <c r="T47" i="5" s="1"/>
  <c r="U47" i="5" s="1"/>
  <c r="V47" i="5" s="1"/>
  <c r="L47" i="5"/>
  <c r="K47" i="5"/>
  <c r="J47" i="5"/>
  <c r="I47" i="5"/>
  <c r="H47" i="5"/>
  <c r="G47" i="5"/>
  <c r="S46" i="5"/>
  <c r="P46" i="5"/>
  <c r="O46" i="5"/>
  <c r="M46" i="5"/>
  <c r="L46" i="5"/>
  <c r="J46" i="5"/>
  <c r="H46" i="5"/>
  <c r="G46" i="5"/>
  <c r="I46" i="5" s="1"/>
  <c r="T45" i="5"/>
  <c r="U45" i="5" s="1"/>
  <c r="V45" i="5" s="1"/>
  <c r="S45" i="5"/>
  <c r="O45" i="5"/>
  <c r="M45" i="5"/>
  <c r="N45" i="5" s="1"/>
  <c r="L45" i="5"/>
  <c r="P45" i="5" s="1"/>
  <c r="Q45" i="5" s="1"/>
  <c r="R45" i="5" s="1"/>
  <c r="K45" i="5"/>
  <c r="H45" i="5"/>
  <c r="G45" i="5"/>
  <c r="U44" i="5"/>
  <c r="V44" i="5" s="1"/>
  <c r="S44" i="5"/>
  <c r="O44" i="5"/>
  <c r="M44" i="5"/>
  <c r="T44" i="5" s="1"/>
  <c r="L44" i="5"/>
  <c r="K44" i="5"/>
  <c r="J44" i="5"/>
  <c r="I44" i="5"/>
  <c r="H44" i="5"/>
  <c r="G44" i="5"/>
  <c r="S43" i="5"/>
  <c r="P43" i="5"/>
  <c r="O43" i="5"/>
  <c r="M43" i="5"/>
  <c r="L43" i="5"/>
  <c r="J43" i="5"/>
  <c r="I43" i="5"/>
  <c r="H43" i="5"/>
  <c r="K43" i="5" s="1"/>
  <c r="G43" i="5"/>
  <c r="S42" i="5"/>
  <c r="Q42" i="5"/>
  <c r="R42" i="5" s="1"/>
  <c r="O42" i="5"/>
  <c r="N42" i="5"/>
  <c r="M42" i="5"/>
  <c r="T42" i="5" s="1"/>
  <c r="U42" i="5" s="1"/>
  <c r="V42" i="5" s="1"/>
  <c r="L42" i="5"/>
  <c r="P42" i="5" s="1"/>
  <c r="H42" i="5"/>
  <c r="G42" i="5"/>
  <c r="S41" i="5"/>
  <c r="Q41" i="5"/>
  <c r="R41" i="5" s="1"/>
  <c r="P41" i="5"/>
  <c r="O41" i="5"/>
  <c r="M41" i="5"/>
  <c r="T41" i="5" s="1"/>
  <c r="U41" i="5" s="1"/>
  <c r="V41" i="5" s="1"/>
  <c r="L41" i="5"/>
  <c r="N41" i="5" s="1"/>
  <c r="K41" i="5"/>
  <c r="J41" i="5"/>
  <c r="I41" i="5"/>
  <c r="H41" i="5"/>
  <c r="G41" i="5"/>
  <c r="T40" i="5"/>
  <c r="U40" i="5" s="1"/>
  <c r="V40" i="5" s="1"/>
  <c r="S40" i="5"/>
  <c r="P40" i="5"/>
  <c r="Q40" i="5" s="1"/>
  <c r="R40" i="5" s="1"/>
  <c r="O40" i="5"/>
  <c r="M40" i="5"/>
  <c r="N40" i="5" s="1"/>
  <c r="L40" i="5"/>
  <c r="J40" i="5"/>
  <c r="I40" i="5"/>
  <c r="H40" i="5"/>
  <c r="G40" i="5"/>
  <c r="S39" i="5"/>
  <c r="O39" i="5"/>
  <c r="M39" i="5"/>
  <c r="T39" i="5" s="1"/>
  <c r="U39" i="5" s="1"/>
  <c r="V39" i="5" s="1"/>
  <c r="L39" i="5"/>
  <c r="P39" i="5" s="1"/>
  <c r="Q39" i="5" s="1"/>
  <c r="R39" i="5" s="1"/>
  <c r="H39" i="5"/>
  <c r="G39" i="5"/>
  <c r="S38" i="5"/>
  <c r="O38" i="5"/>
  <c r="M38" i="5"/>
  <c r="T38" i="5" s="1"/>
  <c r="U38" i="5" s="1"/>
  <c r="V38" i="5" s="1"/>
  <c r="L38" i="5"/>
  <c r="N38" i="5" s="1"/>
  <c r="K38" i="5"/>
  <c r="J38" i="5"/>
  <c r="I38" i="5"/>
  <c r="H38" i="5"/>
  <c r="G38" i="5"/>
  <c r="T37" i="5"/>
  <c r="U37" i="5" s="1"/>
  <c r="V37" i="5" s="1"/>
  <c r="S37" i="5"/>
  <c r="P37" i="5"/>
  <c r="O37" i="5"/>
  <c r="N37" i="5"/>
  <c r="M37" i="5"/>
  <c r="L37" i="5"/>
  <c r="H37" i="5"/>
  <c r="I37" i="5" s="1"/>
  <c r="G37" i="5"/>
  <c r="S36" i="5"/>
  <c r="O36" i="5"/>
  <c r="M36" i="5"/>
  <c r="T36" i="5" s="1"/>
  <c r="U36" i="5" s="1"/>
  <c r="V36" i="5" s="1"/>
  <c r="L36" i="5"/>
  <c r="P36" i="5" s="1"/>
  <c r="Q36" i="5" s="1"/>
  <c r="R36" i="5" s="1"/>
  <c r="H36" i="5"/>
  <c r="G36" i="5"/>
  <c r="S35" i="5"/>
  <c r="O35" i="5"/>
  <c r="M35" i="5"/>
  <c r="T35" i="5" s="1"/>
  <c r="U35" i="5" s="1"/>
  <c r="V35" i="5" s="1"/>
  <c r="L35" i="5"/>
  <c r="N35" i="5" s="1"/>
  <c r="K35" i="5"/>
  <c r="J35" i="5"/>
  <c r="I35" i="5"/>
  <c r="H35" i="5"/>
  <c r="G35" i="5"/>
  <c r="T34" i="5"/>
  <c r="U34" i="5" s="1"/>
  <c r="V34" i="5" s="1"/>
  <c r="S34" i="5"/>
  <c r="P34" i="5"/>
  <c r="Q34" i="5" s="1"/>
  <c r="R34" i="5" s="1"/>
  <c r="O34" i="5"/>
  <c r="N34" i="5"/>
  <c r="M34" i="5"/>
  <c r="L34" i="5"/>
  <c r="H34" i="5"/>
  <c r="K34" i="5" s="1"/>
  <c r="G34" i="5"/>
  <c r="S33" i="5"/>
  <c r="Q33" i="5"/>
  <c r="R33" i="5" s="1"/>
  <c r="O33" i="5"/>
  <c r="N33" i="5"/>
  <c r="M33" i="5"/>
  <c r="T33" i="5" s="1"/>
  <c r="U33" i="5" s="1"/>
  <c r="V33" i="5" s="1"/>
  <c r="L33" i="5"/>
  <c r="P33" i="5" s="1"/>
  <c r="H33" i="5"/>
  <c r="G33" i="5"/>
  <c r="S32" i="5"/>
  <c r="P32" i="5"/>
  <c r="Q32" i="5" s="1"/>
  <c r="R32" i="5" s="1"/>
  <c r="O32" i="5"/>
  <c r="M32" i="5"/>
  <c r="T32" i="5" s="1"/>
  <c r="U32" i="5" s="1"/>
  <c r="V32" i="5" s="1"/>
  <c r="L32" i="5"/>
  <c r="N32" i="5" s="1"/>
  <c r="K32" i="5"/>
  <c r="J32" i="5"/>
  <c r="I32" i="5"/>
  <c r="H32" i="5"/>
  <c r="G32" i="5"/>
  <c r="S31" i="5"/>
  <c r="Q31" i="5"/>
  <c r="R31" i="5" s="1"/>
  <c r="P31" i="5"/>
  <c r="O31" i="5"/>
  <c r="M31" i="5"/>
  <c r="N31" i="5" s="1"/>
  <c r="L31" i="5"/>
  <c r="K31" i="5"/>
  <c r="H31" i="5"/>
  <c r="J31" i="5" s="1"/>
  <c r="G31" i="5"/>
  <c r="S30" i="5"/>
  <c r="O30" i="5"/>
  <c r="Q30" i="5" s="1"/>
  <c r="R30" i="5" s="1"/>
  <c r="M30" i="5"/>
  <c r="N30" i="5" s="1"/>
  <c r="L30" i="5"/>
  <c r="P30" i="5" s="1"/>
  <c r="H30" i="5"/>
  <c r="J30" i="5" s="1"/>
  <c r="G30" i="5"/>
  <c r="S29" i="5"/>
  <c r="P29" i="5"/>
  <c r="O29" i="5"/>
  <c r="Q29" i="5" s="1"/>
  <c r="R29" i="5" s="1"/>
  <c r="M29" i="5"/>
  <c r="T29" i="5" s="1"/>
  <c r="U29" i="5" s="1"/>
  <c r="V29" i="5" s="1"/>
  <c r="L29" i="5"/>
  <c r="N29" i="5" s="1"/>
  <c r="K29" i="5"/>
  <c r="J29" i="5"/>
  <c r="I29" i="5"/>
  <c r="H29" i="5"/>
  <c r="G29" i="5"/>
  <c r="S28" i="5"/>
  <c r="Q28" i="5"/>
  <c r="R28" i="5" s="1"/>
  <c r="P28" i="5"/>
  <c r="O28" i="5"/>
  <c r="M28" i="5"/>
  <c r="T28" i="5" s="1"/>
  <c r="U28" i="5" s="1"/>
  <c r="V28" i="5" s="1"/>
  <c r="L28" i="5"/>
  <c r="K28" i="5"/>
  <c r="H28" i="5"/>
  <c r="J28" i="5" s="1"/>
  <c r="G28" i="5"/>
  <c r="S27" i="5"/>
  <c r="O27" i="5"/>
  <c r="Q27" i="5" s="1"/>
  <c r="R27" i="5" s="1"/>
  <c r="M27" i="5"/>
  <c r="N27" i="5" s="1"/>
  <c r="L27" i="5"/>
  <c r="P27" i="5" s="1"/>
  <c r="H27" i="5"/>
  <c r="J27" i="5" s="1"/>
  <c r="G27" i="5"/>
  <c r="S26" i="5"/>
  <c r="P26" i="5"/>
  <c r="O26" i="5"/>
  <c r="Q26" i="5" s="1"/>
  <c r="R26" i="5" s="1"/>
  <c r="M26" i="5"/>
  <c r="T26" i="5" s="1"/>
  <c r="U26" i="5" s="1"/>
  <c r="V26" i="5" s="1"/>
  <c r="L26" i="5"/>
  <c r="N26" i="5" s="1"/>
  <c r="K26" i="5"/>
  <c r="J26" i="5"/>
  <c r="I26" i="5"/>
  <c r="H26" i="5"/>
  <c r="G26" i="5"/>
  <c r="S25" i="5"/>
  <c r="Q25" i="5"/>
  <c r="R25" i="5" s="1"/>
  <c r="P25" i="5"/>
  <c r="O25" i="5"/>
  <c r="M25" i="5"/>
  <c r="N25" i="5" s="1"/>
  <c r="L25" i="5"/>
  <c r="K25" i="5"/>
  <c r="H25" i="5"/>
  <c r="J25" i="5" s="1"/>
  <c r="G25" i="5"/>
  <c r="S24" i="5"/>
  <c r="O24" i="5"/>
  <c r="Q24" i="5" s="1"/>
  <c r="R24" i="5" s="1"/>
  <c r="M24" i="5"/>
  <c r="N24" i="5" s="1"/>
  <c r="L24" i="5"/>
  <c r="P24" i="5" s="1"/>
  <c r="H24" i="5"/>
  <c r="J24" i="5" s="1"/>
  <c r="G24" i="5"/>
  <c r="S23" i="5"/>
  <c r="P23" i="5"/>
  <c r="O23" i="5"/>
  <c r="Q23" i="5" s="1"/>
  <c r="R23" i="5" s="1"/>
  <c r="M23" i="5"/>
  <c r="T23" i="5" s="1"/>
  <c r="U23" i="5" s="1"/>
  <c r="V23" i="5" s="1"/>
  <c r="L23" i="5"/>
  <c r="N23" i="5" s="1"/>
  <c r="K23" i="5"/>
  <c r="J23" i="5"/>
  <c r="I23" i="5"/>
  <c r="H23" i="5"/>
  <c r="G23" i="5"/>
  <c r="S22" i="5"/>
  <c r="Q22" i="5"/>
  <c r="R22" i="5" s="1"/>
  <c r="P22" i="5"/>
  <c r="O22" i="5"/>
  <c r="M22" i="5"/>
  <c r="N22" i="5" s="1"/>
  <c r="L22" i="5"/>
  <c r="K22" i="5"/>
  <c r="H22" i="5"/>
  <c r="J22" i="5" s="1"/>
  <c r="G22" i="5"/>
  <c r="S21" i="5"/>
  <c r="O21" i="5"/>
  <c r="Q21" i="5" s="1"/>
  <c r="R21" i="5" s="1"/>
  <c r="M21" i="5"/>
  <c r="N21" i="5" s="1"/>
  <c r="L21" i="5"/>
  <c r="P21" i="5" s="1"/>
  <c r="H21" i="5"/>
  <c r="J21" i="5" s="1"/>
  <c r="G21" i="5"/>
  <c r="S20" i="5"/>
  <c r="P20" i="5"/>
  <c r="O20" i="5"/>
  <c r="Q20" i="5" s="1"/>
  <c r="R20" i="5" s="1"/>
  <c r="M20" i="5"/>
  <c r="T20" i="5" s="1"/>
  <c r="U20" i="5" s="1"/>
  <c r="V20" i="5" s="1"/>
  <c r="L20" i="5"/>
  <c r="N20" i="5" s="1"/>
  <c r="K20" i="5"/>
  <c r="J20" i="5"/>
  <c r="I20" i="5"/>
  <c r="H20" i="5"/>
  <c r="G20" i="5"/>
  <c r="S19" i="5"/>
  <c r="Q19" i="5"/>
  <c r="R19" i="5" s="1"/>
  <c r="P19" i="5"/>
  <c r="O19" i="5"/>
  <c r="M19" i="5"/>
  <c r="T19" i="5" s="1"/>
  <c r="U19" i="5" s="1"/>
  <c r="V19" i="5" s="1"/>
  <c r="L19" i="5"/>
  <c r="K19" i="5"/>
  <c r="H19" i="5"/>
  <c r="J19" i="5" s="1"/>
  <c r="G19" i="5"/>
  <c r="S18" i="5"/>
  <c r="O18" i="5"/>
  <c r="Q18" i="5" s="1"/>
  <c r="R18" i="5" s="1"/>
  <c r="M18" i="5"/>
  <c r="N18" i="5" s="1"/>
  <c r="L18" i="5"/>
  <c r="P18" i="5" s="1"/>
  <c r="H18" i="5"/>
  <c r="J18" i="5" s="1"/>
  <c r="G18" i="5"/>
  <c r="S17" i="5"/>
  <c r="P17" i="5"/>
  <c r="O17" i="5"/>
  <c r="Q17" i="5" s="1"/>
  <c r="R17" i="5" s="1"/>
  <c r="M17" i="5"/>
  <c r="T17" i="5" s="1"/>
  <c r="U17" i="5" s="1"/>
  <c r="V17" i="5" s="1"/>
  <c r="L17" i="5"/>
  <c r="N17" i="5" s="1"/>
  <c r="K17" i="5"/>
  <c r="J17" i="5"/>
  <c r="I17" i="5"/>
  <c r="H17" i="5"/>
  <c r="G17" i="5"/>
  <c r="S16" i="5"/>
  <c r="Q16" i="5"/>
  <c r="R16" i="5" s="1"/>
  <c r="P16" i="5"/>
  <c r="O16" i="5"/>
  <c r="M16" i="5"/>
  <c r="T16" i="5" s="1"/>
  <c r="U16" i="5" s="1"/>
  <c r="V16" i="5" s="1"/>
  <c r="L16" i="5"/>
  <c r="K16" i="5"/>
  <c r="H16" i="5"/>
  <c r="J16" i="5" s="1"/>
  <c r="G16" i="5"/>
  <c r="S15" i="5"/>
  <c r="O15" i="5"/>
  <c r="Q15" i="5" s="1"/>
  <c r="R15" i="5" s="1"/>
  <c r="M15" i="5"/>
  <c r="N15" i="5" s="1"/>
  <c r="L15" i="5"/>
  <c r="P15" i="5" s="1"/>
  <c r="H15" i="5"/>
  <c r="J15" i="5" s="1"/>
  <c r="G15" i="5"/>
  <c r="S14" i="5"/>
  <c r="P14" i="5"/>
  <c r="O14" i="5"/>
  <c r="Q14" i="5" s="1"/>
  <c r="R14" i="5" s="1"/>
  <c r="M14" i="5"/>
  <c r="T14" i="5" s="1"/>
  <c r="U14" i="5" s="1"/>
  <c r="V14" i="5" s="1"/>
  <c r="L14" i="5"/>
  <c r="N14" i="5" s="1"/>
  <c r="K14" i="5"/>
  <c r="J14" i="5"/>
  <c r="I14" i="5"/>
  <c r="H14" i="5"/>
  <c r="G14" i="5"/>
  <c r="S13" i="5"/>
  <c r="Q13" i="5"/>
  <c r="R13" i="5" s="1"/>
  <c r="P13" i="5"/>
  <c r="O13" i="5"/>
  <c r="M13" i="5"/>
  <c r="T13" i="5" s="1"/>
  <c r="U13" i="5" s="1"/>
  <c r="V13" i="5" s="1"/>
  <c r="L13" i="5"/>
  <c r="K13" i="5"/>
  <c r="H13" i="5"/>
  <c r="J13" i="5" s="1"/>
  <c r="G13" i="5"/>
  <c r="S12" i="5"/>
  <c r="O12" i="5"/>
  <c r="Q12" i="5" s="1"/>
  <c r="R12" i="5" s="1"/>
  <c r="M12" i="5"/>
  <c r="N12" i="5" s="1"/>
  <c r="L12" i="5"/>
  <c r="P12" i="5" s="1"/>
  <c r="H12" i="5"/>
  <c r="J12" i="5" s="1"/>
  <c r="G12" i="5"/>
  <c r="S11" i="5"/>
  <c r="P11" i="5"/>
  <c r="O11" i="5"/>
  <c r="Q11" i="5" s="1"/>
  <c r="R11" i="5" s="1"/>
  <c r="M11" i="5"/>
  <c r="T11" i="5" s="1"/>
  <c r="U11" i="5" s="1"/>
  <c r="V11" i="5" s="1"/>
  <c r="L11" i="5"/>
  <c r="N11" i="5" s="1"/>
  <c r="K11" i="5"/>
  <c r="J11" i="5"/>
  <c r="I11" i="5"/>
  <c r="H11" i="5"/>
  <c r="G11" i="5"/>
  <c r="S10" i="5"/>
  <c r="Q10" i="5"/>
  <c r="R10" i="5" s="1"/>
  <c r="P10" i="5"/>
  <c r="O10" i="5"/>
  <c r="M10" i="5"/>
  <c r="N10" i="5" s="1"/>
  <c r="L10" i="5"/>
  <c r="K10" i="5"/>
  <c r="H10" i="5"/>
  <c r="J10" i="5" s="1"/>
  <c r="G10" i="5"/>
  <c r="S9" i="5"/>
  <c r="O9" i="5"/>
  <c r="Q9" i="5" s="1"/>
  <c r="R9" i="5" s="1"/>
  <c r="M9" i="5"/>
  <c r="T9" i="5" s="1"/>
  <c r="U9" i="5" s="1"/>
  <c r="V9" i="5" s="1"/>
  <c r="L9" i="5"/>
  <c r="P9" i="5" s="1"/>
  <c r="H9" i="5"/>
  <c r="J9" i="5" s="1"/>
  <c r="G9" i="5"/>
  <c r="S8" i="5"/>
  <c r="P8" i="5"/>
  <c r="O8" i="5"/>
  <c r="Q8" i="5" s="1"/>
  <c r="R8" i="5" s="1"/>
  <c r="M8" i="5"/>
  <c r="T8" i="5" s="1"/>
  <c r="U8" i="5" s="1"/>
  <c r="V8" i="5" s="1"/>
  <c r="L8" i="5"/>
  <c r="N8" i="5" s="1"/>
  <c r="K8" i="5"/>
  <c r="J8" i="5"/>
  <c r="I8" i="5"/>
  <c r="H8" i="5"/>
  <c r="G8" i="5"/>
  <c r="S7" i="5"/>
  <c r="Q7" i="5"/>
  <c r="R7" i="5" s="1"/>
  <c r="P7" i="5"/>
  <c r="O7" i="5"/>
  <c r="M7" i="5"/>
  <c r="N7" i="5" s="1"/>
  <c r="L7" i="5"/>
  <c r="K7" i="5"/>
  <c r="H7" i="5"/>
  <c r="J7" i="5" s="1"/>
  <c r="G7" i="5"/>
  <c r="S6" i="5"/>
  <c r="O6" i="5"/>
  <c r="Q6" i="5" s="1"/>
  <c r="R6" i="5" s="1"/>
  <c r="M6" i="5"/>
  <c r="T6" i="5" s="1"/>
  <c r="U6" i="5" s="1"/>
  <c r="V6" i="5" s="1"/>
  <c r="L6" i="5"/>
  <c r="P6" i="5" s="1"/>
  <c r="H6" i="5"/>
  <c r="J6" i="5" s="1"/>
  <c r="G6" i="5"/>
  <c r="S5" i="5"/>
  <c r="P5" i="5"/>
  <c r="O5" i="5"/>
  <c r="O123" i="5" s="1"/>
  <c r="M5" i="5"/>
  <c r="L5" i="5"/>
  <c r="K5" i="5"/>
  <c r="J5" i="5"/>
  <c r="I5" i="5"/>
  <c r="H5" i="5"/>
  <c r="G5" i="5"/>
  <c r="F2" i="5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AM42" i="1"/>
  <c r="O42" i="1"/>
  <c r="I42" i="1"/>
  <c r="AQ41" i="1"/>
  <c r="AE41" i="1"/>
  <c r="M41" i="1"/>
  <c r="BM40" i="1"/>
  <c r="BG40" i="1"/>
  <c r="AU40" i="1"/>
  <c r="AI40" i="1"/>
  <c r="BP47" i="1"/>
  <c r="BJ47" i="1"/>
  <c r="BD47" i="1"/>
  <c r="AF47" i="1"/>
  <c r="R46" i="1"/>
  <c r="L46" i="1"/>
  <c r="BP44" i="1"/>
  <c r="BJ44" i="1"/>
  <c r="BD44" i="1"/>
  <c r="AF44" i="1"/>
  <c r="R43" i="1"/>
  <c r="L43" i="1"/>
  <c r="BJ46" i="1"/>
  <c r="BM45" i="1"/>
  <c r="L45" i="1"/>
  <c r="L44" i="1"/>
  <c r="BP43" i="1"/>
  <c r="AF43" i="1"/>
  <c r="AI41" i="1"/>
  <c r="BD40" i="1"/>
  <c r="M40" i="1"/>
  <c r="BP38" i="1"/>
  <c r="BJ38" i="1"/>
  <c r="BD38" i="1"/>
  <c r="AF38" i="1"/>
  <c r="R37" i="1"/>
  <c r="L37" i="1"/>
  <c r="BP35" i="1"/>
  <c r="BJ35" i="1"/>
  <c r="BD35" i="1"/>
  <c r="AF35" i="1"/>
  <c r="R34" i="1"/>
  <c r="L34" i="1"/>
  <c r="BP32" i="1"/>
  <c r="BJ32" i="1"/>
  <c r="BD32" i="1"/>
  <c r="AF32" i="1"/>
  <c r="R31" i="1"/>
  <c r="L31" i="1"/>
  <c r="AI47" i="1"/>
  <c r="I47" i="1"/>
  <c r="I46" i="1"/>
  <c r="BD45" i="1"/>
  <c r="AE45" i="1"/>
  <c r="M45" i="1"/>
  <c r="BG44" i="1"/>
  <c r="O44" i="1"/>
  <c r="AQ43" i="1"/>
  <c r="O43" i="1"/>
  <c r="BJ42" i="1"/>
  <c r="AU42" i="1"/>
  <c r="BM41" i="1"/>
  <c r="O41" i="1"/>
  <c r="AQ40" i="1"/>
  <c r="BM39" i="1"/>
  <c r="BG39" i="1"/>
  <c r="AU39" i="1"/>
  <c r="AI39" i="1"/>
  <c r="AM38" i="1"/>
  <c r="O38" i="1"/>
  <c r="I38" i="1"/>
  <c r="AQ37" i="1"/>
  <c r="AE37" i="1"/>
  <c r="M37" i="1"/>
  <c r="BM36" i="1"/>
  <c r="BG36" i="1"/>
  <c r="AU36" i="1"/>
  <c r="BG47" i="1"/>
  <c r="AU47" i="1"/>
  <c r="AU44" i="1"/>
  <c r="AI44" i="1"/>
  <c r="I44" i="1"/>
  <c r="AE42" i="1"/>
  <c r="BJ41" i="1"/>
  <c r="AF41" i="1"/>
  <c r="O40" i="1"/>
  <c r="BJ39" i="1"/>
  <c r="R39" i="1"/>
  <c r="AU38" i="1"/>
  <c r="BG37" i="1"/>
  <c r="BD36" i="1"/>
  <c r="AE36" i="1"/>
  <c r="I36" i="1"/>
  <c r="BG35" i="1"/>
  <c r="I35" i="1"/>
  <c r="BM34" i="1"/>
  <c r="O34" i="1"/>
  <c r="BG33" i="1"/>
  <c r="O33" i="1"/>
  <c r="BM32" i="1"/>
  <c r="AQ32" i="1"/>
  <c r="O32" i="1"/>
  <c r="AQ31" i="1"/>
  <c r="AI31" i="1"/>
  <c r="BM30" i="1"/>
  <c r="AQ30" i="1"/>
  <c r="R30" i="1"/>
  <c r="L30" i="1"/>
  <c r="BP28" i="1"/>
  <c r="BJ28" i="1"/>
  <c r="BD28" i="1"/>
  <c r="BJ45" i="1"/>
  <c r="BJ43" i="1"/>
  <c r="AM43" i="1"/>
  <c r="M43" i="1"/>
  <c r="BP42" i="1"/>
  <c r="BD42" i="1"/>
  <c r="AQ42" i="1"/>
  <c r="AF42" i="1"/>
  <c r="BP40" i="1"/>
  <c r="I39" i="1"/>
  <c r="BM38" i="1"/>
  <c r="L38" i="1"/>
  <c r="BP37" i="1"/>
  <c r="AI37" i="1"/>
  <c r="I37" i="1"/>
  <c r="AM36" i="1"/>
  <c r="AF36" i="1"/>
  <c r="R36" i="1"/>
  <c r="AM35" i="1"/>
  <c r="AE35" i="1"/>
  <c r="BG34" i="1"/>
  <c r="AE34" i="1"/>
  <c r="I34" i="1"/>
  <c r="AE33" i="1"/>
  <c r="I33" i="1"/>
  <c r="BG32" i="1"/>
  <c r="I32" i="1"/>
  <c r="BM31" i="1"/>
  <c r="O31" i="1"/>
  <c r="BG30" i="1"/>
  <c r="AE30" i="1"/>
  <c r="M30" i="1"/>
  <c r="BM29" i="1"/>
  <c r="BG29" i="1"/>
  <c r="AU29" i="1"/>
  <c r="AI29" i="1"/>
  <c r="AM28" i="1"/>
  <c r="O28" i="1"/>
  <c r="I28" i="1"/>
  <c r="AQ27" i="1"/>
  <c r="AE27" i="1"/>
  <c r="M27" i="1"/>
  <c r="BM26" i="1"/>
  <c r="BG26" i="1"/>
  <c r="AU26" i="1"/>
  <c r="AI26" i="1"/>
  <c r="AM25" i="1"/>
  <c r="O25" i="1"/>
  <c r="I25" i="1"/>
  <c r="AQ24" i="1"/>
  <c r="AE24" i="1"/>
  <c r="M24" i="1"/>
  <c r="BM23" i="1"/>
  <c r="BG23" i="1"/>
  <c r="BG45" i="1"/>
  <c r="AQ45" i="1"/>
  <c r="BM44" i="1"/>
  <c r="BG42" i="1"/>
  <c r="AM41" i="1"/>
  <c r="BJ40" i="1"/>
  <c r="AF40" i="1"/>
  <c r="R40" i="1"/>
  <c r="AF39" i="1"/>
  <c r="AQ38" i="1"/>
  <c r="AE38" i="1"/>
  <c r="O36" i="1"/>
  <c r="O35" i="1"/>
  <c r="AF34" i="1"/>
  <c r="BM33" i="1"/>
  <c r="AU33" i="1"/>
  <c r="AI33" i="1"/>
  <c r="M33" i="1"/>
  <c r="AU32" i="1"/>
  <c r="AI32" i="1"/>
  <c r="M32" i="1"/>
  <c r="BP31" i="1"/>
  <c r="BG31" i="1"/>
  <c r="AE31" i="1"/>
  <c r="I31" i="1"/>
  <c r="AU30" i="1"/>
  <c r="AI30" i="1"/>
  <c r="I30" i="1"/>
  <c r="BD29" i="1"/>
  <c r="L29" i="1"/>
  <c r="AQ28" i="1"/>
  <c r="AI27" i="1"/>
  <c r="BD26" i="1"/>
  <c r="M26" i="1"/>
  <c r="BJ25" i="1"/>
  <c r="AI25" i="1"/>
  <c r="M25" i="1"/>
  <c r="BD24" i="1"/>
  <c r="L24" i="1"/>
  <c r="BJ23" i="1"/>
  <c r="R23" i="1"/>
  <c r="L23" i="1"/>
  <c r="BP21" i="1"/>
  <c r="BJ21" i="1"/>
  <c r="BD21" i="1"/>
  <c r="AF21" i="1"/>
  <c r="R20" i="1"/>
  <c r="L20" i="1"/>
  <c r="BP18" i="1"/>
  <c r="BJ18" i="1"/>
  <c r="BD18" i="1"/>
  <c r="AF18" i="1"/>
  <c r="BM47" i="1"/>
  <c r="AQ46" i="1"/>
  <c r="AI45" i="1"/>
  <c r="AM47" i="1"/>
  <c r="O47" i="1"/>
  <c r="L47" i="1"/>
  <c r="AE46" i="1"/>
  <c r="M46" i="1"/>
  <c r="AE43" i="1"/>
  <c r="I43" i="1"/>
  <c r="BD41" i="1"/>
  <c r="I41" i="1"/>
  <c r="BG38" i="1"/>
  <c r="R38" i="1"/>
  <c r="BJ37" i="1"/>
  <c r="AM37" i="1"/>
  <c r="BP36" i="1"/>
  <c r="R35" i="1"/>
  <c r="BJ34" i="1"/>
  <c r="AQ34" i="1"/>
  <c r="BP33" i="1"/>
  <c r="BD33" i="1"/>
  <c r="AM32" i="1"/>
  <c r="AF31" i="1"/>
  <c r="BP30" i="1"/>
  <c r="BD30" i="1"/>
  <c r="AM29" i="1"/>
  <c r="AE29" i="1"/>
  <c r="M29" i="1"/>
  <c r="BG28" i="1"/>
  <c r="BM27" i="1"/>
  <c r="O27" i="1"/>
  <c r="AQ26" i="1"/>
  <c r="BD46" i="1"/>
  <c r="R45" i="1"/>
  <c r="BP41" i="1"/>
  <c r="AU41" i="1"/>
  <c r="R41" i="1"/>
  <c r="AM40" i="1"/>
  <c r="BP39" i="1"/>
  <c r="AE39" i="1"/>
  <c r="M39" i="1"/>
  <c r="AM34" i="1"/>
  <c r="BJ31" i="1"/>
  <c r="AF29" i="1"/>
  <c r="R29" i="1"/>
  <c r="AU28" i="1"/>
  <c r="AI28" i="1"/>
  <c r="M28" i="1"/>
  <c r="BP27" i="1"/>
  <c r="AM27" i="1"/>
  <c r="AF26" i="1"/>
  <c r="BG25" i="1"/>
  <c r="AQ25" i="1"/>
  <c r="BM24" i="1"/>
  <c r="AU24" i="1"/>
  <c r="AM24" i="1"/>
  <c r="BP23" i="1"/>
  <c r="O23" i="1"/>
  <c r="BG22" i="1"/>
  <c r="O22" i="1"/>
  <c r="BM21" i="1"/>
  <c r="AQ21" i="1"/>
  <c r="O21" i="1"/>
  <c r="AQ20" i="1"/>
  <c r="AI20" i="1"/>
  <c r="BM19" i="1"/>
  <c r="AQ19" i="1"/>
  <c r="AI18" i="1"/>
  <c r="M18" i="1"/>
  <c r="BP16" i="1"/>
  <c r="BJ16" i="1"/>
  <c r="BD16" i="1"/>
  <c r="AF16" i="1"/>
  <c r="R15" i="1"/>
  <c r="L15" i="1"/>
  <c r="BP13" i="1"/>
  <c r="BJ13" i="1"/>
  <c r="BD13" i="1"/>
  <c r="AF13" i="1"/>
  <c r="R12" i="1"/>
  <c r="L12" i="1"/>
  <c r="BP10" i="1"/>
  <c r="BJ10" i="1"/>
  <c r="BD10" i="1"/>
  <c r="AF10" i="1"/>
  <c r="R9" i="1"/>
  <c r="L9" i="1"/>
  <c r="BP7" i="1"/>
  <c r="BJ7" i="1"/>
  <c r="BD7" i="1"/>
  <c r="AF7" i="1"/>
  <c r="R6" i="1"/>
  <c r="L6" i="1"/>
  <c r="AQ23" i="1"/>
  <c r="AI23" i="1"/>
  <c r="BP46" i="1"/>
  <c r="AM44" i="1"/>
  <c r="BD43" i="1"/>
  <c r="R42" i="1"/>
  <c r="AE40" i="1"/>
  <c r="I40" i="1"/>
  <c r="L39" i="1"/>
  <c r="AI36" i="1"/>
  <c r="AI34" i="1"/>
  <c r="AF30" i="1"/>
  <c r="AQ29" i="1"/>
  <c r="O29" i="1"/>
  <c r="BM28" i="1"/>
  <c r="L28" i="1"/>
  <c r="BD27" i="1"/>
  <c r="AU27" i="1"/>
  <c r="BJ26" i="1"/>
  <c r="AE26" i="1"/>
  <c r="I26" i="1"/>
  <c r="AF25" i="1"/>
  <c r="BM22" i="1"/>
  <c r="AU45" i="1"/>
  <c r="AQ39" i="1"/>
  <c r="BM37" i="1"/>
  <c r="BD37" i="1"/>
  <c r="AI35" i="1"/>
  <c r="AM33" i="1"/>
  <c r="AU31" i="1"/>
  <c r="O30" i="1"/>
  <c r="BP29" i="1"/>
  <c r="AF28" i="1"/>
  <c r="L27" i="1"/>
  <c r="AM26" i="1"/>
  <c r="R26" i="1"/>
  <c r="AM46" i="1"/>
  <c r="AI42" i="1"/>
  <c r="M42" i="1"/>
  <c r="BG41" i="1"/>
  <c r="L41" i="1"/>
  <c r="AI38" i="1"/>
  <c r="M38" i="1"/>
  <c r="O37" i="1"/>
  <c r="BJ36" i="1"/>
  <c r="M36" i="1"/>
  <c r="BM35" i="1"/>
  <c r="BP34" i="1"/>
  <c r="AU34" i="1"/>
  <c r="BD31" i="1"/>
  <c r="M31" i="1"/>
  <c r="I29" i="1"/>
  <c r="AE28" i="1"/>
  <c r="BJ27" i="1"/>
  <c r="BP26" i="1"/>
  <c r="AU25" i="1"/>
  <c r="L25" i="1"/>
  <c r="AI24" i="1"/>
  <c r="I24" i="1"/>
  <c r="BD23" i="1"/>
  <c r="AU23" i="1"/>
  <c r="BJ22" i="1"/>
  <c r="AF46" i="1"/>
  <c r="BP45" i="1"/>
  <c r="AF45" i="1"/>
  <c r="R44" i="1"/>
  <c r="BM42" i="1"/>
  <c r="L42" i="1"/>
  <c r="AM39" i="1"/>
  <c r="O39" i="1"/>
  <c r="AF37" i="1"/>
  <c r="L36" i="1"/>
  <c r="AU35" i="1"/>
  <c r="M35" i="1"/>
  <c r="BD34" i="1"/>
  <c r="M34" i="1"/>
  <c r="BJ33" i="1"/>
  <c r="AF33" i="1"/>
  <c r="R33" i="1"/>
  <c r="R32" i="1"/>
  <c r="AM30" i="1"/>
  <c r="BJ29" i="1"/>
  <c r="R28" i="1"/>
  <c r="AF27" i="1"/>
  <c r="R47" i="1"/>
  <c r="O46" i="1"/>
  <c r="L40" i="1"/>
  <c r="BD39" i="1"/>
  <c r="AU37" i="1"/>
  <c r="AQ36" i="1"/>
  <c r="AQ35" i="1"/>
  <c r="L35" i="1"/>
  <c r="AQ33" i="1"/>
  <c r="L33" i="1"/>
  <c r="AE32" i="1"/>
  <c r="L32" i="1"/>
  <c r="AM31" i="1"/>
  <c r="BJ30" i="1"/>
  <c r="BG27" i="1"/>
  <c r="R27" i="1"/>
  <c r="I27" i="1"/>
  <c r="L26" i="1"/>
  <c r="BP25" i="1"/>
  <c r="R25" i="1"/>
  <c r="AF24" i="1"/>
  <c r="O24" i="1"/>
  <c r="AE23" i="1"/>
  <c r="I23" i="1"/>
  <c r="AE22" i="1"/>
  <c r="I22" i="1"/>
  <c r="BG21" i="1"/>
  <c r="I21" i="1"/>
  <c r="BM20" i="1"/>
  <c r="O20" i="1"/>
  <c r="BG19" i="1"/>
  <c r="O19" i="1"/>
  <c r="BM18" i="1"/>
  <c r="AQ18" i="1"/>
  <c r="O18" i="1"/>
  <c r="BM17" i="1"/>
  <c r="BG17" i="1"/>
  <c r="AU17" i="1"/>
  <c r="AI17" i="1"/>
  <c r="AM16" i="1"/>
  <c r="O16" i="1"/>
  <c r="I16" i="1"/>
  <c r="AQ15" i="1"/>
  <c r="AE15" i="1"/>
  <c r="M15" i="1"/>
  <c r="BM14" i="1"/>
  <c r="BG14" i="1"/>
  <c r="AU14" i="1"/>
  <c r="AI14" i="1"/>
  <c r="AE25" i="1"/>
  <c r="BG24" i="1"/>
  <c r="BD22" i="1"/>
  <c r="AQ22" i="1"/>
  <c r="AF22" i="1"/>
  <c r="BD20" i="1"/>
  <c r="AU20" i="1"/>
  <c r="BJ19" i="1"/>
  <c r="AF19" i="1"/>
  <c r="AM17" i="1"/>
  <c r="AE17" i="1"/>
  <c r="M17" i="1"/>
  <c r="BG16" i="1"/>
  <c r="BJ15" i="1"/>
  <c r="I14" i="1"/>
  <c r="BM13" i="1"/>
  <c r="L13" i="1"/>
  <c r="BJ12" i="1"/>
  <c r="AU12" i="1"/>
  <c r="BJ11" i="1"/>
  <c r="L11" i="1"/>
  <c r="AU10" i="1"/>
  <c r="R10" i="1"/>
  <c r="BP9" i="1"/>
  <c r="AM9" i="1"/>
  <c r="AF9" i="1"/>
  <c r="BP8" i="1"/>
  <c r="AU8" i="1"/>
  <c r="AM8" i="1"/>
  <c r="AF8" i="1"/>
  <c r="R8" i="1"/>
  <c r="AM7" i="1"/>
  <c r="AE7" i="1"/>
  <c r="BG6" i="1"/>
  <c r="AE6" i="1"/>
  <c r="I6" i="1"/>
  <c r="AE5" i="1"/>
  <c r="I5" i="1"/>
  <c r="AE18" i="1"/>
  <c r="BD17" i="1"/>
  <c r="L17" i="1"/>
  <c r="AE16" i="1"/>
  <c r="M16" i="1"/>
  <c r="BG15" i="1"/>
  <c r="O15" i="1"/>
  <c r="BJ14" i="1"/>
  <c r="R14" i="1"/>
  <c r="AU13" i="1"/>
  <c r="R13" i="1"/>
  <c r="BP12" i="1"/>
  <c r="AM12" i="1"/>
  <c r="AF12" i="1"/>
  <c r="BP11" i="1"/>
  <c r="AU11" i="1"/>
  <c r="AF11" i="1"/>
  <c r="R11" i="1"/>
  <c r="AM10" i="1"/>
  <c r="BG9" i="1"/>
  <c r="AE9" i="1"/>
  <c r="I9" i="1"/>
  <c r="AE8" i="1"/>
  <c r="I8" i="1"/>
  <c r="BG7" i="1"/>
  <c r="I7" i="1"/>
  <c r="BM6" i="1"/>
  <c r="O6" i="1"/>
  <c r="BG5" i="1"/>
  <c r="O5" i="1"/>
  <c r="BM25" i="1"/>
  <c r="AE21" i="1"/>
  <c r="M20" i="1"/>
  <c r="AE19" i="1"/>
  <c r="I19" i="1"/>
  <c r="AM11" i="1"/>
  <c r="AE10" i="1"/>
  <c r="O26" i="1"/>
  <c r="AM23" i="1"/>
  <c r="BP22" i="1"/>
  <c r="AM22" i="1"/>
  <c r="R22" i="1"/>
  <c r="R21" i="1"/>
  <c r="BJ20" i="1"/>
  <c r="AM19" i="1"/>
  <c r="R19" i="1"/>
  <c r="R18" i="1"/>
  <c r="I18" i="1"/>
  <c r="I17" i="1"/>
  <c r="BM16" i="1"/>
  <c r="L16" i="1"/>
  <c r="BP15" i="1"/>
  <c r="BP24" i="1"/>
  <c r="R24" i="1"/>
  <c r="M23" i="1"/>
  <c r="AM21" i="1"/>
  <c r="AF20" i="1"/>
  <c r="BP19" i="1"/>
  <c r="BD19" i="1"/>
  <c r="BG18" i="1"/>
  <c r="AM18" i="1"/>
  <c r="BJ17" i="1"/>
  <c r="R17" i="1"/>
  <c r="AU16" i="1"/>
  <c r="BM15" i="1"/>
  <c r="AU15" i="1"/>
  <c r="AM15" i="1"/>
  <c r="BP14" i="1"/>
  <c r="AF14" i="1"/>
  <c r="I13" i="1"/>
  <c r="BM12" i="1"/>
  <c r="O12" i="1"/>
  <c r="BG11" i="1"/>
  <c r="O11" i="1"/>
  <c r="BM10" i="1"/>
  <c r="AQ10" i="1"/>
  <c r="O10" i="1"/>
  <c r="AQ9" i="1"/>
  <c r="AI9" i="1"/>
  <c r="BM8" i="1"/>
  <c r="AQ8" i="1"/>
  <c r="AI7" i="1"/>
  <c r="M7" i="1"/>
  <c r="BD6" i="1"/>
  <c r="M6" i="1"/>
  <c r="BD5" i="1"/>
  <c r="AI5" i="1"/>
  <c r="M5" i="1"/>
  <c r="R16" i="1"/>
  <c r="AE14" i="1"/>
  <c r="BG13" i="1"/>
  <c r="AQ13" i="1"/>
  <c r="O13" i="1"/>
  <c r="AI12" i="1"/>
  <c r="BM11" i="1"/>
  <c r="AQ11" i="1"/>
  <c r="M10" i="1"/>
  <c r="BD9" i="1"/>
  <c r="M9" i="1"/>
  <c r="BD8" i="1"/>
  <c r="AI8" i="1"/>
  <c r="AF23" i="1"/>
  <c r="AI22" i="1"/>
  <c r="M22" i="1"/>
  <c r="AU21" i="1"/>
  <c r="AI21" i="1"/>
  <c r="M21" i="1"/>
  <c r="BP20" i="1"/>
  <c r="BG20" i="1"/>
  <c r="AE20" i="1"/>
  <c r="I20" i="1"/>
  <c r="AU19" i="1"/>
  <c r="AI19" i="1"/>
  <c r="M19" i="1"/>
  <c r="AU18" i="1"/>
  <c r="AQ17" i="1"/>
  <c r="O17" i="1"/>
  <c r="BD15" i="1"/>
  <c r="AM14" i="1"/>
  <c r="M14" i="1"/>
  <c r="AQ12" i="1"/>
  <c r="AI10" i="1"/>
  <c r="BD25" i="1"/>
  <c r="BJ24" i="1"/>
  <c r="AU22" i="1"/>
  <c r="L22" i="1"/>
  <c r="L21" i="1"/>
  <c r="AM20" i="1"/>
  <c r="L19" i="1"/>
  <c r="L18" i="1"/>
  <c r="BP17" i="1"/>
  <c r="AF17" i="1"/>
  <c r="AQ16" i="1"/>
  <c r="AI16" i="1"/>
  <c r="AI15" i="1"/>
  <c r="I15" i="1"/>
  <c r="BD14" i="1"/>
  <c r="L14" i="1"/>
  <c r="AI13" i="1"/>
  <c r="M13" i="1"/>
  <c r="BD12" i="1"/>
  <c r="M12" i="1"/>
  <c r="BD11" i="1"/>
  <c r="AI11" i="1"/>
  <c r="M11" i="1"/>
  <c r="AQ14" i="1"/>
  <c r="AE13" i="1"/>
  <c r="I12" i="1"/>
  <c r="BM9" i="1"/>
  <c r="BG8" i="1"/>
  <c r="BP5" i="1"/>
  <c r="L5" i="1"/>
  <c r="BJ6" i="1"/>
  <c r="AM6" i="1"/>
  <c r="BM5" i="1"/>
  <c r="AM5" i="1"/>
  <c r="I11" i="1"/>
  <c r="L10" i="1"/>
  <c r="AU9" i="1"/>
  <c r="O8" i="1"/>
  <c r="BM7" i="1"/>
  <c r="BG12" i="1"/>
  <c r="I10" i="1"/>
  <c r="BJ9" i="1"/>
  <c r="M8" i="1"/>
  <c r="AI6" i="1"/>
  <c r="BJ5" i="1"/>
  <c r="AF15" i="1"/>
  <c r="O14" i="1"/>
  <c r="AE12" i="1"/>
  <c r="L8" i="1"/>
  <c r="AU7" i="1"/>
  <c r="R7" i="1"/>
  <c r="AU6" i="1"/>
  <c r="R5" i="1"/>
  <c r="AE11" i="1"/>
  <c r="O9" i="1"/>
  <c r="AQ7" i="1"/>
  <c r="O7" i="1"/>
  <c r="BP6" i="1"/>
  <c r="AF6" i="1"/>
  <c r="AU5" i="1"/>
  <c r="AF5" i="1"/>
  <c r="AM13" i="1"/>
  <c r="BG10" i="1"/>
  <c r="BJ8" i="1"/>
  <c r="L7" i="1"/>
  <c r="AQ6" i="1"/>
  <c r="AQ5" i="1"/>
  <c r="K6" i="3" l="1"/>
  <c r="CB6" i="3"/>
  <c r="DO6" i="3"/>
  <c r="AC10" i="3"/>
  <c r="EA10" i="3"/>
  <c r="AR19" i="3"/>
  <c r="CB5" i="3"/>
  <c r="BJ6" i="3"/>
  <c r="CW6" i="3"/>
  <c r="H9" i="3"/>
  <c r="H8" i="3"/>
  <c r="CH5" i="3"/>
  <c r="CQ6" i="3"/>
  <c r="AC8" i="3"/>
  <c r="BG8" i="3"/>
  <c r="EA8" i="3"/>
  <c r="CW9" i="3"/>
  <c r="AO11" i="3"/>
  <c r="AP5" i="3" a="1"/>
  <c r="AP5" i="3" s="1"/>
  <c r="DB5" i="3" a="1"/>
  <c r="DB5" i="3" s="1"/>
  <c r="J6" i="3" a="1"/>
  <c r="J6" i="3" s="1"/>
  <c r="AD6" i="3"/>
  <c r="AD48" i="3" s="1"/>
  <c r="BI6" i="3"/>
  <c r="DB6" i="3" a="1"/>
  <c r="DB6" i="3" s="1"/>
  <c r="DC6" i="3" s="1"/>
  <c r="I7" i="3" a="1"/>
  <c r="I7" i="3" s="1"/>
  <c r="I48" i="3" s="1"/>
  <c r="AT7" i="3" a="1"/>
  <c r="AT7" i="3" s="1"/>
  <c r="BZ7" i="3"/>
  <c r="DA7" i="3" a="1"/>
  <c r="DA7" i="3" s="1"/>
  <c r="DO14" i="3"/>
  <c r="EA14" i="3"/>
  <c r="AW16" i="3"/>
  <c r="AQ5" i="3" a="1"/>
  <c r="AQ5" i="3" s="1"/>
  <c r="CP5" i="3" a="1"/>
  <c r="CP5" i="3" s="1"/>
  <c r="R6" i="3"/>
  <c r="AE6" i="3"/>
  <c r="AW6" i="3"/>
  <c r="BQ6" i="3" a="1"/>
  <c r="BQ6" i="3" s="1"/>
  <c r="CD6" i="3" a="1"/>
  <c r="CD6" i="3" s="1"/>
  <c r="CP6" i="3" a="1"/>
  <c r="CP6" i="3" s="1"/>
  <c r="DJ6" i="3"/>
  <c r="DP6" i="3"/>
  <c r="DW6" i="3"/>
  <c r="BH7" i="3"/>
  <c r="BS11" i="3"/>
  <c r="Y15" i="3"/>
  <c r="BT15" i="3"/>
  <c r="AA16" i="3" a="1"/>
  <c r="AA16" i="3" s="1"/>
  <c r="BK16" i="3" a="1"/>
  <c r="BK16" i="3" s="1"/>
  <c r="CU16" i="3" a="1"/>
  <c r="CU16" i="3" s="1"/>
  <c r="AP41" i="3" a="1"/>
  <c r="AP41" i="3" s="1"/>
  <c r="AS46" i="3" a="1"/>
  <c r="AS46" i="3" s="1"/>
  <c r="AP47" i="3" a="1"/>
  <c r="AP47" i="3" s="1"/>
  <c r="AP44" i="3" a="1"/>
  <c r="AP44" i="3" s="1"/>
  <c r="AS38" i="3" a="1"/>
  <c r="AS38" i="3" s="1"/>
  <c r="AP37" i="3" a="1"/>
  <c r="AP37" i="3" s="1"/>
  <c r="AS45" i="3" a="1"/>
  <c r="AS45" i="3" s="1"/>
  <c r="AP40" i="3" a="1"/>
  <c r="AP40" i="3" s="1"/>
  <c r="AS44" i="3" a="1"/>
  <c r="AS44" i="3" s="1"/>
  <c r="AP33" i="3" a="1"/>
  <c r="AP33" i="3" s="1"/>
  <c r="AS42" i="3" a="1"/>
  <c r="AS42" i="3" s="1"/>
  <c r="AP39" i="3" a="1"/>
  <c r="AP39" i="3" s="1"/>
  <c r="AS47" i="3" a="1"/>
  <c r="AS47" i="3" s="1"/>
  <c r="AP27" i="3" a="1"/>
  <c r="AP27" i="3" s="1"/>
  <c r="AR27" i="3" s="1"/>
  <c r="AP25" i="3" a="1"/>
  <c r="AP25" i="3" s="1"/>
  <c r="AP21" i="3" a="1"/>
  <c r="AP21" i="3" s="1"/>
  <c r="AR21" i="3" s="1"/>
  <c r="AS39" i="3" a="1"/>
  <c r="AS39" i="3" s="1"/>
  <c r="AS20" i="3" a="1"/>
  <c r="AS20" i="3" s="1"/>
  <c r="AP38" i="3" a="1"/>
  <c r="AP38" i="3" s="1"/>
  <c r="AS21" i="3" a="1"/>
  <c r="AS21" i="3" s="1"/>
  <c r="AP18" i="3" a="1"/>
  <c r="AP18" i="3" s="1"/>
  <c r="AR18" i="3" s="1"/>
  <c r="AP14" i="3" a="1"/>
  <c r="AP14" i="3" s="1"/>
  <c r="AR14" i="3" s="1"/>
  <c r="AS33" i="3" a="1"/>
  <c r="AS33" i="3" s="1"/>
  <c r="AS27" i="3" a="1"/>
  <c r="AS27" i="3" s="1"/>
  <c r="AS14" i="3" a="1"/>
  <c r="AS14" i="3" s="1"/>
  <c r="AS9" i="3" a="1"/>
  <c r="AS9" i="3" s="1"/>
  <c r="AU9" i="3" s="1"/>
  <c r="F5" i="3"/>
  <c r="AA5" i="3" a="1"/>
  <c r="AA5" i="3" s="1"/>
  <c r="AG5" i="3" a="1"/>
  <c r="AG5" i="3" s="1"/>
  <c r="AS5" i="3" a="1"/>
  <c r="AS5" i="3" s="1"/>
  <c r="BR5" i="3" a="1"/>
  <c r="BR5" i="3" s="1"/>
  <c r="CR5" i="3"/>
  <c r="CX5" i="3"/>
  <c r="DY5" i="3" a="1"/>
  <c r="DY5" i="3" s="1"/>
  <c r="U6" i="3" a="1"/>
  <c r="U6" i="3" s="1"/>
  <c r="W6" i="3" s="1"/>
  <c r="AA6" i="3" a="1"/>
  <c r="AA6" i="3" s="1"/>
  <c r="AG6" i="3" a="1"/>
  <c r="AG6" i="3" s="1"/>
  <c r="AN6" i="3" a="1"/>
  <c r="AN6" i="3" s="1"/>
  <c r="AS6" i="3" a="1"/>
  <c r="AS6" i="3" s="1"/>
  <c r="AU6" i="3" s="1"/>
  <c r="BL6" i="3" a="1"/>
  <c r="BL6" i="3" s="1"/>
  <c r="CR6" i="3"/>
  <c r="CY6" i="3"/>
  <c r="DS6" i="3" a="1"/>
  <c r="DS6" i="3" s="1"/>
  <c r="DY6" i="3" a="1"/>
  <c r="DY6" i="3" s="1"/>
  <c r="EA6" i="3" s="1"/>
  <c r="F7" i="3"/>
  <c r="L7" i="3"/>
  <c r="N7" i="3" s="1"/>
  <c r="R7" i="3"/>
  <c r="Y7" i="3"/>
  <c r="AE7" i="3"/>
  <c r="AM7" i="3" a="1"/>
  <c r="AM7" i="3" s="1"/>
  <c r="AO7" i="3" s="1"/>
  <c r="CD7" i="3" a="1"/>
  <c r="CD7" i="3" s="1"/>
  <c r="CJ7" i="3" a="1"/>
  <c r="CJ7" i="3" s="1"/>
  <c r="CK7" i="3" s="1"/>
  <c r="DD7" i="3"/>
  <c r="DF7" i="3" s="1"/>
  <c r="DJ7" i="3"/>
  <c r="DL7" i="3" s="1"/>
  <c r="DP7" i="3"/>
  <c r="DW7" i="3"/>
  <c r="BD8" i="3"/>
  <c r="AS10" i="3" a="1"/>
  <c r="AS10" i="3" s="1"/>
  <c r="N13" i="3"/>
  <c r="P15" i="3" a="1"/>
  <c r="P15" i="3" s="1"/>
  <c r="EF15" i="3" s="1"/>
  <c r="AY15" i="3" a="1"/>
  <c r="AY15" i="3" s="1"/>
  <c r="BW15" i="3" a="1"/>
  <c r="BW15" i="3" s="1"/>
  <c r="DH15" i="3" a="1"/>
  <c r="DH15" i="3" s="1"/>
  <c r="I16" i="3" a="1"/>
  <c r="I16" i="3" s="1"/>
  <c r="S16" i="3"/>
  <c r="AP16" i="3" a="1"/>
  <c r="AP16" i="3" s="1"/>
  <c r="BN16" i="3"/>
  <c r="CA16" i="3"/>
  <c r="DK16" i="3"/>
  <c r="DV17" i="3"/>
  <c r="DX17" i="3" s="1"/>
  <c r="DD17" i="3"/>
  <c r="DF17" i="3" s="1"/>
  <c r="CL17" i="3"/>
  <c r="CN17" i="3" s="1"/>
  <c r="BT17" i="3"/>
  <c r="BV17" i="3" s="1"/>
  <c r="BB17" i="3"/>
  <c r="BD17" i="3" s="1"/>
  <c r="AP17" i="3" a="1"/>
  <c r="AP17" i="3" s="1"/>
  <c r="X17" i="3"/>
  <c r="Z17" i="3" s="1"/>
  <c r="F17" i="3"/>
  <c r="DS17" i="3" a="1"/>
  <c r="DS17" i="3" s="1"/>
  <c r="DM17" i="3" a="1"/>
  <c r="DM17" i="3" s="1"/>
  <c r="DB17" i="3" a="1"/>
  <c r="DB17" i="3" s="1"/>
  <c r="CF17" i="3"/>
  <c r="CA17" i="3"/>
  <c r="BQ17" i="3" a="1"/>
  <c r="BQ17" i="3" s="1"/>
  <c r="BK17" i="3" a="1"/>
  <c r="BK17" i="3" s="1"/>
  <c r="AZ17" i="3" a="1"/>
  <c r="AZ17" i="3" s="1"/>
  <c r="AK17" i="3"/>
  <c r="AA17" i="3" a="1"/>
  <c r="AA17" i="3" s="1"/>
  <c r="P17" i="3" a="1"/>
  <c r="P17" i="3" s="1"/>
  <c r="Q17" i="3" s="1"/>
  <c r="J17" i="3" a="1"/>
  <c r="J17" i="3" s="1"/>
  <c r="DY17" i="3" a="1"/>
  <c r="DY17" i="3" s="1"/>
  <c r="EA17" i="3" s="1"/>
  <c r="DN17" i="3" a="1"/>
  <c r="DN17" i="3" s="1"/>
  <c r="DH17" i="3" a="1"/>
  <c r="DH17" i="3" s="1"/>
  <c r="DI17" i="3" s="1"/>
  <c r="CR17" i="3"/>
  <c r="CT17" i="3" s="1"/>
  <c r="CM17" i="3"/>
  <c r="CG17" i="3"/>
  <c r="BW17" i="3" a="1"/>
  <c r="BW17" i="3" s="1"/>
  <c r="BL17" i="3" a="1"/>
  <c r="BL17" i="3" s="1"/>
  <c r="BF17" i="3" a="1"/>
  <c r="BF17" i="3" s="1"/>
  <c r="AQ17" i="3" a="1"/>
  <c r="AQ17" i="3" s="1"/>
  <c r="AM17" i="3" a="1"/>
  <c r="AM17" i="3" s="1"/>
  <c r="AO17" i="3" s="1"/>
  <c r="AG17" i="3" a="1"/>
  <c r="AG17" i="3" s="1"/>
  <c r="AI17" i="3" s="1"/>
  <c r="V17" i="3" a="1"/>
  <c r="V17" i="3" s="1"/>
  <c r="DT17" i="3" a="1"/>
  <c r="DT17" i="3" s="1"/>
  <c r="DK17" i="3"/>
  <c r="CU17" i="3" a="1"/>
  <c r="CU17" i="3" s="1"/>
  <c r="BN17" i="3"/>
  <c r="AY17" i="3" a="1"/>
  <c r="AY17" i="3" s="1"/>
  <c r="AB17" i="3" a="1"/>
  <c r="AB17" i="3" s="1"/>
  <c r="S17" i="3"/>
  <c r="T17" i="3" s="1"/>
  <c r="L17" i="3"/>
  <c r="DE17" i="3"/>
  <c r="CV17" i="3" a="1"/>
  <c r="CV17" i="3" s="1"/>
  <c r="CO17" i="3" a="1"/>
  <c r="CO17" i="3" s="1"/>
  <c r="CQ17" i="3" s="1"/>
  <c r="BX17" i="3" a="1"/>
  <c r="BX17" i="3" s="1"/>
  <c r="BO17" i="3"/>
  <c r="BH17" i="3"/>
  <c r="BJ17" i="3" s="1"/>
  <c r="AJ17" i="3"/>
  <c r="AL17" i="3" s="1"/>
  <c r="U17" i="3" a="1"/>
  <c r="U17" i="3" s="1"/>
  <c r="M17" i="3"/>
  <c r="AT17" i="3" a="1"/>
  <c r="AT17" i="3" s="1"/>
  <c r="BE17" i="3" a="1"/>
  <c r="BE17" i="3" s="1"/>
  <c r="BG17" i="3" s="1"/>
  <c r="CD17" i="3" a="1"/>
  <c r="CD17" i="3" s="1"/>
  <c r="CP17" i="3" a="1"/>
  <c r="CP17" i="3" s="1"/>
  <c r="DZ17" i="3" a="1"/>
  <c r="DZ17" i="3" s="1"/>
  <c r="P19" i="3" a="1"/>
  <c r="P19" i="3" s="1"/>
  <c r="EF19" i="3" s="1"/>
  <c r="AA19" i="3" a="1"/>
  <c r="AA19" i="3" s="1"/>
  <c r="AY19" i="3" a="1"/>
  <c r="AY19" i="3" s="1"/>
  <c r="CJ19" i="3" a="1"/>
  <c r="CJ19" i="3" s="1"/>
  <c r="AP22" i="3" a="1"/>
  <c r="AP22" i="3" s="1"/>
  <c r="O23" i="3" a="1"/>
  <c r="O23" i="3" s="1"/>
  <c r="AN23" i="3" a="1"/>
  <c r="AN23" i="3" s="1"/>
  <c r="G24" i="3"/>
  <c r="AD24" i="3"/>
  <c r="AF24" i="3" s="1"/>
  <c r="CX24" i="3"/>
  <c r="DW23" i="3"/>
  <c r="DS23" i="3" a="1"/>
  <c r="DS23" i="3" s="1"/>
  <c r="DN23" i="3" a="1"/>
  <c r="DN23" i="3" s="1"/>
  <c r="DE23" i="3"/>
  <c r="DA23" i="3" a="1"/>
  <c r="DA23" i="3" s="1"/>
  <c r="CV23" i="3" a="1"/>
  <c r="CV23" i="3" s="1"/>
  <c r="CM23" i="3"/>
  <c r="CI23" i="3" a="1"/>
  <c r="CI23" i="3" s="1"/>
  <c r="CD23" i="3" a="1"/>
  <c r="CD23" i="3" s="1"/>
  <c r="BU23" i="3"/>
  <c r="BQ23" i="3" a="1"/>
  <c r="BQ23" i="3" s="1"/>
  <c r="BL23" i="3" a="1"/>
  <c r="BL23" i="3" s="1"/>
  <c r="BC23" i="3"/>
  <c r="AY23" i="3" a="1"/>
  <c r="AY23" i="3" s="1"/>
  <c r="BA23" i="3" s="1"/>
  <c r="AT23" i="3" a="1"/>
  <c r="AT23" i="3" s="1"/>
  <c r="AM23" i="3" a="1"/>
  <c r="AM23" i="3" s="1"/>
  <c r="AH23" i="3" a="1"/>
  <c r="AH23" i="3" s="1"/>
  <c r="Y23" i="3"/>
  <c r="U23" i="3" a="1"/>
  <c r="U23" i="3" s="1"/>
  <c r="P23" i="3" a="1"/>
  <c r="P23" i="3" s="1"/>
  <c r="G23" i="3"/>
  <c r="DY23" i="3" a="1"/>
  <c r="DY23" i="3" s="1"/>
  <c r="DH23" i="3" a="1"/>
  <c r="DH23" i="3" s="1"/>
  <c r="DI23" i="3" s="1"/>
  <c r="CR23" i="3"/>
  <c r="CT23" i="3" s="1"/>
  <c r="CL23" i="3"/>
  <c r="CN23" i="3" s="1"/>
  <c r="CG23" i="3"/>
  <c r="BW23" i="3" a="1"/>
  <c r="BW23" i="3" s="1"/>
  <c r="BF23" i="3" a="1"/>
  <c r="BF23" i="3" s="1"/>
  <c r="AQ23" i="3" a="1"/>
  <c r="AQ23" i="3" s="1"/>
  <c r="AG23" i="3" a="1"/>
  <c r="AG23" i="3" s="1"/>
  <c r="AI23" i="3" s="1"/>
  <c r="V23" i="3" a="1"/>
  <c r="V23" i="3" s="1"/>
  <c r="DT23" i="3" a="1"/>
  <c r="DT23" i="3" s="1"/>
  <c r="CX23" i="3"/>
  <c r="CS23" i="3"/>
  <c r="CC23" i="3" a="1"/>
  <c r="CC23" i="3" s="1"/>
  <c r="CE23" i="3" s="1"/>
  <c r="BR23" i="3" a="1"/>
  <c r="BR23" i="3" s="1"/>
  <c r="AV23" i="3"/>
  <c r="AX23" i="3" s="1"/>
  <c r="AB23" i="3" a="1"/>
  <c r="AB23" i="3" s="1"/>
  <c r="L23" i="3"/>
  <c r="F23" i="3"/>
  <c r="DD23" i="3"/>
  <c r="DF23" i="3" s="1"/>
  <c r="CO23" i="3" a="1"/>
  <c r="CO23" i="3" s="1"/>
  <c r="BX23" i="3" a="1"/>
  <c r="BX23" i="3" s="1"/>
  <c r="BO23" i="3"/>
  <c r="BH23" i="3"/>
  <c r="AJ23" i="3"/>
  <c r="M23" i="3"/>
  <c r="DM23" i="3" a="1"/>
  <c r="DM23" i="3" s="1"/>
  <c r="DO23" i="3" s="1"/>
  <c r="CF23" i="3"/>
  <c r="BI23" i="3"/>
  <c r="AZ23" i="3" a="1"/>
  <c r="AZ23" i="3" s="1"/>
  <c r="AS23" i="3" a="1"/>
  <c r="AS23" i="3" s="1"/>
  <c r="AU23" i="3" s="1"/>
  <c r="AK23" i="3"/>
  <c r="AD23" i="3"/>
  <c r="CU23" i="3" a="1"/>
  <c r="CU23" i="3" s="1"/>
  <c r="CW23" i="3" s="1"/>
  <c r="CJ23" i="3" a="1"/>
  <c r="CJ23" i="3" s="1"/>
  <c r="BK23" i="3" a="1"/>
  <c r="BK23" i="3" s="1"/>
  <c r="AA23" i="3" a="1"/>
  <c r="AA23" i="3" s="1"/>
  <c r="DP23" i="3"/>
  <c r="DB23" i="3" a="1"/>
  <c r="DB23" i="3" s="1"/>
  <c r="X23" i="3"/>
  <c r="Z23" i="3" s="1"/>
  <c r="J23" i="3" a="1"/>
  <c r="J23" i="3" s="1"/>
  <c r="DV23" i="3"/>
  <c r="DJ23" i="3"/>
  <c r="CY23" i="3"/>
  <c r="BZ23" i="3"/>
  <c r="BB23" i="3"/>
  <c r="BD23" i="3" s="1"/>
  <c r="AE23" i="3"/>
  <c r="R23" i="3"/>
  <c r="S23" i="3"/>
  <c r="AP23" i="3" a="1"/>
  <c r="AP23" i="3" s="1"/>
  <c r="AR23" i="3" s="1"/>
  <c r="BN23" i="3"/>
  <c r="DK23" i="3"/>
  <c r="DC15" i="3"/>
  <c r="DW16" i="3"/>
  <c r="DS16" i="3" a="1"/>
  <c r="DS16" i="3" s="1"/>
  <c r="DN16" i="3" a="1"/>
  <c r="DN16" i="3" s="1"/>
  <c r="DE16" i="3"/>
  <c r="DA16" i="3" a="1"/>
  <c r="DA16" i="3" s="1"/>
  <c r="DC16" i="3" s="1"/>
  <c r="CV16" i="3" a="1"/>
  <c r="CV16" i="3" s="1"/>
  <c r="CM16" i="3"/>
  <c r="CI16" i="3" a="1"/>
  <c r="CI16" i="3" s="1"/>
  <c r="CK16" i="3" s="1"/>
  <c r="CD16" i="3" a="1"/>
  <c r="CD16" i="3" s="1"/>
  <c r="BU16" i="3"/>
  <c r="BQ16" i="3" a="1"/>
  <c r="BQ16" i="3" s="1"/>
  <c r="BL16" i="3" a="1"/>
  <c r="BL16" i="3" s="1"/>
  <c r="BC16" i="3"/>
  <c r="AY16" i="3" a="1"/>
  <c r="AY16" i="3" s="1"/>
  <c r="BA16" i="3" s="1"/>
  <c r="AT16" i="3" a="1"/>
  <c r="AT16" i="3" s="1"/>
  <c r="AM16" i="3" a="1"/>
  <c r="AM16" i="3" s="1"/>
  <c r="AH16" i="3" a="1"/>
  <c r="AH16" i="3" s="1"/>
  <c r="Y16" i="3"/>
  <c r="U16" i="3" a="1"/>
  <c r="U16" i="3" s="1"/>
  <c r="P16" i="3" a="1"/>
  <c r="P16" i="3" s="1"/>
  <c r="G16" i="3"/>
  <c r="DY16" i="3" a="1"/>
  <c r="DY16" i="3" s="1"/>
  <c r="EA16" i="3" s="1"/>
  <c r="DH16" i="3" a="1"/>
  <c r="DH16" i="3" s="1"/>
  <c r="CR16" i="3"/>
  <c r="CT16" i="3" s="1"/>
  <c r="CL16" i="3"/>
  <c r="CN16" i="3" s="1"/>
  <c r="CG16" i="3"/>
  <c r="BW16" i="3" a="1"/>
  <c r="BW16" i="3" s="1"/>
  <c r="BF16" i="3" a="1"/>
  <c r="BF16" i="3" s="1"/>
  <c r="BG16" i="3" s="1"/>
  <c r="AQ16" i="3" a="1"/>
  <c r="AQ16" i="3" s="1"/>
  <c r="AG16" i="3" a="1"/>
  <c r="AG16" i="3" s="1"/>
  <c r="AI16" i="3" s="1"/>
  <c r="V16" i="3" a="1"/>
  <c r="V16" i="3" s="1"/>
  <c r="DT16" i="3" a="1"/>
  <c r="DT16" i="3" s="1"/>
  <c r="CX16" i="3"/>
  <c r="CS16" i="3"/>
  <c r="CC16" i="3" a="1"/>
  <c r="CC16" i="3" s="1"/>
  <c r="CE16" i="3" s="1"/>
  <c r="BR16" i="3" a="1"/>
  <c r="BR16" i="3" s="1"/>
  <c r="AV16" i="3"/>
  <c r="AX16" i="3" s="1"/>
  <c r="AB16" i="3" a="1"/>
  <c r="AB16" i="3" s="1"/>
  <c r="L16" i="3"/>
  <c r="F16" i="3"/>
  <c r="DD16" i="3"/>
  <c r="DF16" i="3" s="1"/>
  <c r="CO16" i="3" a="1"/>
  <c r="CO16" i="3" s="1"/>
  <c r="CQ16" i="3" s="1"/>
  <c r="BX16" i="3" a="1"/>
  <c r="BX16" i="3" s="1"/>
  <c r="BO16" i="3"/>
  <c r="BH16" i="3"/>
  <c r="AJ16" i="3"/>
  <c r="M16" i="3"/>
  <c r="DM16" i="3" a="1"/>
  <c r="DM16" i="3" s="1"/>
  <c r="DO16" i="3" s="1"/>
  <c r="CF16" i="3"/>
  <c r="CH16" i="3" s="1"/>
  <c r="BI16" i="3"/>
  <c r="AZ16" i="3" a="1"/>
  <c r="AZ16" i="3" s="1"/>
  <c r="AS16" i="3" a="1"/>
  <c r="AS16" i="3" s="1"/>
  <c r="AU16" i="3" s="1"/>
  <c r="AK16" i="3"/>
  <c r="AD16" i="3"/>
  <c r="AF16" i="3" s="1"/>
  <c r="J16" i="3" a="1"/>
  <c r="J16" i="3" s="1"/>
  <c r="X16" i="3"/>
  <c r="Z16" i="3" s="1"/>
  <c r="DB16" i="3" a="1"/>
  <c r="DB16" i="3" s="1"/>
  <c r="DP16" i="3"/>
  <c r="K19" i="3"/>
  <c r="CP23" i="3" a="1"/>
  <c r="CP23" i="3" s="1"/>
  <c r="BI24" i="3"/>
  <c r="BM26" i="3"/>
  <c r="DT7" i="3" a="1"/>
  <c r="DT7" i="3" s="1"/>
  <c r="EB14" i="3"/>
  <c r="H14" i="3"/>
  <c r="BT16" i="3"/>
  <c r="BV16" i="3" s="1"/>
  <c r="BG19" i="3"/>
  <c r="CE19" i="3"/>
  <c r="DU19" i="3"/>
  <c r="AW23" i="3"/>
  <c r="BT23" i="3"/>
  <c r="BV23" i="3" s="1"/>
  <c r="DQ23" i="3"/>
  <c r="DV24" i="3"/>
  <c r="DX24" i="3" s="1"/>
  <c r="DD24" i="3"/>
  <c r="CL24" i="3"/>
  <c r="BT24" i="3"/>
  <c r="BB24" i="3"/>
  <c r="AP24" i="3" a="1"/>
  <c r="AP24" i="3" s="1"/>
  <c r="X24" i="3"/>
  <c r="Z24" i="3" s="1"/>
  <c r="F24" i="3"/>
  <c r="DS24" i="3" a="1"/>
  <c r="DS24" i="3" s="1"/>
  <c r="DM24" i="3" a="1"/>
  <c r="DM24" i="3" s="1"/>
  <c r="DB24" i="3" a="1"/>
  <c r="DB24" i="3" s="1"/>
  <c r="CF24" i="3"/>
  <c r="CH24" i="3" s="1"/>
  <c r="CA24" i="3"/>
  <c r="BQ24" i="3" a="1"/>
  <c r="BQ24" i="3" s="1"/>
  <c r="BK24" i="3" a="1"/>
  <c r="BK24" i="3" s="1"/>
  <c r="AZ24" i="3" a="1"/>
  <c r="AZ24" i="3" s="1"/>
  <c r="AK24" i="3"/>
  <c r="AA24" i="3" a="1"/>
  <c r="AA24" i="3" s="1"/>
  <c r="AC24" i="3" s="1"/>
  <c r="P24" i="3" a="1"/>
  <c r="P24" i="3" s="1"/>
  <c r="J24" i="3" a="1"/>
  <c r="J24" i="3" s="1"/>
  <c r="DY24" i="3" a="1"/>
  <c r="DY24" i="3" s="1"/>
  <c r="EA24" i="3" s="1"/>
  <c r="DN24" i="3" a="1"/>
  <c r="DN24" i="3" s="1"/>
  <c r="DH24" i="3" a="1"/>
  <c r="DH24" i="3" s="1"/>
  <c r="CR24" i="3"/>
  <c r="CM24" i="3"/>
  <c r="CG24" i="3"/>
  <c r="BW24" i="3" a="1"/>
  <c r="BW24" i="3" s="1"/>
  <c r="BL24" i="3" a="1"/>
  <c r="BL24" i="3" s="1"/>
  <c r="BF24" i="3" a="1"/>
  <c r="BF24" i="3" s="1"/>
  <c r="BG24" i="3" s="1"/>
  <c r="AQ24" i="3" a="1"/>
  <c r="AQ24" i="3" s="1"/>
  <c r="AM24" i="3" a="1"/>
  <c r="AM24" i="3" s="1"/>
  <c r="AO24" i="3" s="1"/>
  <c r="AG24" i="3" a="1"/>
  <c r="AG24" i="3" s="1"/>
  <c r="V24" i="3" a="1"/>
  <c r="V24" i="3" s="1"/>
  <c r="DT24" i="3" a="1"/>
  <c r="DT24" i="3" s="1"/>
  <c r="DK24" i="3"/>
  <c r="CU24" i="3" a="1"/>
  <c r="CU24" i="3" s="1"/>
  <c r="CW24" i="3" s="1"/>
  <c r="BN24" i="3"/>
  <c r="BP24" i="3" s="1"/>
  <c r="AY24" i="3" a="1"/>
  <c r="AY24" i="3" s="1"/>
  <c r="AB24" i="3" a="1"/>
  <c r="AB24" i="3" s="1"/>
  <c r="S24" i="3"/>
  <c r="L24" i="3"/>
  <c r="N24" i="3" s="1"/>
  <c r="DE24" i="3"/>
  <c r="CV24" i="3" a="1"/>
  <c r="CV24" i="3" s="1"/>
  <c r="CO24" i="3" a="1"/>
  <c r="CO24" i="3" s="1"/>
  <c r="BX24" i="3" a="1"/>
  <c r="BX24" i="3" s="1"/>
  <c r="BO24" i="3"/>
  <c r="BH24" i="3"/>
  <c r="BJ24" i="3" s="1"/>
  <c r="AJ24" i="3"/>
  <c r="AL24" i="3" s="1"/>
  <c r="U24" i="3" a="1"/>
  <c r="U24" i="3" s="1"/>
  <c r="W24" i="3" s="1"/>
  <c r="M24" i="3"/>
  <c r="DW24" i="3"/>
  <c r="DJ24" i="3"/>
  <c r="CY24" i="3"/>
  <c r="BZ24" i="3"/>
  <c r="CB24" i="3" s="1"/>
  <c r="BC24" i="3"/>
  <c r="AE24" i="3"/>
  <c r="R24" i="3"/>
  <c r="DQ24" i="3"/>
  <c r="DG24" i="3" a="1"/>
  <c r="DG24" i="3" s="1"/>
  <c r="DI24" i="3" s="1"/>
  <c r="BU24" i="3"/>
  <c r="AW24" i="3"/>
  <c r="AN24" i="3" a="1"/>
  <c r="AN24" i="3" s="1"/>
  <c r="O24" i="3" a="1"/>
  <c r="O24" i="3" s="1"/>
  <c r="DA24" i="3" a="1"/>
  <c r="DA24" i="3" s="1"/>
  <c r="CC24" i="3" a="1"/>
  <c r="CC24" i="3" s="1"/>
  <c r="CE24" i="3" s="1"/>
  <c r="BR24" i="3" a="1"/>
  <c r="BR24" i="3" s="1"/>
  <c r="AS24" i="3" a="1"/>
  <c r="AS24" i="3" s="1"/>
  <c r="AU24" i="3" s="1"/>
  <c r="AH24" i="3" a="1"/>
  <c r="AH24" i="3" s="1"/>
  <c r="I24" i="3" a="1"/>
  <c r="I24" i="3" s="1"/>
  <c r="CJ24" i="3" a="1"/>
  <c r="CJ24" i="3" s="1"/>
  <c r="CK24" i="3" s="1"/>
  <c r="AC26" i="3"/>
  <c r="DW5" i="3"/>
  <c r="DS5" i="3" a="1"/>
  <c r="DS5" i="3" s="1"/>
  <c r="DN5" i="3" a="1"/>
  <c r="DN5" i="3" s="1"/>
  <c r="DO5" i="3" s="1"/>
  <c r="DE5" i="3"/>
  <c r="DA5" i="3" a="1"/>
  <c r="DA5" i="3" s="1"/>
  <c r="CV5" i="3" a="1"/>
  <c r="CV5" i="3" s="1"/>
  <c r="CM5" i="3"/>
  <c r="CN5" i="3" s="1"/>
  <c r="CI5" i="3" a="1"/>
  <c r="CI5" i="3" s="1"/>
  <c r="CD5" i="3" a="1"/>
  <c r="CD5" i="3" s="1"/>
  <c r="BU5" i="3"/>
  <c r="BQ5" i="3" a="1"/>
  <c r="BQ5" i="3" s="1"/>
  <c r="BL5" i="3" a="1"/>
  <c r="BL5" i="3" s="1"/>
  <c r="BC5" i="3"/>
  <c r="AY5" i="3" a="1"/>
  <c r="AY5" i="3" s="1"/>
  <c r="AT5" i="3" a="1"/>
  <c r="AT5" i="3" s="1"/>
  <c r="AM5" i="3" a="1"/>
  <c r="AM5" i="3" s="1"/>
  <c r="AH5" i="3" a="1"/>
  <c r="AH5" i="3" s="1"/>
  <c r="Y5" i="3"/>
  <c r="U5" i="3" a="1"/>
  <c r="U5" i="3" s="1"/>
  <c r="P5" i="3" a="1"/>
  <c r="P5" i="3" s="1"/>
  <c r="G5" i="3"/>
  <c r="DZ5" i="3" a="1"/>
  <c r="DZ5" i="3" s="1"/>
  <c r="DJ5" i="3"/>
  <c r="DD5" i="3"/>
  <c r="CY5" i="3"/>
  <c r="CO5" i="3" a="1"/>
  <c r="CO5" i="3" s="1"/>
  <c r="BX5" i="3" a="1"/>
  <c r="BX5" i="3" s="1"/>
  <c r="BH5" i="3"/>
  <c r="BB5" i="3"/>
  <c r="AW5" i="3"/>
  <c r="AN5" i="3" a="1"/>
  <c r="AN5" i="3" s="1"/>
  <c r="R5" i="3"/>
  <c r="M5" i="3"/>
  <c r="BO6" i="3"/>
  <c r="BP6" i="3" s="1"/>
  <c r="CC5" i="3" a="1"/>
  <c r="CC5" i="3" s="1"/>
  <c r="H18" i="3"/>
  <c r="DP19" i="3"/>
  <c r="CX19" i="3"/>
  <c r="CZ19" i="3" s="1"/>
  <c r="CF19" i="3"/>
  <c r="CH19" i="3" s="1"/>
  <c r="BN19" i="3"/>
  <c r="BP19" i="3" s="1"/>
  <c r="AV19" i="3"/>
  <c r="AJ19" i="3"/>
  <c r="R19" i="3"/>
  <c r="T19" i="3" s="1"/>
  <c r="DZ19" i="3" a="1"/>
  <c r="DZ19" i="3" s="1"/>
  <c r="DQ19" i="3"/>
  <c r="DM19" i="3" a="1"/>
  <c r="DM19" i="3" s="1"/>
  <c r="DH19" i="3" a="1"/>
  <c r="DH19" i="3" s="1"/>
  <c r="CY19" i="3"/>
  <c r="CS19" i="3"/>
  <c r="CI19" i="3" a="1"/>
  <c r="CI19" i="3" s="1"/>
  <c r="CK19" i="3" s="1"/>
  <c r="BX19" i="3" a="1"/>
  <c r="BX19" i="3" s="1"/>
  <c r="BR19" i="3" a="1"/>
  <c r="BR19" i="3" s="1"/>
  <c r="BB19" i="3"/>
  <c r="AW19" i="3"/>
  <c r="AH19" i="3" a="1"/>
  <c r="AH19" i="3" s="1"/>
  <c r="AI19" i="3" s="1"/>
  <c r="L19" i="3"/>
  <c r="N19" i="3" s="1"/>
  <c r="G19" i="3"/>
  <c r="DT19" i="3" a="1"/>
  <c r="DT19" i="3" s="1"/>
  <c r="DN19" i="3" a="1"/>
  <c r="DN19" i="3" s="1"/>
  <c r="DG19" i="3" a="1"/>
  <c r="DG19" i="3" s="1"/>
  <c r="DI19" i="3" s="1"/>
  <c r="DA19" i="3" a="1"/>
  <c r="DA19" i="3" s="1"/>
  <c r="DC19" i="3" s="1"/>
  <c r="CU19" i="3" a="1"/>
  <c r="CU19" i="3" s="1"/>
  <c r="CO19" i="3" a="1"/>
  <c r="CO19" i="3" s="1"/>
  <c r="CD19" i="3" a="1"/>
  <c r="CD19" i="3" s="1"/>
  <c r="BH19" i="3"/>
  <c r="BC19" i="3"/>
  <c r="AS19" i="3" a="1"/>
  <c r="AS19" i="3" s="1"/>
  <c r="AU19" i="3" s="1"/>
  <c r="AN19" i="3" a="1"/>
  <c r="AN19" i="3" s="1"/>
  <c r="X19" i="3"/>
  <c r="Z19" i="3" s="1"/>
  <c r="S19" i="3"/>
  <c r="M19" i="3"/>
  <c r="DY19" i="3" a="1"/>
  <c r="DY19" i="3" s="1"/>
  <c r="DE19" i="3"/>
  <c r="CV19" i="3" a="1"/>
  <c r="CV19" i="3" s="1"/>
  <c r="CM19" i="3"/>
  <c r="CN19" i="3" s="1"/>
  <c r="BW19" i="3" a="1"/>
  <c r="BW19" i="3" s="1"/>
  <c r="AQ19" i="3" a="1"/>
  <c r="AQ19" i="3" s="1"/>
  <c r="AK19" i="3"/>
  <c r="AB19" i="3" a="1"/>
  <c r="AB19" i="3" s="1"/>
  <c r="U19" i="3" a="1"/>
  <c r="U19" i="3" s="1"/>
  <c r="W19" i="3" s="1"/>
  <c r="CP19" i="3" a="1"/>
  <c r="CP19" i="3" s="1"/>
  <c r="CG19" i="3"/>
  <c r="BQ19" i="3" a="1"/>
  <c r="BQ19" i="3" s="1"/>
  <c r="BS19" i="3" s="1"/>
  <c r="BI19" i="3"/>
  <c r="AZ19" i="3" a="1"/>
  <c r="AZ19" i="3" s="1"/>
  <c r="AD19" i="3"/>
  <c r="AF19" i="3" s="1"/>
  <c r="O19" i="3" a="1"/>
  <c r="O19" i="3" s="1"/>
  <c r="Q19" i="3" s="1"/>
  <c r="Y19" i="3"/>
  <c r="BF19" i="3" a="1"/>
  <c r="BF19" i="3" s="1"/>
  <c r="BT19" i="3"/>
  <c r="DD19" i="3"/>
  <c r="DF19" i="3" s="1"/>
  <c r="DV19" i="3"/>
  <c r="DX19" i="3" s="1"/>
  <c r="H22" i="3"/>
  <c r="I23" i="3" a="1"/>
  <c r="I23" i="3" s="1"/>
  <c r="CA23" i="3"/>
  <c r="AT24" i="3" a="1"/>
  <c r="AT24" i="3" s="1"/>
  <c r="CP24" i="3" a="1"/>
  <c r="CP24" i="3" s="1"/>
  <c r="J5" i="3" a="1"/>
  <c r="J5" i="3" s="1"/>
  <c r="K5" i="3" s="1"/>
  <c r="AJ5" i="3"/>
  <c r="BI5" i="3"/>
  <c r="BO5" i="3"/>
  <c r="BP5" i="3" s="1"/>
  <c r="DH5" i="3" a="1"/>
  <c r="DH5" i="3" s="1"/>
  <c r="DV6" i="3"/>
  <c r="DX6" i="3" s="1"/>
  <c r="DD6" i="3"/>
  <c r="DF6" i="3" s="1"/>
  <c r="CL6" i="3"/>
  <c r="CN6" i="3" s="1"/>
  <c r="BT6" i="3"/>
  <c r="BV6" i="3" s="1"/>
  <c r="BB6" i="3"/>
  <c r="BD6" i="3" s="1"/>
  <c r="AP6" i="3" a="1"/>
  <c r="AP6" i="3" s="1"/>
  <c r="AR6" i="3" s="1"/>
  <c r="X6" i="3"/>
  <c r="F6" i="3"/>
  <c r="DT6" i="3" a="1"/>
  <c r="DT6" i="3" s="1"/>
  <c r="DT48" i="3" s="1"/>
  <c r="CX6" i="3"/>
  <c r="CZ6" i="3" s="1"/>
  <c r="CS6" i="3"/>
  <c r="CS48" i="3" s="1"/>
  <c r="CI6" i="3" a="1"/>
  <c r="CI6" i="3" s="1"/>
  <c r="CK6" i="3" s="1"/>
  <c r="CC6" i="3" a="1"/>
  <c r="CC6" i="3" s="1"/>
  <c r="CE6" i="3" s="1"/>
  <c r="BR6" i="3" a="1"/>
  <c r="BR6" i="3" s="1"/>
  <c r="AV6" i="3"/>
  <c r="AH6" i="3" a="1"/>
  <c r="AH6" i="3" s="1"/>
  <c r="AB6" i="3" a="1"/>
  <c r="AB6" i="3" s="1"/>
  <c r="AB48" i="3" s="1"/>
  <c r="L6" i="3"/>
  <c r="N6" i="3" s="1"/>
  <c r="G6" i="3"/>
  <c r="AJ6" i="3"/>
  <c r="AL6" i="3" s="1"/>
  <c r="BC6" i="3"/>
  <c r="CV6" i="3" a="1"/>
  <c r="CV6" i="3" s="1"/>
  <c r="DH6" i="3" a="1"/>
  <c r="DH6" i="3" s="1"/>
  <c r="DI6" i="3" s="1"/>
  <c r="DZ7" i="3" a="1"/>
  <c r="DZ7" i="3" s="1"/>
  <c r="EA7" i="3" s="1"/>
  <c r="DQ7" i="3"/>
  <c r="DM7" i="3" a="1"/>
  <c r="DM7" i="3" s="1"/>
  <c r="DO7" i="3" s="1"/>
  <c r="DH7" i="3" a="1"/>
  <c r="DH7" i="3" s="1"/>
  <c r="CY7" i="3"/>
  <c r="CZ7" i="3" s="1"/>
  <c r="CU7" i="3" a="1"/>
  <c r="CU7" i="3" s="1"/>
  <c r="CW7" i="3" s="1"/>
  <c r="CP7" i="3" a="1"/>
  <c r="CP7" i="3" s="1"/>
  <c r="CG7" i="3"/>
  <c r="CG48" i="3" s="1"/>
  <c r="CC7" i="3" a="1"/>
  <c r="CC7" i="3" s="1"/>
  <c r="CE7" i="3" s="1"/>
  <c r="BX7" i="3" a="1"/>
  <c r="BX7" i="3" s="1"/>
  <c r="BO7" i="3"/>
  <c r="BK7" i="3" a="1"/>
  <c r="BK7" i="3" s="1"/>
  <c r="BM7" i="3" s="1"/>
  <c r="BF7" i="3" a="1"/>
  <c r="BF7" i="3" s="1"/>
  <c r="BG7" i="3" s="1"/>
  <c r="AW7" i="3"/>
  <c r="AS7" i="3" a="1"/>
  <c r="AS7" i="3" s="1"/>
  <c r="AU7" i="3" s="1"/>
  <c r="AK7" i="3"/>
  <c r="AG7" i="3" a="1"/>
  <c r="AG7" i="3" s="1"/>
  <c r="AI7" i="3" s="1"/>
  <c r="AB7" i="3" a="1"/>
  <c r="AB7" i="3" s="1"/>
  <c r="S7" i="3"/>
  <c r="EC7" i="3" s="1"/>
  <c r="O7" i="3" a="1"/>
  <c r="O7" i="3" s="1"/>
  <c r="Q7" i="3" s="1"/>
  <c r="J7" i="3" a="1"/>
  <c r="J7" i="3" s="1"/>
  <c r="EF7" i="3" s="1"/>
  <c r="DS7" i="3" a="1"/>
  <c r="DS7" i="3" s="1"/>
  <c r="DB7" i="3" a="1"/>
  <c r="DB7" i="3" s="1"/>
  <c r="CL7" i="3"/>
  <c r="CN7" i="3" s="1"/>
  <c r="CF7" i="3"/>
  <c r="CA7" i="3"/>
  <c r="CA48" i="3" s="1"/>
  <c r="BQ7" i="3" a="1"/>
  <c r="BQ7" i="3" s="1"/>
  <c r="BS7" i="3" s="1"/>
  <c r="AZ7" i="3" a="1"/>
  <c r="AZ7" i="3" s="1"/>
  <c r="BA7" i="3" s="1"/>
  <c r="AA7" i="3" a="1"/>
  <c r="AA7" i="3" s="1"/>
  <c r="P7" i="3" a="1"/>
  <c r="P7" i="3" s="1"/>
  <c r="V7" i="3" a="1"/>
  <c r="V7" i="3" s="1"/>
  <c r="W7" i="3" s="1"/>
  <c r="BT7" i="3"/>
  <c r="BV7" i="3" s="1"/>
  <c r="DG7" i="3" a="1"/>
  <c r="DG7" i="3" s="1"/>
  <c r="DI7" i="3" s="1"/>
  <c r="DN7" i="3" a="1"/>
  <c r="DN7" i="3" s="1"/>
  <c r="DI13" i="3"/>
  <c r="O16" i="3" a="1"/>
  <c r="O16" i="3" s="1"/>
  <c r="Q16" i="3" s="1"/>
  <c r="AN16" i="3" a="1"/>
  <c r="AN16" i="3" s="1"/>
  <c r="DG16" i="3" a="1"/>
  <c r="DG16" i="3" s="1"/>
  <c r="DQ16" i="3"/>
  <c r="EC17" i="3"/>
  <c r="X5" i="3"/>
  <c r="AE5" i="3"/>
  <c r="AK5" i="3"/>
  <c r="AV5" i="3"/>
  <c r="BW5" i="3" a="1"/>
  <c r="BW5" i="3" s="1"/>
  <c r="CJ5" i="3" a="1"/>
  <c r="CJ5" i="3" s="1"/>
  <c r="DP5" i="3"/>
  <c r="DV5" i="3"/>
  <c r="Y6" i="3"/>
  <c r="AK6" i="3"/>
  <c r="AQ6" i="3" a="1"/>
  <c r="AQ6" i="3" s="1"/>
  <c r="CJ6" i="3" a="1"/>
  <c r="CJ6" i="3" s="1"/>
  <c r="AP7" i="3" a="1"/>
  <c r="AP7" i="3" s="1"/>
  <c r="AR7" i="3" s="1"/>
  <c r="BB7" i="3"/>
  <c r="BN7" i="3"/>
  <c r="BP7" i="3" s="1"/>
  <c r="BU7" i="3"/>
  <c r="CO7" i="3" a="1"/>
  <c r="CO7" i="3" s="1"/>
  <c r="DJ15" i="3"/>
  <c r="CR15" i="3"/>
  <c r="BZ15" i="3"/>
  <c r="CB15" i="3" s="1"/>
  <c r="BH15" i="3"/>
  <c r="AQ15" i="3" a="1"/>
  <c r="AQ15" i="3" s="1"/>
  <c r="AR15" i="3" s="1"/>
  <c r="AD15" i="3"/>
  <c r="L15" i="3"/>
  <c r="EB15" i="3" s="1"/>
  <c r="DZ15" i="3" a="1"/>
  <c r="DZ15" i="3" s="1"/>
  <c r="EA15" i="3" s="1"/>
  <c r="DD15" i="3"/>
  <c r="DF15" i="3" s="1"/>
  <c r="CY15" i="3"/>
  <c r="CZ15" i="3" s="1"/>
  <c r="CO15" i="3" a="1"/>
  <c r="CO15" i="3" s="1"/>
  <c r="CI15" i="3" a="1"/>
  <c r="CI15" i="3" s="1"/>
  <c r="BX15" i="3" a="1"/>
  <c r="BX15" i="3" s="1"/>
  <c r="BB15" i="3"/>
  <c r="BD15" i="3" s="1"/>
  <c r="AW15" i="3"/>
  <c r="AN15" i="3" a="1"/>
  <c r="AN15" i="3" s="1"/>
  <c r="AH15" i="3" a="1"/>
  <c r="AH15" i="3" s="1"/>
  <c r="AI15" i="3" s="1"/>
  <c r="R15" i="3"/>
  <c r="M15" i="3"/>
  <c r="G15" i="3"/>
  <c r="DP15" i="3"/>
  <c r="DR15" i="3" s="1"/>
  <c r="DK15" i="3"/>
  <c r="DE15" i="3"/>
  <c r="CU15" i="3" a="1"/>
  <c r="CU15" i="3" s="1"/>
  <c r="CJ15" i="3" a="1"/>
  <c r="CJ15" i="3" s="1"/>
  <c r="CD15" i="3" a="1"/>
  <c r="CD15" i="3" s="1"/>
  <c r="CE15" i="3" s="1"/>
  <c r="BN15" i="3"/>
  <c r="BP15" i="3" s="1"/>
  <c r="BI15" i="3"/>
  <c r="BC15" i="3"/>
  <c r="AS15" i="3" a="1"/>
  <c r="AS15" i="3" s="1"/>
  <c r="AU15" i="3" s="1"/>
  <c r="X15" i="3"/>
  <c r="Z15" i="3" s="1"/>
  <c r="S15" i="3"/>
  <c r="I15" i="3" a="1"/>
  <c r="I15" i="3" s="1"/>
  <c r="DT15" i="3" a="1"/>
  <c r="DT15" i="3" s="1"/>
  <c r="DU15" i="3" s="1"/>
  <c r="DM15" i="3" a="1"/>
  <c r="DM15" i="3" s="1"/>
  <c r="DO15" i="3" s="1"/>
  <c r="CV15" i="3" a="1"/>
  <c r="CV15" i="3" s="1"/>
  <c r="CM15" i="3"/>
  <c r="CN15" i="3" s="1"/>
  <c r="CF15" i="3"/>
  <c r="AZ15" i="3" a="1"/>
  <c r="AZ15" i="3" s="1"/>
  <c r="AK15" i="3"/>
  <c r="AB15" i="3" a="1"/>
  <c r="AB15" i="3" s="1"/>
  <c r="U15" i="3" a="1"/>
  <c r="U15" i="3" s="1"/>
  <c r="DV15" i="3"/>
  <c r="DX15" i="3" s="1"/>
  <c r="DG15" i="3" a="1"/>
  <c r="DG15" i="3" s="1"/>
  <c r="DI15" i="3" s="1"/>
  <c r="CP15" i="3" a="1"/>
  <c r="CP15" i="3" s="1"/>
  <c r="CG15" i="3"/>
  <c r="BQ15" i="3" a="1"/>
  <c r="BQ15" i="3" s="1"/>
  <c r="BS15" i="3" s="1"/>
  <c r="AE15" i="3"/>
  <c r="V15" i="3" a="1"/>
  <c r="V15" i="3" s="1"/>
  <c r="O15" i="3" a="1"/>
  <c r="O15" i="3" s="1"/>
  <c r="Q15" i="3" s="1"/>
  <c r="AJ15" i="3"/>
  <c r="AL15" i="3" s="1"/>
  <c r="BF15" i="3" a="1"/>
  <c r="BF15" i="3" s="1"/>
  <c r="BG15" i="3" s="1"/>
  <c r="DQ15" i="3"/>
  <c r="CJ16" i="3" a="1"/>
  <c r="CJ16" i="3" s="1"/>
  <c r="CB17" i="3"/>
  <c r="DL17" i="3"/>
  <c r="AQ39" i="3" a="1"/>
  <c r="AQ39" i="3" s="1"/>
  <c r="AT46" i="3" a="1"/>
  <c r="AT46" i="3" s="1"/>
  <c r="AQ41" i="3" a="1"/>
  <c r="AQ41" i="3" s="1"/>
  <c r="AQ27" i="3" a="1"/>
  <c r="AQ27" i="3" s="1"/>
  <c r="AT42" i="3" a="1"/>
  <c r="AT42" i="3" s="1"/>
  <c r="AT39" i="3" a="1"/>
  <c r="AT39" i="3" s="1"/>
  <c r="AQ33" i="3" a="1"/>
  <c r="AQ33" i="3" s="1"/>
  <c r="AQ38" i="3" a="1"/>
  <c r="AQ38" i="3" s="1"/>
  <c r="AT27" i="3" a="1"/>
  <c r="AT27" i="3" s="1"/>
  <c r="AT37" i="3" a="1"/>
  <c r="AT37" i="3" s="1"/>
  <c r="AT44" i="3" a="1"/>
  <c r="AT44" i="3" s="1"/>
  <c r="AT38" i="3" a="1"/>
  <c r="AT38" i="3" s="1"/>
  <c r="AT25" i="3" a="1"/>
  <c r="AT25" i="3" s="1"/>
  <c r="AT21" i="3" a="1"/>
  <c r="AT21" i="3" s="1"/>
  <c r="AQ37" i="3" a="1"/>
  <c r="AQ37" i="3" s="1"/>
  <c r="AT36" i="3" a="1"/>
  <c r="AT36" i="3" s="1"/>
  <c r="AQ36" i="3" a="1"/>
  <c r="AQ36" i="3" s="1"/>
  <c r="AT33" i="3" a="1"/>
  <c r="AT33" i="3" s="1"/>
  <c r="AT30" i="3" a="1"/>
  <c r="AT30" i="3" s="1"/>
  <c r="AT41" i="3" a="1"/>
  <c r="AT41" i="3" s="1"/>
  <c r="AQ31" i="3" a="1"/>
  <c r="AQ31" i="3" s="1"/>
  <c r="AQ29" i="3" a="1"/>
  <c r="AQ29" i="3" s="1"/>
  <c r="AT18" i="3" a="1"/>
  <c r="AT18" i="3" s="1"/>
  <c r="AT14" i="3" a="1"/>
  <c r="AT14" i="3" s="1"/>
  <c r="AQ25" i="3" a="1"/>
  <c r="AQ25" i="3" s="1"/>
  <c r="AQ20" i="3" a="1"/>
  <c r="AQ20" i="3" s="1"/>
  <c r="AR20" i="3" s="1"/>
  <c r="AQ10" i="3" a="1"/>
  <c r="AQ10" i="3" s="1"/>
  <c r="AR10" i="3" s="1"/>
  <c r="AT32" i="3" a="1"/>
  <c r="AT32" i="3" s="1"/>
  <c r="AT26" i="3" a="1"/>
  <c r="AT26" i="3" s="1"/>
  <c r="AQ32" i="3" a="1"/>
  <c r="AQ32" i="3" s="1"/>
  <c r="AT20" i="3" a="1"/>
  <c r="AT20" i="3" s="1"/>
  <c r="AQ11" i="3" a="1"/>
  <c r="AQ11" i="3" s="1"/>
  <c r="L5" i="3"/>
  <c r="S5" i="3"/>
  <c r="BE5" i="3" a="1"/>
  <c r="BE5" i="3" s="1"/>
  <c r="BK5" i="3" a="1"/>
  <c r="BK5" i="3" s="1"/>
  <c r="DK5" i="3"/>
  <c r="DQ5" i="3"/>
  <c r="M6" i="3"/>
  <c r="S6" i="3"/>
  <c r="AM6" i="3" a="1"/>
  <c r="AM6" i="3" s="1"/>
  <c r="AO6" i="3" s="1"/>
  <c r="AY6" i="3" a="1"/>
  <c r="AY6" i="3" s="1"/>
  <c r="BA6" i="3" s="1"/>
  <c r="BE6" i="3" a="1"/>
  <c r="BE6" i="3" s="1"/>
  <c r="BG6" i="3" s="1"/>
  <c r="BK6" i="3" a="1"/>
  <c r="BK6" i="3" s="1"/>
  <c r="BM6" i="3" s="1"/>
  <c r="BX6" i="3" a="1"/>
  <c r="BX6" i="3" s="1"/>
  <c r="BY6" i="3" s="1"/>
  <c r="DE6" i="3"/>
  <c r="DK6" i="3"/>
  <c r="DQ6" i="3"/>
  <c r="X7" i="3"/>
  <c r="Z7" i="3" s="1"/>
  <c r="AD7" i="3"/>
  <c r="AF7" i="3" s="1"/>
  <c r="AJ7" i="3"/>
  <c r="AL7" i="3" s="1"/>
  <c r="AQ7" i="3" a="1"/>
  <c r="AQ7" i="3" s="1"/>
  <c r="AV7" i="3"/>
  <c r="BC7" i="3"/>
  <c r="BI7" i="3"/>
  <c r="BW7" i="3" a="1"/>
  <c r="BW7" i="3" s="1"/>
  <c r="BY7" i="3" s="1"/>
  <c r="CV7" i="3" a="1"/>
  <c r="CV7" i="3" s="1"/>
  <c r="DV7" i="3"/>
  <c r="AP8" i="3" a="1"/>
  <c r="AP8" i="3" s="1"/>
  <c r="AR8" i="3" s="1"/>
  <c r="AP9" i="3" a="1"/>
  <c r="AP9" i="3" s="1"/>
  <c r="AR9" i="3" s="1"/>
  <c r="AT11" i="3" a="1"/>
  <c r="AT11" i="3" s="1"/>
  <c r="W12" i="3"/>
  <c r="AS13" i="3" a="1"/>
  <c r="AS13" i="3" s="1"/>
  <c r="AU13" i="3" s="1"/>
  <c r="CQ13" i="3"/>
  <c r="CW14" i="3"/>
  <c r="AA15" i="3" a="1"/>
  <c r="AA15" i="3" s="1"/>
  <c r="AC15" i="3" s="1"/>
  <c r="AM15" i="3" a="1"/>
  <c r="AM15" i="3" s="1"/>
  <c r="AV15" i="3"/>
  <c r="BK15" i="3" a="1"/>
  <c r="BK15" i="3" s="1"/>
  <c r="BM15" i="3" s="1"/>
  <c r="BU15" i="3"/>
  <c r="CS15" i="3"/>
  <c r="R16" i="3"/>
  <c r="T16" i="3" s="1"/>
  <c r="AE16" i="3"/>
  <c r="BB16" i="3"/>
  <c r="BZ16" i="3"/>
  <c r="CB16" i="3" s="1"/>
  <c r="CY16" i="3"/>
  <c r="DJ16" i="3"/>
  <c r="DL16" i="3" s="1"/>
  <c r="DV16" i="3"/>
  <c r="DX16" i="3" s="1"/>
  <c r="I17" i="3" a="1"/>
  <c r="I17" i="3" s="1"/>
  <c r="AH17" i="3" a="1"/>
  <c r="AH17" i="3" s="1"/>
  <c r="AS17" i="3" a="1"/>
  <c r="AS17" i="3" s="1"/>
  <c r="AU17" i="3" s="1"/>
  <c r="BR17" i="3" a="1"/>
  <c r="BR17" i="3" s="1"/>
  <c r="CC17" i="3" a="1"/>
  <c r="CC17" i="3" s="1"/>
  <c r="CE17" i="3" s="1"/>
  <c r="DA17" i="3" a="1"/>
  <c r="DA17" i="3" s="1"/>
  <c r="DC17" i="3" s="1"/>
  <c r="N18" i="3"/>
  <c r="W18" i="3"/>
  <c r="CZ18" i="3"/>
  <c r="AM19" i="3" a="1"/>
  <c r="AM19" i="3" s="1"/>
  <c r="AO19" i="3" s="1"/>
  <c r="BK19" i="3" a="1"/>
  <c r="BK19" i="3" s="1"/>
  <c r="BM19" i="3" s="1"/>
  <c r="BU19" i="3"/>
  <c r="CR19" i="3"/>
  <c r="DW19" i="3"/>
  <c r="EB21" i="3"/>
  <c r="H21" i="3"/>
  <c r="CE22" i="3"/>
  <c r="BE23" i="3" a="1"/>
  <c r="BE23" i="3" s="1"/>
  <c r="BG23" i="3" s="1"/>
  <c r="DZ23" i="3" a="1"/>
  <c r="DZ23" i="3" s="1"/>
  <c r="Y24" i="3"/>
  <c r="AV24" i="3"/>
  <c r="AX24" i="3" s="1"/>
  <c r="CS24" i="3"/>
  <c r="DP24" i="3"/>
  <c r="DR24" i="3" s="1"/>
  <c r="CH25" i="3"/>
  <c r="EB27" i="3"/>
  <c r="H27" i="3"/>
  <c r="T10" i="3"/>
  <c r="BY10" i="3"/>
  <c r="DL10" i="3"/>
  <c r="AX11" i="3"/>
  <c r="DZ12" i="3" a="1"/>
  <c r="DZ12" i="3" s="1"/>
  <c r="EA12" i="3" s="1"/>
  <c r="DQ12" i="3"/>
  <c r="DR12" i="3" s="1"/>
  <c r="DM12" i="3" a="1"/>
  <c r="DM12" i="3" s="1"/>
  <c r="DH12" i="3" a="1"/>
  <c r="DH12" i="3" s="1"/>
  <c r="CY12" i="3"/>
  <c r="CU12" i="3" a="1"/>
  <c r="CU12" i="3" s="1"/>
  <c r="CW12" i="3" s="1"/>
  <c r="CP12" i="3" a="1"/>
  <c r="CP12" i="3" s="1"/>
  <c r="CG12" i="3"/>
  <c r="CC12" i="3" a="1"/>
  <c r="CC12" i="3" s="1"/>
  <c r="CE12" i="3" s="1"/>
  <c r="BX12" i="3" a="1"/>
  <c r="BX12" i="3" s="1"/>
  <c r="BY12" i="3" s="1"/>
  <c r="BO12" i="3"/>
  <c r="BK12" i="3" a="1"/>
  <c r="BK12" i="3" s="1"/>
  <c r="BM12" i="3" s="1"/>
  <c r="BF12" i="3" a="1"/>
  <c r="BF12" i="3" s="1"/>
  <c r="BG12" i="3" s="1"/>
  <c r="AW12" i="3"/>
  <c r="AS12" i="3" a="1"/>
  <c r="AS12" i="3" s="1"/>
  <c r="AK12" i="3"/>
  <c r="AL12" i="3" s="1"/>
  <c r="AG12" i="3" a="1"/>
  <c r="AG12" i="3" s="1"/>
  <c r="AB12" i="3" a="1"/>
  <c r="AB12" i="3" s="1"/>
  <c r="AC12" i="3" s="1"/>
  <c r="S12" i="3"/>
  <c r="T12" i="3" s="1"/>
  <c r="O12" i="3" a="1"/>
  <c r="O12" i="3" s="1"/>
  <c r="J12" i="3" a="1"/>
  <c r="J12" i="3" s="1"/>
  <c r="DT12" i="3" a="1"/>
  <c r="DT12" i="3" s="1"/>
  <c r="DU12" i="3" s="1"/>
  <c r="DD12" i="3"/>
  <c r="DF12" i="3" s="1"/>
  <c r="CX12" i="3"/>
  <c r="CZ12" i="3" s="1"/>
  <c r="CS12" i="3"/>
  <c r="CT12" i="3" s="1"/>
  <c r="CI12" i="3" a="1"/>
  <c r="CI12" i="3" s="1"/>
  <c r="CK12" i="3" s="1"/>
  <c r="BR12" i="3" a="1"/>
  <c r="BR12" i="3" s="1"/>
  <c r="BS12" i="3" s="1"/>
  <c r="BB12" i="3"/>
  <c r="BD12" i="3" s="1"/>
  <c r="AV12" i="3"/>
  <c r="AX12" i="3" s="1"/>
  <c r="AH12" i="3" a="1"/>
  <c r="AH12" i="3" s="1"/>
  <c r="L12" i="3"/>
  <c r="N12" i="3" s="1"/>
  <c r="G12" i="3"/>
  <c r="P12" i="3" a="1"/>
  <c r="P12" i="3" s="1"/>
  <c r="V12" i="3" a="1"/>
  <c r="V12" i="3" s="1"/>
  <c r="AP12" i="3" a="1"/>
  <c r="AP12" i="3" s="1"/>
  <c r="AR12" i="3" s="1"/>
  <c r="BH12" i="3"/>
  <c r="BJ12" i="3" s="1"/>
  <c r="BN12" i="3"/>
  <c r="BP12" i="3" s="1"/>
  <c r="BU12" i="3"/>
  <c r="CA12" i="3"/>
  <c r="CO12" i="3" a="1"/>
  <c r="CO12" i="3" s="1"/>
  <c r="DN12" i="3" a="1"/>
  <c r="DN12" i="3" s="1"/>
  <c r="DP13" i="3"/>
  <c r="CX13" i="3"/>
  <c r="CZ13" i="3" s="1"/>
  <c r="CF13" i="3"/>
  <c r="BN13" i="3"/>
  <c r="BP13" i="3" s="1"/>
  <c r="AV13" i="3"/>
  <c r="AJ13" i="3"/>
  <c r="AL13" i="3" s="1"/>
  <c r="R13" i="3"/>
  <c r="T13" i="3" s="1"/>
  <c r="DS13" i="3" a="1"/>
  <c r="DS13" i="3" s="1"/>
  <c r="DU13" i="3" s="1"/>
  <c r="DH13" i="3" a="1"/>
  <c r="DH13" i="3" s="1"/>
  <c r="DB13" i="3" a="1"/>
  <c r="DB13" i="3" s="1"/>
  <c r="CL13" i="3"/>
  <c r="CG13" i="3"/>
  <c r="CA13" i="3"/>
  <c r="CB13" i="3" s="1"/>
  <c r="BQ13" i="3" a="1"/>
  <c r="BQ13" i="3" s="1"/>
  <c r="BS13" i="3" s="1"/>
  <c r="BF13" i="3" a="1"/>
  <c r="BF13" i="3" s="1"/>
  <c r="AZ13" i="3" a="1"/>
  <c r="AZ13" i="3" s="1"/>
  <c r="BA13" i="3" s="1"/>
  <c r="AG13" i="3" a="1"/>
  <c r="AG13" i="3" s="1"/>
  <c r="AA13" i="3" a="1"/>
  <c r="AA13" i="3" s="1"/>
  <c r="AC13" i="3" s="1"/>
  <c r="P13" i="3" a="1"/>
  <c r="P13" i="3" s="1"/>
  <c r="Q13" i="3" s="1"/>
  <c r="DY13" i="3" a="1"/>
  <c r="DY13" i="3" s="1"/>
  <c r="DN13" i="3" a="1"/>
  <c r="DN13" i="3" s="1"/>
  <c r="DO13" i="3" s="1"/>
  <c r="CR13" i="3"/>
  <c r="CM13" i="3"/>
  <c r="CC13" i="3" a="1"/>
  <c r="CC13" i="3" s="1"/>
  <c r="BW13" i="3" a="1"/>
  <c r="BW13" i="3" s="1"/>
  <c r="BY13" i="3" s="1"/>
  <c r="BL13" i="3" a="1"/>
  <c r="BL13" i="3" s="1"/>
  <c r="BM13" i="3" s="1"/>
  <c r="AQ13" i="3" a="1"/>
  <c r="AQ13" i="3" s="1"/>
  <c r="AM13" i="3" a="1"/>
  <c r="AM13" i="3" s="1"/>
  <c r="AO13" i="3" s="1"/>
  <c r="AB13" i="3" a="1"/>
  <c r="AB13" i="3" s="1"/>
  <c r="V13" i="3" a="1"/>
  <c r="V13" i="3" s="1"/>
  <c r="W13" i="3" s="1"/>
  <c r="F13" i="3"/>
  <c r="J13" i="3" a="1"/>
  <c r="J13" i="3" s="1"/>
  <c r="S13" i="3"/>
  <c r="EC13" i="3" s="1"/>
  <c r="AP13" i="3" a="1"/>
  <c r="AP13" i="3" s="1"/>
  <c r="BE13" i="3" a="1"/>
  <c r="BE13" i="3" s="1"/>
  <c r="BG13" i="3" s="1"/>
  <c r="BU13" i="3"/>
  <c r="CD13" i="3" a="1"/>
  <c r="CD13" i="3" s="1"/>
  <c r="CU13" i="3" a="1"/>
  <c r="CU13" i="3" s="1"/>
  <c r="CW13" i="3" s="1"/>
  <c r="DJ13" i="3"/>
  <c r="DL13" i="3" s="1"/>
  <c r="AI14" i="3"/>
  <c r="DF14" i="3"/>
  <c r="AO18" i="3"/>
  <c r="BD18" i="3"/>
  <c r="BS18" i="3"/>
  <c r="BY18" i="3"/>
  <c r="Z20" i="3"/>
  <c r="AI20" i="3"/>
  <c r="CW21" i="3"/>
  <c r="N25" i="3"/>
  <c r="W25" i="3"/>
  <c r="DU25" i="3"/>
  <c r="CW26" i="3"/>
  <c r="DX27" i="3"/>
  <c r="AX28" i="3"/>
  <c r="CH28" i="3"/>
  <c r="BP29" i="3"/>
  <c r="DO29" i="3"/>
  <c r="DX34" i="3"/>
  <c r="CK36" i="3"/>
  <c r="CQ36" i="3"/>
  <c r="DF25" i="3"/>
  <c r="K26" i="3"/>
  <c r="Z27" i="3"/>
  <c r="CT29" i="3"/>
  <c r="AC36" i="3"/>
  <c r="DC38" i="3"/>
  <c r="K29" i="3"/>
  <c r="H31" i="3"/>
  <c r="EA31" i="3"/>
  <c r="BM34" i="3"/>
  <c r="DI35" i="3"/>
  <c r="DP8" i="3"/>
  <c r="CX8" i="3"/>
  <c r="CZ8" i="3" s="1"/>
  <c r="CF8" i="3"/>
  <c r="CH8" i="3" s="1"/>
  <c r="BN8" i="3"/>
  <c r="BP8" i="3" s="1"/>
  <c r="AV8" i="3"/>
  <c r="AX8" i="3" s="1"/>
  <c r="AJ8" i="3"/>
  <c r="AL8" i="3" s="1"/>
  <c r="R8" i="3"/>
  <c r="T8" i="3" s="1"/>
  <c r="I8" i="3" a="1"/>
  <c r="I8" i="3" s="1"/>
  <c r="O8" i="3" a="1"/>
  <c r="O8" i="3" s="1"/>
  <c r="Q8" i="3" s="1"/>
  <c r="Y8" i="3"/>
  <c r="Z8" i="3" s="1"/>
  <c r="AD8" i="3"/>
  <c r="AF8" i="3" s="1"/>
  <c r="AY8" i="3" a="1"/>
  <c r="AY8" i="3" s="1"/>
  <c r="BA8" i="3" s="1"/>
  <c r="BI8" i="3"/>
  <c r="BJ8" i="3" s="1"/>
  <c r="BO8" i="3"/>
  <c r="BT8" i="3"/>
  <c r="BV8" i="3" s="1"/>
  <c r="CJ8" i="3" a="1"/>
  <c r="CJ8" i="3" s="1"/>
  <c r="CP8" i="3" a="1"/>
  <c r="CP8" i="3" s="1"/>
  <c r="CQ8" i="3" s="1"/>
  <c r="DA8" i="3" a="1"/>
  <c r="DA8" i="3" s="1"/>
  <c r="DC8" i="3" s="1"/>
  <c r="DK8" i="3"/>
  <c r="DL8" i="3" s="1"/>
  <c r="DQ8" i="3"/>
  <c r="DV8" i="3"/>
  <c r="DX8" i="3" s="1"/>
  <c r="DF9" i="3"/>
  <c r="DV11" i="3"/>
  <c r="DX11" i="3" s="1"/>
  <c r="DD11" i="3"/>
  <c r="DF11" i="3" s="1"/>
  <c r="CL11" i="3"/>
  <c r="CN11" i="3" s="1"/>
  <c r="BT11" i="3"/>
  <c r="BV11" i="3" s="1"/>
  <c r="BB11" i="3"/>
  <c r="BD11" i="3" s="1"/>
  <c r="AP11" i="3" a="1"/>
  <c r="AP11" i="3" s="1"/>
  <c r="AR11" i="3" s="1"/>
  <c r="X11" i="3"/>
  <c r="F11" i="3"/>
  <c r="DP11" i="3"/>
  <c r="DR11" i="3" s="1"/>
  <c r="DK11" i="3"/>
  <c r="DL11" i="3" s="1"/>
  <c r="DA11" i="3" a="1"/>
  <c r="DA11" i="3" s="1"/>
  <c r="CU11" i="3" a="1"/>
  <c r="CU11" i="3" s="1"/>
  <c r="CW11" i="3" s="1"/>
  <c r="CJ11" i="3" a="1"/>
  <c r="CJ11" i="3" s="1"/>
  <c r="BN11" i="3"/>
  <c r="BI11" i="3"/>
  <c r="AY11" i="3" a="1"/>
  <c r="AY11" i="3" s="1"/>
  <c r="BA11" i="3" s="1"/>
  <c r="AS11" i="3" a="1"/>
  <c r="AS11" i="3" s="1"/>
  <c r="AU11" i="3" s="1"/>
  <c r="AD11" i="3"/>
  <c r="AF11" i="3" s="1"/>
  <c r="Y11" i="3"/>
  <c r="S11" i="3"/>
  <c r="EC11" i="3" s="1"/>
  <c r="I11" i="3" a="1"/>
  <c r="I11" i="3" s="1"/>
  <c r="J11" i="3" a="1"/>
  <c r="J11" i="3" s="1"/>
  <c r="AJ11" i="3"/>
  <c r="AL11" i="3" s="1"/>
  <c r="BH11" i="3"/>
  <c r="BJ11" i="3" s="1"/>
  <c r="BO11" i="3"/>
  <c r="CI11" i="3" a="1"/>
  <c r="CI11" i="3" s="1"/>
  <c r="CO11" i="3" a="1"/>
  <c r="CO11" i="3" s="1"/>
  <c r="CQ11" i="3" s="1"/>
  <c r="CV11" i="3" a="1"/>
  <c r="CV11" i="3" s="1"/>
  <c r="DB11" i="3" a="1"/>
  <c r="DB11" i="3" s="1"/>
  <c r="DH11" i="3" a="1"/>
  <c r="DH11" i="3" s="1"/>
  <c r="DI11" i="3" s="1"/>
  <c r="I12" i="3" a="1"/>
  <c r="I12" i="3" s="1"/>
  <c r="AT12" i="3" a="1"/>
  <c r="AT12" i="3" s="1"/>
  <c r="AZ12" i="3" a="1"/>
  <c r="AZ12" i="3" s="1"/>
  <c r="BA12" i="3" s="1"/>
  <c r="BT12" i="3"/>
  <c r="BV12" i="3" s="1"/>
  <c r="BZ12" i="3"/>
  <c r="CB12" i="3" s="1"/>
  <c r="CF12" i="3"/>
  <c r="CH12" i="3" s="1"/>
  <c r="CM12" i="3"/>
  <c r="CN12" i="3" s="1"/>
  <c r="DA12" i="3" a="1"/>
  <c r="DA12" i="3" s="1"/>
  <c r="DC12" i="3" s="1"/>
  <c r="DG12" i="3" a="1"/>
  <c r="DG12" i="3" s="1"/>
  <c r="I13" i="3" a="1"/>
  <c r="I13" i="3" s="1"/>
  <c r="Y13" i="3"/>
  <c r="Z13" i="3" s="1"/>
  <c r="AH13" i="3" a="1"/>
  <c r="AH13" i="3" s="1"/>
  <c r="AW13" i="3"/>
  <c r="BT13" i="3"/>
  <c r="CJ13" i="3" a="1"/>
  <c r="CJ13" i="3" s="1"/>
  <c r="CK13" i="3" s="1"/>
  <c r="CS13" i="3"/>
  <c r="DA13" i="3" a="1"/>
  <c r="DA13" i="3" s="1"/>
  <c r="DC13" i="3" s="1"/>
  <c r="DQ13" i="3"/>
  <c r="DZ13" i="3" a="1"/>
  <c r="DZ13" i="3" s="1"/>
  <c r="Z18" i="3"/>
  <c r="AF20" i="3"/>
  <c r="DJ22" i="3"/>
  <c r="DL22" i="3" s="1"/>
  <c r="CR22" i="3"/>
  <c r="CT22" i="3" s="1"/>
  <c r="BZ22" i="3"/>
  <c r="CB22" i="3" s="1"/>
  <c r="BH22" i="3"/>
  <c r="AQ22" i="3" a="1"/>
  <c r="AQ22" i="3" s="1"/>
  <c r="AD22" i="3"/>
  <c r="L22" i="3"/>
  <c r="DZ22" i="3" a="1"/>
  <c r="DZ22" i="3" s="1"/>
  <c r="EA22" i="3" s="1"/>
  <c r="DD22" i="3"/>
  <c r="CY22" i="3"/>
  <c r="CZ22" i="3" s="1"/>
  <c r="CO22" i="3" a="1"/>
  <c r="CO22" i="3" s="1"/>
  <c r="CQ22" i="3" s="1"/>
  <c r="CI22" i="3" a="1"/>
  <c r="CI22" i="3" s="1"/>
  <c r="BX22" i="3" a="1"/>
  <c r="BX22" i="3" s="1"/>
  <c r="BY22" i="3" s="1"/>
  <c r="BB22" i="3"/>
  <c r="AW22" i="3"/>
  <c r="AX22" i="3" s="1"/>
  <c r="AN22" i="3" a="1"/>
  <c r="AN22" i="3" s="1"/>
  <c r="AO22" i="3" s="1"/>
  <c r="AH22" i="3" a="1"/>
  <c r="AH22" i="3" s="1"/>
  <c r="AI22" i="3" s="1"/>
  <c r="R22" i="3"/>
  <c r="T22" i="3" s="1"/>
  <c r="M22" i="3"/>
  <c r="G22" i="3"/>
  <c r="DP22" i="3"/>
  <c r="DK22" i="3"/>
  <c r="DE22" i="3"/>
  <c r="CU22" i="3" a="1"/>
  <c r="CU22" i="3" s="1"/>
  <c r="CJ22" i="3" a="1"/>
  <c r="CJ22" i="3" s="1"/>
  <c r="CD22" i="3" a="1"/>
  <c r="CD22" i="3" s="1"/>
  <c r="BN22" i="3"/>
  <c r="BP22" i="3" s="1"/>
  <c r="BI22" i="3"/>
  <c r="BC22" i="3"/>
  <c r="AS22" i="3" a="1"/>
  <c r="AS22" i="3" s="1"/>
  <c r="AU22" i="3" s="1"/>
  <c r="X22" i="3"/>
  <c r="Z22" i="3" s="1"/>
  <c r="S22" i="3"/>
  <c r="I22" i="3" a="1"/>
  <c r="I22" i="3" s="1"/>
  <c r="DT22" i="3" a="1"/>
  <c r="DT22" i="3" s="1"/>
  <c r="DU22" i="3" s="1"/>
  <c r="DM22" i="3" a="1"/>
  <c r="DM22" i="3" s="1"/>
  <c r="DO22" i="3" s="1"/>
  <c r="CV22" i="3" a="1"/>
  <c r="CV22" i="3" s="1"/>
  <c r="CM22" i="3"/>
  <c r="CN22" i="3" s="1"/>
  <c r="CF22" i="3"/>
  <c r="AZ22" i="3" a="1"/>
  <c r="AZ22" i="3" s="1"/>
  <c r="BA22" i="3" s="1"/>
  <c r="AK22" i="3"/>
  <c r="AB22" i="3" a="1"/>
  <c r="AB22" i="3" s="1"/>
  <c r="AC22" i="3" s="1"/>
  <c r="U22" i="3" a="1"/>
  <c r="U22" i="3" s="1"/>
  <c r="DV22" i="3"/>
  <c r="DX22" i="3" s="1"/>
  <c r="DG22" i="3" a="1"/>
  <c r="DG22" i="3" s="1"/>
  <c r="DI22" i="3" s="1"/>
  <c r="CP22" i="3" a="1"/>
  <c r="CP22" i="3" s="1"/>
  <c r="CG22" i="3"/>
  <c r="BQ22" i="3" a="1"/>
  <c r="BQ22" i="3" s="1"/>
  <c r="BS22" i="3" s="1"/>
  <c r="AE22" i="3"/>
  <c r="V22" i="3" a="1"/>
  <c r="V22" i="3" s="1"/>
  <c r="EF22" i="3" s="1"/>
  <c r="O22" i="3" a="1"/>
  <c r="O22" i="3" s="1"/>
  <c r="Q22" i="3" s="1"/>
  <c r="Y22" i="3"/>
  <c r="AJ22" i="3"/>
  <c r="AL22" i="3" s="1"/>
  <c r="BF22" i="3" a="1"/>
  <c r="BF22" i="3" s="1"/>
  <c r="BG22" i="3" s="1"/>
  <c r="BT22" i="3"/>
  <c r="BV22" i="3" s="1"/>
  <c r="DQ22" i="3"/>
  <c r="H25" i="3"/>
  <c r="DY26" i="3" a="1"/>
  <c r="DY26" i="3" s="1"/>
  <c r="EA26" i="3" s="1"/>
  <c r="DT26" i="3" a="1"/>
  <c r="DT26" i="3" s="1"/>
  <c r="DK26" i="3"/>
  <c r="DG26" i="3" a="1"/>
  <c r="DG26" i="3" s="1"/>
  <c r="DI26" i="3" s="1"/>
  <c r="DB26" i="3" a="1"/>
  <c r="DB26" i="3" s="1"/>
  <c r="DC26" i="3" s="1"/>
  <c r="CS26" i="3"/>
  <c r="CO26" i="3" a="1"/>
  <c r="CO26" i="3" s="1"/>
  <c r="DP26" i="3"/>
  <c r="DR26" i="3" s="1"/>
  <c r="CX26" i="3"/>
  <c r="CZ26" i="3" s="1"/>
  <c r="CF26" i="3"/>
  <c r="BN26" i="3"/>
  <c r="BP26" i="3" s="1"/>
  <c r="AV26" i="3"/>
  <c r="AJ26" i="3"/>
  <c r="R26" i="3"/>
  <c r="DV26" i="3"/>
  <c r="DX26" i="3" s="1"/>
  <c r="CI26" i="3" a="1"/>
  <c r="CI26" i="3" s="1"/>
  <c r="CK26" i="3" s="1"/>
  <c r="BX26" i="3" a="1"/>
  <c r="BX26" i="3" s="1"/>
  <c r="BR26" i="3" a="1"/>
  <c r="BR26" i="3" s="1"/>
  <c r="BB26" i="3"/>
  <c r="AW26" i="3"/>
  <c r="AH26" i="3" a="1"/>
  <c r="AH26" i="3" s="1"/>
  <c r="AI26" i="3" s="1"/>
  <c r="L26" i="3"/>
  <c r="G26" i="3"/>
  <c r="DW26" i="3"/>
  <c r="DQ26" i="3"/>
  <c r="CV26" i="3" a="1"/>
  <c r="CV26" i="3" s="1"/>
  <c r="CP26" i="3" a="1"/>
  <c r="CP26" i="3" s="1"/>
  <c r="CD26" i="3" a="1"/>
  <c r="CD26" i="3" s="1"/>
  <c r="CE26" i="3" s="1"/>
  <c r="BH26" i="3"/>
  <c r="BJ26" i="3" s="1"/>
  <c r="BC26" i="3"/>
  <c r="AS26" i="3" a="1"/>
  <c r="AS26" i="3" s="1"/>
  <c r="AN26" i="3" a="1"/>
  <c r="AN26" i="3" s="1"/>
  <c r="AO26" i="3" s="1"/>
  <c r="X26" i="3"/>
  <c r="S26" i="3"/>
  <c r="M26" i="3"/>
  <c r="DS26" i="3" a="1"/>
  <c r="DS26" i="3" s="1"/>
  <c r="DH26" i="3" a="1"/>
  <c r="DH26" i="3" s="1"/>
  <c r="CY26" i="3"/>
  <c r="CM26" i="3"/>
  <c r="CN26" i="3" s="1"/>
  <c r="BW26" i="3" a="1"/>
  <c r="BW26" i="3" s="1"/>
  <c r="AQ26" i="3" a="1"/>
  <c r="AQ26" i="3" s="1"/>
  <c r="AR26" i="3" s="1"/>
  <c r="AK26" i="3"/>
  <c r="AB26" i="3" a="1"/>
  <c r="AB26" i="3" s="1"/>
  <c r="EF26" i="3" s="1"/>
  <c r="U26" i="3" a="1"/>
  <c r="U26" i="3" s="1"/>
  <c r="W26" i="3" s="1"/>
  <c r="DJ26" i="3"/>
  <c r="DL26" i="3" s="1"/>
  <c r="CG26" i="3"/>
  <c r="BQ26" i="3" a="1"/>
  <c r="BQ26" i="3" s="1"/>
  <c r="BS26" i="3" s="1"/>
  <c r="BI26" i="3"/>
  <c r="AZ26" i="3" a="1"/>
  <c r="AZ26" i="3" s="1"/>
  <c r="BA26" i="3" s="1"/>
  <c r="AD26" i="3"/>
  <c r="AF26" i="3" s="1"/>
  <c r="O26" i="3" a="1"/>
  <c r="O26" i="3" s="1"/>
  <c r="Q26" i="3" s="1"/>
  <c r="Y26" i="3"/>
  <c r="BF26" i="3" a="1"/>
  <c r="BF26" i="3" s="1"/>
  <c r="BG26" i="3" s="1"/>
  <c r="BT26" i="3"/>
  <c r="BV26" i="3" s="1"/>
  <c r="CR26" i="3"/>
  <c r="CT26" i="3" s="1"/>
  <c r="DW28" i="3"/>
  <c r="DS28" i="3" a="1"/>
  <c r="DS28" i="3" s="1"/>
  <c r="DU28" i="3" s="1"/>
  <c r="DN28" i="3" a="1"/>
  <c r="DN28" i="3" s="1"/>
  <c r="DO28" i="3" s="1"/>
  <c r="DE28" i="3"/>
  <c r="DA28" i="3" a="1"/>
  <c r="DA28" i="3" s="1"/>
  <c r="DC28" i="3" s="1"/>
  <c r="CV28" i="3" a="1"/>
  <c r="CV28" i="3" s="1"/>
  <c r="CM28" i="3"/>
  <c r="CI28" i="3" a="1"/>
  <c r="CI28" i="3" s="1"/>
  <c r="CD28" i="3" a="1"/>
  <c r="CD28" i="3" s="1"/>
  <c r="BU28" i="3"/>
  <c r="BQ28" i="3" a="1"/>
  <c r="BQ28" i="3" s="1"/>
  <c r="BL28" i="3" a="1"/>
  <c r="BL28" i="3" s="1"/>
  <c r="BC28" i="3"/>
  <c r="BD28" i="3" s="1"/>
  <c r="AY28" i="3" a="1"/>
  <c r="AY28" i="3" s="1"/>
  <c r="BA28" i="3" s="1"/>
  <c r="AT28" i="3" a="1"/>
  <c r="AT28" i="3" s="1"/>
  <c r="AM28" i="3" a="1"/>
  <c r="AM28" i="3" s="1"/>
  <c r="AH28" i="3" a="1"/>
  <c r="AH28" i="3" s="1"/>
  <c r="Y28" i="3"/>
  <c r="Z28" i="3" s="1"/>
  <c r="U28" i="3" a="1"/>
  <c r="U28" i="3" s="1"/>
  <c r="P28" i="3" a="1"/>
  <c r="P28" i="3" s="1"/>
  <c r="G28" i="3"/>
  <c r="EC28" i="3" s="1"/>
  <c r="DJ28" i="3"/>
  <c r="CR28" i="3"/>
  <c r="CT28" i="3" s="1"/>
  <c r="BZ28" i="3"/>
  <c r="BH28" i="3"/>
  <c r="BJ28" i="3" s="1"/>
  <c r="AQ28" i="3" a="1"/>
  <c r="AQ28" i="3" s="1"/>
  <c r="AD28" i="3"/>
  <c r="AF28" i="3" s="1"/>
  <c r="L28" i="3"/>
  <c r="N28" i="3" s="1"/>
  <c r="DV28" i="3"/>
  <c r="DP28" i="3"/>
  <c r="DR28" i="3" s="1"/>
  <c r="BT28" i="3"/>
  <c r="BV28" i="3" s="1"/>
  <c r="BN28" i="3"/>
  <c r="BP28" i="3" s="1"/>
  <c r="F28" i="3"/>
  <c r="DY28" i="3" a="1"/>
  <c r="DY28" i="3" s="1"/>
  <c r="EA28" i="3" s="1"/>
  <c r="DQ28" i="3"/>
  <c r="DK28" i="3"/>
  <c r="CP28" i="3" a="1"/>
  <c r="CP28" i="3" s="1"/>
  <c r="CQ28" i="3" s="1"/>
  <c r="CJ28" i="3" a="1"/>
  <c r="CJ28" i="3" s="1"/>
  <c r="CC28" i="3" a="1"/>
  <c r="CC28" i="3" s="1"/>
  <c r="CE28" i="3" s="1"/>
  <c r="BW28" i="3" a="1"/>
  <c r="BW28" i="3" s="1"/>
  <c r="BY28" i="3" s="1"/>
  <c r="BO28" i="3"/>
  <c r="BI28" i="3"/>
  <c r="AB28" i="3" a="1"/>
  <c r="AB28" i="3" s="1"/>
  <c r="AC28" i="3" s="1"/>
  <c r="V28" i="3" a="1"/>
  <c r="V28" i="3" s="1"/>
  <c r="O28" i="3" a="1"/>
  <c r="O28" i="3" s="1"/>
  <c r="Q28" i="3" s="1"/>
  <c r="I28" i="3" a="1"/>
  <c r="I28" i="3" s="1"/>
  <c r="DZ28" i="3" a="1"/>
  <c r="DZ28" i="3" s="1"/>
  <c r="DG28" i="3" a="1"/>
  <c r="DG28" i="3" s="1"/>
  <c r="DI28" i="3" s="1"/>
  <c r="CU28" i="3" a="1"/>
  <c r="CU28" i="3" s="1"/>
  <c r="CW28" i="3" s="1"/>
  <c r="CA28" i="3"/>
  <c r="BR28" i="3" a="1"/>
  <c r="BR28" i="3" s="1"/>
  <c r="BF28" i="3" a="1"/>
  <c r="BF28" i="3" s="1"/>
  <c r="BG28" i="3" s="1"/>
  <c r="AW28" i="3"/>
  <c r="AN28" i="3" a="1"/>
  <c r="AN28" i="3" s="1"/>
  <c r="AE28" i="3"/>
  <c r="S28" i="3"/>
  <c r="T28" i="3" s="1"/>
  <c r="J28" i="3" a="1"/>
  <c r="J28" i="3" s="1"/>
  <c r="EF28" i="3" s="1"/>
  <c r="DD28" i="3"/>
  <c r="DF28" i="3" s="1"/>
  <c r="CX28" i="3"/>
  <c r="CL28" i="3"/>
  <c r="AP28" i="3" a="1"/>
  <c r="AP28" i="3" s="1"/>
  <c r="AG28" i="3" a="1"/>
  <c r="AG28" i="3" s="1"/>
  <c r="AI28" i="3" s="1"/>
  <c r="AS28" i="3" a="1"/>
  <c r="AS28" i="3" s="1"/>
  <c r="AU28" i="3" s="1"/>
  <c r="BK28" i="3" a="1"/>
  <c r="BK28" i="3" s="1"/>
  <c r="CY28" i="3"/>
  <c r="DT28" i="3" a="1"/>
  <c r="DT28" i="3" s="1"/>
  <c r="BA30" i="3"/>
  <c r="K31" i="3"/>
  <c r="AO31" i="3"/>
  <c r="CB32" i="3"/>
  <c r="BP34" i="3"/>
  <c r="DV35" i="3"/>
  <c r="DD35" i="3"/>
  <c r="DF35" i="3" s="1"/>
  <c r="CL35" i="3"/>
  <c r="BT35" i="3"/>
  <c r="BV35" i="3" s="1"/>
  <c r="BB35" i="3"/>
  <c r="BD35" i="3" s="1"/>
  <c r="AP35" i="3" a="1"/>
  <c r="AP35" i="3" s="1"/>
  <c r="X35" i="3"/>
  <c r="F35" i="3"/>
  <c r="DW35" i="3"/>
  <c r="DS35" i="3" a="1"/>
  <c r="DS35" i="3" s="1"/>
  <c r="DU35" i="3" s="1"/>
  <c r="DN35" i="3" a="1"/>
  <c r="DN35" i="3" s="1"/>
  <c r="DE35" i="3"/>
  <c r="DA35" i="3" a="1"/>
  <c r="DA35" i="3" s="1"/>
  <c r="CV35" i="3" a="1"/>
  <c r="CV35" i="3" s="1"/>
  <c r="CM35" i="3"/>
  <c r="CI35" i="3" a="1"/>
  <c r="CI35" i="3" s="1"/>
  <c r="CK35" i="3" s="1"/>
  <c r="CD35" i="3" a="1"/>
  <c r="CD35" i="3" s="1"/>
  <c r="CE35" i="3" s="1"/>
  <c r="BU35" i="3"/>
  <c r="BQ35" i="3" a="1"/>
  <c r="BQ35" i="3" s="1"/>
  <c r="BL35" i="3" a="1"/>
  <c r="BL35" i="3" s="1"/>
  <c r="BM35" i="3" s="1"/>
  <c r="BC35" i="3"/>
  <c r="AY35" i="3" a="1"/>
  <c r="AY35" i="3" s="1"/>
  <c r="BA35" i="3" s="1"/>
  <c r="AT35" i="3" a="1"/>
  <c r="AT35" i="3" s="1"/>
  <c r="AM35" i="3" a="1"/>
  <c r="AM35" i="3" s="1"/>
  <c r="AH35" i="3" a="1"/>
  <c r="AH35" i="3" s="1"/>
  <c r="Y35" i="3"/>
  <c r="U35" i="3" a="1"/>
  <c r="U35" i="3" s="1"/>
  <c r="W35" i="3" s="1"/>
  <c r="P35" i="3" a="1"/>
  <c r="P35" i="3" s="1"/>
  <c r="Q35" i="3" s="1"/>
  <c r="G35" i="3"/>
  <c r="DH35" i="3" a="1"/>
  <c r="DH35" i="3" s="1"/>
  <c r="DB35" i="3" a="1"/>
  <c r="DB35" i="3" s="1"/>
  <c r="CU35" i="3" a="1"/>
  <c r="CU35" i="3" s="1"/>
  <c r="CW35" i="3" s="1"/>
  <c r="CO35" i="3" a="1"/>
  <c r="CO35" i="3" s="1"/>
  <c r="CQ35" i="3" s="1"/>
  <c r="CG35" i="3"/>
  <c r="CA35" i="3"/>
  <c r="BF35" i="3" a="1"/>
  <c r="BF35" i="3" s="1"/>
  <c r="AZ35" i="3" a="1"/>
  <c r="AZ35" i="3" s="1"/>
  <c r="AS35" i="3" a="1"/>
  <c r="AS35" i="3" s="1"/>
  <c r="AN35" i="3" a="1"/>
  <c r="AN35" i="3" s="1"/>
  <c r="AG35" i="3" a="1"/>
  <c r="AG35" i="3" s="1"/>
  <c r="AI35" i="3" s="1"/>
  <c r="AA35" i="3" a="1"/>
  <c r="AA35" i="3" s="1"/>
  <c r="AC35" i="3" s="1"/>
  <c r="S35" i="3"/>
  <c r="M35" i="3"/>
  <c r="DP35" i="3"/>
  <c r="DJ35" i="3"/>
  <c r="BN35" i="3"/>
  <c r="BH35" i="3"/>
  <c r="BJ35" i="3" s="1"/>
  <c r="DY35" i="3" a="1"/>
  <c r="DY35" i="3" s="1"/>
  <c r="DM35" i="3" a="1"/>
  <c r="DM35" i="3" s="1"/>
  <c r="CS35" i="3"/>
  <c r="CJ35" i="3" a="1"/>
  <c r="CJ35" i="3" s="1"/>
  <c r="BX35" i="3" a="1"/>
  <c r="BX35" i="3" s="1"/>
  <c r="BY35" i="3" s="1"/>
  <c r="BO35" i="3"/>
  <c r="BE35" i="3" a="1"/>
  <c r="BE35" i="3" s="1"/>
  <c r="BG35" i="3" s="1"/>
  <c r="AK35" i="3"/>
  <c r="AB35" i="3" a="1"/>
  <c r="AB35" i="3" s="1"/>
  <c r="I35" i="3" a="1"/>
  <c r="I35" i="3" s="1"/>
  <c r="BZ35" i="3"/>
  <c r="AV35" i="3"/>
  <c r="AX35" i="3" s="1"/>
  <c r="AD35" i="3"/>
  <c r="R35" i="3"/>
  <c r="DZ35" i="3" a="1"/>
  <c r="DZ35" i="3" s="1"/>
  <c r="DK35" i="3"/>
  <c r="BR35" i="3" a="1"/>
  <c r="BR35" i="3" s="1"/>
  <c r="J35" i="3" a="1"/>
  <c r="J35" i="3" s="1"/>
  <c r="EF35" i="3" s="1"/>
  <c r="CR35" i="3"/>
  <c r="AJ35" i="3"/>
  <c r="AL35" i="3" s="1"/>
  <c r="CX35" i="3"/>
  <c r="CZ35" i="3" s="1"/>
  <c r="CF35" i="3"/>
  <c r="AQ35" i="3" a="1"/>
  <c r="AQ35" i="3" s="1"/>
  <c r="L35" i="3"/>
  <c r="N35" i="3" s="1"/>
  <c r="AE35" i="3"/>
  <c r="BI35" i="3"/>
  <c r="DQ35" i="3"/>
  <c r="CZ36" i="3"/>
  <c r="Q14" i="3"/>
  <c r="Q20" i="3"/>
  <c r="AI21" i="3"/>
  <c r="DF21" i="3"/>
  <c r="T25" i="3"/>
  <c r="AO25" i="3"/>
  <c r="BD25" i="3"/>
  <c r="BJ25" i="3"/>
  <c r="BS25" i="3"/>
  <c r="CZ27" i="3"/>
  <c r="CZ29" i="3"/>
  <c r="N31" i="3"/>
  <c r="AF32" i="3"/>
  <c r="BM32" i="3"/>
  <c r="H33" i="3"/>
  <c r="BV33" i="3"/>
  <c r="H37" i="3"/>
  <c r="BM38" i="3"/>
  <c r="AX39" i="3"/>
  <c r="DO42" i="3"/>
  <c r="AF38" i="3"/>
  <c r="DL38" i="3"/>
  <c r="EA40" i="3"/>
  <c r="DR29" i="3"/>
  <c r="BV32" i="3"/>
  <c r="AO39" i="3"/>
  <c r="BD41" i="3"/>
  <c r="DJ9" i="3"/>
  <c r="DL9" i="3" s="1"/>
  <c r="CR9" i="3"/>
  <c r="CT9" i="3" s="1"/>
  <c r="BZ9" i="3"/>
  <c r="CB9" i="3" s="1"/>
  <c r="I9" i="3" a="1"/>
  <c r="I9" i="3" s="1"/>
  <c r="M9" i="3"/>
  <c r="V9" i="3" a="1"/>
  <c r="V9" i="3" s="1"/>
  <c r="W9" i="3" s="1"/>
  <c r="AA9" i="3" a="1"/>
  <c r="AA9" i="3" s="1"/>
  <c r="AC9" i="3" s="1"/>
  <c r="AE9" i="3"/>
  <c r="AF9" i="3" s="1"/>
  <c r="AN9" i="3" a="1"/>
  <c r="AN9" i="3" s="1"/>
  <c r="AO9" i="3" s="1"/>
  <c r="AZ9" i="3" a="1"/>
  <c r="AZ9" i="3" s="1"/>
  <c r="BA9" i="3" s="1"/>
  <c r="BE9" i="3" a="1"/>
  <c r="BE9" i="3" s="1"/>
  <c r="BG9" i="3" s="1"/>
  <c r="BI9" i="3"/>
  <c r="BJ9" i="3" s="1"/>
  <c r="BR9" i="3" a="1"/>
  <c r="BR9" i="3" s="1"/>
  <c r="BS9" i="3" s="1"/>
  <c r="BW9" i="3" a="1"/>
  <c r="BW9" i="3" s="1"/>
  <c r="BY9" i="3" s="1"/>
  <c r="CG9" i="3"/>
  <c r="CH9" i="3" s="1"/>
  <c r="CL9" i="3"/>
  <c r="CN9" i="3" s="1"/>
  <c r="DH9" i="3" a="1"/>
  <c r="DH9" i="3" s="1"/>
  <c r="DI9" i="3" s="1"/>
  <c r="DS9" i="3" a="1"/>
  <c r="DS9" i="3" s="1"/>
  <c r="DU9" i="3" s="1"/>
  <c r="DY9" i="3" a="1"/>
  <c r="DY9" i="3" s="1"/>
  <c r="EA9" i="3" s="1"/>
  <c r="DW10" i="3"/>
  <c r="DS10" i="3" a="1"/>
  <c r="DS10" i="3" s="1"/>
  <c r="DU10" i="3" s="1"/>
  <c r="DN10" i="3" a="1"/>
  <c r="DN10" i="3" s="1"/>
  <c r="DO10" i="3" s="1"/>
  <c r="DE10" i="3"/>
  <c r="DF10" i="3" s="1"/>
  <c r="DA10" i="3" a="1"/>
  <c r="DA10" i="3" s="1"/>
  <c r="DC10" i="3" s="1"/>
  <c r="CV10" i="3" a="1"/>
  <c r="CV10" i="3" s="1"/>
  <c r="CW10" i="3" s="1"/>
  <c r="CM10" i="3"/>
  <c r="CN10" i="3" s="1"/>
  <c r="CI10" i="3" a="1"/>
  <c r="CI10" i="3" s="1"/>
  <c r="CK10" i="3" s="1"/>
  <c r="CD10" i="3" a="1"/>
  <c r="CD10" i="3" s="1"/>
  <c r="CE10" i="3" s="1"/>
  <c r="BU10" i="3"/>
  <c r="BQ10" i="3" a="1"/>
  <c r="BQ10" i="3" s="1"/>
  <c r="BS10" i="3" s="1"/>
  <c r="BL10" i="3" a="1"/>
  <c r="BL10" i="3" s="1"/>
  <c r="BM10" i="3" s="1"/>
  <c r="BC10" i="3"/>
  <c r="BD10" i="3" s="1"/>
  <c r="AY10" i="3" a="1"/>
  <c r="AY10" i="3" s="1"/>
  <c r="BA10" i="3" s="1"/>
  <c r="AT10" i="3" a="1"/>
  <c r="AT10" i="3" s="1"/>
  <c r="AM10" i="3" a="1"/>
  <c r="AM10" i="3" s="1"/>
  <c r="AO10" i="3" s="1"/>
  <c r="AH10" i="3" a="1"/>
  <c r="AH10" i="3" s="1"/>
  <c r="AI10" i="3" s="1"/>
  <c r="Y10" i="3"/>
  <c r="Z10" i="3" s="1"/>
  <c r="U10" i="3" a="1"/>
  <c r="U10" i="3" s="1"/>
  <c r="W10" i="3" s="1"/>
  <c r="P10" i="3" a="1"/>
  <c r="P10" i="3" s="1"/>
  <c r="G10" i="3"/>
  <c r="O10" i="3" a="1"/>
  <c r="O10" i="3" s="1"/>
  <c r="AE10" i="3"/>
  <c r="AF10" i="3" s="1"/>
  <c r="AJ10" i="3"/>
  <c r="AL10" i="3" s="1"/>
  <c r="BE10" i="3" a="1"/>
  <c r="BE10" i="3" s="1"/>
  <c r="BG10" i="3" s="1"/>
  <c r="BO10" i="3"/>
  <c r="BP10" i="3" s="1"/>
  <c r="BT10" i="3"/>
  <c r="BZ10" i="3"/>
  <c r="CB10" i="3" s="1"/>
  <c r="CP10" i="3" a="1"/>
  <c r="CP10" i="3" s="1"/>
  <c r="CQ10" i="3" s="1"/>
  <c r="DG10" i="3" a="1"/>
  <c r="DG10" i="3" s="1"/>
  <c r="DI10" i="3" s="1"/>
  <c r="DQ10" i="3"/>
  <c r="DR10" i="3" s="1"/>
  <c r="DV10" i="3"/>
  <c r="DX10" i="3" s="1"/>
  <c r="DZ18" i="3" a="1"/>
  <c r="DZ18" i="3" s="1"/>
  <c r="EA18" i="3" s="1"/>
  <c r="DQ18" i="3"/>
  <c r="DM18" i="3" a="1"/>
  <c r="DM18" i="3" s="1"/>
  <c r="DO18" i="3" s="1"/>
  <c r="DH18" i="3" a="1"/>
  <c r="DH18" i="3" s="1"/>
  <c r="DI18" i="3" s="1"/>
  <c r="CY18" i="3"/>
  <c r="CU18" i="3" a="1"/>
  <c r="CU18" i="3" s="1"/>
  <c r="CW18" i="3" s="1"/>
  <c r="CP18" i="3" a="1"/>
  <c r="CP18" i="3" s="1"/>
  <c r="CQ18" i="3" s="1"/>
  <c r="CG18" i="3"/>
  <c r="CH18" i="3" s="1"/>
  <c r="CC18" i="3" a="1"/>
  <c r="CC18" i="3" s="1"/>
  <c r="CE18" i="3" s="1"/>
  <c r="BX18" i="3" a="1"/>
  <c r="BX18" i="3" s="1"/>
  <c r="BO18" i="3"/>
  <c r="BK18" i="3" a="1"/>
  <c r="BK18" i="3" s="1"/>
  <c r="BM18" i="3" s="1"/>
  <c r="BF18" i="3" a="1"/>
  <c r="BF18" i="3" s="1"/>
  <c r="BG18" i="3" s="1"/>
  <c r="AW18" i="3"/>
  <c r="AX18" i="3" s="1"/>
  <c r="AS18" i="3" a="1"/>
  <c r="AS18" i="3" s="1"/>
  <c r="AU18" i="3" s="1"/>
  <c r="AK18" i="3"/>
  <c r="AL18" i="3" s="1"/>
  <c r="AG18" i="3" a="1"/>
  <c r="AG18" i="3" s="1"/>
  <c r="AI18" i="3" s="1"/>
  <c r="AB18" i="3" a="1"/>
  <c r="AB18" i="3" s="1"/>
  <c r="AC18" i="3" s="1"/>
  <c r="S18" i="3"/>
  <c r="EC18" i="3" s="1"/>
  <c r="O18" i="3" a="1"/>
  <c r="O18" i="3" s="1"/>
  <c r="Q18" i="3" s="1"/>
  <c r="J18" i="3" a="1"/>
  <c r="J18" i="3" s="1"/>
  <c r="EF18" i="3" s="1"/>
  <c r="I18" i="3" a="1"/>
  <c r="I18" i="3" s="1"/>
  <c r="Y18" i="3"/>
  <c r="AD18" i="3"/>
  <c r="AF18" i="3" s="1"/>
  <c r="AY18" i="3" a="1"/>
  <c r="AY18" i="3" s="1"/>
  <c r="BA18" i="3" s="1"/>
  <c r="BI18" i="3"/>
  <c r="BJ18" i="3" s="1"/>
  <c r="BN18" i="3"/>
  <c r="BP18" i="3" s="1"/>
  <c r="BT18" i="3"/>
  <c r="BV18" i="3" s="1"/>
  <c r="CJ18" i="3" a="1"/>
  <c r="CJ18" i="3" s="1"/>
  <c r="CK18" i="3" s="1"/>
  <c r="DA18" i="3" a="1"/>
  <c r="DA18" i="3" s="1"/>
  <c r="DC18" i="3" s="1"/>
  <c r="DK18" i="3"/>
  <c r="DL18" i="3" s="1"/>
  <c r="DP18" i="3"/>
  <c r="DR18" i="3" s="1"/>
  <c r="DV18" i="3"/>
  <c r="DX18" i="3" s="1"/>
  <c r="BV20" i="3"/>
  <c r="CB20" i="3"/>
  <c r="CQ20" i="3"/>
  <c r="DL21" i="3"/>
  <c r="DF27" i="3"/>
  <c r="DV29" i="3"/>
  <c r="DD29" i="3"/>
  <c r="DF29" i="3" s="1"/>
  <c r="CL29" i="3"/>
  <c r="BT29" i="3"/>
  <c r="BV29" i="3" s="1"/>
  <c r="BB29" i="3"/>
  <c r="AP29" i="3" a="1"/>
  <c r="AP29" i="3" s="1"/>
  <c r="AR29" i="3" s="1"/>
  <c r="X29" i="3"/>
  <c r="F29" i="3"/>
  <c r="DW29" i="3"/>
  <c r="DS29" i="3" a="1"/>
  <c r="DS29" i="3" s="1"/>
  <c r="DU29" i="3" s="1"/>
  <c r="DN29" i="3" a="1"/>
  <c r="DN29" i="3" s="1"/>
  <c r="DE29" i="3"/>
  <c r="DA29" i="3" a="1"/>
  <c r="DA29" i="3" s="1"/>
  <c r="DC29" i="3" s="1"/>
  <c r="CV29" i="3" a="1"/>
  <c r="CV29" i="3" s="1"/>
  <c r="CM29" i="3"/>
  <c r="CI29" i="3" a="1"/>
  <c r="CI29" i="3" s="1"/>
  <c r="CK29" i="3" s="1"/>
  <c r="CD29" i="3" a="1"/>
  <c r="CD29" i="3" s="1"/>
  <c r="BU29" i="3"/>
  <c r="BQ29" i="3" a="1"/>
  <c r="BQ29" i="3" s="1"/>
  <c r="BS29" i="3" s="1"/>
  <c r="BL29" i="3" a="1"/>
  <c r="BL29" i="3" s="1"/>
  <c r="BM29" i="3" s="1"/>
  <c r="BC29" i="3"/>
  <c r="AY29" i="3" a="1"/>
  <c r="AY29" i="3" s="1"/>
  <c r="BA29" i="3" s="1"/>
  <c r="AT29" i="3" a="1"/>
  <c r="AT29" i="3" s="1"/>
  <c r="AM29" i="3" a="1"/>
  <c r="AM29" i="3" s="1"/>
  <c r="AH29" i="3" a="1"/>
  <c r="AH29" i="3" s="1"/>
  <c r="Y29" i="3"/>
  <c r="U29" i="3" a="1"/>
  <c r="U29" i="3" s="1"/>
  <c r="W29" i="3" s="1"/>
  <c r="P29" i="3" a="1"/>
  <c r="P29" i="3" s="1"/>
  <c r="Q29" i="3" s="1"/>
  <c r="G29" i="3"/>
  <c r="CF29" i="3"/>
  <c r="BZ29" i="3"/>
  <c r="R29" i="3"/>
  <c r="L29" i="3"/>
  <c r="N29" i="3" s="1"/>
  <c r="DH29" i="3" a="1"/>
  <c r="DH29" i="3" s="1"/>
  <c r="DB29" i="3" a="1"/>
  <c r="DB29" i="3" s="1"/>
  <c r="CU29" i="3" a="1"/>
  <c r="CU29" i="3" s="1"/>
  <c r="CO29" i="3" a="1"/>
  <c r="CO29" i="3" s="1"/>
  <c r="CQ29" i="3" s="1"/>
  <c r="CG29" i="3"/>
  <c r="CA29" i="3"/>
  <c r="BF29" i="3" a="1"/>
  <c r="BF29" i="3" s="1"/>
  <c r="BG29" i="3" s="1"/>
  <c r="AZ29" i="3" a="1"/>
  <c r="AZ29" i="3" s="1"/>
  <c r="AS29" i="3" a="1"/>
  <c r="AS29" i="3" s="1"/>
  <c r="AN29" i="3" a="1"/>
  <c r="AN29" i="3" s="1"/>
  <c r="AG29" i="3" a="1"/>
  <c r="AG29" i="3" s="1"/>
  <c r="AI29" i="3" s="1"/>
  <c r="AA29" i="3" a="1"/>
  <c r="AA29" i="3" s="1"/>
  <c r="AC29" i="3" s="1"/>
  <c r="S29" i="3"/>
  <c r="M29" i="3"/>
  <c r="J29" i="3" a="1"/>
  <c r="J29" i="3" s="1"/>
  <c r="V29" i="3" a="1"/>
  <c r="V29" i="3" s="1"/>
  <c r="AE29" i="3"/>
  <c r="AF29" i="3" s="1"/>
  <c r="AW29" i="3"/>
  <c r="AX29" i="3" s="1"/>
  <c r="BI29" i="3"/>
  <c r="BJ29" i="3" s="1"/>
  <c r="BR29" i="3" a="1"/>
  <c r="BR29" i="3" s="1"/>
  <c r="CC29" i="3" a="1"/>
  <c r="CC29" i="3" s="1"/>
  <c r="DG29" i="3" a="1"/>
  <c r="DG29" i="3" s="1"/>
  <c r="DQ29" i="3"/>
  <c r="DZ29" i="3" a="1"/>
  <c r="DZ29" i="3" s="1"/>
  <c r="EA29" i="3" s="1"/>
  <c r="AO30" i="3"/>
  <c r="DL30" i="3"/>
  <c r="DU30" i="3"/>
  <c r="DZ31" i="3" a="1"/>
  <c r="DZ31" i="3" s="1"/>
  <c r="DQ31" i="3"/>
  <c r="DM31" i="3" a="1"/>
  <c r="DM31" i="3" s="1"/>
  <c r="DO31" i="3" s="1"/>
  <c r="DH31" i="3" a="1"/>
  <c r="DH31" i="3" s="1"/>
  <c r="CY31" i="3"/>
  <c r="CZ31" i="3" s="1"/>
  <c r="CU31" i="3" a="1"/>
  <c r="CU31" i="3" s="1"/>
  <c r="CP31" i="3" a="1"/>
  <c r="CP31" i="3" s="1"/>
  <c r="CQ31" i="3" s="1"/>
  <c r="CG31" i="3"/>
  <c r="CC31" i="3" a="1"/>
  <c r="CC31" i="3" s="1"/>
  <c r="BX31" i="3" a="1"/>
  <c r="BX31" i="3" s="1"/>
  <c r="BO31" i="3"/>
  <c r="DV31" i="3"/>
  <c r="DP31" i="3"/>
  <c r="DK31" i="3"/>
  <c r="DA31" i="3" a="1"/>
  <c r="DA31" i="3" s="1"/>
  <c r="DC31" i="3" s="1"/>
  <c r="CJ31" i="3" a="1"/>
  <c r="CJ31" i="3" s="1"/>
  <c r="CK31" i="3" s="1"/>
  <c r="BT31" i="3"/>
  <c r="BN31" i="3"/>
  <c r="AV31" i="3"/>
  <c r="AX31" i="3" s="1"/>
  <c r="AJ31" i="3"/>
  <c r="AL31" i="3" s="1"/>
  <c r="R31" i="3"/>
  <c r="DW31" i="3"/>
  <c r="DG31" i="3" a="1"/>
  <c r="DG31" i="3" s="1"/>
  <c r="CV31" i="3" a="1"/>
  <c r="CV31" i="3" s="1"/>
  <c r="BZ31" i="3"/>
  <c r="CB31" i="3" s="1"/>
  <c r="BU31" i="3"/>
  <c r="BK31" i="3" a="1"/>
  <c r="BK31" i="3" s="1"/>
  <c r="BM31" i="3" s="1"/>
  <c r="BF31" i="3" a="1"/>
  <c r="BF31" i="3" s="1"/>
  <c r="BG31" i="3" s="1"/>
  <c r="AW31" i="3"/>
  <c r="AS31" i="3" a="1"/>
  <c r="AS31" i="3" s="1"/>
  <c r="AK31" i="3"/>
  <c r="AG31" i="3" a="1"/>
  <c r="AG31" i="3" s="1"/>
  <c r="AB31" i="3" a="1"/>
  <c r="AB31" i="3" s="1"/>
  <c r="S31" i="3"/>
  <c r="O31" i="3" a="1"/>
  <c r="O31" i="3" s="1"/>
  <c r="Q31" i="3" s="1"/>
  <c r="J31" i="3" a="1"/>
  <c r="J31" i="3" s="1"/>
  <c r="DJ31" i="3"/>
  <c r="CM31" i="3"/>
  <c r="CN31" i="3" s="1"/>
  <c r="CD31" i="3" a="1"/>
  <c r="CD31" i="3" s="1"/>
  <c r="BW31" i="3" a="1"/>
  <c r="BW31" i="3" s="1"/>
  <c r="BY31" i="3" s="1"/>
  <c r="AZ31" i="3" a="1"/>
  <c r="AZ31" i="3" s="1"/>
  <c r="AT31" i="3" a="1"/>
  <c r="AT31" i="3" s="1"/>
  <c r="AN31" i="3" a="1"/>
  <c r="AN31" i="3" s="1"/>
  <c r="AH31" i="3" a="1"/>
  <c r="AH31" i="3" s="1"/>
  <c r="AA31" i="3" a="1"/>
  <c r="AA31" i="3" s="1"/>
  <c r="U31" i="3" a="1"/>
  <c r="U31" i="3" s="1"/>
  <c r="W31" i="3" s="1"/>
  <c r="M31" i="3"/>
  <c r="G31" i="3"/>
  <c r="DT31" i="3" a="1"/>
  <c r="DT31" i="3" s="1"/>
  <c r="DU31" i="3" s="1"/>
  <c r="DD31" i="3"/>
  <c r="DF31" i="3" s="1"/>
  <c r="CF31" i="3"/>
  <c r="CH31" i="3" s="1"/>
  <c r="BQ31" i="3" a="1"/>
  <c r="BQ31" i="3" s="1"/>
  <c r="BS31" i="3" s="1"/>
  <c r="BH31" i="3"/>
  <c r="BB31" i="3"/>
  <c r="BD31" i="3" s="1"/>
  <c r="AP31" i="3" a="1"/>
  <c r="AP31" i="3" s="1"/>
  <c r="AR31" i="3" s="1"/>
  <c r="V31" i="3" a="1"/>
  <c r="V31" i="3" s="1"/>
  <c r="AE31" i="3"/>
  <c r="AF31" i="3" s="1"/>
  <c r="AY31" i="3" a="1"/>
  <c r="AY31" i="3" s="1"/>
  <c r="BA31" i="3" s="1"/>
  <c r="BI31" i="3"/>
  <c r="CR31" i="3"/>
  <c r="CT31" i="3" s="1"/>
  <c r="DE31" i="3"/>
  <c r="DI32" i="3"/>
  <c r="AI33" i="3"/>
  <c r="CE33" i="3"/>
  <c r="EA33" i="3"/>
  <c r="DW34" i="3"/>
  <c r="DS34" i="3" a="1"/>
  <c r="DS34" i="3" s="1"/>
  <c r="DU34" i="3" s="1"/>
  <c r="DN34" i="3" a="1"/>
  <c r="DN34" i="3" s="1"/>
  <c r="DE34" i="3"/>
  <c r="DA34" i="3" a="1"/>
  <c r="DA34" i="3" s="1"/>
  <c r="DC34" i="3" s="1"/>
  <c r="CV34" i="3" a="1"/>
  <c r="CV34" i="3" s="1"/>
  <c r="CW34" i="3" s="1"/>
  <c r="CM34" i="3"/>
  <c r="CN34" i="3" s="1"/>
  <c r="CI34" i="3" a="1"/>
  <c r="CI34" i="3" s="1"/>
  <c r="CD34" i="3" a="1"/>
  <c r="CD34" i="3" s="1"/>
  <c r="BU34" i="3"/>
  <c r="BQ34" i="3" a="1"/>
  <c r="BQ34" i="3" s="1"/>
  <c r="BS34" i="3" s="1"/>
  <c r="BL34" i="3" a="1"/>
  <c r="BL34" i="3" s="1"/>
  <c r="BC34" i="3"/>
  <c r="AY34" i="3" a="1"/>
  <c r="AY34" i="3" s="1"/>
  <c r="BA34" i="3" s="1"/>
  <c r="AT34" i="3" a="1"/>
  <c r="AT34" i="3" s="1"/>
  <c r="AM34" i="3" a="1"/>
  <c r="AM34" i="3" s="1"/>
  <c r="AO34" i="3" s="1"/>
  <c r="AH34" i="3" a="1"/>
  <c r="AH34" i="3" s="1"/>
  <c r="AI34" i="3" s="1"/>
  <c r="Y34" i="3"/>
  <c r="U34" i="3" a="1"/>
  <c r="U34" i="3" s="1"/>
  <c r="P34" i="3" a="1"/>
  <c r="P34" i="3" s="1"/>
  <c r="G34" i="3"/>
  <c r="DJ34" i="3"/>
  <c r="DL34" i="3" s="1"/>
  <c r="CR34" i="3"/>
  <c r="BZ34" i="3"/>
  <c r="CB34" i="3" s="1"/>
  <c r="BH34" i="3"/>
  <c r="AQ34" i="3" a="1"/>
  <c r="AQ34" i="3" s="1"/>
  <c r="AD34" i="3"/>
  <c r="AF34" i="3" s="1"/>
  <c r="L34" i="3"/>
  <c r="N34" i="3" s="1"/>
  <c r="DY34" i="3" a="1"/>
  <c r="DY34" i="3" s="1"/>
  <c r="EA34" i="3" s="1"/>
  <c r="DQ34" i="3"/>
  <c r="DR34" i="3" s="1"/>
  <c r="DK34" i="3"/>
  <c r="CP34" i="3" a="1"/>
  <c r="CP34" i="3" s="1"/>
  <c r="CQ34" i="3" s="1"/>
  <c r="CJ34" i="3" a="1"/>
  <c r="CJ34" i="3" s="1"/>
  <c r="CC34" i="3" a="1"/>
  <c r="CC34" i="3" s="1"/>
  <c r="CE34" i="3" s="1"/>
  <c r="BW34" i="3" a="1"/>
  <c r="BW34" i="3" s="1"/>
  <c r="BY34" i="3" s="1"/>
  <c r="BO34" i="3"/>
  <c r="BI34" i="3"/>
  <c r="AB34" i="3" a="1"/>
  <c r="AB34" i="3" s="1"/>
  <c r="V34" i="3" a="1"/>
  <c r="V34" i="3" s="1"/>
  <c r="EF34" i="3" s="1"/>
  <c r="O34" i="3" a="1"/>
  <c r="O34" i="3" s="1"/>
  <c r="Q34" i="3" s="1"/>
  <c r="I34" i="3" a="1"/>
  <c r="I34" i="3" s="1"/>
  <c r="DD34" i="3"/>
  <c r="CX34" i="3"/>
  <c r="BB34" i="3"/>
  <c r="BD34" i="3" s="1"/>
  <c r="AV34" i="3"/>
  <c r="AX34" i="3" s="1"/>
  <c r="AP34" i="3" a="1"/>
  <c r="AP34" i="3" s="1"/>
  <c r="AR34" i="3" s="1"/>
  <c r="AJ34" i="3"/>
  <c r="AL34" i="3" s="1"/>
  <c r="CF34" i="3"/>
  <c r="BT34" i="3"/>
  <c r="X34" i="3"/>
  <c r="Z34" i="3" s="1"/>
  <c r="DM34" i="3" a="1"/>
  <c r="DM34" i="3" s="1"/>
  <c r="DO34" i="3" s="1"/>
  <c r="DB34" i="3" a="1"/>
  <c r="DB34" i="3" s="1"/>
  <c r="CS34" i="3"/>
  <c r="CG34" i="3"/>
  <c r="BX34" i="3" a="1"/>
  <c r="BX34" i="3" s="1"/>
  <c r="BE34" i="3" a="1"/>
  <c r="BE34" i="3" s="1"/>
  <c r="AS34" i="3" a="1"/>
  <c r="AS34" i="3" s="1"/>
  <c r="AU34" i="3" s="1"/>
  <c r="AK34" i="3"/>
  <c r="AA34" i="3" a="1"/>
  <c r="AA34" i="3" s="1"/>
  <c r="AC34" i="3" s="1"/>
  <c r="M34" i="3"/>
  <c r="AE34" i="3"/>
  <c r="BF34" i="3" a="1"/>
  <c r="BF34" i="3" s="1"/>
  <c r="CY34" i="3"/>
  <c r="DL36" i="3"/>
  <c r="BS41" i="3"/>
  <c r="W45" i="3"/>
  <c r="CT20" i="3"/>
  <c r="Q21" i="3"/>
  <c r="BD27" i="3"/>
  <c r="DO27" i="3"/>
  <c r="DP32" i="3"/>
  <c r="DR32" i="3" s="1"/>
  <c r="CX32" i="3"/>
  <c r="CZ32" i="3" s="1"/>
  <c r="CF32" i="3"/>
  <c r="CH32" i="3" s="1"/>
  <c r="BN32" i="3"/>
  <c r="AV32" i="3"/>
  <c r="AJ32" i="3"/>
  <c r="AL32" i="3" s="1"/>
  <c r="R32" i="3"/>
  <c r="DZ32" i="3" a="1"/>
  <c r="DZ32" i="3" s="1"/>
  <c r="DT32" i="3" a="1"/>
  <c r="DT32" i="3" s="1"/>
  <c r="DD32" i="3"/>
  <c r="CY32" i="3"/>
  <c r="CS32" i="3"/>
  <c r="CI32" i="3" a="1"/>
  <c r="CI32" i="3" s="1"/>
  <c r="CK32" i="3" s="1"/>
  <c r="BX32" i="3" a="1"/>
  <c r="BX32" i="3" s="1"/>
  <c r="BY32" i="3" s="1"/>
  <c r="BR32" i="3" a="1"/>
  <c r="BR32" i="3" s="1"/>
  <c r="BS32" i="3" s="1"/>
  <c r="BB32" i="3"/>
  <c r="AW32" i="3"/>
  <c r="AH32" i="3" a="1"/>
  <c r="AH32" i="3" s="1"/>
  <c r="AI32" i="3" s="1"/>
  <c r="L32" i="3"/>
  <c r="G32" i="3"/>
  <c r="H32" i="3" s="1"/>
  <c r="DJ32" i="3"/>
  <c r="DE32" i="3"/>
  <c r="CU32" i="3" a="1"/>
  <c r="CU32" i="3" s="1"/>
  <c r="CW32" i="3" s="1"/>
  <c r="CO32" i="3" a="1"/>
  <c r="CO32" i="3" s="1"/>
  <c r="CQ32" i="3" s="1"/>
  <c r="CD32" i="3" a="1"/>
  <c r="CD32" i="3" s="1"/>
  <c r="BH32" i="3"/>
  <c r="BJ32" i="3" s="1"/>
  <c r="BC32" i="3"/>
  <c r="AS32" i="3" a="1"/>
  <c r="AS32" i="3" s="1"/>
  <c r="AU32" i="3" s="1"/>
  <c r="AN32" i="3" a="1"/>
  <c r="AN32" i="3" s="1"/>
  <c r="AO32" i="3" s="1"/>
  <c r="X32" i="3"/>
  <c r="Z32" i="3" s="1"/>
  <c r="S32" i="3"/>
  <c r="M32" i="3"/>
  <c r="AA32" i="3" a="1"/>
  <c r="AA32" i="3" s="1"/>
  <c r="AC32" i="3" s="1"/>
  <c r="AY32" i="3" a="1"/>
  <c r="AY32" i="3" s="1"/>
  <c r="BA32" i="3" s="1"/>
  <c r="BF32" i="3" a="1"/>
  <c r="BF32" i="3" s="1"/>
  <c r="BO32" i="3"/>
  <c r="CL32" i="3"/>
  <c r="CN32" i="3" s="1"/>
  <c r="DB32" i="3" a="1"/>
  <c r="DB32" i="3" s="1"/>
  <c r="DC32" i="3" s="1"/>
  <c r="DK32" i="3"/>
  <c r="DS32" i="3" a="1"/>
  <c r="DS32" i="3" s="1"/>
  <c r="DX33" i="3"/>
  <c r="DZ36" i="3" a="1"/>
  <c r="DZ36" i="3" s="1"/>
  <c r="DQ36" i="3"/>
  <c r="DM36" i="3" a="1"/>
  <c r="DM36" i="3" s="1"/>
  <c r="DO36" i="3" s="1"/>
  <c r="DH36" i="3" a="1"/>
  <c r="DH36" i="3" s="1"/>
  <c r="CY36" i="3"/>
  <c r="CU36" i="3" a="1"/>
  <c r="CU36" i="3" s="1"/>
  <c r="CP36" i="3" a="1"/>
  <c r="CP36" i="3" s="1"/>
  <c r="CG36" i="3"/>
  <c r="CC36" i="3" a="1"/>
  <c r="CC36" i="3" s="1"/>
  <c r="CE36" i="3" s="1"/>
  <c r="BX36" i="3" a="1"/>
  <c r="BX36" i="3" s="1"/>
  <c r="BY36" i="3" s="1"/>
  <c r="BO36" i="3"/>
  <c r="BK36" i="3" a="1"/>
  <c r="BK36" i="3" s="1"/>
  <c r="BF36" i="3" a="1"/>
  <c r="BF36" i="3" s="1"/>
  <c r="AW36" i="3"/>
  <c r="AS36" i="3" a="1"/>
  <c r="AS36" i="3" s="1"/>
  <c r="AU36" i="3" s="1"/>
  <c r="AK36" i="3"/>
  <c r="AL36" i="3" s="1"/>
  <c r="AG36" i="3" a="1"/>
  <c r="AG36" i="3" s="1"/>
  <c r="AI36" i="3" s="1"/>
  <c r="AB36" i="3" a="1"/>
  <c r="AB36" i="3" s="1"/>
  <c r="S36" i="3"/>
  <c r="EC36" i="3" s="1"/>
  <c r="O36" i="3" a="1"/>
  <c r="O36" i="3" s="1"/>
  <c r="Q36" i="3" s="1"/>
  <c r="J36" i="3" a="1"/>
  <c r="J36" i="3" s="1"/>
  <c r="DV36" i="3"/>
  <c r="DX36" i="3" s="1"/>
  <c r="DD36" i="3"/>
  <c r="CL36" i="3"/>
  <c r="BT36" i="3"/>
  <c r="BV36" i="3" s="1"/>
  <c r="BB36" i="3"/>
  <c r="BD36" i="3" s="1"/>
  <c r="AP36" i="3" a="1"/>
  <c r="AP36" i="3" s="1"/>
  <c r="AR36" i="3" s="1"/>
  <c r="X36" i="3"/>
  <c r="Z36" i="3" s="1"/>
  <c r="F36" i="3"/>
  <c r="DT36" i="3" a="1"/>
  <c r="DT36" i="3" s="1"/>
  <c r="DU36" i="3" s="1"/>
  <c r="DN36" i="3" a="1"/>
  <c r="DN36" i="3" s="1"/>
  <c r="DG36" i="3" a="1"/>
  <c r="DG36" i="3" s="1"/>
  <c r="DA36" i="3" a="1"/>
  <c r="DA36" i="3" s="1"/>
  <c r="DC36" i="3" s="1"/>
  <c r="CS36" i="3"/>
  <c r="CT36" i="3" s="1"/>
  <c r="CM36" i="3"/>
  <c r="BR36" i="3" a="1"/>
  <c r="BR36" i="3" s="1"/>
  <c r="BL36" i="3" a="1"/>
  <c r="BL36" i="3" s="1"/>
  <c r="BE36" i="3" a="1"/>
  <c r="BE36" i="3" s="1"/>
  <c r="BG36" i="3" s="1"/>
  <c r="AY36" i="3" a="1"/>
  <c r="AY36" i="3" s="1"/>
  <c r="BA36" i="3" s="1"/>
  <c r="AM36" i="3" a="1"/>
  <c r="AM36" i="3" s="1"/>
  <c r="AO36" i="3" s="1"/>
  <c r="AE36" i="3"/>
  <c r="Y36" i="3"/>
  <c r="CF36" i="3"/>
  <c r="BZ36" i="3"/>
  <c r="CB36" i="3" s="1"/>
  <c r="R36" i="3"/>
  <c r="T36" i="3" s="1"/>
  <c r="L36" i="3"/>
  <c r="N36" i="3" s="1"/>
  <c r="AD36" i="3"/>
  <c r="AF36" i="3" s="1"/>
  <c r="AV36" i="3"/>
  <c r="BH36" i="3"/>
  <c r="BJ36" i="3" s="1"/>
  <c r="DP36" i="3"/>
  <c r="DR36" i="3" s="1"/>
  <c r="CK37" i="3"/>
  <c r="H39" i="3"/>
  <c r="BD39" i="3"/>
  <c r="DL40" i="3"/>
  <c r="BM41" i="3"/>
  <c r="BE43" i="3" a="1"/>
  <c r="BE43" i="3" s="1"/>
  <c r="DZ43" i="3" a="1"/>
  <c r="DZ43" i="3" s="1"/>
  <c r="K45" i="3"/>
  <c r="BJ43" i="3"/>
  <c r="DW43" i="3"/>
  <c r="DS43" i="3" a="1"/>
  <c r="DS43" i="3" s="1"/>
  <c r="DU43" i="3" s="1"/>
  <c r="DN43" i="3" a="1"/>
  <c r="DN43" i="3" s="1"/>
  <c r="DE43" i="3"/>
  <c r="DF43" i="3" s="1"/>
  <c r="DA43" i="3" a="1"/>
  <c r="DA43" i="3" s="1"/>
  <c r="CV43" i="3" a="1"/>
  <c r="CV43" i="3" s="1"/>
  <c r="CM43" i="3"/>
  <c r="CI43" i="3" a="1"/>
  <c r="CI43" i="3" s="1"/>
  <c r="CD43" i="3" a="1"/>
  <c r="CD43" i="3" s="1"/>
  <c r="BU43" i="3"/>
  <c r="BQ43" i="3" a="1"/>
  <c r="BQ43" i="3" s="1"/>
  <c r="BS43" i="3" s="1"/>
  <c r="BL43" i="3" a="1"/>
  <c r="BL43" i="3" s="1"/>
  <c r="BC43" i="3"/>
  <c r="AY43" i="3" a="1"/>
  <c r="AY43" i="3" s="1"/>
  <c r="AT43" i="3" a="1"/>
  <c r="AT43" i="3" s="1"/>
  <c r="AM43" i="3" a="1"/>
  <c r="AM43" i="3" s="1"/>
  <c r="AO43" i="3" s="1"/>
  <c r="AH43" i="3" a="1"/>
  <c r="AH43" i="3" s="1"/>
  <c r="Y43" i="3"/>
  <c r="U43" i="3" a="1"/>
  <c r="U43" i="3" s="1"/>
  <c r="P43" i="3" a="1"/>
  <c r="P43" i="3" s="1"/>
  <c r="G43" i="3"/>
  <c r="DM43" i="3" a="1"/>
  <c r="DM43" i="3" s="1"/>
  <c r="DO43" i="3" s="1"/>
  <c r="DB43" i="3" a="1"/>
  <c r="DB43" i="3" s="1"/>
  <c r="CF43" i="3"/>
  <c r="CA43" i="3"/>
  <c r="BK43" i="3" a="1"/>
  <c r="BK43" i="3" s="1"/>
  <c r="BM43" i="3" s="1"/>
  <c r="AZ43" i="3" a="1"/>
  <c r="AZ43" i="3" s="1"/>
  <c r="AP43" i="3" a="1"/>
  <c r="AP43" i="3" s="1"/>
  <c r="AR43" i="3" s="1"/>
  <c r="AK43" i="3"/>
  <c r="AL43" i="3" s="1"/>
  <c r="AA43" i="3" a="1"/>
  <c r="AA43" i="3" s="1"/>
  <c r="J43" i="3" a="1"/>
  <c r="J43" i="3" s="1"/>
  <c r="DY43" i="3" a="1"/>
  <c r="DY43" i="3" s="1"/>
  <c r="DH43" i="3" a="1"/>
  <c r="DH43" i="3" s="1"/>
  <c r="CR43" i="3"/>
  <c r="CL43" i="3"/>
  <c r="CN43" i="3" s="1"/>
  <c r="CG43" i="3"/>
  <c r="BW43" i="3" a="1"/>
  <c r="BW43" i="3" s="1"/>
  <c r="BF43" i="3" a="1"/>
  <c r="BF43" i="3" s="1"/>
  <c r="AQ43" i="3" a="1"/>
  <c r="AQ43" i="3" s="1"/>
  <c r="AG43" i="3" a="1"/>
  <c r="AG43" i="3" s="1"/>
  <c r="V43" i="3" a="1"/>
  <c r="V43" i="3" s="1"/>
  <c r="DV43" i="3"/>
  <c r="DX43" i="3" s="1"/>
  <c r="DG43" i="3" a="1"/>
  <c r="DG43" i="3" s="1"/>
  <c r="CY43" i="3"/>
  <c r="CP43" i="3" a="1"/>
  <c r="CP43" i="3" s="1"/>
  <c r="BZ43" i="3"/>
  <c r="CB43" i="3" s="1"/>
  <c r="BB43" i="3"/>
  <c r="BD43" i="3" s="1"/>
  <c r="AN43" i="3" a="1"/>
  <c r="AN43" i="3" s="1"/>
  <c r="AE43" i="3"/>
  <c r="O43" i="3" a="1"/>
  <c r="O43" i="3" s="1"/>
  <c r="Q43" i="3" s="1"/>
  <c r="DP43" i="3"/>
  <c r="CS43" i="3"/>
  <c r="CJ43" i="3" a="1"/>
  <c r="CJ43" i="3" s="1"/>
  <c r="CC43" i="3" a="1"/>
  <c r="CC43" i="3" s="1"/>
  <c r="AV43" i="3"/>
  <c r="X43" i="3"/>
  <c r="Z43" i="3" s="1"/>
  <c r="I43" i="3" a="1"/>
  <c r="I43" i="3" s="1"/>
  <c r="DJ43" i="3"/>
  <c r="BX43" i="3" a="1"/>
  <c r="BX43" i="3" s="1"/>
  <c r="R43" i="3"/>
  <c r="DT43" i="3" a="1"/>
  <c r="DT43" i="3" s="1"/>
  <c r="CU43" i="3" a="1"/>
  <c r="CU43" i="3" s="1"/>
  <c r="CW43" i="3" s="1"/>
  <c r="BI43" i="3"/>
  <c r="AB43" i="3" a="1"/>
  <c r="AB43" i="3" s="1"/>
  <c r="DK43" i="3"/>
  <c r="CX43" i="3"/>
  <c r="BN43" i="3"/>
  <c r="AD43" i="3"/>
  <c r="AF43" i="3" s="1"/>
  <c r="S43" i="3"/>
  <c r="F43" i="3"/>
  <c r="BO43" i="3"/>
  <c r="CO43" i="3" a="1"/>
  <c r="CO43" i="3" s="1"/>
  <c r="BP36" i="3"/>
  <c r="AC37" i="3"/>
  <c r="AO40" i="3"/>
  <c r="BG40" i="3"/>
  <c r="EB41" i="3"/>
  <c r="AS43" i="3" a="1"/>
  <c r="AS43" i="3" s="1"/>
  <c r="BR43" i="3" a="1"/>
  <c r="BR43" i="3" s="1"/>
  <c r="DI46" i="3"/>
  <c r="I14" i="3" a="1"/>
  <c r="I14" i="3" s="1"/>
  <c r="M14" i="3"/>
  <c r="N14" i="3" s="1"/>
  <c r="V14" i="3" a="1"/>
  <c r="V14" i="3" s="1"/>
  <c r="EF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S14" i="3" s="1"/>
  <c r="BW14" i="3" a="1"/>
  <c r="BW14" i="3" s="1"/>
  <c r="BY14" i="3" s="1"/>
  <c r="CA14" i="3"/>
  <c r="CB14" i="3" s="1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DP20" i="3"/>
  <c r="DR20" i="3" s="1"/>
  <c r="CX20" i="3"/>
  <c r="CZ20" i="3" s="1"/>
  <c r="CF20" i="3"/>
  <c r="BN20" i="3"/>
  <c r="BP20" i="3" s="1"/>
  <c r="I20" i="3" a="1"/>
  <c r="I20" i="3" s="1"/>
  <c r="M20" i="3"/>
  <c r="N20" i="3" s="1"/>
  <c r="V20" i="3" a="1"/>
  <c r="V20" i="3" s="1"/>
  <c r="EF20" i="3" s="1"/>
  <c r="AA20" i="3" a="1"/>
  <c r="AA20" i="3" s="1"/>
  <c r="AC20" i="3" s="1"/>
  <c r="AE20" i="3"/>
  <c r="AN20" i="3" a="1"/>
  <c r="AN20" i="3" s="1"/>
  <c r="AO20" i="3" s="1"/>
  <c r="AZ20" i="3" a="1"/>
  <c r="AZ20" i="3" s="1"/>
  <c r="BA20" i="3" s="1"/>
  <c r="BF20" i="3" a="1"/>
  <c r="BF20" i="3" s="1"/>
  <c r="BG20" i="3" s="1"/>
  <c r="BQ20" i="3" a="1"/>
  <c r="BQ20" i="3" s="1"/>
  <c r="BS20" i="3" s="1"/>
  <c r="CA20" i="3"/>
  <c r="CG20" i="3"/>
  <c r="CL20" i="3"/>
  <c r="CN20" i="3" s="1"/>
  <c r="DB20" i="3" a="1"/>
  <c r="DB20" i="3" s="1"/>
  <c r="DC20" i="3" s="1"/>
  <c r="DH20" i="3" a="1"/>
  <c r="DH20" i="3" s="1"/>
  <c r="DI20" i="3" s="1"/>
  <c r="DS20" i="3" a="1"/>
  <c r="DS20" i="3" s="1"/>
  <c r="DU20" i="3" s="1"/>
  <c r="DZ25" i="3" a="1"/>
  <c r="DZ25" i="3" s="1"/>
  <c r="EA25" i="3" s="1"/>
  <c r="DQ25" i="3"/>
  <c r="DM25" i="3" a="1"/>
  <c r="DM25" i="3" s="1"/>
  <c r="DO25" i="3" s="1"/>
  <c r="DH25" i="3" a="1"/>
  <c r="DH25" i="3" s="1"/>
  <c r="DI25" i="3" s="1"/>
  <c r="CY25" i="3"/>
  <c r="CZ25" i="3" s="1"/>
  <c r="CU25" i="3" a="1"/>
  <c r="CU25" i="3" s="1"/>
  <c r="CW25" i="3" s="1"/>
  <c r="CP25" i="3" a="1"/>
  <c r="CP25" i="3" s="1"/>
  <c r="CQ25" i="3" s="1"/>
  <c r="CG25" i="3"/>
  <c r="CC25" i="3" a="1"/>
  <c r="CC25" i="3" s="1"/>
  <c r="CE25" i="3" s="1"/>
  <c r="BX25" i="3" a="1"/>
  <c r="BX25" i="3" s="1"/>
  <c r="BY25" i="3" s="1"/>
  <c r="BO25" i="3"/>
  <c r="BK25" i="3" a="1"/>
  <c r="BK25" i="3" s="1"/>
  <c r="BM25" i="3" s="1"/>
  <c r="BF25" i="3" a="1"/>
  <c r="BF25" i="3" s="1"/>
  <c r="BG25" i="3" s="1"/>
  <c r="AW25" i="3"/>
  <c r="AX25" i="3" s="1"/>
  <c r="AS25" i="3" a="1"/>
  <c r="AS25" i="3" s="1"/>
  <c r="AU25" i="3" s="1"/>
  <c r="AK25" i="3"/>
  <c r="AL25" i="3" s="1"/>
  <c r="AG25" i="3" a="1"/>
  <c r="AG25" i="3" s="1"/>
  <c r="AI25" i="3" s="1"/>
  <c r="AB25" i="3" a="1"/>
  <c r="AB25" i="3" s="1"/>
  <c r="AC25" i="3" s="1"/>
  <c r="S25" i="3"/>
  <c r="EC25" i="3" s="1"/>
  <c r="O25" i="3" a="1"/>
  <c r="O25" i="3" s="1"/>
  <c r="Q25" i="3" s="1"/>
  <c r="J25" i="3" a="1"/>
  <c r="J25" i="3" s="1"/>
  <c r="I25" i="3" a="1"/>
  <c r="I25" i="3" s="1"/>
  <c r="Y25" i="3"/>
  <c r="Z25" i="3" s="1"/>
  <c r="AD25" i="3"/>
  <c r="AF25" i="3" s="1"/>
  <c r="AY25" i="3" a="1"/>
  <c r="AY25" i="3" s="1"/>
  <c r="BA25" i="3" s="1"/>
  <c r="BI25" i="3"/>
  <c r="BN25" i="3"/>
  <c r="BT25" i="3"/>
  <c r="BV25" i="3" s="1"/>
  <c r="CJ25" i="3" a="1"/>
  <c r="CJ25" i="3" s="1"/>
  <c r="CK25" i="3" s="1"/>
  <c r="DA25" i="3" a="1"/>
  <c r="DA25" i="3" s="1"/>
  <c r="DC25" i="3" s="1"/>
  <c r="DK25" i="3"/>
  <c r="DL25" i="3" s="1"/>
  <c r="DP25" i="3"/>
  <c r="DR25" i="3" s="1"/>
  <c r="DV25" i="3"/>
  <c r="DX25" i="3" s="1"/>
  <c r="BV27" i="3"/>
  <c r="DZ30" i="3" a="1"/>
  <c r="DZ30" i="3" s="1"/>
  <c r="EA30" i="3" s="1"/>
  <c r="DQ30" i="3"/>
  <c r="DR30" i="3" s="1"/>
  <c r="DM30" i="3" a="1"/>
  <c r="DM30" i="3" s="1"/>
  <c r="DO30" i="3" s="1"/>
  <c r="DH30" i="3" a="1"/>
  <c r="DH30" i="3" s="1"/>
  <c r="DI30" i="3" s="1"/>
  <c r="CY30" i="3"/>
  <c r="CU30" i="3" a="1"/>
  <c r="CU30" i="3" s="1"/>
  <c r="CW30" i="3" s="1"/>
  <c r="CP30" i="3" a="1"/>
  <c r="CP30" i="3" s="1"/>
  <c r="CQ30" i="3" s="1"/>
  <c r="CG30" i="3"/>
  <c r="CH30" i="3" s="1"/>
  <c r="CC30" i="3" a="1"/>
  <c r="CC30" i="3" s="1"/>
  <c r="CE30" i="3" s="1"/>
  <c r="BX30" i="3" a="1"/>
  <c r="BX30" i="3" s="1"/>
  <c r="BY30" i="3" s="1"/>
  <c r="BO30" i="3"/>
  <c r="BP30" i="3" s="1"/>
  <c r="BK30" i="3" a="1"/>
  <c r="BK30" i="3" s="1"/>
  <c r="BM30" i="3" s="1"/>
  <c r="BF30" i="3" a="1"/>
  <c r="BF30" i="3" s="1"/>
  <c r="BG30" i="3" s="1"/>
  <c r="AW30" i="3"/>
  <c r="AS30" i="3" a="1"/>
  <c r="AS30" i="3" s="1"/>
  <c r="AK30" i="3"/>
  <c r="AG30" i="3" a="1"/>
  <c r="AG30" i="3" s="1"/>
  <c r="AI30" i="3" s="1"/>
  <c r="AB30" i="3" a="1"/>
  <c r="AB30" i="3" s="1"/>
  <c r="AC30" i="3" s="1"/>
  <c r="S30" i="3"/>
  <c r="EC30" i="3" s="1"/>
  <c r="O30" i="3" a="1"/>
  <c r="O30" i="3" s="1"/>
  <c r="Q30" i="3" s="1"/>
  <c r="J30" i="3" a="1"/>
  <c r="J30" i="3" s="1"/>
  <c r="DV30" i="3"/>
  <c r="DX30" i="3" s="1"/>
  <c r="DD30" i="3"/>
  <c r="DF30" i="3" s="1"/>
  <c r="CL30" i="3"/>
  <c r="CN30" i="3" s="1"/>
  <c r="BT30" i="3"/>
  <c r="BV30" i="3" s="1"/>
  <c r="BB30" i="3"/>
  <c r="BD30" i="3" s="1"/>
  <c r="AP30" i="3" a="1"/>
  <c r="AP30" i="3" s="1"/>
  <c r="X30" i="3"/>
  <c r="Z30" i="3" s="1"/>
  <c r="F30" i="3"/>
  <c r="AD30" i="3"/>
  <c r="AF30" i="3" s="1"/>
  <c r="AJ30" i="3"/>
  <c r="AL30" i="3" s="1"/>
  <c r="AQ30" i="3" a="1"/>
  <c r="AQ30" i="3" s="1"/>
  <c r="AV30" i="3"/>
  <c r="CR30" i="3"/>
  <c r="CT30" i="3" s="1"/>
  <c r="CX30" i="3"/>
  <c r="CZ30" i="3" s="1"/>
  <c r="J32" i="3" a="1"/>
  <c r="J32" i="3" s="1"/>
  <c r="AP32" i="3" a="1"/>
  <c r="AP32" i="3" s="1"/>
  <c r="AR32" i="3" s="1"/>
  <c r="BE32" i="3" a="1"/>
  <c r="BE32" i="3" s="1"/>
  <c r="BG32" i="3" s="1"/>
  <c r="BL32" i="3" a="1"/>
  <c r="BL32" i="3" s="1"/>
  <c r="BU32" i="3"/>
  <c r="CC32" i="3" a="1"/>
  <c r="CC32" i="3" s="1"/>
  <c r="CR32" i="3"/>
  <c r="CT32" i="3" s="1"/>
  <c r="DY32" i="3" a="1"/>
  <c r="DY32" i="3" s="1"/>
  <c r="EA32" i="3" s="1"/>
  <c r="AL33" i="3"/>
  <c r="BM33" i="3"/>
  <c r="I36" i="3" a="1"/>
  <c r="I36" i="3" s="1"/>
  <c r="U36" i="3" a="1"/>
  <c r="U36" i="3" s="1"/>
  <c r="W36" i="3" s="1"/>
  <c r="AN36" i="3" a="1"/>
  <c r="AN36" i="3" s="1"/>
  <c r="BQ36" i="3" a="1"/>
  <c r="BQ36" i="3" s="1"/>
  <c r="BS36" i="3" s="1"/>
  <c r="CA36" i="3"/>
  <c r="CJ36" i="3" a="1"/>
  <c r="CJ36" i="3" s="1"/>
  <c r="CV36" i="3" a="1"/>
  <c r="CV36" i="3" s="1"/>
  <c r="DE36" i="3"/>
  <c r="DY36" i="3" a="1"/>
  <c r="DY36" i="3" s="1"/>
  <c r="EA36" i="3" s="1"/>
  <c r="AF37" i="3"/>
  <c r="CT37" i="3"/>
  <c r="BA39" i="3"/>
  <c r="AW43" i="3"/>
  <c r="BT43" i="3"/>
  <c r="DQ43" i="3"/>
  <c r="AL44" i="3"/>
  <c r="I21" i="3" a="1"/>
  <c r="I21" i="3" s="1"/>
  <c r="M21" i="3"/>
  <c r="N21" i="3" s="1"/>
  <c r="V21" i="3" a="1"/>
  <c r="V21" i="3" s="1"/>
  <c r="W21" i="3" s="1"/>
  <c r="AA21" i="3" a="1"/>
  <c r="AA21" i="3" s="1"/>
  <c r="AC21" i="3" s="1"/>
  <c r="AE21" i="3"/>
  <c r="AF21" i="3" s="1"/>
  <c r="AN21" i="3" a="1"/>
  <c r="AN21" i="3" s="1"/>
  <c r="AO21" i="3" s="1"/>
  <c r="AZ21" i="3" a="1"/>
  <c r="AZ21" i="3" s="1"/>
  <c r="BA21" i="3" s="1"/>
  <c r="BE21" i="3" a="1"/>
  <c r="BE21" i="3" s="1"/>
  <c r="BG21" i="3" s="1"/>
  <c r="BI21" i="3"/>
  <c r="BJ21" i="3" s="1"/>
  <c r="BR21" i="3" a="1"/>
  <c r="BR21" i="3" s="1"/>
  <c r="BS21" i="3" s="1"/>
  <c r="BW21" i="3" a="1"/>
  <c r="BW21" i="3" s="1"/>
  <c r="BY21" i="3" s="1"/>
  <c r="CA21" i="3"/>
  <c r="CB21" i="3" s="1"/>
  <c r="CJ21" i="3" a="1"/>
  <c r="CJ21" i="3" s="1"/>
  <c r="CK21" i="3" s="1"/>
  <c r="CO21" i="3" a="1"/>
  <c r="CO21" i="3" s="1"/>
  <c r="CQ21" i="3" s="1"/>
  <c r="CS21" i="3"/>
  <c r="CT21" i="3" s="1"/>
  <c r="DB21" i="3" a="1"/>
  <c r="DB21" i="3" s="1"/>
  <c r="DC21" i="3" s="1"/>
  <c r="DG21" i="3" a="1"/>
  <c r="DG21" i="3" s="1"/>
  <c r="DI21" i="3" s="1"/>
  <c r="DK21" i="3"/>
  <c r="DT21" i="3" a="1"/>
  <c r="DT21" i="3" s="1"/>
  <c r="DU21" i="3" s="1"/>
  <c r="I27" i="3" a="1"/>
  <c r="I27" i="3" s="1"/>
  <c r="M27" i="3"/>
  <c r="N27" i="3" s="1"/>
  <c r="V27" i="3" a="1"/>
  <c r="V27" i="3" s="1"/>
  <c r="AA27" i="3" a="1"/>
  <c r="AA27" i="3" s="1"/>
  <c r="AC27" i="3" s="1"/>
  <c r="AE27" i="3"/>
  <c r="AF27" i="3" s="1"/>
  <c r="AN27" i="3" a="1"/>
  <c r="AN27" i="3" s="1"/>
  <c r="AO27" i="3" s="1"/>
  <c r="AZ27" i="3" a="1"/>
  <c r="AZ27" i="3" s="1"/>
  <c r="BA27" i="3" s="1"/>
  <c r="BE27" i="3" a="1"/>
  <c r="BE27" i="3" s="1"/>
  <c r="BG27" i="3" s="1"/>
  <c r="BI27" i="3"/>
  <c r="BJ27" i="3" s="1"/>
  <c r="BR27" i="3" a="1"/>
  <c r="BR27" i="3" s="1"/>
  <c r="BS27" i="3" s="1"/>
  <c r="BW27" i="3" a="1"/>
  <c r="BW27" i="3" s="1"/>
  <c r="BY27" i="3" s="1"/>
  <c r="CA27" i="3"/>
  <c r="CB27" i="3" s="1"/>
  <c r="CJ27" i="3" a="1"/>
  <c r="CJ27" i="3" s="1"/>
  <c r="CK27" i="3" s="1"/>
  <c r="CO27" i="3" a="1"/>
  <c r="CO27" i="3" s="1"/>
  <c r="CQ27" i="3" s="1"/>
  <c r="CS27" i="3"/>
  <c r="CT27" i="3" s="1"/>
  <c r="DB27" i="3" a="1"/>
  <c r="DB27" i="3" s="1"/>
  <c r="DC27" i="3" s="1"/>
  <c r="DG27" i="3" a="1"/>
  <c r="DG27" i="3" s="1"/>
  <c r="DI27" i="3" s="1"/>
  <c r="DK27" i="3"/>
  <c r="DL27" i="3" s="1"/>
  <c r="DT27" i="3" a="1"/>
  <c r="DT27" i="3" s="1"/>
  <c r="DU27" i="3" s="1"/>
  <c r="EB33" i="3"/>
  <c r="DP37" i="3"/>
  <c r="DR37" i="3" s="1"/>
  <c r="CX37" i="3"/>
  <c r="CZ37" i="3" s="1"/>
  <c r="CF37" i="3"/>
  <c r="BN37" i="3"/>
  <c r="AV37" i="3"/>
  <c r="AX37" i="3" s="1"/>
  <c r="AJ37" i="3"/>
  <c r="AL37" i="3" s="1"/>
  <c r="R37" i="3"/>
  <c r="DZ37" i="3" a="1"/>
  <c r="DZ37" i="3" s="1"/>
  <c r="DQ37" i="3"/>
  <c r="DM37" i="3" a="1"/>
  <c r="DM37" i="3" s="1"/>
  <c r="DO37" i="3" s="1"/>
  <c r="DH37" i="3" a="1"/>
  <c r="DH37" i="3" s="1"/>
  <c r="DI37" i="3" s="1"/>
  <c r="CY37" i="3"/>
  <c r="CU37" i="3" a="1"/>
  <c r="CU37" i="3" s="1"/>
  <c r="CW37" i="3" s="1"/>
  <c r="CP37" i="3" a="1"/>
  <c r="CP37" i="3" s="1"/>
  <c r="CQ37" i="3" s="1"/>
  <c r="CG37" i="3"/>
  <c r="CC37" i="3" a="1"/>
  <c r="CC37" i="3" s="1"/>
  <c r="BX37" i="3" a="1"/>
  <c r="BX37" i="3" s="1"/>
  <c r="BO37" i="3"/>
  <c r="BK37" i="3" a="1"/>
  <c r="BK37" i="3" s="1"/>
  <c r="BM37" i="3" s="1"/>
  <c r="BF37" i="3" a="1"/>
  <c r="BF37" i="3" s="1"/>
  <c r="BG37" i="3" s="1"/>
  <c r="AW37" i="3"/>
  <c r="AS37" i="3" a="1"/>
  <c r="AS37" i="3" s="1"/>
  <c r="AU37" i="3" s="1"/>
  <c r="AK37" i="3"/>
  <c r="AG37" i="3" a="1"/>
  <c r="AG37" i="3" s="1"/>
  <c r="AI37" i="3" s="1"/>
  <c r="AB37" i="3" a="1"/>
  <c r="AB37" i="3" s="1"/>
  <c r="S37" i="3"/>
  <c r="EC37" i="3" s="1"/>
  <c r="O37" i="3" a="1"/>
  <c r="O37" i="3" s="1"/>
  <c r="J37" i="3" a="1"/>
  <c r="J37" i="3" s="1"/>
  <c r="I37" i="3" a="1"/>
  <c r="I37" i="3" s="1"/>
  <c r="P37" i="3" a="1"/>
  <c r="P37" i="3" s="1"/>
  <c r="V37" i="3" a="1"/>
  <c r="V37" i="3" s="1"/>
  <c r="W37" i="3" s="1"/>
  <c r="BC37" i="3"/>
  <c r="BD37" i="3" s="1"/>
  <c r="BI37" i="3"/>
  <c r="BQ37" i="3" a="1"/>
  <c r="BQ37" i="3" s="1"/>
  <c r="BS37" i="3" s="1"/>
  <c r="BW37" i="3" a="1"/>
  <c r="BW37" i="3" s="1"/>
  <c r="BY37" i="3" s="1"/>
  <c r="CD37" i="3" a="1"/>
  <c r="CD37" i="3" s="1"/>
  <c r="CJ37" i="3" a="1"/>
  <c r="CJ37" i="3" s="1"/>
  <c r="DE37" i="3"/>
  <c r="DF37" i="3" s="1"/>
  <c r="DK37" i="3"/>
  <c r="DS37" i="3" a="1"/>
  <c r="DS37" i="3" s="1"/>
  <c r="DU37" i="3" s="1"/>
  <c r="DY37" i="3" a="1"/>
  <c r="DY37" i="3" s="1"/>
  <c r="CB38" i="3"/>
  <c r="BV39" i="3"/>
  <c r="X40" i="3"/>
  <c r="Z40" i="3" s="1"/>
  <c r="AQ40" i="3" a="1"/>
  <c r="AQ40" i="3" s="1"/>
  <c r="BB40" i="3"/>
  <c r="BD40" i="3" s="1"/>
  <c r="DU41" i="3"/>
  <c r="AZ42" i="3" a="1"/>
  <c r="AZ42" i="3" s="1"/>
  <c r="BK42" i="3" a="1"/>
  <c r="BK42" i="3" s="1"/>
  <c r="CJ42" i="3" a="1"/>
  <c r="CJ42" i="3" s="1"/>
  <c r="DO44" i="3"/>
  <c r="BV46" i="3"/>
  <c r="BG47" i="3"/>
  <c r="CN40" i="3"/>
  <c r="CT41" i="3"/>
  <c r="DR42" i="3"/>
  <c r="CW44" i="3"/>
  <c r="BJ37" i="3"/>
  <c r="DL37" i="3"/>
  <c r="CN39" i="3"/>
  <c r="DP40" i="3"/>
  <c r="CX40" i="3"/>
  <c r="CZ40" i="3" s="1"/>
  <c r="CF40" i="3"/>
  <c r="BN40" i="3"/>
  <c r="BP40" i="3" s="1"/>
  <c r="AV40" i="3"/>
  <c r="AX40" i="3" s="1"/>
  <c r="AJ40" i="3"/>
  <c r="R40" i="3"/>
  <c r="DZ40" i="3" a="1"/>
  <c r="DZ40" i="3" s="1"/>
  <c r="DQ40" i="3"/>
  <c r="DM40" i="3" a="1"/>
  <c r="DM40" i="3" s="1"/>
  <c r="DO40" i="3" s="1"/>
  <c r="DH40" i="3" a="1"/>
  <c r="DH40" i="3" s="1"/>
  <c r="CY40" i="3"/>
  <c r="CU40" i="3" a="1"/>
  <c r="CU40" i="3" s="1"/>
  <c r="CP40" i="3" a="1"/>
  <c r="CP40" i="3" s="1"/>
  <c r="CG40" i="3"/>
  <c r="CC40" i="3" a="1"/>
  <c r="CC40" i="3" s="1"/>
  <c r="CE40" i="3" s="1"/>
  <c r="BX40" i="3" a="1"/>
  <c r="BX40" i="3" s="1"/>
  <c r="BY40" i="3" s="1"/>
  <c r="BO40" i="3"/>
  <c r="BK40" i="3" a="1"/>
  <c r="BK40" i="3" s="1"/>
  <c r="BM40" i="3" s="1"/>
  <c r="BF40" i="3" a="1"/>
  <c r="BF40" i="3" s="1"/>
  <c r="AW40" i="3"/>
  <c r="AS40" i="3" a="1"/>
  <c r="AS40" i="3" s="1"/>
  <c r="AU40" i="3" s="1"/>
  <c r="AK40" i="3"/>
  <c r="AG40" i="3" a="1"/>
  <c r="AG40" i="3" s="1"/>
  <c r="AB40" i="3" a="1"/>
  <c r="AB40" i="3" s="1"/>
  <c r="S40" i="3"/>
  <c r="O40" i="3" a="1"/>
  <c r="O40" i="3" s="1"/>
  <c r="Q40" i="3" s="1"/>
  <c r="J40" i="3" a="1"/>
  <c r="J40" i="3" s="1"/>
  <c r="K40" i="3" s="1"/>
  <c r="DV40" i="3"/>
  <c r="DX40" i="3" s="1"/>
  <c r="BZ40" i="3"/>
  <c r="BT40" i="3"/>
  <c r="L40" i="3"/>
  <c r="F40" i="3"/>
  <c r="DW40" i="3"/>
  <c r="DB40" i="3" a="1"/>
  <c r="DB40" i="3" s="1"/>
  <c r="DC40" i="3" s="1"/>
  <c r="CV40" i="3" a="1"/>
  <c r="CV40" i="3" s="1"/>
  <c r="CO40" i="3" a="1"/>
  <c r="CO40" i="3" s="1"/>
  <c r="CI40" i="3" a="1"/>
  <c r="CI40" i="3" s="1"/>
  <c r="CK40" i="3" s="1"/>
  <c r="CA40" i="3"/>
  <c r="BU40" i="3"/>
  <c r="AZ40" i="3" a="1"/>
  <c r="AZ40" i="3" s="1"/>
  <c r="AT40" i="3" a="1"/>
  <c r="AT40" i="3" s="1"/>
  <c r="AN40" i="3" a="1"/>
  <c r="AN40" i="3" s="1"/>
  <c r="AH40" i="3" a="1"/>
  <c r="AH40" i="3" s="1"/>
  <c r="AA40" i="3" a="1"/>
  <c r="AA40" i="3" s="1"/>
  <c r="AC40" i="3" s="1"/>
  <c r="U40" i="3" a="1"/>
  <c r="U40" i="3" s="1"/>
  <c r="W40" i="3" s="1"/>
  <c r="M40" i="3"/>
  <c r="G40" i="3"/>
  <c r="V40" i="3" a="1"/>
  <c r="V40" i="3" s="1"/>
  <c r="AE40" i="3"/>
  <c r="AF40" i="3" s="1"/>
  <c r="AY40" i="3" a="1"/>
  <c r="AY40" i="3" s="1"/>
  <c r="BI40" i="3"/>
  <c r="BJ40" i="3" s="1"/>
  <c r="BR40" i="3" a="1"/>
  <c r="BR40" i="3" s="1"/>
  <c r="BS40" i="3" s="1"/>
  <c r="CD40" i="3" a="1"/>
  <c r="CD40" i="3" s="1"/>
  <c r="CM40" i="3"/>
  <c r="DG40" i="3" a="1"/>
  <c r="DG40" i="3" s="1"/>
  <c r="DS40" i="3" a="1"/>
  <c r="DS40" i="3" s="1"/>
  <c r="DU40" i="3" s="1"/>
  <c r="DJ42" i="3"/>
  <c r="DL42" i="3" s="1"/>
  <c r="CR42" i="3"/>
  <c r="CT42" i="3" s="1"/>
  <c r="BZ42" i="3"/>
  <c r="CB42" i="3" s="1"/>
  <c r="BH42" i="3"/>
  <c r="BJ42" i="3" s="1"/>
  <c r="AQ42" i="3" a="1"/>
  <c r="AQ42" i="3" s="1"/>
  <c r="AD42" i="3"/>
  <c r="AF42" i="3" s="1"/>
  <c r="L42" i="3"/>
  <c r="DT42" i="3" a="1"/>
  <c r="DT42" i="3" s="1"/>
  <c r="DN42" i="3" a="1"/>
  <c r="DN42" i="3" s="1"/>
  <c r="CX42" i="3"/>
  <c r="CS42" i="3"/>
  <c r="CM42" i="3"/>
  <c r="CN42" i="3" s="1"/>
  <c r="CC42" i="3" a="1"/>
  <c r="CC42" i="3" s="1"/>
  <c r="CE42" i="3" s="1"/>
  <c r="BR42" i="3" a="1"/>
  <c r="BR42" i="3" s="1"/>
  <c r="BS42" i="3" s="1"/>
  <c r="BL42" i="3" a="1"/>
  <c r="BL42" i="3" s="1"/>
  <c r="AV42" i="3"/>
  <c r="AM42" i="3" a="1"/>
  <c r="AM42" i="3" s="1"/>
  <c r="AO42" i="3" s="1"/>
  <c r="AB42" i="3" a="1"/>
  <c r="AB42" i="3" s="1"/>
  <c r="F42" i="3"/>
  <c r="DZ42" i="3" a="1"/>
  <c r="DZ42" i="3" s="1"/>
  <c r="DD42" i="3"/>
  <c r="DF42" i="3" s="1"/>
  <c r="CY42" i="3"/>
  <c r="CO42" i="3" a="1"/>
  <c r="CO42" i="3" s="1"/>
  <c r="CQ42" i="3" s="1"/>
  <c r="CI42" i="3" a="1"/>
  <c r="CI42" i="3" s="1"/>
  <c r="CK42" i="3" s="1"/>
  <c r="BX42" i="3" a="1"/>
  <c r="BX42" i="3" s="1"/>
  <c r="BB42" i="3"/>
  <c r="BD42" i="3" s="1"/>
  <c r="AW42" i="3"/>
  <c r="AN42" i="3" a="1"/>
  <c r="AN42" i="3" s="1"/>
  <c r="AH42" i="3" a="1"/>
  <c r="AH42" i="3" s="1"/>
  <c r="R42" i="3"/>
  <c r="M42" i="3"/>
  <c r="G42" i="3"/>
  <c r="EC42" i="3" s="1"/>
  <c r="DY42" i="3" a="1"/>
  <c r="DY42" i="3" s="1"/>
  <c r="DQ42" i="3"/>
  <c r="DH42" i="3" a="1"/>
  <c r="DH42" i="3" s="1"/>
  <c r="DA42" i="3" a="1"/>
  <c r="DA42" i="3" s="1"/>
  <c r="BT42" i="3"/>
  <c r="BV42" i="3" s="1"/>
  <c r="BE42" i="3" a="1"/>
  <c r="BE42" i="3" s="1"/>
  <c r="BG42" i="3" s="1"/>
  <c r="AG42" i="3" a="1"/>
  <c r="AG42" i="3" s="1"/>
  <c r="Y42" i="3"/>
  <c r="Z42" i="3" s="1"/>
  <c r="P42" i="3" a="1"/>
  <c r="P42" i="3" s="1"/>
  <c r="DK42" i="3"/>
  <c r="DB42" i="3" a="1"/>
  <c r="DB42" i="3" s="1"/>
  <c r="CU42" i="3" a="1"/>
  <c r="CU42" i="3" s="1"/>
  <c r="CW42" i="3" s="1"/>
  <c r="CD42" i="3" a="1"/>
  <c r="CD42" i="3" s="1"/>
  <c r="BU42" i="3"/>
  <c r="BN42" i="3"/>
  <c r="BP42" i="3" s="1"/>
  <c r="AP42" i="3" a="1"/>
  <c r="AP42" i="3" s="1"/>
  <c r="AR42" i="3" s="1"/>
  <c r="AA42" i="3" a="1"/>
  <c r="AA42" i="3" s="1"/>
  <c r="AC42" i="3" s="1"/>
  <c r="S42" i="3"/>
  <c r="J42" i="3" a="1"/>
  <c r="J42" i="3" s="1"/>
  <c r="O42" i="3" a="1"/>
  <c r="O42" i="3" s="1"/>
  <c r="AY42" i="3" a="1"/>
  <c r="AY42" i="3" s="1"/>
  <c r="BA42" i="3" s="1"/>
  <c r="BW42" i="3" a="1"/>
  <c r="BW42" i="3" s="1"/>
  <c r="CG42" i="3"/>
  <c r="CH42" i="3" s="1"/>
  <c r="DG42" i="3" a="1"/>
  <c r="DG42" i="3" s="1"/>
  <c r="DI42" i="3" s="1"/>
  <c r="DS42" i="3" a="1"/>
  <c r="DS42" i="3" s="1"/>
  <c r="CW47" i="3"/>
  <c r="I33" i="3" a="1"/>
  <c r="I33" i="3" s="1"/>
  <c r="M33" i="3"/>
  <c r="N33" i="3" s="1"/>
  <c r="V33" i="3" a="1"/>
  <c r="V33" i="3" s="1"/>
  <c r="W33" i="3" s="1"/>
  <c r="AA33" i="3" a="1"/>
  <c r="AA33" i="3" s="1"/>
  <c r="AC33" i="3" s="1"/>
  <c r="AE33" i="3"/>
  <c r="AF33" i="3" s="1"/>
  <c r="AN33" i="3" a="1"/>
  <c r="AN33" i="3" s="1"/>
  <c r="AO33" i="3" s="1"/>
  <c r="AZ33" i="3" a="1"/>
  <c r="AZ33" i="3" s="1"/>
  <c r="BA33" i="3" s="1"/>
  <c r="BE33" i="3" a="1"/>
  <c r="BE33" i="3" s="1"/>
  <c r="BG33" i="3" s="1"/>
  <c r="BI33" i="3"/>
  <c r="BJ33" i="3" s="1"/>
  <c r="BR33" i="3" a="1"/>
  <c r="BR33" i="3" s="1"/>
  <c r="BS33" i="3" s="1"/>
  <c r="BW33" i="3" a="1"/>
  <c r="BW33" i="3" s="1"/>
  <c r="BY33" i="3" s="1"/>
  <c r="CA33" i="3"/>
  <c r="CB33" i="3" s="1"/>
  <c r="CJ33" i="3" a="1"/>
  <c r="CJ33" i="3" s="1"/>
  <c r="CK33" i="3" s="1"/>
  <c r="CO33" i="3" a="1"/>
  <c r="CO33" i="3" s="1"/>
  <c r="CQ33" i="3" s="1"/>
  <c r="CS33" i="3"/>
  <c r="CT33" i="3" s="1"/>
  <c r="DB33" i="3" a="1"/>
  <c r="DB33" i="3" s="1"/>
  <c r="DC33" i="3" s="1"/>
  <c r="DG33" i="3" a="1"/>
  <c r="DG33" i="3" s="1"/>
  <c r="DI33" i="3" s="1"/>
  <c r="DK33" i="3"/>
  <c r="DL33" i="3" s="1"/>
  <c r="DT33" i="3" a="1"/>
  <c r="DT33" i="3" s="1"/>
  <c r="DU33" i="3" s="1"/>
  <c r="R38" i="3"/>
  <c r="T38" i="3" s="1"/>
  <c r="AJ38" i="3"/>
  <c r="AL38" i="3" s="1"/>
  <c r="AV38" i="3"/>
  <c r="AX38" i="3" s="1"/>
  <c r="BN38" i="3"/>
  <c r="BP38" i="3" s="1"/>
  <c r="CF38" i="3"/>
  <c r="CH38" i="3" s="1"/>
  <c r="CX38" i="3"/>
  <c r="CZ38" i="3" s="1"/>
  <c r="DP38" i="3"/>
  <c r="DR38" i="3" s="1"/>
  <c r="DZ39" i="3" a="1"/>
  <c r="DZ39" i="3" s="1"/>
  <c r="DQ39" i="3"/>
  <c r="DR39" i="3" s="1"/>
  <c r="DM39" i="3" a="1"/>
  <c r="DM39" i="3" s="1"/>
  <c r="DH39" i="3" a="1"/>
  <c r="DH39" i="3" s="1"/>
  <c r="DI39" i="3" s="1"/>
  <c r="CY39" i="3"/>
  <c r="CZ39" i="3" s="1"/>
  <c r="DV39" i="3"/>
  <c r="DX39" i="3" s="1"/>
  <c r="I39" i="3" a="1"/>
  <c r="I39" i="3" s="1"/>
  <c r="M39" i="3"/>
  <c r="N39" i="3" s="1"/>
  <c r="V39" i="3" a="1"/>
  <c r="V39" i="3" s="1"/>
  <c r="W39" i="3" s="1"/>
  <c r="AA39" i="3" a="1"/>
  <c r="AA39" i="3" s="1"/>
  <c r="AC39" i="3" s="1"/>
  <c r="AE39" i="3"/>
  <c r="AF39" i="3" s="1"/>
  <c r="AN39" i="3" a="1"/>
  <c r="AN39" i="3" s="1"/>
  <c r="AZ39" i="3" a="1"/>
  <c r="AZ39" i="3" s="1"/>
  <c r="BE39" i="3" a="1"/>
  <c r="BE39" i="3" s="1"/>
  <c r="BG39" i="3" s="1"/>
  <c r="BI39" i="3"/>
  <c r="BJ39" i="3" s="1"/>
  <c r="BR39" i="3" a="1"/>
  <c r="BR39" i="3" s="1"/>
  <c r="BS39" i="3" s="1"/>
  <c r="BW39" i="3" a="1"/>
  <c r="BW39" i="3" s="1"/>
  <c r="BY39" i="3" s="1"/>
  <c r="CA39" i="3"/>
  <c r="CB39" i="3" s="1"/>
  <c r="CJ39" i="3" a="1"/>
  <c r="CJ39" i="3" s="1"/>
  <c r="CK39" i="3" s="1"/>
  <c r="CO39" i="3" a="1"/>
  <c r="CO39" i="3" s="1"/>
  <c r="CQ39" i="3" s="1"/>
  <c r="CS39" i="3"/>
  <c r="DN39" i="3" a="1"/>
  <c r="DN39" i="3" s="1"/>
  <c r="AI44" i="3"/>
  <c r="BP45" i="3"/>
  <c r="CN45" i="3"/>
  <c r="Z46" i="3"/>
  <c r="AL46" i="3"/>
  <c r="I38" i="3" a="1"/>
  <c r="I38" i="3" s="1"/>
  <c r="M38" i="3"/>
  <c r="N38" i="3" s="1"/>
  <c r="V38" i="3" a="1"/>
  <c r="V38" i="3" s="1"/>
  <c r="EF38" i="3" s="1"/>
  <c r="AA38" i="3" a="1"/>
  <c r="AA38" i="3" s="1"/>
  <c r="AC38" i="3" s="1"/>
  <c r="AE38" i="3"/>
  <c r="AN38" i="3" a="1"/>
  <c r="AN38" i="3" s="1"/>
  <c r="AO38" i="3" s="1"/>
  <c r="AZ38" i="3" a="1"/>
  <c r="AZ38" i="3" s="1"/>
  <c r="BA38" i="3" s="1"/>
  <c r="BE38" i="3" a="1"/>
  <c r="BE38" i="3" s="1"/>
  <c r="BG38" i="3" s="1"/>
  <c r="BI38" i="3"/>
  <c r="BJ38" i="3" s="1"/>
  <c r="BR38" i="3" a="1"/>
  <c r="BR38" i="3" s="1"/>
  <c r="BS38" i="3" s="1"/>
  <c r="BW38" i="3" a="1"/>
  <c r="BW38" i="3" s="1"/>
  <c r="BY38" i="3" s="1"/>
  <c r="CA38" i="3"/>
  <c r="CJ38" i="3" a="1"/>
  <c r="CJ38" i="3" s="1"/>
  <c r="CK38" i="3" s="1"/>
  <c r="CO38" i="3" a="1"/>
  <c r="CO38" i="3" s="1"/>
  <c r="CQ38" i="3" s="1"/>
  <c r="CS38" i="3"/>
  <c r="CT38" i="3" s="1"/>
  <c r="DB38" i="3" a="1"/>
  <c r="DB38" i="3" s="1"/>
  <c r="DG38" i="3" a="1"/>
  <c r="DG38" i="3" s="1"/>
  <c r="DI38" i="3" s="1"/>
  <c r="DK38" i="3"/>
  <c r="DT38" i="3" a="1"/>
  <c r="DT38" i="3" s="1"/>
  <c r="DU38" i="3" s="1"/>
  <c r="CR39" i="3"/>
  <c r="CT39" i="3" s="1"/>
  <c r="DB39" i="3" a="1"/>
  <c r="DB39" i="3" s="1"/>
  <c r="DC39" i="3" s="1"/>
  <c r="DS39" i="3" a="1"/>
  <c r="DS39" i="3" s="1"/>
  <c r="DU39" i="3" s="1"/>
  <c r="DY39" i="3" a="1"/>
  <c r="DY39" i="3" s="1"/>
  <c r="EA39" i="3" s="1"/>
  <c r="AF44" i="3"/>
  <c r="H45" i="3"/>
  <c r="W46" i="3"/>
  <c r="DO46" i="3"/>
  <c r="O41" i="3" a="1"/>
  <c r="O41" i="3" s="1"/>
  <c r="Q41" i="3" s="1"/>
  <c r="Y41" i="3"/>
  <c r="AD41" i="3"/>
  <c r="AF41" i="3" s="1"/>
  <c r="AJ41" i="3"/>
  <c r="AL41" i="3" s="1"/>
  <c r="AY41" i="3" a="1"/>
  <c r="AY41" i="3" s="1"/>
  <c r="BO41" i="3"/>
  <c r="BT41" i="3"/>
  <c r="BV41" i="3" s="1"/>
  <c r="CP41" i="3" a="1"/>
  <c r="CP41" i="3" s="1"/>
  <c r="DA41" i="3" a="1"/>
  <c r="DA41" i="3" s="1"/>
  <c r="DC41" i="3" s="1"/>
  <c r="DQ41" i="3"/>
  <c r="J44" i="3" a="1"/>
  <c r="J44" i="3" s="1"/>
  <c r="P44" i="3" a="1"/>
  <c r="P44" i="3" s="1"/>
  <c r="AA44" i="3" a="1"/>
  <c r="AA44" i="3" s="1"/>
  <c r="AC44" i="3" s="1"/>
  <c r="BK44" i="3" a="1"/>
  <c r="BK44" i="3" s="1"/>
  <c r="BQ44" i="3" a="1"/>
  <c r="BQ44" i="3" s="1"/>
  <c r="BX44" i="3" a="1"/>
  <c r="BX44" i="3" s="1"/>
  <c r="CD44" i="3" a="1"/>
  <c r="CD44" i="3" s="1"/>
  <c r="DD44" i="3"/>
  <c r="DF44" i="3" s="1"/>
  <c r="DJ44" i="3"/>
  <c r="DQ44" i="3"/>
  <c r="R45" i="3"/>
  <c r="T45" i="3" s="1"/>
  <c r="Y45" i="3"/>
  <c r="EC45" i="3" s="1"/>
  <c r="AW45" i="3"/>
  <c r="BL45" i="3" a="1"/>
  <c r="BL45" i="3" s="1"/>
  <c r="BM45" i="3" s="1"/>
  <c r="BT45" i="3"/>
  <c r="BV45" i="3" s="1"/>
  <c r="CC45" i="3" a="1"/>
  <c r="CC45" i="3" s="1"/>
  <c r="CE45" i="3" s="1"/>
  <c r="BA46" i="3"/>
  <c r="DY41" i="3" a="1"/>
  <c r="DY41" i="3" s="1"/>
  <c r="EA41" i="3" s="1"/>
  <c r="DT41" i="3" a="1"/>
  <c r="DT41" i="3" s="1"/>
  <c r="DK41" i="3"/>
  <c r="DG41" i="3" a="1"/>
  <c r="DG41" i="3" s="1"/>
  <c r="DI41" i="3" s="1"/>
  <c r="DB41" i="3" a="1"/>
  <c r="DB41" i="3" s="1"/>
  <c r="CS41" i="3"/>
  <c r="CO41" i="3" a="1"/>
  <c r="CO41" i="3" s="1"/>
  <c r="CQ41" i="3" s="1"/>
  <c r="CJ41" i="3" a="1"/>
  <c r="CJ41" i="3" s="1"/>
  <c r="CK41" i="3" s="1"/>
  <c r="CA41" i="3"/>
  <c r="CB41" i="3" s="1"/>
  <c r="BW41" i="3" a="1"/>
  <c r="BW41" i="3" s="1"/>
  <c r="BY41" i="3" s="1"/>
  <c r="BR41" i="3" a="1"/>
  <c r="BR41" i="3" s="1"/>
  <c r="BI41" i="3"/>
  <c r="BE41" i="3" a="1"/>
  <c r="BE41" i="3" s="1"/>
  <c r="BG41" i="3" s="1"/>
  <c r="AZ41" i="3" a="1"/>
  <c r="AZ41" i="3" s="1"/>
  <c r="AN41" i="3" a="1"/>
  <c r="AN41" i="3" s="1"/>
  <c r="AO41" i="3" s="1"/>
  <c r="AE41" i="3"/>
  <c r="AA41" i="3" a="1"/>
  <c r="AA41" i="3" s="1"/>
  <c r="AC41" i="3" s="1"/>
  <c r="V41" i="3" a="1"/>
  <c r="V41" i="3" s="1"/>
  <c r="W41" i="3" s="1"/>
  <c r="M41" i="3"/>
  <c r="N41" i="3" s="1"/>
  <c r="I41" i="3" a="1"/>
  <c r="I41" i="3" s="1"/>
  <c r="S41" i="3"/>
  <c r="T41" i="3" s="1"/>
  <c r="X41" i="3"/>
  <c r="Z41" i="3" s="1"/>
  <c r="AS41" i="3" a="1"/>
  <c r="AS41" i="3" s="1"/>
  <c r="BC41" i="3"/>
  <c r="BH41" i="3"/>
  <c r="BJ41" i="3" s="1"/>
  <c r="BN41" i="3"/>
  <c r="CD41" i="3" a="1"/>
  <c r="CD41" i="3" s="1"/>
  <c r="CE41" i="3" s="1"/>
  <c r="CU41" i="3" a="1"/>
  <c r="CU41" i="3" s="1"/>
  <c r="CW41" i="3" s="1"/>
  <c r="DE41" i="3"/>
  <c r="DF41" i="3" s="1"/>
  <c r="DJ41" i="3"/>
  <c r="DP41" i="3"/>
  <c r="DR41" i="3" s="1"/>
  <c r="DY44" i="3" a="1"/>
  <c r="DY44" i="3" s="1"/>
  <c r="EA44" i="3" s="1"/>
  <c r="DT44" i="3" a="1"/>
  <c r="DT44" i="3" s="1"/>
  <c r="DU44" i="3" s="1"/>
  <c r="DK44" i="3"/>
  <c r="DG44" i="3" a="1"/>
  <c r="DG44" i="3" s="1"/>
  <c r="DI44" i="3" s="1"/>
  <c r="DB44" i="3" a="1"/>
  <c r="DB44" i="3" s="1"/>
  <c r="DC44" i="3" s="1"/>
  <c r="CS44" i="3"/>
  <c r="CO44" i="3" a="1"/>
  <c r="CO44" i="3" s="1"/>
  <c r="CQ44" i="3" s="1"/>
  <c r="CJ44" i="3" a="1"/>
  <c r="CJ44" i="3" s="1"/>
  <c r="CK44" i="3" s="1"/>
  <c r="CA44" i="3"/>
  <c r="CB44" i="3" s="1"/>
  <c r="BW44" i="3" a="1"/>
  <c r="BW44" i="3" s="1"/>
  <c r="BR44" i="3" a="1"/>
  <c r="BR44" i="3" s="1"/>
  <c r="BI44" i="3"/>
  <c r="BJ44" i="3" s="1"/>
  <c r="BE44" i="3" a="1"/>
  <c r="BE44" i="3" s="1"/>
  <c r="BG44" i="3" s="1"/>
  <c r="AZ44" i="3" a="1"/>
  <c r="AZ44" i="3" s="1"/>
  <c r="BA44" i="3" s="1"/>
  <c r="AN44" i="3" a="1"/>
  <c r="AN44" i="3" s="1"/>
  <c r="DN44" i="3" a="1"/>
  <c r="DN44" i="3" s="1"/>
  <c r="CX44" i="3"/>
  <c r="CZ44" i="3" s="1"/>
  <c r="CR44" i="3"/>
  <c r="CT44" i="3" s="1"/>
  <c r="CM44" i="3"/>
  <c r="CN44" i="3" s="1"/>
  <c r="CC44" i="3" a="1"/>
  <c r="CC44" i="3" s="1"/>
  <c r="CE44" i="3" s="1"/>
  <c r="BL44" i="3" a="1"/>
  <c r="BL44" i="3" s="1"/>
  <c r="AV44" i="3"/>
  <c r="AQ44" i="3" a="1"/>
  <c r="AQ44" i="3" s="1"/>
  <c r="AM44" i="3" a="1"/>
  <c r="AM44" i="3" s="1"/>
  <c r="AO44" i="3" s="1"/>
  <c r="X44" i="3"/>
  <c r="Z44" i="3" s="1"/>
  <c r="F44" i="3"/>
  <c r="O44" i="3" a="1"/>
  <c r="O44" i="3" s="1"/>
  <c r="U44" i="3" a="1"/>
  <c r="U44" i="3" s="1"/>
  <c r="W44" i="3" s="1"/>
  <c r="AE44" i="3"/>
  <c r="EC44" i="3" s="1"/>
  <c r="AK44" i="3"/>
  <c r="AW44" i="3"/>
  <c r="BC44" i="3"/>
  <c r="BD44" i="3" s="1"/>
  <c r="CP44" i="3" a="1"/>
  <c r="CP44" i="3" s="1"/>
  <c r="CV44" i="3" a="1"/>
  <c r="CV44" i="3" s="1"/>
  <c r="DP44" i="3"/>
  <c r="DR44" i="3" s="1"/>
  <c r="DV44" i="3"/>
  <c r="DX44" i="3" s="1"/>
  <c r="DY45" i="3" a="1"/>
  <c r="DY45" i="3" s="1"/>
  <c r="EA45" i="3" s="1"/>
  <c r="DT45" i="3" a="1"/>
  <c r="DT45" i="3" s="1"/>
  <c r="DZ45" i="3" a="1"/>
  <c r="DZ45" i="3" s="1"/>
  <c r="DJ45" i="3"/>
  <c r="CR45" i="3"/>
  <c r="CT45" i="3" s="1"/>
  <c r="BZ45" i="3"/>
  <c r="CB45" i="3" s="1"/>
  <c r="BH45" i="3"/>
  <c r="BJ45" i="3" s="1"/>
  <c r="AQ45" i="3" a="1"/>
  <c r="AQ45" i="3" s="1"/>
  <c r="AD45" i="3"/>
  <c r="L45" i="3"/>
  <c r="N45" i="3" s="1"/>
  <c r="DP45" i="3"/>
  <c r="DK45" i="3"/>
  <c r="DG45" i="3" a="1"/>
  <c r="DG45" i="3" s="1"/>
  <c r="DI45" i="3" s="1"/>
  <c r="DB45" i="3" a="1"/>
  <c r="DB45" i="3" s="1"/>
  <c r="DC45" i="3" s="1"/>
  <c r="CS45" i="3"/>
  <c r="CO45" i="3" a="1"/>
  <c r="CO45" i="3" s="1"/>
  <c r="CQ45" i="3" s="1"/>
  <c r="CJ45" i="3" a="1"/>
  <c r="CJ45" i="3" s="1"/>
  <c r="CA45" i="3"/>
  <c r="BW45" i="3" a="1"/>
  <c r="BW45" i="3" s="1"/>
  <c r="BY45" i="3" s="1"/>
  <c r="BR45" i="3" a="1"/>
  <c r="BR45" i="3" s="1"/>
  <c r="BS45" i="3" s="1"/>
  <c r="BI45" i="3"/>
  <c r="BE45" i="3" a="1"/>
  <c r="BE45" i="3" s="1"/>
  <c r="BG45" i="3" s="1"/>
  <c r="AZ45" i="3" a="1"/>
  <c r="AZ45" i="3" s="1"/>
  <c r="BA45" i="3" s="1"/>
  <c r="AN45" i="3" a="1"/>
  <c r="AN45" i="3" s="1"/>
  <c r="AO45" i="3" s="1"/>
  <c r="AE45" i="3"/>
  <c r="AA45" i="3" a="1"/>
  <c r="AA45" i="3" s="1"/>
  <c r="AC45" i="3" s="1"/>
  <c r="V45" i="3" a="1"/>
  <c r="V45" i="3" s="1"/>
  <c r="DS45" i="3" a="1"/>
  <c r="DS45" i="3" s="1"/>
  <c r="DD45" i="3"/>
  <c r="DF45" i="3" s="1"/>
  <c r="CX45" i="3"/>
  <c r="CZ45" i="3" s="1"/>
  <c r="BB45" i="3"/>
  <c r="BD45" i="3" s="1"/>
  <c r="AV45" i="3"/>
  <c r="AX45" i="3" s="1"/>
  <c r="AP45" i="3" a="1"/>
  <c r="AP45" i="3" s="1"/>
  <c r="AJ45" i="3"/>
  <c r="AL45" i="3" s="1"/>
  <c r="J45" i="3" a="1"/>
  <c r="J45" i="3" s="1"/>
  <c r="P45" i="3" a="1"/>
  <c r="P45" i="3" s="1"/>
  <c r="Q45" i="3" s="1"/>
  <c r="X45" i="3"/>
  <c r="Z45" i="3" s="1"/>
  <c r="AG45" i="3" a="1"/>
  <c r="AG45" i="3" s="1"/>
  <c r="AI45" i="3" s="1"/>
  <c r="AT45" i="3" a="1"/>
  <c r="AT45" i="3" s="1"/>
  <c r="BC45" i="3"/>
  <c r="CI45" i="3" a="1"/>
  <c r="CI45" i="3" s="1"/>
  <c r="CK45" i="3" s="1"/>
  <c r="DH45" i="3" a="1"/>
  <c r="DH45" i="3" s="1"/>
  <c r="DQ45" i="3"/>
  <c r="DF46" i="3"/>
  <c r="DJ46" i="3"/>
  <c r="DL46" i="3" s="1"/>
  <c r="CR46" i="3"/>
  <c r="CT46" i="3" s="1"/>
  <c r="BZ46" i="3"/>
  <c r="CB46" i="3" s="1"/>
  <c r="BH46" i="3"/>
  <c r="BJ46" i="3" s="1"/>
  <c r="AQ46" i="3" a="1"/>
  <c r="AQ46" i="3" s="1"/>
  <c r="AD46" i="3"/>
  <c r="AF46" i="3" s="1"/>
  <c r="L46" i="3"/>
  <c r="N46" i="3" s="1"/>
  <c r="DY46" i="3" a="1"/>
  <c r="DY46" i="3" s="1"/>
  <c r="DT46" i="3" a="1"/>
  <c r="DT46" i="3" s="1"/>
  <c r="DZ46" i="3" a="1"/>
  <c r="DZ46" i="3" s="1"/>
  <c r="DS46" i="3" a="1"/>
  <c r="DS46" i="3" s="1"/>
  <c r="DH46" i="3" a="1"/>
  <c r="DH46" i="3" s="1"/>
  <c r="CL46" i="3"/>
  <c r="CN46" i="3" s="1"/>
  <c r="CG46" i="3"/>
  <c r="CH46" i="3" s="1"/>
  <c r="BW46" i="3" a="1"/>
  <c r="BW46" i="3" s="1"/>
  <c r="BY46" i="3" s="1"/>
  <c r="BQ46" i="3" a="1"/>
  <c r="BQ46" i="3" s="1"/>
  <c r="BS46" i="3" s="1"/>
  <c r="BF46" i="3" a="1"/>
  <c r="BF46" i="3" s="1"/>
  <c r="BG46" i="3" s="1"/>
  <c r="AG46" i="3" a="1"/>
  <c r="AG46" i="3" s="1"/>
  <c r="AI46" i="3" s="1"/>
  <c r="V46" i="3" a="1"/>
  <c r="V46" i="3" s="1"/>
  <c r="P46" i="3" a="1"/>
  <c r="P46" i="3" s="1"/>
  <c r="Q46" i="3" s="1"/>
  <c r="DN46" i="3" a="1"/>
  <c r="DN46" i="3" s="1"/>
  <c r="CX46" i="3"/>
  <c r="CZ46" i="3" s="1"/>
  <c r="CS46" i="3"/>
  <c r="CM46" i="3"/>
  <c r="CC46" i="3" a="1"/>
  <c r="CC46" i="3" s="1"/>
  <c r="BR46" i="3" a="1"/>
  <c r="BR46" i="3" s="1"/>
  <c r="BL46" i="3" a="1"/>
  <c r="BL46" i="3" s="1"/>
  <c r="BM46" i="3" s="1"/>
  <c r="AV46" i="3"/>
  <c r="AX46" i="3" s="1"/>
  <c r="AM46" i="3" a="1"/>
  <c r="AM46" i="3" s="1"/>
  <c r="AO46" i="3" s="1"/>
  <c r="AB46" i="3" a="1"/>
  <c r="AB46" i="3" s="1"/>
  <c r="F46" i="3"/>
  <c r="J46" i="3" a="1"/>
  <c r="J46" i="3" s="1"/>
  <c r="K46" i="3" s="1"/>
  <c r="S46" i="3"/>
  <c r="T46" i="3" s="1"/>
  <c r="AA46" i="3" a="1"/>
  <c r="AA46" i="3" s="1"/>
  <c r="AC46" i="3" s="1"/>
  <c r="AP46" i="3" a="1"/>
  <c r="AP46" i="3" s="1"/>
  <c r="AR46" i="3" s="1"/>
  <c r="BN46" i="3"/>
  <c r="BP46" i="3" s="1"/>
  <c r="BU46" i="3"/>
  <c r="CD46" i="3" a="1"/>
  <c r="CD46" i="3" s="1"/>
  <c r="CU46" i="3" a="1"/>
  <c r="CU46" i="3" s="1"/>
  <c r="CW46" i="3" s="1"/>
  <c r="DB46" i="3" a="1"/>
  <c r="DB46" i="3" s="1"/>
  <c r="DC46" i="3" s="1"/>
  <c r="DK46" i="3"/>
  <c r="X47" i="3"/>
  <c r="AJ47" i="3"/>
  <c r="AL47" i="3" s="1"/>
  <c r="BB47" i="3"/>
  <c r="DW47" i="3"/>
  <c r="DS47" i="3" a="1"/>
  <c r="DS47" i="3" s="1"/>
  <c r="DU47" i="3" s="1"/>
  <c r="DN47" i="3" a="1"/>
  <c r="DN47" i="3" s="1"/>
  <c r="DO47" i="3" s="1"/>
  <c r="DE47" i="3"/>
  <c r="DF47" i="3" s="1"/>
  <c r="DA47" i="3" a="1"/>
  <c r="DA47" i="3" s="1"/>
  <c r="DC47" i="3" s="1"/>
  <c r="CV47" i="3" a="1"/>
  <c r="CV47" i="3" s="1"/>
  <c r="CM47" i="3"/>
  <c r="CN47" i="3" s="1"/>
  <c r="CI47" i="3" a="1"/>
  <c r="CI47" i="3" s="1"/>
  <c r="CD47" i="3" a="1"/>
  <c r="CD47" i="3" s="1"/>
  <c r="BU47" i="3"/>
  <c r="BQ47" i="3" a="1"/>
  <c r="BQ47" i="3" s="1"/>
  <c r="BS47" i="3" s="1"/>
  <c r="BL47" i="3" a="1"/>
  <c r="BL47" i="3" s="1"/>
  <c r="BC47" i="3"/>
  <c r="AY47" i="3" a="1"/>
  <c r="AY47" i="3" s="1"/>
  <c r="BA47" i="3" s="1"/>
  <c r="AT47" i="3" a="1"/>
  <c r="AT47" i="3" s="1"/>
  <c r="AM47" i="3" a="1"/>
  <c r="AM47" i="3" s="1"/>
  <c r="AO47" i="3" s="1"/>
  <c r="AH47" i="3" a="1"/>
  <c r="AH47" i="3" s="1"/>
  <c r="Y47" i="3"/>
  <c r="U47" i="3" a="1"/>
  <c r="U47" i="3" s="1"/>
  <c r="P47" i="3" a="1"/>
  <c r="P47" i="3" s="1"/>
  <c r="EF47" i="3" s="1"/>
  <c r="G47" i="3"/>
  <c r="DJ47" i="3"/>
  <c r="CR47" i="3"/>
  <c r="CT47" i="3" s="1"/>
  <c r="BZ47" i="3"/>
  <c r="CB47" i="3" s="1"/>
  <c r="BH47" i="3"/>
  <c r="BJ47" i="3" s="1"/>
  <c r="AQ47" i="3" a="1"/>
  <c r="AQ47" i="3" s="1"/>
  <c r="AD47" i="3"/>
  <c r="AF47" i="3" s="1"/>
  <c r="L47" i="3"/>
  <c r="DV47" i="3"/>
  <c r="DP47" i="3"/>
  <c r="DR47" i="3" s="1"/>
  <c r="BT47" i="3"/>
  <c r="BV47" i="3" s="1"/>
  <c r="BN47" i="3"/>
  <c r="BP47" i="3" s="1"/>
  <c r="F47" i="3"/>
  <c r="DY47" i="3" a="1"/>
  <c r="DY47" i="3" s="1"/>
  <c r="EA47" i="3" s="1"/>
  <c r="DQ47" i="3"/>
  <c r="DK47" i="3"/>
  <c r="CP47" i="3" a="1"/>
  <c r="CP47" i="3" s="1"/>
  <c r="CJ47" i="3" a="1"/>
  <c r="CJ47" i="3" s="1"/>
  <c r="CC47" i="3" a="1"/>
  <c r="CC47" i="3" s="1"/>
  <c r="CE47" i="3" s="1"/>
  <c r="BW47" i="3" a="1"/>
  <c r="BW47" i="3" s="1"/>
  <c r="BY47" i="3" s="1"/>
  <c r="BO47" i="3"/>
  <c r="BI47" i="3"/>
  <c r="AB47" i="3" a="1"/>
  <c r="AB47" i="3" s="1"/>
  <c r="AC47" i="3" s="1"/>
  <c r="V47" i="3" a="1"/>
  <c r="V47" i="3" s="1"/>
  <c r="O47" i="3" a="1"/>
  <c r="O47" i="3" s="1"/>
  <c r="I47" i="3" a="1"/>
  <c r="I47" i="3" s="1"/>
  <c r="M47" i="3"/>
  <c r="AG47" i="3" a="1"/>
  <c r="AG47" i="3" s="1"/>
  <c r="AI47" i="3" s="1"/>
  <c r="AZ47" i="3" a="1"/>
  <c r="AZ47" i="3" s="1"/>
  <c r="BK47" i="3" a="1"/>
  <c r="BK47" i="3" s="1"/>
  <c r="BM47" i="3" s="1"/>
  <c r="CO47" i="3" a="1"/>
  <c r="CO47" i="3" s="1"/>
  <c r="CY47" i="3"/>
  <c r="CZ47" i="3" s="1"/>
  <c r="DH47" i="3" a="1"/>
  <c r="DH47" i="3" s="1"/>
  <c r="DI47" i="3" s="1"/>
  <c r="DT47" i="3" a="1"/>
  <c r="DT47" i="3" s="1"/>
  <c r="AQ48" i="1"/>
  <c r="AF48" i="1"/>
  <c r="AG48" i="1" s="1"/>
  <c r="AH48" i="1" s="1"/>
  <c r="AG5" i="1"/>
  <c r="AH5" i="1" s="1"/>
  <c r="AU48" i="1"/>
  <c r="AG6" i="1"/>
  <c r="AH6" i="1" s="1"/>
  <c r="BQ6" i="1"/>
  <c r="P7" i="1"/>
  <c r="P9" i="1"/>
  <c r="R48" i="1"/>
  <c r="T5" i="1"/>
  <c r="Z5" i="1"/>
  <c r="AJ5" i="1"/>
  <c r="S5" i="1"/>
  <c r="AC5" i="1"/>
  <c r="Z7" i="1"/>
  <c r="T7" i="1"/>
  <c r="AJ7" i="1"/>
  <c r="AK7" i="1" s="1"/>
  <c r="AL7" i="1" s="1"/>
  <c r="S7" i="1"/>
  <c r="AC7" i="1"/>
  <c r="P14" i="1"/>
  <c r="AG15" i="1"/>
  <c r="AH15" i="1" s="1"/>
  <c r="BJ48" i="1"/>
  <c r="BK5" i="1"/>
  <c r="X8" i="1"/>
  <c r="Q8" i="1"/>
  <c r="N8" i="1"/>
  <c r="AR8" i="1"/>
  <c r="AS8" i="1" s="1"/>
  <c r="AT8" i="1" s="1"/>
  <c r="BK9" i="1"/>
  <c r="K10" i="1"/>
  <c r="J10" i="1"/>
  <c r="U10" i="1"/>
  <c r="AD10" i="1"/>
  <c r="AV10" i="1"/>
  <c r="AW10" i="1" s="1"/>
  <c r="AX10" i="1" s="1"/>
  <c r="BH12" i="1"/>
  <c r="P8" i="1"/>
  <c r="AV11" i="1"/>
  <c r="AW11" i="1" s="1"/>
  <c r="AX11" i="1" s="1"/>
  <c r="U11" i="1"/>
  <c r="AM48" i="1"/>
  <c r="BM48" i="1"/>
  <c r="BK6" i="1"/>
  <c r="L48" i="1"/>
  <c r="BP48" i="1"/>
  <c r="BN9" i="1"/>
  <c r="AV12" i="1"/>
  <c r="AW12" i="1" s="1"/>
  <c r="AX12" i="1" s="1"/>
  <c r="K12" i="1"/>
  <c r="J12" i="1"/>
  <c r="U12" i="1"/>
  <c r="AR11" i="1"/>
  <c r="AS11" i="1" s="1"/>
  <c r="AT11" i="1" s="1"/>
  <c r="N11" i="1"/>
  <c r="Q11" i="1"/>
  <c r="X11" i="1"/>
  <c r="X12" i="1"/>
  <c r="Y12" i="1" s="1"/>
  <c r="Q12" i="1"/>
  <c r="AR12" i="1"/>
  <c r="AS12" i="1" s="1"/>
  <c r="AT12" i="1" s="1"/>
  <c r="N12" i="1"/>
  <c r="BE12" i="1"/>
  <c r="AR13" i="1"/>
  <c r="AS13" i="1" s="1"/>
  <c r="AT13" i="1" s="1"/>
  <c r="N13" i="1"/>
  <c r="X13" i="1"/>
  <c r="Q13" i="1"/>
  <c r="AV15" i="1"/>
  <c r="AW15" i="1" s="1"/>
  <c r="AX15" i="1" s="1"/>
  <c r="U15" i="1"/>
  <c r="K15" i="1"/>
  <c r="J15" i="1"/>
  <c r="AG17" i="1"/>
  <c r="AH17" i="1" s="1"/>
  <c r="BK24" i="1"/>
  <c r="BE25" i="1"/>
  <c r="Q14" i="1"/>
  <c r="AR14" i="1"/>
  <c r="AS14" i="1" s="1"/>
  <c r="AT14" i="1" s="1"/>
  <c r="X14" i="1"/>
  <c r="Y14" i="1" s="1"/>
  <c r="N14" i="1"/>
  <c r="BE15" i="1"/>
  <c r="P17" i="1"/>
  <c r="N19" i="1"/>
  <c r="AR19" i="1"/>
  <c r="AS19" i="1" s="1"/>
  <c r="AT19" i="1" s="1"/>
  <c r="Q19" i="1"/>
  <c r="X19" i="1"/>
  <c r="AV20" i="1"/>
  <c r="AW20" i="1" s="1"/>
  <c r="AX20" i="1" s="1"/>
  <c r="U20" i="1"/>
  <c r="K20" i="1"/>
  <c r="J20" i="1"/>
  <c r="BH20" i="1"/>
  <c r="BQ20" i="1"/>
  <c r="AR21" i="1"/>
  <c r="AS21" i="1" s="1"/>
  <c r="AT21" i="1" s="1"/>
  <c r="N21" i="1"/>
  <c r="Q21" i="1"/>
  <c r="X21" i="1"/>
  <c r="AR22" i="1"/>
  <c r="AS22" i="1" s="1"/>
  <c r="AT22" i="1" s="1"/>
  <c r="X22" i="1"/>
  <c r="Y22" i="1" s="1"/>
  <c r="Q22" i="1"/>
  <c r="N22" i="1"/>
  <c r="AG23" i="1"/>
  <c r="AH23" i="1" s="1"/>
  <c r="X9" i="1"/>
  <c r="Y9" i="1" s="1"/>
  <c r="Q9" i="1"/>
  <c r="N9" i="1"/>
  <c r="AR9" i="1"/>
  <c r="AS9" i="1" s="1"/>
  <c r="AT9" i="1" s="1"/>
  <c r="BE9" i="1"/>
  <c r="AR10" i="1"/>
  <c r="AS10" i="1" s="1"/>
  <c r="AT10" i="1" s="1"/>
  <c r="N10" i="1"/>
  <c r="X10" i="1"/>
  <c r="Y10" i="1" s="1"/>
  <c r="Q10" i="1"/>
  <c r="BN11" i="1"/>
  <c r="P13" i="1"/>
  <c r="Z16" i="1"/>
  <c r="T16" i="1"/>
  <c r="S16" i="1"/>
  <c r="AJ16" i="1"/>
  <c r="AK16" i="1" s="1"/>
  <c r="AL16" i="1" s="1"/>
  <c r="M48" i="1"/>
  <c r="X5" i="1"/>
  <c r="Q5" i="1"/>
  <c r="AR5" i="1"/>
  <c r="N5" i="1"/>
  <c r="AI48" i="1"/>
  <c r="BD48" i="1"/>
  <c r="BE5" i="1"/>
  <c r="X6" i="1"/>
  <c r="Y6" i="1" s="1"/>
  <c r="AR6" i="1"/>
  <c r="AS6" i="1" s="1"/>
  <c r="AT6" i="1" s="1"/>
  <c r="Q6" i="1"/>
  <c r="N6" i="1"/>
  <c r="BE6" i="1"/>
  <c r="AR7" i="1"/>
  <c r="AS7" i="1" s="1"/>
  <c r="AT7" i="1" s="1"/>
  <c r="N7" i="1"/>
  <c r="X7" i="1"/>
  <c r="Y7" i="1" s="1"/>
  <c r="Q7" i="1"/>
  <c r="P10" i="1"/>
  <c r="P11" i="1"/>
  <c r="BH11" i="1"/>
  <c r="P12" i="1"/>
  <c r="BN12" i="1"/>
  <c r="AV13" i="1"/>
  <c r="AW13" i="1" s="1"/>
  <c r="AX13" i="1" s="1"/>
  <c r="K13" i="1"/>
  <c r="U13" i="1"/>
  <c r="J13" i="1"/>
  <c r="AG14" i="1"/>
  <c r="AH14" i="1" s="1"/>
  <c r="BQ14" i="1"/>
  <c r="BN15" i="1"/>
  <c r="T17" i="1"/>
  <c r="S17" i="1"/>
  <c r="AJ17" i="1"/>
  <c r="AK17" i="1" s="1"/>
  <c r="AL17" i="1" s="1"/>
  <c r="Z17" i="1"/>
  <c r="BK17" i="1"/>
  <c r="BQ19" i="1"/>
  <c r="AG20" i="1"/>
  <c r="AH20" i="1" s="1"/>
  <c r="X23" i="1"/>
  <c r="Y23" i="1" s="1"/>
  <c r="AR23" i="1"/>
  <c r="AS23" i="1" s="1"/>
  <c r="AT23" i="1" s="1"/>
  <c r="N23" i="1"/>
  <c r="Q23" i="1"/>
  <c r="Z24" i="1"/>
  <c r="AJ24" i="1"/>
  <c r="AK24" i="1" s="1"/>
  <c r="AL24" i="1" s="1"/>
  <c r="BQ15" i="1"/>
  <c r="BN16" i="1"/>
  <c r="J17" i="1"/>
  <c r="K17" i="1"/>
  <c r="U17" i="1"/>
  <c r="AV17" i="1"/>
  <c r="AW17" i="1" s="1"/>
  <c r="AX17" i="1" s="1"/>
  <c r="U18" i="1"/>
  <c r="K18" i="1"/>
  <c r="J18" i="1"/>
  <c r="AD18" i="1"/>
  <c r="AV18" i="1"/>
  <c r="AW18" i="1" s="1"/>
  <c r="AX18" i="1" s="1"/>
  <c r="Z18" i="1"/>
  <c r="AJ18" i="1"/>
  <c r="AK18" i="1" s="1"/>
  <c r="AL18" i="1" s="1"/>
  <c r="AJ19" i="1"/>
  <c r="AK19" i="1" s="1"/>
  <c r="AL19" i="1" s="1"/>
  <c r="Z19" i="1"/>
  <c r="BK20" i="1"/>
  <c r="Z21" i="1"/>
  <c r="AJ21" i="1"/>
  <c r="AK21" i="1" s="1"/>
  <c r="AL21" i="1" s="1"/>
  <c r="S22" i="1"/>
  <c r="AJ22" i="1"/>
  <c r="AK22" i="1" s="1"/>
  <c r="AL22" i="1" s="1"/>
  <c r="Z22" i="1"/>
  <c r="P26" i="1"/>
  <c r="U19" i="1"/>
  <c r="K19" i="1"/>
  <c r="AV19" i="1"/>
  <c r="AW19" i="1" s="1"/>
  <c r="AX19" i="1" s="1"/>
  <c r="X20" i="1"/>
  <c r="Y20" i="1" s="1"/>
  <c r="N20" i="1"/>
  <c r="AR20" i="1"/>
  <c r="AS20" i="1" s="1"/>
  <c r="AT20" i="1" s="1"/>
  <c r="Q20" i="1"/>
  <c r="BN25" i="1"/>
  <c r="O48" i="1"/>
  <c r="P48" i="1" s="1"/>
  <c r="P5" i="1"/>
  <c r="BG48" i="1"/>
  <c r="P6" i="1"/>
  <c r="BN6" i="1"/>
  <c r="J7" i="1"/>
  <c r="AD7" i="1"/>
  <c r="U7" i="1"/>
  <c r="K7" i="1"/>
  <c r="AV7" i="1"/>
  <c r="AW7" i="1" s="1"/>
  <c r="AX7" i="1" s="1"/>
  <c r="BH7" i="1"/>
  <c r="U8" i="1"/>
  <c r="AV8" i="1"/>
  <c r="AW8" i="1" s="1"/>
  <c r="AX8" i="1" s="1"/>
  <c r="AV9" i="1"/>
  <c r="AW9" i="1" s="1"/>
  <c r="AX9" i="1" s="1"/>
  <c r="J9" i="1"/>
  <c r="U9" i="1"/>
  <c r="K9" i="1"/>
  <c r="BH9" i="1"/>
  <c r="Z11" i="1"/>
  <c r="AJ11" i="1"/>
  <c r="AK11" i="1" s="1"/>
  <c r="AL11" i="1" s="1"/>
  <c r="AG11" i="1"/>
  <c r="AH11" i="1" s="1"/>
  <c r="BQ11" i="1"/>
  <c r="AG12" i="1"/>
  <c r="AH12" i="1" s="1"/>
  <c r="BQ12" i="1"/>
  <c r="Z13" i="1"/>
  <c r="T13" i="1"/>
  <c r="S13" i="1"/>
  <c r="AJ13" i="1"/>
  <c r="AK13" i="1" s="1"/>
  <c r="AL13" i="1" s="1"/>
  <c r="S14" i="1"/>
  <c r="AJ14" i="1"/>
  <c r="AK14" i="1" s="1"/>
  <c r="AL14" i="1" s="1"/>
  <c r="Z14" i="1"/>
  <c r="T14" i="1"/>
  <c r="BK14" i="1"/>
  <c r="P15" i="1"/>
  <c r="BH15" i="1"/>
  <c r="AR16" i="1"/>
  <c r="AS16" i="1" s="1"/>
  <c r="AT16" i="1" s="1"/>
  <c r="N16" i="1"/>
  <c r="X16" i="1"/>
  <c r="Y16" i="1" s="1"/>
  <c r="Q16" i="1"/>
  <c r="BE17" i="1"/>
  <c r="I48" i="1"/>
  <c r="J5" i="1"/>
  <c r="K5" i="1"/>
  <c r="U5" i="1"/>
  <c r="AV5" i="1"/>
  <c r="AE48" i="1"/>
  <c r="AV6" i="1"/>
  <c r="AW6" i="1" s="1"/>
  <c r="AX6" i="1" s="1"/>
  <c r="K6" i="1"/>
  <c r="J6" i="1"/>
  <c r="U6" i="1"/>
  <c r="BH6" i="1"/>
  <c r="AJ8" i="1"/>
  <c r="AK8" i="1" s="1"/>
  <c r="AL8" i="1" s="1"/>
  <c r="Z8" i="1"/>
  <c r="T8" i="1"/>
  <c r="AG8" i="1"/>
  <c r="AH8" i="1" s="1"/>
  <c r="BQ8" i="1"/>
  <c r="AG9" i="1"/>
  <c r="AH9" i="1" s="1"/>
  <c r="BQ9" i="1"/>
  <c r="Z10" i="1"/>
  <c r="T10" i="1"/>
  <c r="AJ10" i="1"/>
  <c r="AK10" i="1" s="1"/>
  <c r="AL10" i="1" s="1"/>
  <c r="S10" i="1"/>
  <c r="BK12" i="1"/>
  <c r="J14" i="1"/>
  <c r="K14" i="1"/>
  <c r="U14" i="1"/>
  <c r="AV14" i="1"/>
  <c r="AW14" i="1" s="1"/>
  <c r="AX14" i="1" s="1"/>
  <c r="AD14" i="1"/>
  <c r="BH16" i="1"/>
  <c r="Q17" i="1"/>
  <c r="AR17" i="1"/>
  <c r="AS17" i="1" s="1"/>
  <c r="AT17" i="1" s="1"/>
  <c r="X17" i="1"/>
  <c r="Y17" i="1" s="1"/>
  <c r="N17" i="1"/>
  <c r="AG19" i="1"/>
  <c r="AH19" i="1" s="1"/>
  <c r="BE20" i="1"/>
  <c r="AG22" i="1"/>
  <c r="AH22" i="1" s="1"/>
  <c r="BH14" i="1"/>
  <c r="X15" i="1"/>
  <c r="Y15" i="1" s="1"/>
  <c r="AR15" i="1"/>
  <c r="AS15" i="1" s="1"/>
  <c r="AT15" i="1" s="1"/>
  <c r="Q15" i="1"/>
  <c r="N15" i="1"/>
  <c r="U16" i="1"/>
  <c r="AV16" i="1"/>
  <c r="AW16" i="1" s="1"/>
  <c r="AX16" i="1" s="1"/>
  <c r="AD16" i="1"/>
  <c r="K16" i="1"/>
  <c r="J16" i="1"/>
  <c r="P16" i="1"/>
  <c r="P18" i="1"/>
  <c r="P19" i="1"/>
  <c r="P20" i="1"/>
  <c r="BN20" i="1"/>
  <c r="U21" i="1"/>
  <c r="K21" i="1"/>
  <c r="AV21" i="1"/>
  <c r="AW21" i="1" s="1"/>
  <c r="AX21" i="1" s="1"/>
  <c r="J22" i="1"/>
  <c r="AV22" i="1"/>
  <c r="AW22" i="1" s="1"/>
  <c r="AX22" i="1" s="1"/>
  <c r="K22" i="1"/>
  <c r="U22" i="1"/>
  <c r="AV23" i="1"/>
  <c r="AW23" i="1" s="1"/>
  <c r="AX23" i="1" s="1"/>
  <c r="U23" i="1"/>
  <c r="K23" i="1"/>
  <c r="J23" i="1"/>
  <c r="P24" i="1"/>
  <c r="AG24" i="1"/>
  <c r="AH24" i="1" s="1"/>
  <c r="T25" i="1"/>
  <c r="AJ25" i="1"/>
  <c r="AK25" i="1" s="1"/>
  <c r="AL25" i="1" s="1"/>
  <c r="Z25" i="1"/>
  <c r="AC25" i="1"/>
  <c r="S25" i="1"/>
  <c r="BQ25" i="1"/>
  <c r="U27" i="1"/>
  <c r="AV27" i="1"/>
  <c r="AW27" i="1" s="1"/>
  <c r="AX27" i="1" s="1"/>
  <c r="K27" i="1"/>
  <c r="AD27" i="1"/>
  <c r="J27" i="1"/>
  <c r="AJ27" i="1"/>
  <c r="AK27" i="1" s="1"/>
  <c r="AL27" i="1" s="1"/>
  <c r="Z27" i="1"/>
  <c r="BH27" i="1"/>
  <c r="BK30" i="1"/>
  <c r="P46" i="1"/>
  <c r="Z47" i="1"/>
  <c r="AJ47" i="1"/>
  <c r="AK47" i="1" s="1"/>
  <c r="AL47" i="1" s="1"/>
  <c r="AG27" i="1"/>
  <c r="AH27" i="1" s="1"/>
  <c r="AJ28" i="1"/>
  <c r="AK28" i="1" s="1"/>
  <c r="AL28" i="1" s="1"/>
  <c r="Z28" i="1"/>
  <c r="BK29" i="1"/>
  <c r="Z32" i="1"/>
  <c r="AJ32" i="1"/>
  <c r="AK32" i="1" s="1"/>
  <c r="AL32" i="1" s="1"/>
  <c r="S32" i="1"/>
  <c r="AJ33" i="1"/>
  <c r="AK33" i="1" s="1"/>
  <c r="AL33" i="1" s="1"/>
  <c r="Z33" i="1"/>
  <c r="AG33" i="1"/>
  <c r="AH33" i="1" s="1"/>
  <c r="BK33" i="1"/>
  <c r="X34" i="1"/>
  <c r="Y34" i="1" s="1"/>
  <c r="AR34" i="1"/>
  <c r="AS34" i="1" s="1"/>
  <c r="AT34" i="1" s="1"/>
  <c r="Q34" i="1"/>
  <c r="N34" i="1"/>
  <c r="BE34" i="1"/>
  <c r="AR35" i="1"/>
  <c r="AS35" i="1" s="1"/>
  <c r="AT35" i="1" s="1"/>
  <c r="N35" i="1"/>
  <c r="X35" i="1"/>
  <c r="Y35" i="1" s="1"/>
  <c r="Q35" i="1"/>
  <c r="AG37" i="1"/>
  <c r="AH37" i="1" s="1"/>
  <c r="P39" i="1"/>
  <c r="Z44" i="1"/>
  <c r="AJ44" i="1"/>
  <c r="AK44" i="1" s="1"/>
  <c r="AL44" i="1" s="1"/>
  <c r="AG45" i="1"/>
  <c r="AH45" i="1" s="1"/>
  <c r="BQ45" i="1"/>
  <c r="AG46" i="1"/>
  <c r="AH46" i="1" s="1"/>
  <c r="BK22" i="1"/>
  <c r="BE23" i="1"/>
  <c r="AV24" i="1"/>
  <c r="AW24" i="1" s="1"/>
  <c r="AX24" i="1" s="1"/>
  <c r="K24" i="1"/>
  <c r="U24" i="1"/>
  <c r="J24" i="1"/>
  <c r="BQ26" i="1"/>
  <c r="J29" i="1"/>
  <c r="K29" i="1"/>
  <c r="AV29" i="1"/>
  <c r="AW29" i="1" s="1"/>
  <c r="AX29" i="1" s="1"/>
  <c r="U29" i="1"/>
  <c r="X31" i="1"/>
  <c r="Y31" i="1" s="1"/>
  <c r="N31" i="1"/>
  <c r="AR31" i="1"/>
  <c r="AS31" i="1" s="1"/>
  <c r="AT31" i="1" s="1"/>
  <c r="Q31" i="1"/>
  <c r="BE31" i="1"/>
  <c r="BQ34" i="1"/>
  <c r="BN35" i="1"/>
  <c r="X36" i="1"/>
  <c r="Y36" i="1" s="1"/>
  <c r="Q36" i="1"/>
  <c r="N36" i="1"/>
  <c r="AR36" i="1"/>
  <c r="AS36" i="1" s="1"/>
  <c r="AT36" i="1" s="1"/>
  <c r="BK36" i="1"/>
  <c r="P37" i="1"/>
  <c r="AR38" i="1"/>
  <c r="AS38" i="1" s="1"/>
  <c r="AT38" i="1" s="1"/>
  <c r="N38" i="1"/>
  <c r="Q38" i="1"/>
  <c r="X38" i="1"/>
  <c r="Y38" i="1" s="1"/>
  <c r="BH41" i="1"/>
  <c r="AR42" i="1"/>
  <c r="AS42" i="1" s="1"/>
  <c r="AT42" i="1" s="1"/>
  <c r="N42" i="1"/>
  <c r="X42" i="1"/>
  <c r="Q42" i="1"/>
  <c r="T26" i="1"/>
  <c r="AJ26" i="1"/>
  <c r="AK26" i="1" s="1"/>
  <c r="AL26" i="1" s="1"/>
  <c r="S26" i="1"/>
  <c r="Z26" i="1"/>
  <c r="AG28" i="1"/>
  <c r="AH28" i="1" s="1"/>
  <c r="P30" i="1"/>
  <c r="BE37" i="1"/>
  <c r="BN37" i="1"/>
  <c r="AG25" i="1"/>
  <c r="AH25" i="1" s="1"/>
  <c r="K26" i="1"/>
  <c r="U26" i="1"/>
  <c r="J26" i="1"/>
  <c r="AV26" i="1"/>
  <c r="AW26" i="1" s="1"/>
  <c r="AX26" i="1" s="1"/>
  <c r="BK26" i="1"/>
  <c r="P29" i="1"/>
  <c r="AG30" i="1"/>
  <c r="AH30" i="1" s="1"/>
  <c r="K40" i="1"/>
  <c r="U40" i="1"/>
  <c r="AV40" i="1"/>
  <c r="AW40" i="1" s="1"/>
  <c r="AX40" i="1" s="1"/>
  <c r="J40" i="1"/>
  <c r="AJ42" i="1"/>
  <c r="AK42" i="1" s="1"/>
  <c r="AL42" i="1" s="1"/>
  <c r="Z42" i="1"/>
  <c r="BE43" i="1"/>
  <c r="BQ46" i="1"/>
  <c r="AJ6" i="1"/>
  <c r="AK6" i="1" s="1"/>
  <c r="AL6" i="1" s="1"/>
  <c r="T6" i="1"/>
  <c r="Z6" i="1"/>
  <c r="S6" i="1"/>
  <c r="AG7" i="1"/>
  <c r="AH7" i="1" s="1"/>
  <c r="BE7" i="1"/>
  <c r="BK7" i="1"/>
  <c r="BQ7" i="1"/>
  <c r="AJ9" i="1"/>
  <c r="AK9" i="1" s="1"/>
  <c r="AL9" i="1" s="1"/>
  <c r="T9" i="1"/>
  <c r="AC9" i="1"/>
  <c r="Z9" i="1"/>
  <c r="S9" i="1"/>
  <c r="AG10" i="1"/>
  <c r="AH10" i="1" s="1"/>
  <c r="BE10" i="1"/>
  <c r="AJ12" i="1"/>
  <c r="AK12" i="1" s="1"/>
  <c r="AL12" i="1" s="1"/>
  <c r="Z12" i="1"/>
  <c r="S12" i="1"/>
  <c r="T12" i="1"/>
  <c r="AG13" i="1"/>
  <c r="AH13" i="1" s="1"/>
  <c r="BK13" i="1"/>
  <c r="AJ15" i="1"/>
  <c r="AK15" i="1" s="1"/>
  <c r="AL15" i="1" s="1"/>
  <c r="S15" i="1"/>
  <c r="Z15" i="1"/>
  <c r="AG16" i="1"/>
  <c r="AH16" i="1" s="1"/>
  <c r="BE16" i="1"/>
  <c r="BK16" i="1"/>
  <c r="BQ16" i="1"/>
  <c r="AR18" i="1"/>
  <c r="AS18" i="1" s="1"/>
  <c r="AT18" i="1" s="1"/>
  <c r="N18" i="1"/>
  <c r="Q18" i="1"/>
  <c r="X18" i="1"/>
  <c r="P21" i="1"/>
  <c r="P22" i="1"/>
  <c r="P23" i="1"/>
  <c r="BQ23" i="1"/>
  <c r="BN24" i="1"/>
  <c r="BH25" i="1"/>
  <c r="AG26" i="1"/>
  <c r="AH26" i="1" s="1"/>
  <c r="N28" i="1"/>
  <c r="AR28" i="1"/>
  <c r="AS28" i="1" s="1"/>
  <c r="AT28" i="1" s="1"/>
  <c r="X28" i="1"/>
  <c r="Q28" i="1"/>
  <c r="Z29" i="1"/>
  <c r="AJ29" i="1"/>
  <c r="AK29" i="1" s="1"/>
  <c r="AL29" i="1" s="1"/>
  <c r="AG29" i="1"/>
  <c r="AH29" i="1" s="1"/>
  <c r="BK31" i="1"/>
  <c r="Q39" i="1"/>
  <c r="AR39" i="1"/>
  <c r="AS39" i="1" s="1"/>
  <c r="AT39" i="1" s="1"/>
  <c r="X39" i="1"/>
  <c r="Y39" i="1" s="1"/>
  <c r="N39" i="1"/>
  <c r="BQ39" i="1"/>
  <c r="AJ41" i="1"/>
  <c r="AK41" i="1" s="1"/>
  <c r="AL41" i="1" s="1"/>
  <c r="Z41" i="1"/>
  <c r="BQ41" i="1"/>
  <c r="T45" i="1"/>
  <c r="AJ45" i="1"/>
  <c r="AK45" i="1" s="1"/>
  <c r="AL45" i="1" s="1"/>
  <c r="S45" i="1"/>
  <c r="Z45" i="1"/>
  <c r="BE46" i="1"/>
  <c r="P27" i="1"/>
  <c r="BN27" i="1"/>
  <c r="Q29" i="1"/>
  <c r="AR29" i="1"/>
  <c r="AS29" i="1" s="1"/>
  <c r="AT29" i="1" s="1"/>
  <c r="N29" i="1"/>
  <c r="X29" i="1"/>
  <c r="BE30" i="1"/>
  <c r="BQ30" i="1"/>
  <c r="AG31" i="1"/>
  <c r="AH31" i="1" s="1"/>
  <c r="BE33" i="1"/>
  <c r="BQ33" i="1"/>
  <c r="BK34" i="1"/>
  <c r="Z35" i="1"/>
  <c r="T35" i="1"/>
  <c r="AJ35" i="1"/>
  <c r="AK35" i="1" s="1"/>
  <c r="AL35" i="1" s="1"/>
  <c r="S35" i="1"/>
  <c r="BK37" i="1"/>
  <c r="Z38" i="1"/>
  <c r="T38" i="1"/>
  <c r="S38" i="1"/>
  <c r="AJ38" i="1"/>
  <c r="AK38" i="1" s="1"/>
  <c r="AL38" i="1" s="1"/>
  <c r="U41" i="1"/>
  <c r="J41" i="1"/>
  <c r="K41" i="1"/>
  <c r="AD41" i="1"/>
  <c r="AV41" i="1"/>
  <c r="AW41" i="1" s="1"/>
  <c r="AX41" i="1" s="1"/>
  <c r="K43" i="1"/>
  <c r="AV43" i="1"/>
  <c r="AW43" i="1" s="1"/>
  <c r="AX43" i="1" s="1"/>
  <c r="J43" i="1"/>
  <c r="U43" i="1"/>
  <c r="Q46" i="1"/>
  <c r="X46" i="1"/>
  <c r="Y46" i="1" s="1"/>
  <c r="AR46" i="1"/>
  <c r="AS46" i="1" s="1"/>
  <c r="AT46" i="1" s="1"/>
  <c r="N46" i="1"/>
  <c r="P47" i="1"/>
  <c r="BN47" i="1"/>
  <c r="AG18" i="1"/>
  <c r="AH18" i="1" s="1"/>
  <c r="BE18" i="1"/>
  <c r="BK18" i="1"/>
  <c r="BQ18" i="1"/>
  <c r="AJ20" i="1"/>
  <c r="AK20" i="1" s="1"/>
  <c r="AL20" i="1" s="1"/>
  <c r="Z20" i="1"/>
  <c r="T20" i="1"/>
  <c r="S20" i="1"/>
  <c r="AG21" i="1"/>
  <c r="AH21" i="1" s="1"/>
  <c r="BQ21" i="1"/>
  <c r="AJ23" i="1"/>
  <c r="AK23" i="1" s="1"/>
  <c r="AL23" i="1" s="1"/>
  <c r="Z23" i="1"/>
  <c r="S23" i="1"/>
  <c r="T23" i="1"/>
  <c r="BK23" i="1"/>
  <c r="Q25" i="1"/>
  <c r="X25" i="1"/>
  <c r="Y25" i="1" s="1"/>
  <c r="AR25" i="1"/>
  <c r="AS25" i="1" s="1"/>
  <c r="AT25" i="1" s="1"/>
  <c r="N25" i="1"/>
  <c r="BK25" i="1"/>
  <c r="Q26" i="1"/>
  <c r="N26" i="1"/>
  <c r="AR26" i="1"/>
  <c r="AS26" i="1" s="1"/>
  <c r="AT26" i="1" s="1"/>
  <c r="X26" i="1"/>
  <c r="Y26" i="1" s="1"/>
  <c r="BE26" i="1"/>
  <c r="BE29" i="1"/>
  <c r="AV30" i="1"/>
  <c r="AW30" i="1" s="1"/>
  <c r="AX30" i="1" s="1"/>
  <c r="J30" i="1"/>
  <c r="U30" i="1"/>
  <c r="K30" i="1"/>
  <c r="AV31" i="1"/>
  <c r="AW31" i="1" s="1"/>
  <c r="AX31" i="1" s="1"/>
  <c r="U31" i="1"/>
  <c r="J31" i="1"/>
  <c r="K31" i="1"/>
  <c r="BH31" i="1"/>
  <c r="BQ31" i="1"/>
  <c r="AR32" i="1"/>
  <c r="AS32" i="1" s="1"/>
  <c r="AT32" i="1" s="1"/>
  <c r="N32" i="1"/>
  <c r="Q32" i="1"/>
  <c r="X32" i="1"/>
  <c r="Y32" i="1" s="1"/>
  <c r="AR33" i="1"/>
  <c r="AS33" i="1" s="1"/>
  <c r="AT33" i="1" s="1"/>
  <c r="X33" i="1"/>
  <c r="Q33" i="1"/>
  <c r="N33" i="1"/>
  <c r="AG34" i="1"/>
  <c r="AH34" i="1" s="1"/>
  <c r="P35" i="1"/>
  <c r="P36" i="1"/>
  <c r="AG39" i="1"/>
  <c r="AH39" i="1" s="1"/>
  <c r="T40" i="1"/>
  <c r="AJ40" i="1"/>
  <c r="AK40" i="1" s="1"/>
  <c r="AL40" i="1" s="1"/>
  <c r="Z40" i="1"/>
  <c r="S40" i="1"/>
  <c r="AG40" i="1"/>
  <c r="AH40" i="1" s="1"/>
  <c r="BK40" i="1"/>
  <c r="BN44" i="1"/>
  <c r="BH23" i="1"/>
  <c r="BN23" i="1"/>
  <c r="N24" i="1"/>
  <c r="AR24" i="1"/>
  <c r="AS24" i="1" s="1"/>
  <c r="AT24" i="1" s="1"/>
  <c r="Q24" i="1"/>
  <c r="X24" i="1"/>
  <c r="U25" i="1"/>
  <c r="AD25" i="1"/>
  <c r="J25" i="1"/>
  <c r="AV25" i="1"/>
  <c r="AW25" i="1" s="1"/>
  <c r="AX25" i="1" s="1"/>
  <c r="K25" i="1"/>
  <c r="P25" i="1"/>
  <c r="BH26" i="1"/>
  <c r="BN26" i="1"/>
  <c r="N27" i="1"/>
  <c r="AR27" i="1"/>
  <c r="AS27" i="1" s="1"/>
  <c r="AT27" i="1" s="1"/>
  <c r="Q27" i="1"/>
  <c r="X27" i="1"/>
  <c r="U28" i="1"/>
  <c r="K28" i="1"/>
  <c r="J28" i="1"/>
  <c r="AV28" i="1"/>
  <c r="AW28" i="1" s="1"/>
  <c r="AX28" i="1" s="1"/>
  <c r="P28" i="1"/>
  <c r="BH29" i="1"/>
  <c r="BN29" i="1"/>
  <c r="X30" i="1"/>
  <c r="Y30" i="1" s="1"/>
  <c r="AR30" i="1"/>
  <c r="AS30" i="1" s="1"/>
  <c r="AT30" i="1" s="1"/>
  <c r="Q30" i="1"/>
  <c r="N30" i="1"/>
  <c r="BH30" i="1"/>
  <c r="P31" i="1"/>
  <c r="BN31" i="1"/>
  <c r="AV32" i="1"/>
  <c r="AW32" i="1" s="1"/>
  <c r="AX32" i="1" s="1"/>
  <c r="U32" i="1"/>
  <c r="AV33" i="1"/>
  <c r="AW33" i="1" s="1"/>
  <c r="AX33" i="1" s="1"/>
  <c r="U33" i="1"/>
  <c r="AV34" i="1"/>
  <c r="AW34" i="1" s="1"/>
  <c r="AX34" i="1" s="1"/>
  <c r="J34" i="1"/>
  <c r="U34" i="1"/>
  <c r="K34" i="1"/>
  <c r="BH34" i="1"/>
  <c r="S36" i="1"/>
  <c r="AJ36" i="1"/>
  <c r="AK36" i="1" s="1"/>
  <c r="AL36" i="1" s="1"/>
  <c r="T36" i="1"/>
  <c r="Z36" i="1"/>
  <c r="AG36" i="1"/>
  <c r="AH36" i="1" s="1"/>
  <c r="AV37" i="1"/>
  <c r="AW37" i="1" s="1"/>
  <c r="AX37" i="1" s="1"/>
  <c r="J37" i="1"/>
  <c r="K37" i="1"/>
  <c r="U37" i="1"/>
  <c r="BQ37" i="1"/>
  <c r="AV39" i="1"/>
  <c r="AW39" i="1" s="1"/>
  <c r="AX39" i="1" s="1"/>
  <c r="U39" i="1"/>
  <c r="BQ40" i="1"/>
  <c r="AG42" i="1"/>
  <c r="AH42" i="1" s="1"/>
  <c r="Q43" i="1"/>
  <c r="X43" i="1"/>
  <c r="Y43" i="1" s="1"/>
  <c r="N43" i="1"/>
  <c r="AR43" i="1"/>
  <c r="AS43" i="1" s="1"/>
  <c r="AT43" i="1" s="1"/>
  <c r="BK43" i="1"/>
  <c r="BE28" i="1"/>
  <c r="AJ30" i="1"/>
  <c r="AK30" i="1" s="1"/>
  <c r="AL30" i="1" s="1"/>
  <c r="S30" i="1"/>
  <c r="T30" i="1"/>
  <c r="AC30" i="1"/>
  <c r="Z30" i="1"/>
  <c r="BN30" i="1"/>
  <c r="P32" i="1"/>
  <c r="BN32" i="1"/>
  <c r="P33" i="1"/>
  <c r="P34" i="1"/>
  <c r="BN34" i="1"/>
  <c r="J35" i="1"/>
  <c r="AV35" i="1"/>
  <c r="AW35" i="1" s="1"/>
  <c r="AX35" i="1" s="1"/>
  <c r="U35" i="1"/>
  <c r="BH35" i="1"/>
  <c r="J36" i="1"/>
  <c r="AV36" i="1"/>
  <c r="AW36" i="1" s="1"/>
  <c r="AX36" i="1" s="1"/>
  <c r="K36" i="1"/>
  <c r="U36" i="1"/>
  <c r="AD36" i="1"/>
  <c r="BE36" i="1"/>
  <c r="BH37" i="1"/>
  <c r="AJ39" i="1"/>
  <c r="AK39" i="1" s="1"/>
  <c r="AL39" i="1" s="1"/>
  <c r="Z39" i="1"/>
  <c r="S39" i="1"/>
  <c r="T39" i="1"/>
  <c r="BK39" i="1"/>
  <c r="P40" i="1"/>
  <c r="AG41" i="1"/>
  <c r="AH41" i="1" s="1"/>
  <c r="AV44" i="1"/>
  <c r="AW44" i="1" s="1"/>
  <c r="AX44" i="1" s="1"/>
  <c r="U44" i="1"/>
  <c r="BH47" i="1"/>
  <c r="X37" i="1"/>
  <c r="Y37" i="1" s="1"/>
  <c r="AR37" i="1"/>
  <c r="AS37" i="1" s="1"/>
  <c r="AT37" i="1" s="1"/>
  <c r="Q37" i="1"/>
  <c r="N37" i="1"/>
  <c r="U38" i="1"/>
  <c r="AV38" i="1"/>
  <c r="AW38" i="1" s="1"/>
  <c r="AX38" i="1" s="1"/>
  <c r="P38" i="1"/>
  <c r="BH39" i="1"/>
  <c r="P41" i="1"/>
  <c r="P43" i="1"/>
  <c r="P44" i="1"/>
  <c r="X45" i="1"/>
  <c r="Y45" i="1" s="1"/>
  <c r="AR45" i="1"/>
  <c r="AS45" i="1" s="1"/>
  <c r="AT45" i="1" s="1"/>
  <c r="Q45" i="1"/>
  <c r="N45" i="1"/>
  <c r="K46" i="1"/>
  <c r="AV46" i="1"/>
  <c r="AW46" i="1" s="1"/>
  <c r="AX46" i="1" s="1"/>
  <c r="U46" i="1"/>
  <c r="J46" i="1"/>
  <c r="U47" i="1"/>
  <c r="AV47" i="1"/>
  <c r="AW47" i="1" s="1"/>
  <c r="AX47" i="1" s="1"/>
  <c r="AJ31" i="1"/>
  <c r="AK31" i="1" s="1"/>
  <c r="AL31" i="1" s="1"/>
  <c r="S31" i="1"/>
  <c r="T31" i="1"/>
  <c r="Z31" i="1"/>
  <c r="AG32" i="1"/>
  <c r="AH32" i="1" s="1"/>
  <c r="BK32" i="1"/>
  <c r="BQ32" i="1"/>
  <c r="AJ34" i="1"/>
  <c r="AK34" i="1" s="1"/>
  <c r="AL34" i="1" s="1"/>
  <c r="T34" i="1"/>
  <c r="S34" i="1"/>
  <c r="Z34" i="1"/>
  <c r="AG35" i="1"/>
  <c r="AH35" i="1" s="1"/>
  <c r="BE35" i="1"/>
  <c r="AJ37" i="1"/>
  <c r="AK37" i="1" s="1"/>
  <c r="AL37" i="1" s="1"/>
  <c r="S37" i="1"/>
  <c r="Z37" i="1"/>
  <c r="T37" i="1"/>
  <c r="AC37" i="1"/>
  <c r="AG38" i="1"/>
  <c r="AH38" i="1" s="1"/>
  <c r="BK38" i="1"/>
  <c r="BQ38" i="1"/>
  <c r="Q40" i="1"/>
  <c r="N40" i="1"/>
  <c r="X40" i="1"/>
  <c r="Y40" i="1" s="1"/>
  <c r="AR40" i="1"/>
  <c r="AS40" i="1" s="1"/>
  <c r="AT40" i="1" s="1"/>
  <c r="BE40" i="1"/>
  <c r="AG43" i="1"/>
  <c r="AH43" i="1" s="1"/>
  <c r="BQ43" i="1"/>
  <c r="BK46" i="1"/>
  <c r="AJ43" i="1"/>
  <c r="AK43" i="1" s="1"/>
  <c r="AL43" i="1" s="1"/>
  <c r="Z43" i="1"/>
  <c r="T43" i="1"/>
  <c r="S43" i="1"/>
  <c r="AG44" i="1"/>
  <c r="AH44" i="1" s="1"/>
  <c r="AJ46" i="1"/>
  <c r="AK46" i="1" s="1"/>
  <c r="AL46" i="1" s="1"/>
  <c r="Z46" i="1"/>
  <c r="S46" i="1"/>
  <c r="T46" i="1"/>
  <c r="AG47" i="1"/>
  <c r="AH47" i="1" s="1"/>
  <c r="BK47" i="1"/>
  <c r="BQ47" i="1"/>
  <c r="BH40" i="1"/>
  <c r="BN40" i="1"/>
  <c r="N41" i="1"/>
  <c r="AR41" i="1"/>
  <c r="AS41" i="1" s="1"/>
  <c r="AT41" i="1" s="1"/>
  <c r="X41" i="1"/>
  <c r="Q41" i="1"/>
  <c r="U42" i="1"/>
  <c r="J42" i="1"/>
  <c r="AV42" i="1"/>
  <c r="AW42" i="1" s="1"/>
  <c r="AX42" i="1" s="1"/>
  <c r="P42" i="1"/>
  <c r="BH43" i="1"/>
  <c r="BN43" i="1"/>
  <c r="AR44" i="1"/>
  <c r="AS44" i="1" s="1"/>
  <c r="AT44" i="1" s="1"/>
  <c r="N44" i="1"/>
  <c r="X44" i="1"/>
  <c r="Q44" i="1"/>
  <c r="U45" i="1"/>
  <c r="J45" i="1"/>
  <c r="AV45" i="1"/>
  <c r="AW45" i="1" s="1"/>
  <c r="AX45" i="1" s="1"/>
  <c r="P45" i="1"/>
  <c r="BH46" i="1"/>
  <c r="BN46" i="1"/>
  <c r="AR47" i="1"/>
  <c r="AS47" i="1" s="1"/>
  <c r="AT47" i="1" s="1"/>
  <c r="N47" i="1"/>
  <c r="X47" i="1"/>
  <c r="Q47" i="1"/>
  <c r="BL8" i="1"/>
  <c r="BN8" i="1" s="1"/>
  <c r="BF8" i="1"/>
  <c r="BH8" i="1" s="1"/>
  <c r="BI8" i="1"/>
  <c r="BI48" i="1" s="1"/>
  <c r="BO8" i="1"/>
  <c r="G8" i="1"/>
  <c r="AC8" i="1" s="1"/>
  <c r="AC14" i="1"/>
  <c r="H8" i="1"/>
  <c r="AD8" i="1" s="1"/>
  <c r="AD13" i="1"/>
  <c r="AC6" i="1"/>
  <c r="AC12" i="1"/>
  <c r="AC16" i="1"/>
  <c r="BC8" i="1"/>
  <c r="BE8" i="1" s="1"/>
  <c r="AD9" i="1"/>
  <c r="BL11" i="1"/>
  <c r="BF11" i="1"/>
  <c r="BF13" i="1"/>
  <c r="BH13" i="1" s="1"/>
  <c r="BL17" i="1"/>
  <c r="BN17" i="1" s="1"/>
  <c r="BF17" i="1"/>
  <c r="BH17" i="1" s="1"/>
  <c r="BL21" i="1"/>
  <c r="BN21" i="1" s="1"/>
  <c r="AC35" i="1"/>
  <c r="G13" i="1"/>
  <c r="AC13" i="1" s="1"/>
  <c r="AC17" i="1"/>
  <c r="BC19" i="1"/>
  <c r="BE19" i="1" s="1"/>
  <c r="BC21" i="1"/>
  <c r="BE21" i="1" s="1"/>
  <c r="AD40" i="1"/>
  <c r="AC45" i="1"/>
  <c r="BL10" i="1"/>
  <c r="BN10" i="1" s="1"/>
  <c r="G11" i="1"/>
  <c r="AC11" i="1" s="1"/>
  <c r="BO13" i="1"/>
  <c r="BQ13" i="1" s="1"/>
  <c r="BL5" i="1"/>
  <c r="BF5" i="1"/>
  <c r="BL7" i="1"/>
  <c r="BN7" i="1" s="1"/>
  <c r="G10" i="1"/>
  <c r="AC10" i="1" s="1"/>
  <c r="BF10" i="1"/>
  <c r="BH10" i="1" s="1"/>
  <c r="H11" i="1"/>
  <c r="AD11" i="1" s="1"/>
  <c r="AD12" i="1"/>
  <c r="BL14" i="1"/>
  <c r="BN14" i="1" s="1"/>
  <c r="BF14" i="1"/>
  <c r="H17" i="1"/>
  <c r="AD17" i="1" s="1"/>
  <c r="AD26" i="1"/>
  <c r="BL19" i="1"/>
  <c r="BN19" i="1" s="1"/>
  <c r="BF19" i="1"/>
  <c r="BH19" i="1" s="1"/>
  <c r="G19" i="1"/>
  <c r="AC19" i="1" s="1"/>
  <c r="H19" i="1"/>
  <c r="AD19" i="1" s="1"/>
  <c r="H21" i="1"/>
  <c r="AD21" i="1" s="1"/>
  <c r="BF21" i="1"/>
  <c r="BH21" i="1" s="1"/>
  <c r="G21" i="1"/>
  <c r="AC21" i="1" s="1"/>
  <c r="BL22" i="1"/>
  <c r="BN22" i="1" s="1"/>
  <c r="BF22" i="1"/>
  <c r="BH22" i="1" s="1"/>
  <c r="H22" i="1"/>
  <c r="AD22" i="1" s="1"/>
  <c r="BC22" i="1"/>
  <c r="BE22" i="1" s="1"/>
  <c r="BO22" i="1"/>
  <c r="BQ22" i="1" s="1"/>
  <c r="BI19" i="1"/>
  <c r="BK19" i="1" s="1"/>
  <c r="BI21" i="1"/>
  <c r="BK21" i="1" s="1"/>
  <c r="G22" i="1"/>
  <c r="AC22" i="1" s="1"/>
  <c r="AD5" i="1"/>
  <c r="AD6" i="1"/>
  <c r="BO10" i="1"/>
  <c r="BQ10" i="1" s="1"/>
  <c r="BI11" i="1"/>
  <c r="BK11" i="1" s="1"/>
  <c r="BL13" i="1"/>
  <c r="BN13" i="1" s="1"/>
  <c r="BO5" i="1"/>
  <c r="BO7" i="1"/>
  <c r="BI10" i="1"/>
  <c r="BK10" i="1" s="1"/>
  <c r="BC11" i="1"/>
  <c r="BE11" i="1" s="1"/>
  <c r="BC13" i="1"/>
  <c r="BE13" i="1" s="1"/>
  <c r="BC14" i="1"/>
  <c r="BE14" i="1" s="1"/>
  <c r="AD15" i="1"/>
  <c r="BO16" i="1"/>
  <c r="BO17" i="1"/>
  <c r="BQ17" i="1" s="1"/>
  <c r="AC20" i="1"/>
  <c r="AC23" i="1"/>
  <c r="AD24" i="1"/>
  <c r="G15" i="1"/>
  <c r="AC15" i="1" s="1"/>
  <c r="BC15" i="1"/>
  <c r="BI15" i="1"/>
  <c r="BK15" i="1" s="1"/>
  <c r="G18" i="1"/>
  <c r="AC18" i="1" s="1"/>
  <c r="BF18" i="1"/>
  <c r="BH18" i="1" s="1"/>
  <c r="AD20" i="1"/>
  <c r="BO24" i="1"/>
  <c r="BQ24" i="1" s="1"/>
  <c r="BI24" i="1"/>
  <c r="BC24" i="1"/>
  <c r="BE24" i="1" s="1"/>
  <c r="G24" i="1"/>
  <c r="AC24" i="1" s="1"/>
  <c r="BF24" i="1"/>
  <c r="BH24" i="1" s="1"/>
  <c r="G29" i="1"/>
  <c r="AC29" i="1" s="1"/>
  <c r="AD30" i="1"/>
  <c r="BI32" i="1"/>
  <c r="AC38" i="1"/>
  <c r="BF28" i="1"/>
  <c r="BH28" i="1" s="1"/>
  <c r="G28" i="1"/>
  <c r="AC28" i="1" s="1"/>
  <c r="BO28" i="1"/>
  <c r="BQ28" i="1" s="1"/>
  <c r="H28" i="1"/>
  <c r="AD28" i="1" s="1"/>
  <c r="AD29" i="1"/>
  <c r="BI28" i="1"/>
  <c r="BK28" i="1" s="1"/>
  <c r="BL28" i="1"/>
  <c r="BN28" i="1" s="1"/>
  <c r="H32" i="1"/>
  <c r="AD32" i="1" s="1"/>
  <c r="BF32" i="1"/>
  <c r="BH32" i="1" s="1"/>
  <c r="G32" i="1"/>
  <c r="AC32" i="1" s="1"/>
  <c r="BO32" i="1"/>
  <c r="BC32" i="1"/>
  <c r="BE32" i="1" s="1"/>
  <c r="BL33" i="1"/>
  <c r="BN33" i="1" s="1"/>
  <c r="BF33" i="1"/>
  <c r="BH33" i="1" s="1"/>
  <c r="H33" i="1"/>
  <c r="AD33" i="1" s="1"/>
  <c r="BO33" i="1"/>
  <c r="BC33" i="1"/>
  <c r="AC46" i="1"/>
  <c r="G33" i="1"/>
  <c r="AC33" i="1" s="1"/>
  <c r="BL18" i="1"/>
  <c r="BN18" i="1" s="1"/>
  <c r="AD23" i="1"/>
  <c r="BL29" i="1"/>
  <c r="BF29" i="1"/>
  <c r="BO29" i="1"/>
  <c r="BQ29" i="1" s="1"/>
  <c r="AC31" i="1"/>
  <c r="AC34" i="1"/>
  <c r="AC36" i="1"/>
  <c r="BO44" i="1"/>
  <c r="BQ44" i="1" s="1"/>
  <c r="BI44" i="1"/>
  <c r="BK44" i="1" s="1"/>
  <c r="BC44" i="1"/>
  <c r="BE44" i="1" s="1"/>
  <c r="G44" i="1"/>
  <c r="AC44" i="1" s="1"/>
  <c r="H44" i="1"/>
  <c r="AD44" i="1" s="1"/>
  <c r="BF44" i="1"/>
  <c r="BH44" i="1" s="1"/>
  <c r="AC26" i="1"/>
  <c r="H35" i="1"/>
  <c r="AD35" i="1" s="1"/>
  <c r="BO35" i="1"/>
  <c r="BQ35" i="1" s="1"/>
  <c r="BI35" i="1"/>
  <c r="BK35" i="1" s="1"/>
  <c r="H38" i="1"/>
  <c r="AD38" i="1" s="1"/>
  <c r="BL38" i="1"/>
  <c r="BN38" i="1" s="1"/>
  <c r="BC38" i="1"/>
  <c r="BE38" i="1" s="1"/>
  <c r="AC39" i="1"/>
  <c r="BL42" i="1"/>
  <c r="BN42" i="1" s="1"/>
  <c r="BF42" i="1"/>
  <c r="BH42" i="1" s="1"/>
  <c r="BI42" i="1"/>
  <c r="BK42" i="1" s="1"/>
  <c r="G42" i="1"/>
  <c r="AC42" i="1" s="1"/>
  <c r="H42" i="1"/>
  <c r="AD42" i="1" s="1"/>
  <c r="BO42" i="1"/>
  <c r="BQ42" i="1" s="1"/>
  <c r="BC42" i="1"/>
  <c r="BE42" i="1" s="1"/>
  <c r="BL45" i="1"/>
  <c r="BN45" i="1" s="1"/>
  <c r="BF45" i="1"/>
  <c r="BH45" i="1" s="1"/>
  <c r="BC45" i="1"/>
  <c r="BE45" i="1" s="1"/>
  <c r="BI45" i="1"/>
  <c r="BK45" i="1" s="1"/>
  <c r="H45" i="1"/>
  <c r="AD45" i="1" s="1"/>
  <c r="BO27" i="1"/>
  <c r="BQ27" i="1" s="1"/>
  <c r="BI27" i="1"/>
  <c r="BK27" i="1" s="1"/>
  <c r="BC27" i="1"/>
  <c r="BE27" i="1" s="1"/>
  <c r="G27" i="1"/>
  <c r="AC27" i="1" s="1"/>
  <c r="BL27" i="1"/>
  <c r="BF35" i="1"/>
  <c r="BL36" i="1"/>
  <c r="BN36" i="1" s="1"/>
  <c r="BF36" i="1"/>
  <c r="BH36" i="1" s="1"/>
  <c r="BO36" i="1"/>
  <c r="BQ36" i="1" s="1"/>
  <c r="BF38" i="1"/>
  <c r="BH38" i="1" s="1"/>
  <c r="BL39" i="1"/>
  <c r="BN39" i="1" s="1"/>
  <c r="BF39" i="1"/>
  <c r="H39" i="1"/>
  <c r="AD39" i="1" s="1"/>
  <c r="BC39" i="1"/>
  <c r="BE39" i="1" s="1"/>
  <c r="AD43" i="1"/>
  <c r="AD31" i="1"/>
  <c r="BL30" i="1"/>
  <c r="BF30" i="1"/>
  <c r="AD34" i="1"/>
  <c r="AD37" i="1"/>
  <c r="AC40" i="1"/>
  <c r="AC43" i="1"/>
  <c r="BO41" i="1"/>
  <c r="BI41" i="1"/>
  <c r="BK41" i="1" s="1"/>
  <c r="BC41" i="1"/>
  <c r="BE41" i="1" s="1"/>
  <c r="G41" i="1"/>
  <c r="AC41" i="1" s="1"/>
  <c r="BL41" i="1"/>
  <c r="BN41" i="1" s="1"/>
  <c r="AD46" i="1"/>
  <c r="BO47" i="1"/>
  <c r="BI47" i="1"/>
  <c r="BC47" i="1"/>
  <c r="BE47" i="1" s="1"/>
  <c r="G47" i="1"/>
  <c r="AC47" i="1" s="1"/>
  <c r="H47" i="1"/>
  <c r="AD47" i="1" s="1"/>
  <c r="T12" i="5"/>
  <c r="U12" i="5" s="1"/>
  <c r="V12" i="5" s="1"/>
  <c r="T15" i="5"/>
  <c r="U15" i="5" s="1"/>
  <c r="V15" i="5" s="1"/>
  <c r="T18" i="5"/>
  <c r="U18" i="5" s="1"/>
  <c r="V18" i="5" s="1"/>
  <c r="Q5" i="5"/>
  <c r="R5" i="5" s="1"/>
  <c r="T7" i="5"/>
  <c r="U7" i="5" s="1"/>
  <c r="V7" i="5" s="1"/>
  <c r="T10" i="5"/>
  <c r="U10" i="5" s="1"/>
  <c r="V10" i="5" s="1"/>
  <c r="T22" i="5"/>
  <c r="U22" i="5" s="1"/>
  <c r="V22" i="5" s="1"/>
  <c r="T25" i="5"/>
  <c r="U25" i="5" s="1"/>
  <c r="V25" i="5" s="1"/>
  <c r="T31" i="5"/>
  <c r="U31" i="5" s="1"/>
  <c r="V31" i="5" s="1"/>
  <c r="I34" i="5"/>
  <c r="I9" i="5"/>
  <c r="N13" i="5"/>
  <c r="I15" i="5"/>
  <c r="N19" i="5"/>
  <c r="I21" i="5"/>
  <c r="N28" i="5"/>
  <c r="I30" i="5"/>
  <c r="L123" i="5"/>
  <c r="N5" i="5"/>
  <c r="I10" i="5"/>
  <c r="K12" i="5"/>
  <c r="I13" i="5"/>
  <c r="K15" i="5"/>
  <c r="I16" i="5"/>
  <c r="K18" i="5"/>
  <c r="I19" i="5"/>
  <c r="K21" i="5"/>
  <c r="I22" i="5"/>
  <c r="K24" i="5"/>
  <c r="I25" i="5"/>
  <c r="K27" i="5"/>
  <c r="I28" i="5"/>
  <c r="K30" i="5"/>
  <c r="I31" i="5"/>
  <c r="J36" i="5"/>
  <c r="I36" i="5"/>
  <c r="Q37" i="5"/>
  <c r="R37" i="5" s="1"/>
  <c r="N39" i="5"/>
  <c r="P44" i="5"/>
  <c r="Q44" i="5" s="1"/>
  <c r="R44" i="5" s="1"/>
  <c r="N44" i="5"/>
  <c r="K46" i="5"/>
  <c r="Q46" i="5"/>
  <c r="R46" i="5" s="1"/>
  <c r="T49" i="5"/>
  <c r="U49" i="5" s="1"/>
  <c r="V49" i="5" s="1"/>
  <c r="N49" i="5"/>
  <c r="T52" i="5"/>
  <c r="U52" i="5" s="1"/>
  <c r="V52" i="5" s="1"/>
  <c r="N52" i="5"/>
  <c r="T55" i="5"/>
  <c r="U55" i="5" s="1"/>
  <c r="V55" i="5" s="1"/>
  <c r="N55" i="5"/>
  <c r="T58" i="5"/>
  <c r="U58" i="5" s="1"/>
  <c r="V58" i="5" s="1"/>
  <c r="N58" i="5"/>
  <c r="J33" i="5"/>
  <c r="J123" i="5" s="1"/>
  <c r="I33" i="5"/>
  <c r="N36" i="5"/>
  <c r="J42" i="5"/>
  <c r="I42" i="5"/>
  <c r="I6" i="5"/>
  <c r="I12" i="5"/>
  <c r="N16" i="5"/>
  <c r="I18" i="5"/>
  <c r="K33" i="5"/>
  <c r="P35" i="5"/>
  <c r="Q35" i="5" s="1"/>
  <c r="R35" i="5" s="1"/>
  <c r="K37" i="5"/>
  <c r="S123" i="5"/>
  <c r="K6" i="5"/>
  <c r="I7" i="5"/>
  <c r="K9" i="5"/>
  <c r="G123" i="5"/>
  <c r="M123" i="5"/>
  <c r="T5" i="5"/>
  <c r="K36" i="5"/>
  <c r="J37" i="5"/>
  <c r="P38" i="5"/>
  <c r="Q38" i="5" s="1"/>
  <c r="R38" i="5" s="1"/>
  <c r="K40" i="5"/>
  <c r="T43" i="5"/>
  <c r="U43" i="5" s="1"/>
  <c r="V43" i="5" s="1"/>
  <c r="N43" i="5"/>
  <c r="T21" i="5"/>
  <c r="U21" i="5" s="1"/>
  <c r="V21" i="5" s="1"/>
  <c r="T24" i="5"/>
  <c r="U24" i="5" s="1"/>
  <c r="V24" i="5" s="1"/>
  <c r="T27" i="5"/>
  <c r="U27" i="5" s="1"/>
  <c r="V27" i="5" s="1"/>
  <c r="T30" i="5"/>
  <c r="U30" i="5" s="1"/>
  <c r="V30" i="5" s="1"/>
  <c r="J39" i="5"/>
  <c r="I39" i="5"/>
  <c r="J45" i="5"/>
  <c r="I45" i="5"/>
  <c r="J67" i="5"/>
  <c r="K67" i="5"/>
  <c r="I67" i="5"/>
  <c r="N6" i="5"/>
  <c r="N9" i="5"/>
  <c r="K39" i="5"/>
  <c r="Q43" i="5"/>
  <c r="R43" i="5" s="1"/>
  <c r="P47" i="5"/>
  <c r="Q47" i="5" s="1"/>
  <c r="R47" i="5" s="1"/>
  <c r="N47" i="5"/>
  <c r="J61" i="5"/>
  <c r="K61" i="5"/>
  <c r="I61" i="5"/>
  <c r="T63" i="5"/>
  <c r="U63" i="5" s="1"/>
  <c r="V63" i="5" s="1"/>
  <c r="K63" i="5"/>
  <c r="J64" i="5"/>
  <c r="K64" i="5"/>
  <c r="I64" i="5"/>
  <c r="T46" i="5"/>
  <c r="U46" i="5" s="1"/>
  <c r="V46" i="5" s="1"/>
  <c r="N46" i="5"/>
  <c r="P50" i="5"/>
  <c r="Q50" i="5" s="1"/>
  <c r="R50" i="5" s="1"/>
  <c r="N50" i="5"/>
  <c r="P53" i="5"/>
  <c r="Q53" i="5" s="1"/>
  <c r="R53" i="5" s="1"/>
  <c r="N53" i="5"/>
  <c r="P56" i="5"/>
  <c r="Q56" i="5" s="1"/>
  <c r="R56" i="5" s="1"/>
  <c r="N56" i="5"/>
  <c r="P59" i="5"/>
  <c r="Q59" i="5" s="1"/>
  <c r="R59" i="5" s="1"/>
  <c r="N59" i="5"/>
  <c r="P61" i="5"/>
  <c r="Q61" i="5" s="1"/>
  <c r="R61" i="5" s="1"/>
  <c r="N61" i="5"/>
  <c r="P64" i="5"/>
  <c r="Q64" i="5" s="1"/>
  <c r="R64" i="5" s="1"/>
  <c r="N64" i="5"/>
  <c r="I24" i="5"/>
  <c r="I27" i="5"/>
  <c r="J34" i="5"/>
  <c r="K42" i="5"/>
  <c r="J48" i="5"/>
  <c r="I48" i="5"/>
  <c r="I51" i="5"/>
  <c r="J51" i="5"/>
  <c r="I54" i="5"/>
  <c r="J54" i="5"/>
  <c r="I57" i="5"/>
  <c r="J57" i="5"/>
  <c r="I60" i="5"/>
  <c r="J60" i="5"/>
  <c r="H123" i="5"/>
  <c r="N67" i="5"/>
  <c r="J71" i="5"/>
  <c r="N75" i="5"/>
  <c r="J80" i="5"/>
  <c r="P82" i="5"/>
  <c r="Q82" i="5" s="1"/>
  <c r="R82" i="5" s="1"/>
  <c r="J86" i="5"/>
  <c r="I86" i="5"/>
  <c r="T87" i="5"/>
  <c r="U87" i="5" s="1"/>
  <c r="V87" i="5" s="1"/>
  <c r="U90" i="5"/>
  <c r="V90" i="5" s="1"/>
  <c r="N94" i="5"/>
  <c r="P94" i="5"/>
  <c r="Q94" i="5" s="1"/>
  <c r="R94" i="5" s="1"/>
  <c r="K99" i="5"/>
  <c r="J99" i="5"/>
  <c r="Q99" i="5"/>
  <c r="R99" i="5" s="1"/>
  <c r="N101" i="5"/>
  <c r="U104" i="5"/>
  <c r="V104" i="5" s="1"/>
  <c r="K108" i="5"/>
  <c r="J108" i="5"/>
  <c r="Q70" i="5"/>
  <c r="R70" i="5" s="1"/>
  <c r="K71" i="5"/>
  <c r="K73" i="5"/>
  <c r="J73" i="5"/>
  <c r="K82" i="5"/>
  <c r="J82" i="5"/>
  <c r="K84" i="5"/>
  <c r="J84" i="5"/>
  <c r="I84" i="5"/>
  <c r="T111" i="5"/>
  <c r="U111" i="5" s="1"/>
  <c r="V111" i="5" s="1"/>
  <c r="K66" i="5"/>
  <c r="I73" i="5"/>
  <c r="I82" i="5"/>
  <c r="N83" i="5"/>
  <c r="P86" i="5"/>
  <c r="Q86" i="5" s="1"/>
  <c r="R86" i="5" s="1"/>
  <c r="N86" i="5"/>
  <c r="U86" i="5"/>
  <c r="V86" i="5" s="1"/>
  <c r="Q91" i="5"/>
  <c r="R91" i="5" s="1"/>
  <c r="J95" i="5"/>
  <c r="I95" i="5"/>
  <c r="U96" i="5"/>
  <c r="V96" i="5" s="1"/>
  <c r="N100" i="5"/>
  <c r="P100" i="5"/>
  <c r="Q100" i="5" s="1"/>
  <c r="R100" i="5" s="1"/>
  <c r="N103" i="5"/>
  <c r="P103" i="5"/>
  <c r="Q103" i="5" s="1"/>
  <c r="R103" i="5" s="1"/>
  <c r="U114" i="5"/>
  <c r="V114" i="5" s="1"/>
  <c r="I49" i="5"/>
  <c r="I52" i="5"/>
  <c r="I55" i="5"/>
  <c r="I58" i="5"/>
  <c r="I62" i="5"/>
  <c r="N63" i="5"/>
  <c r="I65" i="5"/>
  <c r="N66" i="5"/>
  <c r="I68" i="5"/>
  <c r="U69" i="5"/>
  <c r="V69" i="5" s="1"/>
  <c r="N70" i="5"/>
  <c r="K76" i="5"/>
  <c r="J76" i="5"/>
  <c r="I77" i="5"/>
  <c r="U78" i="5"/>
  <c r="V78" i="5" s="1"/>
  <c r="N79" i="5"/>
  <c r="I90" i="5"/>
  <c r="Q90" i="5"/>
  <c r="R90" i="5" s="1"/>
  <c r="K93" i="5"/>
  <c r="J93" i="5"/>
  <c r="I93" i="5"/>
  <c r="K95" i="5"/>
  <c r="J104" i="5"/>
  <c r="I104" i="5"/>
  <c r="N109" i="5"/>
  <c r="P109" i="5"/>
  <c r="Q109" i="5" s="1"/>
  <c r="R109" i="5" s="1"/>
  <c r="J68" i="5"/>
  <c r="J77" i="5"/>
  <c r="N85" i="5"/>
  <c r="P85" i="5"/>
  <c r="Q85" i="5" s="1"/>
  <c r="R85" i="5" s="1"/>
  <c r="J89" i="5"/>
  <c r="I89" i="5"/>
  <c r="J90" i="5"/>
  <c r="N92" i="5"/>
  <c r="P95" i="5"/>
  <c r="Q95" i="5" s="1"/>
  <c r="R95" i="5" s="1"/>
  <c r="N95" i="5"/>
  <c r="U95" i="5"/>
  <c r="V95" i="5" s="1"/>
  <c r="J98" i="5"/>
  <c r="I98" i="5"/>
  <c r="K98" i="5"/>
  <c r="K104" i="5"/>
  <c r="J107" i="5"/>
  <c r="I107" i="5"/>
  <c r="K107" i="5"/>
  <c r="U110" i="5"/>
  <c r="V110" i="5" s="1"/>
  <c r="P69" i="5"/>
  <c r="Q69" i="5" s="1"/>
  <c r="R69" i="5" s="1"/>
  <c r="K70" i="5"/>
  <c r="J70" i="5"/>
  <c r="U72" i="5"/>
  <c r="V72" i="5" s="1"/>
  <c r="N73" i="5"/>
  <c r="K75" i="5"/>
  <c r="Q76" i="5"/>
  <c r="R76" i="5" s="1"/>
  <c r="P78" i="5"/>
  <c r="Q78" i="5" s="1"/>
  <c r="R78" i="5" s="1"/>
  <c r="K79" i="5"/>
  <c r="J79" i="5"/>
  <c r="U81" i="5"/>
  <c r="V81" i="5" s="1"/>
  <c r="T83" i="5"/>
  <c r="U83" i="5" s="1"/>
  <c r="V83" i="5" s="1"/>
  <c r="K89" i="5"/>
  <c r="P104" i="5"/>
  <c r="Q104" i="5" s="1"/>
  <c r="R104" i="5" s="1"/>
  <c r="N104" i="5"/>
  <c r="J83" i="5"/>
  <c r="I83" i="5"/>
  <c r="Q84" i="5"/>
  <c r="R84" i="5" s="1"/>
  <c r="J92" i="5"/>
  <c r="I92" i="5"/>
  <c r="Q93" i="5"/>
  <c r="R93" i="5" s="1"/>
  <c r="J101" i="5"/>
  <c r="I101" i="5"/>
  <c r="I102" i="5"/>
  <c r="Q102" i="5"/>
  <c r="R102" i="5" s="1"/>
  <c r="J110" i="5"/>
  <c r="I110" i="5"/>
  <c r="I111" i="5"/>
  <c r="Q111" i="5"/>
  <c r="R111" i="5" s="1"/>
  <c r="N113" i="5"/>
  <c r="J119" i="5"/>
  <c r="I119" i="5"/>
  <c r="I120" i="5"/>
  <c r="Q120" i="5"/>
  <c r="R120" i="5" s="1"/>
  <c r="K87" i="5"/>
  <c r="K96" i="5"/>
  <c r="K105" i="5"/>
  <c r="K110" i="5"/>
  <c r="P112" i="5"/>
  <c r="Q112" i="5" s="1"/>
  <c r="R112" i="5" s="1"/>
  <c r="K114" i="5"/>
  <c r="K119" i="5"/>
  <c r="P121" i="5"/>
  <c r="Q121" i="5" s="1"/>
  <c r="R121" i="5" s="1"/>
  <c r="K122" i="5"/>
  <c r="J113" i="5"/>
  <c r="I113" i="5"/>
  <c r="T120" i="5"/>
  <c r="U120" i="5" s="1"/>
  <c r="V120" i="5" s="1"/>
  <c r="N122" i="5"/>
  <c r="J116" i="5"/>
  <c r="I116" i="5"/>
  <c r="I117" i="5"/>
  <c r="Q117" i="5"/>
  <c r="R117" i="5" s="1"/>
  <c r="N119" i="5"/>
  <c r="K102" i="5"/>
  <c r="K111" i="5"/>
  <c r="K116" i="5"/>
  <c r="J117" i="5"/>
  <c r="P118" i="5"/>
  <c r="Q118" i="5" s="1"/>
  <c r="R118" i="5" s="1"/>
  <c r="K120" i="5"/>
  <c r="I122" i="5"/>
  <c r="J122" i="5"/>
  <c r="P122" i="5"/>
  <c r="Q122" i="5" s="1"/>
  <c r="R122" i="5" s="1"/>
  <c r="K48" i="3" l="1"/>
  <c r="EE42" i="3"/>
  <c r="EG42" i="3" s="1"/>
  <c r="W47" i="3"/>
  <c r="K41" i="3"/>
  <c r="EE41" i="3"/>
  <c r="BA41" i="3"/>
  <c r="N42" i="3"/>
  <c r="T37" i="3"/>
  <c r="EF27" i="3"/>
  <c r="EE14" i="3"/>
  <c r="EG14" i="3" s="1"/>
  <c r="K14" i="3"/>
  <c r="AI43" i="3"/>
  <c r="BD47" i="3"/>
  <c r="EA46" i="3"/>
  <c r="K38" i="3"/>
  <c r="EE38" i="3"/>
  <c r="EG38" i="3" s="1"/>
  <c r="BY42" i="3"/>
  <c r="T42" i="3"/>
  <c r="EB40" i="3"/>
  <c r="ED40" i="3" s="1"/>
  <c r="H40" i="3"/>
  <c r="CH40" i="3"/>
  <c r="EF32" i="3"/>
  <c r="K32" i="3"/>
  <c r="EE25" i="3"/>
  <c r="K25" i="3"/>
  <c r="DR43" i="3"/>
  <c r="EC43" i="3"/>
  <c r="N32" i="3"/>
  <c r="EB32" i="3"/>
  <c r="AI31" i="3"/>
  <c r="EB29" i="3"/>
  <c r="H29" i="3"/>
  <c r="EC10" i="3"/>
  <c r="H10" i="3"/>
  <c r="DX47" i="3"/>
  <c r="CE46" i="3"/>
  <c r="EF45" i="3"/>
  <c r="DL41" i="3"/>
  <c r="N40" i="3"/>
  <c r="BP25" i="3"/>
  <c r="EA43" i="3"/>
  <c r="BA43" i="3"/>
  <c r="CH36" i="3"/>
  <c r="DL31" i="3"/>
  <c r="DI29" i="3"/>
  <c r="DX29" i="3"/>
  <c r="AU35" i="3"/>
  <c r="EE31" i="3"/>
  <c r="CN28" i="3"/>
  <c r="CQ47" i="3"/>
  <c r="Q47" i="3"/>
  <c r="EB47" i="3"/>
  <c r="H47" i="3"/>
  <c r="EC47" i="3"/>
  <c r="DU46" i="3"/>
  <c r="AR45" i="3"/>
  <c r="AF45" i="3"/>
  <c r="Q44" i="3"/>
  <c r="DL44" i="3"/>
  <c r="DU42" i="3"/>
  <c r="EF42" i="3"/>
  <c r="AI42" i="3"/>
  <c r="EA42" i="3"/>
  <c r="EC40" i="3"/>
  <c r="CB40" i="3"/>
  <c r="AI40" i="3"/>
  <c r="AL40" i="3"/>
  <c r="Q37" i="3"/>
  <c r="CH37" i="3"/>
  <c r="EC46" i="3"/>
  <c r="K42" i="3"/>
  <c r="AX30" i="3"/>
  <c r="AR30" i="3"/>
  <c r="EF30" i="3"/>
  <c r="AU30" i="3"/>
  <c r="AU43" i="3"/>
  <c r="CQ43" i="3"/>
  <c r="CZ43" i="3"/>
  <c r="T43" i="3"/>
  <c r="CE43" i="3"/>
  <c r="AC43" i="3"/>
  <c r="CH43" i="3"/>
  <c r="EB38" i="3"/>
  <c r="EB36" i="3"/>
  <c r="ED36" i="3" s="1"/>
  <c r="H36" i="3"/>
  <c r="DF36" i="3"/>
  <c r="DU32" i="3"/>
  <c r="BD32" i="3"/>
  <c r="DF32" i="3"/>
  <c r="BP32" i="3"/>
  <c r="EC38" i="3"/>
  <c r="CH34" i="3"/>
  <c r="DF34" i="3"/>
  <c r="BJ31" i="3"/>
  <c r="DI31" i="3"/>
  <c r="BV31" i="3"/>
  <c r="EC29" i="3"/>
  <c r="BD29" i="3"/>
  <c r="EC20" i="3"/>
  <c r="EE18" i="3"/>
  <c r="EG18" i="3" s="1"/>
  <c r="K18" i="3"/>
  <c r="EE45" i="3"/>
  <c r="CT35" i="3"/>
  <c r="AF35" i="3"/>
  <c r="EA35" i="3"/>
  <c r="AO35" i="3"/>
  <c r="AR35" i="3"/>
  <c r="T30" i="3"/>
  <c r="BM28" i="3"/>
  <c r="K28" i="3"/>
  <c r="EE28" i="3"/>
  <c r="EG28" i="3" s="1"/>
  <c r="DL28" i="3"/>
  <c r="AO28" i="3"/>
  <c r="DU26" i="3"/>
  <c r="AX26" i="3"/>
  <c r="CH22" i="3"/>
  <c r="EC22" i="3"/>
  <c r="BD22" i="3"/>
  <c r="EC14" i="3"/>
  <c r="BV13" i="3"/>
  <c r="CK11" i="3"/>
  <c r="BP11" i="3"/>
  <c r="EB11" i="3"/>
  <c r="ED11" i="3" s="1"/>
  <c r="H11" i="3"/>
  <c r="EC39" i="3"/>
  <c r="EB34" i="3"/>
  <c r="EC27" i="3"/>
  <c r="ED27" i="3" s="1"/>
  <c r="W38" i="3"/>
  <c r="EE32" i="3"/>
  <c r="EG32" i="3" s="1"/>
  <c r="CH13" i="3"/>
  <c r="EC12" i="3"/>
  <c r="Q12" i="3"/>
  <c r="CT19" i="3"/>
  <c r="K17" i="3"/>
  <c r="EE17" i="3"/>
  <c r="EG17" i="3" s="1"/>
  <c r="AO15" i="3"/>
  <c r="L48" i="3"/>
  <c r="N5" i="3"/>
  <c r="CQ15" i="3"/>
  <c r="AV48" i="3"/>
  <c r="AX48" i="3" s="1"/>
  <c r="AX5" i="3"/>
  <c r="DI16" i="3"/>
  <c r="DU7" i="3"/>
  <c r="AX6" i="3"/>
  <c r="AJ48" i="3"/>
  <c r="AL5" i="3"/>
  <c r="BY19" i="3"/>
  <c r="DO19" i="3"/>
  <c r="AW48" i="3"/>
  <c r="DD48" i="3"/>
  <c r="DF5" i="3"/>
  <c r="Y48" i="3"/>
  <c r="BL48" i="3"/>
  <c r="CV48" i="3"/>
  <c r="CQ24" i="3"/>
  <c r="BA24" i="3"/>
  <c r="AI24" i="3"/>
  <c r="EF24" i="3"/>
  <c r="BS24" i="3"/>
  <c r="EB24" i="3"/>
  <c r="H24" i="3"/>
  <c r="DF24" i="3"/>
  <c r="EB20" i="3"/>
  <c r="BJ16" i="3"/>
  <c r="N16" i="3"/>
  <c r="CZ16" i="3"/>
  <c r="BY16" i="3"/>
  <c r="EC16" i="3"/>
  <c r="T23" i="3"/>
  <c r="DX23" i="3"/>
  <c r="BM23" i="3"/>
  <c r="BJ23" i="3"/>
  <c r="N23" i="3"/>
  <c r="CZ23" i="3"/>
  <c r="BY23" i="3"/>
  <c r="EC23" i="3"/>
  <c r="EB19" i="3"/>
  <c r="BA19" i="3"/>
  <c r="N17" i="3"/>
  <c r="BY15" i="3"/>
  <c r="EB10" i="3"/>
  <c r="T7" i="3"/>
  <c r="CT6" i="3"/>
  <c r="AG48" i="3"/>
  <c r="AI5" i="3"/>
  <c r="AU33" i="3"/>
  <c r="AU39" i="3"/>
  <c r="AU42" i="3"/>
  <c r="AU38" i="3"/>
  <c r="BM16" i="3"/>
  <c r="BJ7" i="3"/>
  <c r="BS6" i="3"/>
  <c r="CB7" i="3"/>
  <c r="EF6" i="3"/>
  <c r="EC8" i="3"/>
  <c r="V48" i="3"/>
  <c r="BT48" i="3"/>
  <c r="BF48" i="3"/>
  <c r="O48" i="3"/>
  <c r="EB45" i="3"/>
  <c r="ED45" i="3" s="1"/>
  <c r="DL32" i="3"/>
  <c r="K34" i="3"/>
  <c r="EE34" i="3"/>
  <c r="EG34" i="3" s="1"/>
  <c r="CT34" i="3"/>
  <c r="EF41" i="3"/>
  <c r="EC35" i="3"/>
  <c r="EB28" i="3"/>
  <c r="ED28" i="3" s="1"/>
  <c r="H28" i="3"/>
  <c r="EC26" i="3"/>
  <c r="N22" i="3"/>
  <c r="EE12" i="3"/>
  <c r="K12" i="3"/>
  <c r="Z11" i="3"/>
  <c r="EF13" i="3"/>
  <c r="EA13" i="3"/>
  <c r="DQ48" i="3"/>
  <c r="BJ15" i="3"/>
  <c r="AK48" i="3"/>
  <c r="H6" i="3"/>
  <c r="EB6" i="3"/>
  <c r="J48" i="3"/>
  <c r="EF5" i="3"/>
  <c r="W20" i="3"/>
  <c r="CQ19" i="3"/>
  <c r="EC19" i="3"/>
  <c r="CC48" i="3"/>
  <c r="CE5" i="3"/>
  <c r="BB48" i="3"/>
  <c r="BD5" i="3"/>
  <c r="DJ48" i="3"/>
  <c r="DL48" i="3" s="1"/>
  <c r="DL5" i="3"/>
  <c r="AH48" i="3"/>
  <c r="BQ48" i="3"/>
  <c r="BS5" i="3"/>
  <c r="DA48" i="3"/>
  <c r="DC48" i="3" s="1"/>
  <c r="DC5" i="3"/>
  <c r="ED14" i="3"/>
  <c r="DU16" i="3"/>
  <c r="EF23" i="3"/>
  <c r="CK23" i="3"/>
  <c r="DU23" i="3"/>
  <c r="H19" i="3"/>
  <c r="CZ24" i="3"/>
  <c r="AR22" i="3"/>
  <c r="AC19" i="3"/>
  <c r="DO17" i="3"/>
  <c r="BP16" i="3"/>
  <c r="BA15" i="3"/>
  <c r="DY48" i="3"/>
  <c r="EA5" i="3"/>
  <c r="AA48" i="3"/>
  <c r="AC48" i="3" s="1"/>
  <c r="AC5" i="3"/>
  <c r="AR33" i="3"/>
  <c r="AR44" i="3"/>
  <c r="AC16" i="3"/>
  <c r="DB48" i="3"/>
  <c r="DL43" i="3"/>
  <c r="AC31" i="3"/>
  <c r="T31" i="3"/>
  <c r="CE31" i="3"/>
  <c r="CN29" i="3"/>
  <c r="EC21" i="3"/>
  <c r="Q10" i="3"/>
  <c r="EE10" i="3"/>
  <c r="N9" i="3"/>
  <c r="EC9" i="3"/>
  <c r="CB35" i="3"/>
  <c r="BP35" i="3"/>
  <c r="EE29" i="3"/>
  <c r="CK28" i="3"/>
  <c r="BY26" i="3"/>
  <c r="N26" i="3"/>
  <c r="CH26" i="3"/>
  <c r="W22" i="3"/>
  <c r="CW22" i="3"/>
  <c r="CK22" i="3"/>
  <c r="AF22" i="3"/>
  <c r="EF8" i="3"/>
  <c r="CK8" i="3"/>
  <c r="H13" i="3"/>
  <c r="EB13" i="3"/>
  <c r="ED13" i="3" s="1"/>
  <c r="DR13" i="3"/>
  <c r="DK48" i="3"/>
  <c r="K15" i="3"/>
  <c r="EE15" i="3"/>
  <c r="EG15" i="3" s="1"/>
  <c r="BD7" i="3"/>
  <c r="DV48" i="3"/>
  <c r="DX5" i="3"/>
  <c r="AE48" i="3"/>
  <c r="AF48" i="3" s="1"/>
  <c r="EC6" i="3"/>
  <c r="Z6" i="3"/>
  <c r="K23" i="3"/>
  <c r="EE23" i="3"/>
  <c r="EG23" i="3" s="1"/>
  <c r="CW19" i="3"/>
  <c r="BH48" i="3"/>
  <c r="BJ48" i="3" s="1"/>
  <c r="BJ5" i="3"/>
  <c r="DZ48" i="3"/>
  <c r="AM48" i="3"/>
  <c r="AO5" i="3"/>
  <c r="BU48" i="3"/>
  <c r="DE48" i="3"/>
  <c r="K30" i="3"/>
  <c r="H26" i="3"/>
  <c r="CT24" i="3"/>
  <c r="AR24" i="3"/>
  <c r="EF16" i="3"/>
  <c r="W16" i="3"/>
  <c r="CH23" i="3"/>
  <c r="W23" i="3"/>
  <c r="BY17" i="3"/>
  <c r="BM17" i="3"/>
  <c r="DU17" i="3"/>
  <c r="AR16" i="3"/>
  <c r="EB7" i="3"/>
  <c r="ED7" i="3" s="1"/>
  <c r="H7" i="3"/>
  <c r="CX48" i="3"/>
  <c r="CZ5" i="3"/>
  <c r="F48" i="3"/>
  <c r="H5" i="3"/>
  <c r="EB5" i="3"/>
  <c r="AR25" i="3"/>
  <c r="AU44" i="3"/>
  <c r="AR47" i="3"/>
  <c r="BV15" i="3"/>
  <c r="DR6" i="3"/>
  <c r="EE7" i="3"/>
  <c r="EG7" i="3" s="1"/>
  <c r="K7" i="3"/>
  <c r="AP48" i="3"/>
  <c r="AR5" i="3"/>
  <c r="EF9" i="3"/>
  <c r="EB9" i="3"/>
  <c r="W14" i="3"/>
  <c r="CL48" i="3"/>
  <c r="DM48" i="3"/>
  <c r="EF46" i="3"/>
  <c r="ED33" i="3"/>
  <c r="EE20" i="3"/>
  <c r="EG20" i="3" s="1"/>
  <c r="K20" i="3"/>
  <c r="K43" i="3"/>
  <c r="EE43" i="3"/>
  <c r="DI36" i="3"/>
  <c r="EE9" i="3"/>
  <c r="EG9" i="3" s="1"/>
  <c r="K9" i="3"/>
  <c r="EF39" i="3"/>
  <c r="EB37" i="3"/>
  <c r="ED37" i="3" s="1"/>
  <c r="EC33" i="3"/>
  <c r="CH35" i="3"/>
  <c r="K35" i="3"/>
  <c r="EE35" i="3"/>
  <c r="EG35" i="3" s="1"/>
  <c r="DL35" i="3"/>
  <c r="CN35" i="3"/>
  <c r="EF33" i="3"/>
  <c r="AR28" i="3"/>
  <c r="W28" i="3"/>
  <c r="Z26" i="3"/>
  <c r="DC11" i="3"/>
  <c r="EE26" i="3"/>
  <c r="EG26" i="3" s="1"/>
  <c r="T18" i="3"/>
  <c r="CE13" i="3"/>
  <c r="AI12" i="3"/>
  <c r="BK48" i="3"/>
  <c r="BM5" i="3"/>
  <c r="CH15" i="3"/>
  <c r="EC15" i="3"/>
  <c r="ED15" i="3" s="1"/>
  <c r="CT15" i="3"/>
  <c r="DP48" i="3"/>
  <c r="DR48" i="3" s="1"/>
  <c r="DR5" i="3"/>
  <c r="X48" i="3"/>
  <c r="Z48" i="3" s="1"/>
  <c r="Z5" i="3"/>
  <c r="CH7" i="3"/>
  <c r="DH48" i="3"/>
  <c r="DR19" i="3"/>
  <c r="M48" i="3"/>
  <c r="BX48" i="3"/>
  <c r="G48" i="3"/>
  <c r="EC5" i="3"/>
  <c r="AT48" i="3"/>
  <c r="CD48" i="3"/>
  <c r="DN48" i="3"/>
  <c r="EE30" i="3"/>
  <c r="EG30" i="3" s="1"/>
  <c r="EB26" i="3"/>
  <c r="ED26" i="3" s="1"/>
  <c r="BD24" i="3"/>
  <c r="EE19" i="3"/>
  <c r="EG19" i="3" s="1"/>
  <c r="BP23" i="3"/>
  <c r="CB23" i="3"/>
  <c r="AF23" i="3"/>
  <c r="CQ23" i="3"/>
  <c r="EC24" i="3"/>
  <c r="BA17" i="3"/>
  <c r="EF17" i="3"/>
  <c r="BS17" i="3"/>
  <c r="EB17" i="3"/>
  <c r="ED17" i="3" s="1"/>
  <c r="H17" i="3"/>
  <c r="CR48" i="3"/>
  <c r="CT48" i="3" s="1"/>
  <c r="CT5" i="3"/>
  <c r="AU21" i="3"/>
  <c r="AR40" i="3"/>
  <c r="AU46" i="3"/>
  <c r="DL6" i="3"/>
  <c r="T6" i="3"/>
  <c r="EB12" i="3"/>
  <c r="ED12" i="3" s="1"/>
  <c r="BN48" i="3"/>
  <c r="BP48" i="3" s="1"/>
  <c r="AZ48" i="3"/>
  <c r="EB42" i="3"/>
  <c r="ED42" i="3" s="1"/>
  <c r="H42" i="3"/>
  <c r="EF40" i="3"/>
  <c r="EC41" i="3"/>
  <c r="EF36" i="3"/>
  <c r="EC32" i="3"/>
  <c r="DC42" i="3"/>
  <c r="BA40" i="3"/>
  <c r="BV43" i="3"/>
  <c r="DR45" i="3"/>
  <c r="EE37" i="3"/>
  <c r="K37" i="3"/>
  <c r="EE36" i="3"/>
  <c r="EG36" i="3" s="1"/>
  <c r="K36" i="3"/>
  <c r="T26" i="3"/>
  <c r="EF11" i="3"/>
  <c r="AI13" i="3"/>
  <c r="CN13" i="3"/>
  <c r="AX13" i="3"/>
  <c r="CQ12" i="3"/>
  <c r="ED21" i="3"/>
  <c r="AX7" i="3"/>
  <c r="BE48" i="3"/>
  <c r="BG48" i="3" s="1"/>
  <c r="BG5" i="3"/>
  <c r="N15" i="3"/>
  <c r="DL15" i="3"/>
  <c r="CJ48" i="3"/>
  <c r="BO48" i="3"/>
  <c r="W27" i="3"/>
  <c r="EB22" i="3"/>
  <c r="BV19" i="3"/>
  <c r="EA19" i="3"/>
  <c r="AL19" i="3"/>
  <c r="R48" i="3"/>
  <c r="T5" i="3"/>
  <c r="CO48" i="3"/>
  <c r="CQ5" i="3"/>
  <c r="P48" i="3"/>
  <c r="AY48" i="3"/>
  <c r="BA5" i="3"/>
  <c r="CI48" i="3"/>
  <c r="CK48" i="3" s="1"/>
  <c r="CK5" i="3"/>
  <c r="DS48" i="3"/>
  <c r="DU48" i="3" s="1"/>
  <c r="DU5" i="3"/>
  <c r="DC24" i="3"/>
  <c r="DL24" i="3"/>
  <c r="DO24" i="3"/>
  <c r="BV24" i="3"/>
  <c r="EB18" i="3"/>
  <c r="ED18" i="3" s="1"/>
  <c r="BS16" i="3"/>
  <c r="DR23" i="3"/>
  <c r="BS23" i="3"/>
  <c r="DC23" i="3"/>
  <c r="W17" i="3"/>
  <c r="BP17" i="3"/>
  <c r="K16" i="3"/>
  <c r="EE16" i="3"/>
  <c r="DR7" i="3"/>
  <c r="DU6" i="3"/>
  <c r="AI6" i="3"/>
  <c r="BR48" i="3"/>
  <c r="AU14" i="3"/>
  <c r="AR38" i="3"/>
  <c r="AU47" i="3"/>
  <c r="AU45" i="3"/>
  <c r="AR41" i="3"/>
  <c r="CP48" i="3"/>
  <c r="T11" i="3"/>
  <c r="EB8" i="3"/>
  <c r="BZ48" i="3"/>
  <c r="CB48" i="3" s="1"/>
  <c r="CW5" i="3"/>
  <c r="DI5" i="3"/>
  <c r="CK47" i="3"/>
  <c r="EB44" i="3"/>
  <c r="ED44" i="3" s="1"/>
  <c r="H44" i="3"/>
  <c r="K33" i="3"/>
  <c r="EE33" i="3"/>
  <c r="EG33" i="3" s="1"/>
  <c r="ED41" i="3"/>
  <c r="DC43" i="3"/>
  <c r="BP41" i="3"/>
  <c r="EF44" i="3"/>
  <c r="H43" i="3"/>
  <c r="EB43" i="3"/>
  <c r="CT43" i="3"/>
  <c r="DO39" i="3"/>
  <c r="T32" i="3"/>
  <c r="EC34" i="3"/>
  <c r="T29" i="3"/>
  <c r="BV10" i="3"/>
  <c r="EB46" i="3"/>
  <c r="ED46" i="3" s="1"/>
  <c r="H46" i="3"/>
  <c r="BS44" i="3"/>
  <c r="DI40" i="3"/>
  <c r="EA37" i="3"/>
  <c r="K27" i="3"/>
  <c r="EE27" i="3"/>
  <c r="CE32" i="3"/>
  <c r="EB30" i="3"/>
  <c r="ED30" i="3" s="1"/>
  <c r="H30" i="3"/>
  <c r="EF25" i="3"/>
  <c r="CK43" i="3"/>
  <c r="BG43" i="3"/>
  <c r="EB39" i="3"/>
  <c r="ED39" i="3" s="1"/>
  <c r="BG34" i="3"/>
  <c r="CK34" i="3"/>
  <c r="DR31" i="3"/>
  <c r="CB29" i="3"/>
  <c r="Z29" i="3"/>
  <c r="EF10" i="3"/>
  <c r="DR35" i="3"/>
  <c r="H35" i="3"/>
  <c r="EB35" i="3"/>
  <c r="CB28" i="3"/>
  <c r="BJ22" i="3"/>
  <c r="EE13" i="3"/>
  <c r="EG13" i="3" s="1"/>
  <c r="K13" i="3"/>
  <c r="EE8" i="3"/>
  <c r="K8" i="3"/>
  <c r="K47" i="3"/>
  <c r="EE47" i="3"/>
  <c r="EG47" i="3" s="1"/>
  <c r="N47" i="3"/>
  <c r="DL47" i="3"/>
  <c r="Z47" i="3"/>
  <c r="DU45" i="3"/>
  <c r="DL45" i="3"/>
  <c r="AX44" i="3"/>
  <c r="BY44" i="3"/>
  <c r="AU41" i="3"/>
  <c r="BM44" i="3"/>
  <c r="EE39" i="3"/>
  <c r="K39" i="3"/>
  <c r="EE44" i="3"/>
  <c r="EG44" i="3" s="1"/>
  <c r="Q42" i="3"/>
  <c r="AX42" i="3"/>
  <c r="CZ42" i="3"/>
  <c r="CQ40" i="3"/>
  <c r="BV40" i="3"/>
  <c r="CW40" i="3"/>
  <c r="T40" i="3"/>
  <c r="DR40" i="3"/>
  <c r="EE46" i="3"/>
  <c r="EG46" i="3" s="1"/>
  <c r="BM42" i="3"/>
  <c r="EF37" i="3"/>
  <c r="CE37" i="3"/>
  <c r="BP37" i="3"/>
  <c r="EE21" i="3"/>
  <c r="EG21" i="3" s="1"/>
  <c r="K21" i="3"/>
  <c r="CH20" i="3"/>
  <c r="EE40" i="3"/>
  <c r="EG40" i="3" s="1"/>
  <c r="K44" i="3"/>
  <c r="BP43" i="3"/>
  <c r="AX43" i="3"/>
  <c r="DI43" i="3"/>
  <c r="BY43" i="3"/>
  <c r="EF43" i="3"/>
  <c r="W43" i="3"/>
  <c r="AX36" i="3"/>
  <c r="CN36" i="3"/>
  <c r="BM36" i="3"/>
  <c r="CW36" i="3"/>
  <c r="AX32" i="3"/>
  <c r="BV34" i="3"/>
  <c r="CZ34" i="3"/>
  <c r="BJ34" i="3"/>
  <c r="W34" i="3"/>
  <c r="EC31" i="3"/>
  <c r="EF31" i="3"/>
  <c r="AU31" i="3"/>
  <c r="BP31" i="3"/>
  <c r="DX31" i="3"/>
  <c r="CW31" i="3"/>
  <c r="CE29" i="3"/>
  <c r="EF29" i="3"/>
  <c r="AU29" i="3"/>
  <c r="CW29" i="3"/>
  <c r="CH29" i="3"/>
  <c r="AO29" i="3"/>
  <c r="T35" i="3"/>
  <c r="DO35" i="3"/>
  <c r="BS35" i="3"/>
  <c r="DC35" i="3"/>
  <c r="Z35" i="3"/>
  <c r="DX35" i="3"/>
  <c r="CZ28" i="3"/>
  <c r="DX28" i="3"/>
  <c r="BS28" i="3"/>
  <c r="AU26" i="3"/>
  <c r="BD26" i="3"/>
  <c r="AL26" i="3"/>
  <c r="CQ26" i="3"/>
  <c r="K22" i="3"/>
  <c r="EE22" i="3"/>
  <c r="EG22" i="3" s="1"/>
  <c r="DR22" i="3"/>
  <c r="DF22" i="3"/>
  <c r="DI12" i="3"/>
  <c r="K11" i="3"/>
  <c r="EE11" i="3"/>
  <c r="EG11" i="3" s="1"/>
  <c r="DR8" i="3"/>
  <c r="H34" i="3"/>
  <c r="EB31" i="3"/>
  <c r="ED31" i="3" s="1"/>
  <c r="EB25" i="3"/>
  <c r="ED25" i="3" s="1"/>
  <c r="AR13" i="3"/>
  <c r="CT13" i="3"/>
  <c r="EF12" i="3"/>
  <c r="AU12" i="3"/>
  <c r="DO12" i="3"/>
  <c r="BD16" i="3"/>
  <c r="AX15" i="3"/>
  <c r="DX7" i="3"/>
  <c r="S48" i="3"/>
  <c r="W15" i="3"/>
  <c r="CW15" i="3"/>
  <c r="T15" i="3"/>
  <c r="CK15" i="3"/>
  <c r="AF15" i="3"/>
  <c r="CQ7" i="3"/>
  <c r="BW48" i="3"/>
  <c r="BY48" i="3" s="1"/>
  <c r="BY5" i="3"/>
  <c r="AC7" i="3"/>
  <c r="BI48" i="3"/>
  <c r="BJ19" i="3"/>
  <c r="BD19" i="3"/>
  <c r="AX19" i="3"/>
  <c r="AN48" i="3"/>
  <c r="CY48" i="3"/>
  <c r="U48" i="3"/>
  <c r="W48" i="3" s="1"/>
  <c r="W5" i="3"/>
  <c r="BC48" i="3"/>
  <c r="CM48" i="3"/>
  <c r="DW48" i="3"/>
  <c r="K24" i="3"/>
  <c r="EE24" i="3"/>
  <c r="Q24" i="3"/>
  <c r="T24" i="3"/>
  <c r="BY24" i="3"/>
  <c r="BM24" i="3"/>
  <c r="DU24" i="3"/>
  <c r="CN24" i="3"/>
  <c r="EF21" i="3"/>
  <c r="DR16" i="3"/>
  <c r="AL16" i="3"/>
  <c r="EB16" i="3"/>
  <c r="ED16" i="3" s="1"/>
  <c r="H16" i="3"/>
  <c r="AO16" i="3"/>
  <c r="DL23" i="3"/>
  <c r="AC23" i="3"/>
  <c r="AL23" i="3"/>
  <c r="EB23" i="3"/>
  <c r="H23" i="3"/>
  <c r="EA23" i="3"/>
  <c r="AO23" i="3"/>
  <c r="H15" i="3"/>
  <c r="Q23" i="3"/>
  <c r="CW17" i="3"/>
  <c r="AC17" i="3"/>
  <c r="CH17" i="3"/>
  <c r="AR17" i="3"/>
  <c r="AU10" i="3"/>
  <c r="AC6" i="3"/>
  <c r="AS48" i="3"/>
  <c r="AU48" i="3" s="1"/>
  <c r="AU5" i="3"/>
  <c r="AU27" i="3"/>
  <c r="AU20" i="3"/>
  <c r="AR39" i="3"/>
  <c r="AR37" i="3"/>
  <c r="CW16" i="3"/>
  <c r="AQ48" i="3"/>
  <c r="DC7" i="3"/>
  <c r="AF6" i="3"/>
  <c r="CF48" i="3"/>
  <c r="CH48" i="3" s="1"/>
  <c r="BV5" i="3"/>
  <c r="H12" i="3"/>
  <c r="EE5" i="3"/>
  <c r="CU48" i="3"/>
  <c r="CW48" i="3" s="1"/>
  <c r="AF5" i="3"/>
  <c r="EE6" i="3"/>
  <c r="EG6" i="3" s="1"/>
  <c r="Q5" i="3"/>
  <c r="DG48" i="3"/>
  <c r="DI48" i="3" s="1"/>
  <c r="BF48" i="1"/>
  <c r="G48" i="1"/>
  <c r="AB31" i="1"/>
  <c r="AN31" i="1"/>
  <c r="AO31" i="1" s="1"/>
  <c r="AP31" i="1" s="1"/>
  <c r="AA31" i="1"/>
  <c r="AA38" i="1"/>
  <c r="AN38" i="1"/>
  <c r="AO38" i="1" s="1"/>
  <c r="AP38" i="1" s="1"/>
  <c r="AB38" i="1"/>
  <c r="AA35" i="1"/>
  <c r="AN35" i="1"/>
  <c r="AO35" i="1" s="1"/>
  <c r="AP35" i="1" s="1"/>
  <c r="AB35" i="1"/>
  <c r="Y28" i="1"/>
  <c r="AA6" i="1"/>
  <c r="AN6" i="1"/>
  <c r="AO6" i="1" s="1"/>
  <c r="AP6" i="1" s="1"/>
  <c r="AB6" i="1"/>
  <c r="T42" i="1"/>
  <c r="AN44" i="1"/>
  <c r="AO44" i="1" s="1"/>
  <c r="AP44" i="1" s="1"/>
  <c r="AB44" i="1"/>
  <c r="AA44" i="1"/>
  <c r="AN33" i="1"/>
  <c r="AO33" i="1" s="1"/>
  <c r="AP33" i="1" s="1"/>
  <c r="AB33" i="1"/>
  <c r="AA33" i="1"/>
  <c r="AZ14" i="1"/>
  <c r="BA14" i="1" s="1"/>
  <c r="BB14" i="1" s="1"/>
  <c r="V14" i="1"/>
  <c r="W14" i="1"/>
  <c r="AV48" i="1"/>
  <c r="AW48" i="1" s="1"/>
  <c r="AX48" i="1" s="1"/>
  <c r="AW5" i="1"/>
  <c r="AX5" i="1" s="1"/>
  <c r="K8" i="1"/>
  <c r="T19" i="1"/>
  <c r="AZ17" i="1"/>
  <c r="BA17" i="1" s="1"/>
  <c r="BB17" i="1" s="1"/>
  <c r="V17" i="1"/>
  <c r="W17" i="1"/>
  <c r="V20" i="1"/>
  <c r="W20" i="1"/>
  <c r="AZ20" i="1"/>
  <c r="BA20" i="1" s="1"/>
  <c r="BB20" i="1" s="1"/>
  <c r="AZ15" i="1"/>
  <c r="BA15" i="1" s="1"/>
  <c r="BB15" i="1" s="1"/>
  <c r="W15" i="1"/>
  <c r="V15" i="1"/>
  <c r="AZ11" i="1"/>
  <c r="BA11" i="1" s="1"/>
  <c r="BB11" i="1" s="1"/>
  <c r="V11" i="1"/>
  <c r="W11" i="1"/>
  <c r="BK48" i="1"/>
  <c r="AY48" i="1"/>
  <c r="BL48" i="1"/>
  <c r="AZ42" i="1"/>
  <c r="BA42" i="1" s="1"/>
  <c r="BB42" i="1" s="1"/>
  <c r="V42" i="1"/>
  <c r="W42" i="1"/>
  <c r="AZ47" i="1"/>
  <c r="BA47" i="1" s="1"/>
  <c r="BB47" i="1" s="1"/>
  <c r="V47" i="1"/>
  <c r="W47" i="1"/>
  <c r="K44" i="1"/>
  <c r="AN36" i="1"/>
  <c r="AO36" i="1" s="1"/>
  <c r="AP36" i="1" s="1"/>
  <c r="AB36" i="1"/>
  <c r="AA36" i="1"/>
  <c r="V34" i="1"/>
  <c r="AZ34" i="1"/>
  <c r="BA34" i="1" s="1"/>
  <c r="BB34" i="1" s="1"/>
  <c r="W34" i="1"/>
  <c r="J33" i="1"/>
  <c r="Y33" i="1"/>
  <c r="V41" i="1"/>
  <c r="AZ41" i="1"/>
  <c r="BA41" i="1" s="1"/>
  <c r="BB41" i="1" s="1"/>
  <c r="W41" i="1"/>
  <c r="Y29" i="1"/>
  <c r="S29" i="1"/>
  <c r="S42" i="1"/>
  <c r="AZ29" i="1"/>
  <c r="BA29" i="1" s="1"/>
  <c r="BB29" i="1" s="1"/>
  <c r="V29" i="1"/>
  <c r="W29" i="1"/>
  <c r="S44" i="1"/>
  <c r="AA28" i="1"/>
  <c r="AN28" i="1"/>
  <c r="AO28" i="1" s="1"/>
  <c r="AP28" i="1" s="1"/>
  <c r="AB28" i="1"/>
  <c r="T47" i="1"/>
  <c r="V21" i="1"/>
  <c r="AZ21" i="1"/>
  <c r="BA21" i="1" s="1"/>
  <c r="BB21" i="1" s="1"/>
  <c r="W21" i="1"/>
  <c r="AZ6" i="1"/>
  <c r="BA6" i="1" s="1"/>
  <c r="BB6" i="1" s="1"/>
  <c r="W6" i="1"/>
  <c r="V6" i="1"/>
  <c r="U48" i="1"/>
  <c r="AZ5" i="1"/>
  <c r="BA5" i="1" s="1"/>
  <c r="BB5" i="1" s="1"/>
  <c r="V5" i="1"/>
  <c r="W5" i="1"/>
  <c r="T11" i="1"/>
  <c r="AZ9" i="1"/>
  <c r="BA9" i="1" s="1"/>
  <c r="BB9" i="1" s="1"/>
  <c r="W9" i="1"/>
  <c r="V9" i="1"/>
  <c r="J8" i="1"/>
  <c r="AN22" i="1"/>
  <c r="AO22" i="1" s="1"/>
  <c r="AP22" i="1" s="1"/>
  <c r="AB22" i="1"/>
  <c r="AA22" i="1"/>
  <c r="T21" i="1"/>
  <c r="AA24" i="1"/>
  <c r="AN24" i="1"/>
  <c r="AO24" i="1" s="1"/>
  <c r="AP24" i="1" s="1"/>
  <c r="AB24" i="1"/>
  <c r="AN17" i="1"/>
  <c r="AO17" i="1" s="1"/>
  <c r="AP17" i="1" s="1"/>
  <c r="AB17" i="1"/>
  <c r="AA17" i="1"/>
  <c r="Y11" i="1"/>
  <c r="K11" i="1"/>
  <c r="AB7" i="1"/>
  <c r="AN7" i="1"/>
  <c r="AO7" i="1" s="1"/>
  <c r="AP7" i="1" s="1"/>
  <c r="AA7" i="1"/>
  <c r="T48" i="1"/>
  <c r="S48" i="1"/>
  <c r="H48" i="1"/>
  <c r="AZ45" i="1"/>
  <c r="BA45" i="1" s="1"/>
  <c r="BB45" i="1" s="1"/>
  <c r="V45" i="1"/>
  <c r="W45" i="1"/>
  <c r="AA46" i="1"/>
  <c r="AB46" i="1"/>
  <c r="AN46" i="1"/>
  <c r="AO46" i="1" s="1"/>
  <c r="AP46" i="1" s="1"/>
  <c r="J38" i="1"/>
  <c r="J44" i="1"/>
  <c r="AN30" i="1"/>
  <c r="AO30" i="1" s="1"/>
  <c r="AP30" i="1" s="1"/>
  <c r="AA30" i="1"/>
  <c r="AB30" i="1"/>
  <c r="AZ39" i="1"/>
  <c r="BA39" i="1" s="1"/>
  <c r="BB39" i="1" s="1"/>
  <c r="V39" i="1"/>
  <c r="W39" i="1"/>
  <c r="AZ37" i="1"/>
  <c r="BA37" i="1" s="1"/>
  <c r="BB37" i="1" s="1"/>
  <c r="V37" i="1"/>
  <c r="W37" i="1"/>
  <c r="V28" i="1"/>
  <c r="W28" i="1"/>
  <c r="AZ28" i="1"/>
  <c r="BA28" i="1" s="1"/>
  <c r="BB28" i="1" s="1"/>
  <c r="V25" i="1"/>
  <c r="AZ25" i="1"/>
  <c r="BA25" i="1" s="1"/>
  <c r="BB25" i="1" s="1"/>
  <c r="W25" i="1"/>
  <c r="AZ30" i="1"/>
  <c r="BA30" i="1" s="1"/>
  <c r="BB30" i="1" s="1"/>
  <c r="W30" i="1"/>
  <c r="V30" i="1"/>
  <c r="AB23" i="1"/>
  <c r="AN23" i="1"/>
  <c r="AO23" i="1" s="1"/>
  <c r="AP23" i="1" s="1"/>
  <c r="AA23" i="1"/>
  <c r="AB41" i="1"/>
  <c r="AN41" i="1"/>
  <c r="AO41" i="1" s="1"/>
  <c r="AP41" i="1" s="1"/>
  <c r="AA41" i="1"/>
  <c r="Y18" i="1"/>
  <c r="AN12" i="1"/>
  <c r="AO12" i="1" s="1"/>
  <c r="AP12" i="1" s="1"/>
  <c r="AB12" i="1"/>
  <c r="AA12" i="1"/>
  <c r="W26" i="1"/>
  <c r="V26" i="1"/>
  <c r="AZ26" i="1"/>
  <c r="BA26" i="1" s="1"/>
  <c r="BB26" i="1" s="1"/>
  <c r="V24" i="1"/>
  <c r="AZ24" i="1"/>
  <c r="BA24" i="1" s="1"/>
  <c r="BB24" i="1" s="1"/>
  <c r="W24" i="1"/>
  <c r="S28" i="1"/>
  <c r="AA47" i="1"/>
  <c r="AB47" i="1"/>
  <c r="AN47" i="1"/>
  <c r="AO47" i="1" s="1"/>
  <c r="AP47" i="1" s="1"/>
  <c r="T27" i="1"/>
  <c r="AA25" i="1"/>
  <c r="AB25" i="1"/>
  <c r="AN25" i="1"/>
  <c r="AO25" i="1" s="1"/>
  <c r="AP25" i="1" s="1"/>
  <c r="AN14" i="1"/>
  <c r="AO14" i="1" s="1"/>
  <c r="AP14" i="1" s="1"/>
  <c r="AB14" i="1"/>
  <c r="AA14" i="1"/>
  <c r="AA13" i="1"/>
  <c r="AN13" i="1"/>
  <c r="AO13" i="1" s="1"/>
  <c r="AP13" i="1" s="1"/>
  <c r="AB13" i="1"/>
  <c r="AN21" i="1"/>
  <c r="AO21" i="1" s="1"/>
  <c r="AP21" i="1" s="1"/>
  <c r="AB21" i="1"/>
  <c r="AA21" i="1"/>
  <c r="S18" i="1"/>
  <c r="T24" i="1"/>
  <c r="AR48" i="1"/>
  <c r="AS48" i="1" s="1"/>
  <c r="AT48" i="1" s="1"/>
  <c r="AS5" i="1"/>
  <c r="AT5" i="1" s="1"/>
  <c r="Y19" i="1"/>
  <c r="AC48" i="1"/>
  <c r="BC48" i="1"/>
  <c r="Y41" i="1"/>
  <c r="AA37" i="1"/>
  <c r="AB37" i="1"/>
  <c r="AN37" i="1"/>
  <c r="AO37" i="1" s="1"/>
  <c r="AP37" i="1" s="1"/>
  <c r="W46" i="1"/>
  <c r="AZ46" i="1"/>
  <c r="BA46" i="1" s="1"/>
  <c r="BB46" i="1" s="1"/>
  <c r="V46" i="1"/>
  <c r="V44" i="1"/>
  <c r="W44" i="1"/>
  <c r="AZ44" i="1"/>
  <c r="BA44" i="1" s="1"/>
  <c r="BB44" i="1" s="1"/>
  <c r="AZ35" i="1"/>
  <c r="BA35" i="1" s="1"/>
  <c r="BB35" i="1" s="1"/>
  <c r="W35" i="1"/>
  <c r="V35" i="1"/>
  <c r="V32" i="1"/>
  <c r="AZ32" i="1"/>
  <c r="BA32" i="1" s="1"/>
  <c r="BB32" i="1" s="1"/>
  <c r="W32" i="1"/>
  <c r="Y27" i="1"/>
  <c r="Y24" i="1"/>
  <c r="AA40" i="1"/>
  <c r="AB40" i="1"/>
  <c r="AN40" i="1"/>
  <c r="AO40" i="1" s="1"/>
  <c r="AP40" i="1" s="1"/>
  <c r="AA45" i="1"/>
  <c r="AN45" i="1"/>
  <c r="AO45" i="1" s="1"/>
  <c r="AP45" i="1" s="1"/>
  <c r="AB45" i="1"/>
  <c r="T41" i="1"/>
  <c r="AN29" i="1"/>
  <c r="AO29" i="1" s="1"/>
  <c r="AP29" i="1" s="1"/>
  <c r="AB29" i="1"/>
  <c r="AA29" i="1"/>
  <c r="AB9" i="1"/>
  <c r="AA9" i="1"/>
  <c r="AN9" i="1"/>
  <c r="AO9" i="1" s="1"/>
  <c r="AP9" i="1" s="1"/>
  <c r="T28" i="1"/>
  <c r="S47" i="1"/>
  <c r="AB27" i="1"/>
  <c r="AA27" i="1"/>
  <c r="AN27" i="1"/>
  <c r="AO27" i="1" s="1"/>
  <c r="AP27" i="1" s="1"/>
  <c r="V23" i="1"/>
  <c r="AZ23" i="1"/>
  <c r="BA23" i="1" s="1"/>
  <c r="BB23" i="1" s="1"/>
  <c r="W23" i="1"/>
  <c r="W16" i="1"/>
  <c r="V16" i="1"/>
  <c r="AZ16" i="1"/>
  <c r="BA16" i="1" s="1"/>
  <c r="BB16" i="1" s="1"/>
  <c r="AN10" i="1"/>
  <c r="AO10" i="1" s="1"/>
  <c r="AP10" i="1" s="1"/>
  <c r="AB10" i="1"/>
  <c r="AA10" i="1"/>
  <c r="AN8" i="1"/>
  <c r="AO8" i="1" s="1"/>
  <c r="AP8" i="1" s="1"/>
  <c r="AB8" i="1"/>
  <c r="AA8" i="1"/>
  <c r="S11" i="1"/>
  <c r="AZ19" i="1"/>
  <c r="BA19" i="1" s="1"/>
  <c r="BB19" i="1" s="1"/>
  <c r="V19" i="1"/>
  <c r="W19" i="1"/>
  <c r="S24" i="1"/>
  <c r="AZ13" i="1"/>
  <c r="BA13" i="1" s="1"/>
  <c r="BB13" i="1" s="1"/>
  <c r="W13" i="1"/>
  <c r="V13" i="1"/>
  <c r="AA16" i="1"/>
  <c r="AN16" i="1"/>
  <c r="AO16" i="1" s="1"/>
  <c r="AP16" i="1" s="1"/>
  <c r="AB16" i="1"/>
  <c r="BN5" i="1"/>
  <c r="J11" i="1"/>
  <c r="V10" i="1"/>
  <c r="AZ10" i="1"/>
  <c r="BA10" i="1" s="1"/>
  <c r="BB10" i="1" s="1"/>
  <c r="W10" i="1"/>
  <c r="AD48" i="1"/>
  <c r="Y44" i="1"/>
  <c r="AN43" i="1"/>
  <c r="AO43" i="1" s="1"/>
  <c r="AP43" i="1" s="1"/>
  <c r="AA43" i="1"/>
  <c r="AB43" i="1"/>
  <c r="AB34" i="1"/>
  <c r="AA34" i="1"/>
  <c r="AN34" i="1"/>
  <c r="AO34" i="1" s="1"/>
  <c r="AP34" i="1" s="1"/>
  <c r="K47" i="1"/>
  <c r="K38" i="1"/>
  <c r="AZ36" i="1"/>
  <c r="BA36" i="1" s="1"/>
  <c r="BB36" i="1" s="1"/>
  <c r="V36" i="1"/>
  <c r="W36" i="1"/>
  <c r="K35" i="1"/>
  <c r="K39" i="1"/>
  <c r="AZ33" i="1"/>
  <c r="BA33" i="1" s="1"/>
  <c r="BB33" i="1" s="1"/>
  <c r="V33" i="1"/>
  <c r="W33" i="1"/>
  <c r="J32" i="1"/>
  <c r="AB20" i="1"/>
  <c r="AN20" i="1"/>
  <c r="AO20" i="1" s="1"/>
  <c r="AP20" i="1" s="1"/>
  <c r="AA20" i="1"/>
  <c r="W43" i="1"/>
  <c r="V43" i="1"/>
  <c r="AZ43" i="1"/>
  <c r="BA43" i="1" s="1"/>
  <c r="BB43" i="1" s="1"/>
  <c r="T29" i="1"/>
  <c r="T15" i="1"/>
  <c r="Y42" i="1"/>
  <c r="S33" i="1"/>
  <c r="T32" i="1"/>
  <c r="V27" i="1"/>
  <c r="W27" i="1"/>
  <c r="AZ27" i="1"/>
  <c r="BA27" i="1" s="1"/>
  <c r="BB27" i="1" s="1"/>
  <c r="S8" i="1"/>
  <c r="J48" i="1"/>
  <c r="K48" i="1"/>
  <c r="AN11" i="1"/>
  <c r="AO11" i="1" s="1"/>
  <c r="AP11" i="1" s="1"/>
  <c r="AB11" i="1"/>
  <c r="AA11" i="1"/>
  <c r="BH5" i="1"/>
  <c r="J19" i="1"/>
  <c r="T22" i="1"/>
  <c r="AN19" i="1"/>
  <c r="AO19" i="1" s="1"/>
  <c r="AP19" i="1" s="1"/>
  <c r="AB19" i="1"/>
  <c r="AA19" i="1"/>
  <c r="T18" i="1"/>
  <c r="V18" i="1"/>
  <c r="W18" i="1"/>
  <c r="AZ18" i="1"/>
  <c r="BA18" i="1" s="1"/>
  <c r="BB18" i="1" s="1"/>
  <c r="X48" i="1"/>
  <c r="Y48" i="1" s="1"/>
  <c r="Y5" i="1"/>
  <c r="Y21" i="1"/>
  <c r="Y13" i="1"/>
  <c r="BN48" i="1"/>
  <c r="Y8" i="1"/>
  <c r="AJ48" i="1"/>
  <c r="AK48" i="1" s="1"/>
  <c r="AL48" i="1" s="1"/>
  <c r="AK5" i="1"/>
  <c r="AL5" i="1" s="1"/>
  <c r="BK8" i="1"/>
  <c r="BO48" i="1"/>
  <c r="BQ48" i="1" s="1"/>
  <c r="Y47" i="1"/>
  <c r="K45" i="1"/>
  <c r="K42" i="1"/>
  <c r="J47" i="1"/>
  <c r="V38" i="1"/>
  <c r="W38" i="1"/>
  <c r="AZ38" i="1"/>
  <c r="BA38" i="1" s="1"/>
  <c r="BB38" i="1" s="1"/>
  <c r="AN39" i="1"/>
  <c r="AO39" i="1" s="1"/>
  <c r="AP39" i="1" s="1"/>
  <c r="AB39" i="1"/>
  <c r="AA39" i="1"/>
  <c r="J39" i="1"/>
  <c r="K33" i="1"/>
  <c r="K32" i="1"/>
  <c r="V31" i="1"/>
  <c r="AZ31" i="1"/>
  <c r="BA31" i="1" s="1"/>
  <c r="BB31" i="1" s="1"/>
  <c r="W31" i="1"/>
  <c r="S41" i="1"/>
  <c r="AB15" i="1"/>
  <c r="AA15" i="1"/>
  <c r="AN15" i="1"/>
  <c r="AO15" i="1" s="1"/>
  <c r="AP15" i="1" s="1"/>
  <c r="AA42" i="1"/>
  <c r="AN42" i="1"/>
  <c r="AO42" i="1" s="1"/>
  <c r="AP42" i="1" s="1"/>
  <c r="AB42" i="1"/>
  <c r="W40" i="1"/>
  <c r="AZ40" i="1"/>
  <c r="BA40" i="1" s="1"/>
  <c r="BB40" i="1" s="1"/>
  <c r="V40" i="1"/>
  <c r="AA26" i="1"/>
  <c r="AB26" i="1"/>
  <c r="AN26" i="1"/>
  <c r="AO26" i="1" s="1"/>
  <c r="AP26" i="1" s="1"/>
  <c r="T44" i="1"/>
  <c r="T33" i="1"/>
  <c r="AA32" i="1"/>
  <c r="AB32" i="1"/>
  <c r="AN32" i="1"/>
  <c r="AO32" i="1" s="1"/>
  <c r="AP32" i="1" s="1"/>
  <c r="S27" i="1"/>
  <c r="AZ22" i="1"/>
  <c r="BA22" i="1" s="1"/>
  <c r="BB22" i="1" s="1"/>
  <c r="V22" i="1"/>
  <c r="W22" i="1"/>
  <c r="J21" i="1"/>
  <c r="AZ8" i="1"/>
  <c r="BA8" i="1" s="1"/>
  <c r="BB8" i="1" s="1"/>
  <c r="V8" i="1"/>
  <c r="W8" i="1"/>
  <c r="AZ7" i="1"/>
  <c r="BA7" i="1" s="1"/>
  <c r="BB7" i="1" s="1"/>
  <c r="W7" i="1"/>
  <c r="V7" i="1"/>
  <c r="BH48" i="1"/>
  <c r="S21" i="1"/>
  <c r="S19" i="1"/>
  <c r="AB18" i="1"/>
  <c r="AN18" i="1"/>
  <c r="AO18" i="1" s="1"/>
  <c r="AP18" i="1" s="1"/>
  <c r="AA18" i="1"/>
  <c r="BE48" i="1"/>
  <c r="N48" i="1"/>
  <c r="Q48" i="1"/>
  <c r="V12" i="1"/>
  <c r="W12" i="1"/>
  <c r="AZ12" i="1"/>
  <c r="BA12" i="1" s="1"/>
  <c r="BB12" i="1" s="1"/>
  <c r="BQ5" i="1"/>
  <c r="Z48" i="1"/>
  <c r="AN5" i="1"/>
  <c r="AB5" i="1"/>
  <c r="AA5" i="1"/>
  <c r="I123" i="5"/>
  <c r="K123" i="5"/>
  <c r="P123" i="5"/>
  <c r="Q123" i="5" s="1"/>
  <c r="R123" i="5" s="1"/>
  <c r="T123" i="5"/>
  <c r="U123" i="5" s="1"/>
  <c r="V123" i="5" s="1"/>
  <c r="U5" i="5"/>
  <c r="V5" i="5" s="1"/>
  <c r="N123" i="5"/>
  <c r="EA48" i="3" l="1"/>
  <c r="CQ48" i="3"/>
  <c r="ED20" i="3"/>
  <c r="EG24" i="3"/>
  <c r="ED43" i="3"/>
  <c r="BD48" i="3"/>
  <c r="ED23" i="3"/>
  <c r="EG8" i="3"/>
  <c r="ED8" i="3"/>
  <c r="EG16" i="3"/>
  <c r="BA48" i="3"/>
  <c r="EC48" i="3"/>
  <c r="EG43" i="3"/>
  <c r="DO48" i="3"/>
  <c r="AR48" i="3"/>
  <c r="CZ48" i="3"/>
  <c r="AO48" i="3"/>
  <c r="CE48" i="3"/>
  <c r="ED6" i="3"/>
  <c r="AI48" i="3"/>
  <c r="ED24" i="3"/>
  <c r="ED47" i="3"/>
  <c r="EF48" i="3"/>
  <c r="DF48" i="3"/>
  <c r="ED34" i="3"/>
  <c r="EG45" i="3"/>
  <c r="EG31" i="3"/>
  <c r="EG25" i="3"/>
  <c r="CN48" i="3"/>
  <c r="ED19" i="3"/>
  <c r="EB48" i="3"/>
  <c r="ED5" i="3"/>
  <c r="EG27" i="3"/>
  <c r="ED22" i="3"/>
  <c r="BM48" i="3"/>
  <c r="ED9" i="3"/>
  <c r="EG12" i="3"/>
  <c r="Q48" i="3"/>
  <c r="ED10" i="3"/>
  <c r="AL48" i="3"/>
  <c r="ED29" i="3"/>
  <c r="EG37" i="3"/>
  <c r="H48" i="3"/>
  <c r="EG10" i="3"/>
  <c r="EE48" i="3"/>
  <c r="EG5" i="3"/>
  <c r="EG39" i="3"/>
  <c r="ED35" i="3"/>
  <c r="T48" i="3"/>
  <c r="DX48" i="3"/>
  <c r="EG29" i="3"/>
  <c r="BS48" i="3"/>
  <c r="BV48" i="3"/>
  <c r="N48" i="3"/>
  <c r="ED38" i="3"/>
  <c r="ED32" i="3"/>
  <c r="EG41" i="3"/>
  <c r="AZ48" i="1"/>
  <c r="BA48" i="1" s="1"/>
  <c r="BB48" i="1" s="1"/>
  <c r="V48" i="1"/>
  <c r="W48" i="1"/>
  <c r="AN48" i="1"/>
  <c r="AO48" i="1" s="1"/>
  <c r="AP48" i="1" s="1"/>
  <c r="AO5" i="1"/>
  <c r="AP5" i="1" s="1"/>
  <c r="AA48" i="1"/>
  <c r="AB48" i="1"/>
  <c r="EG48" i="3" l="1"/>
  <c r="ED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<sst xmlns="http://schemas.openxmlformats.org/spreadsheetml/2006/main" count="996" uniqueCount="353">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</sst>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7%20Store%20perfomance.xlsx" TargetMode="External"/><Relationship Id="rId1" Type="http://schemas.openxmlformats.org/officeDocument/2006/relationships/externalLinkPath" Target="2026-09-7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6</v>
          </cell>
          <cell r="E10">
            <v>14994000</v>
          </cell>
          <cell r="F10">
            <v>16</v>
          </cell>
          <cell r="G10">
            <v>43584000</v>
          </cell>
          <cell r="J10">
            <v>4</v>
          </cell>
          <cell r="K10">
            <v>8396000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1</v>
          </cell>
          <cell r="AC10">
            <v>5899000</v>
          </cell>
          <cell r="AL10">
            <v>31</v>
          </cell>
          <cell r="AM10">
            <v>94169000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8</v>
          </cell>
          <cell r="G11">
            <v>21192000</v>
          </cell>
          <cell r="X11">
            <v>1</v>
          </cell>
          <cell r="Y11">
            <v>5499000</v>
          </cell>
          <cell r="AB11">
            <v>1</v>
          </cell>
          <cell r="AC11">
            <v>5299000</v>
          </cell>
          <cell r="AL11">
            <v>18</v>
          </cell>
          <cell r="AM11">
            <v>51882000</v>
          </cell>
        </row>
        <row r="12">
          <cell r="B12">
            <v>6240702</v>
          </cell>
          <cell r="D12">
            <v>3</v>
          </cell>
          <cell r="E12">
            <v>7497000</v>
          </cell>
          <cell r="F12">
            <v>7</v>
          </cell>
          <cell r="G12">
            <v>17993000</v>
          </cell>
          <cell r="J12">
            <v>3</v>
          </cell>
          <cell r="K12">
            <v>6297000</v>
          </cell>
          <cell r="L12">
            <v>2</v>
          </cell>
          <cell r="M12">
            <v>18998000</v>
          </cell>
          <cell r="N12">
            <v>5</v>
          </cell>
          <cell r="O12">
            <v>21295000</v>
          </cell>
          <cell r="T12">
            <v>1</v>
          </cell>
          <cell r="U12">
            <v>7999000</v>
          </cell>
          <cell r="X12">
            <v>1</v>
          </cell>
          <cell r="Y12">
            <v>5499000</v>
          </cell>
          <cell r="AB12">
            <v>3</v>
          </cell>
          <cell r="AC12">
            <v>16497000</v>
          </cell>
          <cell r="AL12">
            <v>25</v>
          </cell>
          <cell r="AM12">
            <v>102075000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13</v>
          </cell>
          <cell r="G13">
            <v>33987000</v>
          </cell>
          <cell r="J13">
            <v>4</v>
          </cell>
          <cell r="K13">
            <v>8396000</v>
          </cell>
          <cell r="N13">
            <v>5</v>
          </cell>
          <cell r="O13">
            <v>24095000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1</v>
          </cell>
          <cell r="Y13">
            <v>6299000</v>
          </cell>
          <cell r="AL13">
            <v>31</v>
          </cell>
          <cell r="AM13">
            <v>98169000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6</v>
          </cell>
          <cell r="AM14">
            <v>43794000</v>
          </cell>
        </row>
        <row r="15">
          <cell r="B15">
            <v>6240704</v>
          </cell>
          <cell r="J15">
            <v>3</v>
          </cell>
          <cell r="K15">
            <v>6297000</v>
          </cell>
          <cell r="AL15">
            <v>3</v>
          </cell>
          <cell r="AM15">
            <v>6297000</v>
          </cell>
        </row>
        <row r="16">
          <cell r="B16">
            <v>6240703</v>
          </cell>
          <cell r="D16">
            <v>6</v>
          </cell>
          <cell r="E16">
            <v>14394000</v>
          </cell>
          <cell r="F16">
            <v>3</v>
          </cell>
          <cell r="G16">
            <v>7997000</v>
          </cell>
          <cell r="J16">
            <v>3</v>
          </cell>
          <cell r="K16">
            <v>6297000</v>
          </cell>
          <cell r="L16">
            <v>1</v>
          </cell>
          <cell r="M16">
            <v>9999000</v>
          </cell>
          <cell r="N16">
            <v>6</v>
          </cell>
          <cell r="O16">
            <v>24194000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26</v>
          </cell>
          <cell r="AM16">
            <v>123874000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T17">
            <v>2</v>
          </cell>
          <cell r="U17">
            <v>14498000</v>
          </cell>
          <cell r="X17">
            <v>1</v>
          </cell>
          <cell r="Y17">
            <v>5499000</v>
          </cell>
          <cell r="AJ17">
            <v>2</v>
          </cell>
          <cell r="AK17">
            <v>15298000</v>
          </cell>
          <cell r="AL17">
            <v>8</v>
          </cell>
          <cell r="AM17">
            <v>43492000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1</v>
          </cell>
          <cell r="O18">
            <v>4299000</v>
          </cell>
          <cell r="AL18">
            <v>6</v>
          </cell>
          <cell r="AM18">
            <v>16894000</v>
          </cell>
        </row>
        <row r="19">
          <cell r="B19">
            <v>6240706</v>
          </cell>
          <cell r="F19">
            <v>2</v>
          </cell>
          <cell r="G19">
            <v>5198000</v>
          </cell>
          <cell r="J19">
            <v>1</v>
          </cell>
          <cell r="K19">
            <v>2099000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6</v>
          </cell>
          <cell r="AM19">
            <v>21994000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2</v>
          </cell>
          <cell r="O20">
            <v>8198000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6</v>
          </cell>
          <cell r="AM20">
            <v>24894000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1</v>
          </cell>
          <cell r="K21">
            <v>2099000</v>
          </cell>
          <cell r="N21">
            <v>2</v>
          </cell>
          <cell r="O21">
            <v>8198000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7</v>
          </cell>
          <cell r="AM21">
            <v>27493000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5</v>
          </cell>
          <cell r="G22">
            <v>13995000</v>
          </cell>
          <cell r="N22">
            <v>2</v>
          </cell>
          <cell r="O22">
            <v>8598000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14</v>
          </cell>
          <cell r="AM22">
            <v>50086000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2</v>
          </cell>
          <cell r="AK23">
            <v>13798000</v>
          </cell>
          <cell r="AL23">
            <v>13</v>
          </cell>
          <cell r="AM23">
            <v>65487000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4</v>
          </cell>
          <cell r="O24">
            <v>18596000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10</v>
          </cell>
          <cell r="AM24">
            <v>48290000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7</v>
          </cell>
          <cell r="G25">
            <v>18793000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L25">
            <v>15</v>
          </cell>
          <cell r="AM25">
            <v>50285000</v>
          </cell>
        </row>
        <row r="26">
          <cell r="B26">
            <v>6190704</v>
          </cell>
          <cell r="D26">
            <v>2</v>
          </cell>
          <cell r="E26">
            <v>4898000</v>
          </cell>
          <cell r="F26">
            <v>10</v>
          </cell>
          <cell r="G26">
            <v>25590000</v>
          </cell>
          <cell r="J26">
            <v>11</v>
          </cell>
          <cell r="K26">
            <v>23089000</v>
          </cell>
          <cell r="L26">
            <v>1</v>
          </cell>
          <cell r="M26">
            <v>8999000</v>
          </cell>
          <cell r="N26">
            <v>5</v>
          </cell>
          <cell r="O26">
            <v>24695000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L26">
            <v>34</v>
          </cell>
          <cell r="AM26">
            <v>121666000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L27">
            <v>12</v>
          </cell>
          <cell r="AM27">
            <v>38288000</v>
          </cell>
        </row>
        <row r="28">
          <cell r="B28">
            <v>6190707</v>
          </cell>
          <cell r="D28">
            <v>10</v>
          </cell>
          <cell r="E28">
            <v>24190000</v>
          </cell>
          <cell r="F28">
            <v>12</v>
          </cell>
          <cell r="G28">
            <v>32388000</v>
          </cell>
          <cell r="J28">
            <v>5</v>
          </cell>
          <cell r="K28">
            <v>10495000</v>
          </cell>
          <cell r="N28">
            <v>4</v>
          </cell>
          <cell r="O28">
            <v>18796000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1</v>
          </cell>
          <cell r="AK28">
            <v>6899000</v>
          </cell>
          <cell r="AL28">
            <v>36</v>
          </cell>
          <cell r="AM28">
            <v>121264000</v>
          </cell>
        </row>
        <row r="29">
          <cell r="B29">
            <v>6190706</v>
          </cell>
          <cell r="D29">
            <v>6</v>
          </cell>
          <cell r="E29">
            <v>14994000</v>
          </cell>
          <cell r="F29">
            <v>10</v>
          </cell>
          <cell r="G29">
            <v>25990000</v>
          </cell>
          <cell r="J29">
            <v>2</v>
          </cell>
          <cell r="K29">
            <v>4198000</v>
          </cell>
          <cell r="L29">
            <v>2</v>
          </cell>
          <cell r="M29">
            <v>19998000</v>
          </cell>
          <cell r="N29">
            <v>8</v>
          </cell>
          <cell r="O29">
            <v>35992000</v>
          </cell>
          <cell r="T29">
            <v>3</v>
          </cell>
          <cell r="U29">
            <v>22397000</v>
          </cell>
          <cell r="X29">
            <v>1</v>
          </cell>
          <cell r="Y29">
            <v>5499000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1</v>
          </cell>
          <cell r="AK29">
            <v>6899000</v>
          </cell>
          <cell r="AL29">
            <v>36</v>
          </cell>
          <cell r="AM29">
            <v>193264000</v>
          </cell>
        </row>
        <row r="30">
          <cell r="B30">
            <v>6190705</v>
          </cell>
          <cell r="D30">
            <v>1</v>
          </cell>
          <cell r="E30">
            <v>2299000</v>
          </cell>
          <cell r="F30">
            <v>3</v>
          </cell>
          <cell r="G30">
            <v>7597000</v>
          </cell>
          <cell r="J30">
            <v>1</v>
          </cell>
          <cell r="K30">
            <v>2099000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10</v>
          </cell>
          <cell r="AM30">
            <v>39290000</v>
          </cell>
        </row>
        <row r="31">
          <cell r="B31">
            <v>6190708</v>
          </cell>
          <cell r="F31">
            <v>1</v>
          </cell>
          <cell r="G31">
            <v>2799000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  <cell r="AL31">
            <v>3</v>
          </cell>
          <cell r="AM31">
            <v>17097000</v>
          </cell>
        </row>
        <row r="32">
          <cell r="B32">
            <v>6180706</v>
          </cell>
          <cell r="D32">
            <v>4</v>
          </cell>
          <cell r="E32">
            <v>9496000</v>
          </cell>
          <cell r="F32">
            <v>6</v>
          </cell>
          <cell r="G32">
            <v>15994000</v>
          </cell>
          <cell r="J32">
            <v>10</v>
          </cell>
          <cell r="K32">
            <v>20990000</v>
          </cell>
          <cell r="L32">
            <v>2</v>
          </cell>
          <cell r="M32">
            <v>19998000</v>
          </cell>
          <cell r="N32">
            <v>3</v>
          </cell>
          <cell r="O32">
            <v>13297000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J32">
            <v>1</v>
          </cell>
          <cell r="AK32">
            <v>6899000</v>
          </cell>
          <cell r="AL32">
            <v>31</v>
          </cell>
          <cell r="AM32">
            <v>119569000</v>
          </cell>
        </row>
        <row r="33">
          <cell r="B33">
            <v>6180707</v>
          </cell>
          <cell r="F33">
            <v>3</v>
          </cell>
          <cell r="G33">
            <v>7997000</v>
          </cell>
          <cell r="N33">
            <v>1</v>
          </cell>
          <cell r="O33">
            <v>4899000</v>
          </cell>
          <cell r="AL33">
            <v>4</v>
          </cell>
          <cell r="AM33">
            <v>12896000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2</v>
          </cell>
          <cell r="U34">
            <v>13998000</v>
          </cell>
          <cell r="AJ34">
            <v>2</v>
          </cell>
          <cell r="AK34">
            <v>15098000</v>
          </cell>
          <cell r="AL34">
            <v>10</v>
          </cell>
          <cell r="AM34">
            <v>54690000</v>
          </cell>
        </row>
        <row r="35">
          <cell r="B35">
            <v>6140705</v>
          </cell>
          <cell r="F35">
            <v>1</v>
          </cell>
          <cell r="G35">
            <v>2399000</v>
          </cell>
          <cell r="J35">
            <v>1</v>
          </cell>
          <cell r="K35">
            <v>2099000</v>
          </cell>
          <cell r="L35">
            <v>2</v>
          </cell>
          <cell r="M35">
            <v>19998000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3</v>
          </cell>
          <cell r="AK35">
            <v>20697000</v>
          </cell>
          <cell r="AL35">
            <v>13</v>
          </cell>
          <cell r="AM35">
            <v>100887000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5</v>
          </cell>
          <cell r="G37">
            <v>13595000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2</v>
          </cell>
          <cell r="O37">
            <v>10998000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17</v>
          </cell>
          <cell r="AM37">
            <v>88183000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5</v>
          </cell>
          <cell r="G38">
            <v>12795000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J38">
            <v>1</v>
          </cell>
          <cell r="AK38">
            <v>6899000</v>
          </cell>
          <cell r="AL38">
            <v>24</v>
          </cell>
          <cell r="AM38">
            <v>95076000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  <cell r="AL39">
            <v>10</v>
          </cell>
          <cell r="AM39">
            <v>47690000</v>
          </cell>
        </row>
        <row r="40">
          <cell r="B40">
            <v>6040703</v>
          </cell>
          <cell r="D40">
            <v>2</v>
          </cell>
          <cell r="E40">
            <v>5198000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1</v>
          </cell>
          <cell r="U40">
            <v>6999000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12</v>
          </cell>
          <cell r="AM40">
            <v>68788000</v>
          </cell>
        </row>
        <row r="41">
          <cell r="B41">
            <v>6020711</v>
          </cell>
          <cell r="D41">
            <v>5</v>
          </cell>
          <cell r="E41">
            <v>11795000</v>
          </cell>
          <cell r="F41">
            <v>6</v>
          </cell>
          <cell r="G41">
            <v>14394000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4</v>
          </cell>
          <cell r="O41">
            <v>19196000</v>
          </cell>
          <cell r="T41">
            <v>2</v>
          </cell>
          <cell r="U41">
            <v>13498000</v>
          </cell>
          <cell r="AD41">
            <v>1</v>
          </cell>
          <cell r="AE41">
            <v>29999000</v>
          </cell>
          <cell r="AJ41">
            <v>1</v>
          </cell>
          <cell r="AK41">
            <v>6899000</v>
          </cell>
          <cell r="AL41">
            <v>24</v>
          </cell>
          <cell r="AM41">
            <v>122076000</v>
          </cell>
        </row>
        <row r="42">
          <cell r="B42">
            <v>6020706</v>
          </cell>
          <cell r="D42">
            <v>9</v>
          </cell>
          <cell r="E42">
            <v>21891000</v>
          </cell>
          <cell r="F42">
            <v>4</v>
          </cell>
          <cell r="G42">
            <v>11196000</v>
          </cell>
          <cell r="J42">
            <v>3</v>
          </cell>
          <cell r="K42">
            <v>6297000</v>
          </cell>
          <cell r="N42">
            <v>6</v>
          </cell>
          <cell r="O42">
            <v>27394000</v>
          </cell>
          <cell r="R42">
            <v>2</v>
          </cell>
          <cell r="S42">
            <v>7198000</v>
          </cell>
          <cell r="X42">
            <v>1</v>
          </cell>
          <cell r="Y42">
            <v>6299000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  <cell r="AL42">
            <v>29</v>
          </cell>
          <cell r="AM42">
            <v>103171000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16</v>
          </cell>
          <cell r="AM43">
            <v>63184000</v>
          </cell>
        </row>
        <row r="44">
          <cell r="B44">
            <v>6010708</v>
          </cell>
          <cell r="D44">
            <v>5</v>
          </cell>
          <cell r="E44">
            <v>12995000</v>
          </cell>
          <cell r="F44">
            <v>2</v>
          </cell>
          <cell r="G44">
            <v>4798000</v>
          </cell>
          <cell r="J44">
            <v>3</v>
          </cell>
          <cell r="K44">
            <v>6297000</v>
          </cell>
          <cell r="N44">
            <v>4</v>
          </cell>
          <cell r="O44">
            <v>17196000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3</v>
          </cell>
          <cell r="AC44">
            <v>17097000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21</v>
          </cell>
          <cell r="AM44">
            <v>85979000</v>
          </cell>
        </row>
        <row r="45">
          <cell r="B45">
            <v>6010703</v>
          </cell>
          <cell r="D45">
            <v>2</v>
          </cell>
          <cell r="E45">
            <v>4898000</v>
          </cell>
          <cell r="F45">
            <v>6</v>
          </cell>
          <cell r="G45">
            <v>15994000</v>
          </cell>
          <cell r="J45">
            <v>33</v>
          </cell>
          <cell r="K45">
            <v>69267000</v>
          </cell>
          <cell r="N45">
            <v>5</v>
          </cell>
          <cell r="O45">
            <v>20895000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49</v>
          </cell>
          <cell r="AM45">
            <v>128551000</v>
          </cell>
        </row>
        <row r="46">
          <cell r="B46">
            <v>6010702</v>
          </cell>
          <cell r="D46">
            <v>15</v>
          </cell>
          <cell r="E46">
            <v>35685000</v>
          </cell>
          <cell r="F46">
            <v>21</v>
          </cell>
          <cell r="G46">
            <v>55579000</v>
          </cell>
          <cell r="J46">
            <v>32</v>
          </cell>
          <cell r="K46">
            <v>67168000</v>
          </cell>
          <cell r="L46">
            <v>1</v>
          </cell>
          <cell r="M46">
            <v>9999000</v>
          </cell>
          <cell r="N46">
            <v>13</v>
          </cell>
          <cell r="O46">
            <v>58687000</v>
          </cell>
          <cell r="X46">
            <v>1</v>
          </cell>
          <cell r="Y46">
            <v>5499000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87</v>
          </cell>
          <cell r="AM46">
            <v>257113000</v>
          </cell>
        </row>
        <row r="47">
          <cell r="B47">
            <v>6010701</v>
          </cell>
          <cell r="D47">
            <v>19</v>
          </cell>
          <cell r="E47">
            <v>44581000</v>
          </cell>
          <cell r="F47">
            <v>12</v>
          </cell>
          <cell r="G47">
            <v>31588000</v>
          </cell>
          <cell r="J47">
            <v>19</v>
          </cell>
          <cell r="K47">
            <v>39881000</v>
          </cell>
          <cell r="L47">
            <v>2</v>
          </cell>
          <cell r="M47">
            <v>19998000</v>
          </cell>
          <cell r="N47">
            <v>18</v>
          </cell>
          <cell r="O47">
            <v>79782000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83</v>
          </cell>
          <cell r="AM47">
            <v>311317000</v>
          </cell>
        </row>
        <row r="48">
          <cell r="B48">
            <v>6010710</v>
          </cell>
          <cell r="D48">
            <v>7</v>
          </cell>
          <cell r="E48">
            <v>17293000</v>
          </cell>
          <cell r="F48">
            <v>6</v>
          </cell>
          <cell r="G48">
            <v>15994000</v>
          </cell>
          <cell r="J48">
            <v>20</v>
          </cell>
          <cell r="K48">
            <v>41980000</v>
          </cell>
          <cell r="N48">
            <v>6</v>
          </cell>
          <cell r="O48">
            <v>25194000</v>
          </cell>
          <cell r="R48">
            <v>1</v>
          </cell>
          <cell r="S48">
            <v>3599000</v>
          </cell>
          <cell r="X48">
            <v>1</v>
          </cell>
          <cell r="Y48">
            <v>6299000</v>
          </cell>
          <cell r="AL48">
            <v>41</v>
          </cell>
          <cell r="AM48">
            <v>110359000</v>
          </cell>
        </row>
        <row r="49">
          <cell r="B49">
            <v>6010709</v>
          </cell>
          <cell r="D49">
            <v>17</v>
          </cell>
          <cell r="E49">
            <v>40583000</v>
          </cell>
          <cell r="F49">
            <v>17</v>
          </cell>
          <cell r="G49">
            <v>44383000</v>
          </cell>
          <cell r="J49">
            <v>39</v>
          </cell>
          <cell r="K49">
            <v>81861000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4</v>
          </cell>
          <cell r="W49">
            <v>14396000</v>
          </cell>
          <cell r="X49">
            <v>3</v>
          </cell>
          <cell r="Y49">
            <v>16497000</v>
          </cell>
          <cell r="AB49">
            <v>3</v>
          </cell>
          <cell r="AC49">
            <v>17097000</v>
          </cell>
          <cell r="AJ49">
            <v>1</v>
          </cell>
          <cell r="AK49">
            <v>6899000</v>
          </cell>
          <cell r="AL49">
            <v>94</v>
          </cell>
          <cell r="AM49">
            <v>274806000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3</v>
          </cell>
          <cell r="G50">
            <v>7997000</v>
          </cell>
          <cell r="J50">
            <v>2</v>
          </cell>
          <cell r="K50">
            <v>4198000</v>
          </cell>
          <cell r="N50">
            <v>3</v>
          </cell>
          <cell r="O50">
            <v>12097000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2</v>
          </cell>
          <cell r="AE50">
            <v>55998000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  <cell r="AL50">
            <v>17</v>
          </cell>
          <cell r="AM50">
            <v>123483000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L51">
            <v>11</v>
          </cell>
          <cell r="AM51">
            <v>50089000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2</v>
          </cell>
          <cell r="I8">
            <v>4</v>
          </cell>
          <cell r="J8">
            <v>15396000</v>
          </cell>
        </row>
        <row r="9">
          <cell r="D9" t="str">
            <v>NABILA SALSABILA</v>
          </cell>
          <cell r="G9">
            <v>3</v>
          </cell>
          <cell r="I9">
            <v>5</v>
          </cell>
          <cell r="J9">
            <v>23295000</v>
          </cell>
        </row>
        <row r="10">
          <cell r="D10" t="str">
            <v>ELFINTA VIANTI</v>
          </cell>
          <cell r="G10">
            <v>3</v>
          </cell>
          <cell r="I10">
            <v>5</v>
          </cell>
          <cell r="J10">
            <v>22695000</v>
          </cell>
        </row>
        <row r="11">
          <cell r="D11" t="str">
            <v>MUHAMAD YUSUF</v>
          </cell>
          <cell r="G11">
            <v>3</v>
          </cell>
          <cell r="I11">
            <v>7</v>
          </cell>
          <cell r="J11">
            <v>19993000</v>
          </cell>
        </row>
        <row r="12">
          <cell r="D12" t="str">
            <v>YOGA ADITIA</v>
          </cell>
          <cell r="G12">
            <v>2</v>
          </cell>
          <cell r="I12">
            <v>7</v>
          </cell>
          <cell r="J12">
            <v>30693000</v>
          </cell>
        </row>
        <row r="13">
          <cell r="D13" t="str">
            <v>MUHAMAD HILMAN</v>
          </cell>
          <cell r="G13">
            <v>3</v>
          </cell>
          <cell r="I13">
            <v>8</v>
          </cell>
          <cell r="J13">
            <v>34092000</v>
          </cell>
        </row>
        <row r="14">
          <cell r="D14" t="str">
            <v>SRI AFRIYANTI</v>
          </cell>
          <cell r="G14">
            <v>6</v>
          </cell>
          <cell r="I14">
            <v>10</v>
          </cell>
          <cell r="J14">
            <v>44790000</v>
          </cell>
        </row>
        <row r="15">
          <cell r="D15" t="str">
            <v>RIFKI PRAYOGAA</v>
          </cell>
          <cell r="G15">
            <v>2</v>
          </cell>
          <cell r="I15">
            <v>5</v>
          </cell>
          <cell r="J15">
            <v>17495000</v>
          </cell>
        </row>
        <row r="16">
          <cell r="D16" t="str">
            <v>MUHAMMAD MUDZAKIR</v>
          </cell>
          <cell r="G16">
            <v>3</v>
          </cell>
          <cell r="I16">
            <v>6</v>
          </cell>
          <cell r="J16">
            <v>18094000</v>
          </cell>
        </row>
        <row r="17">
          <cell r="D17" t="str">
            <v>MILA TUJUHRO</v>
          </cell>
          <cell r="G17">
            <v>2</v>
          </cell>
          <cell r="I17">
            <v>11</v>
          </cell>
          <cell r="J17">
            <v>37789000</v>
          </cell>
        </row>
        <row r="18">
          <cell r="D18" t="str">
            <v>ANISA AGUSTIN</v>
          </cell>
          <cell r="G18">
            <v>1</v>
          </cell>
          <cell r="I18">
            <v>11</v>
          </cell>
          <cell r="J18">
            <v>28589000</v>
          </cell>
        </row>
        <row r="19">
          <cell r="D19" t="str">
            <v>VIOLA AGUSTIN</v>
          </cell>
          <cell r="G19">
            <v>3</v>
          </cell>
          <cell r="I19">
            <v>8</v>
          </cell>
          <cell r="J19">
            <v>33092000</v>
          </cell>
        </row>
        <row r="20">
          <cell r="D20" t="str">
            <v>DION FATULLAH</v>
          </cell>
          <cell r="G20">
            <v>2</v>
          </cell>
          <cell r="I20">
            <v>6</v>
          </cell>
          <cell r="J20">
            <v>22094000</v>
          </cell>
        </row>
        <row r="21">
          <cell r="D21" t="str">
            <v>SASFA LUNA ANDUNG</v>
          </cell>
          <cell r="I21">
            <v>4</v>
          </cell>
          <cell r="J21">
            <v>10796000</v>
          </cell>
        </row>
        <row r="22">
          <cell r="D22" t="str">
            <v>Mahmudin</v>
          </cell>
          <cell r="G22">
            <v>1</v>
          </cell>
          <cell r="I22">
            <v>2</v>
          </cell>
          <cell r="J22">
            <v>7798000</v>
          </cell>
        </row>
        <row r="23">
          <cell r="D23" t="str">
            <v>TIO SAPUTRA</v>
          </cell>
          <cell r="G23">
            <v>1</v>
          </cell>
          <cell r="I23">
            <v>2</v>
          </cell>
          <cell r="J23">
            <v>8798000</v>
          </cell>
        </row>
        <row r="24">
          <cell r="D24" t="str">
            <v>ZAKIYATUL MUNAWAROH</v>
          </cell>
          <cell r="G24">
            <v>4</v>
          </cell>
          <cell r="I24">
            <v>7</v>
          </cell>
          <cell r="J24">
            <v>34993000</v>
          </cell>
        </row>
        <row r="25">
          <cell r="D25" t="str">
            <v>Gilang Ramadhan</v>
          </cell>
          <cell r="G25">
            <v>2</v>
          </cell>
          <cell r="I25">
            <v>2</v>
          </cell>
          <cell r="J25">
            <v>13598000</v>
          </cell>
        </row>
        <row r="26">
          <cell r="D26" t="str">
            <v>SITI NURDIANTY SHOLIHAH</v>
          </cell>
          <cell r="I26">
            <v>1</v>
          </cell>
          <cell r="J26">
            <v>2099000</v>
          </cell>
        </row>
        <row r="27">
          <cell r="D27" t="str">
            <v>NATASYA BUNGA LESTARI</v>
          </cell>
          <cell r="I27">
            <v>2</v>
          </cell>
          <cell r="J27">
            <v>5098000</v>
          </cell>
        </row>
        <row r="28">
          <cell r="D28" t="str">
            <v>DEWI ASTRIAWANTI</v>
          </cell>
          <cell r="I28">
            <v>2</v>
          </cell>
          <cell r="J28">
            <v>4598000</v>
          </cell>
        </row>
        <row r="29">
          <cell r="D29" t="str">
            <v>APRIANSYAH</v>
          </cell>
          <cell r="G29">
            <v>1</v>
          </cell>
          <cell r="I29">
            <v>4</v>
          </cell>
          <cell r="J29">
            <v>11396000</v>
          </cell>
        </row>
        <row r="30">
          <cell r="D30" t="str">
            <v>RIZKY ALFIANSYAH</v>
          </cell>
          <cell r="G30">
            <v>3</v>
          </cell>
          <cell r="I30">
            <v>3</v>
          </cell>
          <cell r="J30">
            <v>20797000</v>
          </cell>
        </row>
        <row r="31">
          <cell r="D31" t="str">
            <v>HERIANTO NDRURU</v>
          </cell>
          <cell r="G31">
            <v>2</v>
          </cell>
          <cell r="I31">
            <v>14</v>
          </cell>
          <cell r="J31">
            <v>38786000</v>
          </cell>
        </row>
        <row r="32">
          <cell r="D32" t="str">
            <v>SITI MELIANI</v>
          </cell>
          <cell r="G32">
            <v>5</v>
          </cell>
          <cell r="I32">
            <v>7</v>
          </cell>
          <cell r="J32">
            <v>36593000</v>
          </cell>
        </row>
        <row r="33">
          <cell r="D33" t="str">
            <v>DWI IRAWAN ALDILA JULIANSYAH</v>
          </cell>
          <cell r="G33">
            <v>1</v>
          </cell>
          <cell r="I33">
            <v>1</v>
          </cell>
          <cell r="J33">
            <v>25999000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6</v>
          </cell>
          <cell r="I35">
            <v>7</v>
          </cell>
          <cell r="J35">
            <v>29293000</v>
          </cell>
        </row>
        <row r="36">
          <cell r="D36" t="str">
            <v>NARIAH AMBARWATI</v>
          </cell>
          <cell r="G36">
            <v>6</v>
          </cell>
          <cell r="I36">
            <v>10</v>
          </cell>
          <cell r="J36">
            <v>37590000</v>
          </cell>
        </row>
        <row r="37">
          <cell r="D37" t="str">
            <v>MIFTAHUL HUDA</v>
          </cell>
          <cell r="G37">
            <v>4</v>
          </cell>
          <cell r="I37">
            <v>7</v>
          </cell>
          <cell r="J37">
            <v>38193000</v>
          </cell>
        </row>
        <row r="38">
          <cell r="D38" t="str">
            <v>SYAIRUL ACHMAT HIDAYAT</v>
          </cell>
          <cell r="I38">
            <v>2</v>
          </cell>
          <cell r="J38">
            <v>5198000</v>
          </cell>
        </row>
        <row r="39">
          <cell r="D39" t="str">
            <v>PUTRI ANGGRIANI</v>
          </cell>
          <cell r="G39">
            <v>5</v>
          </cell>
          <cell r="I39">
            <v>9</v>
          </cell>
          <cell r="J39">
            <v>36791000</v>
          </cell>
        </row>
        <row r="40">
          <cell r="D40" t="str">
            <v>AGUS WARDONO PUTRO</v>
          </cell>
          <cell r="G40">
            <v>5</v>
          </cell>
          <cell r="I40">
            <v>9</v>
          </cell>
          <cell r="J40">
            <v>49391000</v>
          </cell>
        </row>
        <row r="41">
          <cell r="D41" t="str">
            <v>INTAN SEPIATUL HASANAH</v>
          </cell>
          <cell r="G41">
            <v>1</v>
          </cell>
          <cell r="I41">
            <v>2</v>
          </cell>
          <cell r="J41">
            <v>9098000</v>
          </cell>
        </row>
        <row r="42">
          <cell r="D42" t="str">
            <v>JULIANA JAYANA</v>
          </cell>
          <cell r="G42">
            <v>3</v>
          </cell>
          <cell r="I42">
            <v>5</v>
          </cell>
          <cell r="J42">
            <v>22795000</v>
          </cell>
        </row>
        <row r="43">
          <cell r="D43" t="str">
            <v>NOVI YULIANTI</v>
          </cell>
          <cell r="G43">
            <v>2</v>
          </cell>
          <cell r="I43">
            <v>2</v>
          </cell>
          <cell r="J43">
            <v>13898000</v>
          </cell>
        </row>
        <row r="44">
          <cell r="D44" t="str">
            <v>RICKY KURNIAWAN</v>
          </cell>
          <cell r="G44">
            <v>9</v>
          </cell>
          <cell r="I44">
            <v>12</v>
          </cell>
          <cell r="J44">
            <v>52488000</v>
          </cell>
        </row>
        <row r="45">
          <cell r="D45" t="str">
            <v>TEGUH FIRMANSYAH</v>
          </cell>
          <cell r="G45">
            <v>6</v>
          </cell>
          <cell r="I45">
            <v>10</v>
          </cell>
          <cell r="J45">
            <v>38990000</v>
          </cell>
        </row>
        <row r="46">
          <cell r="D46" t="str">
            <v>AGUSTIAN</v>
          </cell>
          <cell r="G46">
            <v>7</v>
          </cell>
          <cell r="I46">
            <v>14</v>
          </cell>
          <cell r="J46">
            <v>57486000</v>
          </cell>
        </row>
        <row r="47">
          <cell r="D47" t="str">
            <v>MELLY SHABILLA</v>
          </cell>
          <cell r="G47">
            <v>3</v>
          </cell>
          <cell r="I47">
            <v>8</v>
          </cell>
          <cell r="J47">
            <v>32392000</v>
          </cell>
        </row>
        <row r="48">
          <cell r="D48" t="str">
            <v>ASIPA RAHMAWATI</v>
          </cell>
          <cell r="G48">
            <v>6</v>
          </cell>
          <cell r="I48">
            <v>9</v>
          </cell>
          <cell r="J48">
            <v>37491000</v>
          </cell>
        </row>
        <row r="49">
          <cell r="D49" t="str">
            <v>ERI NURAJAB</v>
          </cell>
          <cell r="G49">
            <v>5</v>
          </cell>
          <cell r="I49">
            <v>11</v>
          </cell>
          <cell r="J49">
            <v>43789000</v>
          </cell>
        </row>
        <row r="50">
          <cell r="D50" t="str">
            <v>DWI ANGGRAENI</v>
          </cell>
          <cell r="G50">
            <v>1</v>
          </cell>
          <cell r="I50">
            <v>5</v>
          </cell>
          <cell r="J50">
            <v>14395000</v>
          </cell>
        </row>
        <row r="51">
          <cell r="D51" t="str">
            <v>WIRA WIRAHMAN</v>
          </cell>
          <cell r="G51">
            <v>2</v>
          </cell>
          <cell r="I51">
            <v>11</v>
          </cell>
          <cell r="J51">
            <v>35889000</v>
          </cell>
        </row>
        <row r="52">
          <cell r="D52" t="str">
            <v>DIAN HARYANTO</v>
          </cell>
          <cell r="G52">
            <v>3</v>
          </cell>
          <cell r="I52">
            <v>8</v>
          </cell>
          <cell r="J52">
            <v>25692000</v>
          </cell>
        </row>
        <row r="53">
          <cell r="D53" t="str">
            <v>SHONA LUGISTIN</v>
          </cell>
          <cell r="G53">
            <v>4</v>
          </cell>
          <cell r="I53">
            <v>8</v>
          </cell>
          <cell r="J53">
            <v>29292000</v>
          </cell>
        </row>
        <row r="54">
          <cell r="D54" t="str">
            <v>SUHERMAN ARISMAWAN</v>
          </cell>
          <cell r="G54">
            <v>7</v>
          </cell>
          <cell r="I54">
            <v>11</v>
          </cell>
          <cell r="J54">
            <v>51889000</v>
          </cell>
        </row>
        <row r="55">
          <cell r="D55" t="str">
            <v>DEA SINDRA</v>
          </cell>
          <cell r="G55">
            <v>2</v>
          </cell>
          <cell r="I55">
            <v>7</v>
          </cell>
          <cell r="J55">
            <v>25193000</v>
          </cell>
        </row>
        <row r="56">
          <cell r="D56" t="str">
            <v>ANTON RENDI SUKMANA</v>
          </cell>
          <cell r="G56">
            <v>1</v>
          </cell>
          <cell r="I56">
            <v>3</v>
          </cell>
          <cell r="J56">
            <v>15397000</v>
          </cell>
        </row>
        <row r="57">
          <cell r="D57" t="str">
            <v>SUSAN SUSANTI</v>
          </cell>
          <cell r="I57">
            <v>5</v>
          </cell>
          <cell r="J57">
            <v>12495000</v>
          </cell>
        </row>
        <row r="58">
          <cell r="D58" t="str">
            <v>PUTERY FATIMAH AZZAHRA</v>
          </cell>
          <cell r="G58">
            <v>4</v>
          </cell>
          <cell r="I58">
            <v>7</v>
          </cell>
          <cell r="J58">
            <v>29093000</v>
          </cell>
        </row>
        <row r="59">
          <cell r="D59" t="str">
            <v>PUTRI NOVALINDA SUGANDA</v>
          </cell>
          <cell r="G59">
            <v>1</v>
          </cell>
          <cell r="I59">
            <v>5</v>
          </cell>
          <cell r="J59">
            <v>16395000</v>
          </cell>
        </row>
        <row r="60">
          <cell r="D60" t="str">
            <v>Ardhila Riyana suci purwandari</v>
          </cell>
          <cell r="G60">
            <v>1</v>
          </cell>
          <cell r="I60">
            <v>3</v>
          </cell>
          <cell r="J60">
            <v>9397000</v>
          </cell>
        </row>
        <row r="61">
          <cell r="D61" t="str">
            <v>KAYLA NURAULIA YAZMAN</v>
          </cell>
          <cell r="G61">
            <v>2</v>
          </cell>
          <cell r="I61">
            <v>8</v>
          </cell>
          <cell r="J61">
            <v>26692000</v>
          </cell>
        </row>
        <row r="62">
          <cell r="D62" t="str">
            <v>mohamad sofiyan</v>
          </cell>
          <cell r="G62">
            <v>6</v>
          </cell>
          <cell r="I62">
            <v>14</v>
          </cell>
          <cell r="J62">
            <v>45586000</v>
          </cell>
        </row>
        <row r="63">
          <cell r="D63" t="str">
            <v>LAILA SAMIA</v>
          </cell>
          <cell r="G63">
            <v>3</v>
          </cell>
          <cell r="I63">
            <v>5</v>
          </cell>
          <cell r="J63">
            <v>27495000</v>
          </cell>
        </row>
        <row r="64">
          <cell r="D64" t="str">
            <v>AKHMAD ARIFUDIN</v>
          </cell>
          <cell r="G64">
            <v>2</v>
          </cell>
          <cell r="I64">
            <v>4</v>
          </cell>
          <cell r="J64">
            <v>14696000</v>
          </cell>
        </row>
        <row r="65">
          <cell r="D65" t="str">
            <v>LISSA AYU HANDHINI</v>
          </cell>
          <cell r="G65">
            <v>3</v>
          </cell>
          <cell r="I65">
            <v>5</v>
          </cell>
          <cell r="J65">
            <v>24795000</v>
          </cell>
        </row>
        <row r="66">
          <cell r="D66" t="str">
            <v>EDI SUSANTO</v>
          </cell>
          <cell r="G66">
            <v>4</v>
          </cell>
          <cell r="I66">
            <v>6</v>
          </cell>
          <cell r="J66">
            <v>68494000</v>
          </cell>
        </row>
        <row r="67">
          <cell r="D67" t="str">
            <v>DHEA AMALIA</v>
          </cell>
          <cell r="G67">
            <v>7</v>
          </cell>
          <cell r="I67">
            <v>7</v>
          </cell>
          <cell r="J67">
            <v>54693000</v>
          </cell>
        </row>
        <row r="68">
          <cell r="D68" t="str">
            <v>CINTIA DAMAYANTI</v>
          </cell>
          <cell r="G68">
            <v>1</v>
          </cell>
          <cell r="I68">
            <v>1</v>
          </cell>
          <cell r="J68">
            <v>8399000</v>
          </cell>
        </row>
        <row r="69">
          <cell r="D69" t="str">
            <v>INTAN DIAH PRIMATARI</v>
          </cell>
          <cell r="G69">
            <v>1</v>
          </cell>
          <cell r="I69">
            <v>1</v>
          </cell>
          <cell r="J69">
            <v>11999000</v>
          </cell>
        </row>
        <row r="70">
          <cell r="D70" t="str">
            <v>WAHYU TRI UTOMO</v>
          </cell>
          <cell r="G70">
            <v>2</v>
          </cell>
          <cell r="I70">
            <v>2</v>
          </cell>
          <cell r="J70">
            <v>19998000</v>
          </cell>
        </row>
        <row r="71">
          <cell r="D71" t="str">
            <v>DIMAS RASYID ASHARI</v>
          </cell>
          <cell r="G71">
            <v>1</v>
          </cell>
          <cell r="I71">
            <v>1</v>
          </cell>
          <cell r="J71">
            <v>3599000</v>
          </cell>
        </row>
        <row r="72">
          <cell r="D72" t="str">
            <v>DEZNA DANI PRADIPTA</v>
          </cell>
          <cell r="G72">
            <v>1</v>
          </cell>
          <cell r="I72">
            <v>1</v>
          </cell>
          <cell r="J72">
            <v>3599000</v>
          </cell>
        </row>
        <row r="73">
          <cell r="D73" t="str">
            <v>KHOLIPAH</v>
          </cell>
          <cell r="G73">
            <v>3</v>
          </cell>
          <cell r="I73">
            <v>5</v>
          </cell>
          <cell r="J73">
            <v>21295000</v>
          </cell>
        </row>
        <row r="74">
          <cell r="D74" t="str">
            <v>KARLES KADAPI</v>
          </cell>
          <cell r="G74">
            <v>2</v>
          </cell>
          <cell r="I74">
            <v>3</v>
          </cell>
          <cell r="J74">
            <v>10597000</v>
          </cell>
        </row>
        <row r="75">
          <cell r="D75" t="str">
            <v>MUHAMAD RIZKI SAPUTRA</v>
          </cell>
          <cell r="G75">
            <v>2</v>
          </cell>
          <cell r="I75">
            <v>4</v>
          </cell>
          <cell r="J75">
            <v>16996000</v>
          </cell>
        </row>
        <row r="76">
          <cell r="D76" t="str">
            <v>ASTRI ALFIANI</v>
          </cell>
          <cell r="G76">
            <v>4</v>
          </cell>
          <cell r="I76">
            <v>7</v>
          </cell>
          <cell r="J76">
            <v>39993000</v>
          </cell>
        </row>
        <row r="77">
          <cell r="D77" t="str">
            <v>WAHYU FIRMANSYAH</v>
          </cell>
          <cell r="G77">
            <v>2</v>
          </cell>
          <cell r="I77">
            <v>4</v>
          </cell>
          <cell r="J77">
            <v>12896000</v>
          </cell>
        </row>
        <row r="78">
          <cell r="D78" t="str">
            <v>winda amalia</v>
          </cell>
          <cell r="G78">
            <v>1</v>
          </cell>
          <cell r="I78">
            <v>2</v>
          </cell>
          <cell r="J78">
            <v>7598000</v>
          </cell>
        </row>
        <row r="79">
          <cell r="D79" t="str">
            <v>DEVI APRIANTI</v>
          </cell>
          <cell r="G79">
            <v>5</v>
          </cell>
          <cell r="I79">
            <v>7</v>
          </cell>
          <cell r="J79">
            <v>36393000</v>
          </cell>
        </row>
        <row r="80">
          <cell r="D80" t="str">
            <v>WIRA ADITYA SETIADI</v>
          </cell>
          <cell r="G80">
            <v>1</v>
          </cell>
          <cell r="I80">
            <v>3</v>
          </cell>
          <cell r="J80">
            <v>7797000</v>
          </cell>
        </row>
        <row r="81">
          <cell r="D81" t="str">
            <v>KARINA MAYA ROSILAWATI</v>
          </cell>
          <cell r="G81">
            <v>2</v>
          </cell>
          <cell r="I81">
            <v>5</v>
          </cell>
          <cell r="J81">
            <v>17395000</v>
          </cell>
        </row>
        <row r="82">
          <cell r="D82" t="str">
            <v>ARIF IRAWAN</v>
          </cell>
          <cell r="G82">
            <v>2</v>
          </cell>
          <cell r="I82">
            <v>7</v>
          </cell>
          <cell r="J82">
            <v>23093000</v>
          </cell>
        </row>
        <row r="83">
          <cell r="D83" t="str">
            <v>SERNIKA LAIA</v>
          </cell>
          <cell r="G83">
            <v>3</v>
          </cell>
          <cell r="I83">
            <v>5</v>
          </cell>
          <cell r="J83">
            <v>40995000</v>
          </cell>
        </row>
        <row r="84">
          <cell r="D84" t="str">
            <v>INA HIDAYAH</v>
          </cell>
          <cell r="G84">
            <v>4</v>
          </cell>
          <cell r="I84">
            <v>9</v>
          </cell>
          <cell r="J84">
            <v>39191000</v>
          </cell>
        </row>
        <row r="85">
          <cell r="D85" t="str">
            <v>RINI APRIANI</v>
          </cell>
          <cell r="G85">
            <v>2</v>
          </cell>
          <cell r="I85">
            <v>12</v>
          </cell>
          <cell r="J85">
            <v>40588000</v>
          </cell>
        </row>
        <row r="86">
          <cell r="D86" t="str">
            <v>MOHAMAD YUSUF</v>
          </cell>
          <cell r="G86">
            <v>4</v>
          </cell>
          <cell r="I86">
            <v>9</v>
          </cell>
          <cell r="J86">
            <v>37591000</v>
          </cell>
        </row>
        <row r="87">
          <cell r="D87" t="str">
            <v>MUHYIDDIN</v>
          </cell>
          <cell r="G87">
            <v>4</v>
          </cell>
          <cell r="I87">
            <v>12</v>
          </cell>
          <cell r="J87">
            <v>38288000</v>
          </cell>
        </row>
        <row r="88">
          <cell r="D88" t="str">
            <v>ALIA NASYABILA</v>
          </cell>
          <cell r="G88">
            <v>4</v>
          </cell>
          <cell r="I88">
            <v>7</v>
          </cell>
          <cell r="J88">
            <v>27993000</v>
          </cell>
        </row>
        <row r="89">
          <cell r="D89" t="str">
            <v>NURFITRIYANA</v>
          </cell>
          <cell r="G89">
            <v>1</v>
          </cell>
          <cell r="I89">
            <v>6</v>
          </cell>
          <cell r="J89">
            <v>19594000</v>
          </cell>
        </row>
        <row r="90">
          <cell r="D90" t="str">
            <v>APUD MAHPUDIN</v>
          </cell>
          <cell r="G90">
            <v>3</v>
          </cell>
          <cell r="I90">
            <v>12</v>
          </cell>
          <cell r="J90">
            <v>36988000</v>
          </cell>
        </row>
        <row r="91">
          <cell r="D91" t="str">
            <v>Dean dika putra mona</v>
          </cell>
          <cell r="G91">
            <v>1</v>
          </cell>
          <cell r="I91">
            <v>13</v>
          </cell>
          <cell r="J91">
            <v>30887000</v>
          </cell>
        </row>
        <row r="92">
          <cell r="D92" t="str">
            <v>MAT AMIN</v>
          </cell>
          <cell r="G92">
            <v>5</v>
          </cell>
          <cell r="I92">
            <v>12</v>
          </cell>
          <cell r="J92">
            <v>50188000</v>
          </cell>
        </row>
        <row r="93">
          <cell r="D93" t="str">
            <v>ANDES SAPUTRA</v>
          </cell>
          <cell r="G93">
            <v>6</v>
          </cell>
          <cell r="I93">
            <v>18</v>
          </cell>
          <cell r="J93">
            <v>56082000</v>
          </cell>
        </row>
        <row r="94">
          <cell r="D94" t="str">
            <v>FRISKI FERNANDO</v>
          </cell>
          <cell r="G94">
            <v>4</v>
          </cell>
          <cell r="I94">
            <v>22</v>
          </cell>
          <cell r="J94">
            <v>63678000</v>
          </cell>
        </row>
        <row r="95">
          <cell r="D95" t="str">
            <v>SELLY DARWIS</v>
          </cell>
          <cell r="G95">
            <v>1</v>
          </cell>
          <cell r="I95">
            <v>5</v>
          </cell>
          <cell r="J95">
            <v>16195000</v>
          </cell>
        </row>
        <row r="96">
          <cell r="D96" t="str">
            <v>M HUSNI HASIM</v>
          </cell>
          <cell r="G96">
            <v>2</v>
          </cell>
          <cell r="I96">
            <v>8</v>
          </cell>
          <cell r="J96">
            <v>27092000</v>
          </cell>
        </row>
        <row r="97">
          <cell r="D97" t="str">
            <v>ROSITA</v>
          </cell>
          <cell r="G97">
            <v>3</v>
          </cell>
          <cell r="I97">
            <v>14</v>
          </cell>
          <cell r="J97">
            <v>39386000</v>
          </cell>
        </row>
        <row r="98">
          <cell r="D98" t="str">
            <v>MUHAMMAD RIZKI HIDAYAT</v>
          </cell>
          <cell r="G98">
            <v>5</v>
          </cell>
          <cell r="I98">
            <v>11</v>
          </cell>
          <cell r="J98">
            <v>37889000</v>
          </cell>
        </row>
        <row r="99">
          <cell r="D99" t="str">
            <v>IVAN PAHLEVI SARAGIH</v>
          </cell>
          <cell r="G99">
            <v>7</v>
          </cell>
          <cell r="I99">
            <v>18</v>
          </cell>
          <cell r="J99">
            <v>61282000</v>
          </cell>
        </row>
        <row r="100">
          <cell r="D100" t="str">
            <v>ZIONIS ILHAMI DAKHI</v>
          </cell>
          <cell r="I100">
            <v>8</v>
          </cell>
          <cell r="J100">
            <v>18792000</v>
          </cell>
        </row>
        <row r="101">
          <cell r="D101" t="str">
            <v>NUR IMAM ATTARMIDZI</v>
          </cell>
          <cell r="G101">
            <v>3</v>
          </cell>
          <cell r="I101">
            <v>11</v>
          </cell>
          <cell r="J101">
            <v>31589000</v>
          </cell>
        </row>
        <row r="102">
          <cell r="D102" t="str">
            <v>CEPTIANA JUNIAR</v>
          </cell>
          <cell r="I102">
            <v>8</v>
          </cell>
          <cell r="J102">
            <v>18492000</v>
          </cell>
        </row>
        <row r="103">
          <cell r="D103" t="str">
            <v>BELLA MAYA SAFIRA</v>
          </cell>
          <cell r="G103">
            <v>5</v>
          </cell>
          <cell r="I103">
            <v>15</v>
          </cell>
          <cell r="J103">
            <v>62185000</v>
          </cell>
        </row>
        <row r="104">
          <cell r="D104" t="str">
            <v>VICKY ARIANSYAH</v>
          </cell>
          <cell r="G104">
            <v>1</v>
          </cell>
          <cell r="I104">
            <v>7</v>
          </cell>
          <cell r="J104">
            <v>19793000</v>
          </cell>
        </row>
        <row r="105">
          <cell r="D105" t="str">
            <v>HERMAN SUPRIYATIN</v>
          </cell>
          <cell r="G105">
            <v>3</v>
          </cell>
          <cell r="I105">
            <v>16</v>
          </cell>
          <cell r="J105">
            <v>65284000</v>
          </cell>
        </row>
        <row r="106">
          <cell r="D106" t="str">
            <v>HESTI AMELIA</v>
          </cell>
          <cell r="G106">
            <v>3</v>
          </cell>
          <cell r="I106">
            <v>13</v>
          </cell>
          <cell r="J106">
            <v>36887000</v>
          </cell>
        </row>
        <row r="107">
          <cell r="D107" t="str">
            <v>DIAWAN SAPUTRA</v>
          </cell>
          <cell r="G107">
            <v>2</v>
          </cell>
          <cell r="I107">
            <v>7</v>
          </cell>
          <cell r="J107">
            <v>27393000</v>
          </cell>
        </row>
        <row r="108">
          <cell r="D108" t="str">
            <v>RIKY</v>
          </cell>
          <cell r="G108">
            <v>3</v>
          </cell>
          <cell r="I108">
            <v>14</v>
          </cell>
          <cell r="J108">
            <v>37486000</v>
          </cell>
        </row>
        <row r="109">
          <cell r="D109" t="str">
            <v>ABDUL FALAH</v>
          </cell>
          <cell r="G109">
            <v>7</v>
          </cell>
          <cell r="I109">
            <v>9</v>
          </cell>
          <cell r="J109">
            <v>48591000</v>
          </cell>
        </row>
        <row r="110">
          <cell r="D110" t="str">
            <v xml:space="preserve"> RONI</v>
          </cell>
          <cell r="G110">
            <v>2</v>
          </cell>
          <cell r="I110">
            <v>14</v>
          </cell>
          <cell r="J110">
            <v>44586000</v>
          </cell>
        </row>
        <row r="111">
          <cell r="D111" t="str">
            <v>HAVIS SINUS FAUZAN</v>
          </cell>
          <cell r="G111">
            <v>3</v>
          </cell>
          <cell r="I111">
            <v>14</v>
          </cell>
          <cell r="J111">
            <v>38686000</v>
          </cell>
        </row>
        <row r="112">
          <cell r="D112" t="str">
            <v>TIYAS WINARNI</v>
          </cell>
          <cell r="G112">
            <v>2</v>
          </cell>
          <cell r="I112">
            <v>11</v>
          </cell>
          <cell r="J112">
            <v>31689000</v>
          </cell>
        </row>
        <row r="113">
          <cell r="D113" t="str">
            <v>BINY PRAYOGO</v>
          </cell>
          <cell r="G113">
            <v>2</v>
          </cell>
          <cell r="I113">
            <v>8</v>
          </cell>
          <cell r="J113">
            <v>23792000</v>
          </cell>
        </row>
        <row r="114">
          <cell r="D114" t="str">
            <v>PUTRI SUPRIHATIN</v>
          </cell>
          <cell r="G114">
            <v>3</v>
          </cell>
          <cell r="I114">
            <v>7</v>
          </cell>
          <cell r="J114">
            <v>23693000</v>
          </cell>
        </row>
        <row r="115">
          <cell r="D115" t="str">
            <v xml:space="preserve"> Hervanny trisiana</v>
          </cell>
          <cell r="G115">
            <v>3</v>
          </cell>
          <cell r="I115">
            <v>10</v>
          </cell>
          <cell r="J115">
            <v>42890000</v>
          </cell>
        </row>
        <row r="116">
          <cell r="D116" t="str">
            <v xml:space="preserve"> SITI ROHMAH</v>
          </cell>
          <cell r="G116">
            <v>5</v>
          </cell>
          <cell r="I116">
            <v>10</v>
          </cell>
          <cell r="J116">
            <v>70390000</v>
          </cell>
        </row>
        <row r="117">
          <cell r="D117" t="str">
            <v xml:space="preserve"> fitri adelia</v>
          </cell>
          <cell r="G117">
            <v>6</v>
          </cell>
          <cell r="I117">
            <v>6</v>
          </cell>
          <cell r="J117">
            <v>58394000</v>
          </cell>
        </row>
        <row r="118">
          <cell r="D118" t="str">
            <v xml:space="preserve">SENDI ALFAZRI </v>
          </cell>
          <cell r="G118">
            <v>2</v>
          </cell>
          <cell r="I118">
            <v>3</v>
          </cell>
          <cell r="J118">
            <v>17997000</v>
          </cell>
        </row>
        <row r="119">
          <cell r="D119" t="str">
            <v>FIRDA NAZMA NURFADILAH</v>
          </cell>
          <cell r="G119">
            <v>1</v>
          </cell>
          <cell r="I119">
            <v>1</v>
          </cell>
          <cell r="J119">
            <v>3899000</v>
          </cell>
        </row>
        <row r="120">
          <cell r="D120" t="str">
            <v>ZAINUL MUSTOFA</v>
          </cell>
          <cell r="G120">
            <v>1</v>
          </cell>
          <cell r="I120">
            <v>2</v>
          </cell>
          <cell r="J120">
            <v>10298000</v>
          </cell>
        </row>
        <row r="121">
          <cell r="D121" t="str">
            <v>AMANDA AULIA SHOLIKHAH</v>
          </cell>
          <cell r="G121">
            <v>1</v>
          </cell>
          <cell r="I121">
            <v>1</v>
          </cell>
          <cell r="J121">
            <v>6899000</v>
          </cell>
        </row>
        <row r="122">
          <cell r="D122" t="str">
            <v>JIHAN PAHERA ALPIA</v>
          </cell>
          <cell r="G122">
            <v>2</v>
          </cell>
          <cell r="I122">
            <v>2</v>
          </cell>
          <cell r="J122">
            <v>11798000</v>
          </cell>
        </row>
        <row r="123">
          <cell r="D123" t="str">
            <v>ANNAS WICAKSONO</v>
          </cell>
          <cell r="G123">
            <v>5</v>
          </cell>
          <cell r="I123">
            <v>8</v>
          </cell>
          <cell r="J123">
            <v>43892000</v>
          </cell>
        </row>
        <row r="124">
          <cell r="G124">
            <v>330</v>
          </cell>
          <cell r="I124">
            <v>835</v>
          </cell>
          <cell r="J124">
            <v>3304965000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7">
          <cell r="D7" t="str">
            <v>3mio&lt;</v>
          </cell>
          <cell r="J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  <cell r="AH8" t="str">
            <v xml:space="preserve">X300 </v>
          </cell>
        </row>
        <row r="10">
          <cell r="B10">
            <v>6170707</v>
          </cell>
          <cell r="D10">
            <v>11</v>
          </cell>
          <cell r="E10">
            <v>26789000</v>
          </cell>
          <cell r="F10">
            <v>5</v>
          </cell>
          <cell r="G10">
            <v>13195000</v>
          </cell>
          <cell r="H10">
            <v>3</v>
          </cell>
          <cell r="I10">
            <v>6297000</v>
          </cell>
          <cell r="J10">
            <v>1</v>
          </cell>
          <cell r="K10">
            <v>3899000</v>
          </cell>
          <cell r="X10">
            <v>4</v>
          </cell>
          <cell r="Y10">
            <v>23596000</v>
          </cell>
          <cell r="AF10">
            <v>1</v>
          </cell>
          <cell r="AG10">
            <v>9999000</v>
          </cell>
          <cell r="AJ10">
            <v>25</v>
          </cell>
          <cell r="AK10">
            <v>83775000</v>
          </cell>
        </row>
        <row r="11">
          <cell r="B11">
            <v>6240702</v>
          </cell>
          <cell r="D11">
            <v>6</v>
          </cell>
          <cell r="E11">
            <v>14694000</v>
          </cell>
          <cell r="F11">
            <v>8</v>
          </cell>
          <cell r="G11">
            <v>21192000</v>
          </cell>
          <cell r="J11">
            <v>4</v>
          </cell>
          <cell r="K11">
            <v>17996000</v>
          </cell>
          <cell r="P11">
            <v>1</v>
          </cell>
          <cell r="Q11">
            <v>7999000</v>
          </cell>
          <cell r="X11">
            <v>3</v>
          </cell>
          <cell r="Y11">
            <v>17697000</v>
          </cell>
          <cell r="AF11">
            <v>3</v>
          </cell>
          <cell r="AG11">
            <v>29997000</v>
          </cell>
          <cell r="AJ11">
            <v>25</v>
          </cell>
          <cell r="AK11">
            <v>109575000</v>
          </cell>
        </row>
        <row r="12">
          <cell r="B12">
            <v>6240701</v>
          </cell>
          <cell r="D12">
            <v>5</v>
          </cell>
          <cell r="E12">
            <v>12095000</v>
          </cell>
          <cell r="F12">
            <v>5</v>
          </cell>
          <cell r="G12">
            <v>13595000</v>
          </cell>
          <cell r="H12">
            <v>5</v>
          </cell>
          <cell r="I12">
            <v>10495000</v>
          </cell>
          <cell r="J12">
            <v>2</v>
          </cell>
          <cell r="K12">
            <v>8198000</v>
          </cell>
          <cell r="N12">
            <v>2</v>
          </cell>
          <cell r="O12">
            <v>7198000</v>
          </cell>
          <cell r="X12">
            <v>2</v>
          </cell>
          <cell r="Y12">
            <v>11798000</v>
          </cell>
          <cell r="AF12">
            <v>1</v>
          </cell>
          <cell r="AG12">
            <v>9999000</v>
          </cell>
          <cell r="AJ12">
            <v>22</v>
          </cell>
          <cell r="AK12">
            <v>73378000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L13">
            <v>1</v>
          </cell>
          <cell r="M13">
            <v>3599000</v>
          </cell>
          <cell r="AB13">
            <v>1</v>
          </cell>
          <cell r="AC13">
            <v>6899000</v>
          </cell>
          <cell r="AJ13">
            <v>4</v>
          </cell>
          <cell r="AK13">
            <v>15396000</v>
          </cell>
        </row>
        <row r="14">
          <cell r="B14">
            <v>6240703</v>
          </cell>
          <cell r="D14">
            <v>2</v>
          </cell>
          <cell r="E14">
            <v>5198000</v>
          </cell>
          <cell r="F14">
            <v>4</v>
          </cell>
          <cell r="G14">
            <v>10796000</v>
          </cell>
          <cell r="H14">
            <v>2</v>
          </cell>
          <cell r="I14">
            <v>4198000</v>
          </cell>
          <cell r="J14">
            <v>2</v>
          </cell>
          <cell r="K14">
            <v>9798000</v>
          </cell>
          <cell r="N14">
            <v>2</v>
          </cell>
          <cell r="O14">
            <v>7198000</v>
          </cell>
          <cell r="R14">
            <v>2</v>
          </cell>
          <cell r="S14">
            <v>7198000</v>
          </cell>
          <cell r="X14">
            <v>1</v>
          </cell>
          <cell r="Y14">
            <v>5899000</v>
          </cell>
          <cell r="AD14">
            <v>1</v>
          </cell>
          <cell r="AE14">
            <v>5699000</v>
          </cell>
          <cell r="AF14">
            <v>1</v>
          </cell>
          <cell r="AG14">
            <v>9999000</v>
          </cell>
          <cell r="AJ14">
            <v>17</v>
          </cell>
          <cell r="AK14">
            <v>65983000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T15">
            <v>1</v>
          </cell>
          <cell r="U15">
            <v>5499000</v>
          </cell>
          <cell r="AJ15">
            <v>6</v>
          </cell>
          <cell r="AK15">
            <v>18594000</v>
          </cell>
        </row>
        <row r="16">
          <cell r="B16">
            <v>6240706</v>
          </cell>
          <cell r="D16">
            <v>2</v>
          </cell>
          <cell r="E16">
            <v>4898000</v>
          </cell>
          <cell r="H16">
            <v>2</v>
          </cell>
          <cell r="I16">
            <v>4198000</v>
          </cell>
          <cell r="J16">
            <v>1</v>
          </cell>
          <cell r="K16">
            <v>4299000</v>
          </cell>
          <cell r="P16">
            <v>1</v>
          </cell>
          <cell r="Q16">
            <v>7999000</v>
          </cell>
          <cell r="X16">
            <v>2</v>
          </cell>
          <cell r="Y16">
            <v>12398000</v>
          </cell>
          <cell r="AF16">
            <v>1</v>
          </cell>
          <cell r="AG16">
            <v>9999000</v>
          </cell>
          <cell r="AJ16">
            <v>9</v>
          </cell>
          <cell r="AK16">
            <v>43791000</v>
          </cell>
        </row>
        <row r="17">
          <cell r="B17">
            <v>6240709</v>
          </cell>
          <cell r="H17">
            <v>1</v>
          </cell>
          <cell r="I17">
            <v>2099000</v>
          </cell>
          <cell r="N17">
            <v>1</v>
          </cell>
          <cell r="O17">
            <v>3599000</v>
          </cell>
          <cell r="AF17">
            <v>1</v>
          </cell>
          <cell r="AG17">
            <v>9999000</v>
          </cell>
          <cell r="AJ17">
            <v>3</v>
          </cell>
          <cell r="AK17">
            <v>15697000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1</v>
          </cell>
          <cell r="G18">
            <v>2799000</v>
          </cell>
          <cell r="AJ18">
            <v>4</v>
          </cell>
          <cell r="AK18">
            <v>9696000</v>
          </cell>
        </row>
        <row r="19">
          <cell r="B19">
            <v>6240705</v>
          </cell>
          <cell r="D19">
            <v>1</v>
          </cell>
          <cell r="E19">
            <v>2599000</v>
          </cell>
          <cell r="F19">
            <v>1</v>
          </cell>
          <cell r="G19">
            <v>2799000</v>
          </cell>
          <cell r="H19">
            <v>1</v>
          </cell>
          <cell r="I19">
            <v>2099000</v>
          </cell>
          <cell r="J19">
            <v>2</v>
          </cell>
          <cell r="K19">
            <v>7798000</v>
          </cell>
          <cell r="AB19">
            <v>1</v>
          </cell>
          <cell r="AC19">
            <v>6899000</v>
          </cell>
          <cell r="AF19">
            <v>1</v>
          </cell>
          <cell r="AG19">
            <v>9999000</v>
          </cell>
          <cell r="AJ19">
            <v>7</v>
          </cell>
          <cell r="AK19">
            <v>32193000</v>
          </cell>
        </row>
        <row r="20">
          <cell r="B20">
            <v>6170706</v>
          </cell>
          <cell r="D20">
            <v>5</v>
          </cell>
          <cell r="E20">
            <v>12395000</v>
          </cell>
          <cell r="F20">
            <v>7</v>
          </cell>
          <cell r="G20">
            <v>19593000</v>
          </cell>
          <cell r="H20">
            <v>2</v>
          </cell>
          <cell r="I20">
            <v>4198000</v>
          </cell>
          <cell r="J20">
            <v>4</v>
          </cell>
          <cell r="K20">
            <v>17396000</v>
          </cell>
          <cell r="X20">
            <v>2</v>
          </cell>
          <cell r="Y20">
            <v>11798000</v>
          </cell>
          <cell r="AF20">
            <v>1</v>
          </cell>
          <cell r="AG20">
            <v>9999000</v>
          </cell>
          <cell r="AJ20">
            <v>21</v>
          </cell>
          <cell r="AK20">
            <v>75379000</v>
          </cell>
        </row>
        <row r="21">
          <cell r="B21">
            <v>6170703</v>
          </cell>
          <cell r="H21">
            <v>1</v>
          </cell>
          <cell r="I21">
            <v>2099000</v>
          </cell>
          <cell r="Z21">
            <v>1</v>
          </cell>
          <cell r="AA21">
            <v>25999000</v>
          </cell>
          <cell r="AJ21">
            <v>2</v>
          </cell>
          <cell r="AK21">
            <v>28098000</v>
          </cell>
        </row>
        <row r="22">
          <cell r="B22">
            <v>6220701</v>
          </cell>
          <cell r="D22">
            <v>2</v>
          </cell>
          <cell r="E22">
            <v>5198000</v>
          </cell>
          <cell r="F22">
            <v>1</v>
          </cell>
          <cell r="G22">
            <v>2799000</v>
          </cell>
          <cell r="H22">
            <v>2</v>
          </cell>
          <cell r="I22">
            <v>4198000</v>
          </cell>
          <cell r="J22">
            <v>4</v>
          </cell>
          <cell r="K22">
            <v>18396000</v>
          </cell>
          <cell r="N22">
            <v>2</v>
          </cell>
          <cell r="O22">
            <v>7198000</v>
          </cell>
          <cell r="R22">
            <v>3</v>
          </cell>
          <cell r="S22">
            <v>10797000</v>
          </cell>
          <cell r="T22">
            <v>1</v>
          </cell>
          <cell r="U22">
            <v>5499000</v>
          </cell>
          <cell r="X22">
            <v>1</v>
          </cell>
          <cell r="Y22">
            <v>5899000</v>
          </cell>
          <cell r="AB22">
            <v>1</v>
          </cell>
          <cell r="AC22">
            <v>6899000</v>
          </cell>
          <cell r="AJ22">
            <v>17</v>
          </cell>
          <cell r="AK22">
            <v>66883000</v>
          </cell>
        </row>
        <row r="23">
          <cell r="B23">
            <v>6050701</v>
          </cell>
          <cell r="D23">
            <v>4</v>
          </cell>
          <cell r="E23">
            <v>9496000</v>
          </cell>
          <cell r="F23">
            <v>3</v>
          </cell>
          <cell r="G23">
            <v>7997000</v>
          </cell>
          <cell r="H23">
            <v>1</v>
          </cell>
          <cell r="I23">
            <v>2099000</v>
          </cell>
          <cell r="J23">
            <v>2</v>
          </cell>
          <cell r="K23">
            <v>8598000</v>
          </cell>
          <cell r="N23">
            <v>1</v>
          </cell>
          <cell r="O23">
            <v>3599000</v>
          </cell>
          <cell r="P23">
            <v>1</v>
          </cell>
          <cell r="Q23">
            <v>7999000</v>
          </cell>
          <cell r="R23">
            <v>1</v>
          </cell>
          <cell r="S23">
            <v>3599000</v>
          </cell>
          <cell r="X23">
            <v>1</v>
          </cell>
          <cell r="Y23">
            <v>5899000</v>
          </cell>
          <cell r="AB23">
            <v>1</v>
          </cell>
          <cell r="AC23">
            <v>6899000</v>
          </cell>
          <cell r="AF23">
            <v>3</v>
          </cell>
          <cell r="AG23">
            <v>29997000</v>
          </cell>
          <cell r="AJ23">
            <v>18</v>
          </cell>
          <cell r="AK23">
            <v>86182000</v>
          </cell>
        </row>
        <row r="24">
          <cell r="B24">
            <v>6050705</v>
          </cell>
          <cell r="D24">
            <v>1</v>
          </cell>
          <cell r="E24">
            <v>2599000</v>
          </cell>
          <cell r="F24">
            <v>4</v>
          </cell>
          <cell r="G24">
            <v>10396000</v>
          </cell>
          <cell r="J24">
            <v>2</v>
          </cell>
          <cell r="K24">
            <v>10398000</v>
          </cell>
          <cell r="P24">
            <v>1</v>
          </cell>
          <cell r="Q24">
            <v>7999000</v>
          </cell>
          <cell r="V24">
            <v>1</v>
          </cell>
          <cell r="W24">
            <v>11999000</v>
          </cell>
          <cell r="AJ24">
            <v>9</v>
          </cell>
          <cell r="AK24">
            <v>43391000</v>
          </cell>
        </row>
        <row r="25">
          <cell r="B25">
            <v>6050706</v>
          </cell>
          <cell r="F25">
            <v>2</v>
          </cell>
          <cell r="G25">
            <v>5598000</v>
          </cell>
          <cell r="H25">
            <v>1</v>
          </cell>
          <cell r="I25">
            <v>2099000</v>
          </cell>
          <cell r="J25">
            <v>1</v>
          </cell>
          <cell r="K25">
            <v>3899000</v>
          </cell>
          <cell r="N25">
            <v>1</v>
          </cell>
          <cell r="O25">
            <v>3599000</v>
          </cell>
          <cell r="P25">
            <v>1</v>
          </cell>
          <cell r="Q25">
            <v>7999000</v>
          </cell>
          <cell r="T25">
            <v>2</v>
          </cell>
          <cell r="U25">
            <v>12598000</v>
          </cell>
          <cell r="AF25">
            <v>1</v>
          </cell>
          <cell r="AG25">
            <v>9999000</v>
          </cell>
          <cell r="AJ25">
            <v>9</v>
          </cell>
          <cell r="AK25">
            <v>45791000</v>
          </cell>
        </row>
        <row r="26">
          <cell r="B26">
            <v>6190704</v>
          </cell>
          <cell r="D26">
            <v>6</v>
          </cell>
          <cell r="E26">
            <v>14994000</v>
          </cell>
          <cell r="F26">
            <v>5</v>
          </cell>
          <cell r="G26">
            <v>12795000</v>
          </cell>
          <cell r="H26">
            <v>2</v>
          </cell>
          <cell r="I26">
            <v>4198000</v>
          </cell>
          <cell r="J26">
            <v>1</v>
          </cell>
          <cell r="K26">
            <v>4299000</v>
          </cell>
          <cell r="N26">
            <v>1</v>
          </cell>
          <cell r="O26">
            <v>3599000</v>
          </cell>
          <cell r="P26">
            <v>1</v>
          </cell>
          <cell r="Q26">
            <v>7999000</v>
          </cell>
          <cell r="R26">
            <v>3</v>
          </cell>
          <cell r="S26">
            <v>10797000</v>
          </cell>
          <cell r="T26">
            <v>2</v>
          </cell>
          <cell r="U26">
            <v>11798000</v>
          </cell>
          <cell r="X26">
            <v>2</v>
          </cell>
          <cell r="Y26">
            <v>11798000</v>
          </cell>
          <cell r="AB26">
            <v>1</v>
          </cell>
          <cell r="AC26">
            <v>8399000</v>
          </cell>
          <cell r="AD26">
            <v>1</v>
          </cell>
          <cell r="AE26">
            <v>5699000</v>
          </cell>
          <cell r="AF26">
            <v>1</v>
          </cell>
          <cell r="AG26">
            <v>9999000</v>
          </cell>
          <cell r="AJ26">
            <v>26</v>
          </cell>
          <cell r="AK26">
            <v>106374000</v>
          </cell>
        </row>
        <row r="27">
          <cell r="B27">
            <v>6190701</v>
          </cell>
          <cell r="D27">
            <v>3</v>
          </cell>
          <cell r="E27">
            <v>7797000</v>
          </cell>
          <cell r="F27">
            <v>3</v>
          </cell>
          <cell r="G27">
            <v>7997000</v>
          </cell>
          <cell r="H27">
            <v>1</v>
          </cell>
          <cell r="I27">
            <v>2099000</v>
          </cell>
          <cell r="AF27">
            <v>1</v>
          </cell>
          <cell r="AG27">
            <v>9999000</v>
          </cell>
          <cell r="AJ27">
            <v>8</v>
          </cell>
          <cell r="AK27">
            <v>27892000</v>
          </cell>
        </row>
        <row r="28">
          <cell r="B28">
            <v>6190707</v>
          </cell>
          <cell r="D28">
            <v>6</v>
          </cell>
          <cell r="E28">
            <v>14394000</v>
          </cell>
          <cell r="F28">
            <v>10</v>
          </cell>
          <cell r="G28">
            <v>27190000</v>
          </cell>
          <cell r="H28">
            <v>3</v>
          </cell>
          <cell r="I28">
            <v>6297000</v>
          </cell>
          <cell r="J28">
            <v>5</v>
          </cell>
          <cell r="K28">
            <v>21095000</v>
          </cell>
          <cell r="L28">
            <v>1</v>
          </cell>
          <cell r="M28">
            <v>3599000</v>
          </cell>
          <cell r="N28">
            <v>2</v>
          </cell>
          <cell r="O28">
            <v>7198000</v>
          </cell>
          <cell r="P28">
            <v>1</v>
          </cell>
          <cell r="Q28">
            <v>7999000</v>
          </cell>
          <cell r="R28">
            <v>2</v>
          </cell>
          <cell r="S28">
            <v>7198000</v>
          </cell>
          <cell r="T28">
            <v>1</v>
          </cell>
          <cell r="U28">
            <v>6299000</v>
          </cell>
          <cell r="X28">
            <v>7</v>
          </cell>
          <cell r="Y28">
            <v>41293000</v>
          </cell>
          <cell r="AB28">
            <v>2</v>
          </cell>
          <cell r="AC28">
            <v>13798000</v>
          </cell>
          <cell r="AF28">
            <v>1</v>
          </cell>
          <cell r="AG28">
            <v>9999000</v>
          </cell>
          <cell r="AJ28">
            <v>41</v>
          </cell>
          <cell r="AK28">
            <v>166359000</v>
          </cell>
        </row>
        <row r="29">
          <cell r="B29">
            <v>6190706</v>
          </cell>
          <cell r="D29">
            <v>10</v>
          </cell>
          <cell r="E29">
            <v>24190000</v>
          </cell>
          <cell r="F29">
            <v>12</v>
          </cell>
          <cell r="G29">
            <v>31988000</v>
          </cell>
          <cell r="H29">
            <v>2</v>
          </cell>
          <cell r="I29">
            <v>4198000</v>
          </cell>
          <cell r="J29">
            <v>7</v>
          </cell>
          <cell r="K29">
            <v>33093000</v>
          </cell>
          <cell r="P29">
            <v>1</v>
          </cell>
          <cell r="Q29">
            <v>7999000</v>
          </cell>
          <cell r="T29">
            <v>1</v>
          </cell>
          <cell r="U29">
            <v>5499000</v>
          </cell>
          <cell r="X29">
            <v>1</v>
          </cell>
          <cell r="Y29">
            <v>5899000</v>
          </cell>
          <cell r="AB29">
            <v>1</v>
          </cell>
          <cell r="AC29">
            <v>6899000</v>
          </cell>
          <cell r="AJ29">
            <v>35</v>
          </cell>
          <cell r="AK29">
            <v>119765000</v>
          </cell>
        </row>
        <row r="30">
          <cell r="B30">
            <v>6190708</v>
          </cell>
          <cell r="D30">
            <v>1</v>
          </cell>
          <cell r="E30">
            <v>2299000</v>
          </cell>
          <cell r="F30">
            <v>2</v>
          </cell>
          <cell r="G30">
            <v>5598000</v>
          </cell>
          <cell r="J30">
            <v>5</v>
          </cell>
          <cell r="K30">
            <v>21495000</v>
          </cell>
          <cell r="N30">
            <v>1</v>
          </cell>
          <cell r="O30">
            <v>3599000</v>
          </cell>
          <cell r="R30">
            <v>1</v>
          </cell>
          <cell r="S30">
            <v>3599000</v>
          </cell>
          <cell r="X30">
            <v>1</v>
          </cell>
          <cell r="Y30">
            <v>5899000</v>
          </cell>
          <cell r="AF30">
            <v>1</v>
          </cell>
          <cell r="AG30">
            <v>9999000</v>
          </cell>
          <cell r="AJ30">
            <v>12</v>
          </cell>
          <cell r="AK30">
            <v>52488000</v>
          </cell>
        </row>
        <row r="31">
          <cell r="B31">
            <v>6190705</v>
          </cell>
          <cell r="D31">
            <v>3</v>
          </cell>
          <cell r="E31">
            <v>6897000</v>
          </cell>
          <cell r="F31">
            <v>3</v>
          </cell>
          <cell r="G31">
            <v>7597000</v>
          </cell>
          <cell r="H31">
            <v>1</v>
          </cell>
          <cell r="I31">
            <v>2099000</v>
          </cell>
          <cell r="J31">
            <v>1</v>
          </cell>
          <cell r="K31">
            <v>4899000</v>
          </cell>
          <cell r="P31">
            <v>1</v>
          </cell>
          <cell r="Q31">
            <v>7999000</v>
          </cell>
          <cell r="R31">
            <v>1</v>
          </cell>
          <cell r="S31">
            <v>3599000</v>
          </cell>
          <cell r="T31">
            <v>1</v>
          </cell>
          <cell r="U31">
            <v>5499000</v>
          </cell>
          <cell r="AB31">
            <v>1</v>
          </cell>
          <cell r="AC31">
            <v>6899000</v>
          </cell>
          <cell r="AJ31">
            <v>12</v>
          </cell>
          <cell r="AK31">
            <v>45488000</v>
          </cell>
        </row>
        <row r="32">
          <cell r="B32">
            <v>6180706</v>
          </cell>
          <cell r="D32">
            <v>7</v>
          </cell>
          <cell r="E32">
            <v>16993000</v>
          </cell>
          <cell r="F32">
            <v>7</v>
          </cell>
          <cell r="G32">
            <v>19193000</v>
          </cell>
          <cell r="H32">
            <v>2</v>
          </cell>
          <cell r="I32">
            <v>4198000</v>
          </cell>
          <cell r="J32">
            <v>4</v>
          </cell>
          <cell r="K32">
            <v>18996000</v>
          </cell>
          <cell r="L32">
            <v>1</v>
          </cell>
          <cell r="M32">
            <v>3599000</v>
          </cell>
          <cell r="N32">
            <v>1</v>
          </cell>
          <cell r="O32">
            <v>3599000</v>
          </cell>
          <cell r="R32">
            <v>1</v>
          </cell>
          <cell r="S32">
            <v>3599000</v>
          </cell>
          <cell r="X32">
            <v>1</v>
          </cell>
          <cell r="Y32">
            <v>5899000</v>
          </cell>
          <cell r="AB32">
            <v>3</v>
          </cell>
          <cell r="AC32">
            <v>23697000</v>
          </cell>
          <cell r="AJ32">
            <v>27</v>
          </cell>
          <cell r="AK32">
            <v>99773000</v>
          </cell>
        </row>
        <row r="33">
          <cell r="B33">
            <v>6180707</v>
          </cell>
          <cell r="D33">
            <v>1</v>
          </cell>
          <cell r="E33">
            <v>2299000</v>
          </cell>
          <cell r="F33">
            <v>1</v>
          </cell>
          <cell r="G33">
            <v>2799000</v>
          </cell>
          <cell r="J33">
            <v>1</v>
          </cell>
          <cell r="K33">
            <v>4299000</v>
          </cell>
          <cell r="AJ33">
            <v>3</v>
          </cell>
          <cell r="AK33">
            <v>9397000</v>
          </cell>
        </row>
        <row r="34">
          <cell r="B34">
            <v>6130702</v>
          </cell>
          <cell r="D34">
            <v>2</v>
          </cell>
          <cell r="E34">
            <v>5198000</v>
          </cell>
          <cell r="F34">
            <v>1</v>
          </cell>
          <cell r="G34">
            <v>2399000</v>
          </cell>
          <cell r="H34">
            <v>1</v>
          </cell>
          <cell r="I34">
            <v>2099000</v>
          </cell>
          <cell r="J34">
            <v>1</v>
          </cell>
          <cell r="K34">
            <v>4299000</v>
          </cell>
          <cell r="P34">
            <v>1</v>
          </cell>
          <cell r="Q34">
            <v>7999000</v>
          </cell>
          <cell r="X34">
            <v>2</v>
          </cell>
          <cell r="Y34">
            <v>11798000</v>
          </cell>
          <cell r="AD34">
            <v>1</v>
          </cell>
          <cell r="AE34">
            <v>5699000</v>
          </cell>
          <cell r="AJ34">
            <v>9</v>
          </cell>
          <cell r="AK34">
            <v>39491000</v>
          </cell>
        </row>
        <row r="35">
          <cell r="B35">
            <v>6140705</v>
          </cell>
          <cell r="F35">
            <v>2</v>
          </cell>
          <cell r="G35">
            <v>5198000</v>
          </cell>
          <cell r="J35">
            <v>3</v>
          </cell>
          <cell r="K35">
            <v>13697000</v>
          </cell>
          <cell r="P35">
            <v>2</v>
          </cell>
          <cell r="Q35">
            <v>14998000</v>
          </cell>
          <cell r="V35">
            <v>2</v>
          </cell>
          <cell r="W35">
            <v>23998000</v>
          </cell>
          <cell r="Z35">
            <v>2</v>
          </cell>
          <cell r="AA35">
            <v>51998000</v>
          </cell>
          <cell r="AB35">
            <v>3</v>
          </cell>
          <cell r="AC35">
            <v>23697000</v>
          </cell>
          <cell r="AF35">
            <v>1</v>
          </cell>
          <cell r="AG35">
            <v>9999000</v>
          </cell>
          <cell r="AJ35">
            <v>15</v>
          </cell>
          <cell r="AK35">
            <v>143585000</v>
          </cell>
        </row>
        <row r="36">
          <cell r="B36">
            <v>6140706</v>
          </cell>
          <cell r="L36">
            <v>2</v>
          </cell>
          <cell r="M36">
            <v>7198000</v>
          </cell>
          <cell r="AF36">
            <v>2</v>
          </cell>
          <cell r="AG36">
            <v>19998000</v>
          </cell>
          <cell r="AJ36">
            <v>4</v>
          </cell>
          <cell r="AK36">
            <v>27196000</v>
          </cell>
        </row>
        <row r="37">
          <cell r="B37">
            <v>6040701</v>
          </cell>
          <cell r="D37">
            <v>3</v>
          </cell>
          <cell r="E37">
            <v>7497000</v>
          </cell>
          <cell r="F37">
            <v>2</v>
          </cell>
          <cell r="G37">
            <v>5598000</v>
          </cell>
          <cell r="J37">
            <v>1</v>
          </cell>
          <cell r="K37">
            <v>4299000</v>
          </cell>
          <cell r="N37">
            <v>1</v>
          </cell>
          <cell r="O37">
            <v>3599000</v>
          </cell>
          <cell r="P37">
            <v>2</v>
          </cell>
          <cell r="Q37">
            <v>15998000</v>
          </cell>
          <cell r="AF37">
            <v>2</v>
          </cell>
          <cell r="AG37">
            <v>19998000</v>
          </cell>
          <cell r="AJ37">
            <v>11</v>
          </cell>
          <cell r="AK37">
            <v>56989000</v>
          </cell>
        </row>
        <row r="38">
          <cell r="B38">
            <v>6040703</v>
          </cell>
          <cell r="D38">
            <v>1</v>
          </cell>
          <cell r="E38">
            <v>2599000</v>
          </cell>
          <cell r="F38">
            <v>2</v>
          </cell>
          <cell r="G38">
            <v>4798000</v>
          </cell>
          <cell r="J38">
            <v>4</v>
          </cell>
          <cell r="K38">
            <v>18596000</v>
          </cell>
          <cell r="X38">
            <v>1</v>
          </cell>
          <cell r="Y38">
            <v>5899000</v>
          </cell>
          <cell r="AJ38">
            <v>8</v>
          </cell>
          <cell r="AK38">
            <v>31892000</v>
          </cell>
        </row>
        <row r="39">
          <cell r="B39">
            <v>6080712</v>
          </cell>
          <cell r="D39">
            <v>3</v>
          </cell>
          <cell r="E39">
            <v>7797000</v>
          </cell>
          <cell r="F39">
            <v>1</v>
          </cell>
          <cell r="G39">
            <v>2799000</v>
          </cell>
          <cell r="H39">
            <v>1</v>
          </cell>
          <cell r="I39">
            <v>2099000</v>
          </cell>
          <cell r="J39">
            <v>3</v>
          </cell>
          <cell r="K39">
            <v>13697000</v>
          </cell>
          <cell r="N39">
            <v>1</v>
          </cell>
          <cell r="O39">
            <v>3599000</v>
          </cell>
          <cell r="T39">
            <v>2</v>
          </cell>
          <cell r="U39">
            <v>10998000</v>
          </cell>
          <cell r="X39">
            <v>1</v>
          </cell>
          <cell r="Y39">
            <v>5899000</v>
          </cell>
          <cell r="AF39">
            <v>1</v>
          </cell>
          <cell r="AG39">
            <v>9999000</v>
          </cell>
          <cell r="AJ39">
            <v>13</v>
          </cell>
          <cell r="AK39">
            <v>56887000</v>
          </cell>
        </row>
        <row r="40">
          <cell r="B40">
            <v>6040702</v>
          </cell>
          <cell r="F40">
            <v>3</v>
          </cell>
          <cell r="G40">
            <v>7997000</v>
          </cell>
          <cell r="H40">
            <v>2</v>
          </cell>
          <cell r="I40">
            <v>4198000</v>
          </cell>
          <cell r="J40">
            <v>2</v>
          </cell>
          <cell r="K40">
            <v>9398000</v>
          </cell>
          <cell r="N40">
            <v>1</v>
          </cell>
          <cell r="O40">
            <v>3599000</v>
          </cell>
          <cell r="AJ40">
            <v>8</v>
          </cell>
          <cell r="AK40">
            <v>25192000</v>
          </cell>
        </row>
        <row r="41">
          <cell r="B41">
            <v>6020711</v>
          </cell>
          <cell r="D41">
            <v>3</v>
          </cell>
          <cell r="E41">
            <v>7497000</v>
          </cell>
          <cell r="F41">
            <v>7</v>
          </cell>
          <cell r="G41">
            <v>18393000</v>
          </cell>
          <cell r="H41">
            <v>2</v>
          </cell>
          <cell r="I41">
            <v>4198000</v>
          </cell>
          <cell r="J41">
            <v>5</v>
          </cell>
          <cell r="K41">
            <v>23495000</v>
          </cell>
          <cell r="P41">
            <v>1</v>
          </cell>
          <cell r="Q41">
            <v>7999000</v>
          </cell>
          <cell r="Z41">
            <v>1</v>
          </cell>
          <cell r="AA41">
            <v>25999000</v>
          </cell>
          <cell r="AD41">
            <v>1</v>
          </cell>
          <cell r="AE41">
            <v>5699000</v>
          </cell>
          <cell r="AF41">
            <v>1</v>
          </cell>
          <cell r="AG41">
            <v>9999000</v>
          </cell>
          <cell r="AJ41">
            <v>21</v>
          </cell>
          <cell r="AK41">
            <v>103279000</v>
          </cell>
        </row>
        <row r="42">
          <cell r="B42">
            <v>6020706</v>
          </cell>
          <cell r="D42">
            <v>8</v>
          </cell>
          <cell r="E42">
            <v>19592000</v>
          </cell>
          <cell r="F42">
            <v>12</v>
          </cell>
          <cell r="G42">
            <v>31188000</v>
          </cell>
          <cell r="H42">
            <v>3</v>
          </cell>
          <cell r="I42">
            <v>6297000</v>
          </cell>
          <cell r="J42">
            <v>2</v>
          </cell>
          <cell r="K42">
            <v>8598000</v>
          </cell>
          <cell r="N42">
            <v>1</v>
          </cell>
          <cell r="O42">
            <v>3599000</v>
          </cell>
          <cell r="R42">
            <v>1</v>
          </cell>
          <cell r="S42">
            <v>3599000</v>
          </cell>
          <cell r="X42">
            <v>4</v>
          </cell>
          <cell r="Y42">
            <v>23596000</v>
          </cell>
          <cell r="AF42">
            <v>2</v>
          </cell>
          <cell r="AG42">
            <v>19998000</v>
          </cell>
          <cell r="AJ42">
            <v>33</v>
          </cell>
          <cell r="AK42">
            <v>116467000</v>
          </cell>
        </row>
        <row r="43">
          <cell r="B43">
            <v>6020704</v>
          </cell>
          <cell r="D43">
            <v>6</v>
          </cell>
          <cell r="E43">
            <v>15294000</v>
          </cell>
          <cell r="F43">
            <v>2</v>
          </cell>
          <cell r="G43">
            <v>5198000</v>
          </cell>
          <cell r="J43">
            <v>2</v>
          </cell>
          <cell r="K43">
            <v>8598000</v>
          </cell>
          <cell r="P43">
            <v>1</v>
          </cell>
          <cell r="Q43">
            <v>7999000</v>
          </cell>
          <cell r="R43">
            <v>1</v>
          </cell>
          <cell r="S43">
            <v>3599000</v>
          </cell>
          <cell r="AB43">
            <v>1</v>
          </cell>
          <cell r="AC43">
            <v>6899000</v>
          </cell>
          <cell r="AJ43">
            <v>13</v>
          </cell>
          <cell r="AK43">
            <v>47587000</v>
          </cell>
        </row>
        <row r="44">
          <cell r="B44">
            <v>6010708</v>
          </cell>
          <cell r="D44">
            <v>1</v>
          </cell>
          <cell r="E44">
            <v>2299000</v>
          </cell>
          <cell r="F44">
            <v>9</v>
          </cell>
          <cell r="G44">
            <v>22391000</v>
          </cell>
          <cell r="H44">
            <v>2</v>
          </cell>
          <cell r="I44">
            <v>4198000</v>
          </cell>
          <cell r="L44">
            <v>1</v>
          </cell>
          <cell r="M44">
            <v>3599000</v>
          </cell>
          <cell r="N44">
            <v>1</v>
          </cell>
          <cell r="O44">
            <v>3599000</v>
          </cell>
          <cell r="V44">
            <v>1</v>
          </cell>
          <cell r="W44">
            <v>11999000</v>
          </cell>
          <cell r="X44">
            <v>2</v>
          </cell>
          <cell r="Y44">
            <v>11798000</v>
          </cell>
          <cell r="Z44">
            <v>1</v>
          </cell>
          <cell r="AA44">
            <v>25999000</v>
          </cell>
          <cell r="AB44">
            <v>2</v>
          </cell>
          <cell r="AC44">
            <v>13798000</v>
          </cell>
          <cell r="AF44">
            <v>4</v>
          </cell>
          <cell r="AG44">
            <v>39996000</v>
          </cell>
          <cell r="AH44">
            <v>2</v>
          </cell>
          <cell r="AI44">
            <v>31998000</v>
          </cell>
          <cell r="AJ44">
            <v>26</v>
          </cell>
          <cell r="AK44">
            <v>171674000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10</v>
          </cell>
          <cell r="G45">
            <v>25590000</v>
          </cell>
          <cell r="H45">
            <v>11</v>
          </cell>
          <cell r="I45">
            <v>23089000</v>
          </cell>
          <cell r="J45">
            <v>2</v>
          </cell>
          <cell r="K45">
            <v>9398000</v>
          </cell>
          <cell r="R45">
            <v>1</v>
          </cell>
          <cell r="S45">
            <v>3599000</v>
          </cell>
          <cell r="AJ45">
            <v>27</v>
          </cell>
          <cell r="AK45">
            <v>68873000</v>
          </cell>
        </row>
        <row r="46">
          <cell r="B46">
            <v>6010702</v>
          </cell>
          <cell r="D46">
            <v>17</v>
          </cell>
          <cell r="E46">
            <v>40583000</v>
          </cell>
          <cell r="F46">
            <v>22</v>
          </cell>
          <cell r="G46">
            <v>59178000</v>
          </cell>
          <cell r="H46">
            <v>16</v>
          </cell>
          <cell r="I46">
            <v>33584000</v>
          </cell>
          <cell r="J46">
            <v>9</v>
          </cell>
          <cell r="K46">
            <v>37291000</v>
          </cell>
          <cell r="P46">
            <v>2</v>
          </cell>
          <cell r="Q46">
            <v>15998000</v>
          </cell>
          <cell r="R46">
            <v>1</v>
          </cell>
          <cell r="S46">
            <v>3599000</v>
          </cell>
          <cell r="X46">
            <v>1</v>
          </cell>
          <cell r="Y46">
            <v>5899000</v>
          </cell>
          <cell r="Z46">
            <v>1</v>
          </cell>
          <cell r="AA46">
            <v>25999000</v>
          </cell>
          <cell r="AB46">
            <v>1</v>
          </cell>
          <cell r="AC46">
            <v>6899000</v>
          </cell>
          <cell r="AF46">
            <v>2</v>
          </cell>
          <cell r="AG46">
            <v>19998000</v>
          </cell>
          <cell r="AJ46">
            <v>72</v>
          </cell>
          <cell r="AK46">
            <v>249028000</v>
          </cell>
        </row>
        <row r="47">
          <cell r="B47">
            <v>6010701</v>
          </cell>
          <cell r="D47">
            <v>12</v>
          </cell>
          <cell r="E47">
            <v>29088000</v>
          </cell>
          <cell r="F47">
            <v>20</v>
          </cell>
          <cell r="G47">
            <v>53580000</v>
          </cell>
          <cell r="H47">
            <v>12</v>
          </cell>
          <cell r="I47">
            <v>25188000</v>
          </cell>
          <cell r="J47">
            <v>10</v>
          </cell>
          <cell r="K47">
            <v>42390000</v>
          </cell>
          <cell r="N47">
            <v>1</v>
          </cell>
          <cell r="O47">
            <v>3599000</v>
          </cell>
          <cell r="R47">
            <v>1</v>
          </cell>
          <cell r="S47">
            <v>3599000</v>
          </cell>
          <cell r="T47">
            <v>2</v>
          </cell>
          <cell r="U47">
            <v>11798000</v>
          </cell>
          <cell r="X47">
            <v>2</v>
          </cell>
          <cell r="Y47">
            <v>11798000</v>
          </cell>
          <cell r="AF47">
            <v>3</v>
          </cell>
          <cell r="AG47">
            <v>29997000</v>
          </cell>
          <cell r="AJ47">
            <v>63</v>
          </cell>
          <cell r="AK47">
            <v>211037000</v>
          </cell>
        </row>
        <row r="48">
          <cell r="B48">
            <v>6010710</v>
          </cell>
          <cell r="D48">
            <v>9</v>
          </cell>
          <cell r="E48">
            <v>22491000</v>
          </cell>
          <cell r="F48">
            <v>7</v>
          </cell>
          <cell r="G48">
            <v>17593000</v>
          </cell>
          <cell r="H48">
            <v>12</v>
          </cell>
          <cell r="I48">
            <v>25188000</v>
          </cell>
          <cell r="J48">
            <v>3</v>
          </cell>
          <cell r="K48">
            <v>12097000</v>
          </cell>
          <cell r="N48">
            <v>1</v>
          </cell>
          <cell r="O48">
            <v>3599000</v>
          </cell>
          <cell r="T48">
            <v>1</v>
          </cell>
          <cell r="U48">
            <v>5499000</v>
          </cell>
          <cell r="X48">
            <v>1</v>
          </cell>
          <cell r="Y48">
            <v>5899000</v>
          </cell>
          <cell r="AD48">
            <v>1</v>
          </cell>
          <cell r="AE48">
            <v>5699000</v>
          </cell>
          <cell r="AF48">
            <v>2</v>
          </cell>
          <cell r="AG48">
            <v>19998000</v>
          </cell>
          <cell r="AJ48">
            <v>37</v>
          </cell>
          <cell r="AK48">
            <v>118063000</v>
          </cell>
        </row>
        <row r="49">
          <cell r="B49">
            <v>6010709</v>
          </cell>
          <cell r="D49">
            <v>21</v>
          </cell>
          <cell r="E49">
            <v>51279000</v>
          </cell>
          <cell r="F49">
            <v>15</v>
          </cell>
          <cell r="G49">
            <v>40385000</v>
          </cell>
          <cell r="H49">
            <v>32</v>
          </cell>
          <cell r="I49">
            <v>67168000</v>
          </cell>
          <cell r="J49">
            <v>8</v>
          </cell>
          <cell r="K49">
            <v>34992000</v>
          </cell>
          <cell r="R49">
            <v>6</v>
          </cell>
          <cell r="S49">
            <v>21594000</v>
          </cell>
          <cell r="T49">
            <v>5</v>
          </cell>
          <cell r="U49">
            <v>29095000</v>
          </cell>
          <cell r="X49">
            <v>5</v>
          </cell>
          <cell r="Y49">
            <v>29495000</v>
          </cell>
          <cell r="AB49">
            <v>4</v>
          </cell>
          <cell r="AC49">
            <v>27596000</v>
          </cell>
          <cell r="AJ49">
            <v>96</v>
          </cell>
          <cell r="AK49">
            <v>301604000</v>
          </cell>
        </row>
        <row r="50">
          <cell r="B50">
            <v>6010711</v>
          </cell>
          <cell r="D50">
            <v>1</v>
          </cell>
          <cell r="E50">
            <v>2299000</v>
          </cell>
          <cell r="H50">
            <v>1</v>
          </cell>
          <cell r="I50">
            <v>2099000</v>
          </cell>
          <cell r="J50">
            <v>1</v>
          </cell>
          <cell r="K50">
            <v>3899000</v>
          </cell>
          <cell r="P50">
            <v>1</v>
          </cell>
          <cell r="Q50">
            <v>7999000</v>
          </cell>
          <cell r="X50">
            <v>1</v>
          </cell>
          <cell r="Y50">
            <v>5899000</v>
          </cell>
          <cell r="AF50">
            <v>1</v>
          </cell>
          <cell r="AG50">
            <v>9999000</v>
          </cell>
          <cell r="AJ50">
            <v>6</v>
          </cell>
          <cell r="AK50">
            <v>32194000</v>
          </cell>
        </row>
        <row r="51">
          <cell r="B51">
            <v>6150702</v>
          </cell>
          <cell r="X51">
            <v>2</v>
          </cell>
          <cell r="Y51">
            <v>11798000</v>
          </cell>
          <cell r="AB51">
            <v>1</v>
          </cell>
          <cell r="AC51">
            <v>6899000</v>
          </cell>
          <cell r="AJ51">
            <v>3</v>
          </cell>
          <cell r="AK51">
            <v>18697000</v>
          </cell>
        </row>
        <row r="52">
          <cell r="B52">
            <v>6100702</v>
          </cell>
          <cell r="D52">
            <v>2</v>
          </cell>
          <cell r="E52">
            <v>4898000</v>
          </cell>
          <cell r="H52">
            <v>1</v>
          </cell>
          <cell r="I52">
            <v>2099000</v>
          </cell>
          <cell r="P52">
            <v>1</v>
          </cell>
          <cell r="Q52">
            <v>6999000</v>
          </cell>
          <cell r="R52">
            <v>1</v>
          </cell>
          <cell r="S52">
            <v>3599000</v>
          </cell>
          <cell r="T52">
            <v>1</v>
          </cell>
          <cell r="U52">
            <v>6299000</v>
          </cell>
          <cell r="AF52">
            <v>2</v>
          </cell>
          <cell r="AG52">
            <v>19998000</v>
          </cell>
          <cell r="AJ52">
            <v>8</v>
          </cell>
          <cell r="AK52">
            <v>43892000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85979000</v>
          </cell>
          <cell r="D17">
            <v>21</v>
          </cell>
          <cell r="E17">
            <v>4094238.0952380951</v>
          </cell>
        </row>
        <row r="18">
          <cell r="A18">
            <v>6010701</v>
          </cell>
          <cell r="B18" t="str">
            <v>6010701-MVS ROXY SHOWROOM 21</v>
          </cell>
          <cell r="C18">
            <v>311317000</v>
          </cell>
          <cell r="D18">
            <v>83</v>
          </cell>
          <cell r="E18">
            <v>3750807.2289156625</v>
          </cell>
        </row>
        <row r="19">
          <cell r="A19">
            <v>6010702</v>
          </cell>
          <cell r="B19" t="str">
            <v>6010702-ME ROXY PAMERAN TIMUR</v>
          </cell>
          <cell r="C19">
            <v>257113000</v>
          </cell>
          <cell r="D19">
            <v>87</v>
          </cell>
          <cell r="E19">
            <v>2955321.8390804599</v>
          </cell>
        </row>
        <row r="20">
          <cell r="A20">
            <v>6010703</v>
          </cell>
          <cell r="B20" t="str">
            <v>6010703-VIVO STORE WINSHOP</v>
          </cell>
          <cell r="C20">
            <v>128551000</v>
          </cell>
          <cell r="D20">
            <v>49</v>
          </cell>
          <cell r="E20">
            <v>2623489.7959183673</v>
          </cell>
        </row>
        <row r="21">
          <cell r="A21">
            <v>6020711</v>
          </cell>
          <cell r="B21" t="str">
            <v>6020711-vivostore emporium</v>
          </cell>
          <cell r="C21">
            <v>122076000</v>
          </cell>
          <cell r="D21">
            <v>24</v>
          </cell>
          <cell r="E21">
            <v>5086500</v>
          </cell>
        </row>
        <row r="22">
          <cell r="A22">
            <v>6010711</v>
          </cell>
          <cell r="B22" t="str">
            <v>6010711-LIPPO MALL PURI 1FK02</v>
          </cell>
          <cell r="C22">
            <v>123483000</v>
          </cell>
          <cell r="D22">
            <v>17</v>
          </cell>
          <cell r="E22">
            <v>7263705.8823529407</v>
          </cell>
        </row>
        <row r="23">
          <cell r="A23">
            <v>6020706</v>
          </cell>
          <cell r="B23" t="str">
            <v>6020706-MVS CEMPAKA SHOWROOM 2 (454)</v>
          </cell>
          <cell r="C23">
            <v>103171000</v>
          </cell>
          <cell r="D23">
            <v>29</v>
          </cell>
          <cell r="E23">
            <v>3557620.6896551726</v>
          </cell>
        </row>
        <row r="24">
          <cell r="A24">
            <v>6020704</v>
          </cell>
          <cell r="B24" t="str">
            <v>6020704-MVS CEMPAKA SHOWROOM 14 (8TOKO)</v>
          </cell>
          <cell r="C24">
            <v>63184000</v>
          </cell>
          <cell r="D24">
            <v>16</v>
          </cell>
          <cell r="E24">
            <v>3949000</v>
          </cell>
        </row>
        <row r="25">
          <cell r="A25">
            <v>6080712</v>
          </cell>
          <cell r="B25" t="str">
            <v>6080712-MVS ITC DEPOK VIVO STORE 2</v>
          </cell>
          <cell r="C25">
            <v>88183000</v>
          </cell>
          <cell r="D25">
            <v>17</v>
          </cell>
          <cell r="E25">
            <v>5187235.2941176472</v>
          </cell>
        </row>
        <row r="26">
          <cell r="A26">
            <v>6040702</v>
          </cell>
          <cell r="B26" t="str">
            <v>6040702-TRAN STUDIO MALL 2F059</v>
          </cell>
          <cell r="C26">
            <v>47690000</v>
          </cell>
          <cell r="D26">
            <v>10</v>
          </cell>
          <cell r="E26">
            <v>4769000</v>
          </cell>
        </row>
        <row r="27">
          <cell r="A27">
            <v>6040703</v>
          </cell>
          <cell r="B27" t="str">
            <v>6040703-SAWANGAN 1F1-0320</v>
          </cell>
          <cell r="C27">
            <v>68788000</v>
          </cell>
          <cell r="D27">
            <v>12</v>
          </cell>
          <cell r="E27">
            <v>5732333.333333333</v>
          </cell>
        </row>
        <row r="28">
          <cell r="A28">
            <v>6050701</v>
          </cell>
          <cell r="B28" t="str">
            <v>6050701-MVS X6 DS0824</v>
          </cell>
          <cell r="C28">
            <v>65487000</v>
          </cell>
          <cell r="D28">
            <v>13</v>
          </cell>
          <cell r="E28">
            <v>5037461.538461538</v>
          </cell>
        </row>
        <row r="29">
          <cell r="A29">
            <v>6220701</v>
          </cell>
          <cell r="B29" t="str">
            <v>6220701-MVS MBH-VIP VIVO STORE-DD284</v>
          </cell>
          <cell r="C29">
            <v>50086000</v>
          </cell>
          <cell r="D29">
            <v>14</v>
          </cell>
          <cell r="E29">
            <v>3577571.4285714286</v>
          </cell>
        </row>
        <row r="30">
          <cell r="A30">
            <v>6180706</v>
          </cell>
          <cell r="B30" t="str">
            <v>6180706-MVS MALL CCM</v>
          </cell>
          <cell r="C30">
            <v>119569000</v>
          </cell>
          <cell r="D30">
            <v>31</v>
          </cell>
          <cell r="E30">
            <v>3857064.5161290322</v>
          </cell>
        </row>
        <row r="31">
          <cell r="A31">
            <v>6180707</v>
          </cell>
          <cell r="B31" t="str">
            <v>6180707-SC BTM</v>
          </cell>
          <cell r="C31">
            <v>12896000</v>
          </cell>
          <cell r="D31">
            <v>4</v>
          </cell>
          <cell r="E31">
            <v>3224000</v>
          </cell>
        </row>
        <row r="32">
          <cell r="A32">
            <v>6170707</v>
          </cell>
          <cell r="B32" t="str">
            <v>6170707-LG BLOK D NO. 01D</v>
          </cell>
          <cell r="C32">
            <v>51882000</v>
          </cell>
          <cell r="D32">
            <v>18</v>
          </cell>
          <cell r="E32">
            <v>2882333.3333333335</v>
          </cell>
        </row>
        <row r="33">
          <cell r="A33">
            <v>6170706</v>
          </cell>
          <cell r="B33" t="str">
            <v>A200802-CHARLES</v>
          </cell>
          <cell r="C33">
            <v>94169000</v>
          </cell>
          <cell r="D33">
            <v>31</v>
          </cell>
          <cell r="E33">
            <v>3037709.6774193547</v>
          </cell>
        </row>
        <row r="34">
          <cell r="A34">
            <v>6240704</v>
          </cell>
          <cell r="B34" t="str">
            <v>6240704-TANGCITY LG017 WEST LOBBY</v>
          </cell>
          <cell r="C34">
            <v>6297000</v>
          </cell>
          <cell r="D34">
            <v>3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123874000</v>
          </cell>
          <cell r="D35">
            <v>26</v>
          </cell>
          <cell r="E35">
            <v>4764384.615384615</v>
          </cell>
        </row>
        <row r="36">
          <cell r="A36">
            <v>6240705</v>
          </cell>
          <cell r="B36" t="str">
            <v>6240705-CIPUTRA 2FC15</v>
          </cell>
          <cell r="C36">
            <v>43492000</v>
          </cell>
          <cell r="D36">
            <v>8</v>
          </cell>
          <cell r="E36">
            <v>5436500</v>
          </cell>
        </row>
        <row r="37">
          <cell r="A37">
            <v>6240709</v>
          </cell>
          <cell r="B37" t="str">
            <v>6240709-ITC BSD 1F49-50</v>
          </cell>
          <cell r="C37">
            <v>24894000</v>
          </cell>
          <cell r="D37">
            <v>6</v>
          </cell>
          <cell r="E37">
            <v>4149000</v>
          </cell>
        </row>
        <row r="38">
          <cell r="A38">
            <v>6240708</v>
          </cell>
          <cell r="B38" t="str">
            <v>6240708-ITC BSD 1F09-14</v>
          </cell>
          <cell r="C38">
            <v>27493000</v>
          </cell>
          <cell r="D38">
            <v>7</v>
          </cell>
          <cell r="E38">
            <v>3927571.4285714286</v>
          </cell>
        </row>
        <row r="39">
          <cell r="A39">
            <v>6240707</v>
          </cell>
          <cell r="B39" t="str">
            <v>6240707-SUPERMALL UGN3A仓库</v>
          </cell>
          <cell r="C39">
            <v>16894000</v>
          </cell>
          <cell r="D39">
            <v>6</v>
          </cell>
          <cell r="E39">
            <v>2815666.6666666665</v>
          </cell>
        </row>
        <row r="40">
          <cell r="A40">
            <v>6240706</v>
          </cell>
          <cell r="B40" t="str">
            <v>6240706-SUPERMALL LGC3A</v>
          </cell>
          <cell r="C40">
            <v>21994000</v>
          </cell>
          <cell r="D40">
            <v>6</v>
          </cell>
          <cell r="E40">
            <v>3665666.6666666665</v>
          </cell>
        </row>
        <row r="41">
          <cell r="A41">
            <v>6170703</v>
          </cell>
          <cell r="B41" t="str">
            <v>6170703-4004 MVS-BNT-CCM STORE</v>
          </cell>
          <cell r="C41">
            <v>43794000</v>
          </cell>
          <cell r="D41">
            <v>6</v>
          </cell>
          <cell r="E41">
            <v>7299000</v>
          </cell>
        </row>
        <row r="42">
          <cell r="A42">
            <v>6190701</v>
          </cell>
          <cell r="B42" t="str">
            <v>6190701-VIVO STORE UG</v>
          </cell>
          <cell r="C42">
            <v>38288000</v>
          </cell>
          <cell r="D42">
            <v>12</v>
          </cell>
          <cell r="E42">
            <v>3190666.6666666665</v>
          </cell>
        </row>
        <row r="43">
          <cell r="A43">
            <v>6190704</v>
          </cell>
          <cell r="B43" t="str">
            <v>A300201-VIVO STORE 1 BEC</v>
          </cell>
          <cell r="C43">
            <v>121666000</v>
          </cell>
          <cell r="D43">
            <v>34</v>
          </cell>
          <cell r="E43">
            <v>3578411.7647058824</v>
          </cell>
        </row>
        <row r="44">
          <cell r="A44">
            <v>6190707</v>
          </cell>
          <cell r="B44" t="str">
            <v>A300202-VIVO STORE LU</v>
          </cell>
          <cell r="C44">
            <v>121264000</v>
          </cell>
          <cell r="D44">
            <v>36</v>
          </cell>
          <cell r="E44">
            <v>3368444.4444444445</v>
          </cell>
        </row>
        <row r="45">
          <cell r="A45">
            <v>6100702</v>
          </cell>
          <cell r="B45" t="str">
            <v>6100702-VS Jogja City Mall</v>
          </cell>
          <cell r="C45">
            <v>50089000</v>
          </cell>
          <cell r="D45">
            <v>11</v>
          </cell>
          <cell r="E45">
            <v>4553545.4545454541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54690000</v>
          </cell>
          <cell r="D47">
            <v>10</v>
          </cell>
          <cell r="E47">
            <v>5469000</v>
          </cell>
        </row>
        <row r="48">
          <cell r="A48">
            <v>6140705</v>
          </cell>
          <cell r="B48" t="str">
            <v>6140705-QUEENCITY 2F027</v>
          </cell>
          <cell r="C48">
            <v>100887000</v>
          </cell>
          <cell r="D48">
            <v>13</v>
          </cell>
          <cell r="E48">
            <v>7760538.461538462</v>
          </cell>
        </row>
        <row r="49">
          <cell r="A49">
            <v>6190705</v>
          </cell>
          <cell r="B49" t="str">
            <v>A300105-VIVO STORE LG F20</v>
          </cell>
          <cell r="C49">
            <v>39290000</v>
          </cell>
          <cell r="D49">
            <v>10</v>
          </cell>
          <cell r="E49">
            <v>3929000</v>
          </cell>
        </row>
        <row r="50">
          <cell r="A50">
            <v>6190706</v>
          </cell>
          <cell r="B50" t="str">
            <v>A300102-VIVO STORE 4 BEC</v>
          </cell>
          <cell r="C50">
            <v>193264000</v>
          </cell>
          <cell r="D50">
            <v>36</v>
          </cell>
          <cell r="E50">
            <v>5368444.444444444</v>
          </cell>
        </row>
        <row r="51">
          <cell r="A51">
            <v>6240702</v>
          </cell>
          <cell r="B51" t="str">
            <v>A200902-LG BLOK B NO. 01B</v>
          </cell>
          <cell r="C51">
            <v>102075000</v>
          </cell>
          <cell r="D51">
            <v>25</v>
          </cell>
          <cell r="E51">
            <v>4083000</v>
          </cell>
        </row>
        <row r="52">
          <cell r="A52">
            <v>6240701</v>
          </cell>
          <cell r="B52" t="str">
            <v>A200803-LG BLOK A-B NO. 12</v>
          </cell>
          <cell r="C52">
            <v>98169000</v>
          </cell>
          <cell r="D52">
            <v>31</v>
          </cell>
          <cell r="E52">
            <v>3166741.935483871</v>
          </cell>
        </row>
        <row r="53">
          <cell r="A53">
            <v>6040701</v>
          </cell>
          <cell r="B53" t="str">
            <v>A200402-ITC-VIVO STORE 1</v>
          </cell>
          <cell r="C53">
            <v>95076000</v>
          </cell>
          <cell r="D53">
            <v>24</v>
          </cell>
          <cell r="E53">
            <v>3961500</v>
          </cell>
        </row>
        <row r="54">
          <cell r="A54">
            <v>6010710</v>
          </cell>
          <cell r="B54" t="str">
            <v>A100304-PAMERAN SELATAN</v>
          </cell>
          <cell r="C54">
            <v>110359000</v>
          </cell>
          <cell r="D54">
            <v>41</v>
          </cell>
          <cell r="E54">
            <v>2691682.9268292682</v>
          </cell>
        </row>
        <row r="55">
          <cell r="A55">
            <v>6010709</v>
          </cell>
          <cell r="B55" t="str">
            <v>A100303-PAMERAN UTARA</v>
          </cell>
          <cell r="C55">
            <v>274806000</v>
          </cell>
          <cell r="D55">
            <v>94</v>
          </cell>
          <cell r="E55">
            <v>2923468.0851063831</v>
          </cell>
        </row>
        <row r="56">
          <cell r="C56">
            <v>3502279000</v>
          </cell>
          <cell r="D56">
            <v>921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H15" sqref="H15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42" t="s">
        <v>0</v>
      </c>
      <c r="B1" s="243"/>
      <c r="C1" s="243"/>
      <c r="D1" s="97" t="s">
        <v>1</v>
      </c>
      <c r="E1" s="97" t="s">
        <v>2</v>
      </c>
      <c r="F1" s="98" t="s">
        <v>3</v>
      </c>
      <c r="G1" s="246" t="s">
        <v>4</v>
      </c>
      <c r="H1" s="247"/>
      <c r="I1" s="246" t="s">
        <v>5</v>
      </c>
      <c r="J1" s="252"/>
      <c r="K1" s="253"/>
      <c r="L1" s="253"/>
      <c r="M1" s="253"/>
      <c r="N1" s="253"/>
      <c r="O1" s="253"/>
      <c r="P1" s="253"/>
      <c r="Q1" s="253"/>
      <c r="R1" s="253"/>
      <c r="S1" s="253"/>
      <c r="T1" s="254"/>
      <c r="U1" s="246" t="s">
        <v>6</v>
      </c>
      <c r="V1" s="252"/>
      <c r="W1" s="253"/>
      <c r="X1" s="253"/>
      <c r="Y1" s="253"/>
      <c r="Z1" s="253"/>
      <c r="AA1" s="253"/>
      <c r="AB1" s="254"/>
      <c r="AC1" s="246" t="s">
        <v>7</v>
      </c>
      <c r="AD1" s="247"/>
      <c r="AE1" s="246" t="s">
        <v>8</v>
      </c>
      <c r="AF1" s="252"/>
      <c r="AG1" s="253"/>
      <c r="AH1" s="254"/>
      <c r="AI1" s="261" t="s">
        <v>9</v>
      </c>
      <c r="AJ1" s="262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4"/>
      <c r="BC1" s="261" t="s">
        <v>10</v>
      </c>
      <c r="BD1" s="262"/>
      <c r="BE1" s="263"/>
      <c r="BF1" s="263"/>
      <c r="BG1" s="263"/>
      <c r="BH1" s="263"/>
      <c r="BI1" s="263"/>
      <c r="BJ1" s="263"/>
      <c r="BK1" s="263"/>
      <c r="BL1" s="263"/>
      <c r="BM1" s="263"/>
      <c r="BN1" s="263"/>
      <c r="BO1" s="263"/>
      <c r="BP1" s="263"/>
      <c r="BQ1" s="285"/>
    </row>
    <row r="2" spans="1:69" ht="16" customHeight="1" x14ac:dyDescent="0.2">
      <c r="A2" s="244"/>
      <c r="B2" s="245"/>
      <c r="C2" s="245"/>
      <c r="D2" s="99">
        <v>30</v>
      </c>
      <c r="E2" s="99">
        <v>8</v>
      </c>
      <c r="F2" s="100">
        <f>E2/D2</f>
        <v>0.26666666666666666</v>
      </c>
      <c r="G2" s="248"/>
      <c r="H2" s="249"/>
      <c r="I2" s="248"/>
      <c r="J2" s="255"/>
      <c r="K2" s="256"/>
      <c r="L2" s="256"/>
      <c r="M2" s="256"/>
      <c r="N2" s="256"/>
      <c r="O2" s="256"/>
      <c r="P2" s="256"/>
      <c r="Q2" s="256"/>
      <c r="R2" s="256"/>
      <c r="S2" s="256"/>
      <c r="T2" s="257"/>
      <c r="U2" s="248"/>
      <c r="V2" s="255"/>
      <c r="W2" s="256"/>
      <c r="X2" s="256"/>
      <c r="Y2" s="256"/>
      <c r="Z2" s="256"/>
      <c r="AA2" s="256"/>
      <c r="AB2" s="257"/>
      <c r="AC2" s="248"/>
      <c r="AD2" s="249"/>
      <c r="AE2" s="248"/>
      <c r="AF2" s="255"/>
      <c r="AG2" s="256"/>
      <c r="AH2" s="257"/>
      <c r="AI2" s="265"/>
      <c r="AJ2" s="266"/>
      <c r="AK2" s="267"/>
      <c r="AL2" s="267"/>
      <c r="AM2" s="267"/>
      <c r="AN2" s="267"/>
      <c r="AO2" s="267"/>
      <c r="AP2" s="267"/>
      <c r="AQ2" s="267"/>
      <c r="AR2" s="267"/>
      <c r="AS2" s="267"/>
      <c r="AT2" s="267"/>
      <c r="AU2" s="267"/>
      <c r="AV2" s="267"/>
      <c r="AW2" s="267"/>
      <c r="AX2" s="267"/>
      <c r="AY2" s="267"/>
      <c r="AZ2" s="267"/>
      <c r="BA2" s="267"/>
      <c r="BB2" s="268"/>
      <c r="BC2" s="265" t="s">
        <v>11</v>
      </c>
      <c r="BD2" s="266"/>
      <c r="BE2" s="267"/>
      <c r="BF2" s="267" t="s">
        <v>12</v>
      </c>
      <c r="BG2" s="267"/>
      <c r="BH2" s="267"/>
      <c r="BI2" s="267" t="s">
        <v>13</v>
      </c>
      <c r="BJ2" s="267"/>
      <c r="BK2" s="267"/>
      <c r="BL2" s="267" t="s">
        <v>14</v>
      </c>
      <c r="BM2" s="267"/>
      <c r="BN2" s="267"/>
      <c r="BO2" s="267" t="s">
        <v>15</v>
      </c>
      <c r="BP2" s="267"/>
      <c r="BQ2" s="286"/>
    </row>
    <row r="3" spans="1:69" ht="16" customHeight="1" x14ac:dyDescent="0.2">
      <c r="A3" s="280" t="s">
        <v>16</v>
      </c>
      <c r="B3" s="282" t="s">
        <v>17</v>
      </c>
      <c r="C3" s="282" t="s">
        <v>18</v>
      </c>
      <c r="D3" s="282" t="s">
        <v>19</v>
      </c>
      <c r="E3" s="282">
        <v>8</v>
      </c>
      <c r="F3" s="270" t="s">
        <v>20</v>
      </c>
      <c r="G3" s="250"/>
      <c r="H3" s="251"/>
      <c r="I3" s="250"/>
      <c r="J3" s="258"/>
      <c r="K3" s="259"/>
      <c r="L3" s="259"/>
      <c r="M3" s="259"/>
      <c r="N3" s="259"/>
      <c r="O3" s="259"/>
      <c r="P3" s="259"/>
      <c r="Q3" s="259"/>
      <c r="R3" s="259"/>
      <c r="S3" s="259"/>
      <c r="T3" s="260"/>
      <c r="U3" s="250"/>
      <c r="V3" s="258"/>
      <c r="W3" s="259"/>
      <c r="X3" s="259"/>
      <c r="Y3" s="259"/>
      <c r="Z3" s="259"/>
      <c r="AA3" s="259"/>
      <c r="AB3" s="260"/>
      <c r="AC3" s="250"/>
      <c r="AD3" s="251"/>
      <c r="AE3" s="250"/>
      <c r="AF3" s="258"/>
      <c r="AG3" s="259"/>
      <c r="AH3" s="260"/>
      <c r="AI3" s="274" t="s">
        <v>21</v>
      </c>
      <c r="AJ3" s="275"/>
      <c r="AK3" s="276"/>
      <c r="AL3" s="276"/>
      <c r="AM3" s="259" t="s">
        <v>22</v>
      </c>
      <c r="AN3" s="259"/>
      <c r="AO3" s="259"/>
      <c r="AP3" s="259"/>
      <c r="AQ3" s="259" t="s">
        <v>23</v>
      </c>
      <c r="AR3" s="259"/>
      <c r="AS3" s="259"/>
      <c r="AT3" s="259"/>
      <c r="AU3" s="277" t="s">
        <v>24</v>
      </c>
      <c r="AV3" s="277"/>
      <c r="AW3" s="277"/>
      <c r="AX3" s="277"/>
      <c r="AY3" s="259" t="s">
        <v>25</v>
      </c>
      <c r="AZ3" s="259"/>
      <c r="BA3" s="259"/>
      <c r="BB3" s="260"/>
      <c r="BC3" s="250" t="s">
        <v>26</v>
      </c>
      <c r="BD3" s="258" t="s">
        <v>27</v>
      </c>
      <c r="BE3" s="259" t="s">
        <v>28</v>
      </c>
      <c r="BF3" s="259" t="s">
        <v>29</v>
      </c>
      <c r="BG3" s="259" t="s">
        <v>27</v>
      </c>
      <c r="BH3" s="259" t="s">
        <v>28</v>
      </c>
      <c r="BI3" s="259" t="s">
        <v>30</v>
      </c>
      <c r="BJ3" s="259" t="s">
        <v>27</v>
      </c>
      <c r="BK3" s="259" t="s">
        <v>28</v>
      </c>
      <c r="BL3" s="259" t="s">
        <v>31</v>
      </c>
      <c r="BM3" s="259" t="s">
        <v>27</v>
      </c>
      <c r="BN3" s="259" t="s">
        <v>28</v>
      </c>
      <c r="BO3" s="259" t="s">
        <v>32</v>
      </c>
      <c r="BP3" s="259" t="s">
        <v>27</v>
      </c>
      <c r="BQ3" s="240" t="s">
        <v>28</v>
      </c>
    </row>
    <row r="4" spans="1:69" ht="29" thickBot="1" x14ac:dyDescent="0.25">
      <c r="A4" s="281"/>
      <c r="B4" s="283"/>
      <c r="C4" s="284"/>
      <c r="D4" s="283"/>
      <c r="E4" s="283"/>
      <c r="F4" s="271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72"/>
      <c r="BD4" s="273"/>
      <c r="BE4" s="269"/>
      <c r="BF4" s="269"/>
      <c r="BG4" s="269"/>
      <c r="BH4" s="269"/>
      <c r="BI4" s="269"/>
      <c r="BJ4" s="269"/>
      <c r="BK4" s="269"/>
      <c r="BL4" s="269"/>
      <c r="BM4" s="269"/>
      <c r="BN4" s="269"/>
      <c r="BO4" s="269"/>
      <c r="BP4" s="269"/>
      <c r="BQ4" s="241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171674000</v>
      </c>
      <c r="J5" s="130">
        <f>IFERROR(I5/H5,0)</f>
        <v>0.28612333333333334</v>
      </c>
      <c r="K5" s="131">
        <f>I5-H5</f>
        <v>-428326000</v>
      </c>
      <c r="L5" s="132">
        <f>IFERROR(GETPIVOTDATA("Sum of Qty",[1]PF!$A$5,"ID Store",$C5),0)</f>
        <v>1</v>
      </c>
      <c r="M5" s="133">
        <f>IFERROR(GETPIVOTDATA("Sum of Qty",'[1]DEVICE &amp; VALUE'!$A$6,"ID Store",$C5,"Segment Price","3mio&gt;"),0)</f>
        <v>14</v>
      </c>
      <c r="N5" s="134">
        <f>IFERROR(M5/R5,0)</f>
        <v>0.53846153846153844</v>
      </c>
      <c r="O5" s="135">
        <f>IFERROR(GETPIVOTDATA("Sum of Qty",[1]IQOO!$A$6,"ID Store",$C5),0)</f>
        <v>1</v>
      </c>
      <c r="P5" s="134">
        <f>IFERROR(O5/R5,0)</f>
        <v>3.8461538461538464E-2</v>
      </c>
      <c r="Q5" s="136">
        <f>IFERROR(M5/R5,0)</f>
        <v>0.53846153846153844</v>
      </c>
      <c r="R5" s="135">
        <f>IFERROR(GETPIVOTDATA("Sum of Qty",'[1]DEVICE &amp; VALUE'!$A$6,"ID Store",$C5),0)</f>
        <v>26</v>
      </c>
      <c r="S5" s="135">
        <f>R5/G5</f>
        <v>0.23636363636363636</v>
      </c>
      <c r="T5" s="135">
        <f>R5-G5</f>
        <v>-84</v>
      </c>
      <c r="U5" s="137">
        <f>I5/$E$2*$D$2</f>
        <v>643777500</v>
      </c>
      <c r="V5" s="130">
        <f>IFERROR(U5/H5,0)</f>
        <v>1.0729625</v>
      </c>
      <c r="W5" s="138">
        <f>U5-H5</f>
        <v>43777500</v>
      </c>
      <c r="X5" s="139">
        <f t="shared" ref="X5:X47" si="0">M5/$E$2*$D$2</f>
        <v>52.5</v>
      </c>
      <c r="Y5" s="140">
        <f t="shared" ref="Y5:Y48" si="1">X5-G5</f>
        <v>-57.5</v>
      </c>
      <c r="Z5" s="140">
        <f>R5/$E$2*$D$2</f>
        <v>97.5</v>
      </c>
      <c r="AA5" s="140">
        <f>Z5-G5</f>
        <v>-12.5</v>
      </c>
      <c r="AB5" s="140">
        <f>IFERROR(Z5/G5,0)</f>
        <v>0.88636363636363635</v>
      </c>
      <c r="AC5" s="238">
        <f>IFERROR(($G5-$R5)/($D$2-$E$2),0)</f>
        <v>3.8181818181818183</v>
      </c>
      <c r="AD5" s="141">
        <f>IFERROR(($H5-$I5)/($D$2-$E$2),0)</f>
        <v>19469363.636363637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1</v>
      </c>
      <c r="AG5" s="144">
        <f t="shared" ref="AG5:AG48" si="2">AF5-AE5</f>
        <v>0</v>
      </c>
      <c r="AH5" s="136">
        <f t="shared" ref="AH5:AH47" si="3">IFERROR(AG5/AE5,0)</f>
        <v>0</v>
      </c>
      <c r="AI5" s="145">
        <f>IFERROR(GETPIVOTDATA("Sum of Qty",'[1]DATA LAST MONTH DEVICE'!$A$6,"ID Store",$C5),0)</f>
        <v>21</v>
      </c>
      <c r="AJ5" s="146">
        <f>R5</f>
        <v>26</v>
      </c>
      <c r="AK5" s="147">
        <f t="shared" ref="AK5:AK48" si="4">AJ5-AI5</f>
        <v>5</v>
      </c>
      <c r="AL5" s="148">
        <f t="shared" ref="AL5:AL47" si="5">IFERROR(AK5/AI5,0)</f>
        <v>0.23809523809523808</v>
      </c>
      <c r="AM5" s="133">
        <f>IFERROR(GETPIVOTDATA("Sum of Qty",'[1]Store 3mio+ last month'!$A$6,"ID Store",$C5),0)</f>
        <v>71</v>
      </c>
      <c r="AN5" s="144">
        <f>VLOOKUP(C:C,C:Z,24,0)</f>
        <v>97.5</v>
      </c>
      <c r="AO5" s="144">
        <f t="shared" ref="AO5:AO48" si="6">AN5-AM5</f>
        <v>26.5</v>
      </c>
      <c r="AP5" s="134">
        <f t="shared" ref="AP5:AP47" si="7">IFERROR(AO5/AM5,0)</f>
        <v>0.37323943661971831</v>
      </c>
      <c r="AQ5" s="133">
        <f>IFERROR(GETPIVOTDATA("Sum of Qty",'[1]DATA LAST MONTH DEVICE'!$A$6,"ID Store",$C5,"Segment Price","3mio&gt;"),0)</f>
        <v>11</v>
      </c>
      <c r="AR5" s="135">
        <f t="shared" ref="AR5:AR47" si="8">M5</f>
        <v>14</v>
      </c>
      <c r="AS5" s="135">
        <f t="shared" ref="AS5:AS48" si="9">AR5-AQ5</f>
        <v>3</v>
      </c>
      <c r="AT5" s="136">
        <f t="shared" ref="AT5:AT47" si="10">IFERROR(AS5/AQ5,0)</f>
        <v>0.27272727272727271</v>
      </c>
      <c r="AU5" s="129">
        <f>IFERROR(GETPIVOTDATA("Sum of SRP",'[1]DATA LAST MONTH DEVICE'!$A$6,"ID Store",$C5),0)</f>
        <v>85979000</v>
      </c>
      <c r="AV5" s="129">
        <f>I5</f>
        <v>171674000</v>
      </c>
      <c r="AW5" s="149">
        <f t="shared" ref="AW5:AW48" si="11">AV5-AU5</f>
        <v>85695000</v>
      </c>
      <c r="AX5" s="150">
        <f t="shared" ref="AX5:AX47" si="12">IFERROR(AW5/AU5,0)</f>
        <v>0.99669686783982137</v>
      </c>
      <c r="AY5" s="151">
        <f>IFERROR(VLOOKUP(C5,'[1]DATA SALES LAST MONTH'!A:E,5,0),0)</f>
        <v>4094238.0952380951</v>
      </c>
      <c r="AZ5" s="152">
        <f>IFERROR(U5/Z5,0)</f>
        <v>6602846.153846154</v>
      </c>
      <c r="BA5" s="152">
        <f t="shared" ref="BA5:BA48" si="13">AZ5-AY5</f>
        <v>2508608.0586080588</v>
      </c>
      <c r="BB5" s="136">
        <f t="shared" ref="BB5:BB47" si="14">IFERROR(BA5/AY5,0)</f>
        <v>0.61271670094754804</v>
      </c>
      <c r="BC5" s="153">
        <f>_xlfn.XLOOKUP(D:D,'[1]Target store'!C:C,'[1]Target store'!J:J,0)</f>
        <v>11</v>
      </c>
      <c r="BD5" s="132">
        <f>IFERROR(GETPIVOTDATA("Sum of Qty",[1]ACC!$A$5,"ID Store",$C5),0)</f>
        <v>8</v>
      </c>
      <c r="BE5" s="134">
        <f t="shared" ref="BE5:BE47" si="15">IFERROR(BD5/BC5,0)</f>
        <v>0.72727272727272729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318000</v>
      </c>
      <c r="BH5" s="134">
        <f t="shared" ref="BH5:BH47" si="16">IFERROR(BG5/BF5,0)</f>
        <v>0.11777777777777777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7" si="17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7" si="18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7" si="19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211037000</v>
      </c>
      <c r="J6" s="163">
        <f t="shared" ref="J6:J47" si="20">IFERROR(I6/H6,0)</f>
        <v>0.20098761904761905</v>
      </c>
      <c r="K6" s="164">
        <f t="shared" ref="K6:K47" si="21">I6-H6</f>
        <v>-838963000</v>
      </c>
      <c r="L6" s="132">
        <f>IFERROR(GETPIVOTDATA("Sum of Qty",[1]PF!$A$5,"ID Store",$C6),0)</f>
        <v>9</v>
      </c>
      <c r="M6" s="133">
        <f>IFERROR(GETPIVOTDATA("Sum of Qty",'[1]DEVICE &amp; VALUE'!$A$6,"ID Store",$C6,"Segment Price","3mio&gt;"),0)</f>
        <v>19</v>
      </c>
      <c r="N6" s="134">
        <f t="shared" ref="N6:N47" si="22">IFERROR(M6/R6,0)</f>
        <v>0.30158730158730157</v>
      </c>
      <c r="O6" s="135">
        <f>IFERROR(GETPIVOTDATA("Sum of Qty",[1]IQOO!$A$6,"ID Store",$C6),0)</f>
        <v>0</v>
      </c>
      <c r="P6" s="134">
        <f t="shared" ref="P6:P47" si="23">IFERROR(O6/R6,0)</f>
        <v>0</v>
      </c>
      <c r="Q6" s="136">
        <f t="shared" ref="Q6:Q47" si="24">IFERROR(M6/R6,0)</f>
        <v>0.30158730158730157</v>
      </c>
      <c r="R6" s="135">
        <f>IFERROR(GETPIVOTDATA("Sum of Qty",'[1]DEVICE &amp; VALUE'!$A$6,"ID Store",$C6),0)</f>
        <v>63</v>
      </c>
      <c r="S6" s="135">
        <f t="shared" ref="S6:S47" si="25">R6/G6</f>
        <v>0.26250000000000001</v>
      </c>
      <c r="T6" s="135">
        <f t="shared" ref="T6:T47" si="26">R6-G6</f>
        <v>-177</v>
      </c>
      <c r="U6" s="165">
        <f t="shared" ref="U6:U47" si="27">I6/$E$2*$D$2</f>
        <v>791388750</v>
      </c>
      <c r="V6" s="163">
        <f t="shared" ref="V6:V47" si="28">IFERROR(U6/H6,0)</f>
        <v>0.75370357142857147</v>
      </c>
      <c r="W6" s="166">
        <f t="shared" ref="W6:W47" si="29">U6-H6</f>
        <v>-258611250</v>
      </c>
      <c r="X6" s="167">
        <f t="shared" si="0"/>
        <v>71.25</v>
      </c>
      <c r="Y6" s="168">
        <f t="shared" si="1"/>
        <v>-168.75</v>
      </c>
      <c r="Z6" s="168">
        <f t="shared" ref="Z6:Z47" si="30">R6/$E$2*$D$2</f>
        <v>236.25</v>
      </c>
      <c r="AA6" s="168">
        <f t="shared" ref="AA6:AA47" si="31">Z6-G6</f>
        <v>-3.75</v>
      </c>
      <c r="AB6" s="168">
        <f t="shared" ref="AB6:AB47" si="32">IFERROR(Z6/G6,0)</f>
        <v>0.984375</v>
      </c>
      <c r="AC6" s="238">
        <f t="shared" ref="AC6:AC47" si="33">IFERROR(($G6-$R6)/($D$2-$E$2),0)</f>
        <v>8.045454545454545</v>
      </c>
      <c r="AD6" s="141">
        <f t="shared" ref="AD6:AD47" si="34">IFERROR(($H6-$I6)/($D$2-$E$2),0)</f>
        <v>38134681.81818182</v>
      </c>
      <c r="AE6" s="169">
        <f>IFERROR(GETPIVOTDATA("Sum of Qty",'[1]DATA LAST MONTH IQOO'!$A$6,"ID Store",$C6),0)</f>
        <v>2</v>
      </c>
      <c r="AF6" s="170">
        <f>IFERROR(GETPIVOTDATA("Sum of Qty",[1]IQOO!$A$6,"ID Store",$C6),0)</f>
        <v>0</v>
      </c>
      <c r="AG6" s="171">
        <f t="shared" si="2"/>
        <v>-2</v>
      </c>
      <c r="AH6" s="172">
        <f t="shared" si="3"/>
        <v>-1</v>
      </c>
      <c r="AI6" s="173">
        <f>IFERROR(GETPIVOTDATA("Sum of Qty",'[1]DATA LAST MONTH DEVICE'!$A$6,"ID Store",$C6),0)</f>
        <v>83</v>
      </c>
      <c r="AJ6" s="146">
        <f t="shared" ref="AJ6:AJ47" si="35">R6</f>
        <v>63</v>
      </c>
      <c r="AK6" s="174">
        <f t="shared" si="4"/>
        <v>-20</v>
      </c>
      <c r="AL6" s="175">
        <f t="shared" si="5"/>
        <v>-0.24096385542168675</v>
      </c>
      <c r="AM6" s="176">
        <f>IFERROR(GETPIVOTDATA("Sum of Qty",'[1]Store 3mio+ last month'!$A$6,"ID Store",$C6),0)</f>
        <v>270</v>
      </c>
      <c r="AN6" s="144">
        <f t="shared" ref="AN6:AN47" si="36">VLOOKUP(C:C,C:Z,24,0)</f>
        <v>236.25</v>
      </c>
      <c r="AO6" s="171">
        <f t="shared" si="6"/>
        <v>-33.75</v>
      </c>
      <c r="AP6" s="177">
        <f t="shared" si="7"/>
        <v>-0.125</v>
      </c>
      <c r="AQ6" s="176">
        <f>IFERROR(GETPIVOTDATA("Sum of Qty",'[1]DATA LAST MONTH DEVICE'!$A$6,"ID Store",$C6,"Segment Price","3mio&gt;"),0)</f>
        <v>33</v>
      </c>
      <c r="AR6" s="178">
        <f t="shared" si="8"/>
        <v>19</v>
      </c>
      <c r="AS6" s="178">
        <f t="shared" si="9"/>
        <v>-14</v>
      </c>
      <c r="AT6" s="172">
        <f t="shared" si="10"/>
        <v>-0.42424242424242425</v>
      </c>
      <c r="AU6" s="179">
        <f>IFERROR(GETPIVOTDATA("Sum of SRP",'[1]DATA LAST MONTH DEVICE'!$A$6,"ID Store",$C6),0)</f>
        <v>311317000</v>
      </c>
      <c r="AV6" s="179">
        <f t="shared" ref="AV6:AV47" si="37">I6</f>
        <v>211037000</v>
      </c>
      <c r="AW6" s="180">
        <f t="shared" si="11"/>
        <v>-100280000</v>
      </c>
      <c r="AX6" s="181">
        <f t="shared" si="12"/>
        <v>-0.32211540005846129</v>
      </c>
      <c r="AY6" s="182">
        <f>IFERROR(VLOOKUP(C6,'[1]DATA SALES LAST MONTH'!A:E,5,0),0)</f>
        <v>3750807.2289156625</v>
      </c>
      <c r="AZ6" s="152">
        <f t="shared" ref="AZ6:AZ47" si="38">IFERROR(U6/Z6,0)</f>
        <v>3349793.6507936507</v>
      </c>
      <c r="BA6" s="183">
        <f t="shared" si="13"/>
        <v>-401013.57812201185</v>
      </c>
      <c r="BB6" s="172">
        <f t="shared" si="14"/>
        <v>-0.10691393975956014</v>
      </c>
      <c r="BC6" s="153">
        <f>_xlfn.XLOOKUP(D:D,'[1]Target store'!C:C,'[1]Target store'!J:J,0)</f>
        <v>24</v>
      </c>
      <c r="BD6" s="184">
        <f>IFERROR(GETPIVOTDATA("Sum of Qty",[1]ACC!$A$5,"ID Store",$C6),0)</f>
        <v>23</v>
      </c>
      <c r="BE6" s="177">
        <f t="shared" si="15"/>
        <v>0.95833333333333337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1590000</v>
      </c>
      <c r="BH6" s="177">
        <f t="shared" si="16"/>
        <v>0.33650793650793653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7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1</v>
      </c>
      <c r="BN6" s="177">
        <f t="shared" si="18"/>
        <v>4.7619047619047617E-7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19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249028000</v>
      </c>
      <c r="J7" s="163">
        <f t="shared" si="20"/>
        <v>0.26213473684210525</v>
      </c>
      <c r="K7" s="164">
        <f t="shared" si="21"/>
        <v>-700972000</v>
      </c>
      <c r="L7" s="132">
        <f>IFERROR(GETPIVOTDATA("Sum of Qty",[1]PF!$A$5,"ID Store",$C7),0)</f>
        <v>7</v>
      </c>
      <c r="M7" s="133">
        <f>IFERROR(GETPIVOTDATA("Sum of Qty",'[1]DEVICE &amp; VALUE'!$A$6,"ID Store",$C7,"Segment Price","3mio&gt;"),0)</f>
        <v>17</v>
      </c>
      <c r="N7" s="134">
        <f t="shared" si="22"/>
        <v>0.2361111111111111</v>
      </c>
      <c r="O7" s="135">
        <f>IFERROR(GETPIVOTDATA("Sum of Qty",[1]IQOO!$A$6,"ID Store",$C7),0)</f>
        <v>1</v>
      </c>
      <c r="P7" s="134">
        <f t="shared" si="23"/>
        <v>1.3888888888888888E-2</v>
      </c>
      <c r="Q7" s="136">
        <f t="shared" si="24"/>
        <v>0.2361111111111111</v>
      </c>
      <c r="R7" s="135">
        <f>IFERROR(GETPIVOTDATA("Sum of Qty",'[1]DEVICE &amp; VALUE'!$A$6,"ID Store",$C7),0)</f>
        <v>72</v>
      </c>
      <c r="S7" s="135">
        <f t="shared" si="25"/>
        <v>0.3</v>
      </c>
      <c r="T7" s="135">
        <f t="shared" si="26"/>
        <v>-168</v>
      </c>
      <c r="U7" s="165">
        <f t="shared" si="27"/>
        <v>933855000</v>
      </c>
      <c r="V7" s="163">
        <f t="shared" si="28"/>
        <v>0.98300526315789472</v>
      </c>
      <c r="W7" s="166">
        <f t="shared" si="29"/>
        <v>-16145000</v>
      </c>
      <c r="X7" s="167">
        <f t="shared" si="0"/>
        <v>63.75</v>
      </c>
      <c r="Y7" s="168">
        <f t="shared" si="1"/>
        <v>-176.25</v>
      </c>
      <c r="Z7" s="168">
        <f t="shared" si="30"/>
        <v>270</v>
      </c>
      <c r="AA7" s="168">
        <f t="shared" si="31"/>
        <v>30</v>
      </c>
      <c r="AB7" s="168">
        <f t="shared" si="32"/>
        <v>1.125</v>
      </c>
      <c r="AC7" s="238">
        <f t="shared" si="33"/>
        <v>7.6363636363636367</v>
      </c>
      <c r="AD7" s="141">
        <f t="shared" si="34"/>
        <v>31862363.636363637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1</v>
      </c>
      <c r="AG7" s="171">
        <f t="shared" si="2"/>
        <v>-2</v>
      </c>
      <c r="AH7" s="172">
        <f t="shared" si="3"/>
        <v>-0.66666666666666663</v>
      </c>
      <c r="AI7" s="173">
        <f>IFERROR(GETPIVOTDATA("Sum of Qty",'[1]DATA LAST MONTH DEVICE'!$A$6,"ID Store",$C7),0)</f>
        <v>87</v>
      </c>
      <c r="AJ7" s="146">
        <f t="shared" si="35"/>
        <v>72</v>
      </c>
      <c r="AK7" s="174">
        <f t="shared" si="4"/>
        <v>-15</v>
      </c>
      <c r="AL7" s="175">
        <f t="shared" si="5"/>
        <v>-0.17241379310344829</v>
      </c>
      <c r="AM7" s="176">
        <f>IFERROR(GETPIVOTDATA("Sum of Qty",'[1]Store 3mio+ last month'!$A$6,"ID Store",$C7),0)</f>
        <v>285</v>
      </c>
      <c r="AN7" s="144">
        <f t="shared" si="36"/>
        <v>270</v>
      </c>
      <c r="AO7" s="171">
        <f t="shared" si="6"/>
        <v>-15</v>
      </c>
      <c r="AP7" s="177">
        <f t="shared" si="7"/>
        <v>-5.2631578947368418E-2</v>
      </c>
      <c r="AQ7" s="176">
        <f>IFERROR(GETPIVOTDATA("Sum of Qty",'[1]DATA LAST MONTH DEVICE'!$A$6,"ID Store",$C7,"Segment Price","3mio&gt;"),0)</f>
        <v>19</v>
      </c>
      <c r="AR7" s="178">
        <f t="shared" si="8"/>
        <v>17</v>
      </c>
      <c r="AS7" s="178">
        <f t="shared" si="9"/>
        <v>-2</v>
      </c>
      <c r="AT7" s="172">
        <f t="shared" si="10"/>
        <v>-0.10526315789473684</v>
      </c>
      <c r="AU7" s="179">
        <f>IFERROR(GETPIVOTDATA("Sum of SRP",'[1]DATA LAST MONTH DEVICE'!$A$6,"ID Store",$C7),0)</f>
        <v>257113000</v>
      </c>
      <c r="AV7" s="179">
        <f t="shared" si="37"/>
        <v>249028000</v>
      </c>
      <c r="AW7" s="180">
        <f t="shared" si="11"/>
        <v>-8085000</v>
      </c>
      <c r="AX7" s="181">
        <f t="shared" si="12"/>
        <v>-3.1445317817457692E-2</v>
      </c>
      <c r="AY7" s="182">
        <f>IFERROR(VLOOKUP(C7,'[1]DATA SALES LAST MONTH'!A:E,5,0),0)</f>
        <v>2955321.8390804599</v>
      </c>
      <c r="AZ7" s="152">
        <f t="shared" si="38"/>
        <v>3458722.222222222</v>
      </c>
      <c r="BA7" s="183">
        <f t="shared" si="13"/>
        <v>503400.38314176211</v>
      </c>
      <c r="BB7" s="172">
        <f t="shared" si="14"/>
        <v>0.17033690763723849</v>
      </c>
      <c r="BC7" s="153">
        <f>_xlfn.XLOOKUP(D:D,'[1]Target store'!C:C,'[1]Target store'!J:J,0)</f>
        <v>24</v>
      </c>
      <c r="BD7" s="184">
        <f>IFERROR(GETPIVOTDATA("Sum of Qty",[1]ACC!$A$5,"ID Store",$C7),0)</f>
        <v>24</v>
      </c>
      <c r="BE7" s="177">
        <f t="shared" si="15"/>
        <v>1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795000</v>
      </c>
      <c r="BH7" s="177">
        <f t="shared" si="16"/>
        <v>0.18596491228070175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7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1</v>
      </c>
      <c r="BN7" s="177">
        <f t="shared" si="18"/>
        <v>5.2631578947368416E-7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19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68873000</v>
      </c>
      <c r="J8" s="163">
        <f t="shared" si="20"/>
        <v>0.15305111111111111</v>
      </c>
      <c r="K8" s="164">
        <f t="shared" si="21"/>
        <v>-381127000</v>
      </c>
      <c r="L8" s="132">
        <f>IFERROR(GETPIVOTDATA("Sum of Qty",[1]PF!$A$5,"ID Store",$C8),0)</f>
        <v>2</v>
      </c>
      <c r="M8" s="133">
        <f>IFERROR(GETPIVOTDATA("Sum of Qty",'[1]DEVICE &amp; VALUE'!$A$6,"ID Store",$C8,"Segment Price","3mio&gt;"),0)</f>
        <v>3</v>
      </c>
      <c r="N8" s="134">
        <f t="shared" si="22"/>
        <v>0.1111111111111111</v>
      </c>
      <c r="O8" s="135">
        <f>IFERROR(GETPIVOTDATA("Sum of Qty",[1]IQOO!$A$6,"ID Store",$C8),0)</f>
        <v>0</v>
      </c>
      <c r="P8" s="134">
        <f t="shared" si="23"/>
        <v>0</v>
      </c>
      <c r="Q8" s="136">
        <f t="shared" si="24"/>
        <v>0.1111111111111111</v>
      </c>
      <c r="R8" s="135">
        <f>IFERROR(GETPIVOTDATA("Sum of Qty",'[1]DEVICE &amp; VALUE'!$A$6,"ID Store",$C8),0)</f>
        <v>27</v>
      </c>
      <c r="S8" s="135">
        <f t="shared" si="25"/>
        <v>0.22500000000000001</v>
      </c>
      <c r="T8" s="135">
        <f t="shared" si="26"/>
        <v>-93</v>
      </c>
      <c r="U8" s="165">
        <f t="shared" si="27"/>
        <v>258273750</v>
      </c>
      <c r="V8" s="163">
        <f t="shared" si="28"/>
        <v>0.57394166666666668</v>
      </c>
      <c r="W8" s="166">
        <f t="shared" si="29"/>
        <v>-191726250</v>
      </c>
      <c r="X8" s="167">
        <f t="shared" si="0"/>
        <v>11.25</v>
      </c>
      <c r="Y8" s="168">
        <f t="shared" si="1"/>
        <v>-108.75</v>
      </c>
      <c r="Z8" s="168">
        <f t="shared" si="30"/>
        <v>101.25</v>
      </c>
      <c r="AA8" s="168">
        <f t="shared" si="31"/>
        <v>-18.75</v>
      </c>
      <c r="AB8" s="168">
        <f t="shared" si="32"/>
        <v>0.84375</v>
      </c>
      <c r="AC8" s="238">
        <f t="shared" si="33"/>
        <v>4.2272727272727275</v>
      </c>
      <c r="AD8" s="141">
        <f t="shared" si="34"/>
        <v>17323954.545454547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49</v>
      </c>
      <c r="AJ8" s="146">
        <f t="shared" si="35"/>
        <v>27</v>
      </c>
      <c r="AK8" s="174">
        <f t="shared" si="4"/>
        <v>-22</v>
      </c>
      <c r="AL8" s="175">
        <f t="shared" si="5"/>
        <v>-0.44897959183673469</v>
      </c>
      <c r="AM8" s="176">
        <f>IFERROR(GETPIVOTDATA("Sum of Qty",'[1]Store 3mio+ last month'!$A$6,"ID Store",$C8),0)</f>
        <v>138</v>
      </c>
      <c r="AN8" s="144">
        <f t="shared" si="36"/>
        <v>101.25</v>
      </c>
      <c r="AO8" s="171">
        <f t="shared" si="6"/>
        <v>-36.75</v>
      </c>
      <c r="AP8" s="177">
        <f t="shared" si="7"/>
        <v>-0.26630434782608697</v>
      </c>
      <c r="AQ8" s="176">
        <f>IFERROR(GETPIVOTDATA("Sum of Qty",'[1]DATA LAST MONTH DEVICE'!$A$6,"ID Store",$C8,"Segment Price","3mio&gt;"),0)</f>
        <v>8</v>
      </c>
      <c r="AR8" s="178">
        <f t="shared" si="8"/>
        <v>3</v>
      </c>
      <c r="AS8" s="178">
        <f t="shared" si="9"/>
        <v>-5</v>
      </c>
      <c r="AT8" s="172">
        <f t="shared" si="10"/>
        <v>-0.625</v>
      </c>
      <c r="AU8" s="179">
        <f>IFERROR(GETPIVOTDATA("Sum of SRP",'[1]DATA LAST MONTH DEVICE'!$A$6,"ID Store",$C8),0)</f>
        <v>128551000</v>
      </c>
      <c r="AV8" s="179">
        <f t="shared" si="37"/>
        <v>68873000</v>
      </c>
      <c r="AW8" s="180">
        <f t="shared" si="11"/>
        <v>-59678000</v>
      </c>
      <c r="AX8" s="181">
        <f t="shared" si="12"/>
        <v>-0.46423598416192796</v>
      </c>
      <c r="AY8" s="182">
        <f>IFERROR(VLOOKUP(C8,'[1]DATA SALES LAST MONTH'!A:E,5,0),0)</f>
        <v>2623489.7959183673</v>
      </c>
      <c r="AZ8" s="152">
        <f t="shared" si="38"/>
        <v>2550851.8518518517</v>
      </c>
      <c r="BA8" s="183">
        <f t="shared" si="13"/>
        <v>-72637.944066515658</v>
      </c>
      <c r="BB8" s="172">
        <f t="shared" si="14"/>
        <v>-2.7687526812387824E-2</v>
      </c>
      <c r="BC8" s="153">
        <f>_xlfn.XLOOKUP(D:D,'[1]Target store'!C:C,'[1]Target store'!J:J,0)</f>
        <v>12</v>
      </c>
      <c r="BD8" s="184">
        <f>IFERROR(GETPIVOTDATA("Sum of Qty",[1]ACC!$A$5,"ID Store",$C8),0)</f>
        <v>7</v>
      </c>
      <c r="BE8" s="177">
        <f t="shared" si="15"/>
        <v>0.58333333333333337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636000</v>
      </c>
      <c r="BH8" s="177">
        <f t="shared" si="16"/>
        <v>0.31407407407407406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7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0</v>
      </c>
      <c r="BN8" s="177">
        <f t="shared" si="18"/>
        <v>0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19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301604000</v>
      </c>
      <c r="J9" s="163">
        <f t="shared" si="20"/>
        <v>0.27418545454545457</v>
      </c>
      <c r="K9" s="164">
        <f t="shared" si="21"/>
        <v>-798396000</v>
      </c>
      <c r="L9" s="132">
        <f>IFERROR(GETPIVOTDATA("Sum of Qty",[1]PF!$A$5,"ID Store",$C9),0)</f>
        <v>12</v>
      </c>
      <c r="M9" s="133">
        <f>IFERROR(GETPIVOTDATA("Sum of Qty",'[1]DEVICE &amp; VALUE'!$A$6,"ID Store",$C9,"Segment Price","3mio&gt;"),0)</f>
        <v>28</v>
      </c>
      <c r="N9" s="134">
        <f t="shared" si="22"/>
        <v>0.29166666666666669</v>
      </c>
      <c r="O9" s="135">
        <f>IFERROR(GETPIVOTDATA("Sum of Qty",[1]IQOO!$A$6,"ID Store",$C9),0)</f>
        <v>2</v>
      </c>
      <c r="P9" s="134">
        <f t="shared" si="23"/>
        <v>2.0833333333333332E-2</v>
      </c>
      <c r="Q9" s="136">
        <f t="shared" si="24"/>
        <v>0.29166666666666669</v>
      </c>
      <c r="R9" s="135">
        <f>IFERROR(GETPIVOTDATA("Sum of Qty",'[1]DEVICE &amp; VALUE'!$A$6,"ID Store",$C9),0)</f>
        <v>96</v>
      </c>
      <c r="S9" s="135">
        <f t="shared" si="25"/>
        <v>0.3</v>
      </c>
      <c r="T9" s="135">
        <f t="shared" si="26"/>
        <v>-224</v>
      </c>
      <c r="U9" s="165">
        <f t="shared" si="27"/>
        <v>1131015000</v>
      </c>
      <c r="V9" s="163">
        <f t="shared" si="28"/>
        <v>1.0281954545454546</v>
      </c>
      <c r="W9" s="166">
        <f t="shared" si="29"/>
        <v>31015000</v>
      </c>
      <c r="X9" s="167">
        <f t="shared" si="0"/>
        <v>105</v>
      </c>
      <c r="Y9" s="168">
        <f t="shared" si="1"/>
        <v>-215</v>
      </c>
      <c r="Z9" s="168">
        <f t="shared" si="30"/>
        <v>360</v>
      </c>
      <c r="AA9" s="168">
        <f t="shared" si="31"/>
        <v>40</v>
      </c>
      <c r="AB9" s="168">
        <f t="shared" si="32"/>
        <v>1.125</v>
      </c>
      <c r="AC9" s="238">
        <f t="shared" si="33"/>
        <v>10.181818181818182</v>
      </c>
      <c r="AD9" s="141">
        <f t="shared" si="34"/>
        <v>36290727.272727273</v>
      </c>
      <c r="AE9" s="169">
        <f>IFERROR(GETPIVOTDATA("Sum of Qty",'[1]DATA LAST MONTH IQOO'!$A$6,"ID Store",$C9),0)</f>
        <v>1</v>
      </c>
      <c r="AF9" s="170">
        <f>IFERROR(GETPIVOTDATA("Sum of Qty",[1]IQOO!$A$6,"ID Store",$C9),0)</f>
        <v>2</v>
      </c>
      <c r="AG9" s="171">
        <f t="shared" si="2"/>
        <v>1</v>
      </c>
      <c r="AH9" s="172">
        <f t="shared" si="3"/>
        <v>1</v>
      </c>
      <c r="AI9" s="173">
        <f>IFERROR(GETPIVOTDATA("Sum of Qty",'[1]DATA LAST MONTH DEVICE'!$A$6,"ID Store",$C9),0)</f>
        <v>94</v>
      </c>
      <c r="AJ9" s="146">
        <f t="shared" si="35"/>
        <v>96</v>
      </c>
      <c r="AK9" s="174">
        <f t="shared" si="4"/>
        <v>2</v>
      </c>
      <c r="AL9" s="175">
        <f t="shared" si="5"/>
        <v>2.1276595744680851E-2</v>
      </c>
      <c r="AM9" s="176">
        <f>IFERROR(GETPIVOTDATA("Sum of Qty",'[1]Store 3mio+ last month'!$A$6,"ID Store",$C9),0)</f>
        <v>351</v>
      </c>
      <c r="AN9" s="144">
        <f t="shared" si="36"/>
        <v>360</v>
      </c>
      <c r="AO9" s="171">
        <f t="shared" si="6"/>
        <v>9</v>
      </c>
      <c r="AP9" s="177">
        <f t="shared" si="7"/>
        <v>2.564102564102564E-2</v>
      </c>
      <c r="AQ9" s="176">
        <f>IFERROR(GETPIVOTDATA("Sum of Qty",'[1]DATA LAST MONTH DEVICE'!$A$6,"ID Store",$C9,"Segment Price","3mio&gt;"),0)</f>
        <v>21</v>
      </c>
      <c r="AR9" s="178">
        <f t="shared" si="8"/>
        <v>28</v>
      </c>
      <c r="AS9" s="178">
        <f t="shared" si="9"/>
        <v>7</v>
      </c>
      <c r="AT9" s="172">
        <f t="shared" si="10"/>
        <v>0.33333333333333331</v>
      </c>
      <c r="AU9" s="179">
        <f>IFERROR(GETPIVOTDATA("Sum of SRP",'[1]DATA LAST MONTH DEVICE'!$A$6,"ID Store",$C9),0)</f>
        <v>274806000</v>
      </c>
      <c r="AV9" s="179">
        <f t="shared" si="37"/>
        <v>301604000</v>
      </c>
      <c r="AW9" s="180">
        <f t="shared" si="11"/>
        <v>26798000</v>
      </c>
      <c r="AX9" s="181">
        <f t="shared" si="12"/>
        <v>9.7516065879202057E-2</v>
      </c>
      <c r="AY9" s="182">
        <f>IFERROR(VLOOKUP(C9,'[1]DATA SALES LAST MONTH'!A:E,5,0),0)</f>
        <v>2923468.0851063831</v>
      </c>
      <c r="AZ9" s="152">
        <f t="shared" si="38"/>
        <v>3141708.3333333335</v>
      </c>
      <c r="BA9" s="183">
        <f t="shared" si="13"/>
        <v>218240.24822695041</v>
      </c>
      <c r="BB9" s="172">
        <f t="shared" si="14"/>
        <v>7.4651147840052029E-2</v>
      </c>
      <c r="BC9" s="153">
        <f>_xlfn.XLOOKUP(D:D,'[1]Target store'!C:C,'[1]Target store'!J:J,0)</f>
        <v>32</v>
      </c>
      <c r="BD9" s="184">
        <f>IFERROR(GETPIVOTDATA("Sum of Qty",[1]ACC!$A$5,"ID Store",$C9),0)</f>
        <v>19</v>
      </c>
      <c r="BE9" s="177">
        <f t="shared" si="15"/>
        <v>0.59375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1908000</v>
      </c>
      <c r="BH9" s="177">
        <f t="shared" si="16"/>
        <v>0.38545454545454544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7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0</v>
      </c>
      <c r="BN9" s="177">
        <f t="shared" si="18"/>
        <v>0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19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118063000</v>
      </c>
      <c r="J10" s="163">
        <f t="shared" si="20"/>
        <v>0.29515750000000002</v>
      </c>
      <c r="K10" s="164">
        <f t="shared" si="21"/>
        <v>-281937000</v>
      </c>
      <c r="L10" s="132">
        <f>IFERROR(GETPIVOTDATA("Sum of Qty",[1]PF!$A$5,"ID Store",$C10),0)</f>
        <v>4</v>
      </c>
      <c r="M10" s="133">
        <f>IFERROR(GETPIVOTDATA("Sum of Qty",'[1]DEVICE &amp; VALUE'!$A$6,"ID Store",$C10,"Segment Price","3mio&gt;"),0)</f>
        <v>9</v>
      </c>
      <c r="N10" s="134">
        <f t="shared" si="22"/>
        <v>0.24324324324324326</v>
      </c>
      <c r="O10" s="135">
        <f>IFERROR(GETPIVOTDATA("Sum of Qty",[1]IQOO!$A$6,"ID Store",$C10),0)</f>
        <v>0</v>
      </c>
      <c r="P10" s="134">
        <f t="shared" si="23"/>
        <v>0</v>
      </c>
      <c r="Q10" s="136">
        <f t="shared" si="24"/>
        <v>0.24324324324324326</v>
      </c>
      <c r="R10" s="135">
        <f>IFERROR(GETPIVOTDATA("Sum of Qty",'[1]DEVICE &amp; VALUE'!$A$6,"ID Store",$C10),0)</f>
        <v>37</v>
      </c>
      <c r="S10" s="135">
        <f t="shared" si="25"/>
        <v>0.33636363636363636</v>
      </c>
      <c r="T10" s="135">
        <f t="shared" si="26"/>
        <v>-73</v>
      </c>
      <c r="U10" s="165">
        <f t="shared" si="27"/>
        <v>442736250</v>
      </c>
      <c r="V10" s="163">
        <f t="shared" si="28"/>
        <v>1.106840625</v>
      </c>
      <c r="W10" s="166">
        <f t="shared" si="29"/>
        <v>42736250</v>
      </c>
      <c r="X10" s="167">
        <f t="shared" si="0"/>
        <v>33.75</v>
      </c>
      <c r="Y10" s="168">
        <f t="shared" si="1"/>
        <v>-76.25</v>
      </c>
      <c r="Z10" s="168">
        <f t="shared" si="30"/>
        <v>138.75</v>
      </c>
      <c r="AA10" s="168">
        <f t="shared" si="31"/>
        <v>28.75</v>
      </c>
      <c r="AB10" s="168">
        <f t="shared" si="32"/>
        <v>1.2613636363636365</v>
      </c>
      <c r="AC10" s="238">
        <f t="shared" si="33"/>
        <v>3.3181818181818183</v>
      </c>
      <c r="AD10" s="141">
        <f t="shared" si="34"/>
        <v>12815318.181818182</v>
      </c>
      <c r="AE10" s="169">
        <f>IFERROR(GETPIVOTDATA("Sum of Qty",'[1]DATA LAST MONTH IQOO'!$A$6,"ID Store",$C10),0)</f>
        <v>0</v>
      </c>
      <c r="AF10" s="170">
        <f>IFERROR(GETPIVOTDATA("Sum of Qty",[1]IQOO!$A$6,"ID Store",$C10),0)</f>
        <v>0</v>
      </c>
      <c r="AG10" s="171">
        <f t="shared" si="2"/>
        <v>0</v>
      </c>
      <c r="AH10" s="172">
        <f t="shared" si="3"/>
        <v>0</v>
      </c>
      <c r="AI10" s="173">
        <f>IFERROR(GETPIVOTDATA("Sum of Qty",'[1]DATA LAST MONTH DEVICE'!$A$6,"ID Store",$C10),0)</f>
        <v>41</v>
      </c>
      <c r="AJ10" s="146">
        <f t="shared" si="35"/>
        <v>37</v>
      </c>
      <c r="AK10" s="174">
        <f t="shared" si="4"/>
        <v>-4</v>
      </c>
      <c r="AL10" s="175">
        <f t="shared" si="5"/>
        <v>-9.7560975609756101E-2</v>
      </c>
      <c r="AM10" s="176">
        <f>IFERROR(GETPIVOTDATA("Sum of Qty",'[1]Store 3mio+ last month'!$A$6,"ID Store",$C10),0)</f>
        <v>123</v>
      </c>
      <c r="AN10" s="144">
        <f t="shared" si="36"/>
        <v>138.75</v>
      </c>
      <c r="AO10" s="171">
        <f t="shared" si="6"/>
        <v>15.75</v>
      </c>
      <c r="AP10" s="177">
        <f t="shared" si="7"/>
        <v>0.12804878048780488</v>
      </c>
      <c r="AQ10" s="176">
        <f>IFERROR(GETPIVOTDATA("Sum of Qty",'[1]DATA LAST MONTH DEVICE'!$A$6,"ID Store",$C10,"Segment Price","3mio&gt;"),0)</f>
        <v>8</v>
      </c>
      <c r="AR10" s="178">
        <f t="shared" si="8"/>
        <v>9</v>
      </c>
      <c r="AS10" s="178">
        <f t="shared" si="9"/>
        <v>1</v>
      </c>
      <c r="AT10" s="172">
        <f t="shared" si="10"/>
        <v>0.125</v>
      </c>
      <c r="AU10" s="179">
        <f>IFERROR(GETPIVOTDATA("Sum of SRP",'[1]DATA LAST MONTH DEVICE'!$A$6,"ID Store",$C10),0)</f>
        <v>110359000</v>
      </c>
      <c r="AV10" s="179">
        <f t="shared" si="37"/>
        <v>118063000</v>
      </c>
      <c r="AW10" s="180">
        <f t="shared" si="11"/>
        <v>7704000</v>
      </c>
      <c r="AX10" s="181">
        <f t="shared" si="12"/>
        <v>6.9808533966418687E-2</v>
      </c>
      <c r="AY10" s="182">
        <f>IFERROR(VLOOKUP(C10,'[1]DATA SALES LAST MONTH'!A:E,5,0),0)</f>
        <v>2691682.9268292682</v>
      </c>
      <c r="AZ10" s="152">
        <f t="shared" si="38"/>
        <v>3190891.8918918921</v>
      </c>
      <c r="BA10" s="183">
        <f t="shared" si="13"/>
        <v>499208.96506262384</v>
      </c>
      <c r="BB10" s="172">
        <f t="shared" si="14"/>
        <v>0.18546351061143701</v>
      </c>
      <c r="BC10" s="153">
        <f>_xlfn.XLOOKUP(D:D,'[1]Target store'!C:C,'[1]Target store'!J:J,0)</f>
        <v>11</v>
      </c>
      <c r="BD10" s="184">
        <f>IFERROR(GETPIVOTDATA("Sum of Qty",[1]ACC!$A$5,"ID Store",$C10),0)</f>
        <v>6</v>
      </c>
      <c r="BE10" s="177">
        <f t="shared" si="15"/>
        <v>0.54545454545454541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636000</v>
      </c>
      <c r="BH10" s="177">
        <f t="shared" si="16"/>
        <v>0.35333333333333333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7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8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19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103279000</v>
      </c>
      <c r="J11" s="163">
        <f t="shared" si="20"/>
        <v>0.16657903225806453</v>
      </c>
      <c r="K11" s="164">
        <f t="shared" si="21"/>
        <v>-516721000</v>
      </c>
      <c r="L11" s="132">
        <f>IFERROR(GETPIVOTDATA("Sum of Qty",[1]PF!$A$5,"ID Store",$C11),0)</f>
        <v>1</v>
      </c>
      <c r="M11" s="133">
        <f>IFERROR(GETPIVOTDATA("Sum of Qty",'[1]DEVICE &amp; VALUE'!$A$6,"ID Store",$C11,"Segment Price","3mio&gt;"),0)</f>
        <v>9</v>
      </c>
      <c r="N11" s="134">
        <f t="shared" si="22"/>
        <v>0.42857142857142855</v>
      </c>
      <c r="O11" s="135">
        <f>IFERROR(GETPIVOTDATA("Sum of Qty",[1]IQOO!$A$6,"ID Store",$C11),0)</f>
        <v>0</v>
      </c>
      <c r="P11" s="134">
        <f t="shared" si="23"/>
        <v>0</v>
      </c>
      <c r="Q11" s="136">
        <f t="shared" si="24"/>
        <v>0.42857142857142855</v>
      </c>
      <c r="R11" s="135">
        <f>IFERROR(GETPIVOTDATA("Sum of Qty",'[1]DEVICE &amp; VALUE'!$A$6,"ID Store",$C11),0)</f>
        <v>21</v>
      </c>
      <c r="S11" s="135">
        <f t="shared" si="25"/>
        <v>0.19090909090909092</v>
      </c>
      <c r="T11" s="135">
        <f t="shared" si="26"/>
        <v>-89</v>
      </c>
      <c r="U11" s="165">
        <f t="shared" si="27"/>
        <v>387296250</v>
      </c>
      <c r="V11" s="163">
        <f t="shared" si="28"/>
        <v>0.62467137096774195</v>
      </c>
      <c r="W11" s="166">
        <f t="shared" si="29"/>
        <v>-232703750</v>
      </c>
      <c r="X11" s="167">
        <f t="shared" si="0"/>
        <v>33.75</v>
      </c>
      <c r="Y11" s="168">
        <f t="shared" si="1"/>
        <v>-76.25</v>
      </c>
      <c r="Z11" s="168">
        <f t="shared" si="30"/>
        <v>78.75</v>
      </c>
      <c r="AA11" s="168">
        <f t="shared" si="31"/>
        <v>-31.25</v>
      </c>
      <c r="AB11" s="168">
        <f t="shared" si="32"/>
        <v>0.71590909090909094</v>
      </c>
      <c r="AC11" s="238">
        <f t="shared" si="33"/>
        <v>4.0454545454545459</v>
      </c>
      <c r="AD11" s="141">
        <f t="shared" si="34"/>
        <v>23487318.181818184</v>
      </c>
      <c r="AE11" s="169">
        <f>IFERROR(GETPIVOTDATA("Sum of Qty",'[1]DATA LAST MONTH IQOO'!$A$6,"ID Store",$C11),0)</f>
        <v>1</v>
      </c>
      <c r="AF11" s="170">
        <f>IFERROR(GETPIVOTDATA("Sum of Qty",[1]IQOO!$A$6,"ID Store",$C11),0)</f>
        <v>0</v>
      </c>
      <c r="AG11" s="171">
        <f t="shared" si="2"/>
        <v>-1</v>
      </c>
      <c r="AH11" s="172">
        <f t="shared" si="3"/>
        <v>-1</v>
      </c>
      <c r="AI11" s="173">
        <f>IFERROR(GETPIVOTDATA("Sum of Qty",'[1]DATA LAST MONTH DEVICE'!$A$6,"ID Store",$C11),0)</f>
        <v>24</v>
      </c>
      <c r="AJ11" s="146">
        <f t="shared" si="35"/>
        <v>21</v>
      </c>
      <c r="AK11" s="174">
        <f t="shared" si="4"/>
        <v>-3</v>
      </c>
      <c r="AL11" s="175">
        <f t="shared" si="5"/>
        <v>-0.125</v>
      </c>
      <c r="AM11" s="176">
        <f>IFERROR(GETPIVOTDATA("Sum of Qty",'[1]Store 3mio+ last month'!$A$6,"ID Store",$C11),0)</f>
        <v>86</v>
      </c>
      <c r="AN11" s="144">
        <f t="shared" si="36"/>
        <v>78.75</v>
      </c>
      <c r="AO11" s="171">
        <f t="shared" si="6"/>
        <v>-7.25</v>
      </c>
      <c r="AP11" s="177">
        <f t="shared" si="7"/>
        <v>-8.4302325581395346E-2</v>
      </c>
      <c r="AQ11" s="176">
        <f>IFERROR(GETPIVOTDATA("Sum of Qty",'[1]DATA LAST MONTH DEVICE'!$A$6,"ID Store",$C11,"Segment Price","3mio&gt;"),0)</f>
        <v>10</v>
      </c>
      <c r="AR11" s="178">
        <f t="shared" si="8"/>
        <v>9</v>
      </c>
      <c r="AS11" s="178">
        <f t="shared" si="9"/>
        <v>-1</v>
      </c>
      <c r="AT11" s="172">
        <f t="shared" si="10"/>
        <v>-0.1</v>
      </c>
      <c r="AU11" s="179">
        <f>IFERROR(GETPIVOTDATA("Sum of SRP",'[1]DATA LAST MONTH DEVICE'!$A$6,"ID Store",$C11),0)</f>
        <v>122076000</v>
      </c>
      <c r="AV11" s="179">
        <f t="shared" si="37"/>
        <v>103279000</v>
      </c>
      <c r="AW11" s="180">
        <f t="shared" si="11"/>
        <v>-18797000</v>
      </c>
      <c r="AX11" s="181">
        <f t="shared" si="12"/>
        <v>-0.15397784986401913</v>
      </c>
      <c r="AY11" s="182">
        <f>IFERROR(VLOOKUP(C11,'[1]DATA SALES LAST MONTH'!A:E,5,0),0)</f>
        <v>5086500</v>
      </c>
      <c r="AZ11" s="152">
        <f t="shared" si="38"/>
        <v>4918047.6190476194</v>
      </c>
      <c r="BA11" s="183">
        <f t="shared" si="13"/>
        <v>-168452.3809523806</v>
      </c>
      <c r="BB11" s="172">
        <f t="shared" si="14"/>
        <v>-3.3117542701736086E-2</v>
      </c>
      <c r="BC11" s="153">
        <f>_xlfn.XLOOKUP(D:D,'[1]Target store'!C:C,'[1]Target store'!J:J,0)</f>
        <v>11</v>
      </c>
      <c r="BD11" s="184">
        <f>IFERROR(GETPIVOTDATA("Sum of Qty",[1]ACC!$A$5,"ID Store",$C11),0)</f>
        <v>13</v>
      </c>
      <c r="BE11" s="177">
        <f t="shared" si="15"/>
        <v>1.1818181818181819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408000</v>
      </c>
      <c r="BH11" s="177">
        <f t="shared" si="16"/>
        <v>0.14623655913978495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7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1</v>
      </c>
      <c r="BN11" s="177">
        <f t="shared" si="18"/>
        <v>8.064516129032258E-7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19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32194000</v>
      </c>
      <c r="J12" s="163">
        <f t="shared" si="20"/>
        <v>9.1982857142857144E-2</v>
      </c>
      <c r="K12" s="164">
        <f t="shared" si="21"/>
        <v>-317806000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4</v>
      </c>
      <c r="N12" s="134">
        <f t="shared" si="22"/>
        <v>0.66666666666666663</v>
      </c>
      <c r="O12" s="135">
        <f>IFERROR(GETPIVOTDATA("Sum of Qty",[1]IQOO!$A$6,"ID Store",$C12),0)</f>
        <v>0</v>
      </c>
      <c r="P12" s="134">
        <f t="shared" si="23"/>
        <v>0</v>
      </c>
      <c r="Q12" s="136">
        <f t="shared" si="24"/>
        <v>0.66666666666666663</v>
      </c>
      <c r="R12" s="135">
        <f>IFERROR(GETPIVOTDATA("Sum of Qty",'[1]DEVICE &amp; VALUE'!$A$6,"ID Store",$C12),0)</f>
        <v>6</v>
      </c>
      <c r="S12" s="135">
        <f t="shared" si="25"/>
        <v>0.12</v>
      </c>
      <c r="T12" s="135">
        <f t="shared" si="26"/>
        <v>-44</v>
      </c>
      <c r="U12" s="165">
        <f t="shared" si="27"/>
        <v>120727500</v>
      </c>
      <c r="V12" s="163">
        <f t="shared" si="28"/>
        <v>0.34493571428571429</v>
      </c>
      <c r="W12" s="166">
        <f t="shared" si="29"/>
        <v>-229272500</v>
      </c>
      <c r="X12" s="167">
        <f t="shared" si="0"/>
        <v>15</v>
      </c>
      <c r="Y12" s="168">
        <f t="shared" si="1"/>
        <v>-35</v>
      </c>
      <c r="Z12" s="168">
        <f t="shared" si="30"/>
        <v>22.5</v>
      </c>
      <c r="AA12" s="168">
        <f t="shared" si="31"/>
        <v>-27.5</v>
      </c>
      <c r="AB12" s="168">
        <f t="shared" si="32"/>
        <v>0.45</v>
      </c>
      <c r="AC12" s="238">
        <f t="shared" si="33"/>
        <v>2</v>
      </c>
      <c r="AD12" s="141">
        <f t="shared" si="34"/>
        <v>14445727.272727273</v>
      </c>
      <c r="AE12" s="169">
        <f>IFERROR(GETPIVOTDATA("Sum of Qty",'[1]DATA LAST MONTH IQOO'!$A$6,"ID Store",$C12),0)</f>
        <v>1</v>
      </c>
      <c r="AF12" s="170">
        <f>IFERROR(GETPIVOTDATA("Sum of Qty",[1]IQOO!$A$6,"ID Store",$C12),0)</f>
        <v>0</v>
      </c>
      <c r="AG12" s="171">
        <f t="shared" si="2"/>
        <v>-1</v>
      </c>
      <c r="AH12" s="172">
        <f t="shared" si="3"/>
        <v>-1</v>
      </c>
      <c r="AI12" s="173">
        <f>IFERROR(GETPIVOTDATA("Sum of Qty",'[1]DATA LAST MONTH DEVICE'!$A$6,"ID Store",$C12),0)</f>
        <v>17</v>
      </c>
      <c r="AJ12" s="146">
        <f t="shared" si="35"/>
        <v>6</v>
      </c>
      <c r="AK12" s="174">
        <f t="shared" si="4"/>
        <v>-11</v>
      </c>
      <c r="AL12" s="175">
        <f t="shared" si="5"/>
        <v>-0.6470588235294118</v>
      </c>
      <c r="AM12" s="176">
        <f>IFERROR(GETPIVOTDATA("Sum of Qty",'[1]Store 3mio+ last month'!$A$6,"ID Store",$C12),0)</f>
        <v>49</v>
      </c>
      <c r="AN12" s="144">
        <f t="shared" si="36"/>
        <v>22.5</v>
      </c>
      <c r="AO12" s="171">
        <f t="shared" si="6"/>
        <v>-26.5</v>
      </c>
      <c r="AP12" s="177">
        <f t="shared" si="7"/>
        <v>-0.54081632653061229</v>
      </c>
      <c r="AQ12" s="176">
        <f>IFERROR(GETPIVOTDATA("Sum of Qty",'[1]DATA LAST MONTH DEVICE'!$A$6,"ID Store",$C12,"Segment Price","3mio&gt;"),0)</f>
        <v>9</v>
      </c>
      <c r="AR12" s="178">
        <f t="shared" si="8"/>
        <v>4</v>
      </c>
      <c r="AS12" s="178">
        <f t="shared" si="9"/>
        <v>-5</v>
      </c>
      <c r="AT12" s="172">
        <f t="shared" si="10"/>
        <v>-0.55555555555555558</v>
      </c>
      <c r="AU12" s="179">
        <f>IFERROR(GETPIVOTDATA("Sum of SRP",'[1]DATA LAST MONTH DEVICE'!$A$6,"ID Store",$C12),0)</f>
        <v>123483000</v>
      </c>
      <c r="AV12" s="179">
        <f t="shared" si="37"/>
        <v>32194000</v>
      </c>
      <c r="AW12" s="180">
        <f t="shared" si="11"/>
        <v>-91289000</v>
      </c>
      <c r="AX12" s="181">
        <f t="shared" si="12"/>
        <v>-0.73928395001741132</v>
      </c>
      <c r="AY12" s="182">
        <f>IFERROR(VLOOKUP(C12,'[1]DATA SALES LAST MONTH'!A:E,5,0),0)</f>
        <v>7263705.8823529407</v>
      </c>
      <c r="AZ12" s="152">
        <f t="shared" si="38"/>
        <v>5365666.666666667</v>
      </c>
      <c r="BA12" s="183">
        <f t="shared" si="13"/>
        <v>-1898039.2156862738</v>
      </c>
      <c r="BB12" s="172">
        <f t="shared" si="14"/>
        <v>-0.26130452504933194</v>
      </c>
      <c r="BC12" s="153">
        <f>_xlfn.XLOOKUP(D:D,'[1]Target store'!C:C,'[1]Target store'!J:J,0)</f>
        <v>5</v>
      </c>
      <c r="BD12" s="184">
        <f>IFERROR(GETPIVOTDATA("Sum of Qty",[1]ACC!$A$5,"ID Store",$C12),0)</f>
        <v>1</v>
      </c>
      <c r="BE12" s="177">
        <f t="shared" si="15"/>
        <v>0.2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0</v>
      </c>
      <c r="BH12" s="177">
        <f t="shared" si="16"/>
        <v>0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7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8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19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116467000</v>
      </c>
      <c r="J13" s="163">
        <f t="shared" si="20"/>
        <v>0.29116750000000002</v>
      </c>
      <c r="K13" s="164">
        <f t="shared" si="21"/>
        <v>-283533000</v>
      </c>
      <c r="L13" s="132">
        <f>IFERROR(GETPIVOTDATA("Sum of Qty",[1]PF!$A$5,"ID Store",$C13),0)</f>
        <v>4</v>
      </c>
      <c r="M13" s="133">
        <f>IFERROR(GETPIVOTDATA("Sum of Qty",'[1]DEVICE &amp; VALUE'!$A$6,"ID Store",$C13,"Segment Price","3mio&gt;"),0)</f>
        <v>10</v>
      </c>
      <c r="N13" s="134">
        <f t="shared" si="22"/>
        <v>0.30303030303030304</v>
      </c>
      <c r="O13" s="135">
        <f>IFERROR(GETPIVOTDATA("Sum of Qty",[1]IQOO!$A$6,"ID Store",$C13),0)</f>
        <v>0</v>
      </c>
      <c r="P13" s="134">
        <f t="shared" si="23"/>
        <v>0</v>
      </c>
      <c r="Q13" s="136">
        <f t="shared" si="24"/>
        <v>0.30303030303030304</v>
      </c>
      <c r="R13" s="135">
        <f>IFERROR(GETPIVOTDATA("Sum of Qty",'[1]DEVICE &amp; VALUE'!$A$6,"ID Store",$C13),0)</f>
        <v>33</v>
      </c>
      <c r="S13" s="135">
        <f t="shared" si="25"/>
        <v>0.33</v>
      </c>
      <c r="T13" s="135">
        <f t="shared" si="26"/>
        <v>-67</v>
      </c>
      <c r="U13" s="165">
        <f t="shared" si="27"/>
        <v>436751250</v>
      </c>
      <c r="V13" s="163">
        <f t="shared" si="28"/>
        <v>1.091878125</v>
      </c>
      <c r="W13" s="166">
        <f t="shared" si="29"/>
        <v>36751250</v>
      </c>
      <c r="X13" s="167">
        <f t="shared" si="0"/>
        <v>37.5</v>
      </c>
      <c r="Y13" s="168">
        <f t="shared" si="1"/>
        <v>-62.5</v>
      </c>
      <c r="Z13" s="168">
        <f t="shared" si="30"/>
        <v>123.75</v>
      </c>
      <c r="AA13" s="168">
        <f t="shared" si="31"/>
        <v>23.75</v>
      </c>
      <c r="AB13" s="168">
        <f t="shared" si="32"/>
        <v>1.2375</v>
      </c>
      <c r="AC13" s="238">
        <f t="shared" si="33"/>
        <v>3.0454545454545454</v>
      </c>
      <c r="AD13" s="141">
        <f t="shared" si="34"/>
        <v>12887863.636363637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29</v>
      </c>
      <c r="AJ13" s="146">
        <f t="shared" si="35"/>
        <v>33</v>
      </c>
      <c r="AK13" s="174">
        <f t="shared" si="4"/>
        <v>4</v>
      </c>
      <c r="AL13" s="175">
        <f t="shared" si="5"/>
        <v>0.13793103448275862</v>
      </c>
      <c r="AM13" s="176">
        <f>IFERROR(GETPIVOTDATA("Sum of Qty",'[1]Store 3mio+ last month'!$A$6,"ID Store",$C13),0)</f>
        <v>88</v>
      </c>
      <c r="AN13" s="144">
        <f t="shared" si="36"/>
        <v>123.75</v>
      </c>
      <c r="AO13" s="171">
        <f t="shared" si="6"/>
        <v>35.75</v>
      </c>
      <c r="AP13" s="177">
        <f t="shared" si="7"/>
        <v>0.40625</v>
      </c>
      <c r="AQ13" s="176">
        <f>IFERROR(GETPIVOTDATA("Sum of Qty",'[1]DATA LAST MONTH DEVICE'!$A$6,"ID Store",$C13,"Segment Price","3mio&gt;"),0)</f>
        <v>13</v>
      </c>
      <c r="AR13" s="178">
        <f t="shared" si="8"/>
        <v>10</v>
      </c>
      <c r="AS13" s="178">
        <f t="shared" si="9"/>
        <v>-3</v>
      </c>
      <c r="AT13" s="172">
        <f t="shared" si="10"/>
        <v>-0.23076923076923078</v>
      </c>
      <c r="AU13" s="179">
        <f>IFERROR(GETPIVOTDATA("Sum of SRP",'[1]DATA LAST MONTH DEVICE'!$A$6,"ID Store",$C13),0)</f>
        <v>103171000</v>
      </c>
      <c r="AV13" s="179">
        <f t="shared" si="37"/>
        <v>116467000</v>
      </c>
      <c r="AW13" s="180">
        <f t="shared" si="11"/>
        <v>13296000</v>
      </c>
      <c r="AX13" s="181">
        <f t="shared" si="12"/>
        <v>0.12887342373341346</v>
      </c>
      <c r="AY13" s="182">
        <f>IFERROR(VLOOKUP(C13,'[1]DATA SALES LAST MONTH'!A:E,5,0),0)</f>
        <v>3557620.6896551726</v>
      </c>
      <c r="AZ13" s="152">
        <f t="shared" si="38"/>
        <v>3529303.0303030303</v>
      </c>
      <c r="BA13" s="183">
        <f t="shared" si="13"/>
        <v>-28317.659352142364</v>
      </c>
      <c r="BB13" s="172">
        <f t="shared" si="14"/>
        <v>-7.9597185373033938E-3</v>
      </c>
      <c r="BC13" s="153">
        <f>_xlfn.XLOOKUP(D:D,'[1]Target store'!C:C,'[1]Target store'!J:J,0)</f>
        <v>10</v>
      </c>
      <c r="BD13" s="184">
        <f>IFERROR(GETPIVOTDATA("Sum of Qty",[1]ACC!$A$5,"ID Store",$C13),0)</f>
        <v>1</v>
      </c>
      <c r="BE13" s="177">
        <f t="shared" si="15"/>
        <v>0.1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828000</v>
      </c>
      <c r="BH13" s="177">
        <f t="shared" si="16"/>
        <v>0.46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7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8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19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47587000</v>
      </c>
      <c r="J14" s="163">
        <f t="shared" si="20"/>
        <v>0.23793500000000001</v>
      </c>
      <c r="K14" s="164">
        <f t="shared" si="21"/>
        <v>-152413000</v>
      </c>
      <c r="L14" s="132">
        <f>IFERROR(GETPIVOTDATA("Sum of Qty",[1]PF!$A$5,"ID Store",$C14),0)</f>
        <v>3</v>
      </c>
      <c r="M14" s="133">
        <f>IFERROR(GETPIVOTDATA("Sum of Qty",'[1]DEVICE &amp; VALUE'!$A$6,"ID Store",$C14,"Segment Price","3mio&gt;"),0)</f>
        <v>5</v>
      </c>
      <c r="N14" s="134">
        <f t="shared" si="22"/>
        <v>0.38461538461538464</v>
      </c>
      <c r="O14" s="135">
        <f>IFERROR(GETPIVOTDATA("Sum of Qty",[1]IQOO!$A$6,"ID Store",$C14),0)</f>
        <v>0</v>
      </c>
      <c r="P14" s="134">
        <f t="shared" si="23"/>
        <v>0</v>
      </c>
      <c r="Q14" s="136">
        <f t="shared" si="24"/>
        <v>0.38461538461538464</v>
      </c>
      <c r="R14" s="135">
        <f>IFERROR(GETPIVOTDATA("Sum of Qty",'[1]DEVICE &amp; VALUE'!$A$6,"ID Store",$C14),0)</f>
        <v>13</v>
      </c>
      <c r="S14" s="135">
        <f t="shared" si="25"/>
        <v>0.26</v>
      </c>
      <c r="T14" s="135">
        <f t="shared" si="26"/>
        <v>-37</v>
      </c>
      <c r="U14" s="165">
        <f t="shared" si="27"/>
        <v>178451250</v>
      </c>
      <c r="V14" s="163">
        <f t="shared" si="28"/>
        <v>0.89225624999999997</v>
      </c>
      <c r="W14" s="166">
        <f t="shared" si="29"/>
        <v>-21548750</v>
      </c>
      <c r="X14" s="167">
        <f t="shared" si="0"/>
        <v>18.75</v>
      </c>
      <c r="Y14" s="168">
        <f t="shared" si="1"/>
        <v>-31.25</v>
      </c>
      <c r="Z14" s="168">
        <f t="shared" si="30"/>
        <v>48.75</v>
      </c>
      <c r="AA14" s="168">
        <f t="shared" si="31"/>
        <v>-1.25</v>
      </c>
      <c r="AB14" s="168">
        <f t="shared" si="32"/>
        <v>0.97499999999999998</v>
      </c>
      <c r="AC14" s="238">
        <f t="shared" si="33"/>
        <v>1.6818181818181819</v>
      </c>
      <c r="AD14" s="141">
        <f t="shared" si="34"/>
        <v>6927863.6363636367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16</v>
      </c>
      <c r="AJ14" s="146">
        <f t="shared" si="35"/>
        <v>13</v>
      </c>
      <c r="AK14" s="174">
        <f t="shared" si="4"/>
        <v>-3</v>
      </c>
      <c r="AL14" s="175">
        <f t="shared" si="5"/>
        <v>-0.1875</v>
      </c>
      <c r="AM14" s="176">
        <f>IFERROR(GETPIVOTDATA("Sum of Qty",'[1]Store 3mio+ last month'!$A$6,"ID Store",$C14),0)</f>
        <v>63</v>
      </c>
      <c r="AN14" s="144">
        <f t="shared" si="36"/>
        <v>48.75</v>
      </c>
      <c r="AO14" s="171">
        <f t="shared" si="6"/>
        <v>-14.25</v>
      </c>
      <c r="AP14" s="177">
        <f t="shared" si="7"/>
        <v>-0.22619047619047619</v>
      </c>
      <c r="AQ14" s="176">
        <f>IFERROR(GETPIVOTDATA("Sum of Qty",'[1]DATA LAST MONTH DEVICE'!$A$6,"ID Store",$C14,"Segment Price","3mio&gt;"),0)</f>
        <v>8</v>
      </c>
      <c r="AR14" s="178">
        <f t="shared" si="8"/>
        <v>5</v>
      </c>
      <c r="AS14" s="178">
        <f t="shared" si="9"/>
        <v>-3</v>
      </c>
      <c r="AT14" s="172">
        <f t="shared" si="10"/>
        <v>-0.375</v>
      </c>
      <c r="AU14" s="179">
        <f>IFERROR(GETPIVOTDATA("Sum of SRP",'[1]DATA LAST MONTH DEVICE'!$A$6,"ID Store",$C14),0)</f>
        <v>63184000</v>
      </c>
      <c r="AV14" s="179">
        <f t="shared" si="37"/>
        <v>47587000</v>
      </c>
      <c r="AW14" s="180">
        <f t="shared" si="11"/>
        <v>-15597000</v>
      </c>
      <c r="AX14" s="181">
        <f t="shared" si="12"/>
        <v>-0.24685046847303116</v>
      </c>
      <c r="AY14" s="182">
        <f>IFERROR(VLOOKUP(C14,'[1]DATA SALES LAST MONTH'!A:E,5,0),0)</f>
        <v>3949000</v>
      </c>
      <c r="AZ14" s="152">
        <f t="shared" si="38"/>
        <v>3660538.4615384615</v>
      </c>
      <c r="BA14" s="183">
        <f t="shared" si="13"/>
        <v>-288461.5384615385</v>
      </c>
      <c r="BB14" s="172">
        <f t="shared" si="14"/>
        <v>-7.3046730428346029E-2</v>
      </c>
      <c r="BC14" s="153">
        <f>_xlfn.XLOOKUP(D:D,'[1]Target store'!C:C,'[1]Target store'!J:J,0)</f>
        <v>5</v>
      </c>
      <c r="BD14" s="184">
        <f>IFERROR(GETPIVOTDATA("Sum of Qty",[1]ACC!$A$5,"ID Store",$C14),0)</f>
        <v>1</v>
      </c>
      <c r="BE14" s="177">
        <f t="shared" si="15"/>
        <v>0.2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159000</v>
      </c>
      <c r="BH14" s="177">
        <f t="shared" si="16"/>
        <v>0.17666666666666667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7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8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19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56989000</v>
      </c>
      <c r="J15" s="163">
        <f t="shared" si="20"/>
        <v>0.22795599999999999</v>
      </c>
      <c r="K15" s="164">
        <f t="shared" si="21"/>
        <v>-193011000</v>
      </c>
      <c r="L15" s="132">
        <f>IFERROR(GETPIVOTDATA("Sum of Qty",[1]PF!$A$5,"ID Store",$C15),0)</f>
        <v>2</v>
      </c>
      <c r="M15" s="133">
        <f>IFERROR(GETPIVOTDATA("Sum of Qty",'[1]DEVICE &amp; VALUE'!$A$6,"ID Store",$C15,"Segment Price","3mio&gt;"),0)</f>
        <v>6</v>
      </c>
      <c r="N15" s="134">
        <f t="shared" si="22"/>
        <v>0.54545454545454541</v>
      </c>
      <c r="O15" s="135">
        <f>IFERROR(GETPIVOTDATA("Sum of Qty",[1]IQOO!$A$6,"ID Store",$C15),0)</f>
        <v>0</v>
      </c>
      <c r="P15" s="134">
        <f t="shared" si="23"/>
        <v>0</v>
      </c>
      <c r="Q15" s="136">
        <f t="shared" si="24"/>
        <v>0.54545454545454541</v>
      </c>
      <c r="R15" s="135">
        <f>IFERROR(GETPIVOTDATA("Sum of Qty",'[1]DEVICE &amp; VALUE'!$A$6,"ID Store",$C15),0)</f>
        <v>11</v>
      </c>
      <c r="S15" s="135">
        <f t="shared" si="25"/>
        <v>0.18333333333333332</v>
      </c>
      <c r="T15" s="135">
        <f t="shared" si="26"/>
        <v>-49</v>
      </c>
      <c r="U15" s="165">
        <f t="shared" si="27"/>
        <v>213708750</v>
      </c>
      <c r="V15" s="163">
        <f t="shared" si="28"/>
        <v>0.85483500000000001</v>
      </c>
      <c r="W15" s="166">
        <f t="shared" si="29"/>
        <v>-36291250</v>
      </c>
      <c r="X15" s="167">
        <f t="shared" si="0"/>
        <v>22.5</v>
      </c>
      <c r="Y15" s="168">
        <f t="shared" si="1"/>
        <v>-37.5</v>
      </c>
      <c r="Z15" s="168">
        <f t="shared" si="30"/>
        <v>41.25</v>
      </c>
      <c r="AA15" s="168">
        <f t="shared" si="31"/>
        <v>-18.75</v>
      </c>
      <c r="AB15" s="168">
        <f t="shared" si="32"/>
        <v>0.6875</v>
      </c>
      <c r="AC15" s="238">
        <f t="shared" si="33"/>
        <v>2.2272727272727271</v>
      </c>
      <c r="AD15" s="141">
        <f t="shared" si="34"/>
        <v>8773227.2727272734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24</v>
      </c>
      <c r="AJ15" s="146">
        <f t="shared" si="35"/>
        <v>11</v>
      </c>
      <c r="AK15" s="174">
        <f t="shared" si="4"/>
        <v>-13</v>
      </c>
      <c r="AL15" s="175">
        <f t="shared" si="5"/>
        <v>-0.54166666666666663</v>
      </c>
      <c r="AM15" s="176">
        <f>IFERROR(GETPIVOTDATA("Sum of Qty",'[1]Store 3mio+ last month'!$A$6,"ID Store",$C15),0)</f>
        <v>60</v>
      </c>
      <c r="AN15" s="144">
        <f t="shared" si="36"/>
        <v>41.25</v>
      </c>
      <c r="AO15" s="171">
        <f t="shared" si="6"/>
        <v>-18.75</v>
      </c>
      <c r="AP15" s="177">
        <f t="shared" si="7"/>
        <v>-0.3125</v>
      </c>
      <c r="AQ15" s="176">
        <f>IFERROR(GETPIVOTDATA("Sum of Qty",'[1]DATA LAST MONTH DEVICE'!$A$6,"ID Store",$C15,"Segment Price","3mio&gt;"),0)</f>
        <v>12</v>
      </c>
      <c r="AR15" s="178">
        <f t="shared" si="8"/>
        <v>6</v>
      </c>
      <c r="AS15" s="178">
        <f t="shared" si="9"/>
        <v>-6</v>
      </c>
      <c r="AT15" s="172">
        <f t="shared" si="10"/>
        <v>-0.5</v>
      </c>
      <c r="AU15" s="179">
        <f>IFERROR(GETPIVOTDATA("Sum of SRP",'[1]DATA LAST MONTH DEVICE'!$A$6,"ID Store",$C15),0)</f>
        <v>95076000</v>
      </c>
      <c r="AV15" s="179">
        <f t="shared" si="37"/>
        <v>56989000</v>
      </c>
      <c r="AW15" s="180">
        <f t="shared" si="11"/>
        <v>-38087000</v>
      </c>
      <c r="AX15" s="181">
        <f t="shared" si="12"/>
        <v>-0.40059531322310571</v>
      </c>
      <c r="AY15" s="182">
        <f>IFERROR(VLOOKUP(C15,'[1]DATA SALES LAST MONTH'!A:E,5,0),0)</f>
        <v>3961500</v>
      </c>
      <c r="AZ15" s="152">
        <f t="shared" si="38"/>
        <v>5180818.1818181816</v>
      </c>
      <c r="BA15" s="183">
        <f t="shared" si="13"/>
        <v>1219318.1818181816</v>
      </c>
      <c r="BB15" s="172">
        <f t="shared" si="14"/>
        <v>0.30779204387686021</v>
      </c>
      <c r="BC15" s="153">
        <f>_xlfn.XLOOKUP(D:D,'[1]Target store'!C:C,'[1]Target store'!J:J,0)</f>
        <v>6</v>
      </c>
      <c r="BD15" s="184">
        <f>IFERROR(GETPIVOTDATA("Sum of Qty",[1]ACC!$A$5,"ID Store",$C15),0)</f>
        <v>0</v>
      </c>
      <c r="BE15" s="177">
        <f t="shared" si="15"/>
        <v>0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0</v>
      </c>
      <c r="BH15" s="177">
        <f t="shared" si="16"/>
        <v>0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7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0</v>
      </c>
      <c r="BN15" s="177">
        <f t="shared" si="18"/>
        <v>0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19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56887000</v>
      </c>
      <c r="J16" s="163">
        <f t="shared" si="20"/>
        <v>0.18962333333333334</v>
      </c>
      <c r="K16" s="164">
        <f t="shared" si="21"/>
        <v>-243113000</v>
      </c>
      <c r="L16" s="132">
        <f>IFERROR(GETPIVOTDATA("Sum of Qty",[1]PF!$A$5,"ID Store",$C16),0)</f>
        <v>3</v>
      </c>
      <c r="M16" s="133">
        <f>IFERROR(GETPIVOTDATA("Sum of Qty",'[1]DEVICE &amp; VALUE'!$A$6,"ID Store",$C16,"Segment Price","3mio&gt;"),0)</f>
        <v>8</v>
      </c>
      <c r="N16" s="134">
        <f t="shared" si="22"/>
        <v>0.61538461538461542</v>
      </c>
      <c r="O16" s="135">
        <f>IFERROR(GETPIVOTDATA("Sum of Qty",[1]IQOO!$A$6,"ID Store",$C16),0)</f>
        <v>0</v>
      </c>
      <c r="P16" s="134">
        <f t="shared" si="23"/>
        <v>0</v>
      </c>
      <c r="Q16" s="136">
        <f t="shared" si="24"/>
        <v>0.61538461538461542</v>
      </c>
      <c r="R16" s="135">
        <f>IFERROR(GETPIVOTDATA("Sum of Qty",'[1]DEVICE &amp; VALUE'!$A$6,"ID Store",$C16),0)</f>
        <v>13</v>
      </c>
      <c r="S16" s="135">
        <f t="shared" si="25"/>
        <v>0.18571428571428572</v>
      </c>
      <c r="T16" s="135">
        <f t="shared" si="26"/>
        <v>-57</v>
      </c>
      <c r="U16" s="165">
        <f t="shared" si="27"/>
        <v>213326250</v>
      </c>
      <c r="V16" s="163">
        <f t="shared" si="28"/>
        <v>0.71108749999999998</v>
      </c>
      <c r="W16" s="166">
        <f t="shared" si="29"/>
        <v>-86673750</v>
      </c>
      <c r="X16" s="167">
        <f t="shared" si="0"/>
        <v>30</v>
      </c>
      <c r="Y16" s="168">
        <f t="shared" si="1"/>
        <v>-40</v>
      </c>
      <c r="Z16" s="168">
        <f t="shared" si="30"/>
        <v>48.75</v>
      </c>
      <c r="AA16" s="168">
        <f t="shared" si="31"/>
        <v>-21.25</v>
      </c>
      <c r="AB16" s="168">
        <f t="shared" si="32"/>
        <v>0.6964285714285714</v>
      </c>
      <c r="AC16" s="238">
        <f t="shared" si="33"/>
        <v>2.5909090909090908</v>
      </c>
      <c r="AD16" s="141">
        <f t="shared" si="34"/>
        <v>11050590.909090908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17</v>
      </c>
      <c r="AJ16" s="146">
        <f t="shared" si="35"/>
        <v>13</v>
      </c>
      <c r="AK16" s="174">
        <f t="shared" si="4"/>
        <v>-4</v>
      </c>
      <c r="AL16" s="175">
        <f t="shared" si="5"/>
        <v>-0.23529411764705882</v>
      </c>
      <c r="AM16" s="176">
        <f>IFERROR(GETPIVOTDATA("Sum of Qty",'[1]Store 3mio+ last month'!$A$6,"ID Store",$C16),0)</f>
        <v>44</v>
      </c>
      <c r="AN16" s="144">
        <f t="shared" si="36"/>
        <v>48.75</v>
      </c>
      <c r="AO16" s="171">
        <f t="shared" si="6"/>
        <v>4.75</v>
      </c>
      <c r="AP16" s="177">
        <f t="shared" si="7"/>
        <v>0.10795454545454546</v>
      </c>
      <c r="AQ16" s="176">
        <f>IFERROR(GETPIVOTDATA("Sum of Qty",'[1]DATA LAST MONTH DEVICE'!$A$6,"ID Store",$C16,"Segment Price","3mio&gt;"),0)</f>
        <v>10</v>
      </c>
      <c r="AR16" s="178">
        <f t="shared" si="8"/>
        <v>8</v>
      </c>
      <c r="AS16" s="178">
        <f t="shared" si="9"/>
        <v>-2</v>
      </c>
      <c r="AT16" s="172">
        <f t="shared" si="10"/>
        <v>-0.2</v>
      </c>
      <c r="AU16" s="179">
        <f>IFERROR(GETPIVOTDATA("Sum of SRP",'[1]DATA LAST MONTH DEVICE'!$A$6,"ID Store",$C16),0)</f>
        <v>88183000</v>
      </c>
      <c r="AV16" s="179">
        <f t="shared" si="37"/>
        <v>56887000</v>
      </c>
      <c r="AW16" s="180">
        <f t="shared" si="11"/>
        <v>-31296000</v>
      </c>
      <c r="AX16" s="181">
        <f t="shared" si="12"/>
        <v>-0.35489833641404805</v>
      </c>
      <c r="AY16" s="182">
        <f>IFERROR(VLOOKUP(C16,'[1]DATA SALES LAST MONTH'!A:E,5,0),0)</f>
        <v>5187235.2941176472</v>
      </c>
      <c r="AZ16" s="152">
        <f t="shared" si="38"/>
        <v>4375923.076923077</v>
      </c>
      <c r="BA16" s="183">
        <f t="shared" si="13"/>
        <v>-811312.21719457023</v>
      </c>
      <c r="BB16" s="172">
        <f t="shared" si="14"/>
        <v>-0.15640551684913978</v>
      </c>
      <c r="BC16" s="153">
        <f>_xlfn.XLOOKUP(D:D,'[1]Target store'!C:C,'[1]Target store'!J:J,0)</f>
        <v>7</v>
      </c>
      <c r="BD16" s="184">
        <f>IFERROR(GETPIVOTDATA("Sum of Qty",[1]ACC!$A$5,"ID Store",$C16),0)</f>
        <v>5</v>
      </c>
      <c r="BE16" s="177">
        <f t="shared" si="15"/>
        <v>0.7142857142857143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249000</v>
      </c>
      <c r="BH16" s="177">
        <f t="shared" si="16"/>
        <v>0.18444444444444444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7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0</v>
      </c>
      <c r="BN16" s="177">
        <f t="shared" si="18"/>
        <v>0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19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25192000</v>
      </c>
      <c r="J17" s="163">
        <f t="shared" si="20"/>
        <v>0.12595999999999999</v>
      </c>
      <c r="K17" s="164">
        <f t="shared" si="21"/>
        <v>-174808000</v>
      </c>
      <c r="L17" s="132">
        <f>IFERROR(GETPIVOTDATA("Sum of Qty",[1]PF!$A$5,"ID Store",$C17),0)</f>
        <v>1</v>
      </c>
      <c r="M17" s="133">
        <f>IFERROR(GETPIVOTDATA("Sum of Qty",'[1]DEVICE &amp; VALUE'!$A$6,"ID Store",$C17,"Segment Price","3mio&gt;"),0)</f>
        <v>3</v>
      </c>
      <c r="N17" s="134">
        <f t="shared" si="22"/>
        <v>0.375</v>
      </c>
      <c r="O17" s="135">
        <f>IFERROR(GETPIVOTDATA("Sum of Qty",[1]IQOO!$A$6,"ID Store",$C17),0)</f>
        <v>0</v>
      </c>
      <c r="P17" s="134">
        <f t="shared" si="23"/>
        <v>0</v>
      </c>
      <c r="Q17" s="136">
        <f t="shared" si="24"/>
        <v>0.375</v>
      </c>
      <c r="R17" s="135">
        <f>IFERROR(GETPIVOTDATA("Sum of Qty",'[1]DEVICE &amp; VALUE'!$A$6,"ID Store",$C17),0)</f>
        <v>8</v>
      </c>
      <c r="S17" s="135">
        <f t="shared" si="25"/>
        <v>0.16</v>
      </c>
      <c r="T17" s="135">
        <f t="shared" si="26"/>
        <v>-42</v>
      </c>
      <c r="U17" s="165">
        <f t="shared" si="27"/>
        <v>94470000</v>
      </c>
      <c r="V17" s="163">
        <f t="shared" si="28"/>
        <v>0.47234999999999999</v>
      </c>
      <c r="W17" s="166">
        <f t="shared" si="29"/>
        <v>-105530000</v>
      </c>
      <c r="X17" s="167">
        <f t="shared" si="0"/>
        <v>11.25</v>
      </c>
      <c r="Y17" s="168">
        <f t="shared" si="1"/>
        <v>-38.75</v>
      </c>
      <c r="Z17" s="168">
        <f t="shared" si="30"/>
        <v>30</v>
      </c>
      <c r="AA17" s="168">
        <f t="shared" si="31"/>
        <v>-20</v>
      </c>
      <c r="AB17" s="168">
        <f t="shared" si="32"/>
        <v>0.6</v>
      </c>
      <c r="AC17" s="238">
        <f t="shared" si="33"/>
        <v>1.9090909090909092</v>
      </c>
      <c r="AD17" s="141">
        <f t="shared" si="34"/>
        <v>7945818.1818181816</v>
      </c>
      <c r="AE17" s="169">
        <f>IFERROR(GETPIVOTDATA("Sum of Qty",'[1]DATA LAST MONTH IQOO'!$A$6,"ID Store",$C17),0)</f>
        <v>1</v>
      </c>
      <c r="AF17" s="170">
        <f>IFERROR(GETPIVOTDATA("Sum of Qty",[1]IQOO!$A$6,"ID Store",$C17),0)</f>
        <v>0</v>
      </c>
      <c r="AG17" s="171">
        <f t="shared" si="2"/>
        <v>-1</v>
      </c>
      <c r="AH17" s="172">
        <f t="shared" si="3"/>
        <v>-1</v>
      </c>
      <c r="AI17" s="173">
        <f>IFERROR(GETPIVOTDATA("Sum of Qty",'[1]DATA LAST MONTH DEVICE'!$A$6,"ID Store",$C17),0)</f>
        <v>10</v>
      </c>
      <c r="AJ17" s="146">
        <f t="shared" si="35"/>
        <v>8</v>
      </c>
      <c r="AK17" s="174">
        <f t="shared" si="4"/>
        <v>-2</v>
      </c>
      <c r="AL17" s="175">
        <f t="shared" si="5"/>
        <v>-0.2</v>
      </c>
      <c r="AM17" s="176">
        <f>IFERROR(GETPIVOTDATA("Sum of Qty",'[1]Store 3mio+ last month'!$A$6,"ID Store",$C17),0)</f>
        <v>36</v>
      </c>
      <c r="AN17" s="144">
        <f t="shared" si="36"/>
        <v>30</v>
      </c>
      <c r="AO17" s="171">
        <f t="shared" si="6"/>
        <v>-6</v>
      </c>
      <c r="AP17" s="177">
        <f t="shared" si="7"/>
        <v>-0.16666666666666666</v>
      </c>
      <c r="AQ17" s="176">
        <f>IFERROR(GETPIVOTDATA("Sum of Qty",'[1]DATA LAST MONTH DEVICE'!$A$6,"ID Store",$C17,"Segment Price","3mio&gt;"),0)</f>
        <v>5</v>
      </c>
      <c r="AR17" s="178">
        <f t="shared" si="8"/>
        <v>3</v>
      </c>
      <c r="AS17" s="178">
        <f t="shared" si="9"/>
        <v>-2</v>
      </c>
      <c r="AT17" s="172">
        <f t="shared" si="10"/>
        <v>-0.4</v>
      </c>
      <c r="AU17" s="179">
        <f>IFERROR(GETPIVOTDATA("Sum of SRP",'[1]DATA LAST MONTH DEVICE'!$A$6,"ID Store",$C17),0)</f>
        <v>47690000</v>
      </c>
      <c r="AV17" s="179">
        <f t="shared" si="37"/>
        <v>25192000</v>
      </c>
      <c r="AW17" s="180">
        <f t="shared" si="11"/>
        <v>-22498000</v>
      </c>
      <c r="AX17" s="181">
        <f t="shared" si="12"/>
        <v>-0.47175508492346402</v>
      </c>
      <c r="AY17" s="182">
        <f>IFERROR(VLOOKUP(C17,'[1]DATA SALES LAST MONTH'!A:E,5,0),0)</f>
        <v>4769000</v>
      </c>
      <c r="AZ17" s="152">
        <f t="shared" si="38"/>
        <v>3149000</v>
      </c>
      <c r="BA17" s="183">
        <f t="shared" si="13"/>
        <v>-1620000</v>
      </c>
      <c r="BB17" s="172">
        <f t="shared" si="14"/>
        <v>-0.33969385615433006</v>
      </c>
      <c r="BC17" s="153">
        <f>_xlfn.XLOOKUP(D:D,'[1]Target store'!C:C,'[1]Target store'!J:J,0)</f>
        <v>5</v>
      </c>
      <c r="BD17" s="184">
        <f>IFERROR(GETPIVOTDATA("Sum of Qty",[1]ACC!$A$5,"ID Store",$C17),0)</f>
        <v>2</v>
      </c>
      <c r="BE17" s="177">
        <f t="shared" si="15"/>
        <v>0.4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0</v>
      </c>
      <c r="BH17" s="177">
        <f t="shared" si="16"/>
        <v>0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7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0</v>
      </c>
      <c r="BN17" s="177">
        <f t="shared" si="18"/>
        <v>0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19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31892000</v>
      </c>
      <c r="J18" s="163">
        <f t="shared" si="20"/>
        <v>0.15945999999999999</v>
      </c>
      <c r="K18" s="164">
        <f t="shared" si="21"/>
        <v>-168108000</v>
      </c>
      <c r="L18" s="132">
        <f>IFERROR(GETPIVOTDATA("Sum of Qty",[1]PF!$A$5,"ID Store",$C18),0)</f>
        <v>1</v>
      </c>
      <c r="M18" s="133">
        <f>IFERROR(GETPIVOTDATA("Sum of Qty",'[1]DEVICE &amp; VALUE'!$A$6,"ID Store",$C18,"Segment Price","3mio&gt;"),0)</f>
        <v>5</v>
      </c>
      <c r="N18" s="134">
        <f t="shared" si="22"/>
        <v>0.625</v>
      </c>
      <c r="O18" s="135">
        <f>IFERROR(GETPIVOTDATA("Sum of Qty",[1]IQOO!$A$6,"ID Store",$C18),0)</f>
        <v>0</v>
      </c>
      <c r="P18" s="134">
        <f t="shared" si="23"/>
        <v>0</v>
      </c>
      <c r="Q18" s="136">
        <f t="shared" si="24"/>
        <v>0.625</v>
      </c>
      <c r="R18" s="135">
        <f>IFERROR(GETPIVOTDATA("Sum of Qty",'[1]DEVICE &amp; VALUE'!$A$6,"ID Store",$C18),0)</f>
        <v>8</v>
      </c>
      <c r="S18" s="135">
        <f t="shared" si="25"/>
        <v>0.16</v>
      </c>
      <c r="T18" s="135">
        <f t="shared" si="26"/>
        <v>-42</v>
      </c>
      <c r="U18" s="165">
        <f t="shared" si="27"/>
        <v>119595000</v>
      </c>
      <c r="V18" s="163">
        <f t="shared" si="28"/>
        <v>0.59797500000000003</v>
      </c>
      <c r="W18" s="166">
        <f t="shared" si="29"/>
        <v>-80405000</v>
      </c>
      <c r="X18" s="167">
        <f t="shared" si="0"/>
        <v>18.75</v>
      </c>
      <c r="Y18" s="168">
        <f t="shared" si="1"/>
        <v>-31.25</v>
      </c>
      <c r="Z18" s="168">
        <f t="shared" si="30"/>
        <v>30</v>
      </c>
      <c r="AA18" s="168">
        <f t="shared" si="31"/>
        <v>-20</v>
      </c>
      <c r="AB18" s="168">
        <f t="shared" si="32"/>
        <v>0.6</v>
      </c>
      <c r="AC18" s="238">
        <f t="shared" si="33"/>
        <v>1.9090909090909092</v>
      </c>
      <c r="AD18" s="141">
        <f t="shared" si="34"/>
        <v>7641272.7272727275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12</v>
      </c>
      <c r="AJ18" s="146">
        <f t="shared" si="35"/>
        <v>8</v>
      </c>
      <c r="AK18" s="174">
        <f t="shared" si="4"/>
        <v>-4</v>
      </c>
      <c r="AL18" s="175">
        <f t="shared" si="5"/>
        <v>-0.33333333333333331</v>
      </c>
      <c r="AM18" s="176">
        <f>IFERROR(GETPIVOTDATA("Sum of Qty",'[1]Store 3mio+ last month'!$A$6,"ID Store",$C18),0)</f>
        <v>35</v>
      </c>
      <c r="AN18" s="144">
        <f t="shared" si="36"/>
        <v>30</v>
      </c>
      <c r="AO18" s="171">
        <f t="shared" si="6"/>
        <v>-5</v>
      </c>
      <c r="AP18" s="177">
        <f t="shared" si="7"/>
        <v>-0.14285714285714285</v>
      </c>
      <c r="AQ18" s="176">
        <f>IFERROR(GETPIVOTDATA("Sum of Qty",'[1]DATA LAST MONTH DEVICE'!$A$6,"ID Store",$C18,"Segment Price","3mio&gt;"),0)</f>
        <v>6</v>
      </c>
      <c r="AR18" s="178">
        <f t="shared" si="8"/>
        <v>5</v>
      </c>
      <c r="AS18" s="178">
        <f t="shared" si="9"/>
        <v>-1</v>
      </c>
      <c r="AT18" s="172">
        <f t="shared" si="10"/>
        <v>-0.16666666666666666</v>
      </c>
      <c r="AU18" s="179">
        <f>IFERROR(GETPIVOTDATA("Sum of SRP",'[1]DATA LAST MONTH DEVICE'!$A$6,"ID Store",$C18),0)</f>
        <v>68788000</v>
      </c>
      <c r="AV18" s="179">
        <f t="shared" si="37"/>
        <v>31892000</v>
      </c>
      <c r="AW18" s="180">
        <f t="shared" si="11"/>
        <v>-36896000</v>
      </c>
      <c r="AX18" s="181">
        <f t="shared" si="12"/>
        <v>-0.53637262313194167</v>
      </c>
      <c r="AY18" s="182">
        <f>IFERROR(VLOOKUP(C18,'[1]DATA SALES LAST MONTH'!A:E,5,0),0)</f>
        <v>5732333.333333333</v>
      </c>
      <c r="AZ18" s="152">
        <f t="shared" si="38"/>
        <v>3986500</v>
      </c>
      <c r="BA18" s="183">
        <f t="shared" si="13"/>
        <v>-1745833.333333333</v>
      </c>
      <c r="BB18" s="172">
        <f t="shared" si="14"/>
        <v>-0.3045589346979124</v>
      </c>
      <c r="BC18" s="153">
        <f>_xlfn.XLOOKUP(D:D,'[1]Target store'!C:C,'[1]Target store'!J:J,0)</f>
        <v>5</v>
      </c>
      <c r="BD18" s="184">
        <f>IFERROR(GETPIVOTDATA("Sum of Qty",[1]ACC!$A$5,"ID Store",$C18),0)</f>
        <v>1</v>
      </c>
      <c r="BE18" s="177">
        <f t="shared" si="15"/>
        <v>0.2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6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7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8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19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86182000</v>
      </c>
      <c r="J19" s="163">
        <f t="shared" si="20"/>
        <v>0.30779285714285715</v>
      </c>
      <c r="K19" s="164">
        <f t="shared" si="21"/>
        <v>-193818000</v>
      </c>
      <c r="L19" s="132">
        <f>IFERROR(GETPIVOTDATA("Sum of Qty",[1]PF!$A$5,"ID Store",$C19),0)</f>
        <v>4</v>
      </c>
      <c r="M19" s="133">
        <f>IFERROR(GETPIVOTDATA("Sum of Qty",'[1]DEVICE &amp; VALUE'!$A$6,"ID Store",$C19,"Segment Price","3mio&gt;"),0)</f>
        <v>10</v>
      </c>
      <c r="N19" s="134">
        <f t="shared" si="22"/>
        <v>0.55555555555555558</v>
      </c>
      <c r="O19" s="135">
        <f>IFERROR(GETPIVOTDATA("Sum of Qty",[1]IQOO!$A$6,"ID Store",$C19),0)</f>
        <v>1</v>
      </c>
      <c r="P19" s="134">
        <f t="shared" si="23"/>
        <v>5.5555555555555552E-2</v>
      </c>
      <c r="Q19" s="136">
        <f t="shared" si="24"/>
        <v>0.55555555555555558</v>
      </c>
      <c r="R19" s="135">
        <f>IFERROR(GETPIVOTDATA("Sum of Qty",'[1]DEVICE &amp; VALUE'!$A$6,"ID Store",$C19),0)</f>
        <v>18</v>
      </c>
      <c r="S19" s="135">
        <f t="shared" si="25"/>
        <v>0.3</v>
      </c>
      <c r="T19" s="135">
        <f t="shared" si="26"/>
        <v>-42</v>
      </c>
      <c r="U19" s="165">
        <f t="shared" si="27"/>
        <v>323182500</v>
      </c>
      <c r="V19" s="163">
        <f t="shared" si="28"/>
        <v>1.1542232142857143</v>
      </c>
      <c r="W19" s="166">
        <f t="shared" si="29"/>
        <v>43182500</v>
      </c>
      <c r="X19" s="167">
        <f t="shared" si="0"/>
        <v>37.5</v>
      </c>
      <c r="Y19" s="168">
        <f t="shared" si="1"/>
        <v>-22.5</v>
      </c>
      <c r="Z19" s="168">
        <f t="shared" si="30"/>
        <v>67.5</v>
      </c>
      <c r="AA19" s="168">
        <f t="shared" si="31"/>
        <v>7.5</v>
      </c>
      <c r="AB19" s="168">
        <f t="shared" si="32"/>
        <v>1.125</v>
      </c>
      <c r="AC19" s="238">
        <f t="shared" si="33"/>
        <v>1.9090909090909092</v>
      </c>
      <c r="AD19" s="141">
        <f t="shared" si="34"/>
        <v>8809909.0909090918</v>
      </c>
      <c r="AE19" s="169">
        <f>IFERROR(GETPIVOTDATA("Sum of Qty",'[1]DATA LAST MONTH IQOO'!$A$6,"ID Store",$C19),0)</f>
        <v>2</v>
      </c>
      <c r="AF19" s="170">
        <f>IFERROR(GETPIVOTDATA("Sum of Qty",[1]IQOO!$A$6,"ID Store",$C19),0)</f>
        <v>1</v>
      </c>
      <c r="AG19" s="171">
        <f t="shared" si="2"/>
        <v>-1</v>
      </c>
      <c r="AH19" s="172">
        <f t="shared" si="3"/>
        <v>-0.5</v>
      </c>
      <c r="AI19" s="173">
        <f>IFERROR(GETPIVOTDATA("Sum of Qty",'[1]DATA LAST MONTH DEVICE'!$A$6,"ID Store",$C19),0)</f>
        <v>13</v>
      </c>
      <c r="AJ19" s="146">
        <f t="shared" si="35"/>
        <v>18</v>
      </c>
      <c r="AK19" s="174">
        <f t="shared" si="4"/>
        <v>5</v>
      </c>
      <c r="AL19" s="175">
        <f t="shared" si="5"/>
        <v>0.38461538461538464</v>
      </c>
      <c r="AM19" s="176">
        <f>IFERROR(GETPIVOTDATA("Sum of Qty",'[1]Store 3mio+ last month'!$A$6,"ID Store",$C19),0)</f>
        <v>43</v>
      </c>
      <c r="AN19" s="144">
        <f t="shared" si="36"/>
        <v>67.5</v>
      </c>
      <c r="AO19" s="171">
        <f t="shared" si="6"/>
        <v>24.5</v>
      </c>
      <c r="AP19" s="177">
        <f t="shared" si="7"/>
        <v>0.56976744186046513</v>
      </c>
      <c r="AQ19" s="176">
        <f>IFERROR(GETPIVOTDATA("Sum of Qty",'[1]DATA LAST MONTH DEVICE'!$A$6,"ID Store",$C19,"Segment Price","3mio&gt;"),0)</f>
        <v>7</v>
      </c>
      <c r="AR19" s="178">
        <f t="shared" si="8"/>
        <v>10</v>
      </c>
      <c r="AS19" s="178">
        <f t="shared" si="9"/>
        <v>3</v>
      </c>
      <c r="AT19" s="172">
        <f t="shared" si="10"/>
        <v>0.42857142857142855</v>
      </c>
      <c r="AU19" s="179">
        <f>IFERROR(GETPIVOTDATA("Sum of SRP",'[1]DATA LAST MONTH DEVICE'!$A$6,"ID Store",$C19),0)</f>
        <v>65487000</v>
      </c>
      <c r="AV19" s="179">
        <f t="shared" si="37"/>
        <v>86182000</v>
      </c>
      <c r="AW19" s="180">
        <f t="shared" si="11"/>
        <v>20695000</v>
      </c>
      <c r="AX19" s="181">
        <f t="shared" si="12"/>
        <v>0.31601691938858095</v>
      </c>
      <c r="AY19" s="182">
        <f>IFERROR(VLOOKUP(C19,'[1]DATA SALES LAST MONTH'!A:E,5,0),0)</f>
        <v>5037461.538461538</v>
      </c>
      <c r="AZ19" s="152">
        <f t="shared" si="38"/>
        <v>4787888.888888889</v>
      </c>
      <c r="BA19" s="183">
        <f t="shared" si="13"/>
        <v>-249572.64957264904</v>
      </c>
      <c r="BB19" s="172">
        <f t="shared" si="14"/>
        <v>-4.9543335997135889E-2</v>
      </c>
      <c r="BC19" s="153">
        <f>_xlfn.XLOOKUP(D:D,'[1]Target store'!C:C,'[1]Target store'!J:J,0)</f>
        <v>6</v>
      </c>
      <c r="BD19" s="184">
        <f>IFERROR(GETPIVOTDATA("Sum of Qty",[1]ACC!$A$5,"ID Store",$C19),0)</f>
        <v>5</v>
      </c>
      <c r="BE19" s="177">
        <f t="shared" si="15"/>
        <v>0.83333333333333337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0</v>
      </c>
      <c r="BH19" s="177">
        <f t="shared" si="16"/>
        <v>0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7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8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19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66883000</v>
      </c>
      <c r="J20" s="163">
        <f t="shared" si="20"/>
        <v>0.22294333333333333</v>
      </c>
      <c r="K20" s="164">
        <f t="shared" si="21"/>
        <v>-233117000</v>
      </c>
      <c r="L20" s="132">
        <f>IFERROR(GETPIVOTDATA("Sum of Qty",[1]PF!$A$5,"ID Store",$C20),0)</f>
        <v>9</v>
      </c>
      <c r="M20" s="133">
        <f>IFERROR(GETPIVOTDATA("Sum of Qty",'[1]DEVICE &amp; VALUE'!$A$6,"ID Store",$C20,"Segment Price","3mio&gt;"),0)</f>
        <v>12</v>
      </c>
      <c r="N20" s="134">
        <f t="shared" si="22"/>
        <v>0.70588235294117652</v>
      </c>
      <c r="O20" s="135">
        <f>IFERROR(GETPIVOTDATA("Sum of Qty",[1]IQOO!$A$6,"ID Store",$C20),0)</f>
        <v>0</v>
      </c>
      <c r="P20" s="134">
        <f t="shared" si="23"/>
        <v>0</v>
      </c>
      <c r="Q20" s="136">
        <f t="shared" si="24"/>
        <v>0.70588235294117652</v>
      </c>
      <c r="R20" s="135">
        <f>IFERROR(GETPIVOTDATA("Sum of Qty",'[1]DEVICE &amp; VALUE'!$A$6,"ID Store",$C20),0)</f>
        <v>17</v>
      </c>
      <c r="S20" s="135">
        <f t="shared" si="25"/>
        <v>0.24285714285714285</v>
      </c>
      <c r="T20" s="135">
        <f t="shared" si="26"/>
        <v>-53</v>
      </c>
      <c r="U20" s="165">
        <f t="shared" si="27"/>
        <v>250811250</v>
      </c>
      <c r="V20" s="163">
        <f t="shared" si="28"/>
        <v>0.83603749999999999</v>
      </c>
      <c r="W20" s="166">
        <f t="shared" si="29"/>
        <v>-49188750</v>
      </c>
      <c r="X20" s="167">
        <f t="shared" si="0"/>
        <v>45</v>
      </c>
      <c r="Y20" s="168">
        <f t="shared" si="1"/>
        <v>-25</v>
      </c>
      <c r="Z20" s="168">
        <f t="shared" si="30"/>
        <v>63.75</v>
      </c>
      <c r="AA20" s="168">
        <f t="shared" si="31"/>
        <v>-6.25</v>
      </c>
      <c r="AB20" s="168">
        <f t="shared" si="32"/>
        <v>0.9107142857142857</v>
      </c>
      <c r="AC20" s="238">
        <f t="shared" si="33"/>
        <v>2.4090909090909092</v>
      </c>
      <c r="AD20" s="141">
        <f t="shared" si="34"/>
        <v>10596227.272727273</v>
      </c>
      <c r="AE20" s="169">
        <f>IFERROR(GETPIVOTDATA("Sum of Qty",'[1]DATA LAST MONTH IQOO'!$A$6,"ID Store",$C20),0)</f>
        <v>1</v>
      </c>
      <c r="AF20" s="170">
        <f>IFERROR(GETPIVOTDATA("Sum of Qty",[1]IQOO!$A$6,"ID Store",$C20),0)</f>
        <v>0</v>
      </c>
      <c r="AG20" s="171">
        <f t="shared" si="2"/>
        <v>-1</v>
      </c>
      <c r="AH20" s="172">
        <f t="shared" si="3"/>
        <v>-1</v>
      </c>
      <c r="AI20" s="173">
        <f>IFERROR(GETPIVOTDATA("Sum of Qty",'[1]DATA LAST MONTH DEVICE'!$A$6,"ID Store",$C20),0)</f>
        <v>14</v>
      </c>
      <c r="AJ20" s="146">
        <f t="shared" si="35"/>
        <v>17</v>
      </c>
      <c r="AK20" s="174">
        <f t="shared" si="4"/>
        <v>3</v>
      </c>
      <c r="AL20" s="175">
        <f t="shared" si="5"/>
        <v>0.21428571428571427</v>
      </c>
      <c r="AM20" s="176">
        <f>IFERROR(GETPIVOTDATA("Sum of Qty",'[1]Store 3mio+ last month'!$A$6,"ID Store",$C20),0)</f>
        <v>66</v>
      </c>
      <c r="AN20" s="144">
        <f t="shared" si="36"/>
        <v>63.75</v>
      </c>
      <c r="AO20" s="171">
        <f t="shared" si="6"/>
        <v>-2.25</v>
      </c>
      <c r="AP20" s="177">
        <f t="shared" si="7"/>
        <v>-3.4090909090909088E-2</v>
      </c>
      <c r="AQ20" s="176">
        <f>IFERROR(GETPIVOTDATA("Sum of Qty",'[1]DATA LAST MONTH DEVICE'!$A$6,"ID Store",$C20,"Segment Price","3mio&gt;"),0)</f>
        <v>5</v>
      </c>
      <c r="AR20" s="178">
        <f t="shared" si="8"/>
        <v>12</v>
      </c>
      <c r="AS20" s="178">
        <f t="shared" si="9"/>
        <v>7</v>
      </c>
      <c r="AT20" s="172">
        <f t="shared" si="10"/>
        <v>1.4</v>
      </c>
      <c r="AU20" s="179">
        <f>IFERROR(GETPIVOTDATA("Sum of SRP",'[1]DATA LAST MONTH DEVICE'!$A$6,"ID Store",$C20),0)</f>
        <v>50086000</v>
      </c>
      <c r="AV20" s="179">
        <f t="shared" si="37"/>
        <v>66883000</v>
      </c>
      <c r="AW20" s="180">
        <f t="shared" si="11"/>
        <v>16797000</v>
      </c>
      <c r="AX20" s="181">
        <f t="shared" si="12"/>
        <v>0.33536317533841792</v>
      </c>
      <c r="AY20" s="182">
        <f>IFERROR(VLOOKUP(C20,'[1]DATA SALES LAST MONTH'!A:E,5,0),0)</f>
        <v>3577571.4285714286</v>
      </c>
      <c r="AZ20" s="152">
        <f t="shared" si="38"/>
        <v>3934294.1176470588</v>
      </c>
      <c r="BA20" s="183">
        <f t="shared" si="13"/>
        <v>356722.68907563016</v>
      </c>
      <c r="BB20" s="172">
        <f t="shared" si="14"/>
        <v>9.9710850278697083E-2</v>
      </c>
      <c r="BC20" s="153">
        <f>_xlfn.XLOOKUP(D:D,'[1]Target store'!C:C,'[1]Target store'!J:J,0)</f>
        <v>7</v>
      </c>
      <c r="BD20" s="184">
        <f>IFERROR(GETPIVOTDATA("Sum of Qty",[1]ACC!$A$5,"ID Store",$C20),0)</f>
        <v>8</v>
      </c>
      <c r="BE20" s="177">
        <f t="shared" si="15"/>
        <v>1.1428571428571428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159000</v>
      </c>
      <c r="BH20" s="177">
        <f t="shared" si="16"/>
        <v>0.11777777777777777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7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0</v>
      </c>
      <c r="BN20" s="177">
        <f t="shared" si="18"/>
        <v>0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19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43391000</v>
      </c>
      <c r="J21" s="163">
        <f t="shared" si="20"/>
        <v>0.36159166666666664</v>
      </c>
      <c r="K21" s="164">
        <f t="shared" si="21"/>
        <v>-76609000</v>
      </c>
      <c r="L21" s="132">
        <f>IFERROR(GETPIVOTDATA("Sum of Qty",[1]PF!$A$5,"ID Store",$C21),0)</f>
        <v>0</v>
      </c>
      <c r="M21" s="133">
        <f>IFERROR(GETPIVOTDATA("Sum of Qty",'[1]DEVICE &amp; VALUE'!$A$6,"ID Store",$C21,"Segment Price","3mio&gt;"),0)</f>
        <v>4</v>
      </c>
      <c r="N21" s="134">
        <f t="shared" si="22"/>
        <v>0.44444444444444442</v>
      </c>
      <c r="O21" s="135">
        <f>IFERROR(GETPIVOTDATA("Sum of Qty",[1]IQOO!$A$6,"ID Store",$C21),0)</f>
        <v>1</v>
      </c>
      <c r="P21" s="134">
        <f t="shared" si="23"/>
        <v>0.1111111111111111</v>
      </c>
      <c r="Q21" s="136">
        <f t="shared" si="24"/>
        <v>0.44444444444444442</v>
      </c>
      <c r="R21" s="135">
        <f>IFERROR(GETPIVOTDATA("Sum of Qty",'[1]DEVICE &amp; VALUE'!$A$6,"ID Store",$C21),0)</f>
        <v>9</v>
      </c>
      <c r="S21" s="135">
        <f t="shared" si="25"/>
        <v>0.3</v>
      </c>
      <c r="T21" s="135">
        <f t="shared" si="26"/>
        <v>-21</v>
      </c>
      <c r="U21" s="165">
        <f t="shared" si="27"/>
        <v>162716250</v>
      </c>
      <c r="V21" s="163">
        <f t="shared" si="28"/>
        <v>1.3559687499999999</v>
      </c>
      <c r="W21" s="166">
        <f t="shared" si="29"/>
        <v>42716250</v>
      </c>
      <c r="X21" s="167">
        <f t="shared" si="0"/>
        <v>15</v>
      </c>
      <c r="Y21" s="168">
        <f t="shared" si="1"/>
        <v>-15</v>
      </c>
      <c r="Z21" s="168">
        <f t="shared" si="30"/>
        <v>33.75</v>
      </c>
      <c r="AA21" s="168">
        <f t="shared" si="31"/>
        <v>3.75</v>
      </c>
      <c r="AB21" s="168">
        <f t="shared" si="32"/>
        <v>1.125</v>
      </c>
      <c r="AC21" s="238">
        <f t="shared" si="33"/>
        <v>0.95454545454545459</v>
      </c>
      <c r="AD21" s="141">
        <f t="shared" si="34"/>
        <v>3482227.2727272729</v>
      </c>
      <c r="AE21" s="169">
        <f>IFERROR(GETPIVOTDATA("Sum of Qty",'[1]DATA LAST MONTH IQOO'!$A$6,"ID Store",$C21),0)</f>
        <v>1</v>
      </c>
      <c r="AF21" s="170">
        <f>IFERROR(GETPIVOTDATA("Sum of Qty",[1]IQOO!$A$6,"ID Store",$C21),0)</f>
        <v>1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10</v>
      </c>
      <c r="AJ21" s="146">
        <f t="shared" si="35"/>
        <v>9</v>
      </c>
      <c r="AK21" s="174">
        <f t="shared" si="4"/>
        <v>-1</v>
      </c>
      <c r="AL21" s="175">
        <f t="shared" si="5"/>
        <v>-0.1</v>
      </c>
      <c r="AM21" s="176">
        <f>IFERROR(GETPIVOTDATA("Sum of Qty",'[1]Store 3mio+ last month'!$A$6,"ID Store",$C21),0)</f>
        <v>23</v>
      </c>
      <c r="AN21" s="144">
        <f t="shared" si="36"/>
        <v>33.75</v>
      </c>
      <c r="AO21" s="171">
        <f t="shared" si="6"/>
        <v>10.75</v>
      </c>
      <c r="AP21" s="177">
        <f t="shared" si="7"/>
        <v>0.46739130434782611</v>
      </c>
      <c r="AQ21" s="176">
        <f>IFERROR(GETPIVOTDATA("Sum of Qty",'[1]DATA LAST MONTH DEVICE'!$A$6,"ID Store",$C21,"Segment Price","3mio&gt;"),0)</f>
        <v>6</v>
      </c>
      <c r="AR21" s="178">
        <f t="shared" si="8"/>
        <v>4</v>
      </c>
      <c r="AS21" s="178">
        <f t="shared" si="9"/>
        <v>-2</v>
      </c>
      <c r="AT21" s="172">
        <f t="shared" si="10"/>
        <v>-0.33333333333333331</v>
      </c>
      <c r="AU21" s="179">
        <f>IFERROR(GETPIVOTDATA("Sum of SRP",'[1]DATA LAST MONTH DEVICE'!$A$6,"ID Store",$C21),0)</f>
        <v>48290000</v>
      </c>
      <c r="AV21" s="179">
        <f t="shared" si="37"/>
        <v>43391000</v>
      </c>
      <c r="AW21" s="180">
        <f t="shared" si="11"/>
        <v>-4899000</v>
      </c>
      <c r="AX21" s="181">
        <f t="shared" si="12"/>
        <v>-0.10144957548146614</v>
      </c>
      <c r="AY21" s="182">
        <f>IFERROR(VLOOKUP(C21,'[1]DATA SALES LAST MONTH'!A:E,5,0),0)</f>
        <v>0</v>
      </c>
      <c r="AZ21" s="152">
        <f t="shared" si="38"/>
        <v>4821222.222222222</v>
      </c>
      <c r="BA21" s="183">
        <f t="shared" si="13"/>
        <v>4821222.222222222</v>
      </c>
      <c r="BB21" s="172">
        <f t="shared" si="14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2</v>
      </c>
      <c r="BE21" s="177">
        <f t="shared" si="15"/>
        <v>0.66666666666666663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0</v>
      </c>
      <c r="BH21" s="177">
        <f t="shared" si="16"/>
        <v>0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7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8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19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45791000</v>
      </c>
      <c r="J22" s="163">
        <f t="shared" si="20"/>
        <v>0.26935882352941176</v>
      </c>
      <c r="K22" s="164">
        <f t="shared" si="21"/>
        <v>-124209000</v>
      </c>
      <c r="L22" s="132">
        <f>IFERROR(GETPIVOTDATA("Sum of Qty",[1]PF!$A$5,"ID Store",$C22),0)</f>
        <v>3</v>
      </c>
      <c r="M22" s="133">
        <f>IFERROR(GETPIVOTDATA("Sum of Qty",'[1]DEVICE &amp; VALUE'!$A$6,"ID Store",$C22,"Segment Price","3mio&gt;"),0)</f>
        <v>6</v>
      </c>
      <c r="N22" s="134">
        <f t="shared" si="22"/>
        <v>0.66666666666666663</v>
      </c>
      <c r="O22" s="135">
        <f>IFERROR(GETPIVOTDATA("Sum of Qty",[1]IQOO!$A$6,"ID Store",$C22),0)</f>
        <v>0</v>
      </c>
      <c r="P22" s="134">
        <f t="shared" si="23"/>
        <v>0</v>
      </c>
      <c r="Q22" s="136">
        <f t="shared" si="24"/>
        <v>0.66666666666666663</v>
      </c>
      <c r="R22" s="135">
        <f>IFERROR(GETPIVOTDATA("Sum of Qty",'[1]DEVICE &amp; VALUE'!$A$6,"ID Store",$C22),0)</f>
        <v>9</v>
      </c>
      <c r="S22" s="135">
        <f t="shared" si="25"/>
        <v>0.3</v>
      </c>
      <c r="T22" s="135">
        <f t="shared" si="26"/>
        <v>-21</v>
      </c>
      <c r="U22" s="165">
        <f t="shared" si="27"/>
        <v>171716250</v>
      </c>
      <c r="V22" s="163">
        <f t="shared" si="28"/>
        <v>1.0100955882352942</v>
      </c>
      <c r="W22" s="166">
        <f t="shared" si="29"/>
        <v>1716250</v>
      </c>
      <c r="X22" s="167">
        <f t="shared" si="0"/>
        <v>22.5</v>
      </c>
      <c r="Y22" s="168">
        <f t="shared" si="1"/>
        <v>-7.5</v>
      </c>
      <c r="Z22" s="168">
        <f t="shared" si="30"/>
        <v>33.75</v>
      </c>
      <c r="AA22" s="168">
        <f t="shared" si="31"/>
        <v>3.75</v>
      </c>
      <c r="AB22" s="168">
        <f t="shared" si="32"/>
        <v>1.125</v>
      </c>
      <c r="AC22" s="238">
        <f t="shared" si="33"/>
        <v>0.95454545454545459</v>
      </c>
      <c r="AD22" s="141">
        <f t="shared" si="34"/>
        <v>5645863.6363636367</v>
      </c>
      <c r="AE22" s="169">
        <f>IFERROR(GETPIVOTDATA("Sum of Qty",'[1]DATA LAST MONTH IQOO'!$A$6,"ID Store",$C22),0)</f>
        <v>0</v>
      </c>
      <c r="AF22" s="170">
        <f>IFERROR(GETPIVOTDATA("Sum of Qty",[1]IQOO!$A$6,"ID Store",$C22),0)</f>
        <v>0</v>
      </c>
      <c r="AG22" s="171">
        <f t="shared" si="2"/>
        <v>0</v>
      </c>
      <c r="AH22" s="172">
        <f t="shared" si="3"/>
        <v>0</v>
      </c>
      <c r="AI22" s="173">
        <f>IFERROR(GETPIVOTDATA("Sum of Qty",'[1]DATA LAST MONTH DEVICE'!$A$6,"ID Store",$C22),0)</f>
        <v>15</v>
      </c>
      <c r="AJ22" s="146">
        <f t="shared" si="35"/>
        <v>9</v>
      </c>
      <c r="AK22" s="174">
        <f t="shared" si="4"/>
        <v>-6</v>
      </c>
      <c r="AL22" s="175">
        <f t="shared" si="5"/>
        <v>-0.4</v>
      </c>
      <c r="AM22" s="176">
        <f>IFERROR(GETPIVOTDATA("Sum of Qty",'[1]Store 3mio+ last month'!$A$6,"ID Store",$C22),0)</f>
        <v>44</v>
      </c>
      <c r="AN22" s="144">
        <f t="shared" si="36"/>
        <v>33.75</v>
      </c>
      <c r="AO22" s="171">
        <f t="shared" si="6"/>
        <v>-10.25</v>
      </c>
      <c r="AP22" s="177">
        <f t="shared" si="7"/>
        <v>-0.23295454545454544</v>
      </c>
      <c r="AQ22" s="176">
        <f>IFERROR(GETPIVOTDATA("Sum of Qty",'[1]DATA LAST MONTH DEVICE'!$A$6,"ID Store",$C22,"Segment Price","3mio&gt;"),0)</f>
        <v>3</v>
      </c>
      <c r="AR22" s="178">
        <f t="shared" si="8"/>
        <v>6</v>
      </c>
      <c r="AS22" s="178">
        <f t="shared" si="9"/>
        <v>3</v>
      </c>
      <c r="AT22" s="172">
        <f t="shared" si="10"/>
        <v>1</v>
      </c>
      <c r="AU22" s="179">
        <f>IFERROR(GETPIVOTDATA("Sum of SRP",'[1]DATA LAST MONTH DEVICE'!$A$6,"ID Store",$C22),0)</f>
        <v>50285000</v>
      </c>
      <c r="AV22" s="179">
        <f t="shared" si="37"/>
        <v>45791000</v>
      </c>
      <c r="AW22" s="180">
        <f t="shared" si="11"/>
        <v>-4494000</v>
      </c>
      <c r="AX22" s="181">
        <f t="shared" si="12"/>
        <v>-8.9370587650392755E-2</v>
      </c>
      <c r="AY22" s="182">
        <f>IFERROR(VLOOKUP(C22,'[1]DATA SALES LAST MONTH'!A:E,5,0),0)</f>
        <v>0</v>
      </c>
      <c r="AZ22" s="152">
        <f t="shared" si="38"/>
        <v>5087888.888888889</v>
      </c>
      <c r="BA22" s="183">
        <f t="shared" si="13"/>
        <v>5087888.888888889</v>
      </c>
      <c r="BB22" s="172">
        <f t="shared" si="14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2</v>
      </c>
      <c r="BE22" s="177">
        <f t="shared" si="15"/>
        <v>0.66666666666666663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249000</v>
      </c>
      <c r="BH22" s="177">
        <f t="shared" si="16"/>
        <v>0.32549019607843138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7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8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19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99773000</v>
      </c>
      <c r="J23" s="163">
        <f t="shared" si="20"/>
        <v>0.18140545454545454</v>
      </c>
      <c r="K23" s="164">
        <f t="shared" si="21"/>
        <v>-450227000</v>
      </c>
      <c r="L23" s="132">
        <f>IFERROR(GETPIVOTDATA("Sum of Qty",[1]PF!$A$5,"ID Store",$C23),0)</f>
        <v>4</v>
      </c>
      <c r="M23" s="133">
        <f>IFERROR(GETPIVOTDATA("Sum of Qty",'[1]DEVICE &amp; VALUE'!$A$6,"ID Store",$C23,"Segment Price","3mio&gt;"),0)</f>
        <v>11</v>
      </c>
      <c r="N23" s="134">
        <f t="shared" si="22"/>
        <v>0.40740740740740738</v>
      </c>
      <c r="O23" s="135">
        <f>IFERROR(GETPIVOTDATA("Sum of Qty",[1]IQOO!$A$6,"ID Store",$C23),0)</f>
        <v>1</v>
      </c>
      <c r="P23" s="134">
        <f t="shared" si="23"/>
        <v>3.7037037037037035E-2</v>
      </c>
      <c r="Q23" s="136">
        <f t="shared" si="24"/>
        <v>0.40740740740740738</v>
      </c>
      <c r="R23" s="135">
        <f>IFERROR(GETPIVOTDATA("Sum of Qty",'[1]DEVICE &amp; VALUE'!$A$6,"ID Store",$C23),0)</f>
        <v>27</v>
      </c>
      <c r="S23" s="135">
        <f t="shared" si="25"/>
        <v>0.22500000000000001</v>
      </c>
      <c r="T23" s="135">
        <f t="shared" si="26"/>
        <v>-93</v>
      </c>
      <c r="U23" s="165">
        <f t="shared" si="27"/>
        <v>374148750</v>
      </c>
      <c r="V23" s="163">
        <f t="shared" si="28"/>
        <v>0.68027045454545454</v>
      </c>
      <c r="W23" s="166">
        <f t="shared" si="29"/>
        <v>-175851250</v>
      </c>
      <c r="X23" s="167">
        <f t="shared" si="0"/>
        <v>41.25</v>
      </c>
      <c r="Y23" s="168">
        <f t="shared" si="1"/>
        <v>-78.75</v>
      </c>
      <c r="Z23" s="168">
        <f t="shared" si="30"/>
        <v>101.25</v>
      </c>
      <c r="AA23" s="168">
        <f t="shared" si="31"/>
        <v>-18.75</v>
      </c>
      <c r="AB23" s="168">
        <f t="shared" si="32"/>
        <v>0.84375</v>
      </c>
      <c r="AC23" s="238">
        <f t="shared" si="33"/>
        <v>4.2272727272727275</v>
      </c>
      <c r="AD23" s="141">
        <f t="shared" si="34"/>
        <v>20464863.636363637</v>
      </c>
      <c r="AE23" s="169">
        <f>IFERROR(GETPIVOTDATA("Sum of Qty",'[1]DATA LAST MONTH IQOO'!$A$6,"ID Store",$C23),0)</f>
        <v>1</v>
      </c>
      <c r="AF23" s="170">
        <f>IFERROR(GETPIVOTDATA("Sum of Qty",[1]IQOO!$A$6,"ID Store",$C23),0)</f>
        <v>1</v>
      </c>
      <c r="AG23" s="171">
        <f t="shared" si="2"/>
        <v>0</v>
      </c>
      <c r="AH23" s="172">
        <f t="shared" si="3"/>
        <v>0</v>
      </c>
      <c r="AI23" s="173">
        <f>IFERROR(GETPIVOTDATA("Sum of Qty",'[1]DATA LAST MONTH DEVICE'!$A$6,"ID Store",$C23),0)</f>
        <v>31</v>
      </c>
      <c r="AJ23" s="146">
        <f t="shared" si="35"/>
        <v>27</v>
      </c>
      <c r="AK23" s="174">
        <f t="shared" si="4"/>
        <v>-4</v>
      </c>
      <c r="AL23" s="175">
        <f t="shared" si="5"/>
        <v>-0.12903225806451613</v>
      </c>
      <c r="AM23" s="176">
        <f>IFERROR(GETPIVOTDATA("Sum of Qty",'[1]Store 3mio+ last month'!$A$6,"ID Store",$C23),0)</f>
        <v>109</v>
      </c>
      <c r="AN23" s="144">
        <f t="shared" si="36"/>
        <v>101.25</v>
      </c>
      <c r="AO23" s="171">
        <f t="shared" si="6"/>
        <v>-7.75</v>
      </c>
      <c r="AP23" s="177">
        <f t="shared" si="7"/>
        <v>-7.1100917431192664E-2</v>
      </c>
      <c r="AQ23" s="176">
        <f>IFERROR(GETPIVOTDATA("Sum of Qty",'[1]DATA LAST MONTH DEVICE'!$A$6,"ID Store",$C23,"Segment Price","3mio&gt;"),0)</f>
        <v>11</v>
      </c>
      <c r="AR23" s="178">
        <f t="shared" si="8"/>
        <v>11</v>
      </c>
      <c r="AS23" s="178">
        <f t="shared" si="9"/>
        <v>0</v>
      </c>
      <c r="AT23" s="172">
        <f t="shared" si="10"/>
        <v>0</v>
      </c>
      <c r="AU23" s="179">
        <f>IFERROR(GETPIVOTDATA("Sum of SRP",'[1]DATA LAST MONTH DEVICE'!$A$6,"ID Store",$C23),0)</f>
        <v>119569000</v>
      </c>
      <c r="AV23" s="179">
        <f t="shared" si="37"/>
        <v>99773000</v>
      </c>
      <c r="AW23" s="180">
        <f t="shared" si="11"/>
        <v>-19796000</v>
      </c>
      <c r="AX23" s="181">
        <f t="shared" si="12"/>
        <v>-0.16556130769681104</v>
      </c>
      <c r="AY23" s="182">
        <f>IFERROR(VLOOKUP(C23,'[1]DATA SALES LAST MONTH'!A:E,5,0),0)</f>
        <v>3857064.5161290322</v>
      </c>
      <c r="AZ23" s="152">
        <f t="shared" si="38"/>
        <v>3695296.2962962962</v>
      </c>
      <c r="BA23" s="183">
        <f t="shared" si="13"/>
        <v>-161768.21983273607</v>
      </c>
      <c r="BB23" s="172">
        <f t="shared" si="14"/>
        <v>-4.1940760688931232E-2</v>
      </c>
      <c r="BC23" s="153">
        <f>_xlfn.XLOOKUP(D:D,'[1]Target store'!C:C,'[1]Target store'!J:J,0)</f>
        <v>12</v>
      </c>
      <c r="BD23" s="184">
        <f>IFERROR(GETPIVOTDATA("Sum of Qty",[1]ACC!$A$5,"ID Store",$C23),0)</f>
        <v>12</v>
      </c>
      <c r="BE23" s="177">
        <f t="shared" si="15"/>
        <v>1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896000</v>
      </c>
      <c r="BH23" s="177">
        <f t="shared" si="16"/>
        <v>0.36202020202020202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7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8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19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9397000</v>
      </c>
      <c r="J24" s="163">
        <f t="shared" si="20"/>
        <v>7.8308333333333327E-2</v>
      </c>
      <c r="K24" s="164">
        <f t="shared" si="21"/>
        <v>-110603000</v>
      </c>
      <c r="L24" s="132">
        <f>IFERROR(GETPIVOTDATA("Sum of Qty",[1]PF!$A$5,"ID Store",$C24),0)</f>
        <v>1</v>
      </c>
      <c r="M24" s="133">
        <f>IFERROR(GETPIVOTDATA("Sum of Qty",'[1]DEVICE &amp; VALUE'!$A$6,"ID Store",$C24,"Segment Price","3mio&gt;"),0)</f>
        <v>1</v>
      </c>
      <c r="N24" s="134">
        <f t="shared" si="22"/>
        <v>0.33333333333333331</v>
      </c>
      <c r="O24" s="135">
        <f>IFERROR(GETPIVOTDATA("Sum of Qty",[1]IQOO!$A$6,"ID Store",$C24),0)</f>
        <v>0</v>
      </c>
      <c r="P24" s="134">
        <f t="shared" si="23"/>
        <v>0</v>
      </c>
      <c r="Q24" s="136">
        <f t="shared" si="24"/>
        <v>0.33333333333333331</v>
      </c>
      <c r="R24" s="135">
        <f>IFERROR(GETPIVOTDATA("Sum of Qty",'[1]DEVICE &amp; VALUE'!$A$6,"ID Store",$C24),0)</f>
        <v>3</v>
      </c>
      <c r="S24" s="135">
        <f t="shared" si="25"/>
        <v>0.1</v>
      </c>
      <c r="T24" s="135">
        <f t="shared" si="26"/>
        <v>-27</v>
      </c>
      <c r="U24" s="165">
        <f t="shared" si="27"/>
        <v>35238750</v>
      </c>
      <c r="V24" s="163">
        <f t="shared" si="28"/>
        <v>0.29365625000000001</v>
      </c>
      <c r="W24" s="166">
        <f t="shared" si="29"/>
        <v>-84761250</v>
      </c>
      <c r="X24" s="167">
        <f t="shared" si="0"/>
        <v>3.75</v>
      </c>
      <c r="Y24" s="168">
        <f t="shared" si="1"/>
        <v>-26.25</v>
      </c>
      <c r="Z24" s="168">
        <f t="shared" si="30"/>
        <v>11.25</v>
      </c>
      <c r="AA24" s="168">
        <f t="shared" si="31"/>
        <v>-18.75</v>
      </c>
      <c r="AB24" s="168">
        <f t="shared" si="32"/>
        <v>0.375</v>
      </c>
      <c r="AC24" s="238">
        <f t="shared" si="33"/>
        <v>1.2272727272727273</v>
      </c>
      <c r="AD24" s="141">
        <f t="shared" si="34"/>
        <v>5027409.0909090908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4</v>
      </c>
      <c r="AJ24" s="146">
        <f t="shared" si="35"/>
        <v>3</v>
      </c>
      <c r="AK24" s="174">
        <f t="shared" si="4"/>
        <v>-1</v>
      </c>
      <c r="AL24" s="175">
        <f t="shared" si="5"/>
        <v>-0.25</v>
      </c>
      <c r="AM24" s="176">
        <f>IFERROR(GETPIVOTDATA("Sum of Qty",'[1]Store 3mio+ last month'!$A$6,"ID Store",$C24),0)</f>
        <v>27</v>
      </c>
      <c r="AN24" s="144">
        <f t="shared" si="36"/>
        <v>11.25</v>
      </c>
      <c r="AO24" s="171">
        <f t="shared" si="6"/>
        <v>-15.75</v>
      </c>
      <c r="AP24" s="177">
        <f t="shared" si="7"/>
        <v>-0.58333333333333337</v>
      </c>
      <c r="AQ24" s="176">
        <f>IFERROR(GETPIVOTDATA("Sum of Qty",'[1]DATA LAST MONTH DEVICE'!$A$6,"ID Store",$C24,"Segment Price","3mio&gt;"),0)</f>
        <v>1</v>
      </c>
      <c r="AR24" s="178">
        <f t="shared" si="8"/>
        <v>1</v>
      </c>
      <c r="AS24" s="178">
        <f t="shared" si="9"/>
        <v>0</v>
      </c>
      <c r="AT24" s="172">
        <f t="shared" si="10"/>
        <v>0</v>
      </c>
      <c r="AU24" s="179">
        <f>IFERROR(GETPIVOTDATA("Sum of SRP",'[1]DATA LAST MONTH DEVICE'!$A$6,"ID Store",$C24),0)</f>
        <v>12896000</v>
      </c>
      <c r="AV24" s="179">
        <f t="shared" si="37"/>
        <v>9397000</v>
      </c>
      <c r="AW24" s="180">
        <f t="shared" si="11"/>
        <v>-3499000</v>
      </c>
      <c r="AX24" s="181">
        <f t="shared" si="12"/>
        <v>-0.27132444168734493</v>
      </c>
      <c r="AY24" s="182">
        <f>IFERROR(VLOOKUP(C24,'[1]DATA SALES LAST MONTH'!A:E,5,0),0)</f>
        <v>3224000</v>
      </c>
      <c r="AZ24" s="152">
        <f t="shared" si="38"/>
        <v>3132333.3333333335</v>
      </c>
      <c r="BA24" s="183">
        <f t="shared" si="13"/>
        <v>-91666.666666666511</v>
      </c>
      <c r="BB24" s="172">
        <f t="shared" si="14"/>
        <v>-2.8432588916459837E-2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5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6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7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8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19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2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83775000</v>
      </c>
      <c r="J25" s="163">
        <f t="shared" si="20"/>
        <v>0.27925</v>
      </c>
      <c r="K25" s="164">
        <f t="shared" si="21"/>
        <v>-216225000</v>
      </c>
      <c r="L25" s="132">
        <f>IFERROR(GETPIVOTDATA("Sum of Qty",[1]PF!$A$5,"ID Store",$C25),0)</f>
        <v>1</v>
      </c>
      <c r="M25" s="133">
        <f>IFERROR(GETPIVOTDATA("Sum of Qty",'[1]DEVICE &amp; VALUE'!$A$6,"ID Store",$C25,"Segment Price","3mio&gt;"),0)</f>
        <v>6</v>
      </c>
      <c r="N25" s="134">
        <f t="shared" si="22"/>
        <v>0.24</v>
      </c>
      <c r="O25" s="135">
        <f>IFERROR(GETPIVOTDATA("Sum of Qty",[1]IQOO!$A$6,"ID Store",$C25),0)</f>
        <v>0</v>
      </c>
      <c r="P25" s="134">
        <f t="shared" si="23"/>
        <v>0</v>
      </c>
      <c r="Q25" s="136">
        <f t="shared" si="24"/>
        <v>0.24</v>
      </c>
      <c r="R25" s="135">
        <f>IFERROR(GETPIVOTDATA("Sum of Qty",'[1]DEVICE &amp; VALUE'!$A$6,"ID Store",$C25),0)</f>
        <v>25</v>
      </c>
      <c r="S25" s="135">
        <f t="shared" si="25"/>
        <v>0.27777777777777779</v>
      </c>
      <c r="T25" s="135">
        <f t="shared" si="26"/>
        <v>-65</v>
      </c>
      <c r="U25" s="165">
        <f t="shared" si="27"/>
        <v>314156250</v>
      </c>
      <c r="V25" s="163">
        <f t="shared" si="28"/>
        <v>1.0471874999999999</v>
      </c>
      <c r="W25" s="166">
        <f t="shared" si="29"/>
        <v>14156250</v>
      </c>
      <c r="X25" s="167">
        <f t="shared" si="0"/>
        <v>22.5</v>
      </c>
      <c r="Y25" s="168">
        <f t="shared" si="1"/>
        <v>-67.5</v>
      </c>
      <c r="Z25" s="168">
        <f t="shared" si="30"/>
        <v>93.75</v>
      </c>
      <c r="AA25" s="168">
        <f t="shared" si="31"/>
        <v>3.75</v>
      </c>
      <c r="AB25" s="168">
        <f t="shared" si="32"/>
        <v>1.0416666666666667</v>
      </c>
      <c r="AC25" s="238">
        <f t="shared" si="33"/>
        <v>2.9545454545454546</v>
      </c>
      <c r="AD25" s="141">
        <f t="shared" si="34"/>
        <v>9828409.0909090918</v>
      </c>
      <c r="AE25" s="169">
        <f>IFERROR(GETPIVOTDATA("Sum of Qty",'[1]DATA LAST MONTH IQOO'!$A$6,"ID Store",$C25),0)</f>
        <v>0</v>
      </c>
      <c r="AF25" s="170">
        <f>IFERROR(GETPIVOTDATA("Sum of Qty",[1]IQOO!$A$6,"ID Store",$C25),0)</f>
        <v>0</v>
      </c>
      <c r="AG25" s="171">
        <f t="shared" si="2"/>
        <v>0</v>
      </c>
      <c r="AH25" s="172">
        <f t="shared" si="3"/>
        <v>0</v>
      </c>
      <c r="AI25" s="173">
        <f>IFERROR(GETPIVOTDATA("Sum of Qty",'[1]DATA LAST MONTH DEVICE'!$A$6,"ID Store",$C25),0)</f>
        <v>18</v>
      </c>
      <c r="AJ25" s="146">
        <f t="shared" si="35"/>
        <v>25</v>
      </c>
      <c r="AK25" s="174">
        <f t="shared" si="4"/>
        <v>7</v>
      </c>
      <c r="AL25" s="175">
        <f t="shared" si="5"/>
        <v>0.3888888888888889</v>
      </c>
      <c r="AM25" s="176">
        <f>IFERROR(GETPIVOTDATA("Sum of Qty",'[1]Store 3mio+ last month'!$A$6,"ID Store",$C25),0)</f>
        <v>81</v>
      </c>
      <c r="AN25" s="144">
        <f t="shared" si="36"/>
        <v>93.75</v>
      </c>
      <c r="AO25" s="171">
        <f t="shared" si="6"/>
        <v>12.75</v>
      </c>
      <c r="AP25" s="177">
        <f t="shared" si="7"/>
        <v>0.15740740740740741</v>
      </c>
      <c r="AQ25" s="176">
        <f>IFERROR(GETPIVOTDATA("Sum of Qty",'[1]DATA LAST MONTH DEVICE'!$A$6,"ID Store",$C25,"Segment Price","3mio&gt;"),0)</f>
        <v>2</v>
      </c>
      <c r="AR25" s="178">
        <f t="shared" si="8"/>
        <v>6</v>
      </c>
      <c r="AS25" s="178">
        <f t="shared" si="9"/>
        <v>4</v>
      </c>
      <c r="AT25" s="172">
        <f t="shared" si="10"/>
        <v>2</v>
      </c>
      <c r="AU25" s="179">
        <f>IFERROR(GETPIVOTDATA("Sum of SRP",'[1]DATA LAST MONTH DEVICE'!$A$6,"ID Store",$C25),0)</f>
        <v>51882000</v>
      </c>
      <c r="AV25" s="179">
        <f t="shared" si="37"/>
        <v>83775000</v>
      </c>
      <c r="AW25" s="180">
        <f t="shared" si="11"/>
        <v>31893000</v>
      </c>
      <c r="AX25" s="181">
        <f t="shared" si="12"/>
        <v>0.61472186885625069</v>
      </c>
      <c r="AY25" s="182">
        <f>IFERROR(VLOOKUP(C25,'[1]DATA SALES LAST MONTH'!A:E,5,0),0)</f>
        <v>2882333.3333333335</v>
      </c>
      <c r="AZ25" s="152">
        <f t="shared" si="38"/>
        <v>3351000</v>
      </c>
      <c r="BA25" s="183">
        <f t="shared" si="13"/>
        <v>468666.66666666651</v>
      </c>
      <c r="BB25" s="172">
        <f t="shared" si="14"/>
        <v>0.16259974557650045</v>
      </c>
      <c r="BC25" s="153">
        <f>_xlfn.XLOOKUP(D:D,'[1]Target store'!C:C,'[1]Target store'!J:J,0)</f>
        <v>9</v>
      </c>
      <c r="BD25" s="184">
        <f>IFERROR(GETPIVOTDATA("Sum of Qty",[1]ACC!$A$5,"ID Store",$C25),0)</f>
        <v>7</v>
      </c>
      <c r="BE25" s="177">
        <f t="shared" si="15"/>
        <v>0.77777777777777779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0</v>
      </c>
      <c r="BH25" s="177">
        <f t="shared" si="16"/>
        <v>0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7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8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19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109575000</v>
      </c>
      <c r="J26" s="163">
        <f t="shared" si="20"/>
        <v>0.2739375</v>
      </c>
      <c r="K26" s="164">
        <f t="shared" si="21"/>
        <v>-290425000</v>
      </c>
      <c r="L26" s="132">
        <f>IFERROR(GETPIVOTDATA("Sum of Qty",[1]PF!$A$5,"ID Store",$C26),0)</f>
        <v>2</v>
      </c>
      <c r="M26" s="133">
        <f>IFERROR(GETPIVOTDATA("Sum of Qty",'[1]DEVICE &amp; VALUE'!$A$6,"ID Store",$C26,"Segment Price","3mio&gt;"),0)</f>
        <v>11</v>
      </c>
      <c r="N26" s="134">
        <f t="shared" si="22"/>
        <v>0.44</v>
      </c>
      <c r="O26" s="135">
        <f>IFERROR(GETPIVOTDATA("Sum of Qty",[1]IQOO!$A$6,"ID Store",$C26),0)</f>
        <v>0</v>
      </c>
      <c r="P26" s="134">
        <f t="shared" si="23"/>
        <v>0</v>
      </c>
      <c r="Q26" s="136">
        <f t="shared" si="24"/>
        <v>0.44</v>
      </c>
      <c r="R26" s="135">
        <f>IFERROR(GETPIVOTDATA("Sum of Qty",'[1]DEVICE &amp; VALUE'!$A$6,"ID Store",$C26),0)</f>
        <v>25</v>
      </c>
      <c r="S26" s="135">
        <f t="shared" si="25"/>
        <v>0.27777777777777779</v>
      </c>
      <c r="T26" s="135">
        <f t="shared" si="26"/>
        <v>-65</v>
      </c>
      <c r="U26" s="165">
        <f t="shared" si="27"/>
        <v>410906250</v>
      </c>
      <c r="V26" s="163">
        <f t="shared" si="28"/>
        <v>1.0272656250000001</v>
      </c>
      <c r="W26" s="166">
        <f t="shared" si="29"/>
        <v>10906250</v>
      </c>
      <c r="X26" s="167">
        <f t="shared" si="0"/>
        <v>41.25</v>
      </c>
      <c r="Y26" s="168">
        <f t="shared" si="1"/>
        <v>-48.75</v>
      </c>
      <c r="Z26" s="168">
        <f t="shared" si="30"/>
        <v>93.75</v>
      </c>
      <c r="AA26" s="168">
        <f t="shared" si="31"/>
        <v>3.75</v>
      </c>
      <c r="AB26" s="168">
        <f t="shared" si="32"/>
        <v>1.0416666666666667</v>
      </c>
      <c r="AC26" s="238">
        <f t="shared" si="33"/>
        <v>2.9545454545454546</v>
      </c>
      <c r="AD26" s="141">
        <f t="shared" si="34"/>
        <v>13201136.363636363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0</v>
      </c>
      <c r="AG26" s="171">
        <f t="shared" si="2"/>
        <v>0</v>
      </c>
      <c r="AH26" s="172">
        <f t="shared" si="3"/>
        <v>0</v>
      </c>
      <c r="AI26" s="173">
        <f>IFERROR(GETPIVOTDATA("Sum of Qty",'[1]DATA LAST MONTH DEVICE'!$A$6,"ID Store",$C26),0)</f>
        <v>25</v>
      </c>
      <c r="AJ26" s="146">
        <f t="shared" si="35"/>
        <v>25</v>
      </c>
      <c r="AK26" s="174">
        <f t="shared" si="4"/>
        <v>0</v>
      </c>
      <c r="AL26" s="175">
        <f t="shared" si="5"/>
        <v>0</v>
      </c>
      <c r="AM26" s="176">
        <f>IFERROR(GETPIVOTDATA("Sum of Qty",'[1]Store 3mio+ last month'!$A$6,"ID Store",$C26),0)</f>
        <v>105</v>
      </c>
      <c r="AN26" s="144">
        <f t="shared" si="36"/>
        <v>93.75</v>
      </c>
      <c r="AO26" s="171">
        <f t="shared" si="6"/>
        <v>-11.25</v>
      </c>
      <c r="AP26" s="177">
        <f t="shared" si="7"/>
        <v>-0.10714285714285714</v>
      </c>
      <c r="AQ26" s="176">
        <f>IFERROR(GETPIVOTDATA("Sum of Qty",'[1]DATA LAST MONTH DEVICE'!$A$6,"ID Store",$C26,"Segment Price","3mio&gt;"),0)</f>
        <v>12</v>
      </c>
      <c r="AR26" s="178">
        <f t="shared" si="8"/>
        <v>11</v>
      </c>
      <c r="AS26" s="178">
        <f t="shared" si="9"/>
        <v>-1</v>
      </c>
      <c r="AT26" s="172">
        <f t="shared" si="10"/>
        <v>-8.3333333333333329E-2</v>
      </c>
      <c r="AU26" s="179">
        <f>IFERROR(GETPIVOTDATA("Sum of SRP",'[1]DATA LAST MONTH DEVICE'!$A$6,"ID Store",$C26),0)</f>
        <v>102075000</v>
      </c>
      <c r="AV26" s="179">
        <f t="shared" si="37"/>
        <v>109575000</v>
      </c>
      <c r="AW26" s="180">
        <f t="shared" si="11"/>
        <v>7500000</v>
      </c>
      <c r="AX26" s="181">
        <f t="shared" si="12"/>
        <v>7.3475385745775168E-2</v>
      </c>
      <c r="AY26" s="182">
        <f>IFERROR(VLOOKUP(C26,'[1]DATA SALES LAST MONTH'!A:E,5,0),0)</f>
        <v>4083000</v>
      </c>
      <c r="AZ26" s="152">
        <f t="shared" si="38"/>
        <v>4383000</v>
      </c>
      <c r="BA26" s="183">
        <f t="shared" si="13"/>
        <v>300000</v>
      </c>
      <c r="BB26" s="172">
        <f t="shared" si="14"/>
        <v>7.3475385745775168E-2</v>
      </c>
      <c r="BC26" s="153">
        <f>_xlfn.XLOOKUP(D:D,'[1]Target store'!C:C,'[1]Target store'!J:J,0)</f>
        <v>9</v>
      </c>
      <c r="BD26" s="184">
        <f>IFERROR(GETPIVOTDATA("Sum of Qty",[1]ACC!$A$5,"ID Store",$C26),0)</f>
        <v>16</v>
      </c>
      <c r="BE26" s="177">
        <f t="shared" si="15"/>
        <v>1.7777777777777777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0</v>
      </c>
      <c r="BH26" s="177">
        <f t="shared" si="16"/>
        <v>0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7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8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19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15396000</v>
      </c>
      <c r="J27" s="163">
        <f t="shared" si="20"/>
        <v>0.15396000000000001</v>
      </c>
      <c r="K27" s="164">
        <f t="shared" si="21"/>
        <v>-84604000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2</v>
      </c>
      <c r="N27" s="134">
        <f t="shared" si="22"/>
        <v>0.5</v>
      </c>
      <c r="O27" s="135">
        <f>IFERROR(GETPIVOTDATA("Sum of Qty",[1]IQOO!$A$6,"ID Store",$C27),0)</f>
        <v>0</v>
      </c>
      <c r="P27" s="134">
        <f t="shared" si="23"/>
        <v>0</v>
      </c>
      <c r="Q27" s="136">
        <f t="shared" si="24"/>
        <v>0.5</v>
      </c>
      <c r="R27" s="135">
        <f>IFERROR(GETPIVOTDATA("Sum of Qty",'[1]DEVICE &amp; VALUE'!$A$6,"ID Store",$C27),0)</f>
        <v>4</v>
      </c>
      <c r="S27" s="135">
        <f t="shared" si="25"/>
        <v>0.13333333333333333</v>
      </c>
      <c r="T27" s="135">
        <f t="shared" si="26"/>
        <v>-26</v>
      </c>
      <c r="U27" s="165">
        <f t="shared" si="27"/>
        <v>57735000</v>
      </c>
      <c r="V27" s="163">
        <f t="shared" si="28"/>
        <v>0.57735000000000003</v>
      </c>
      <c r="W27" s="166">
        <f t="shared" si="29"/>
        <v>-42265000</v>
      </c>
      <c r="X27" s="167">
        <f t="shared" si="0"/>
        <v>7.5</v>
      </c>
      <c r="Y27" s="168">
        <f t="shared" si="1"/>
        <v>-22.5</v>
      </c>
      <c r="Z27" s="168">
        <f t="shared" si="30"/>
        <v>15</v>
      </c>
      <c r="AA27" s="168">
        <f t="shared" si="31"/>
        <v>-15</v>
      </c>
      <c r="AB27" s="168">
        <f t="shared" si="32"/>
        <v>0.5</v>
      </c>
      <c r="AC27" s="238">
        <f t="shared" si="33"/>
        <v>1.1818181818181819</v>
      </c>
      <c r="AD27" s="141">
        <f t="shared" si="34"/>
        <v>3845636.3636363638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3</v>
      </c>
      <c r="AJ27" s="146">
        <f t="shared" si="35"/>
        <v>4</v>
      </c>
      <c r="AK27" s="174">
        <f t="shared" si="4"/>
        <v>1</v>
      </c>
      <c r="AL27" s="175">
        <f t="shared" si="5"/>
        <v>0.33333333333333331</v>
      </c>
      <c r="AM27" s="176">
        <f>IFERROR(GETPIVOTDATA("Sum of Qty",'[1]Store 3mio+ last month'!$A$6,"ID Store",$C27),0)</f>
        <v>20</v>
      </c>
      <c r="AN27" s="144">
        <f t="shared" si="36"/>
        <v>15</v>
      </c>
      <c r="AO27" s="171">
        <f t="shared" si="6"/>
        <v>-5</v>
      </c>
      <c r="AP27" s="177">
        <f t="shared" si="7"/>
        <v>-0.25</v>
      </c>
      <c r="AQ27" s="176">
        <f>IFERROR(GETPIVOTDATA("Sum of Qty",'[1]DATA LAST MONTH DEVICE'!$A$6,"ID Store",$C27,"Segment Price","3mio&gt;"),0)</f>
        <v>0</v>
      </c>
      <c r="AR27" s="178">
        <f t="shared" si="8"/>
        <v>2</v>
      </c>
      <c r="AS27" s="178">
        <f t="shared" si="9"/>
        <v>2</v>
      </c>
      <c r="AT27" s="172">
        <f t="shared" si="10"/>
        <v>0</v>
      </c>
      <c r="AU27" s="179">
        <f>IFERROR(GETPIVOTDATA("Sum of SRP",'[1]DATA LAST MONTH DEVICE'!$A$6,"ID Store",$C27),0)</f>
        <v>6297000</v>
      </c>
      <c r="AV27" s="179">
        <f t="shared" si="37"/>
        <v>15396000</v>
      </c>
      <c r="AW27" s="180">
        <f t="shared" si="11"/>
        <v>9099000</v>
      </c>
      <c r="AX27" s="181">
        <f t="shared" si="12"/>
        <v>1.4449737970462124</v>
      </c>
      <c r="AY27" s="182">
        <f>IFERROR(VLOOKUP(C27,'[1]DATA SALES LAST MONTH'!A:E,5,0),0)</f>
        <v>2099000</v>
      </c>
      <c r="AZ27" s="152">
        <f t="shared" si="38"/>
        <v>3849000</v>
      </c>
      <c r="BA27" s="183">
        <f t="shared" si="13"/>
        <v>1750000</v>
      </c>
      <c r="BB27" s="172">
        <f t="shared" si="14"/>
        <v>0.83373034778465938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5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0</v>
      </c>
      <c r="BH27" s="177">
        <f t="shared" si="16"/>
        <v>0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7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8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19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73378000</v>
      </c>
      <c r="J28" s="163">
        <f t="shared" si="20"/>
        <v>0.20965142857142857</v>
      </c>
      <c r="K28" s="164">
        <f t="shared" si="21"/>
        <v>-276622000</v>
      </c>
      <c r="L28" s="132">
        <f>IFERROR(GETPIVOTDATA("Sum of Qty",[1]PF!$A$5,"ID Store",$C28),0)</f>
        <v>4</v>
      </c>
      <c r="M28" s="133">
        <f>IFERROR(GETPIVOTDATA("Sum of Qty",'[1]DEVICE &amp; VALUE'!$A$6,"ID Store",$C28,"Segment Price","3mio&gt;"),0)</f>
        <v>7</v>
      </c>
      <c r="N28" s="134">
        <f t="shared" si="22"/>
        <v>0.31818181818181818</v>
      </c>
      <c r="O28" s="135">
        <f>IFERROR(GETPIVOTDATA("Sum of Qty",[1]IQOO!$A$6,"ID Store",$C28),0)</f>
        <v>0</v>
      </c>
      <c r="P28" s="134">
        <f t="shared" si="23"/>
        <v>0</v>
      </c>
      <c r="Q28" s="136">
        <f t="shared" si="24"/>
        <v>0.31818181818181818</v>
      </c>
      <c r="R28" s="135">
        <f>IFERROR(GETPIVOTDATA("Sum of Qty",'[1]DEVICE &amp; VALUE'!$A$6,"ID Store",$C28),0)</f>
        <v>22</v>
      </c>
      <c r="S28" s="135">
        <f t="shared" si="25"/>
        <v>0.24444444444444444</v>
      </c>
      <c r="T28" s="135">
        <f t="shared" si="26"/>
        <v>-68</v>
      </c>
      <c r="U28" s="165">
        <f t="shared" si="27"/>
        <v>275167500</v>
      </c>
      <c r="V28" s="163">
        <f t="shared" si="28"/>
        <v>0.78619285714285714</v>
      </c>
      <c r="W28" s="166">
        <f t="shared" si="29"/>
        <v>-74832500</v>
      </c>
      <c r="X28" s="167">
        <f t="shared" si="0"/>
        <v>26.25</v>
      </c>
      <c r="Y28" s="168">
        <f t="shared" si="1"/>
        <v>-63.75</v>
      </c>
      <c r="Z28" s="168">
        <f t="shared" si="30"/>
        <v>82.5</v>
      </c>
      <c r="AA28" s="168">
        <f t="shared" si="31"/>
        <v>-7.5</v>
      </c>
      <c r="AB28" s="168">
        <f t="shared" si="32"/>
        <v>0.91666666666666663</v>
      </c>
      <c r="AC28" s="238">
        <f t="shared" si="33"/>
        <v>3.0909090909090908</v>
      </c>
      <c r="AD28" s="141">
        <f t="shared" si="34"/>
        <v>12573727.272727273</v>
      </c>
      <c r="AE28" s="169">
        <f>IFERROR(GETPIVOTDATA("Sum of Qty",'[1]DATA LAST MONTH IQOO'!$A$6,"ID Store",$C28),0)</f>
        <v>0</v>
      </c>
      <c r="AF28" s="170">
        <f>IFERROR(GETPIVOTDATA("Sum of Qty",[1]IQOO!$A$6,"ID Store",$C28),0)</f>
        <v>0</v>
      </c>
      <c r="AG28" s="171">
        <f t="shared" si="2"/>
        <v>0</v>
      </c>
      <c r="AH28" s="172">
        <f t="shared" si="3"/>
        <v>0</v>
      </c>
      <c r="AI28" s="173">
        <f>IFERROR(GETPIVOTDATA("Sum of Qty",'[1]DATA LAST MONTH DEVICE'!$A$6,"ID Store",$C28),0)</f>
        <v>31</v>
      </c>
      <c r="AJ28" s="146">
        <f t="shared" si="35"/>
        <v>22</v>
      </c>
      <c r="AK28" s="174">
        <f t="shared" si="4"/>
        <v>-9</v>
      </c>
      <c r="AL28" s="175">
        <f t="shared" si="5"/>
        <v>-0.29032258064516131</v>
      </c>
      <c r="AM28" s="176">
        <f>IFERROR(GETPIVOTDATA("Sum of Qty",'[1]Store 3mio+ last month'!$A$6,"ID Store",$C28),0)</f>
        <v>105</v>
      </c>
      <c r="AN28" s="144">
        <f t="shared" si="36"/>
        <v>82.5</v>
      </c>
      <c r="AO28" s="171">
        <f t="shared" si="6"/>
        <v>-22.5</v>
      </c>
      <c r="AP28" s="177">
        <f t="shared" si="7"/>
        <v>-0.21428571428571427</v>
      </c>
      <c r="AQ28" s="176">
        <f>IFERROR(GETPIVOTDATA("Sum of Qty",'[1]DATA LAST MONTH DEVICE'!$A$6,"ID Store",$C28,"Segment Price","3mio&gt;"),0)</f>
        <v>8</v>
      </c>
      <c r="AR28" s="178">
        <f t="shared" si="8"/>
        <v>7</v>
      </c>
      <c r="AS28" s="178">
        <f t="shared" si="9"/>
        <v>-1</v>
      </c>
      <c r="AT28" s="172">
        <f t="shared" si="10"/>
        <v>-0.125</v>
      </c>
      <c r="AU28" s="179">
        <f>IFERROR(GETPIVOTDATA("Sum of SRP",'[1]DATA LAST MONTH DEVICE'!$A$6,"ID Store",$C28),0)</f>
        <v>98169000</v>
      </c>
      <c r="AV28" s="179">
        <f t="shared" si="37"/>
        <v>73378000</v>
      </c>
      <c r="AW28" s="180">
        <f t="shared" si="11"/>
        <v>-24791000</v>
      </c>
      <c r="AX28" s="181">
        <f t="shared" si="12"/>
        <v>-0.25253389562896639</v>
      </c>
      <c r="AY28" s="182">
        <f>IFERROR(VLOOKUP(C28,'[1]DATA SALES LAST MONTH'!A:E,5,0),0)</f>
        <v>3166741.935483871</v>
      </c>
      <c r="AZ28" s="152">
        <f t="shared" si="38"/>
        <v>3335363.6363636362</v>
      </c>
      <c r="BA28" s="183">
        <f t="shared" si="13"/>
        <v>168621.70087976521</v>
      </c>
      <c r="BB28" s="172">
        <f t="shared" si="14"/>
        <v>5.324769252282005E-2</v>
      </c>
      <c r="BC28" s="153">
        <f>_xlfn.XLOOKUP(D:D,'[1]Target store'!C:C,'[1]Target store'!J:J,0)</f>
        <v>9</v>
      </c>
      <c r="BD28" s="184">
        <f>IFERROR(GETPIVOTDATA("Sum of Qty",[1]ACC!$A$5,"ID Store",$C28),0)</f>
        <v>3</v>
      </c>
      <c r="BE28" s="177">
        <f t="shared" si="15"/>
        <v>0.33333333333333331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0</v>
      </c>
      <c r="BH28" s="177">
        <f t="shared" si="16"/>
        <v>0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7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8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19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3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75379000</v>
      </c>
      <c r="J29" s="163">
        <f t="shared" si="20"/>
        <v>0.24315806451612904</v>
      </c>
      <c r="K29" s="164">
        <f t="shared" si="21"/>
        <v>-234621000</v>
      </c>
      <c r="L29" s="132">
        <f>IFERROR(GETPIVOTDATA("Sum of Qty",[1]PF!$A$5,"ID Store",$C29),0)</f>
        <v>3</v>
      </c>
      <c r="M29" s="133">
        <f>IFERROR(GETPIVOTDATA("Sum of Qty",'[1]DEVICE &amp; VALUE'!$A$6,"ID Store",$C29,"Segment Price","3mio&gt;"),0)</f>
        <v>7</v>
      </c>
      <c r="N29" s="134">
        <f t="shared" si="22"/>
        <v>0.33333333333333331</v>
      </c>
      <c r="O29" s="135">
        <f>IFERROR(GETPIVOTDATA("Sum of Qty",[1]IQOO!$A$6,"ID Store",$C29),0)</f>
        <v>0</v>
      </c>
      <c r="P29" s="134">
        <f t="shared" si="23"/>
        <v>0</v>
      </c>
      <c r="Q29" s="136">
        <f t="shared" si="24"/>
        <v>0.33333333333333331</v>
      </c>
      <c r="R29" s="135">
        <f>IFERROR(GETPIVOTDATA("Sum of Qty",'[1]DEVICE &amp; VALUE'!$A$6,"ID Store",$C29),0)</f>
        <v>21</v>
      </c>
      <c r="S29" s="135">
        <f t="shared" si="25"/>
        <v>0.23333333333333334</v>
      </c>
      <c r="T29" s="135">
        <f t="shared" si="26"/>
        <v>-69</v>
      </c>
      <c r="U29" s="165">
        <f t="shared" si="27"/>
        <v>282671250</v>
      </c>
      <c r="V29" s="163">
        <f t="shared" si="28"/>
        <v>0.91184274193548387</v>
      </c>
      <c r="W29" s="166">
        <f t="shared" si="29"/>
        <v>-27328750</v>
      </c>
      <c r="X29" s="167">
        <f t="shared" si="0"/>
        <v>26.25</v>
      </c>
      <c r="Y29" s="168">
        <f t="shared" si="1"/>
        <v>-63.75</v>
      </c>
      <c r="Z29" s="168">
        <f t="shared" si="30"/>
        <v>78.75</v>
      </c>
      <c r="AA29" s="168">
        <f t="shared" si="31"/>
        <v>-11.25</v>
      </c>
      <c r="AB29" s="168">
        <f t="shared" si="32"/>
        <v>0.875</v>
      </c>
      <c r="AC29" s="238">
        <f t="shared" si="33"/>
        <v>3.1363636363636362</v>
      </c>
      <c r="AD29" s="141">
        <f t="shared" si="34"/>
        <v>10664590.909090908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31</v>
      </c>
      <c r="AJ29" s="146">
        <f t="shared" si="35"/>
        <v>21</v>
      </c>
      <c r="AK29" s="174">
        <f t="shared" si="4"/>
        <v>-10</v>
      </c>
      <c r="AL29" s="175">
        <f t="shared" si="5"/>
        <v>-0.32258064516129031</v>
      </c>
      <c r="AM29" s="176">
        <f>IFERROR(GETPIVOTDATA("Sum of Qty",'[1]Store 3mio+ last month'!$A$6,"ID Store",$C29),0)</f>
        <v>85</v>
      </c>
      <c r="AN29" s="144">
        <f t="shared" si="36"/>
        <v>78.75</v>
      </c>
      <c r="AO29" s="171">
        <f t="shared" si="6"/>
        <v>-6.25</v>
      </c>
      <c r="AP29" s="177">
        <f t="shared" si="7"/>
        <v>-7.3529411764705885E-2</v>
      </c>
      <c r="AQ29" s="176">
        <f>IFERROR(GETPIVOTDATA("Sum of Qty",'[1]DATA LAST MONTH DEVICE'!$A$6,"ID Store",$C29,"Segment Price","3mio&gt;"),0)</f>
        <v>5</v>
      </c>
      <c r="AR29" s="178">
        <f t="shared" si="8"/>
        <v>7</v>
      </c>
      <c r="AS29" s="178">
        <f t="shared" si="9"/>
        <v>2</v>
      </c>
      <c r="AT29" s="172">
        <f t="shared" si="10"/>
        <v>0.4</v>
      </c>
      <c r="AU29" s="179">
        <f>IFERROR(GETPIVOTDATA("Sum of SRP",'[1]DATA LAST MONTH DEVICE'!$A$6,"ID Store",$C29),0)</f>
        <v>94169000</v>
      </c>
      <c r="AV29" s="179">
        <f t="shared" si="37"/>
        <v>75379000</v>
      </c>
      <c r="AW29" s="180">
        <f t="shared" si="11"/>
        <v>-18790000</v>
      </c>
      <c r="AX29" s="181">
        <f t="shared" si="12"/>
        <v>-0.19953487878176471</v>
      </c>
      <c r="AY29" s="182">
        <f>IFERROR(VLOOKUP(C29,'[1]DATA SALES LAST MONTH'!A:E,5,0),0)</f>
        <v>3037709.6774193547</v>
      </c>
      <c r="AZ29" s="152">
        <f t="shared" si="38"/>
        <v>3589476.1904761903</v>
      </c>
      <c r="BA29" s="183">
        <f t="shared" si="13"/>
        <v>551766.51305683563</v>
      </c>
      <c r="BB29" s="172">
        <f t="shared" si="14"/>
        <v>0.18163898846501403</v>
      </c>
      <c r="BC29" s="153">
        <f>_xlfn.XLOOKUP(D:D,'[1]Target store'!C:C,'[1]Target store'!J:J,0)</f>
        <v>9</v>
      </c>
      <c r="BD29" s="184">
        <f>IFERROR(GETPIVOTDATA("Sum of Qty",[1]ACC!$A$5,"ID Store",$C29),0)</f>
        <v>7</v>
      </c>
      <c r="BE29" s="177">
        <f t="shared" si="15"/>
        <v>0.77777777777777779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0</v>
      </c>
      <c r="BH29" s="177">
        <f t="shared" si="16"/>
        <v>0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7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8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19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2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65983000</v>
      </c>
      <c r="J30" s="163">
        <f t="shared" si="20"/>
        <v>0.16495750000000001</v>
      </c>
      <c r="K30" s="164">
        <f t="shared" si="21"/>
        <v>-334017000</v>
      </c>
      <c r="L30" s="132">
        <f>IFERROR(GETPIVOTDATA("Sum of Qty",[1]PF!$A$5,"ID Store",$C30),0)</f>
        <v>5</v>
      </c>
      <c r="M30" s="133">
        <f>IFERROR(GETPIVOTDATA("Sum of Qty",'[1]DEVICE &amp; VALUE'!$A$6,"ID Store",$C30,"Segment Price","3mio&gt;"),0)</f>
        <v>9</v>
      </c>
      <c r="N30" s="134">
        <f t="shared" si="22"/>
        <v>0.52941176470588236</v>
      </c>
      <c r="O30" s="135">
        <f>IFERROR(GETPIVOTDATA("Sum of Qty",[1]IQOO!$A$6,"ID Store",$C30),0)</f>
        <v>0</v>
      </c>
      <c r="P30" s="134">
        <f t="shared" si="23"/>
        <v>0</v>
      </c>
      <c r="Q30" s="136">
        <f t="shared" si="24"/>
        <v>0.52941176470588236</v>
      </c>
      <c r="R30" s="135">
        <f>IFERROR(GETPIVOTDATA("Sum of Qty",'[1]DEVICE &amp; VALUE'!$A$6,"ID Store",$C30),0)</f>
        <v>17</v>
      </c>
      <c r="S30" s="135">
        <f t="shared" si="25"/>
        <v>0.18888888888888888</v>
      </c>
      <c r="T30" s="135">
        <f t="shared" si="26"/>
        <v>-73</v>
      </c>
      <c r="U30" s="165">
        <f t="shared" si="27"/>
        <v>247436250</v>
      </c>
      <c r="V30" s="163">
        <f t="shared" si="28"/>
        <v>0.61859062499999995</v>
      </c>
      <c r="W30" s="166">
        <f t="shared" si="29"/>
        <v>-152563750</v>
      </c>
      <c r="X30" s="167">
        <f t="shared" si="0"/>
        <v>33.75</v>
      </c>
      <c r="Y30" s="168">
        <f t="shared" si="1"/>
        <v>-56.25</v>
      </c>
      <c r="Z30" s="168">
        <f t="shared" si="30"/>
        <v>63.75</v>
      </c>
      <c r="AA30" s="168">
        <f t="shared" si="31"/>
        <v>-26.25</v>
      </c>
      <c r="AB30" s="168">
        <f t="shared" si="32"/>
        <v>0.70833333333333337</v>
      </c>
      <c r="AC30" s="238">
        <f t="shared" si="33"/>
        <v>3.3181818181818183</v>
      </c>
      <c r="AD30" s="141">
        <f t="shared" si="34"/>
        <v>15182590.909090908</v>
      </c>
      <c r="AE30" s="169">
        <f>IFERROR(GETPIVOTDATA("Sum of Qty",'[1]DATA LAST MONTH IQOO'!$A$6,"ID Store",$C30),0)</f>
        <v>0</v>
      </c>
      <c r="AF30" s="170">
        <f>IFERROR(GETPIVOTDATA("Sum of Qty",[1]IQOO!$A$6,"ID Store",$C30),0)</f>
        <v>0</v>
      </c>
      <c r="AG30" s="171">
        <f t="shared" si="2"/>
        <v>0</v>
      </c>
      <c r="AH30" s="172">
        <f t="shared" si="3"/>
        <v>0</v>
      </c>
      <c r="AI30" s="173">
        <f>IFERROR(GETPIVOTDATA("Sum of Qty",'[1]DATA LAST MONTH DEVICE'!$A$6,"ID Store",$C30),0)</f>
        <v>26</v>
      </c>
      <c r="AJ30" s="146">
        <f t="shared" si="35"/>
        <v>17</v>
      </c>
      <c r="AK30" s="174">
        <f t="shared" si="4"/>
        <v>-9</v>
      </c>
      <c r="AL30" s="175">
        <f t="shared" si="5"/>
        <v>-0.34615384615384615</v>
      </c>
      <c r="AM30" s="176">
        <f>IFERROR(GETPIVOTDATA("Sum of Qty",'[1]Store 3mio+ last month'!$A$6,"ID Store",$C30),0)</f>
        <v>85</v>
      </c>
      <c r="AN30" s="144">
        <f t="shared" si="36"/>
        <v>63.75</v>
      </c>
      <c r="AO30" s="171">
        <f t="shared" si="6"/>
        <v>-21.25</v>
      </c>
      <c r="AP30" s="177">
        <f t="shared" si="7"/>
        <v>-0.25</v>
      </c>
      <c r="AQ30" s="176">
        <f>IFERROR(GETPIVOTDATA("Sum of Qty",'[1]DATA LAST MONTH DEVICE'!$A$6,"ID Store",$C30,"Segment Price","3mio&gt;"),0)</f>
        <v>14</v>
      </c>
      <c r="AR30" s="178">
        <f t="shared" si="8"/>
        <v>9</v>
      </c>
      <c r="AS30" s="178">
        <f t="shared" si="9"/>
        <v>-5</v>
      </c>
      <c r="AT30" s="172">
        <f t="shared" si="10"/>
        <v>-0.35714285714285715</v>
      </c>
      <c r="AU30" s="179">
        <f>IFERROR(GETPIVOTDATA("Sum of SRP",'[1]DATA LAST MONTH DEVICE'!$A$6,"ID Store",$C30),0)</f>
        <v>123874000</v>
      </c>
      <c r="AV30" s="179">
        <f t="shared" si="37"/>
        <v>65983000</v>
      </c>
      <c r="AW30" s="180">
        <f t="shared" si="11"/>
        <v>-57891000</v>
      </c>
      <c r="AX30" s="181">
        <f t="shared" si="12"/>
        <v>-0.46733777871062532</v>
      </c>
      <c r="AY30" s="182">
        <f>IFERROR(VLOOKUP(C30,'[1]DATA SALES LAST MONTH'!A:E,5,0),0)</f>
        <v>4764384.615384615</v>
      </c>
      <c r="AZ30" s="152">
        <f t="shared" si="38"/>
        <v>3881352.9411764704</v>
      </c>
      <c r="BA30" s="183">
        <f t="shared" si="13"/>
        <v>-883031.67420814466</v>
      </c>
      <c r="BB30" s="172">
        <f t="shared" si="14"/>
        <v>-0.18534013214566222</v>
      </c>
      <c r="BC30" s="153">
        <f>_xlfn.XLOOKUP(D:D,'[1]Target store'!C:C,'[1]Target store'!J:J,0)</f>
        <v>9</v>
      </c>
      <c r="BD30" s="184">
        <f>IFERROR(GETPIVOTDATA("Sum of Qty",[1]ACC!$A$5,"ID Store",$C30),0)</f>
        <v>6</v>
      </c>
      <c r="BE30" s="177">
        <f t="shared" si="15"/>
        <v>0.66666666666666663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6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7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8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19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28098000</v>
      </c>
      <c r="J31" s="163">
        <f t="shared" si="20"/>
        <v>0.23415</v>
      </c>
      <c r="K31" s="164">
        <f t="shared" si="21"/>
        <v>-91902000</v>
      </c>
      <c r="L31" s="132">
        <f>IFERROR(GETPIVOTDATA("Sum of Qty",[1]PF!$A$5,"ID Store",$C31),0)</f>
        <v>0</v>
      </c>
      <c r="M31" s="133">
        <f>IFERROR(GETPIVOTDATA("Sum of Qty",'[1]DEVICE &amp; VALUE'!$A$6,"ID Store",$C31,"Segment Price","3mio&gt;"),0)</f>
        <v>1</v>
      </c>
      <c r="N31" s="134">
        <f t="shared" si="22"/>
        <v>0.5</v>
      </c>
      <c r="O31" s="135">
        <f>IFERROR(GETPIVOTDATA("Sum of Qty",[1]IQOO!$A$6,"ID Store",$C31),0)</f>
        <v>0</v>
      </c>
      <c r="P31" s="134">
        <f t="shared" si="23"/>
        <v>0</v>
      </c>
      <c r="Q31" s="136">
        <f t="shared" si="24"/>
        <v>0.5</v>
      </c>
      <c r="R31" s="135">
        <f>IFERROR(GETPIVOTDATA("Sum of Qty",'[1]DEVICE &amp; VALUE'!$A$6,"ID Store",$C31),0)</f>
        <v>2</v>
      </c>
      <c r="S31" s="135">
        <f t="shared" si="25"/>
        <v>6.6666666666666666E-2</v>
      </c>
      <c r="T31" s="135">
        <f t="shared" si="26"/>
        <v>-28</v>
      </c>
      <c r="U31" s="165">
        <f t="shared" si="27"/>
        <v>105367500</v>
      </c>
      <c r="V31" s="163">
        <f t="shared" si="28"/>
        <v>0.87806249999999997</v>
      </c>
      <c r="W31" s="166">
        <f t="shared" si="29"/>
        <v>-14632500</v>
      </c>
      <c r="X31" s="167">
        <f t="shared" si="0"/>
        <v>3.75</v>
      </c>
      <c r="Y31" s="168">
        <f t="shared" si="1"/>
        <v>-26.25</v>
      </c>
      <c r="Z31" s="168">
        <f t="shared" si="30"/>
        <v>7.5</v>
      </c>
      <c r="AA31" s="168">
        <f t="shared" si="31"/>
        <v>-22.5</v>
      </c>
      <c r="AB31" s="168">
        <f t="shared" si="32"/>
        <v>0.25</v>
      </c>
      <c r="AC31" s="238">
        <f t="shared" si="33"/>
        <v>1.2727272727272727</v>
      </c>
      <c r="AD31" s="141">
        <f t="shared" si="34"/>
        <v>4177363.6363636362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6</v>
      </c>
      <c r="AJ31" s="146">
        <f t="shared" si="35"/>
        <v>2</v>
      </c>
      <c r="AK31" s="174">
        <f t="shared" si="4"/>
        <v>-4</v>
      </c>
      <c r="AL31" s="175">
        <f t="shared" si="5"/>
        <v>-0.66666666666666663</v>
      </c>
      <c r="AM31" s="176">
        <f>IFERROR(GETPIVOTDATA("Sum of Qty",'[1]Store 3mio+ last month'!$A$6,"ID Store",$C31),0)</f>
        <v>17</v>
      </c>
      <c r="AN31" s="144">
        <f t="shared" si="36"/>
        <v>7.5</v>
      </c>
      <c r="AO31" s="171">
        <f t="shared" si="6"/>
        <v>-9.5</v>
      </c>
      <c r="AP31" s="177">
        <f t="shared" si="7"/>
        <v>-0.55882352941176472</v>
      </c>
      <c r="AQ31" s="176">
        <f>IFERROR(GETPIVOTDATA("Sum of Qty",'[1]DATA LAST MONTH DEVICE'!$A$6,"ID Store",$C31,"Segment Price","3mio&gt;"),0)</f>
        <v>5</v>
      </c>
      <c r="AR31" s="178">
        <f t="shared" si="8"/>
        <v>1</v>
      </c>
      <c r="AS31" s="178">
        <f t="shared" si="9"/>
        <v>-4</v>
      </c>
      <c r="AT31" s="172">
        <f t="shared" si="10"/>
        <v>-0.8</v>
      </c>
      <c r="AU31" s="179">
        <f>IFERROR(GETPIVOTDATA("Sum of SRP",'[1]DATA LAST MONTH DEVICE'!$A$6,"ID Store",$C31),0)</f>
        <v>43794000</v>
      </c>
      <c r="AV31" s="179">
        <f t="shared" si="37"/>
        <v>28098000</v>
      </c>
      <c r="AW31" s="180">
        <f t="shared" si="11"/>
        <v>-15696000</v>
      </c>
      <c r="AX31" s="181">
        <f t="shared" si="12"/>
        <v>-0.3584052609946568</v>
      </c>
      <c r="AY31" s="182">
        <f>IFERROR(VLOOKUP(C31,'[1]DATA SALES LAST MONTH'!A:E,5,0),0)</f>
        <v>7299000</v>
      </c>
      <c r="AZ31" s="152">
        <f t="shared" si="38"/>
        <v>14049000</v>
      </c>
      <c r="BA31" s="183">
        <f t="shared" si="13"/>
        <v>6750000</v>
      </c>
      <c r="BB31" s="172">
        <f t="shared" si="14"/>
        <v>0.92478421701602964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5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6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7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8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19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32193000</v>
      </c>
      <c r="J32" s="163">
        <f t="shared" si="20"/>
        <v>0.15329999999999999</v>
      </c>
      <c r="K32" s="164">
        <f t="shared" si="21"/>
        <v>-177807000</v>
      </c>
      <c r="L32" s="132">
        <f>IFERROR(GETPIVOTDATA("Sum of Qty",[1]PF!$A$5,"ID Store",$C32),0)</f>
        <v>2</v>
      </c>
      <c r="M32" s="133">
        <f>IFERROR(GETPIVOTDATA("Sum of Qty",'[1]DEVICE &amp; VALUE'!$A$6,"ID Store",$C32,"Segment Price","3mio&gt;"),0)</f>
        <v>4</v>
      </c>
      <c r="N32" s="134">
        <f t="shared" si="22"/>
        <v>0.5714285714285714</v>
      </c>
      <c r="O32" s="135">
        <f>IFERROR(GETPIVOTDATA("Sum of Qty",[1]IQOO!$A$6,"ID Store",$C32),0)</f>
        <v>1</v>
      </c>
      <c r="P32" s="134">
        <f t="shared" si="23"/>
        <v>0.14285714285714285</v>
      </c>
      <c r="Q32" s="136">
        <f t="shared" si="24"/>
        <v>0.5714285714285714</v>
      </c>
      <c r="R32" s="135">
        <f>IFERROR(GETPIVOTDATA("Sum of Qty",'[1]DEVICE &amp; VALUE'!$A$6,"ID Store",$C32),0)</f>
        <v>7</v>
      </c>
      <c r="S32" s="135">
        <f t="shared" si="25"/>
        <v>0.17499999999999999</v>
      </c>
      <c r="T32" s="135">
        <f t="shared" si="26"/>
        <v>-33</v>
      </c>
      <c r="U32" s="165">
        <f t="shared" si="27"/>
        <v>120723750</v>
      </c>
      <c r="V32" s="163">
        <f t="shared" si="28"/>
        <v>0.57487500000000002</v>
      </c>
      <c r="W32" s="166">
        <f t="shared" si="29"/>
        <v>-89276250</v>
      </c>
      <c r="X32" s="167">
        <f t="shared" si="0"/>
        <v>15</v>
      </c>
      <c r="Y32" s="168">
        <f t="shared" si="1"/>
        <v>-25</v>
      </c>
      <c r="Z32" s="168">
        <f t="shared" si="30"/>
        <v>26.25</v>
      </c>
      <c r="AA32" s="168">
        <f t="shared" si="31"/>
        <v>-13.75</v>
      </c>
      <c r="AB32" s="168">
        <f t="shared" si="32"/>
        <v>0.65625</v>
      </c>
      <c r="AC32" s="238">
        <f t="shared" si="33"/>
        <v>1.5</v>
      </c>
      <c r="AD32" s="141">
        <f t="shared" si="34"/>
        <v>8082136.3636363633</v>
      </c>
      <c r="AE32" s="169">
        <f>IFERROR(GETPIVOTDATA("Sum of Qty",'[1]DATA LAST MONTH IQOO'!$A$6,"ID Store",$C32),0)</f>
        <v>1</v>
      </c>
      <c r="AF32" s="170">
        <f>IFERROR(GETPIVOTDATA("Sum of Qty",[1]IQOO!$A$6,"ID Store",$C32),0)</f>
        <v>1</v>
      </c>
      <c r="AG32" s="171">
        <f t="shared" si="2"/>
        <v>0</v>
      </c>
      <c r="AH32" s="172">
        <f t="shared" si="3"/>
        <v>0</v>
      </c>
      <c r="AI32" s="173">
        <f>IFERROR(GETPIVOTDATA("Sum of Qty",'[1]DATA LAST MONTH DEVICE'!$A$6,"ID Store",$C32),0)</f>
        <v>8</v>
      </c>
      <c r="AJ32" s="146">
        <f t="shared" si="35"/>
        <v>7</v>
      </c>
      <c r="AK32" s="174">
        <f t="shared" si="4"/>
        <v>-1</v>
      </c>
      <c r="AL32" s="175">
        <f t="shared" si="5"/>
        <v>-0.125</v>
      </c>
      <c r="AM32" s="176">
        <f>IFERROR(GETPIVOTDATA("Sum of Qty",'[1]Store 3mio+ last month'!$A$6,"ID Store",$C32),0)</f>
        <v>38</v>
      </c>
      <c r="AN32" s="144">
        <f t="shared" si="36"/>
        <v>26.25</v>
      </c>
      <c r="AO32" s="171">
        <f t="shared" si="6"/>
        <v>-11.75</v>
      </c>
      <c r="AP32" s="177">
        <f t="shared" si="7"/>
        <v>-0.30921052631578949</v>
      </c>
      <c r="AQ32" s="176">
        <f>IFERROR(GETPIVOTDATA("Sum of Qty",'[1]DATA LAST MONTH DEVICE'!$A$6,"ID Store",$C32,"Segment Price","3mio&gt;"),0)</f>
        <v>5</v>
      </c>
      <c r="AR32" s="178">
        <f t="shared" si="8"/>
        <v>4</v>
      </c>
      <c r="AS32" s="178">
        <f t="shared" si="9"/>
        <v>-1</v>
      </c>
      <c r="AT32" s="172">
        <f t="shared" si="10"/>
        <v>-0.2</v>
      </c>
      <c r="AU32" s="179">
        <f>IFERROR(GETPIVOTDATA("Sum of SRP",'[1]DATA LAST MONTH DEVICE'!$A$6,"ID Store",$C32),0)</f>
        <v>43492000</v>
      </c>
      <c r="AV32" s="179">
        <f t="shared" si="37"/>
        <v>32193000</v>
      </c>
      <c r="AW32" s="180">
        <f t="shared" si="11"/>
        <v>-11299000</v>
      </c>
      <c r="AX32" s="181">
        <f t="shared" si="12"/>
        <v>-0.25979490481008</v>
      </c>
      <c r="AY32" s="182">
        <f>IFERROR(VLOOKUP(C32,'[1]DATA SALES LAST MONTH'!A:E,5,0),0)</f>
        <v>5436500</v>
      </c>
      <c r="AZ32" s="152">
        <f t="shared" si="38"/>
        <v>4599000</v>
      </c>
      <c r="BA32" s="183">
        <f t="shared" si="13"/>
        <v>-837500</v>
      </c>
      <c r="BB32" s="172">
        <f t="shared" si="14"/>
        <v>-0.15405131978294859</v>
      </c>
      <c r="BC32" s="153">
        <f>_xlfn.XLOOKUP(D:D,'[1]Target store'!C:C,'[1]Target store'!J:J,0)</f>
        <v>4</v>
      </c>
      <c r="BD32" s="184">
        <f>IFERROR(GETPIVOTDATA("Sum of Qty",[1]ACC!$A$5,"ID Store",$C32),0)</f>
        <v>1</v>
      </c>
      <c r="BE32" s="177">
        <f t="shared" si="15"/>
        <v>0.25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0</v>
      </c>
      <c r="BH32" s="177">
        <f t="shared" si="16"/>
        <v>0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7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0</v>
      </c>
      <c r="BN32" s="177">
        <f t="shared" si="18"/>
        <v>0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19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15697000</v>
      </c>
      <c r="J33" s="163">
        <f t="shared" si="20"/>
        <v>0.15697</v>
      </c>
      <c r="K33" s="164">
        <f t="shared" si="21"/>
        <v>-84303000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2</v>
      </c>
      <c r="N33" s="134">
        <f t="shared" si="22"/>
        <v>0.66666666666666663</v>
      </c>
      <c r="O33" s="135">
        <f>IFERROR(GETPIVOTDATA("Sum of Qty",[1]IQOO!$A$6,"ID Store",$C33),0)</f>
        <v>0</v>
      </c>
      <c r="P33" s="134">
        <f t="shared" si="23"/>
        <v>0</v>
      </c>
      <c r="Q33" s="136">
        <f t="shared" si="24"/>
        <v>0.66666666666666663</v>
      </c>
      <c r="R33" s="135">
        <f>IFERROR(GETPIVOTDATA("Sum of Qty",'[1]DEVICE &amp; VALUE'!$A$6,"ID Store",$C33),0)</f>
        <v>3</v>
      </c>
      <c r="S33" s="135">
        <f t="shared" si="25"/>
        <v>0.1</v>
      </c>
      <c r="T33" s="135">
        <f t="shared" si="26"/>
        <v>-27</v>
      </c>
      <c r="U33" s="165">
        <f t="shared" si="27"/>
        <v>58863750</v>
      </c>
      <c r="V33" s="163">
        <f t="shared" si="28"/>
        <v>0.58863750000000004</v>
      </c>
      <c r="W33" s="166">
        <f t="shared" si="29"/>
        <v>-41136250</v>
      </c>
      <c r="X33" s="167">
        <f t="shared" si="0"/>
        <v>7.5</v>
      </c>
      <c r="Y33" s="168">
        <f t="shared" si="1"/>
        <v>-22.5</v>
      </c>
      <c r="Z33" s="168">
        <f t="shared" si="30"/>
        <v>11.25</v>
      </c>
      <c r="AA33" s="168">
        <f t="shared" si="31"/>
        <v>-18.75</v>
      </c>
      <c r="AB33" s="168">
        <f t="shared" si="32"/>
        <v>0.375</v>
      </c>
      <c r="AC33" s="238">
        <f t="shared" si="33"/>
        <v>1.2272727272727273</v>
      </c>
      <c r="AD33" s="141">
        <f t="shared" si="34"/>
        <v>3831954.5454545454</v>
      </c>
      <c r="AE33" s="169">
        <f>IFERROR(GETPIVOTDATA("Sum of Qty",'[1]DATA LAST MONTH IQOO'!$A$6,"ID Store",$C33),0)</f>
        <v>0</v>
      </c>
      <c r="AF33" s="170">
        <f>IFERROR(GETPIVOTDATA("Sum of Qty",[1]IQOO!$A$6,"ID Store",$C33),0)</f>
        <v>0</v>
      </c>
      <c r="AG33" s="171">
        <f t="shared" si="2"/>
        <v>0</v>
      </c>
      <c r="AH33" s="172">
        <f t="shared" si="3"/>
        <v>0</v>
      </c>
      <c r="AI33" s="173">
        <f>IFERROR(GETPIVOTDATA("Sum of Qty",'[1]DATA LAST MONTH DEVICE'!$A$6,"ID Store",$C33),0)</f>
        <v>6</v>
      </c>
      <c r="AJ33" s="146">
        <f t="shared" si="35"/>
        <v>3</v>
      </c>
      <c r="AK33" s="174">
        <f t="shared" si="4"/>
        <v>-3</v>
      </c>
      <c r="AL33" s="175">
        <f t="shared" si="5"/>
        <v>-0.5</v>
      </c>
      <c r="AM33" s="176">
        <f>IFERROR(GETPIVOTDATA("Sum of Qty",'[1]Store 3mio+ last month'!$A$6,"ID Store",$C33),0)</f>
        <v>23</v>
      </c>
      <c r="AN33" s="144">
        <f t="shared" si="36"/>
        <v>11.25</v>
      </c>
      <c r="AO33" s="171">
        <f t="shared" si="6"/>
        <v>-11.75</v>
      </c>
      <c r="AP33" s="177">
        <f t="shared" si="7"/>
        <v>-0.51086956521739135</v>
      </c>
      <c r="AQ33" s="176">
        <f>IFERROR(GETPIVOTDATA("Sum of Qty",'[1]DATA LAST MONTH DEVICE'!$A$6,"ID Store",$C33,"Segment Price","3mio&gt;"),0)</f>
        <v>4</v>
      </c>
      <c r="AR33" s="178">
        <f t="shared" si="8"/>
        <v>2</v>
      </c>
      <c r="AS33" s="178">
        <f t="shared" si="9"/>
        <v>-2</v>
      </c>
      <c r="AT33" s="172">
        <f t="shared" si="10"/>
        <v>-0.5</v>
      </c>
      <c r="AU33" s="179">
        <f>IFERROR(GETPIVOTDATA("Sum of SRP",'[1]DATA LAST MONTH DEVICE'!$A$6,"ID Store",$C33),0)</f>
        <v>24894000</v>
      </c>
      <c r="AV33" s="179">
        <f t="shared" si="37"/>
        <v>15697000</v>
      </c>
      <c r="AW33" s="180">
        <f t="shared" si="11"/>
        <v>-9197000</v>
      </c>
      <c r="AX33" s="181">
        <f t="shared" si="12"/>
        <v>-0.36944645296055273</v>
      </c>
      <c r="AY33" s="182">
        <f>IFERROR(VLOOKUP(C33,'[1]DATA SALES LAST MONTH'!A:E,5,0),0)</f>
        <v>4149000</v>
      </c>
      <c r="AZ33" s="152">
        <f t="shared" si="38"/>
        <v>5232333.333333333</v>
      </c>
      <c r="BA33" s="183">
        <f t="shared" si="13"/>
        <v>1083333.333333333</v>
      </c>
      <c r="BB33" s="172">
        <f t="shared" si="14"/>
        <v>0.26110709407889443</v>
      </c>
      <c r="BC33" s="153">
        <f>_xlfn.XLOOKUP(D:D,'[1]Target store'!C:C,'[1]Target store'!J:J,0)</f>
        <v>3</v>
      </c>
      <c r="BD33" s="184">
        <f>IFERROR(GETPIVOTDATA("Sum of Qty",[1]ACC!$A$5,"ID Store",$C33),0)</f>
        <v>2</v>
      </c>
      <c r="BE33" s="177">
        <f t="shared" si="15"/>
        <v>0.66666666666666663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0</v>
      </c>
      <c r="BH33" s="177">
        <f t="shared" si="16"/>
        <v>0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7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8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19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9696000</v>
      </c>
      <c r="J34" s="163">
        <f t="shared" si="20"/>
        <v>8.0799999999999997E-2</v>
      </c>
      <c r="K34" s="164">
        <f t="shared" si="21"/>
        <v>-110304000</v>
      </c>
      <c r="L34" s="132">
        <f>IFERROR(GETPIVOTDATA("Sum of Qty",[1]PF!$A$5,"ID Store",$C34),0)</f>
        <v>0</v>
      </c>
      <c r="M34" s="133">
        <f>IFERROR(GETPIVOTDATA("Sum of Qty",'[1]DEVICE &amp; VALUE'!$A$6,"ID Store",$C34,"Segment Price","3mio&gt;"),0)</f>
        <v>0</v>
      </c>
      <c r="N34" s="134">
        <f t="shared" si="22"/>
        <v>0</v>
      </c>
      <c r="O34" s="135">
        <f>IFERROR(GETPIVOTDATA("Sum of Qty",[1]IQOO!$A$6,"ID Store",$C34),0)</f>
        <v>0</v>
      </c>
      <c r="P34" s="134">
        <f t="shared" si="23"/>
        <v>0</v>
      </c>
      <c r="Q34" s="136">
        <f t="shared" si="24"/>
        <v>0</v>
      </c>
      <c r="R34" s="135">
        <f>IFERROR(GETPIVOTDATA("Sum of Qty",'[1]DEVICE &amp; VALUE'!$A$6,"ID Store",$C34),0)</f>
        <v>4</v>
      </c>
      <c r="S34" s="135">
        <f t="shared" si="25"/>
        <v>0.13333333333333333</v>
      </c>
      <c r="T34" s="135">
        <f t="shared" si="26"/>
        <v>-26</v>
      </c>
      <c r="U34" s="165">
        <f t="shared" si="27"/>
        <v>36360000</v>
      </c>
      <c r="V34" s="163">
        <f t="shared" si="28"/>
        <v>0.30299999999999999</v>
      </c>
      <c r="W34" s="166">
        <f t="shared" si="29"/>
        <v>-83640000</v>
      </c>
      <c r="X34" s="167">
        <f t="shared" si="0"/>
        <v>0</v>
      </c>
      <c r="Y34" s="168">
        <f t="shared" si="1"/>
        <v>-30</v>
      </c>
      <c r="Z34" s="168">
        <f t="shared" si="30"/>
        <v>15</v>
      </c>
      <c r="AA34" s="168">
        <f t="shared" si="31"/>
        <v>-15</v>
      </c>
      <c r="AB34" s="168">
        <f t="shared" si="32"/>
        <v>0.5</v>
      </c>
      <c r="AC34" s="238">
        <f t="shared" si="33"/>
        <v>1.1818181818181819</v>
      </c>
      <c r="AD34" s="141">
        <f t="shared" si="34"/>
        <v>5013818.1818181816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7</v>
      </c>
      <c r="AJ34" s="146">
        <f t="shared" si="35"/>
        <v>4</v>
      </c>
      <c r="AK34" s="174">
        <f t="shared" si="4"/>
        <v>-3</v>
      </c>
      <c r="AL34" s="175">
        <f t="shared" si="5"/>
        <v>-0.42857142857142855</v>
      </c>
      <c r="AM34" s="176">
        <f>IFERROR(GETPIVOTDATA("Sum of Qty",'[1]Store 3mio+ last month'!$A$6,"ID Store",$C34),0)</f>
        <v>23</v>
      </c>
      <c r="AN34" s="144">
        <f t="shared" si="36"/>
        <v>15</v>
      </c>
      <c r="AO34" s="171">
        <f t="shared" si="6"/>
        <v>-8</v>
      </c>
      <c r="AP34" s="177">
        <f t="shared" si="7"/>
        <v>-0.34782608695652173</v>
      </c>
      <c r="AQ34" s="176">
        <f>IFERROR(GETPIVOTDATA("Sum of Qty",'[1]DATA LAST MONTH DEVICE'!$A$6,"ID Store",$C34,"Segment Price","3mio&gt;"),0)</f>
        <v>4</v>
      </c>
      <c r="AR34" s="178">
        <f t="shared" si="8"/>
        <v>0</v>
      </c>
      <c r="AS34" s="178">
        <f t="shared" si="9"/>
        <v>-4</v>
      </c>
      <c r="AT34" s="172">
        <f t="shared" si="10"/>
        <v>-1</v>
      </c>
      <c r="AU34" s="179">
        <f>IFERROR(GETPIVOTDATA("Sum of SRP",'[1]DATA LAST MONTH DEVICE'!$A$6,"ID Store",$C34),0)</f>
        <v>27493000</v>
      </c>
      <c r="AV34" s="179">
        <f t="shared" si="37"/>
        <v>9696000</v>
      </c>
      <c r="AW34" s="180">
        <f t="shared" si="11"/>
        <v>-17797000</v>
      </c>
      <c r="AX34" s="181">
        <f t="shared" si="12"/>
        <v>-0.64732841086822102</v>
      </c>
      <c r="AY34" s="182">
        <f>IFERROR(VLOOKUP(C34,'[1]DATA SALES LAST MONTH'!A:E,5,0),0)</f>
        <v>3927571.4285714286</v>
      </c>
      <c r="AZ34" s="152">
        <f t="shared" si="38"/>
        <v>2424000</v>
      </c>
      <c r="BA34" s="183">
        <f t="shared" si="13"/>
        <v>-1503571.4285714286</v>
      </c>
      <c r="BB34" s="172">
        <f t="shared" si="14"/>
        <v>-0.38282471901938675</v>
      </c>
      <c r="BC34" s="153">
        <f>_xlfn.XLOOKUP(D:D,'[1]Target store'!C:C,'[1]Target store'!J:J,0)</f>
        <v>3</v>
      </c>
      <c r="BD34" s="184">
        <f>IFERROR(GETPIVOTDATA("Sum of Qty",[1]ACC!$A$5,"ID Store",$C34),0)</f>
        <v>1</v>
      </c>
      <c r="BE34" s="177">
        <f t="shared" si="15"/>
        <v>0.33333333333333331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0</v>
      </c>
      <c r="BH34" s="177">
        <f t="shared" si="16"/>
        <v>0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7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8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19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18594000</v>
      </c>
      <c r="J35" s="163">
        <f t="shared" si="20"/>
        <v>0.1162125</v>
      </c>
      <c r="K35" s="164">
        <f t="shared" si="21"/>
        <v>-141406000</v>
      </c>
      <c r="L35" s="132">
        <f>IFERROR(GETPIVOTDATA("Sum of Qty",[1]PF!$A$5,"ID Store",$C35),0)</f>
        <v>0</v>
      </c>
      <c r="M35" s="133">
        <f>IFERROR(GETPIVOTDATA("Sum of Qty",'[1]DEVICE &amp; VALUE'!$A$6,"ID Store",$C35,"Segment Price","3mio&gt;"),0)</f>
        <v>1</v>
      </c>
      <c r="N35" s="134">
        <f t="shared" si="22"/>
        <v>0.16666666666666666</v>
      </c>
      <c r="O35" s="135">
        <f>IFERROR(GETPIVOTDATA("Sum of Qty",[1]IQOO!$A$6,"ID Store",$C35),0)</f>
        <v>0</v>
      </c>
      <c r="P35" s="134">
        <f t="shared" si="23"/>
        <v>0</v>
      </c>
      <c r="Q35" s="136">
        <f t="shared" si="24"/>
        <v>0.16666666666666666</v>
      </c>
      <c r="R35" s="135">
        <f>IFERROR(GETPIVOTDATA("Sum of Qty",'[1]DEVICE &amp; VALUE'!$A$6,"ID Store",$C35),0)</f>
        <v>6</v>
      </c>
      <c r="S35" s="135">
        <f t="shared" si="25"/>
        <v>0.2</v>
      </c>
      <c r="T35" s="135">
        <f t="shared" si="26"/>
        <v>-24</v>
      </c>
      <c r="U35" s="165">
        <f t="shared" si="27"/>
        <v>69727500</v>
      </c>
      <c r="V35" s="163">
        <f t="shared" si="28"/>
        <v>0.43579687499999997</v>
      </c>
      <c r="W35" s="166">
        <f t="shared" si="29"/>
        <v>-90272500</v>
      </c>
      <c r="X35" s="167">
        <f t="shared" si="0"/>
        <v>3.75</v>
      </c>
      <c r="Y35" s="168">
        <f t="shared" si="1"/>
        <v>-26.25</v>
      </c>
      <c r="Z35" s="168">
        <f t="shared" si="30"/>
        <v>22.5</v>
      </c>
      <c r="AA35" s="168">
        <f t="shared" si="31"/>
        <v>-7.5</v>
      </c>
      <c r="AB35" s="168">
        <f t="shared" si="32"/>
        <v>0.75</v>
      </c>
      <c r="AC35" s="238">
        <f t="shared" si="33"/>
        <v>1.0909090909090908</v>
      </c>
      <c r="AD35" s="141">
        <f t="shared" si="34"/>
        <v>6427545.4545454541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6</v>
      </c>
      <c r="AJ35" s="146">
        <f t="shared" si="35"/>
        <v>6</v>
      </c>
      <c r="AK35" s="174">
        <f t="shared" si="4"/>
        <v>0</v>
      </c>
      <c r="AL35" s="175">
        <f t="shared" si="5"/>
        <v>0</v>
      </c>
      <c r="AM35" s="176">
        <f>IFERROR(GETPIVOTDATA("Sum of Qty",'[1]Store 3mio+ last month'!$A$6,"ID Store",$C35),0)</f>
        <v>32</v>
      </c>
      <c r="AN35" s="144">
        <f t="shared" si="36"/>
        <v>22.5</v>
      </c>
      <c r="AO35" s="171">
        <f t="shared" si="6"/>
        <v>-9.5</v>
      </c>
      <c r="AP35" s="177">
        <f t="shared" si="7"/>
        <v>-0.296875</v>
      </c>
      <c r="AQ35" s="176">
        <f>IFERROR(GETPIVOTDATA("Sum of Qty",'[1]DATA LAST MONTH DEVICE'!$A$6,"ID Store",$C35,"Segment Price","3mio&gt;"),0)</f>
        <v>1</v>
      </c>
      <c r="AR35" s="178">
        <f t="shared" si="8"/>
        <v>1</v>
      </c>
      <c r="AS35" s="178">
        <f t="shared" si="9"/>
        <v>0</v>
      </c>
      <c r="AT35" s="172">
        <f t="shared" si="10"/>
        <v>0</v>
      </c>
      <c r="AU35" s="179">
        <f>IFERROR(GETPIVOTDATA("Sum of SRP",'[1]DATA LAST MONTH DEVICE'!$A$6,"ID Store",$C35),0)</f>
        <v>16894000</v>
      </c>
      <c r="AV35" s="179">
        <f t="shared" si="37"/>
        <v>18594000</v>
      </c>
      <c r="AW35" s="180">
        <f t="shared" si="11"/>
        <v>1700000</v>
      </c>
      <c r="AX35" s="181">
        <f t="shared" si="12"/>
        <v>0.10062744169527643</v>
      </c>
      <c r="AY35" s="182">
        <f>IFERROR(VLOOKUP(C35,'[1]DATA SALES LAST MONTH'!A:E,5,0),0)</f>
        <v>2815666.6666666665</v>
      </c>
      <c r="AZ35" s="152">
        <f t="shared" si="38"/>
        <v>3099000</v>
      </c>
      <c r="BA35" s="183">
        <f t="shared" si="13"/>
        <v>283333.33333333349</v>
      </c>
      <c r="BB35" s="172">
        <f t="shared" si="14"/>
        <v>0.10062744169527649</v>
      </c>
      <c r="BC35" s="153">
        <f>_xlfn.XLOOKUP(D:D,'[1]Target store'!C:C,'[1]Target store'!J:J,0)</f>
        <v>3</v>
      </c>
      <c r="BD35" s="184">
        <f>IFERROR(GETPIVOTDATA("Sum of Qty",[1]ACC!$A$5,"ID Store",$C35),0)</f>
        <v>0</v>
      </c>
      <c r="BE35" s="177">
        <f t="shared" si="15"/>
        <v>0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6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7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8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19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43791000</v>
      </c>
      <c r="J36" s="163">
        <f t="shared" si="20"/>
        <v>0.364925</v>
      </c>
      <c r="K36" s="164">
        <f t="shared" si="21"/>
        <v>-76209000</v>
      </c>
      <c r="L36" s="132">
        <f>IFERROR(GETPIVOTDATA("Sum of Qty",[1]PF!$A$5,"ID Store",$C36),0)</f>
        <v>1</v>
      </c>
      <c r="M36" s="133">
        <f>IFERROR(GETPIVOTDATA("Sum of Qty",'[1]DEVICE &amp; VALUE'!$A$6,"ID Store",$C36,"Segment Price","3mio&gt;"),0)</f>
        <v>5</v>
      </c>
      <c r="N36" s="134">
        <f t="shared" si="22"/>
        <v>0.55555555555555558</v>
      </c>
      <c r="O36" s="135">
        <f>IFERROR(GETPIVOTDATA("Sum of Qty",[1]IQOO!$A$6,"ID Store",$C36),0)</f>
        <v>0</v>
      </c>
      <c r="P36" s="134">
        <f t="shared" si="23"/>
        <v>0</v>
      </c>
      <c r="Q36" s="136">
        <f t="shared" si="24"/>
        <v>0.55555555555555558</v>
      </c>
      <c r="R36" s="135">
        <f>IFERROR(GETPIVOTDATA("Sum of Qty",'[1]DEVICE &amp; VALUE'!$A$6,"ID Store",$C36),0)</f>
        <v>9</v>
      </c>
      <c r="S36" s="135">
        <f t="shared" si="25"/>
        <v>0.3</v>
      </c>
      <c r="T36" s="135">
        <f t="shared" si="26"/>
        <v>-21</v>
      </c>
      <c r="U36" s="165">
        <f t="shared" si="27"/>
        <v>164216250</v>
      </c>
      <c r="V36" s="163">
        <f t="shared" si="28"/>
        <v>1.3684687499999999</v>
      </c>
      <c r="W36" s="166">
        <f t="shared" si="29"/>
        <v>44216250</v>
      </c>
      <c r="X36" s="167">
        <f t="shared" si="0"/>
        <v>18.75</v>
      </c>
      <c r="Y36" s="168">
        <f t="shared" si="1"/>
        <v>-11.25</v>
      </c>
      <c r="Z36" s="168">
        <f t="shared" si="30"/>
        <v>33.75</v>
      </c>
      <c r="AA36" s="168">
        <f t="shared" si="31"/>
        <v>3.75</v>
      </c>
      <c r="AB36" s="168">
        <f t="shared" si="32"/>
        <v>1.125</v>
      </c>
      <c r="AC36" s="238">
        <f t="shared" si="33"/>
        <v>0.95454545454545459</v>
      </c>
      <c r="AD36" s="141">
        <f t="shared" si="34"/>
        <v>3464045.4545454546</v>
      </c>
      <c r="AE36" s="169">
        <f>IFERROR(GETPIVOTDATA("Sum of Qty",'[1]DATA LAST MONTH IQOO'!$A$6,"ID Store",$C36),0)</f>
        <v>0</v>
      </c>
      <c r="AF36" s="170">
        <f>IFERROR(GETPIVOTDATA("Sum of Qty",[1]IQOO!$A$6,"ID Store",$C36),0)</f>
        <v>0</v>
      </c>
      <c r="AG36" s="171">
        <f t="shared" si="2"/>
        <v>0</v>
      </c>
      <c r="AH36" s="172">
        <f t="shared" si="3"/>
        <v>0</v>
      </c>
      <c r="AI36" s="173">
        <f>IFERROR(GETPIVOTDATA("Sum of Qty",'[1]DATA LAST MONTH DEVICE'!$A$6,"ID Store",$C36),0)</f>
        <v>6</v>
      </c>
      <c r="AJ36" s="146">
        <f t="shared" si="35"/>
        <v>9</v>
      </c>
      <c r="AK36" s="174">
        <f t="shared" si="4"/>
        <v>3</v>
      </c>
      <c r="AL36" s="175">
        <f t="shared" si="5"/>
        <v>0.5</v>
      </c>
      <c r="AM36" s="176">
        <f>IFERROR(GETPIVOTDATA("Sum of Qty",'[1]Store 3mio+ last month'!$A$6,"ID Store",$C36),0)</f>
        <v>22</v>
      </c>
      <c r="AN36" s="144">
        <f t="shared" si="36"/>
        <v>33.75</v>
      </c>
      <c r="AO36" s="171">
        <f t="shared" si="6"/>
        <v>11.75</v>
      </c>
      <c r="AP36" s="177">
        <f t="shared" si="7"/>
        <v>0.53409090909090906</v>
      </c>
      <c r="AQ36" s="176">
        <f>IFERROR(GETPIVOTDATA("Sum of Qty",'[1]DATA LAST MONTH DEVICE'!$A$6,"ID Store",$C36,"Segment Price","3mio&gt;"),0)</f>
        <v>3</v>
      </c>
      <c r="AR36" s="178">
        <f t="shared" si="8"/>
        <v>5</v>
      </c>
      <c r="AS36" s="178">
        <f t="shared" si="9"/>
        <v>2</v>
      </c>
      <c r="AT36" s="172">
        <f t="shared" si="10"/>
        <v>0.66666666666666663</v>
      </c>
      <c r="AU36" s="179">
        <f>IFERROR(GETPIVOTDATA("Sum of SRP",'[1]DATA LAST MONTH DEVICE'!$A$6,"ID Store",$C36),0)</f>
        <v>21994000</v>
      </c>
      <c r="AV36" s="179">
        <f t="shared" si="37"/>
        <v>43791000</v>
      </c>
      <c r="AW36" s="180">
        <f t="shared" si="11"/>
        <v>21797000</v>
      </c>
      <c r="AX36" s="181">
        <f t="shared" si="12"/>
        <v>0.99104301173047193</v>
      </c>
      <c r="AY36" s="182">
        <f>IFERROR(VLOOKUP(C36,'[1]DATA SALES LAST MONTH'!A:E,5,0),0)</f>
        <v>3665666.6666666665</v>
      </c>
      <c r="AZ36" s="152">
        <f t="shared" si="38"/>
        <v>4865666.666666667</v>
      </c>
      <c r="BA36" s="183">
        <f t="shared" si="13"/>
        <v>1200000.0000000005</v>
      </c>
      <c r="BB36" s="172">
        <f t="shared" si="14"/>
        <v>0.32736200782031477</v>
      </c>
      <c r="BC36" s="153">
        <f>_xlfn.XLOOKUP(D:D,'[1]Target store'!C:C,'[1]Target store'!J:J,0)</f>
        <v>3</v>
      </c>
      <c r="BD36" s="184">
        <f>IFERROR(GETPIVOTDATA("Sum of Qty",[1]ACC!$A$5,"ID Store",$C36),0)</f>
        <v>3</v>
      </c>
      <c r="BE36" s="177">
        <f t="shared" si="15"/>
        <v>1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0</v>
      </c>
      <c r="BH36" s="177">
        <f t="shared" si="16"/>
        <v>0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7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8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19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1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27892000</v>
      </c>
      <c r="J37" s="163">
        <f t="shared" si="20"/>
        <v>0.16407058823529411</v>
      </c>
      <c r="K37" s="164">
        <f t="shared" si="21"/>
        <v>-142108000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1</v>
      </c>
      <c r="N37" s="134">
        <f t="shared" si="22"/>
        <v>0.125</v>
      </c>
      <c r="O37" s="135">
        <f>IFERROR(GETPIVOTDATA("Sum of Qty",[1]IQOO!$A$6,"ID Store",$C37),0)</f>
        <v>0</v>
      </c>
      <c r="P37" s="134">
        <f t="shared" si="23"/>
        <v>0</v>
      </c>
      <c r="Q37" s="136">
        <f t="shared" si="24"/>
        <v>0.125</v>
      </c>
      <c r="R37" s="135">
        <f>IFERROR(GETPIVOTDATA("Sum of Qty",'[1]DEVICE &amp; VALUE'!$A$6,"ID Store",$C37),0)</f>
        <v>8</v>
      </c>
      <c r="S37" s="135">
        <f t="shared" si="25"/>
        <v>0.16</v>
      </c>
      <c r="T37" s="135">
        <f t="shared" si="26"/>
        <v>-42</v>
      </c>
      <c r="U37" s="165">
        <f t="shared" si="27"/>
        <v>104595000</v>
      </c>
      <c r="V37" s="163">
        <f t="shared" si="28"/>
        <v>0.61526470588235294</v>
      </c>
      <c r="W37" s="166">
        <f t="shared" si="29"/>
        <v>-65405000</v>
      </c>
      <c r="X37" s="167">
        <f t="shared" si="0"/>
        <v>3.75</v>
      </c>
      <c r="Y37" s="168">
        <f t="shared" si="1"/>
        <v>-46.25</v>
      </c>
      <c r="Z37" s="168">
        <f t="shared" si="30"/>
        <v>30</v>
      </c>
      <c r="AA37" s="168">
        <f t="shared" si="31"/>
        <v>-20</v>
      </c>
      <c r="AB37" s="168">
        <f t="shared" si="32"/>
        <v>0.6</v>
      </c>
      <c r="AC37" s="238">
        <f t="shared" si="33"/>
        <v>1.9090909090909092</v>
      </c>
      <c r="AD37" s="141">
        <f t="shared" si="34"/>
        <v>6459454.5454545459</v>
      </c>
      <c r="AE37" s="169">
        <f>IFERROR(GETPIVOTDATA("Sum of Qty",'[1]DATA LAST MONTH IQOO'!$A$6,"ID Store",$C37),0)</f>
        <v>0</v>
      </c>
      <c r="AF37" s="170">
        <f>IFERROR(GETPIVOTDATA("Sum of Qty",[1]IQOO!$A$6,"ID Store",$C37),0)</f>
        <v>0</v>
      </c>
      <c r="AG37" s="171">
        <f t="shared" si="2"/>
        <v>0</v>
      </c>
      <c r="AH37" s="172">
        <f t="shared" si="3"/>
        <v>0</v>
      </c>
      <c r="AI37" s="173">
        <f>IFERROR(GETPIVOTDATA("Sum of Qty",'[1]DATA LAST MONTH DEVICE'!$A$6,"ID Store",$C37),0)</f>
        <v>12</v>
      </c>
      <c r="AJ37" s="146">
        <f t="shared" si="35"/>
        <v>8</v>
      </c>
      <c r="AK37" s="174">
        <f t="shared" si="4"/>
        <v>-4</v>
      </c>
      <c r="AL37" s="175">
        <f t="shared" si="5"/>
        <v>-0.33333333333333331</v>
      </c>
      <c r="AM37" s="176">
        <f>IFERROR(GETPIVOTDATA("Sum of Qty",'[1]Store 3mio+ last month'!$A$6,"ID Store",$C37),0)</f>
        <v>48</v>
      </c>
      <c r="AN37" s="144">
        <f t="shared" si="36"/>
        <v>30</v>
      </c>
      <c r="AO37" s="171">
        <f t="shared" si="6"/>
        <v>-18</v>
      </c>
      <c r="AP37" s="177">
        <f t="shared" si="7"/>
        <v>-0.375</v>
      </c>
      <c r="AQ37" s="176">
        <f>IFERROR(GETPIVOTDATA("Sum of Qty",'[1]DATA LAST MONTH DEVICE'!$A$6,"ID Store",$C37,"Segment Price","3mio&gt;"),0)</f>
        <v>5</v>
      </c>
      <c r="AR37" s="178">
        <f t="shared" si="8"/>
        <v>1</v>
      </c>
      <c r="AS37" s="178">
        <f t="shared" si="9"/>
        <v>-4</v>
      </c>
      <c r="AT37" s="172">
        <f t="shared" si="10"/>
        <v>-0.8</v>
      </c>
      <c r="AU37" s="179">
        <f>IFERROR(GETPIVOTDATA("Sum of SRP",'[1]DATA LAST MONTH DEVICE'!$A$6,"ID Store",$C37),0)</f>
        <v>38288000</v>
      </c>
      <c r="AV37" s="179">
        <f t="shared" si="37"/>
        <v>27892000</v>
      </c>
      <c r="AW37" s="180">
        <f t="shared" si="11"/>
        <v>-10396000</v>
      </c>
      <c r="AX37" s="181">
        <f t="shared" si="12"/>
        <v>-0.27152110321771833</v>
      </c>
      <c r="AY37" s="182">
        <f>IFERROR(VLOOKUP(C37,'[1]DATA SALES LAST MONTH'!A:E,5,0),0)</f>
        <v>3190666.6666666665</v>
      </c>
      <c r="AZ37" s="152">
        <f t="shared" si="38"/>
        <v>3486500</v>
      </c>
      <c r="BA37" s="183">
        <f t="shared" si="13"/>
        <v>295833.33333333349</v>
      </c>
      <c r="BB37" s="172">
        <f t="shared" si="14"/>
        <v>9.2718345173422534E-2</v>
      </c>
      <c r="BC37" s="153">
        <f>_xlfn.XLOOKUP(D:D,'[1]Target store'!C:C,'[1]Target store'!J:J,0)</f>
        <v>5</v>
      </c>
      <c r="BD37" s="184">
        <f>IFERROR(GETPIVOTDATA("Sum of Qty",[1]ACC!$A$5,"ID Store",$C37),0)</f>
        <v>2</v>
      </c>
      <c r="BE37" s="177">
        <f t="shared" si="15"/>
        <v>0.4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6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7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8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19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119765000</v>
      </c>
      <c r="J38" s="163">
        <f t="shared" si="20"/>
        <v>0.19316935483870967</v>
      </c>
      <c r="K38" s="164">
        <f t="shared" si="21"/>
        <v>-500235000</v>
      </c>
      <c r="L38" s="132">
        <f>IFERROR(GETPIVOTDATA("Sum of Qty",[1]PF!$A$5,"ID Store",$C38),0)</f>
        <v>5</v>
      </c>
      <c r="M38" s="133">
        <f>IFERROR(GETPIVOTDATA("Sum of Qty",'[1]DEVICE &amp; VALUE'!$A$6,"ID Store",$C38,"Segment Price","3mio&gt;"),0)</f>
        <v>11</v>
      </c>
      <c r="N38" s="134">
        <f t="shared" si="22"/>
        <v>0.31428571428571428</v>
      </c>
      <c r="O38" s="135">
        <f>IFERROR(GETPIVOTDATA("Sum of Qty",[1]IQOO!$A$6,"ID Store",$C38),0)</f>
        <v>0</v>
      </c>
      <c r="P38" s="134">
        <f t="shared" si="23"/>
        <v>0</v>
      </c>
      <c r="Q38" s="136">
        <f t="shared" si="24"/>
        <v>0.31428571428571428</v>
      </c>
      <c r="R38" s="135">
        <f>IFERROR(GETPIVOTDATA("Sum of Qty",'[1]DEVICE &amp; VALUE'!$A$6,"ID Store",$C38),0)</f>
        <v>35</v>
      </c>
      <c r="S38" s="135">
        <f t="shared" si="25"/>
        <v>0.29166666666666669</v>
      </c>
      <c r="T38" s="135">
        <f t="shared" si="26"/>
        <v>-85</v>
      </c>
      <c r="U38" s="165">
        <f t="shared" si="27"/>
        <v>449118750</v>
      </c>
      <c r="V38" s="163">
        <f t="shared" si="28"/>
        <v>0.72438508064516127</v>
      </c>
      <c r="W38" s="166">
        <f t="shared" si="29"/>
        <v>-170881250</v>
      </c>
      <c r="X38" s="167">
        <f t="shared" si="0"/>
        <v>41.25</v>
      </c>
      <c r="Y38" s="168">
        <f t="shared" si="1"/>
        <v>-78.75</v>
      </c>
      <c r="Z38" s="168">
        <f t="shared" si="30"/>
        <v>131.25</v>
      </c>
      <c r="AA38" s="168">
        <f t="shared" si="31"/>
        <v>11.25</v>
      </c>
      <c r="AB38" s="168">
        <f t="shared" si="32"/>
        <v>1.09375</v>
      </c>
      <c r="AC38" s="238">
        <f t="shared" si="33"/>
        <v>3.8636363636363638</v>
      </c>
      <c r="AD38" s="141">
        <f t="shared" si="34"/>
        <v>22737954.545454547</v>
      </c>
      <c r="AE38" s="169">
        <f>IFERROR(GETPIVOTDATA("Sum of Qty",'[1]DATA LAST MONTH IQOO'!$A$6,"ID Store",$C38),0)</f>
        <v>1</v>
      </c>
      <c r="AF38" s="170">
        <f>IFERROR(GETPIVOTDATA("Sum of Qty",[1]IQOO!$A$6,"ID Store",$C38),0)</f>
        <v>0</v>
      </c>
      <c r="AG38" s="171">
        <f t="shared" si="2"/>
        <v>-1</v>
      </c>
      <c r="AH38" s="172">
        <f t="shared" si="3"/>
        <v>-1</v>
      </c>
      <c r="AI38" s="173">
        <f>IFERROR(GETPIVOTDATA("Sum of Qty",'[1]DATA LAST MONTH DEVICE'!$A$6,"ID Store",$C38),0)</f>
        <v>36</v>
      </c>
      <c r="AJ38" s="146">
        <f t="shared" si="35"/>
        <v>35</v>
      </c>
      <c r="AK38" s="174">
        <f t="shared" si="4"/>
        <v>-1</v>
      </c>
      <c r="AL38" s="175">
        <f t="shared" si="5"/>
        <v>-2.7777777777777776E-2</v>
      </c>
      <c r="AM38" s="176">
        <f>IFERROR(GETPIVOTDATA("Sum of Qty",'[1]Store 3mio+ last month'!$A$6,"ID Store",$C38),0)</f>
        <v>136</v>
      </c>
      <c r="AN38" s="144">
        <f t="shared" si="36"/>
        <v>131.25</v>
      </c>
      <c r="AO38" s="171">
        <f t="shared" si="6"/>
        <v>-4.75</v>
      </c>
      <c r="AP38" s="177">
        <f t="shared" si="7"/>
        <v>-3.4926470588235295E-2</v>
      </c>
      <c r="AQ38" s="176">
        <f>IFERROR(GETPIVOTDATA("Sum of Qty",'[1]DATA LAST MONTH DEVICE'!$A$6,"ID Store",$C38,"Segment Price","3mio&gt;"),0)</f>
        <v>18</v>
      </c>
      <c r="AR38" s="178">
        <f t="shared" si="8"/>
        <v>11</v>
      </c>
      <c r="AS38" s="178">
        <f t="shared" si="9"/>
        <v>-7</v>
      </c>
      <c r="AT38" s="172">
        <f t="shared" si="10"/>
        <v>-0.3888888888888889</v>
      </c>
      <c r="AU38" s="179">
        <f>IFERROR(GETPIVOTDATA("Sum of SRP",'[1]DATA LAST MONTH DEVICE'!$A$6,"ID Store",$C38),0)</f>
        <v>193264000</v>
      </c>
      <c r="AV38" s="179">
        <f t="shared" si="37"/>
        <v>119765000</v>
      </c>
      <c r="AW38" s="180">
        <f t="shared" si="11"/>
        <v>-73499000</v>
      </c>
      <c r="AX38" s="181">
        <f t="shared" si="12"/>
        <v>-0.38030362612799073</v>
      </c>
      <c r="AY38" s="182">
        <f>IFERROR(VLOOKUP(C38,'[1]DATA SALES LAST MONTH'!A:E,5,0),0)</f>
        <v>5368444.444444444</v>
      </c>
      <c r="AZ38" s="152">
        <f t="shared" si="38"/>
        <v>3421857.1428571427</v>
      </c>
      <c r="BA38" s="183">
        <f t="shared" si="13"/>
        <v>-1946587.3015873013</v>
      </c>
      <c r="BB38" s="172">
        <f t="shared" si="14"/>
        <v>-0.36259801544593329</v>
      </c>
      <c r="BC38" s="153">
        <f>_xlfn.XLOOKUP(D:D,'[1]Target store'!C:C,'[1]Target store'!J:J,0)</f>
        <v>12</v>
      </c>
      <c r="BD38" s="184">
        <f>IFERROR(GETPIVOTDATA("Sum of Qty",[1]ACC!$A$5,"ID Store",$C38),0)</f>
        <v>4</v>
      </c>
      <c r="BE38" s="177">
        <f t="shared" si="15"/>
        <v>0.33333333333333331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0</v>
      </c>
      <c r="BH38" s="177">
        <f t="shared" si="16"/>
        <v>0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7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1</v>
      </c>
      <c r="BN38" s="177">
        <f t="shared" si="18"/>
        <v>8.064516129032258E-7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19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45488000</v>
      </c>
      <c r="J39" s="163">
        <f t="shared" si="20"/>
        <v>0.30325333333333332</v>
      </c>
      <c r="K39" s="164">
        <f t="shared" si="21"/>
        <v>-104512000</v>
      </c>
      <c r="L39" s="132">
        <f>IFERROR(GETPIVOTDATA("Sum of Qty",[1]PF!$A$5,"ID Store",$C39),0)</f>
        <v>2</v>
      </c>
      <c r="M39" s="133">
        <f>IFERROR(GETPIVOTDATA("Sum of Qty",'[1]DEVICE &amp; VALUE'!$A$6,"ID Store",$C39,"Segment Price","3mio&gt;"),0)</f>
        <v>5</v>
      </c>
      <c r="N39" s="134">
        <f t="shared" si="22"/>
        <v>0.41666666666666669</v>
      </c>
      <c r="O39" s="135">
        <f>IFERROR(GETPIVOTDATA("Sum of Qty",[1]IQOO!$A$6,"ID Store",$C39),0)</f>
        <v>0</v>
      </c>
      <c r="P39" s="134">
        <f t="shared" si="23"/>
        <v>0</v>
      </c>
      <c r="Q39" s="136">
        <f t="shared" si="24"/>
        <v>0.41666666666666669</v>
      </c>
      <c r="R39" s="135">
        <f>IFERROR(GETPIVOTDATA("Sum of Qty",'[1]DEVICE &amp; VALUE'!$A$6,"ID Store",$C39),0)</f>
        <v>12</v>
      </c>
      <c r="S39" s="135">
        <f t="shared" si="25"/>
        <v>0.24</v>
      </c>
      <c r="T39" s="135">
        <f t="shared" si="26"/>
        <v>-38</v>
      </c>
      <c r="U39" s="165">
        <f t="shared" si="27"/>
        <v>170580000</v>
      </c>
      <c r="V39" s="163">
        <f t="shared" si="28"/>
        <v>1.1372</v>
      </c>
      <c r="W39" s="166">
        <f t="shared" si="29"/>
        <v>20580000</v>
      </c>
      <c r="X39" s="167">
        <f t="shared" si="0"/>
        <v>18.75</v>
      </c>
      <c r="Y39" s="168">
        <f t="shared" si="1"/>
        <v>-31.25</v>
      </c>
      <c r="Z39" s="168">
        <f t="shared" si="30"/>
        <v>45</v>
      </c>
      <c r="AA39" s="168">
        <f t="shared" si="31"/>
        <v>-5</v>
      </c>
      <c r="AB39" s="168">
        <f t="shared" si="32"/>
        <v>0.9</v>
      </c>
      <c r="AC39" s="238">
        <f t="shared" si="33"/>
        <v>1.7272727272727273</v>
      </c>
      <c r="AD39" s="141">
        <f t="shared" si="34"/>
        <v>4750545.4545454541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0</v>
      </c>
      <c r="AG39" s="171">
        <f t="shared" si="2"/>
        <v>-1</v>
      </c>
      <c r="AH39" s="172">
        <f t="shared" si="3"/>
        <v>-1</v>
      </c>
      <c r="AI39" s="173">
        <f>IFERROR(GETPIVOTDATA("Sum of Qty",'[1]DATA LAST MONTH DEVICE'!$A$6,"ID Store",$C39),0)</f>
        <v>10</v>
      </c>
      <c r="AJ39" s="146">
        <f t="shared" si="35"/>
        <v>12</v>
      </c>
      <c r="AK39" s="174">
        <f t="shared" si="4"/>
        <v>2</v>
      </c>
      <c r="AL39" s="175">
        <f t="shared" si="5"/>
        <v>0.2</v>
      </c>
      <c r="AM39" s="176">
        <f>IFERROR(GETPIVOTDATA("Sum of Qty",'[1]Store 3mio+ last month'!$A$6,"ID Store",$C39),0)</f>
        <v>24</v>
      </c>
      <c r="AN39" s="144">
        <f t="shared" si="36"/>
        <v>45</v>
      </c>
      <c r="AO39" s="171">
        <f t="shared" si="6"/>
        <v>21</v>
      </c>
      <c r="AP39" s="177">
        <f t="shared" si="7"/>
        <v>0.875</v>
      </c>
      <c r="AQ39" s="176">
        <f>IFERROR(GETPIVOTDATA("Sum of Qty",'[1]DATA LAST MONTH DEVICE'!$A$6,"ID Store",$C39,"Segment Price","3mio&gt;"),0)</f>
        <v>5</v>
      </c>
      <c r="AR39" s="178">
        <f t="shared" si="8"/>
        <v>5</v>
      </c>
      <c r="AS39" s="178">
        <f t="shared" si="9"/>
        <v>0</v>
      </c>
      <c r="AT39" s="172">
        <f t="shared" si="10"/>
        <v>0</v>
      </c>
      <c r="AU39" s="179">
        <f>IFERROR(GETPIVOTDATA("Sum of SRP",'[1]DATA LAST MONTH DEVICE'!$A$6,"ID Store",$C39),0)</f>
        <v>39290000</v>
      </c>
      <c r="AV39" s="179">
        <f t="shared" si="37"/>
        <v>45488000</v>
      </c>
      <c r="AW39" s="180">
        <f t="shared" si="11"/>
        <v>6198000</v>
      </c>
      <c r="AX39" s="181">
        <f t="shared" si="12"/>
        <v>0.15775006362942223</v>
      </c>
      <c r="AY39" s="182">
        <f>IFERROR(VLOOKUP(C39,'[1]DATA SALES LAST MONTH'!A:E,5,0),0)</f>
        <v>3929000</v>
      </c>
      <c r="AZ39" s="152">
        <f t="shared" si="38"/>
        <v>3790666.6666666665</v>
      </c>
      <c r="BA39" s="183">
        <f t="shared" si="13"/>
        <v>-138333.33333333349</v>
      </c>
      <c r="BB39" s="172">
        <f t="shared" si="14"/>
        <v>-3.5208280308814836E-2</v>
      </c>
      <c r="BC39" s="153">
        <f>_xlfn.XLOOKUP(D:D,'[1]Target store'!C:C,'[1]Target store'!J:J,0)</f>
        <v>5</v>
      </c>
      <c r="BD39" s="184">
        <f>IFERROR(GETPIVOTDATA("Sum of Qty",[1]ACC!$A$5,"ID Store",$C39),0)</f>
        <v>0</v>
      </c>
      <c r="BE39" s="177">
        <f t="shared" si="15"/>
        <v>0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0</v>
      </c>
      <c r="BH39" s="177">
        <f t="shared" si="16"/>
        <v>0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7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0</v>
      </c>
      <c r="BN39" s="177">
        <f t="shared" si="18"/>
        <v>0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19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106374000</v>
      </c>
      <c r="J40" s="163">
        <f t="shared" si="20"/>
        <v>0.21274799999999999</v>
      </c>
      <c r="K40" s="164">
        <f t="shared" si="21"/>
        <v>-393626000</v>
      </c>
      <c r="L40" s="132">
        <f>IFERROR(GETPIVOTDATA("Sum of Qty",[1]PF!$A$5,"ID Store",$C40),0)</f>
        <v>5</v>
      </c>
      <c r="M40" s="133">
        <f>IFERROR(GETPIVOTDATA("Sum of Qty",'[1]DEVICE &amp; VALUE'!$A$6,"ID Store",$C40,"Segment Price","3mio&gt;"),0)</f>
        <v>13</v>
      </c>
      <c r="N40" s="134">
        <f t="shared" si="22"/>
        <v>0.5</v>
      </c>
      <c r="O40" s="135">
        <f>IFERROR(GETPIVOTDATA("Sum of Qty",[1]IQOO!$A$6,"ID Store",$C40),0)</f>
        <v>0</v>
      </c>
      <c r="P40" s="134">
        <f t="shared" si="23"/>
        <v>0</v>
      </c>
      <c r="Q40" s="136">
        <f t="shared" si="24"/>
        <v>0.5</v>
      </c>
      <c r="R40" s="135">
        <f>IFERROR(GETPIVOTDATA("Sum of Qty",'[1]DEVICE &amp; VALUE'!$A$6,"ID Store",$C40),0)</f>
        <v>26</v>
      </c>
      <c r="S40" s="135">
        <f t="shared" si="25"/>
        <v>0.23636363636363636</v>
      </c>
      <c r="T40" s="135">
        <f t="shared" si="26"/>
        <v>-84</v>
      </c>
      <c r="U40" s="165">
        <f t="shared" si="27"/>
        <v>398902500</v>
      </c>
      <c r="V40" s="163">
        <f t="shared" si="28"/>
        <v>0.79780499999999999</v>
      </c>
      <c r="W40" s="166">
        <f t="shared" si="29"/>
        <v>-101097500</v>
      </c>
      <c r="X40" s="167">
        <f t="shared" si="0"/>
        <v>48.75</v>
      </c>
      <c r="Y40" s="168">
        <f t="shared" si="1"/>
        <v>-61.25</v>
      </c>
      <c r="Z40" s="168">
        <f t="shared" si="30"/>
        <v>97.5</v>
      </c>
      <c r="AA40" s="168">
        <f t="shared" si="31"/>
        <v>-12.5</v>
      </c>
      <c r="AB40" s="168">
        <f t="shared" si="32"/>
        <v>0.88636363636363635</v>
      </c>
      <c r="AC40" s="238">
        <f t="shared" si="33"/>
        <v>3.8181818181818183</v>
      </c>
      <c r="AD40" s="141">
        <f t="shared" si="34"/>
        <v>17892090.90909091</v>
      </c>
      <c r="AE40" s="169">
        <f>IFERROR(GETPIVOTDATA("Sum of Qty",'[1]DATA LAST MONTH IQOO'!$A$6,"ID Store",$C40),0)</f>
        <v>0</v>
      </c>
      <c r="AF40" s="170">
        <f>IFERROR(GETPIVOTDATA("Sum of Qty",[1]IQOO!$A$6,"ID Store",$C40),0)</f>
        <v>0</v>
      </c>
      <c r="AG40" s="171">
        <f t="shared" si="2"/>
        <v>0</v>
      </c>
      <c r="AH40" s="172">
        <f t="shared" si="3"/>
        <v>0</v>
      </c>
      <c r="AI40" s="173">
        <f>IFERROR(GETPIVOTDATA("Sum of Qty",'[1]DATA LAST MONTH DEVICE'!$A$6,"ID Store",$C40),0)</f>
        <v>34</v>
      </c>
      <c r="AJ40" s="146">
        <f t="shared" si="35"/>
        <v>26</v>
      </c>
      <c r="AK40" s="174">
        <f t="shared" si="4"/>
        <v>-8</v>
      </c>
      <c r="AL40" s="175">
        <f t="shared" si="5"/>
        <v>-0.23529411764705882</v>
      </c>
      <c r="AM40" s="176">
        <f>IFERROR(GETPIVOTDATA("Sum of Qty",'[1]Store 3mio+ last month'!$A$6,"ID Store",$C40),0)</f>
        <v>107</v>
      </c>
      <c r="AN40" s="144">
        <f t="shared" si="36"/>
        <v>97.5</v>
      </c>
      <c r="AO40" s="171">
        <f t="shared" si="6"/>
        <v>-9.5</v>
      </c>
      <c r="AP40" s="177">
        <f t="shared" si="7"/>
        <v>-8.8785046728971959E-2</v>
      </c>
      <c r="AQ40" s="176">
        <f>IFERROR(GETPIVOTDATA("Sum of Qty",'[1]DATA LAST MONTH DEVICE'!$A$6,"ID Store",$C40,"Segment Price","3mio&gt;"),0)</f>
        <v>11</v>
      </c>
      <c r="AR40" s="178">
        <f t="shared" si="8"/>
        <v>13</v>
      </c>
      <c r="AS40" s="178">
        <f t="shared" si="9"/>
        <v>2</v>
      </c>
      <c r="AT40" s="172">
        <f t="shared" si="10"/>
        <v>0.18181818181818182</v>
      </c>
      <c r="AU40" s="179">
        <f>IFERROR(GETPIVOTDATA("Sum of SRP",'[1]DATA LAST MONTH DEVICE'!$A$6,"ID Store",$C40),0)</f>
        <v>121666000</v>
      </c>
      <c r="AV40" s="179">
        <f t="shared" si="37"/>
        <v>106374000</v>
      </c>
      <c r="AW40" s="180">
        <f t="shared" si="11"/>
        <v>-15292000</v>
      </c>
      <c r="AX40" s="181">
        <f t="shared" si="12"/>
        <v>-0.12568835993621882</v>
      </c>
      <c r="AY40" s="182">
        <f>IFERROR(VLOOKUP(C40,'[1]DATA SALES LAST MONTH'!A:E,5,0),0)</f>
        <v>3578411.7647058824</v>
      </c>
      <c r="AZ40" s="152">
        <f t="shared" si="38"/>
        <v>4091307.6923076925</v>
      </c>
      <c r="BA40" s="183">
        <f t="shared" si="13"/>
        <v>512895.92760181008</v>
      </c>
      <c r="BB40" s="172">
        <f t="shared" si="14"/>
        <v>0.14333060623725233</v>
      </c>
      <c r="BC40" s="153">
        <f>_xlfn.XLOOKUP(D:D,'[1]Target store'!C:C,'[1]Target store'!J:J,0)</f>
        <v>11</v>
      </c>
      <c r="BD40" s="184">
        <f>IFERROR(GETPIVOTDATA("Sum of Qty",[1]ACC!$A$5,"ID Store",$C40),0)</f>
        <v>1</v>
      </c>
      <c r="BE40" s="177">
        <f t="shared" si="15"/>
        <v>9.0909090909090912E-2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0</v>
      </c>
      <c r="BH40" s="177">
        <f t="shared" si="16"/>
        <v>0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7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8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19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166359000</v>
      </c>
      <c r="J41" s="163">
        <f t="shared" si="20"/>
        <v>0.33271800000000001</v>
      </c>
      <c r="K41" s="164">
        <f t="shared" si="21"/>
        <v>-333641000</v>
      </c>
      <c r="L41" s="132">
        <f>IFERROR(GETPIVOTDATA("Sum of Qty",[1]PF!$A$5,"ID Store",$C41),0)</f>
        <v>7</v>
      </c>
      <c r="M41" s="133">
        <f>IFERROR(GETPIVOTDATA("Sum of Qty",'[1]DEVICE &amp; VALUE'!$A$6,"ID Store",$C41,"Segment Price","3mio&gt;"),0)</f>
        <v>22</v>
      </c>
      <c r="N41" s="134">
        <f t="shared" si="22"/>
        <v>0.53658536585365857</v>
      </c>
      <c r="O41" s="135">
        <f>IFERROR(GETPIVOTDATA("Sum of Qty",[1]IQOO!$A$6,"ID Store",$C41),0)</f>
        <v>0</v>
      </c>
      <c r="P41" s="134">
        <f t="shared" si="23"/>
        <v>0</v>
      </c>
      <c r="Q41" s="136">
        <f t="shared" si="24"/>
        <v>0.53658536585365857</v>
      </c>
      <c r="R41" s="135">
        <f>IFERROR(GETPIVOTDATA("Sum of Qty",'[1]DEVICE &amp; VALUE'!$A$6,"ID Store",$C41),0)</f>
        <v>41</v>
      </c>
      <c r="S41" s="135">
        <f t="shared" si="25"/>
        <v>0.34166666666666667</v>
      </c>
      <c r="T41" s="135">
        <f t="shared" si="26"/>
        <v>-79</v>
      </c>
      <c r="U41" s="165">
        <f t="shared" si="27"/>
        <v>623846250</v>
      </c>
      <c r="V41" s="163">
        <f t="shared" si="28"/>
        <v>1.2476925000000001</v>
      </c>
      <c r="W41" s="166">
        <f t="shared" si="29"/>
        <v>123846250</v>
      </c>
      <c r="X41" s="167">
        <f t="shared" si="0"/>
        <v>82.5</v>
      </c>
      <c r="Y41" s="168">
        <f t="shared" si="1"/>
        <v>-37.5</v>
      </c>
      <c r="Z41" s="168">
        <f t="shared" si="30"/>
        <v>153.75</v>
      </c>
      <c r="AA41" s="168">
        <f t="shared" si="31"/>
        <v>33.75</v>
      </c>
      <c r="AB41" s="168">
        <f t="shared" si="32"/>
        <v>1.28125</v>
      </c>
      <c r="AC41" s="238">
        <f t="shared" si="33"/>
        <v>3.5909090909090908</v>
      </c>
      <c r="AD41" s="141">
        <f t="shared" si="34"/>
        <v>15165500</v>
      </c>
      <c r="AE41" s="169">
        <f>IFERROR(GETPIVOTDATA("Sum of Qty",'[1]DATA LAST MONTH IQOO'!$A$6,"ID Store",$C41),0)</f>
        <v>3</v>
      </c>
      <c r="AF41" s="170">
        <f>IFERROR(GETPIVOTDATA("Sum of Qty",[1]IQOO!$A$6,"ID Store",$C41),0)</f>
        <v>0</v>
      </c>
      <c r="AG41" s="171">
        <f t="shared" si="2"/>
        <v>-3</v>
      </c>
      <c r="AH41" s="172">
        <f t="shared" si="3"/>
        <v>-1</v>
      </c>
      <c r="AI41" s="173">
        <f>IFERROR(GETPIVOTDATA("Sum of Qty",'[1]DATA LAST MONTH DEVICE'!$A$6,"ID Store",$C41),0)</f>
        <v>36</v>
      </c>
      <c r="AJ41" s="146">
        <f t="shared" si="35"/>
        <v>41</v>
      </c>
      <c r="AK41" s="174">
        <f t="shared" si="4"/>
        <v>5</v>
      </c>
      <c r="AL41" s="175">
        <f t="shared" si="5"/>
        <v>0.1388888888888889</v>
      </c>
      <c r="AM41" s="176">
        <f>IFERROR(GETPIVOTDATA("Sum of Qty",'[1]Store 3mio+ last month'!$A$6,"ID Store",$C41),0)</f>
        <v>110</v>
      </c>
      <c r="AN41" s="144">
        <f t="shared" si="36"/>
        <v>153.75</v>
      </c>
      <c r="AO41" s="171">
        <f t="shared" si="6"/>
        <v>43.75</v>
      </c>
      <c r="AP41" s="177">
        <f t="shared" si="7"/>
        <v>0.39772727272727271</v>
      </c>
      <c r="AQ41" s="176">
        <f>IFERROR(GETPIVOTDATA("Sum of Qty",'[1]DATA LAST MONTH DEVICE'!$A$6,"ID Store",$C41,"Segment Price","3mio&gt;"),0)</f>
        <v>9</v>
      </c>
      <c r="AR41" s="178">
        <f t="shared" si="8"/>
        <v>22</v>
      </c>
      <c r="AS41" s="178">
        <f t="shared" si="9"/>
        <v>13</v>
      </c>
      <c r="AT41" s="172">
        <f t="shared" si="10"/>
        <v>1.4444444444444444</v>
      </c>
      <c r="AU41" s="179">
        <f>IFERROR(GETPIVOTDATA("Sum of SRP",'[1]DATA LAST MONTH DEVICE'!$A$6,"ID Store",$C41),0)</f>
        <v>121264000</v>
      </c>
      <c r="AV41" s="179">
        <f t="shared" si="37"/>
        <v>166359000</v>
      </c>
      <c r="AW41" s="180">
        <f t="shared" si="11"/>
        <v>45095000</v>
      </c>
      <c r="AX41" s="181">
        <f t="shared" si="12"/>
        <v>0.37187458767647447</v>
      </c>
      <c r="AY41" s="182">
        <f>IFERROR(VLOOKUP(C41,'[1]DATA SALES LAST MONTH'!A:E,5,0),0)</f>
        <v>3368444.4444444445</v>
      </c>
      <c r="AZ41" s="152">
        <f t="shared" si="38"/>
        <v>4057536.5853658537</v>
      </c>
      <c r="BA41" s="183">
        <f t="shared" si="13"/>
        <v>689092.14092140924</v>
      </c>
      <c r="BB41" s="172">
        <f t="shared" si="14"/>
        <v>0.20457280869153857</v>
      </c>
      <c r="BC41" s="153">
        <f>_xlfn.XLOOKUP(D:D,'[1]Target store'!C:C,'[1]Target store'!J:J,0)</f>
        <v>12</v>
      </c>
      <c r="BD41" s="184">
        <f>IFERROR(GETPIVOTDATA("Sum of Qty",[1]ACC!$A$5,"ID Store",$C41),0)</f>
        <v>5</v>
      </c>
      <c r="BE41" s="177">
        <f t="shared" si="15"/>
        <v>0.41666666666666669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0</v>
      </c>
      <c r="BH41" s="177">
        <f t="shared" si="16"/>
        <v>0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7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8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19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52488000</v>
      </c>
      <c r="J42" s="163">
        <f t="shared" si="20"/>
        <v>0.65610000000000002</v>
      </c>
      <c r="K42" s="164">
        <f t="shared" si="21"/>
        <v>-27512000</v>
      </c>
      <c r="L42" s="132">
        <f>IFERROR(GETPIVOTDATA("Sum of Qty",[1]PF!$A$5,"ID Store",$C42),0)</f>
        <v>7</v>
      </c>
      <c r="M42" s="133">
        <f>IFERROR(GETPIVOTDATA("Sum of Qty",'[1]DEVICE &amp; VALUE'!$A$6,"ID Store",$C42,"Segment Price","3mio&gt;"),0)</f>
        <v>9</v>
      </c>
      <c r="N42" s="134">
        <f t="shared" si="22"/>
        <v>0.75</v>
      </c>
      <c r="O42" s="135">
        <f>IFERROR(GETPIVOTDATA("Sum of Qty",[1]IQOO!$A$6,"ID Store",$C42),0)</f>
        <v>0</v>
      </c>
      <c r="P42" s="134">
        <f t="shared" si="23"/>
        <v>0</v>
      </c>
      <c r="Q42" s="136">
        <f t="shared" si="24"/>
        <v>0.75</v>
      </c>
      <c r="R42" s="135">
        <f>IFERROR(GETPIVOTDATA("Sum of Qty",'[1]DEVICE &amp; VALUE'!$A$6,"ID Store",$C42),0)</f>
        <v>12</v>
      </c>
      <c r="S42" s="135">
        <f t="shared" si="25"/>
        <v>0.6</v>
      </c>
      <c r="T42" s="135">
        <f t="shared" si="26"/>
        <v>-8</v>
      </c>
      <c r="U42" s="165">
        <f t="shared" si="27"/>
        <v>196830000</v>
      </c>
      <c r="V42" s="163">
        <f t="shared" si="28"/>
        <v>2.460375</v>
      </c>
      <c r="W42" s="166">
        <f t="shared" si="29"/>
        <v>116830000</v>
      </c>
      <c r="X42" s="167">
        <f t="shared" si="0"/>
        <v>33.75</v>
      </c>
      <c r="Y42" s="168">
        <f t="shared" si="1"/>
        <v>13.75</v>
      </c>
      <c r="Z42" s="168">
        <f t="shared" si="30"/>
        <v>45</v>
      </c>
      <c r="AA42" s="168">
        <f t="shared" si="31"/>
        <v>25</v>
      </c>
      <c r="AB42" s="168">
        <f t="shared" si="32"/>
        <v>2.25</v>
      </c>
      <c r="AC42" s="238">
        <f t="shared" si="33"/>
        <v>0.36363636363636365</v>
      </c>
      <c r="AD42" s="141">
        <f t="shared" si="34"/>
        <v>1250545.4545454546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0</v>
      </c>
      <c r="AG42" s="171">
        <f t="shared" si="2"/>
        <v>0</v>
      </c>
      <c r="AH42" s="172">
        <f t="shared" si="3"/>
        <v>0</v>
      </c>
      <c r="AI42" s="173">
        <f>IFERROR(GETPIVOTDATA("Sum of Qty",'[1]DATA LAST MONTH DEVICE'!$A$6,"ID Store",$C42),0)</f>
        <v>3</v>
      </c>
      <c r="AJ42" s="146">
        <f t="shared" si="35"/>
        <v>12</v>
      </c>
      <c r="AK42" s="174">
        <f t="shared" si="4"/>
        <v>9</v>
      </c>
      <c r="AL42" s="175">
        <f t="shared" si="5"/>
        <v>3</v>
      </c>
      <c r="AM42" s="176">
        <f>IFERROR(GETPIVOTDATA("Sum of Qty",'[1]Store 3mio+ last month'!$A$6,"ID Store",$C42),0)</f>
        <v>15</v>
      </c>
      <c r="AN42" s="144">
        <f t="shared" si="36"/>
        <v>45</v>
      </c>
      <c r="AO42" s="171">
        <f t="shared" si="6"/>
        <v>30</v>
      </c>
      <c r="AP42" s="177">
        <f t="shared" si="7"/>
        <v>2</v>
      </c>
      <c r="AQ42" s="176">
        <f>IFERROR(GETPIVOTDATA("Sum of Qty",'[1]DATA LAST MONTH DEVICE'!$A$6,"ID Store",$C42,"Segment Price","3mio&gt;"),0)</f>
        <v>2</v>
      </c>
      <c r="AR42" s="178">
        <f t="shared" si="8"/>
        <v>9</v>
      </c>
      <c r="AS42" s="178">
        <f t="shared" si="9"/>
        <v>7</v>
      </c>
      <c r="AT42" s="172">
        <f t="shared" si="10"/>
        <v>3.5</v>
      </c>
      <c r="AU42" s="179">
        <f>IFERROR(GETPIVOTDATA("Sum of SRP",'[1]DATA LAST MONTH DEVICE'!$A$6,"ID Store",$C42),0)</f>
        <v>17097000</v>
      </c>
      <c r="AV42" s="179">
        <f t="shared" si="37"/>
        <v>52488000</v>
      </c>
      <c r="AW42" s="180">
        <f t="shared" si="11"/>
        <v>35391000</v>
      </c>
      <c r="AX42" s="181">
        <f t="shared" si="12"/>
        <v>2.0700122828566414</v>
      </c>
      <c r="AY42" s="182">
        <f>IFERROR(VLOOKUP(C42,'[1]DATA SALES LAST MONTH'!A:E,5,0),0)</f>
        <v>0</v>
      </c>
      <c r="AZ42" s="152">
        <f t="shared" si="38"/>
        <v>4374000</v>
      </c>
      <c r="BA42" s="183">
        <f t="shared" si="13"/>
        <v>4374000</v>
      </c>
      <c r="BB42" s="172">
        <f t="shared" si="14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0</v>
      </c>
      <c r="BE42" s="177">
        <f t="shared" si="15"/>
        <v>0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0</v>
      </c>
      <c r="BH42" s="177">
        <f t="shared" si="16"/>
        <v>0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7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8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19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18697000</v>
      </c>
      <c r="J43" s="163">
        <f t="shared" si="20"/>
        <v>0.37393999999999999</v>
      </c>
      <c r="K43" s="164">
        <f t="shared" si="21"/>
        <v>-31303000</v>
      </c>
      <c r="L43" s="132">
        <f>IFERROR(GETPIVOTDATA("Sum of Qty",[1]PF!$A$5,"ID Store",$C43),0)</f>
        <v>0</v>
      </c>
      <c r="M43" s="133">
        <f>IFERROR(GETPIVOTDATA("Sum of Qty",'[1]DEVICE &amp; VALUE'!$A$6,"ID Store",$C43,"Segment Price","3mio&gt;"),0)</f>
        <v>3</v>
      </c>
      <c r="N43" s="134">
        <f t="shared" si="22"/>
        <v>1</v>
      </c>
      <c r="O43" s="135">
        <f>IFERROR(GETPIVOTDATA("Sum of Qty",[1]IQOO!$A$6,"ID Store",$C43),0)</f>
        <v>1</v>
      </c>
      <c r="P43" s="134">
        <f t="shared" si="23"/>
        <v>0.33333333333333331</v>
      </c>
      <c r="Q43" s="136">
        <f t="shared" si="24"/>
        <v>1</v>
      </c>
      <c r="R43" s="135">
        <f>IFERROR(GETPIVOTDATA("Sum of Qty",'[1]DEVICE &amp; VALUE'!$A$6,"ID Store",$C43),0)</f>
        <v>3</v>
      </c>
      <c r="S43" s="135">
        <f t="shared" si="25"/>
        <v>0.15</v>
      </c>
      <c r="T43" s="135">
        <f t="shared" si="26"/>
        <v>-17</v>
      </c>
      <c r="U43" s="165">
        <f t="shared" si="27"/>
        <v>70113750</v>
      </c>
      <c r="V43" s="163">
        <f t="shared" si="28"/>
        <v>1.4022749999999999</v>
      </c>
      <c r="W43" s="166">
        <f t="shared" si="29"/>
        <v>20113750</v>
      </c>
      <c r="X43" s="167">
        <f t="shared" si="0"/>
        <v>11.25</v>
      </c>
      <c r="Y43" s="168">
        <f t="shared" si="1"/>
        <v>-8.75</v>
      </c>
      <c r="Z43" s="168">
        <f t="shared" si="30"/>
        <v>11.25</v>
      </c>
      <c r="AA43" s="168">
        <f t="shared" si="31"/>
        <v>-8.75</v>
      </c>
      <c r="AB43" s="168">
        <f t="shared" si="32"/>
        <v>0.5625</v>
      </c>
      <c r="AC43" s="238">
        <f t="shared" si="33"/>
        <v>0.77272727272727271</v>
      </c>
      <c r="AD43" s="141">
        <f t="shared" si="34"/>
        <v>1422863.6363636365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3</v>
      </c>
      <c r="AJ43" s="146">
        <f t="shared" si="35"/>
        <v>3</v>
      </c>
      <c r="AK43" s="174">
        <f t="shared" si="4"/>
        <v>0</v>
      </c>
      <c r="AL43" s="175">
        <f t="shared" si="5"/>
        <v>0</v>
      </c>
      <c r="AM43" s="176">
        <f>IFERROR(GETPIVOTDATA("Sum of Qty",'[1]Store 3mio+ last month'!$A$6,"ID Store",$C43),0)</f>
        <v>10</v>
      </c>
      <c r="AN43" s="144">
        <f t="shared" si="36"/>
        <v>11.25</v>
      </c>
      <c r="AO43" s="171">
        <f t="shared" si="6"/>
        <v>1.25</v>
      </c>
      <c r="AP43" s="177">
        <f t="shared" si="7"/>
        <v>0.125</v>
      </c>
      <c r="AQ43" s="176">
        <f>IFERROR(GETPIVOTDATA("Sum of Qty",'[1]DATA LAST MONTH DEVICE'!$A$6,"ID Store",$C43,"Segment Price","3mio&gt;"),0)</f>
        <v>3</v>
      </c>
      <c r="AR43" s="178">
        <f t="shared" si="8"/>
        <v>3</v>
      </c>
      <c r="AS43" s="178">
        <f t="shared" si="9"/>
        <v>0</v>
      </c>
      <c r="AT43" s="172">
        <f t="shared" si="10"/>
        <v>0</v>
      </c>
      <c r="AU43" s="179">
        <f>IFERROR(GETPIVOTDATA("Sum of SRP",'[1]DATA LAST MONTH DEVICE'!$A$6,"ID Store",$C43),0)</f>
        <v>13397000</v>
      </c>
      <c r="AV43" s="179">
        <f t="shared" si="37"/>
        <v>18697000</v>
      </c>
      <c r="AW43" s="180">
        <f t="shared" si="11"/>
        <v>5300000</v>
      </c>
      <c r="AX43" s="181">
        <f t="shared" si="12"/>
        <v>0.39561095767709187</v>
      </c>
      <c r="AY43" s="182">
        <f>IFERROR(VLOOKUP(C43,'[1]DATA SALES LAST MONTH'!A:E,5,0),0)</f>
        <v>0</v>
      </c>
      <c r="AZ43" s="152">
        <f t="shared" si="38"/>
        <v>6232333.333333333</v>
      </c>
      <c r="BA43" s="183">
        <f t="shared" si="13"/>
        <v>6232333.333333333</v>
      </c>
      <c r="BB43" s="172">
        <f t="shared" si="14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5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6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7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8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19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39491000</v>
      </c>
      <c r="J44" s="163">
        <f t="shared" si="20"/>
        <v>0.13163666666666668</v>
      </c>
      <c r="K44" s="164">
        <f t="shared" si="21"/>
        <v>-260509000</v>
      </c>
      <c r="L44" s="132">
        <f>IFERROR(GETPIVOTDATA("Sum of Qty",[1]PF!$A$5,"ID Store",$C44),0)</f>
        <v>1</v>
      </c>
      <c r="M44" s="133">
        <f>IFERROR(GETPIVOTDATA("Sum of Qty",'[1]DEVICE &amp; VALUE'!$A$6,"ID Store",$C44,"Segment Price","3mio&gt;"),0)</f>
        <v>5</v>
      </c>
      <c r="N44" s="134">
        <f t="shared" si="22"/>
        <v>0.55555555555555558</v>
      </c>
      <c r="O44" s="135">
        <f>IFERROR(GETPIVOTDATA("Sum of Qty",[1]IQOO!$A$6,"ID Store",$C44),0)</f>
        <v>0</v>
      </c>
      <c r="P44" s="134">
        <f t="shared" si="23"/>
        <v>0</v>
      </c>
      <c r="Q44" s="136">
        <f t="shared" si="24"/>
        <v>0.55555555555555558</v>
      </c>
      <c r="R44" s="135">
        <f>IFERROR(GETPIVOTDATA("Sum of Qty",'[1]DEVICE &amp; VALUE'!$A$6,"ID Store",$C44),0)</f>
        <v>9</v>
      </c>
      <c r="S44" s="135">
        <f t="shared" si="25"/>
        <v>0.15</v>
      </c>
      <c r="T44" s="135">
        <f t="shared" si="26"/>
        <v>-51</v>
      </c>
      <c r="U44" s="165">
        <f t="shared" si="27"/>
        <v>148091250</v>
      </c>
      <c r="V44" s="163">
        <f t="shared" si="28"/>
        <v>0.49363750000000001</v>
      </c>
      <c r="W44" s="166">
        <f t="shared" si="29"/>
        <v>-151908750</v>
      </c>
      <c r="X44" s="167">
        <f t="shared" si="0"/>
        <v>18.75</v>
      </c>
      <c r="Y44" s="168">
        <f t="shared" si="1"/>
        <v>-41.25</v>
      </c>
      <c r="Z44" s="168">
        <f t="shared" si="30"/>
        <v>33.75</v>
      </c>
      <c r="AA44" s="168">
        <f t="shared" si="31"/>
        <v>-26.25</v>
      </c>
      <c r="AB44" s="168">
        <f t="shared" si="32"/>
        <v>0.5625</v>
      </c>
      <c r="AC44" s="238">
        <f t="shared" si="33"/>
        <v>2.3181818181818183</v>
      </c>
      <c r="AD44" s="141">
        <f t="shared" si="34"/>
        <v>11841318.181818182</v>
      </c>
      <c r="AE44" s="169">
        <f>IFERROR(GETPIVOTDATA("Sum of Qty",'[1]DATA LAST MONTH IQOO'!$A$6,"ID Store",$C44),0)</f>
        <v>1</v>
      </c>
      <c r="AF44" s="170">
        <f>IFERROR(GETPIVOTDATA("Sum of Qty",[1]IQOO!$A$6,"ID Store",$C44),0)</f>
        <v>0</v>
      </c>
      <c r="AG44" s="171">
        <f t="shared" si="2"/>
        <v>-1</v>
      </c>
      <c r="AH44" s="172">
        <f t="shared" si="3"/>
        <v>-1</v>
      </c>
      <c r="AI44" s="173">
        <f>IFERROR(GETPIVOTDATA("Sum of Qty",'[1]DATA LAST MONTH DEVICE'!$A$6,"ID Store",$C44),0)</f>
        <v>10</v>
      </c>
      <c r="AJ44" s="146">
        <f t="shared" si="35"/>
        <v>9</v>
      </c>
      <c r="AK44" s="174">
        <f t="shared" si="4"/>
        <v>-1</v>
      </c>
      <c r="AL44" s="175">
        <f t="shared" si="5"/>
        <v>-0.1</v>
      </c>
      <c r="AM44" s="176">
        <f>IFERROR(GETPIVOTDATA("Sum of Qty",'[1]Store 3mio+ last month'!$A$6,"ID Store",$C44),0)</f>
        <v>60</v>
      </c>
      <c r="AN44" s="144">
        <f t="shared" si="36"/>
        <v>33.75</v>
      </c>
      <c r="AO44" s="171">
        <f t="shared" si="6"/>
        <v>-26.25</v>
      </c>
      <c r="AP44" s="177">
        <f t="shared" si="7"/>
        <v>-0.4375</v>
      </c>
      <c r="AQ44" s="176">
        <f>IFERROR(GETPIVOTDATA("Sum of Qty",'[1]DATA LAST MONTH DEVICE'!$A$6,"ID Store",$C44,"Segment Price","3mio&gt;"),0)</f>
        <v>7</v>
      </c>
      <c r="AR44" s="178">
        <f t="shared" si="8"/>
        <v>5</v>
      </c>
      <c r="AS44" s="178">
        <f t="shared" si="9"/>
        <v>-2</v>
      </c>
      <c r="AT44" s="172">
        <f t="shared" si="10"/>
        <v>-0.2857142857142857</v>
      </c>
      <c r="AU44" s="179">
        <f>IFERROR(GETPIVOTDATA("Sum of SRP",'[1]DATA LAST MONTH DEVICE'!$A$6,"ID Store",$C44),0)</f>
        <v>54690000</v>
      </c>
      <c r="AV44" s="179">
        <f t="shared" si="37"/>
        <v>39491000</v>
      </c>
      <c r="AW44" s="180">
        <f t="shared" si="11"/>
        <v>-15199000</v>
      </c>
      <c r="AX44" s="181">
        <f t="shared" si="12"/>
        <v>-0.27791186688608521</v>
      </c>
      <c r="AY44" s="182">
        <f>IFERROR(VLOOKUP(C44,'[1]DATA SALES LAST MONTH'!A:E,5,0),0)</f>
        <v>5469000</v>
      </c>
      <c r="AZ44" s="152">
        <f t="shared" si="38"/>
        <v>4387888.888888889</v>
      </c>
      <c r="BA44" s="183">
        <f t="shared" si="13"/>
        <v>-1081111.111111111</v>
      </c>
      <c r="BB44" s="172">
        <f t="shared" si="14"/>
        <v>-0.1976798520956502</v>
      </c>
      <c r="BC44" s="153">
        <f>_xlfn.XLOOKUP(D:D,'[1]Target store'!C:C,'[1]Target store'!J:J,0)</f>
        <v>6</v>
      </c>
      <c r="BD44" s="184">
        <f>IFERROR(GETPIVOTDATA("Sum of Qty",[1]ACC!$A$5,"ID Store",$C44),0)</f>
        <v>2</v>
      </c>
      <c r="BE44" s="177">
        <f t="shared" si="15"/>
        <v>0.33333333333333331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6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7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8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19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43892000</v>
      </c>
      <c r="J45" s="163">
        <f t="shared" si="20"/>
        <v>0.14630666666666667</v>
      </c>
      <c r="K45" s="164">
        <f t="shared" si="21"/>
        <v>-256108000</v>
      </c>
      <c r="L45" s="132">
        <f>IFERROR(GETPIVOTDATA("Sum of Qty",[1]PF!$A$5,"ID Store",$C45),0)</f>
        <v>2</v>
      </c>
      <c r="M45" s="133">
        <f>IFERROR(GETPIVOTDATA("Sum of Qty",'[1]DEVICE &amp; VALUE'!$A$6,"ID Store",$C45,"Segment Price","3mio&gt;"),0)</f>
        <v>5</v>
      </c>
      <c r="N45" s="134">
        <f t="shared" si="22"/>
        <v>0.625</v>
      </c>
      <c r="O45" s="135">
        <f>IFERROR(GETPIVOTDATA("Sum of Qty",[1]IQOO!$A$6,"ID Store",$C45),0)</f>
        <v>0</v>
      </c>
      <c r="P45" s="134">
        <f t="shared" si="23"/>
        <v>0</v>
      </c>
      <c r="Q45" s="136">
        <f t="shared" si="24"/>
        <v>0.625</v>
      </c>
      <c r="R45" s="135">
        <f>IFERROR(GETPIVOTDATA("Sum of Qty",'[1]DEVICE &amp; VALUE'!$A$6,"ID Store",$C45),0)</f>
        <v>8</v>
      </c>
      <c r="S45" s="135">
        <f t="shared" si="25"/>
        <v>0.16</v>
      </c>
      <c r="T45" s="135">
        <f t="shared" si="26"/>
        <v>-42</v>
      </c>
      <c r="U45" s="165">
        <f t="shared" si="27"/>
        <v>164595000</v>
      </c>
      <c r="V45" s="163">
        <f t="shared" si="28"/>
        <v>0.54864999999999997</v>
      </c>
      <c r="W45" s="166">
        <f t="shared" si="29"/>
        <v>-135405000</v>
      </c>
      <c r="X45" s="167">
        <f t="shared" si="0"/>
        <v>18.75</v>
      </c>
      <c r="Y45" s="168">
        <f t="shared" si="1"/>
        <v>-31.25</v>
      </c>
      <c r="Z45" s="168">
        <f t="shared" si="30"/>
        <v>30</v>
      </c>
      <c r="AA45" s="168">
        <f t="shared" si="31"/>
        <v>-20</v>
      </c>
      <c r="AB45" s="168">
        <f t="shared" si="32"/>
        <v>0.6</v>
      </c>
      <c r="AC45" s="238">
        <f t="shared" si="33"/>
        <v>1.9090909090909092</v>
      </c>
      <c r="AD45" s="141">
        <f t="shared" si="34"/>
        <v>11641272.727272727</v>
      </c>
      <c r="AE45" s="169">
        <f>IFERROR(GETPIVOTDATA("Sum of Qty",'[1]DATA LAST MONTH IQOO'!$A$6,"ID Store",$C45),0)</f>
        <v>1</v>
      </c>
      <c r="AF45" s="170">
        <f>IFERROR(GETPIVOTDATA("Sum of Qty",[1]IQOO!$A$6,"ID Store",$C45),0)</f>
        <v>0</v>
      </c>
      <c r="AG45" s="171">
        <f t="shared" si="2"/>
        <v>-1</v>
      </c>
      <c r="AH45" s="172">
        <f t="shared" si="3"/>
        <v>-1</v>
      </c>
      <c r="AI45" s="173">
        <f>IFERROR(GETPIVOTDATA("Sum of Qty",'[1]DATA LAST MONTH DEVICE'!$A$6,"ID Store",$C45),0)</f>
        <v>11</v>
      </c>
      <c r="AJ45" s="146">
        <f t="shared" si="35"/>
        <v>8</v>
      </c>
      <c r="AK45" s="174">
        <f t="shared" si="4"/>
        <v>-3</v>
      </c>
      <c r="AL45" s="175">
        <f t="shared" si="5"/>
        <v>-0.27272727272727271</v>
      </c>
      <c r="AM45" s="176">
        <f>IFERROR(GETPIVOTDATA("Sum of Qty",'[1]Store 3mio+ last month'!$A$6,"ID Store",$C45),0)</f>
        <v>28</v>
      </c>
      <c r="AN45" s="144">
        <f t="shared" si="36"/>
        <v>30</v>
      </c>
      <c r="AO45" s="171">
        <f t="shared" si="6"/>
        <v>2</v>
      </c>
      <c r="AP45" s="177">
        <f t="shared" si="7"/>
        <v>7.1428571428571425E-2</v>
      </c>
      <c r="AQ45" s="176">
        <f>IFERROR(GETPIVOTDATA("Sum of Qty",'[1]DATA LAST MONTH DEVICE'!$A$6,"ID Store",$C45,"Segment Price","3mio&gt;"),0)</f>
        <v>8</v>
      </c>
      <c r="AR45" s="178">
        <f t="shared" si="8"/>
        <v>5</v>
      </c>
      <c r="AS45" s="178">
        <f t="shared" si="9"/>
        <v>-3</v>
      </c>
      <c r="AT45" s="172">
        <f t="shared" si="10"/>
        <v>-0.375</v>
      </c>
      <c r="AU45" s="179">
        <f>IFERROR(GETPIVOTDATA("Sum of SRP",'[1]DATA LAST MONTH DEVICE'!$A$6,"ID Store",$C45),0)</f>
        <v>50089000</v>
      </c>
      <c r="AV45" s="179">
        <f t="shared" si="37"/>
        <v>43892000</v>
      </c>
      <c r="AW45" s="180">
        <f t="shared" si="11"/>
        <v>-6197000</v>
      </c>
      <c r="AX45" s="181">
        <f t="shared" si="12"/>
        <v>-0.12371977879374713</v>
      </c>
      <c r="AY45" s="182">
        <f>IFERROR(VLOOKUP(C45,'[1]DATA SALES LAST MONTH'!A:E,5,0),0)</f>
        <v>4553545.4545454541</v>
      </c>
      <c r="AZ45" s="152">
        <f t="shared" si="38"/>
        <v>5486500</v>
      </c>
      <c r="BA45" s="183">
        <f t="shared" si="13"/>
        <v>932954.54545454588</v>
      </c>
      <c r="BB45" s="172">
        <f t="shared" si="14"/>
        <v>0.20488530415859782</v>
      </c>
      <c r="BC45" s="153">
        <f>_xlfn.XLOOKUP(D:D,'[1]Target store'!C:C,'[1]Target store'!J:J,0)</f>
        <v>5</v>
      </c>
      <c r="BD45" s="184">
        <f>IFERROR(GETPIVOTDATA("Sum of Qty",[1]ACC!$A$5,"ID Store",$C45),0)</f>
        <v>0</v>
      </c>
      <c r="BE45" s="177">
        <f t="shared" si="15"/>
        <v>0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6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7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8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19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2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27196000</v>
      </c>
      <c r="J46" s="163">
        <f t="shared" si="20"/>
        <v>0.13597999999999999</v>
      </c>
      <c r="K46" s="164">
        <f t="shared" si="21"/>
        <v>-172804000</v>
      </c>
      <c r="L46" s="132">
        <f>IFERROR(GETPIVOTDATA("Sum of Qty",[1]PF!$A$5,"ID Store",$C46),0)</f>
        <v>0</v>
      </c>
      <c r="M46" s="133">
        <f>IFERROR(GETPIVOTDATA("Sum of Qty",'[1]DEVICE &amp; VALUE'!$A$6,"ID Store",$C46,"Segment Price","3mio&gt;"),0)</f>
        <v>4</v>
      </c>
      <c r="N46" s="134">
        <f t="shared" si="22"/>
        <v>1</v>
      </c>
      <c r="O46" s="135">
        <f>IFERROR(GETPIVOTDATA("Sum of Qty",[1]IQOO!$A$6,"ID Store",$C46),0)</f>
        <v>0</v>
      </c>
      <c r="P46" s="134">
        <f t="shared" si="23"/>
        <v>0</v>
      </c>
      <c r="Q46" s="136">
        <f t="shared" si="24"/>
        <v>1</v>
      </c>
      <c r="R46" s="135">
        <f>IFERROR(GETPIVOTDATA("Sum of Qty",'[1]DEVICE &amp; VALUE'!$A$6,"ID Store",$C46),0)</f>
        <v>4</v>
      </c>
      <c r="S46" s="135">
        <f t="shared" si="25"/>
        <v>0.08</v>
      </c>
      <c r="T46" s="135">
        <f t="shared" si="26"/>
        <v>-46</v>
      </c>
      <c r="U46" s="165">
        <f t="shared" si="27"/>
        <v>101985000</v>
      </c>
      <c r="V46" s="163">
        <f t="shared" si="28"/>
        <v>0.50992499999999996</v>
      </c>
      <c r="W46" s="166">
        <f t="shared" si="29"/>
        <v>-98015000</v>
      </c>
      <c r="X46" s="167">
        <f t="shared" si="0"/>
        <v>15</v>
      </c>
      <c r="Y46" s="168">
        <f t="shared" si="1"/>
        <v>-35</v>
      </c>
      <c r="Z46" s="168">
        <f t="shared" si="30"/>
        <v>15</v>
      </c>
      <c r="AA46" s="168">
        <f t="shared" si="31"/>
        <v>-35</v>
      </c>
      <c r="AB46" s="168">
        <f t="shared" si="32"/>
        <v>0.3</v>
      </c>
      <c r="AC46" s="238">
        <f t="shared" si="33"/>
        <v>2.0909090909090908</v>
      </c>
      <c r="AD46" s="141">
        <f t="shared" si="34"/>
        <v>7854727.2727272725</v>
      </c>
      <c r="AE46" s="169">
        <f>IFERROR(GETPIVOTDATA("Sum of Qty",'[1]DATA LAST MONTH IQOO'!$A$6,"ID Store",$C46),0)</f>
        <v>0</v>
      </c>
      <c r="AF46" s="170">
        <f>IFERROR(GETPIVOTDATA("Sum of Qty",[1]IQOO!$A$6,"ID Store",$C46),0)</f>
        <v>0</v>
      </c>
      <c r="AG46" s="171">
        <f t="shared" si="2"/>
        <v>0</v>
      </c>
      <c r="AH46" s="172">
        <f t="shared" si="3"/>
        <v>0</v>
      </c>
      <c r="AI46" s="173">
        <f>IFERROR(GETPIVOTDATA("Sum of Qty",'[1]DATA LAST MONTH DEVICE'!$A$6,"ID Store",$C46),0)</f>
        <v>5</v>
      </c>
      <c r="AJ46" s="146">
        <f t="shared" si="35"/>
        <v>4</v>
      </c>
      <c r="AK46" s="174">
        <f t="shared" si="4"/>
        <v>-1</v>
      </c>
      <c r="AL46" s="175">
        <f t="shared" si="5"/>
        <v>-0.2</v>
      </c>
      <c r="AM46" s="176">
        <f>IFERROR(GETPIVOTDATA("Sum of Qty",'[1]Store 3mio+ last month'!$A$6,"ID Store",$C46),0)</f>
        <v>30</v>
      </c>
      <c r="AN46" s="144">
        <f t="shared" si="36"/>
        <v>15</v>
      </c>
      <c r="AO46" s="171">
        <f t="shared" si="6"/>
        <v>-15</v>
      </c>
      <c r="AP46" s="177">
        <f t="shared" si="7"/>
        <v>-0.5</v>
      </c>
      <c r="AQ46" s="176">
        <f>IFERROR(GETPIVOTDATA("Sum of Qty",'[1]DATA LAST MONTH DEVICE'!$A$6,"ID Store",$C46,"Segment Price","3mio&gt;"),0)</f>
        <v>3</v>
      </c>
      <c r="AR46" s="178">
        <f t="shared" si="8"/>
        <v>4</v>
      </c>
      <c r="AS46" s="178">
        <f t="shared" si="9"/>
        <v>1</v>
      </c>
      <c r="AT46" s="172">
        <f t="shared" si="10"/>
        <v>0.33333333333333331</v>
      </c>
      <c r="AU46" s="179">
        <f>IFERROR(GETPIVOTDATA("Sum of SRP",'[1]DATA LAST MONTH DEVICE'!$A$6,"ID Store",$C46),0)</f>
        <v>45095000</v>
      </c>
      <c r="AV46" s="179">
        <f t="shared" si="37"/>
        <v>27196000</v>
      </c>
      <c r="AW46" s="180">
        <f t="shared" si="11"/>
        <v>-17899000</v>
      </c>
      <c r="AX46" s="181">
        <f t="shared" si="12"/>
        <v>-0.3969176183612374</v>
      </c>
      <c r="AY46" s="182">
        <f>IFERROR(VLOOKUP(C46,'[1]DATA SALES LAST MONTH'!A:E,5,0),0)</f>
        <v>0</v>
      </c>
      <c r="AZ46" s="152">
        <f t="shared" si="38"/>
        <v>6799000</v>
      </c>
      <c r="BA46" s="183">
        <f t="shared" si="13"/>
        <v>6799000</v>
      </c>
      <c r="BB46" s="172">
        <f t="shared" si="14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2</v>
      </c>
      <c r="BE46" s="177">
        <f t="shared" si="15"/>
        <v>0.4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6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7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8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19"/>
        <v>0</v>
      </c>
    </row>
    <row r="47" spans="1:69" ht="17" thickBot="1" x14ac:dyDescent="0.25">
      <c r="A47" s="189">
        <v>43</v>
      </c>
      <c r="B47" s="190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143585000</v>
      </c>
      <c r="J47" s="163">
        <f t="shared" si="20"/>
        <v>0.41024285714285713</v>
      </c>
      <c r="K47" s="164">
        <f t="shared" si="21"/>
        <v>-206415000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13</v>
      </c>
      <c r="N47" s="134">
        <f t="shared" si="22"/>
        <v>0.8666666666666667</v>
      </c>
      <c r="O47" s="135">
        <f>IFERROR(GETPIVOTDATA("Sum of Qty",[1]IQOO!$A$6,"ID Store",$C47),0)</f>
        <v>3</v>
      </c>
      <c r="P47" s="134">
        <f t="shared" si="23"/>
        <v>0.2</v>
      </c>
      <c r="Q47" s="136">
        <f t="shared" si="24"/>
        <v>0.8666666666666667</v>
      </c>
      <c r="R47" s="135">
        <f>IFERROR(GETPIVOTDATA("Sum of Qty",'[1]DEVICE &amp; VALUE'!$A$6,"ID Store",$C47),0)</f>
        <v>15</v>
      </c>
      <c r="S47" s="135">
        <f t="shared" si="25"/>
        <v>0.25</v>
      </c>
      <c r="T47" s="135">
        <f t="shared" si="26"/>
        <v>-45</v>
      </c>
      <c r="U47" s="165">
        <f t="shared" si="27"/>
        <v>538443750</v>
      </c>
      <c r="V47" s="163">
        <f t="shared" si="28"/>
        <v>1.5384107142857142</v>
      </c>
      <c r="W47" s="166">
        <f t="shared" si="29"/>
        <v>188443750</v>
      </c>
      <c r="X47" s="194">
        <f t="shared" si="0"/>
        <v>48.75</v>
      </c>
      <c r="Y47" s="195">
        <f t="shared" si="1"/>
        <v>-11.25</v>
      </c>
      <c r="Z47" s="195">
        <f t="shared" si="30"/>
        <v>56.25</v>
      </c>
      <c r="AA47" s="195">
        <f t="shared" si="31"/>
        <v>-3.75</v>
      </c>
      <c r="AB47" s="195">
        <f t="shared" si="32"/>
        <v>0.9375</v>
      </c>
      <c r="AC47" s="238">
        <f t="shared" si="33"/>
        <v>2.0454545454545454</v>
      </c>
      <c r="AD47" s="141">
        <f t="shared" si="34"/>
        <v>9382500</v>
      </c>
      <c r="AE47" s="196">
        <f>IFERROR(GETPIVOTDATA("Sum of Qty",'[1]DATA LAST MONTH IQOO'!$A$6,"ID Store",$C47),0)</f>
        <v>5</v>
      </c>
      <c r="AF47" s="197">
        <f>IFERROR(GETPIVOTDATA("Sum of Qty",[1]IQOO!$A$6,"ID Store",$C47),0)</f>
        <v>3</v>
      </c>
      <c r="AG47" s="198">
        <f t="shared" si="2"/>
        <v>-2</v>
      </c>
      <c r="AH47" s="199">
        <f t="shared" si="3"/>
        <v>-0.4</v>
      </c>
      <c r="AI47" s="200">
        <f>IFERROR(GETPIVOTDATA("Sum of Qty",'[1]DATA LAST MONTH DEVICE'!$A$6,"ID Store",$C47),0)</f>
        <v>13</v>
      </c>
      <c r="AJ47" s="146">
        <f t="shared" si="35"/>
        <v>15</v>
      </c>
      <c r="AK47" s="201">
        <f t="shared" si="4"/>
        <v>2</v>
      </c>
      <c r="AL47" s="202">
        <f t="shared" si="5"/>
        <v>0.15384615384615385</v>
      </c>
      <c r="AM47" s="203">
        <f>IFERROR(GETPIVOTDATA("Sum of Qty",'[1]Store 3mio+ last month'!$A$6,"ID Store",$C47),0)</f>
        <v>45</v>
      </c>
      <c r="AN47" s="144">
        <f t="shared" si="36"/>
        <v>56.25</v>
      </c>
      <c r="AO47" s="198">
        <f t="shared" si="6"/>
        <v>11.25</v>
      </c>
      <c r="AP47" s="204">
        <f t="shared" si="7"/>
        <v>0.25</v>
      </c>
      <c r="AQ47" s="203">
        <f>IFERROR(GETPIVOTDATA("Sum of Qty",'[1]DATA LAST MONTH DEVICE'!$A$6,"ID Store",$C47,"Segment Price","3mio&gt;"),0)</f>
        <v>11</v>
      </c>
      <c r="AR47" s="205">
        <f t="shared" si="8"/>
        <v>13</v>
      </c>
      <c r="AS47" s="205">
        <f t="shared" si="9"/>
        <v>2</v>
      </c>
      <c r="AT47" s="199">
        <f t="shared" si="10"/>
        <v>0.18181818181818182</v>
      </c>
      <c r="AU47" s="206">
        <f>IFERROR(GETPIVOTDATA("Sum of SRP",'[1]DATA LAST MONTH DEVICE'!$A$6,"ID Store",$C47),0)</f>
        <v>100887000</v>
      </c>
      <c r="AV47" s="206">
        <f t="shared" si="37"/>
        <v>143585000</v>
      </c>
      <c r="AW47" s="207">
        <f t="shared" si="11"/>
        <v>42698000</v>
      </c>
      <c r="AX47" s="208">
        <f t="shared" si="12"/>
        <v>0.42322598550853924</v>
      </c>
      <c r="AY47" s="209">
        <f>IFERROR(VLOOKUP(C47,'[1]DATA SALES LAST MONTH'!A:E,5,0),0)</f>
        <v>7760538.461538462</v>
      </c>
      <c r="AZ47" s="152">
        <f t="shared" si="38"/>
        <v>9572333.333333334</v>
      </c>
      <c r="BA47" s="210">
        <f t="shared" si="13"/>
        <v>1811794.871794872</v>
      </c>
      <c r="BB47" s="199">
        <f t="shared" si="14"/>
        <v>0.23346252077406737</v>
      </c>
      <c r="BC47" s="153">
        <f>_xlfn.XLOOKUP(D:D,'[1]Target store'!C:C,'[1]Target store'!J:J,0)</f>
        <v>6</v>
      </c>
      <c r="BD47" s="211">
        <f>IFERROR(GETPIVOTDATA("Sum of Qty",[1]ACC!$A$5,"ID Store",$C47),0)</f>
        <v>1</v>
      </c>
      <c r="BE47" s="204">
        <f t="shared" si="15"/>
        <v>0.16666666666666666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6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7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8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19"/>
        <v>0</v>
      </c>
    </row>
    <row r="48" spans="1:69" ht="17" thickBot="1" x14ac:dyDescent="0.25">
      <c r="A48" s="278" t="s">
        <v>67</v>
      </c>
      <c r="B48" s="279"/>
      <c r="C48" s="279"/>
      <c r="D48" s="279"/>
      <c r="E48" s="279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3304965000</v>
      </c>
      <c r="J48" s="42">
        <f>I48/H48</f>
        <v>0.22761466942148761</v>
      </c>
      <c r="K48" s="43">
        <f>I48-H48</f>
        <v>-11215035000</v>
      </c>
      <c r="L48" s="44">
        <f>SUM(L5:L47)</f>
        <v>121</v>
      </c>
      <c r="M48" s="37">
        <f>SUM(M5:M47)</f>
        <v>330</v>
      </c>
      <c r="N48" s="45">
        <f>M48/R48</f>
        <v>0.39520958083832336</v>
      </c>
      <c r="O48" s="46">
        <f>SUM(O5:O47)</f>
        <v>12</v>
      </c>
      <c r="P48" s="45">
        <f>O48/R48</f>
        <v>1.437125748502994E-2</v>
      </c>
      <c r="Q48" s="47">
        <f>M48/R48</f>
        <v>0.39520958083832336</v>
      </c>
      <c r="R48" s="49">
        <f>SUM(R5:R47)</f>
        <v>835</v>
      </c>
      <c r="S48" s="49">
        <f>R48/G48</f>
        <v>0.24558823529411763</v>
      </c>
      <c r="T48" s="49">
        <f>R48-G48</f>
        <v>-2565</v>
      </c>
      <c r="U48" s="41">
        <f>SUM(U5:U47)</f>
        <v>12393618750</v>
      </c>
      <c r="V48" s="42">
        <f>U48/H48</f>
        <v>0.85355501033057857</v>
      </c>
      <c r="W48" s="43">
        <f>U48-H48</f>
        <v>-2126381250</v>
      </c>
      <c r="X48" s="48">
        <f>SUM(X5:X47)</f>
        <v>1237.5</v>
      </c>
      <c r="Y48" s="49">
        <f t="shared" si="1"/>
        <v>-2162.5</v>
      </c>
      <c r="Z48" s="49">
        <f>SUM(Z5:Z47)</f>
        <v>3131.25</v>
      </c>
      <c r="AA48" s="49">
        <f>Z48-G48</f>
        <v>-268.75</v>
      </c>
      <c r="AB48" s="49">
        <f>Z48/G48</f>
        <v>0.92095588235294112</v>
      </c>
      <c r="AC48" s="239">
        <f>SUM(AC5:AC47)</f>
        <v>116.59090909090908</v>
      </c>
      <c r="AD48" s="50">
        <f>SUM(AD5:AD47)</f>
        <v>509774318.18181813</v>
      </c>
      <c r="AE48" s="48">
        <f>SUM(AE5:AE47)</f>
        <v>36</v>
      </c>
      <c r="AF48" s="48">
        <f>SUM(AF5:AF47)</f>
        <v>12</v>
      </c>
      <c r="AG48" s="46">
        <f t="shared" si="2"/>
        <v>-24</v>
      </c>
      <c r="AH48" s="47">
        <f>AG48/AE48</f>
        <v>-0.66666666666666663</v>
      </c>
      <c r="AI48" s="51">
        <f>SUM(AI5:AI47)</f>
        <v>957</v>
      </c>
      <c r="AJ48" s="52">
        <f>SUM(AJ5:AJ47)</f>
        <v>835</v>
      </c>
      <c r="AK48" s="53">
        <f t="shared" si="4"/>
        <v>-122</v>
      </c>
      <c r="AL48" s="54">
        <f>AK48/AI48</f>
        <v>-0.12748171368861025</v>
      </c>
      <c r="AM48" s="37">
        <f>SUM(AM5:AM47)</f>
        <v>3260</v>
      </c>
      <c r="AN48" s="46">
        <f>SUM(AN5:AN47)</f>
        <v>3131.25</v>
      </c>
      <c r="AO48" s="46">
        <f t="shared" si="6"/>
        <v>-128.75</v>
      </c>
      <c r="AP48" s="45">
        <f>AO48/AM48</f>
        <v>-3.9493865030674848E-2</v>
      </c>
      <c r="AQ48" s="37">
        <f>SUM(AQ5:AQ47)</f>
        <v>351</v>
      </c>
      <c r="AR48" s="46">
        <f>SUM(AR5:AR47)</f>
        <v>330</v>
      </c>
      <c r="AS48" s="46">
        <f t="shared" si="9"/>
        <v>-21</v>
      </c>
      <c r="AT48" s="47">
        <f>AS48/AQ48</f>
        <v>-5.9829059829059832E-2</v>
      </c>
      <c r="AU48" s="41">
        <f>SUM(AU5:AU47)</f>
        <v>3676443000</v>
      </c>
      <c r="AV48" s="41">
        <f>SUM(AV5:AV47)</f>
        <v>3304965000</v>
      </c>
      <c r="AW48" s="55">
        <f t="shared" si="11"/>
        <v>-371478000</v>
      </c>
      <c r="AX48" s="56">
        <f>AW48/AU48</f>
        <v>-0.10104277422497779</v>
      </c>
      <c r="AY48" s="57">
        <f>AU48/AI48</f>
        <v>3841633.2288401253</v>
      </c>
      <c r="AZ48" s="58">
        <f>U48/Z48</f>
        <v>3958041.9161676648</v>
      </c>
      <c r="BA48" s="58">
        <f t="shared" si="13"/>
        <v>116408.68732753955</v>
      </c>
      <c r="BB48" s="47">
        <f>BA48/AY48</f>
        <v>3.0301874331372838E-2</v>
      </c>
      <c r="BC48" s="59">
        <f>SUM(BC5:BC47)</f>
        <v>340</v>
      </c>
      <c r="BD48" s="44">
        <f>SUM(BD5:BD47)</f>
        <v>203</v>
      </c>
      <c r="BE48" s="45">
        <f>BD48/BC48</f>
        <v>0.59705882352941175</v>
      </c>
      <c r="BF48" s="58">
        <f>SUM(BF5:BF47)</f>
        <v>63615000</v>
      </c>
      <c r="BG48" s="58">
        <f>SUM(BG5:BG47)</f>
        <v>10306000</v>
      </c>
      <c r="BH48" s="45">
        <f>BG48/BF48</f>
        <v>0.16200581623830856</v>
      </c>
      <c r="BI48" s="58">
        <f>SUM(BI5:BI47)</f>
        <v>14370000</v>
      </c>
      <c r="BJ48" s="58">
        <f>SUM(BJ5:BJ47)</f>
        <v>1000000</v>
      </c>
      <c r="BK48" s="45">
        <f>BJ48/BI48</f>
        <v>6.9589422407794019E-2</v>
      </c>
      <c r="BL48" s="46">
        <f>SUM(BL5:BL47)</f>
        <v>29040000</v>
      </c>
      <c r="BM48" s="37">
        <f>SUM(BM5:BM47)</f>
        <v>7</v>
      </c>
      <c r="BN48" s="45">
        <f>BM48/BL48</f>
        <v>2.4104683195592284E-7</v>
      </c>
      <c r="BO48" s="46">
        <f>SUM(BO5:BO47)</f>
        <v>43560000</v>
      </c>
      <c r="BP48" s="37">
        <f>SUM(BP5:BP47)</f>
        <v>0</v>
      </c>
      <c r="BQ48" s="60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D6:D47">
    <cfRule type="duplicateValues" dxfId="7" priority="1"/>
  </conditionalFormatting>
  <conditionalFormatting sqref="J5:J47">
    <cfRule type="cellIs" dxfId="6" priority="8" operator="lessThan">
      <formula>$F$2</formula>
    </cfRule>
  </conditionalFormatting>
  <conditionalFormatting sqref="K5:K47">
    <cfRule type="cellIs" dxfId="5" priority="5" operator="lessThan">
      <formula>0</formula>
    </cfRule>
  </conditionalFormatting>
  <conditionalFormatting sqref="AL5:AL47">
    <cfRule type="cellIs" dxfId="4" priority="7" operator="lessThan">
      <formula>0</formula>
    </cfRule>
  </conditionalFormatting>
  <conditionalFormatting sqref="AX5:AX47">
    <cfRule type="cellIs" dxfId="3" priority="6" operator="lessThan">
      <formula>0</formula>
    </cfRule>
  </conditionalFormatting>
  <conditionalFormatting sqref="BE5:BE47">
    <cfRule type="cellIs" dxfId="2" priority="4" operator="lessThan">
      <formula>$F$2</formula>
    </cfRule>
  </conditionalFormatting>
  <conditionalFormatting sqref="BH5:BH47">
    <cfRule type="cellIs" dxfId="1" priority="3" operator="lessThan">
      <formula>$F$2</formula>
    </cfRule>
  </conditionalFormatting>
  <conditionalFormatting sqref="BN5:BN47">
    <cfRule type="cellIs" dxfId="0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abSelected="1" topLeftCell="DC27" zoomScale="75" zoomScaleNormal="75" workbookViewId="0">
      <selection activeCell="EJ32" sqref="A1:XFD1048576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91" t="s">
        <v>68</v>
      </c>
      <c r="B1" s="291"/>
      <c r="C1" s="291"/>
      <c r="D1" s="291"/>
      <c r="E1" s="291"/>
      <c r="F1" s="291"/>
      <c r="G1" s="291"/>
      <c r="H1" s="291"/>
      <c r="I1" s="291"/>
      <c r="J1" s="291"/>
      <c r="K1" s="291"/>
      <c r="L1" s="291"/>
      <c r="M1" s="291"/>
      <c r="N1" s="291"/>
      <c r="O1" s="291"/>
      <c r="P1" s="291"/>
      <c r="Q1" s="291"/>
      <c r="R1" s="291"/>
      <c r="S1" s="291"/>
      <c r="T1" s="291"/>
      <c r="U1" s="291"/>
      <c r="V1" s="291"/>
      <c r="W1" s="291"/>
      <c r="X1" s="291"/>
      <c r="Y1" s="291"/>
      <c r="Z1" s="291"/>
      <c r="AA1" s="291"/>
      <c r="AB1" s="291"/>
      <c r="AC1" s="291"/>
      <c r="AD1" s="291"/>
      <c r="AE1" s="291"/>
      <c r="AF1" s="291"/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1"/>
      <c r="AT1" s="291"/>
      <c r="AU1" s="291"/>
      <c r="AV1" s="291"/>
      <c r="AW1" s="291"/>
      <c r="AX1" s="291"/>
      <c r="AY1" s="291"/>
      <c r="AZ1" s="291"/>
      <c r="BA1" s="291"/>
      <c r="BB1" s="291"/>
      <c r="BC1" s="291"/>
      <c r="BD1" s="291"/>
      <c r="BE1" s="291"/>
      <c r="BF1" s="291"/>
      <c r="BG1" s="291"/>
      <c r="BH1" s="291"/>
      <c r="BI1" s="291"/>
      <c r="BJ1" s="291"/>
      <c r="BK1" s="291"/>
      <c r="BL1" s="291"/>
      <c r="BM1" s="291"/>
      <c r="BN1" s="291"/>
      <c r="BO1" s="291"/>
      <c r="BP1" s="291"/>
      <c r="BQ1" s="291"/>
      <c r="BR1" s="291"/>
      <c r="BS1" s="291"/>
      <c r="BT1" s="291"/>
      <c r="BU1" s="291"/>
      <c r="BV1" s="291"/>
      <c r="BW1" s="291"/>
      <c r="BX1" s="291"/>
      <c r="BY1" s="291"/>
      <c r="BZ1" s="291"/>
      <c r="CA1" s="291"/>
      <c r="CB1" s="291"/>
      <c r="CC1" s="291"/>
      <c r="CD1" s="291"/>
      <c r="CE1" s="291"/>
      <c r="CF1" s="291"/>
      <c r="CG1" s="291"/>
      <c r="CH1" s="291"/>
      <c r="CI1" s="291"/>
      <c r="CJ1" s="291"/>
      <c r="CK1" s="291"/>
      <c r="CL1" s="291"/>
      <c r="CM1" s="291"/>
      <c r="CN1" s="291"/>
      <c r="CO1" s="291"/>
      <c r="CP1" s="291"/>
      <c r="CQ1" s="291"/>
      <c r="CR1" s="291"/>
      <c r="CS1" s="291"/>
      <c r="CT1" s="291"/>
      <c r="CU1" s="291"/>
      <c r="CV1" s="291"/>
      <c r="CW1" s="291"/>
      <c r="CX1" s="291"/>
      <c r="CY1" s="291"/>
      <c r="CZ1" s="291"/>
      <c r="DA1" s="291"/>
      <c r="DB1" s="291"/>
      <c r="DC1" s="291"/>
      <c r="DD1" s="291"/>
      <c r="DE1" s="291"/>
      <c r="DF1" s="291"/>
      <c r="DG1" s="291"/>
      <c r="DH1" s="291"/>
      <c r="DI1" s="291"/>
      <c r="DJ1" s="291"/>
      <c r="DK1" s="291"/>
      <c r="DL1" s="291"/>
      <c r="DM1" s="291"/>
      <c r="DN1" s="291"/>
      <c r="DO1" s="291"/>
      <c r="DP1" s="291"/>
      <c r="DQ1" s="291"/>
      <c r="DR1" s="291"/>
      <c r="DS1" s="291"/>
      <c r="DT1" s="291"/>
      <c r="DU1" s="291"/>
      <c r="DV1" s="291"/>
      <c r="DW1" s="291"/>
      <c r="DX1" s="291"/>
      <c r="DY1" s="291"/>
      <c r="DZ1" s="291"/>
      <c r="EA1" s="291"/>
      <c r="EB1" s="291"/>
      <c r="EC1" s="291"/>
      <c r="ED1" s="291"/>
      <c r="EE1" s="291"/>
      <c r="EF1" s="291"/>
      <c r="EG1" s="291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0" t="s">
        <v>16</v>
      </c>
      <c r="B3" s="290" t="s">
        <v>17</v>
      </c>
      <c r="C3" s="290" t="s">
        <v>76</v>
      </c>
      <c r="D3" s="290" t="s">
        <v>19</v>
      </c>
      <c r="E3" s="290" t="s">
        <v>77</v>
      </c>
      <c r="F3" s="287" t="s">
        <v>78</v>
      </c>
      <c r="G3" s="288"/>
      <c r="H3" s="288"/>
      <c r="I3" s="288"/>
      <c r="J3" s="288"/>
      <c r="K3" s="289"/>
      <c r="L3" s="287" t="s">
        <v>79</v>
      </c>
      <c r="M3" s="288"/>
      <c r="N3" s="288"/>
      <c r="O3" s="288"/>
      <c r="P3" s="288"/>
      <c r="Q3" s="289"/>
      <c r="R3" s="287" t="s">
        <v>80</v>
      </c>
      <c r="S3" s="288"/>
      <c r="T3" s="288"/>
      <c r="U3" s="288"/>
      <c r="V3" s="288"/>
      <c r="W3" s="289"/>
      <c r="X3" s="287" t="s">
        <v>81</v>
      </c>
      <c r="Y3" s="288"/>
      <c r="Z3" s="288"/>
      <c r="AA3" s="288"/>
      <c r="AB3" s="288"/>
      <c r="AC3" s="289"/>
      <c r="AD3" s="287" t="s">
        <v>82</v>
      </c>
      <c r="AE3" s="288"/>
      <c r="AF3" s="288"/>
      <c r="AG3" s="288"/>
      <c r="AH3" s="288"/>
      <c r="AI3" s="289"/>
      <c r="AJ3" s="287" t="s">
        <v>83</v>
      </c>
      <c r="AK3" s="288"/>
      <c r="AL3" s="288"/>
      <c r="AM3" s="288"/>
      <c r="AN3" s="288"/>
      <c r="AO3" s="289"/>
      <c r="AP3" s="287" t="s">
        <v>84</v>
      </c>
      <c r="AQ3" s="288"/>
      <c r="AR3" s="288"/>
      <c r="AS3" s="288"/>
      <c r="AT3" s="288"/>
      <c r="AU3" s="289"/>
      <c r="AV3" s="287" t="s">
        <v>85</v>
      </c>
      <c r="AW3" s="288"/>
      <c r="AX3" s="288"/>
      <c r="AY3" s="288"/>
      <c r="AZ3" s="288"/>
      <c r="BA3" s="289"/>
      <c r="BB3" s="287" t="s">
        <v>86</v>
      </c>
      <c r="BC3" s="288"/>
      <c r="BD3" s="288"/>
      <c r="BE3" s="288"/>
      <c r="BF3" s="288"/>
      <c r="BG3" s="289"/>
      <c r="BH3" s="287" t="s">
        <v>87</v>
      </c>
      <c r="BI3" s="288"/>
      <c r="BJ3" s="288"/>
      <c r="BK3" s="288"/>
      <c r="BL3" s="288"/>
      <c r="BM3" s="289"/>
      <c r="BN3" s="287" t="s">
        <v>88</v>
      </c>
      <c r="BO3" s="288"/>
      <c r="BP3" s="288"/>
      <c r="BQ3" s="288"/>
      <c r="BR3" s="288"/>
      <c r="BS3" s="289"/>
      <c r="BT3" s="287" t="s">
        <v>89</v>
      </c>
      <c r="BU3" s="288"/>
      <c r="BV3" s="288"/>
      <c r="BW3" s="288"/>
      <c r="BX3" s="288"/>
      <c r="BY3" s="289"/>
      <c r="BZ3" s="287" t="s">
        <v>90</v>
      </c>
      <c r="CA3" s="288"/>
      <c r="CB3" s="288"/>
      <c r="CC3" s="288"/>
      <c r="CD3" s="288"/>
      <c r="CE3" s="289"/>
      <c r="CF3" s="287" t="s">
        <v>91</v>
      </c>
      <c r="CG3" s="288"/>
      <c r="CH3" s="288"/>
      <c r="CI3" s="288"/>
      <c r="CJ3" s="288"/>
      <c r="CK3" s="289"/>
      <c r="CL3" s="287" t="s">
        <v>92</v>
      </c>
      <c r="CM3" s="288"/>
      <c r="CN3" s="288"/>
      <c r="CO3" s="288"/>
      <c r="CP3" s="288"/>
      <c r="CQ3" s="289"/>
      <c r="CR3" s="287" t="s">
        <v>93</v>
      </c>
      <c r="CS3" s="288"/>
      <c r="CT3" s="288"/>
      <c r="CU3" s="288"/>
      <c r="CV3" s="288"/>
      <c r="CW3" s="289"/>
      <c r="CX3" s="287" t="s">
        <v>94</v>
      </c>
      <c r="CY3" s="288"/>
      <c r="CZ3" s="288"/>
      <c r="DA3" s="288"/>
      <c r="DB3" s="288"/>
      <c r="DC3" s="289"/>
      <c r="DD3" s="287" t="s">
        <v>95</v>
      </c>
      <c r="DE3" s="288"/>
      <c r="DF3" s="288"/>
      <c r="DG3" s="288"/>
      <c r="DH3" s="288"/>
      <c r="DI3" s="289"/>
      <c r="DJ3" s="287" t="s">
        <v>96</v>
      </c>
      <c r="DK3" s="288"/>
      <c r="DL3" s="288"/>
      <c r="DM3" s="288"/>
      <c r="DN3" s="288"/>
      <c r="DO3" s="289"/>
      <c r="DP3" s="287" t="s">
        <v>97</v>
      </c>
      <c r="DQ3" s="288"/>
      <c r="DR3" s="288"/>
      <c r="DS3" s="288"/>
      <c r="DT3" s="288"/>
      <c r="DU3" s="289"/>
      <c r="DV3" s="287" t="s">
        <v>98</v>
      </c>
      <c r="DW3" s="288"/>
      <c r="DX3" s="288"/>
      <c r="DY3" s="288"/>
      <c r="DZ3" s="288"/>
      <c r="EA3" s="289"/>
      <c r="EB3" s="287" t="s">
        <v>67</v>
      </c>
      <c r="EC3" s="288"/>
      <c r="ED3" s="288"/>
      <c r="EE3" s="288"/>
      <c r="EF3" s="288"/>
      <c r="EG3" s="289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9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0"/>
      <c r="B4" s="290"/>
      <c r="C4" s="290"/>
      <c r="D4" s="290"/>
      <c r="E4" s="290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1</v>
      </c>
      <c r="G5" s="33">
        <f>IFERROR(INDEX('[1]Sales per type Agustus'!$D$10:$BA$51,MATCH($C5,'[1]Sales per type Agustus'!$B$10:$B$51,0),MATCH("Y05",'[1]Sales per type Agustus'!$D$8:$BA$8,0)),0)</f>
        <v>5</v>
      </c>
      <c r="H5" s="33">
        <f t="shared" ref="H5:H48" si="0">F5-G5</f>
        <v>-4</v>
      </c>
      <c r="I5" s="33" cm="1">
        <f t="array" ref="I5">IFERROR(INDEX('[1]SALES PERTYPE'!$D$10:$BA$52,MATCH($C5,'[1]SALES PERTYPE'!$B$10:$B$52,0),MATCH("Y05",'[1]SALES PERTYPE'!$D$8:$BA$8,0)+1),0)</f>
        <v>2299000</v>
      </c>
      <c r="J5" s="33" cm="1">
        <f t="array" ref="J5">IFERROR(INDEX('[1]Sales per type Agustus'!$D$10:$BA$51,MATCH($C5,'[1]Sales per type Agustus'!$B$10:$B$51,0),MATCH("Y05",'[1]Sales per type Agustus'!$D$8:$BA$8,0)+1),0)</f>
        <v>12995000</v>
      </c>
      <c r="K5" s="33">
        <f t="shared" ref="K5:K48" si="1">I5-J5</f>
        <v>-10696000</v>
      </c>
      <c r="L5" s="33">
        <f>IFERROR(INDEX('[1]SALES PERTYPE'!$D$10:$BA$52,MATCH($C5,'[1]SALES PERTYPE'!$B$10:$B$52,0),MATCH("Y11d",'[1]SALES PERTYPE'!$D$8:$BA$8,0)),0)</f>
        <v>9</v>
      </c>
      <c r="M5" s="33">
        <f>IFERROR(INDEX('[1]Sales per type Agustus'!$D$10:$BA$51,MATCH($C5,'[1]Sales per type Agustus'!$B$10:$B$51,0),MATCH("Y11d",'[1]Sales per type Agustus'!$D$8:$BA$8,0)),0)</f>
        <v>2</v>
      </c>
      <c r="N5" s="33">
        <f t="shared" ref="N5:N48" si="2">L5-M5</f>
        <v>7</v>
      </c>
      <c r="O5" s="33" cm="1">
        <f t="array" ref="O5">IFERROR(INDEX('[1]SALES PERTYPE'!$D$10:$BA$52,MATCH($C5,'[1]SALES PERTYPE'!$B$10:$B$52,0),MATCH("Y11d",'[1]SALES PERTYPE'!$D$8:$BA$8,0)+1),0)</f>
        <v>22391000</v>
      </c>
      <c r="P5" s="33" cm="1">
        <f t="array" ref="P5">IFERROR(INDEX('[1]Sales per type Agustus'!$D$10:$BA$51,MATCH($C5,'[1]Sales per type Agustus'!$B$10:$B$51,0),MATCH("Y11d",'[1]Sales per type Agustus'!$D$8:$BA$8,0)+1),0)</f>
        <v>4798000</v>
      </c>
      <c r="Q5" s="33">
        <f t="shared" ref="Q5:Q48" si="3">O5-P5</f>
        <v>17593000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2</v>
      </c>
      <c r="Y5" s="33">
        <f>IFERROR(INDEX('[1]Sales per type Agustus'!$D$10:$BA$51,MATCH($C5,'[1]Sales per type Agustus'!$B$10:$B$51,0),MATCH("Y05e",'[1]Sales per type Agustus'!$D$8:$BA$8,0)),0)</f>
        <v>3</v>
      </c>
      <c r="Z5" s="33">
        <f t="shared" ref="Z5:Z48" si="6">X5-Y5</f>
        <v>-1</v>
      </c>
      <c r="AA5" s="33" cm="1">
        <f t="array" ref="AA5">IFERROR(INDEX('[1]SALES PERTYPE'!$D$10:$BA$52,MATCH($C5,'[1]SALES PERTYPE'!$B$10:$B$52,0),MATCH("Y05e",'[1]SALES PERTYPE'!$D$8:$BA$8,0)+1),0)</f>
        <v>4198000</v>
      </c>
      <c r="AB5" s="33" cm="1">
        <f t="array" ref="AB5">IFERROR(INDEX('[1]Sales per type Agustus'!$D$10:$BA$51,MATCH($C5,'[1]Sales per type Agustus'!$B$10:$B$51,0),MATCH("Y05e",'[1]Sales per type Agustus'!$D$8:$BA$8,0)+1),0)</f>
        <v>6297000</v>
      </c>
      <c r="AC5" s="33">
        <f t="shared" ref="AC5:AC48" si="7">AA5-AB5</f>
        <v>-2099000</v>
      </c>
      <c r="AD5" s="33">
        <f>IFERROR(INDEX('[1]SALES PERTYPE'!$D$10:$BA$52,MATCH($C5,'[1]SALES PERTYPE'!$B$10:$B$52,0),MATCH("V70",'[1]SALES PERTYPE'!$D$8:$BA$8,0)),0)</f>
        <v>4</v>
      </c>
      <c r="AE5" s="33">
        <f>IFERROR(INDEX('[1]Sales per type Agustus'!$D$10:$BA$51,MATCH($C5,'[1]Sales per type Agustus'!$B$10:$B$51,0),MATCH("V70",'[1]Sales per type Agustus'!$D$8:$BA$8,0)),0)</f>
        <v>0</v>
      </c>
      <c r="AF5" s="33">
        <f t="shared" ref="AF5:AF48" si="8">AD5-AE5</f>
        <v>4</v>
      </c>
      <c r="AG5" s="33" cm="1">
        <f t="array" ref="AG5">IFERROR(INDEX('[1]SALES PERTYPE'!$D$10:$BA$52,MATCH($C5,'[1]SALES PERTYPE'!$B$10:$B$52,0),MATCH("V70",'[1]SALES PERTYPE'!$D$8:$BA$8,0)+1),0)</f>
        <v>39996000</v>
      </c>
      <c r="AH5" s="33" cm="1">
        <f t="array" ref="AH5">IFERROR(INDEX('[1]Sales per type Agustus'!$D$10:$BA$51,MATCH($C5,'[1]Sales per type Agustus'!$B$10:$B$51,0),MATCH("V70",'[1]Sales per type Agustus'!$D$8:$BA$8,0)+1),0)</f>
        <v>0</v>
      </c>
      <c r="AI5" s="33">
        <f t="shared" ref="AI5:AI48" si="9">AG5-AH5</f>
        <v>39996000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4</v>
      </c>
      <c r="AL5" s="33">
        <f t="shared" ref="AL5:AL48" si="10">AJ5-AK5</f>
        <v>-4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17196000</v>
      </c>
      <c r="AO5" s="33">
        <f t="shared" ref="AO5:AO48" si="11">AM5-AN5</f>
        <v>-17196000</v>
      </c>
      <c r="AP5" s="33" cm="1">
        <f t="array" ref="AP5">IFERROR(INDEX('[1]SALES PERTYPE'!$D$10:$BA$52,MATCH($C5,'[1]SALES PERTYPE'!$B$10:$B$52,0),$EI$3),0)</f>
        <v>1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1</v>
      </c>
      <c r="AS5" s="33" cm="1">
        <f t="array" ref="AS5">IFERROR(INDEX('[1]SALES PERTYPE'!$D$10:$BA$52,MATCH($C5,'[1]SALES PERTYPE'!$B$10:$B$52,0),$EI$3+1),0)</f>
        <v>3599000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3599000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PERTYPE'!$D$10:$BA$52,MATCH($C5,'[1]SALES PERTYPE'!$B$10:$B$52,0),MATCH("IQOO 15R",'[1]SALES PERTYPE'!$D$8:$BA$8,0)),0)</f>
        <v>1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PERTYPE'!$D$10:$BA$52,MATCH($C5,'[1]SALES PERTYPE'!$B$10:$B$52,0),MATCH("IQOO 15R",'[1]SALES PERTYPE'!$D$8:$BA$8,0)+1),0)</f>
        <v>11999000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PERTYPE'!$D$10:$BA$52,MATCH($C5,'[1]SALES PERTYPE'!$B$10:$B$52,0),MATCH("V60 Lite",'[1]SALES PERTYPE'!$D$8:$BA$8,0)),0)</f>
        <v>2</v>
      </c>
      <c r="CA5" s="33">
        <f>IFERROR(INDEX('[1]Sales per type Agustus'!$D$10:$BA$51,MATCH($C5,'[1]Sales per type Agustus'!$B$10:$B$51,0),MATCH("V60 Lite",'[1]Sales per type Agustus'!$D$8:$BA$8,0)),0)</f>
        <v>3</v>
      </c>
      <c r="CB5" s="33">
        <f t="shared" ref="CB5:CB48" si="24">BZ5-CA5</f>
        <v>-1</v>
      </c>
      <c r="CC5" s="33" cm="1">
        <f t="array" ref="CC5">IFERROR(INDEX('[1]SALES PERTYPE'!$D$10:$BA$52,MATCH($C5,'[1]SALES PERTYPE'!$B$10:$B$52,0),MATCH("V60 Lite",'[1]SALES PERTYPE'!$D$8:$BA$8,0)+1),0)</f>
        <v>11798000</v>
      </c>
      <c r="CD5" s="33" cm="1">
        <f t="array" ref="CD5">IFERROR(INDEX('[1]Sales per type Agustus'!$D$10:$BA$51,MATCH($C5,'[1]Sales per type Agustus'!$B$10:$B$51,0),MATCH("V60 Lite",'[1]Sales per type Agustus'!$D$8:$BA$8,0)+1),0)</f>
        <v>17097000</v>
      </c>
      <c r="CE5" s="33">
        <f t="shared" ref="CE5:CE48" si="25">CC5-CD5</f>
        <v>-5299000</v>
      </c>
      <c r="CF5" s="33">
        <f>IFERROR(INDEX('[1]SALES PERTYPE'!$D$10:$BA$52,MATCH($C5,'[1]SALES PERTYPE'!$B$10:$B$52,0),MATCH("X300 Ultra",'[1]SALES PERTYPE'!$D$8:$BA$8,0)),0)</f>
        <v>1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1</v>
      </c>
      <c r="CI5" s="33" cm="1">
        <f t="array" ref="CI5">IFERROR(INDEX('[1]SALES PERTYPE'!$D$10:$BA$52,MATCH($C5,'[1]SALES PERTYPE'!$B$10:$B$52,0),MATCH("X300 Ultra",'[1]SALES PERTYPE'!$D$8:$BA$8,0)+1),0)</f>
        <v>25999000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25999000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2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1</v>
      </c>
      <c r="DA5" s="33" cm="1">
        <f t="array" ref="DA5">IFERROR(INDEX('[1]SALES PERTYPE'!$D$10:$BA$52,MATCH($C5,'[1]SALES PERTYPE'!$B$10:$B$52,0),MATCH("IQOO Z11",'[1]SALES PERTYPE'!$D$8:$BA$8,0)+1),0)</f>
        <v>13798000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5399000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24</v>
      </c>
      <c r="EC5" s="33">
        <f t="shared" si="42"/>
        <v>21</v>
      </c>
      <c r="ED5" s="33">
        <f t="shared" ref="ED5:ED48" si="43">EB5-EC5</f>
        <v>3</v>
      </c>
      <c r="EE5" s="33">
        <f t="shared" ref="EE5:EF47" si="44">I5+O5+U5+AA5+AG5+AM5+AS5+AY5+BE5+BK5+BQ5+BW5+CC5+CI5+CO5+CU5+DA5+DG5+DM5+DS5+DY5</f>
        <v>139676000</v>
      </c>
      <c r="EF5" s="33">
        <f t="shared" si="44"/>
        <v>85979000</v>
      </c>
      <c r="EG5" s="33">
        <f t="shared" ref="EG5:EG48" si="45">EE5-EF5</f>
        <v>53697000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PERTYPE'!$D$10:$BA$52,MATCH($C6,'[1]SALES PERTYPE'!$B$10:$B$52,0),MATCH("Y05",'[1]SALES PERTYPE'!$D$8:$BA$8,0)),0)</f>
        <v>12</v>
      </c>
      <c r="G6" s="33">
        <f>IFERROR(INDEX('[1]Sales per type Agustus'!$D$10:$BA$51,MATCH($C6,'[1]Sales per type Agustus'!$B$10:$B$51,0),MATCH("Y05",'[1]Sales per type Agustus'!$D$8:$BA$8,0)),0)</f>
        <v>19</v>
      </c>
      <c r="H6" s="33">
        <f t="shared" si="0"/>
        <v>-7</v>
      </c>
      <c r="I6" s="33" cm="1">
        <f t="array" ref="I6">IFERROR(INDEX('[1]SALES PERTYPE'!$D$10:$BA$52,MATCH($C6,'[1]SALES PERTYPE'!$B$10:$B$52,0),MATCH("Y05",'[1]SALES PERTYPE'!$D$8:$BA$8,0)+1),0)</f>
        <v>29088000</v>
      </c>
      <c r="J6" s="33" cm="1">
        <f t="array" ref="J6">IFERROR(INDEX('[1]Sales per type Agustus'!$D$10:$BA$51,MATCH($C6,'[1]Sales per type Agustus'!$B$10:$B$51,0),MATCH("Y05",'[1]Sales per type Agustus'!$D$8:$BA$8,0)+1),0)</f>
        <v>44581000</v>
      </c>
      <c r="K6" s="33">
        <f t="shared" si="1"/>
        <v>-15493000</v>
      </c>
      <c r="L6" s="33">
        <f>IFERROR(INDEX('[1]SALES PERTYPE'!$D$10:$BA$52,MATCH($C6,'[1]SALES PERTYPE'!$B$10:$B$52,0),MATCH("Y11d",'[1]SALES PERTYPE'!$D$8:$BA$8,0)),0)</f>
        <v>20</v>
      </c>
      <c r="M6" s="33">
        <f>IFERROR(INDEX('[1]Sales per type Agustus'!$D$10:$BA$51,MATCH($C6,'[1]Sales per type Agustus'!$B$10:$B$51,0),MATCH("Y11d",'[1]Sales per type Agustus'!$D$8:$BA$8,0)),0)</f>
        <v>12</v>
      </c>
      <c r="N6" s="33">
        <f t="shared" si="2"/>
        <v>8</v>
      </c>
      <c r="O6" s="33" cm="1">
        <f t="array" ref="O6">IFERROR(INDEX('[1]SALES PERTYPE'!$D$10:$BA$52,MATCH($C6,'[1]SALES PERTYPE'!$B$10:$B$52,0),MATCH("Y11d",'[1]SALES PERTYPE'!$D$8:$BA$8,0)+1),0)</f>
        <v>53580000</v>
      </c>
      <c r="P6" s="33" cm="1">
        <f t="array" ref="P6">IFERROR(INDEX('[1]Sales per type Agustus'!$D$10:$BA$51,MATCH($C6,'[1]Sales per type Agustus'!$B$10:$B$51,0),MATCH("Y11d",'[1]Sales per type Agustus'!$D$8:$BA$8,0)+1),0)</f>
        <v>31588000</v>
      </c>
      <c r="Q6" s="33">
        <f t="shared" si="3"/>
        <v>21992000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12</v>
      </c>
      <c r="Y6" s="33">
        <f>IFERROR(INDEX('[1]Sales per type Agustus'!$D$10:$BA$51,MATCH($C6,'[1]Sales per type Agustus'!$B$10:$B$51,0),MATCH("Y05e",'[1]Sales per type Agustus'!$D$8:$BA$8,0)),0)</f>
        <v>19</v>
      </c>
      <c r="Z6" s="33">
        <f t="shared" si="6"/>
        <v>-7</v>
      </c>
      <c r="AA6" s="33" cm="1">
        <f t="array" ref="AA6">IFERROR(INDEX('[1]SALES PERTYPE'!$D$10:$BA$52,MATCH($C6,'[1]SALES PERTYPE'!$B$10:$B$52,0),MATCH("Y05e",'[1]SALES PERTYPE'!$D$8:$BA$8,0)+1),0)</f>
        <v>25188000</v>
      </c>
      <c r="AB6" s="33" cm="1">
        <f t="array" ref="AB6">IFERROR(INDEX('[1]Sales per type Agustus'!$D$10:$BA$51,MATCH($C6,'[1]Sales per type Agustus'!$B$10:$B$51,0),MATCH("Y05e",'[1]Sales per type Agustus'!$D$8:$BA$8,0)+1),0)</f>
        <v>39881000</v>
      </c>
      <c r="AC6" s="33">
        <f t="shared" si="7"/>
        <v>-14693000</v>
      </c>
      <c r="AD6" s="33">
        <f>IFERROR(INDEX('[1]SALES PERTYPE'!$D$10:$BA$52,MATCH($C6,'[1]SALES PERTYPE'!$B$10:$B$52,0),MATCH("V70",'[1]SALES PERTYPE'!$D$8:$BA$8,0)),0)</f>
        <v>3</v>
      </c>
      <c r="AE6" s="33">
        <f>IFERROR(INDEX('[1]Sales per type Agustus'!$D$10:$BA$51,MATCH($C6,'[1]Sales per type Agustus'!$B$10:$B$51,0),MATCH("V70",'[1]Sales per type Agustus'!$D$8:$BA$8,0)),0)</f>
        <v>2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29997000</v>
      </c>
      <c r="AH6" s="33" cm="1">
        <f t="array" ref="AH6">IFERROR(INDEX('[1]Sales per type Agustus'!$D$10:$BA$51,MATCH($C6,'[1]Sales per type Agustus'!$B$10:$B$51,0),MATCH("V70",'[1]Sales per type Agustus'!$D$8:$BA$8,0)+1),0)</f>
        <v>19998000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10</v>
      </c>
      <c r="AK6" s="33">
        <f>IFERROR(INDEX('[1]Sales per type Agustus'!$D$10:$BA$51,MATCH($C6,'[1]Sales per type Agustus'!$B$10:$B$51,0),MATCH("Y31d Pro",'[1]Sales per type Agustus'!$D$8:$BA$8,0)),0)</f>
        <v>18</v>
      </c>
      <c r="AL6" s="33">
        <f t="shared" si="10"/>
        <v>-8</v>
      </c>
      <c r="AM6" s="33" cm="1">
        <f t="array" ref="AM6">IFERROR(INDEX('[1]SALES PERTYPE'!$D$10:$BA$52,MATCH($C6,'[1]SALES PERTYPE'!$B$10:$B$52,0),MATCH("Y31d Pro",'[1]SALES PERTYPE'!$D$8:$BA$8,0)+1),0)</f>
        <v>42390000</v>
      </c>
      <c r="AN6" s="33" cm="1">
        <f t="array" ref="AN6">IFERROR(INDEX('[1]Sales per type Agustus'!$D$10:$BA$51,MATCH($C6,'[1]Sales per type Agustus'!$B$10:$B$51,0),MATCH("Y31d Pro",'[1]Sales per type Agustus'!$D$8:$BA$8,0)+1),0)</f>
        <v>79782000</v>
      </c>
      <c r="AO6" s="33">
        <f t="shared" si="11"/>
        <v>-37392000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1</v>
      </c>
      <c r="AR6" s="33">
        <f t="shared" si="12"/>
        <v>-1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3599000</v>
      </c>
      <c r="AU6" s="33">
        <f t="shared" si="13"/>
        <v>-3599000</v>
      </c>
      <c r="AV6" s="33">
        <f>IFERROR(INDEX('[1]SALES PERTYPE'!$D$10:$BA$52,MATCH($C6,'[1]SALES PERTYPE'!$B$10:$B$52,0),MATCH("Y31d ",'[1]SALES PERTYPE'!$D$8:$BA$8,0)),0)</f>
        <v>1</v>
      </c>
      <c r="AW6" s="33">
        <f>IFERROR(INDEX('[1]Sales per type Agustus'!$D$10:$BA$51,MATCH($C6,'[1]Sales per type Agustus'!$B$10:$B$51,0),MATCH("Y31d ",'[1]Sales per type Agustus'!$D$8:$BA$8,0)),0)</f>
        <v>3</v>
      </c>
      <c r="AX6" s="33">
        <f t="shared" si="14"/>
        <v>-2</v>
      </c>
      <c r="AY6" s="33" cm="1">
        <f t="array" ref="AY6">IFERROR(INDEX('[1]SALES PERTYPE'!$D$10:$BA$52,MATCH($C6,'[1]SALES PERTYPE'!$B$10:$B$52,0),MATCH("Y31d ",'[1]SALES PERTYPE'!$D$8:$BA$8,0)+1),0)</f>
        <v>3599000</v>
      </c>
      <c r="AZ6" s="33" cm="1">
        <f t="array" ref="AZ6">IFERROR(INDEX('[1]Sales per type Agustus'!$D$10:$BA$51,MATCH($C6,'[1]Sales per type Agustus'!$B$10:$B$51,0),MATCH("Y31d ",'[1]Sales per type Agustus'!$D$8:$BA$8,0)+1),0)</f>
        <v>10797000</v>
      </c>
      <c r="BA6" s="33">
        <f t="shared" si="15"/>
        <v>-7198000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2</v>
      </c>
      <c r="BD6" s="33">
        <f t="shared" si="16"/>
        <v>-2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15998000</v>
      </c>
      <c r="BG6" s="33">
        <f t="shared" si="17"/>
        <v>-15998000</v>
      </c>
      <c r="BH6" s="33">
        <f>IFERROR(INDEX('[1]SALES PERTYPE'!$D$10:$BA$52,MATCH($C6,'[1]SALES PERTYPE'!$B$10:$B$52,0),MATCH("Y31d",'[1]SALES PERTYPE'!$D$8:$BA$8,0)),0)</f>
        <v>1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1</v>
      </c>
      <c r="BK6" s="33" cm="1">
        <f t="array" ref="BK6">IFERROR(INDEX('[1]SALES PERTYPE'!$D$10:$BA$52,MATCH($C6,'[1]SALES PERTYPE'!$B$10:$B$52,0),MATCH("Y31d",'[1]SALES PERTYPE'!$D$8:$BA$8,0)+1),0)</f>
        <v>3599000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3599000</v>
      </c>
      <c r="BN6" s="33">
        <f>IFERROR(INDEX('[1]SALES PERTYPE'!$D$10:$BA$52,MATCH($C6,'[1]SALES PERTYPE'!$B$10:$B$52,0),MATCH("Y500",'[1]SALES PERTYPE'!$D$8:$BA$8,0)),0)</f>
        <v>2</v>
      </c>
      <c r="BO6" s="33">
        <f>IFERROR(INDEX('[1]Sales per type Agustus'!$D$10:$BA$51,MATCH($C6,'[1]Sales per type Agustus'!$B$10:$B$51,0),MATCH("Y500",'[1]Sales per type Agustus'!$D$8:$BA$8,0)),0)</f>
        <v>3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11798000</v>
      </c>
      <c r="BR6" s="33" cm="1">
        <f t="array" ref="BR6">IFERROR(INDEX('[1]Sales per type Agustus'!$D$10:$BA$51,MATCH($C6,'[1]Sales per type Agustus'!$B$10:$B$51,0),MATCH("Y500",'[1]Sales per type Agustus'!$D$8:$BA$8,0)+1),0)</f>
        <v>18097000</v>
      </c>
      <c r="BS6" s="33">
        <f t="shared" si="21"/>
        <v>-6299000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2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2</v>
      </c>
      <c r="CC6" s="33" cm="1">
        <f t="array" ref="CC6">IFERROR(INDEX('[1]SALES PERTYPE'!$D$10:$BA$52,MATCH($C6,'[1]SALES PERTYPE'!$B$10:$B$52,0),MATCH("V60 Lite",'[1]SALES PERTYPE'!$D$8:$BA$8,0)+1),0)</f>
        <v>11798000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11798000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2</v>
      </c>
      <c r="CZ6" s="33">
        <f t="shared" si="32"/>
        <v>-2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15298000</v>
      </c>
      <c r="DC6" s="33">
        <f t="shared" si="33"/>
        <v>-15298000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63</v>
      </c>
      <c r="EC6" s="33">
        <f t="shared" si="42"/>
        <v>83</v>
      </c>
      <c r="ED6" s="33">
        <f t="shared" si="43"/>
        <v>-20</v>
      </c>
      <c r="EE6" s="33">
        <f t="shared" si="44"/>
        <v>211037000</v>
      </c>
      <c r="EF6" s="33">
        <f t="shared" si="44"/>
        <v>311317000</v>
      </c>
      <c r="EG6" s="33">
        <f t="shared" si="45"/>
        <v>-100280000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17</v>
      </c>
      <c r="G7" s="33">
        <f>IFERROR(INDEX('[1]Sales per type Agustus'!$D$10:$BA$51,MATCH($C7,'[1]Sales per type Agustus'!$B$10:$B$51,0),MATCH("Y05",'[1]Sales per type Agustus'!$D$8:$BA$8,0)),0)</f>
        <v>15</v>
      </c>
      <c r="H7" s="33">
        <f t="shared" si="0"/>
        <v>2</v>
      </c>
      <c r="I7" s="33" cm="1">
        <f t="array" ref="I7">IFERROR(INDEX('[1]SALES PERTYPE'!$D$10:$BA$52,MATCH($C7,'[1]SALES PERTYPE'!$B$10:$B$52,0),MATCH("Y05",'[1]SALES PERTYPE'!$D$8:$BA$8,0)+1),0)</f>
        <v>40583000</v>
      </c>
      <c r="J7" s="33" cm="1">
        <f t="array" ref="J7">IFERROR(INDEX('[1]Sales per type Agustus'!$D$10:$BA$51,MATCH($C7,'[1]Sales per type Agustus'!$B$10:$B$51,0),MATCH("Y05",'[1]Sales per type Agustus'!$D$8:$BA$8,0)+1),0)</f>
        <v>35685000</v>
      </c>
      <c r="K7" s="33">
        <f t="shared" si="1"/>
        <v>4898000</v>
      </c>
      <c r="L7" s="33">
        <f>IFERROR(INDEX('[1]SALES PERTYPE'!$D$10:$BA$52,MATCH($C7,'[1]SALES PERTYPE'!$B$10:$B$52,0),MATCH("Y11d",'[1]SALES PERTYPE'!$D$8:$BA$8,0)),0)</f>
        <v>22</v>
      </c>
      <c r="M7" s="33">
        <f>IFERROR(INDEX('[1]Sales per type Agustus'!$D$10:$BA$51,MATCH($C7,'[1]Sales per type Agustus'!$B$10:$B$51,0),MATCH("Y11d",'[1]Sales per type Agustus'!$D$8:$BA$8,0)),0)</f>
        <v>21</v>
      </c>
      <c r="N7" s="33">
        <f t="shared" si="2"/>
        <v>1</v>
      </c>
      <c r="O7" s="33" cm="1">
        <f t="array" ref="O7">IFERROR(INDEX('[1]SALES PERTYPE'!$D$10:$BA$52,MATCH($C7,'[1]SALES PERTYPE'!$B$10:$B$52,0),MATCH("Y11d",'[1]SALES PERTYPE'!$D$8:$BA$8,0)+1),0)</f>
        <v>59178000</v>
      </c>
      <c r="P7" s="33" cm="1">
        <f t="array" ref="P7">IFERROR(INDEX('[1]Sales per type Agustus'!$D$10:$BA$51,MATCH($C7,'[1]Sales per type Agustus'!$B$10:$B$51,0),MATCH("Y11d",'[1]Sales per type Agustus'!$D$8:$BA$8,0)+1),0)</f>
        <v>55579000</v>
      </c>
      <c r="Q7" s="33">
        <f t="shared" si="3"/>
        <v>3599000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16</v>
      </c>
      <c r="Y7" s="33">
        <f>IFERROR(INDEX('[1]Sales per type Agustus'!$D$10:$BA$51,MATCH($C7,'[1]Sales per type Agustus'!$B$10:$B$51,0),MATCH("Y05e",'[1]Sales per type Agustus'!$D$8:$BA$8,0)),0)</f>
        <v>32</v>
      </c>
      <c r="Z7" s="33">
        <f t="shared" si="6"/>
        <v>-16</v>
      </c>
      <c r="AA7" s="33" cm="1">
        <f t="array" ref="AA7">IFERROR(INDEX('[1]SALES PERTYPE'!$D$10:$BA$52,MATCH($C7,'[1]SALES PERTYPE'!$B$10:$B$52,0),MATCH("Y05e",'[1]SALES PERTYPE'!$D$8:$BA$8,0)+1),0)</f>
        <v>33584000</v>
      </c>
      <c r="AB7" s="33" cm="1">
        <f t="array" ref="AB7">IFERROR(INDEX('[1]Sales per type Agustus'!$D$10:$BA$51,MATCH($C7,'[1]Sales per type Agustus'!$B$10:$B$51,0),MATCH("Y05e",'[1]Sales per type Agustus'!$D$8:$BA$8,0)+1),0)</f>
        <v>67168000</v>
      </c>
      <c r="AC7" s="33">
        <f t="shared" si="7"/>
        <v>-33584000</v>
      </c>
      <c r="AD7" s="33">
        <f>IFERROR(INDEX('[1]SALES PERTYPE'!$D$10:$BA$52,MATCH($C7,'[1]SALES PERTYPE'!$B$10:$B$52,0),MATCH("V70",'[1]SALES PERTYPE'!$D$8:$BA$8,0)),0)</f>
        <v>2</v>
      </c>
      <c r="AE7" s="33">
        <f>IFERROR(INDEX('[1]Sales per type Agustus'!$D$10:$BA$51,MATCH($C7,'[1]Sales per type Agustus'!$B$10:$B$51,0),MATCH("V70",'[1]Sales per type Agustus'!$D$8:$BA$8,0)),0)</f>
        <v>1</v>
      </c>
      <c r="AF7" s="33">
        <f t="shared" si="8"/>
        <v>1</v>
      </c>
      <c r="AG7" s="33" cm="1">
        <f t="array" ref="AG7">IFERROR(INDEX('[1]SALES PERTYPE'!$D$10:$BA$52,MATCH($C7,'[1]SALES PERTYPE'!$B$10:$B$52,0),MATCH("V70",'[1]SALES PERTYPE'!$D$8:$BA$8,0)+1),0)</f>
        <v>19998000</v>
      </c>
      <c r="AH7" s="33" cm="1">
        <f t="array" ref="AH7">IFERROR(INDEX('[1]Sales per type Agustus'!$D$10:$BA$51,MATCH($C7,'[1]Sales per type Agustus'!$B$10:$B$51,0),MATCH("V70",'[1]Sales per type Agustus'!$D$8:$BA$8,0)+1),0)</f>
        <v>9999000</v>
      </c>
      <c r="AI7" s="33">
        <f t="shared" si="9"/>
        <v>9999000</v>
      </c>
      <c r="AJ7" s="33">
        <f>IFERROR(INDEX('[1]SALES PERTYPE'!$D$10:$BA$52,MATCH($C7,'[1]SALES PERTYPE'!$B$10:$B$52,0),MATCH("Y31d Pro",'[1]SALES PERTYPE'!$D$8:$BA$8,0)),0)</f>
        <v>9</v>
      </c>
      <c r="AK7" s="33">
        <f>IFERROR(INDEX('[1]Sales per type Agustus'!$D$10:$BA$51,MATCH($C7,'[1]Sales per type Agustus'!$B$10:$B$51,0),MATCH("Y31d Pro",'[1]Sales per type Agustus'!$D$8:$BA$8,0)),0)</f>
        <v>13</v>
      </c>
      <c r="AL7" s="33">
        <f t="shared" si="10"/>
        <v>-4</v>
      </c>
      <c r="AM7" s="33" cm="1">
        <f t="array" ref="AM7">IFERROR(INDEX('[1]SALES PERTYPE'!$D$10:$BA$52,MATCH($C7,'[1]SALES PERTYPE'!$B$10:$B$52,0),MATCH("Y31d Pro",'[1]SALES PERTYPE'!$D$8:$BA$8,0)+1),0)</f>
        <v>37291000</v>
      </c>
      <c r="AN7" s="33" cm="1">
        <f t="array" ref="AN7">IFERROR(INDEX('[1]Sales per type Agustus'!$D$10:$BA$51,MATCH($C7,'[1]Sales per type Agustus'!$B$10:$B$51,0),MATCH("Y31d Pro",'[1]Sales per type Agustus'!$D$8:$BA$8,0)+1),0)</f>
        <v>58687000</v>
      </c>
      <c r="AO7" s="33">
        <f t="shared" si="11"/>
        <v>-21396000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2</v>
      </c>
      <c r="BC7" s="33">
        <f>IFERROR(INDEX('[1]Sales per type Agustus'!$D$10:$BA$51,MATCH($C7,'[1]Sales per type Agustus'!$B$10:$B$51,0),MATCH("V70 FE",'[1]Sales per type Agustus'!$D$8:$BA$8,0)),0)</f>
        <v>0</v>
      </c>
      <c r="BD7" s="33">
        <f t="shared" si="16"/>
        <v>2</v>
      </c>
      <c r="BE7" s="33" cm="1">
        <f t="array" ref="BE7">IFERROR(INDEX('[1]SALES PERTYPE'!$D$10:$BA$52,MATCH($C7,'[1]SALES PERTYPE'!$B$10:$B$52,0),MATCH("V70 FE",'[1]SALES PERTYPE'!$D$8:$BA$8,0)+1),0)</f>
        <v>15998000</v>
      </c>
      <c r="BF7" s="33" cm="1">
        <f t="array" ref="BF7">IFERROR(INDEX('[1]Sales per type Agustus'!$D$10:$BA$51,MATCH($C7,'[1]Sales per type Agustus'!$B$10:$B$51,0),MATCH("V70 FE",'[1]Sales per type Agustus'!$D$8:$BA$8,0)+1),0)</f>
        <v>0</v>
      </c>
      <c r="BG7" s="33">
        <f t="shared" si="17"/>
        <v>15998000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1</v>
      </c>
      <c r="BP7" s="33">
        <f t="shared" si="20"/>
        <v>-1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5499000</v>
      </c>
      <c r="BS7" s="33">
        <f t="shared" si="21"/>
        <v>-5499000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1</v>
      </c>
      <c r="CA7" s="33">
        <f>IFERROR(INDEX('[1]Sales per type Agustus'!$D$10:$BA$51,MATCH($C7,'[1]Sales per type Agustus'!$B$10:$B$51,0),MATCH("V60 Lite",'[1]Sales per type Agustus'!$D$8:$BA$8,0)),0)</f>
        <v>1</v>
      </c>
      <c r="CB7" s="33">
        <f t="shared" si="24"/>
        <v>0</v>
      </c>
      <c r="CC7" s="33" cm="1">
        <f t="array" ref="CC7">IFERROR(INDEX('[1]SALES PERTYPE'!$D$10:$BA$52,MATCH($C7,'[1]SALES PERTYPE'!$B$10:$B$52,0),MATCH("V60 Lite",'[1]SALES PERTYPE'!$D$8:$BA$8,0)+1),0)</f>
        <v>5899000</v>
      </c>
      <c r="CD7" s="33" cm="1">
        <f t="array" ref="CD7">IFERROR(INDEX('[1]Sales per type Agustus'!$D$10:$BA$51,MATCH($C7,'[1]Sales per type Agustus'!$B$10:$B$51,0),MATCH("V60 Lite",'[1]Sales per type Agustus'!$D$8:$BA$8,0)+1),0)</f>
        <v>5299000</v>
      </c>
      <c r="CE7" s="33">
        <f t="shared" si="25"/>
        <v>600000</v>
      </c>
      <c r="CF7" s="33">
        <f>IFERROR(INDEX('[1]SALES PERTYPE'!$D$10:$BA$52,MATCH($C7,'[1]SALES PERTYPE'!$B$10:$B$52,0),MATCH("X300 Ultra",'[1]SALES PERTYPE'!$D$8:$BA$8,0)),0)</f>
        <v>1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1</v>
      </c>
      <c r="CI7" s="33" cm="1">
        <f t="array" ref="CI7">IFERROR(INDEX('[1]SALES PERTYPE'!$D$10:$BA$52,MATCH($C7,'[1]SALES PERTYPE'!$B$10:$B$52,0),MATCH("X300 Ultra",'[1]SALES PERTYPE'!$D$8:$BA$8,0)+1),0)</f>
        <v>25999000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25999000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1</v>
      </c>
      <c r="CT7" s="33">
        <f t="shared" si="30"/>
        <v>-1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5599000</v>
      </c>
      <c r="CW7" s="33">
        <f t="shared" si="31"/>
        <v>-5599000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2</v>
      </c>
      <c r="CZ7" s="33">
        <f t="shared" si="32"/>
        <v>-1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13598000</v>
      </c>
      <c r="DC7" s="33">
        <f t="shared" si="33"/>
        <v>-6699000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72</v>
      </c>
      <c r="EC7" s="33">
        <f t="shared" si="42"/>
        <v>87</v>
      </c>
      <c r="ED7" s="33">
        <f t="shared" si="43"/>
        <v>-15</v>
      </c>
      <c r="EE7" s="33">
        <f t="shared" si="44"/>
        <v>249028000</v>
      </c>
      <c r="EF7" s="33">
        <f t="shared" si="44"/>
        <v>257113000</v>
      </c>
      <c r="EG7" s="33">
        <f t="shared" si="45"/>
        <v>-8085000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PERTYPE'!$D$10:$BA$52,MATCH($C8,'[1]SALES PERTYPE'!$B$10:$B$52,0),MATCH("Y05",'[1]SALES PERTYPE'!$D$8:$BA$8,0)),0)</f>
        <v>3</v>
      </c>
      <c r="G8" s="33">
        <f>IFERROR(INDEX('[1]Sales per type Agustus'!$D$10:$BA$51,MATCH($C8,'[1]Sales per type Agustus'!$B$10:$B$51,0),MATCH("Y05",'[1]Sales per type Agustus'!$D$8:$BA$8,0)),0)</f>
        <v>2</v>
      </c>
      <c r="H8" s="33">
        <f t="shared" si="0"/>
        <v>1</v>
      </c>
      <c r="I8" s="33" cm="1">
        <f t="array" ref="I8">IFERROR(INDEX('[1]SALES PERTYPE'!$D$10:$BA$52,MATCH($C8,'[1]SALES PERTYPE'!$B$10:$B$52,0),MATCH("Y05",'[1]SALES PERTYPE'!$D$8:$BA$8,0)+1),0)</f>
        <v>7197000</v>
      </c>
      <c r="J8" s="33" cm="1">
        <f t="array" ref="J8">IFERROR(INDEX('[1]Sales per type Agustus'!$D$10:$BA$51,MATCH($C8,'[1]Sales per type Agustus'!$B$10:$B$51,0),MATCH("Y05",'[1]Sales per type Agustus'!$D$8:$BA$8,0)+1),0)</f>
        <v>4898000</v>
      </c>
      <c r="K8" s="33">
        <f t="shared" si="1"/>
        <v>2299000</v>
      </c>
      <c r="L8" s="33">
        <f>IFERROR(INDEX('[1]SALES PERTYPE'!$D$10:$BA$52,MATCH($C8,'[1]SALES PERTYPE'!$B$10:$B$52,0),MATCH("Y11d",'[1]SALES PERTYPE'!$D$8:$BA$8,0)),0)</f>
        <v>10</v>
      </c>
      <c r="M8" s="33">
        <f>IFERROR(INDEX('[1]Sales per type Agustus'!$D$10:$BA$51,MATCH($C8,'[1]Sales per type Agustus'!$B$10:$B$51,0),MATCH("Y11d",'[1]Sales per type Agustus'!$D$8:$BA$8,0)),0)</f>
        <v>6</v>
      </c>
      <c r="N8" s="33">
        <f t="shared" si="2"/>
        <v>4</v>
      </c>
      <c r="O8" s="33" cm="1">
        <f t="array" ref="O8">IFERROR(INDEX('[1]SALES PERTYPE'!$D$10:$BA$52,MATCH($C8,'[1]SALES PERTYPE'!$B$10:$B$52,0),MATCH("Y11d",'[1]SALES PERTYPE'!$D$8:$BA$8,0)+1),0)</f>
        <v>25590000</v>
      </c>
      <c r="P8" s="33" cm="1">
        <f t="array" ref="P8">IFERROR(INDEX('[1]Sales per type Agustus'!$D$10:$BA$51,MATCH($C8,'[1]Sales per type Agustus'!$B$10:$B$51,0),MATCH("Y11d",'[1]Sales per type Agustus'!$D$8:$BA$8,0)+1),0)</f>
        <v>15994000</v>
      </c>
      <c r="Q8" s="33">
        <f t="shared" si="3"/>
        <v>9596000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11</v>
      </c>
      <c r="Y8" s="33">
        <f>IFERROR(INDEX('[1]Sales per type Agustus'!$D$10:$BA$51,MATCH($C8,'[1]Sales per type Agustus'!$B$10:$B$51,0),MATCH("Y05e",'[1]Sales per type Agustus'!$D$8:$BA$8,0)),0)</f>
        <v>33</v>
      </c>
      <c r="Z8" s="33">
        <f t="shared" si="6"/>
        <v>-22</v>
      </c>
      <c r="AA8" s="33" cm="1">
        <f t="array" ref="AA8">IFERROR(INDEX('[1]SALES PERTYPE'!$D$10:$BA$52,MATCH($C8,'[1]SALES PERTYPE'!$B$10:$B$52,0),MATCH("Y05e",'[1]SALES PERTYPE'!$D$8:$BA$8,0)+1),0)</f>
        <v>23089000</v>
      </c>
      <c r="AB8" s="33" cm="1">
        <f t="array" ref="AB8">IFERROR(INDEX('[1]Sales per type Agustus'!$D$10:$BA$51,MATCH($C8,'[1]Sales per type Agustus'!$B$10:$B$51,0),MATCH("Y05e",'[1]Sales per type Agustus'!$D$8:$BA$8,0)+1),0)</f>
        <v>69267000</v>
      </c>
      <c r="AC8" s="33">
        <f t="shared" si="7"/>
        <v>-46178000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2</v>
      </c>
      <c r="AK8" s="33">
        <f>IFERROR(INDEX('[1]Sales per type Agustus'!$D$10:$BA$51,MATCH($C8,'[1]Sales per type Agustus'!$B$10:$B$51,0),MATCH("Y31d Pro",'[1]Sales per type Agustus'!$D$8:$BA$8,0)),0)</f>
        <v>5</v>
      </c>
      <c r="AL8" s="33">
        <f t="shared" si="10"/>
        <v>-3</v>
      </c>
      <c r="AM8" s="33" cm="1">
        <f t="array" ref="AM8">IFERROR(INDEX('[1]SALES PERTYPE'!$D$10:$BA$52,MATCH($C8,'[1]SALES PERTYPE'!$B$10:$B$52,0),MATCH("Y31d Pro",'[1]SALES PERTYPE'!$D$8:$BA$8,0)+1),0)</f>
        <v>9398000</v>
      </c>
      <c r="AN8" s="33" cm="1">
        <f t="array" ref="AN8">IFERROR(INDEX('[1]Sales per type Agustus'!$D$10:$BA$51,MATCH($C8,'[1]Sales per type Agustus'!$B$10:$B$51,0),MATCH("Y31d Pro",'[1]Sales per type Agustus'!$D$8:$BA$8,0)+1),0)</f>
        <v>20895000</v>
      </c>
      <c r="AO8" s="33">
        <f t="shared" si="11"/>
        <v>-11497000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1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1</v>
      </c>
      <c r="BK8" s="33" cm="1">
        <f t="array" ref="BK8">IFERROR(INDEX('[1]SALES PERTYPE'!$D$10:$BA$52,MATCH($C8,'[1]SALES PERTYPE'!$B$10:$B$52,0),MATCH("Y31d",'[1]SALES PERTYPE'!$D$8:$BA$8,0)+1),0)</f>
        <v>3599000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3599000</v>
      </c>
      <c r="BN8" s="33">
        <f>IFERROR(INDEX('[1]SALES PERTYPE'!$D$10:$BA$52,MATCH($C8,'[1]SALES PERTYPE'!$B$10:$B$52,0),MATCH("Y500",'[1]SALES PERTYPE'!$D$8:$BA$8,0)),0)</f>
        <v>0</v>
      </c>
      <c r="BO8" s="33">
        <f>IFERROR(INDEX('[1]Sales per type Agustus'!$D$10:$BA$51,MATCH($C8,'[1]Sales per type Agustus'!$B$10:$B$51,0),MATCH("Y500",'[1]Sales per type Agustus'!$D$8:$BA$8,0)),0)</f>
        <v>2</v>
      </c>
      <c r="BP8" s="33">
        <f t="shared" si="20"/>
        <v>-2</v>
      </c>
      <c r="BQ8" s="33" cm="1">
        <f t="array" ref="BQ8">IFERROR(INDEX('[1]SALES PERTYPE'!$D$10:$BA$52,MATCH($C8,'[1]SALES PERTYPE'!$B$10:$B$52,0),MATCH("Y500",'[1]SALES PERTYPE'!$D$8:$BA$8,0)+1),0)</f>
        <v>0</v>
      </c>
      <c r="BR8" s="33" cm="1">
        <f t="array" ref="BR8">IFERROR(INDEX('[1]Sales per type Agustus'!$D$10:$BA$51,MATCH($C8,'[1]Sales per type Agustus'!$B$10:$B$51,0),MATCH("Y500",'[1]Sales per type Agustus'!$D$8:$BA$8,0)+1),0)</f>
        <v>11798000</v>
      </c>
      <c r="BS8" s="33">
        <f t="shared" si="21"/>
        <v>-11798000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27</v>
      </c>
      <c r="EC8" s="33">
        <f t="shared" si="42"/>
        <v>49</v>
      </c>
      <c r="ED8" s="33">
        <f t="shared" si="43"/>
        <v>-22</v>
      </c>
      <c r="EE8" s="33">
        <f t="shared" si="44"/>
        <v>68873000</v>
      </c>
      <c r="EF8" s="33">
        <f t="shared" si="44"/>
        <v>128551000</v>
      </c>
      <c r="EG8" s="33">
        <f t="shared" si="45"/>
        <v>-59678000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21</v>
      </c>
      <c r="G9" s="33">
        <f>IFERROR(INDEX('[1]Sales per type Agustus'!$D$10:$BA$51,MATCH($C9,'[1]Sales per type Agustus'!$B$10:$B$51,0),MATCH("Y05",'[1]Sales per type Agustus'!$D$8:$BA$8,0)),0)</f>
        <v>17</v>
      </c>
      <c r="H9" s="33">
        <f t="shared" si="0"/>
        <v>4</v>
      </c>
      <c r="I9" s="33" cm="1">
        <f t="array" ref="I9">IFERROR(INDEX('[1]SALES PERTYPE'!$D$10:$BA$52,MATCH($C9,'[1]SALES PERTYPE'!$B$10:$B$52,0),MATCH("Y05",'[1]SALES PERTYPE'!$D$8:$BA$8,0)+1),0)</f>
        <v>51279000</v>
      </c>
      <c r="J9" s="33" cm="1">
        <f t="array" ref="J9">IFERROR(INDEX('[1]Sales per type Agustus'!$D$10:$BA$51,MATCH($C9,'[1]Sales per type Agustus'!$B$10:$B$51,0),MATCH("Y05",'[1]Sales per type Agustus'!$D$8:$BA$8,0)+1),0)</f>
        <v>40583000</v>
      </c>
      <c r="K9" s="33">
        <f t="shared" si="1"/>
        <v>10696000</v>
      </c>
      <c r="L9" s="33">
        <f>IFERROR(INDEX('[1]SALES PERTYPE'!$D$10:$BA$52,MATCH($C9,'[1]SALES PERTYPE'!$B$10:$B$52,0),MATCH("Y11d",'[1]SALES PERTYPE'!$D$8:$BA$8,0)),0)</f>
        <v>15</v>
      </c>
      <c r="M9" s="33">
        <f>IFERROR(INDEX('[1]Sales per type Agustus'!$D$10:$BA$51,MATCH($C9,'[1]Sales per type Agustus'!$B$10:$B$51,0),MATCH("Y11d",'[1]Sales per type Agustus'!$D$8:$BA$8,0)),0)</f>
        <v>17</v>
      </c>
      <c r="N9" s="33">
        <f t="shared" si="2"/>
        <v>-2</v>
      </c>
      <c r="O9" s="33" cm="1">
        <f t="array" ref="O9">IFERROR(INDEX('[1]SALES PERTYPE'!$D$10:$BA$52,MATCH($C9,'[1]SALES PERTYPE'!$B$10:$B$52,0),MATCH("Y11d",'[1]SALES PERTYPE'!$D$8:$BA$8,0)+1),0)</f>
        <v>40385000</v>
      </c>
      <c r="P9" s="33" cm="1">
        <f t="array" ref="P9">IFERROR(INDEX('[1]Sales per type Agustus'!$D$10:$BA$51,MATCH($C9,'[1]Sales per type Agustus'!$B$10:$B$51,0),MATCH("Y11d",'[1]Sales per type Agustus'!$D$8:$BA$8,0)+1),0)</f>
        <v>44383000</v>
      </c>
      <c r="Q9" s="33">
        <f t="shared" si="3"/>
        <v>-3998000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32</v>
      </c>
      <c r="Y9" s="33">
        <f>IFERROR(INDEX('[1]Sales per type Agustus'!$D$10:$BA$51,MATCH($C9,'[1]Sales per type Agustus'!$B$10:$B$51,0),MATCH("Y05e",'[1]Sales per type Agustus'!$D$8:$BA$8,0)),0)</f>
        <v>39</v>
      </c>
      <c r="Z9" s="33">
        <f t="shared" si="6"/>
        <v>-7</v>
      </c>
      <c r="AA9" s="33" cm="1">
        <f t="array" ref="AA9">IFERROR(INDEX('[1]SALES PERTYPE'!$D$10:$BA$52,MATCH($C9,'[1]SALES PERTYPE'!$B$10:$B$52,0),MATCH("Y05e",'[1]SALES PERTYPE'!$D$8:$BA$8,0)+1),0)</f>
        <v>67168000</v>
      </c>
      <c r="AB9" s="33" cm="1">
        <f t="array" ref="AB9">IFERROR(INDEX('[1]Sales per type Agustus'!$D$10:$BA$51,MATCH($C9,'[1]Sales per type Agustus'!$B$10:$B$51,0),MATCH("Y05e",'[1]Sales per type Agustus'!$D$8:$BA$8,0)+1),0)</f>
        <v>81861000</v>
      </c>
      <c r="AC9" s="33">
        <f t="shared" si="7"/>
        <v>-14693000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2</v>
      </c>
      <c r="AF9" s="33">
        <f t="shared" si="8"/>
        <v>-2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18998000</v>
      </c>
      <c r="AI9" s="33">
        <f t="shared" si="9"/>
        <v>-18998000</v>
      </c>
      <c r="AJ9" s="33">
        <f>IFERROR(INDEX('[1]SALES PERTYPE'!$D$10:$BA$52,MATCH($C9,'[1]SALES PERTYPE'!$B$10:$B$52,0),MATCH("Y31d Pro",'[1]SALES PERTYPE'!$D$8:$BA$8,0)),0)</f>
        <v>8</v>
      </c>
      <c r="AK9" s="33">
        <f>IFERROR(INDEX('[1]Sales per type Agustus'!$D$10:$BA$51,MATCH($C9,'[1]Sales per type Agustus'!$B$10:$B$51,0),MATCH("Y31d Pro",'[1]Sales per type Agustus'!$D$8:$BA$8,0)),0)</f>
        <v>4</v>
      </c>
      <c r="AL9" s="33">
        <f t="shared" si="10"/>
        <v>4</v>
      </c>
      <c r="AM9" s="33" cm="1">
        <f t="array" ref="AM9">IFERROR(INDEX('[1]SALES PERTYPE'!$D$10:$BA$52,MATCH($C9,'[1]SALES PERTYPE'!$B$10:$B$52,0),MATCH("Y31d Pro",'[1]SALES PERTYPE'!$D$8:$BA$8,0)+1),0)</f>
        <v>34992000</v>
      </c>
      <c r="AN9" s="33" cm="1">
        <f t="array" ref="AN9">IFERROR(INDEX('[1]Sales per type Agustus'!$D$10:$BA$51,MATCH($C9,'[1]Sales per type Agustus'!$B$10:$B$51,0),MATCH("Y31d Pro",'[1]Sales per type Agustus'!$D$8:$BA$8,0)+1),0)</f>
        <v>16796000</v>
      </c>
      <c r="AO9" s="33">
        <f t="shared" si="11"/>
        <v>18196000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1</v>
      </c>
      <c r="BD9" s="33">
        <f t="shared" si="16"/>
        <v>-1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6499000</v>
      </c>
      <c r="BG9" s="33">
        <f t="shared" si="17"/>
        <v>-6499000</v>
      </c>
      <c r="BH9" s="33">
        <f>IFERROR(INDEX('[1]SALES PERTYPE'!$D$10:$BA$52,MATCH($C9,'[1]SALES PERTYPE'!$B$10:$B$52,0),MATCH("Y31d",'[1]SALES PERTYPE'!$D$8:$BA$8,0)),0)</f>
        <v>6</v>
      </c>
      <c r="BI9" s="33">
        <f>IFERROR(INDEX('[1]Sales per type Agustus'!$D$10:$BA$51,MATCH($C9,'[1]Sales per type Agustus'!$B$10:$B$51,0),MATCH("Y31d",'[1]Sales per type Agustus'!$D$8:$BA$8,0)),0)</f>
        <v>4</v>
      </c>
      <c r="BJ9" s="33">
        <f t="shared" si="18"/>
        <v>2</v>
      </c>
      <c r="BK9" s="33" cm="1">
        <f t="array" ref="BK9">IFERROR(INDEX('[1]SALES PERTYPE'!$D$10:$BA$52,MATCH($C9,'[1]SALES PERTYPE'!$B$10:$B$52,0),MATCH("Y31d",'[1]SALES PERTYPE'!$D$8:$BA$8,0)+1),0)</f>
        <v>21594000</v>
      </c>
      <c r="BL9" s="33" cm="1">
        <f t="array" ref="BL9">IFERROR(INDEX('[1]Sales per type Agustus'!$D$10:$BA$51,MATCH($C9,'[1]Sales per type Agustus'!$B$10:$B$51,0),MATCH("Y31d",'[1]Sales per type Agustus'!$D$8:$BA$8,0)+1),0)</f>
        <v>14396000</v>
      </c>
      <c r="BM9" s="33">
        <f t="shared" si="19"/>
        <v>7198000</v>
      </c>
      <c r="BN9" s="33">
        <f>IFERROR(INDEX('[1]SALES PERTYPE'!$D$10:$BA$52,MATCH($C9,'[1]SALES PERTYPE'!$B$10:$B$52,0),MATCH("Y500",'[1]SALES PERTYPE'!$D$8:$BA$8,0)),0)</f>
        <v>5</v>
      </c>
      <c r="BO9" s="33">
        <f>IFERROR(INDEX('[1]Sales per type Agustus'!$D$10:$BA$51,MATCH($C9,'[1]Sales per type Agustus'!$B$10:$B$51,0),MATCH("Y500",'[1]Sales per type Agustus'!$D$8:$BA$8,0)),0)</f>
        <v>3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29095000</v>
      </c>
      <c r="BR9" s="33" cm="1">
        <f t="array" ref="BR9">IFERROR(INDEX('[1]Sales per type Agustus'!$D$10:$BA$51,MATCH($C9,'[1]Sales per type Agustus'!$B$10:$B$51,0),MATCH("Y500",'[1]Sales per type Agustus'!$D$8:$BA$8,0)+1),0)</f>
        <v>16497000</v>
      </c>
      <c r="BS9" s="33">
        <f t="shared" si="21"/>
        <v>12598000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5</v>
      </c>
      <c r="CA9" s="33">
        <f>IFERROR(INDEX('[1]Sales per type Agustus'!$D$10:$BA$51,MATCH($C9,'[1]Sales per type Agustus'!$B$10:$B$51,0),MATCH("V60 Lite",'[1]Sales per type Agustus'!$D$8:$BA$8,0)),0)</f>
        <v>3</v>
      </c>
      <c r="CB9" s="33">
        <f t="shared" si="24"/>
        <v>2</v>
      </c>
      <c r="CC9" s="33" cm="1">
        <f t="array" ref="CC9">IFERROR(INDEX('[1]SALES PERTYPE'!$D$10:$BA$52,MATCH($C9,'[1]SALES PERTYPE'!$B$10:$B$52,0),MATCH("V60 Lite",'[1]SALES PERTYPE'!$D$8:$BA$8,0)+1),0)</f>
        <v>29495000</v>
      </c>
      <c r="CD9" s="33" cm="1">
        <f t="array" ref="CD9">IFERROR(INDEX('[1]Sales per type Agustus'!$D$10:$BA$51,MATCH($C9,'[1]Sales per type Agustus'!$B$10:$B$51,0),MATCH("V60 Lite",'[1]Sales per type Agustus'!$D$8:$BA$8,0)+1),0)</f>
        <v>17097000</v>
      </c>
      <c r="CE9" s="33">
        <f t="shared" si="25"/>
        <v>12398000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4</v>
      </c>
      <c r="CY9" s="33">
        <f>IFERROR(INDEX('[1]Sales per type Agustus'!$D$10:$BA$51,MATCH($C9,'[1]Sales per type Agustus'!$B$10:$B$51,0),MATCH("IQOO Z11",'[1]Sales per type Agustus'!$D$8:$BA$8,0)),0)</f>
        <v>1</v>
      </c>
      <c r="CZ9" s="33">
        <f t="shared" si="32"/>
        <v>3</v>
      </c>
      <c r="DA9" s="33" cm="1">
        <f t="array" ref="DA9">IFERROR(INDEX('[1]SALES PERTYPE'!$D$10:$BA$52,MATCH($C9,'[1]SALES PERTYPE'!$B$10:$B$52,0),MATCH("IQOO Z11",'[1]SALES PERTYPE'!$D$8:$BA$8,0)+1),0)</f>
        <v>27596000</v>
      </c>
      <c r="DB9" s="33" cm="1">
        <f t="array" ref="DB9">IFERROR(INDEX('[1]Sales per type Agustus'!$D$10:$BA$51,MATCH($C9,'[1]Sales per type Agustus'!$B$10:$B$51,0),MATCH("IQOO Z11",'[1]Sales per type Agustus'!$D$8:$BA$8,0)+1),0)</f>
        <v>6899000</v>
      </c>
      <c r="DC9" s="33">
        <f t="shared" si="33"/>
        <v>20697000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96</v>
      </c>
      <c r="EC9" s="33">
        <f t="shared" si="42"/>
        <v>94</v>
      </c>
      <c r="ED9" s="33">
        <f t="shared" si="43"/>
        <v>2</v>
      </c>
      <c r="EE9" s="33">
        <f t="shared" si="44"/>
        <v>301604000</v>
      </c>
      <c r="EF9" s="33">
        <f t="shared" si="44"/>
        <v>274806000</v>
      </c>
      <c r="EG9" s="33">
        <f t="shared" si="45"/>
        <v>26798000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9</v>
      </c>
      <c r="G10" s="33">
        <f>IFERROR(INDEX('[1]Sales per type Agustus'!$D$10:$BA$51,MATCH($C10,'[1]Sales per type Agustus'!$B$10:$B$51,0),MATCH("Y05",'[1]Sales per type Agustus'!$D$8:$BA$8,0)),0)</f>
        <v>7</v>
      </c>
      <c r="H10" s="33">
        <f t="shared" si="0"/>
        <v>2</v>
      </c>
      <c r="I10" s="33" cm="1">
        <f t="array" ref="I10">IFERROR(INDEX('[1]SALES PERTYPE'!$D$10:$BA$52,MATCH($C10,'[1]SALES PERTYPE'!$B$10:$B$52,0),MATCH("Y05",'[1]SALES PERTYPE'!$D$8:$BA$8,0)+1),0)</f>
        <v>22491000</v>
      </c>
      <c r="J10" s="33" cm="1">
        <f t="array" ref="J10">IFERROR(INDEX('[1]Sales per type Agustus'!$D$10:$BA$51,MATCH($C10,'[1]Sales per type Agustus'!$B$10:$B$51,0),MATCH("Y05",'[1]Sales per type Agustus'!$D$8:$BA$8,0)+1),0)</f>
        <v>17293000</v>
      </c>
      <c r="K10" s="33">
        <f t="shared" si="1"/>
        <v>5198000</v>
      </c>
      <c r="L10" s="33">
        <f>IFERROR(INDEX('[1]SALES PERTYPE'!$D$10:$BA$52,MATCH($C10,'[1]SALES PERTYPE'!$B$10:$B$52,0),MATCH("Y11d",'[1]SALES PERTYPE'!$D$8:$BA$8,0)),0)</f>
        <v>7</v>
      </c>
      <c r="M10" s="33">
        <f>IFERROR(INDEX('[1]Sales per type Agustus'!$D$10:$BA$51,MATCH($C10,'[1]Sales per type Agustus'!$B$10:$B$51,0),MATCH("Y11d",'[1]Sales per type Agustus'!$D$8:$BA$8,0)),0)</f>
        <v>6</v>
      </c>
      <c r="N10" s="33">
        <f t="shared" si="2"/>
        <v>1</v>
      </c>
      <c r="O10" s="33" cm="1">
        <f t="array" ref="O10">IFERROR(INDEX('[1]SALES PERTYPE'!$D$10:$BA$52,MATCH($C10,'[1]SALES PERTYPE'!$B$10:$B$52,0),MATCH("Y11d",'[1]SALES PERTYPE'!$D$8:$BA$8,0)+1),0)</f>
        <v>17593000</v>
      </c>
      <c r="P10" s="33" cm="1">
        <f t="array" ref="P10">IFERROR(INDEX('[1]Sales per type Agustus'!$D$10:$BA$51,MATCH($C10,'[1]Sales per type Agustus'!$B$10:$B$51,0),MATCH("Y11d",'[1]Sales per type Agustus'!$D$8:$BA$8,0)+1),0)</f>
        <v>15994000</v>
      </c>
      <c r="Q10" s="33">
        <f t="shared" si="3"/>
        <v>1599000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12</v>
      </c>
      <c r="Y10" s="33">
        <f>IFERROR(INDEX('[1]Sales per type Agustus'!$D$10:$BA$51,MATCH($C10,'[1]Sales per type Agustus'!$B$10:$B$51,0),MATCH("Y05e",'[1]Sales per type Agustus'!$D$8:$BA$8,0)),0)</f>
        <v>20</v>
      </c>
      <c r="Z10" s="33">
        <f t="shared" si="6"/>
        <v>-8</v>
      </c>
      <c r="AA10" s="33" cm="1">
        <f t="array" ref="AA10">IFERROR(INDEX('[1]SALES PERTYPE'!$D$10:$BA$52,MATCH($C10,'[1]SALES PERTYPE'!$B$10:$B$52,0),MATCH("Y05e",'[1]SALES PERTYPE'!$D$8:$BA$8,0)+1),0)</f>
        <v>25188000</v>
      </c>
      <c r="AB10" s="33" cm="1">
        <f t="array" ref="AB10">IFERROR(INDEX('[1]Sales per type Agustus'!$D$10:$BA$51,MATCH($C10,'[1]Sales per type Agustus'!$B$10:$B$51,0),MATCH("Y05e",'[1]Sales per type Agustus'!$D$8:$BA$8,0)+1),0)</f>
        <v>41980000</v>
      </c>
      <c r="AC10" s="33">
        <f t="shared" si="7"/>
        <v>-16792000</v>
      </c>
      <c r="AD10" s="33">
        <f>IFERROR(INDEX('[1]SALES PERTYPE'!$D$10:$BA$52,MATCH($C10,'[1]SALES PERTYPE'!$B$10:$B$52,0),MATCH("V70",'[1]SALES PERTYPE'!$D$8:$BA$8,0)),0)</f>
        <v>2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2</v>
      </c>
      <c r="AG10" s="33" cm="1">
        <f t="array" ref="AG10">IFERROR(INDEX('[1]SALES PERTYPE'!$D$10:$BA$52,MATCH($C10,'[1]SALES PERTYPE'!$B$10:$B$52,0),MATCH("V70",'[1]SALES PERTYPE'!$D$8:$BA$8,0)+1),0)</f>
        <v>19998000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19998000</v>
      </c>
      <c r="AJ10" s="33">
        <f>IFERROR(INDEX('[1]SALES PERTYPE'!$D$10:$BA$52,MATCH($C10,'[1]SALES PERTYPE'!$B$10:$B$52,0),MATCH("Y31d Pro",'[1]SALES PERTYPE'!$D$8:$BA$8,0)),0)</f>
        <v>3</v>
      </c>
      <c r="AK10" s="33">
        <f>IFERROR(INDEX('[1]Sales per type Agustus'!$D$10:$BA$51,MATCH($C10,'[1]Sales per type Agustus'!$B$10:$B$51,0),MATCH("Y31d Pro",'[1]Sales per type Agustus'!$D$8:$BA$8,0)),0)</f>
        <v>6</v>
      </c>
      <c r="AL10" s="33">
        <f t="shared" si="10"/>
        <v>-3</v>
      </c>
      <c r="AM10" s="33" cm="1">
        <f t="array" ref="AM10">IFERROR(INDEX('[1]SALES PERTYPE'!$D$10:$BA$52,MATCH($C10,'[1]SALES PERTYPE'!$B$10:$B$52,0),MATCH("Y31d Pro",'[1]SALES PERTYPE'!$D$8:$BA$8,0)+1),0)</f>
        <v>12097000</v>
      </c>
      <c r="AN10" s="33" cm="1">
        <f t="array" ref="AN10">IFERROR(INDEX('[1]Sales per type Agustus'!$D$10:$BA$51,MATCH($C10,'[1]Sales per type Agustus'!$B$10:$B$51,0),MATCH("Y31d Pro",'[1]Sales per type Agustus'!$D$8:$BA$8,0)+1),0)</f>
        <v>25194000</v>
      </c>
      <c r="AO10" s="33">
        <f t="shared" si="11"/>
        <v>-13097000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1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0</v>
      </c>
      <c r="AY10" s="33" cm="1">
        <f t="array" ref="AY10">IFERROR(INDEX('[1]SALES PERTYPE'!$D$10:$BA$52,MATCH($C10,'[1]SALES PERTYPE'!$B$10:$B$52,0),MATCH("Y31d ",'[1]SALES PERTYPE'!$D$8:$BA$8,0)+1),0)</f>
        <v>3599000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1</v>
      </c>
      <c r="BP10" s="33">
        <f t="shared" si="20"/>
        <v>0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6299000</v>
      </c>
      <c r="BS10" s="33">
        <f t="shared" si="21"/>
        <v>-800000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1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1</v>
      </c>
      <c r="CC10" s="33" cm="1">
        <f t="array" ref="CC10">IFERROR(INDEX('[1]SALES PERTYPE'!$D$10:$BA$52,MATCH($C10,'[1]SALES PERTYPE'!$B$10:$B$52,0),MATCH("V60 Lite",'[1]SALES PERTYPE'!$D$8:$BA$8,0)+1),0)</f>
        <v>5899000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5899000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37</v>
      </c>
      <c r="EC10" s="33">
        <f t="shared" si="42"/>
        <v>41</v>
      </c>
      <c r="ED10" s="33">
        <f t="shared" si="43"/>
        <v>-4</v>
      </c>
      <c r="EE10" s="33">
        <f t="shared" si="44"/>
        <v>118063000</v>
      </c>
      <c r="EF10" s="33">
        <f t="shared" si="44"/>
        <v>110359000</v>
      </c>
      <c r="EG10" s="33">
        <f t="shared" si="45"/>
        <v>7704000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3</v>
      </c>
      <c r="G11" s="33">
        <f>IFERROR(INDEX('[1]Sales per type Agustus'!$D$10:$BA$51,MATCH($C11,'[1]Sales per type Agustus'!$B$10:$B$51,0),MATCH("Y05",'[1]Sales per type Agustus'!$D$8:$BA$8,0)),0)</f>
        <v>5</v>
      </c>
      <c r="H11" s="33">
        <f t="shared" si="0"/>
        <v>-2</v>
      </c>
      <c r="I11" s="33" cm="1">
        <f t="array" ref="I11">IFERROR(INDEX('[1]SALES PERTYPE'!$D$10:$BA$52,MATCH($C11,'[1]SALES PERTYPE'!$B$10:$B$52,0),MATCH("Y05",'[1]SALES PERTYPE'!$D$8:$BA$8,0)+1),0)</f>
        <v>7497000</v>
      </c>
      <c r="J11" s="33" cm="1">
        <f t="array" ref="J11">IFERROR(INDEX('[1]Sales per type Agustus'!$D$10:$BA$51,MATCH($C11,'[1]Sales per type Agustus'!$B$10:$B$51,0),MATCH("Y05",'[1]Sales per type Agustus'!$D$8:$BA$8,0)+1),0)</f>
        <v>11795000</v>
      </c>
      <c r="K11" s="33">
        <f t="shared" si="1"/>
        <v>-4298000</v>
      </c>
      <c r="L11" s="33">
        <f>IFERROR(INDEX('[1]SALES PERTYPE'!$D$10:$BA$52,MATCH($C11,'[1]SALES PERTYPE'!$B$10:$B$52,0),MATCH("Y11d",'[1]SALES PERTYPE'!$D$8:$BA$8,0)),0)</f>
        <v>7</v>
      </c>
      <c r="M11" s="33">
        <f>IFERROR(INDEX('[1]Sales per type Agustus'!$D$10:$BA$51,MATCH($C11,'[1]Sales per type Agustus'!$B$10:$B$51,0),MATCH("Y11d",'[1]Sales per type Agustus'!$D$8:$BA$8,0)),0)</f>
        <v>6</v>
      </c>
      <c r="N11" s="33">
        <f t="shared" si="2"/>
        <v>1</v>
      </c>
      <c r="O11" s="33" cm="1">
        <f t="array" ref="O11">IFERROR(INDEX('[1]SALES PERTYPE'!$D$10:$BA$52,MATCH($C11,'[1]SALES PERTYPE'!$B$10:$B$52,0),MATCH("Y11d",'[1]SALES PERTYPE'!$D$8:$BA$8,0)+1),0)</f>
        <v>18393000</v>
      </c>
      <c r="P11" s="33" cm="1">
        <f t="array" ref="P11">IFERROR(INDEX('[1]Sales per type Agustus'!$D$10:$BA$51,MATCH($C11,'[1]Sales per type Agustus'!$B$10:$B$51,0),MATCH("Y11d",'[1]Sales per type Agustus'!$D$8:$BA$8,0)+1),0)</f>
        <v>14394000</v>
      </c>
      <c r="Q11" s="33">
        <f t="shared" si="3"/>
        <v>3999000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2</v>
      </c>
      <c r="Y11" s="33">
        <f>IFERROR(INDEX('[1]Sales per type Agustus'!$D$10:$BA$51,MATCH($C11,'[1]Sales per type Agustus'!$B$10:$B$51,0),MATCH("Y05e",'[1]Sales per type Agustus'!$D$8:$BA$8,0)),0)</f>
        <v>3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4198000</v>
      </c>
      <c r="AB11" s="33" cm="1">
        <f t="array" ref="AB11">IFERROR(INDEX('[1]Sales per type Agustus'!$D$10:$BA$51,MATCH($C11,'[1]Sales per type Agustus'!$B$10:$B$51,0),MATCH("Y05e",'[1]Sales per type Agustus'!$D$8:$BA$8,0)+1),0)</f>
        <v>6297000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1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-1</v>
      </c>
      <c r="AG11" s="33" cm="1">
        <f t="array" ref="AG11">IFERROR(INDEX('[1]SALES PERTYPE'!$D$10:$BA$52,MATCH($C11,'[1]SALES PERTYPE'!$B$10:$B$52,0),MATCH("V70",'[1]SALES PERTYPE'!$D$8:$BA$8,0)+1),0)</f>
        <v>9999000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-9999000</v>
      </c>
      <c r="AJ11" s="33">
        <f>IFERROR(INDEX('[1]SALES PERTYPE'!$D$10:$BA$52,MATCH($C11,'[1]SALES PERTYPE'!$B$10:$B$52,0),MATCH("Y31d Pro",'[1]SALES PERTYPE'!$D$8:$BA$8,0)),0)</f>
        <v>5</v>
      </c>
      <c r="AK11" s="33">
        <f>IFERROR(INDEX('[1]Sales per type Agustus'!$D$10:$BA$51,MATCH($C11,'[1]Sales per type Agustus'!$B$10:$B$51,0),MATCH("Y31d Pro",'[1]Sales per type Agustus'!$D$8:$BA$8,0)),0)</f>
        <v>4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23495000</v>
      </c>
      <c r="AN11" s="33" cm="1">
        <f t="array" ref="AN11">IFERROR(INDEX('[1]Sales per type Agustus'!$D$10:$BA$51,MATCH($C11,'[1]Sales per type Agustus'!$B$10:$B$51,0),MATCH("Y31d Pro",'[1]Sales per type Agustus'!$D$8:$BA$8,0)+1),0)</f>
        <v>19196000</v>
      </c>
      <c r="AO11" s="33">
        <f t="shared" si="11"/>
        <v>4299000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1</v>
      </c>
      <c r="BC11" s="33">
        <f>IFERROR(INDEX('[1]Sales per type Agustus'!$D$10:$BA$51,MATCH($C11,'[1]Sales per type Agustus'!$B$10:$B$51,0),MATCH("V70 FE",'[1]Sales per type Agustus'!$D$8:$BA$8,0)),0)</f>
        <v>2</v>
      </c>
      <c r="BD11" s="33">
        <f t="shared" si="16"/>
        <v>-1</v>
      </c>
      <c r="BE11" s="33" cm="1">
        <f t="array" ref="BE11">IFERROR(INDEX('[1]SALES PERTYPE'!$D$10:$BA$52,MATCH($C11,'[1]SALES PERTYPE'!$B$10:$B$52,0),MATCH("V70 FE",'[1]SALES PERTYPE'!$D$8:$BA$8,0)+1),0)</f>
        <v>7999000</v>
      </c>
      <c r="BF11" s="33" cm="1">
        <f t="array" ref="BF11">IFERROR(INDEX('[1]Sales per type Agustus'!$D$10:$BA$51,MATCH($C11,'[1]Sales per type Agustus'!$B$10:$B$51,0),MATCH("V70 FE",'[1]Sales per type Agustus'!$D$8:$BA$8,0)+1),0)</f>
        <v>13498000</v>
      </c>
      <c r="BG11" s="33">
        <f t="shared" si="17"/>
        <v>-5499000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0</v>
      </c>
      <c r="CB11" s="33">
        <f t="shared" si="24"/>
        <v>0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0</v>
      </c>
      <c r="CE11" s="33">
        <f t="shared" si="25"/>
        <v>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1</v>
      </c>
      <c r="CH11" s="33">
        <f t="shared" si="26"/>
        <v>0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29999000</v>
      </c>
      <c r="CK11" s="33">
        <f t="shared" si="27"/>
        <v>-4000000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1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1</v>
      </c>
      <c r="CU11" s="33" cm="1">
        <f t="array" ref="CU11">IFERROR(INDEX('[1]SALES PERTYPE'!$D$10:$BA$52,MATCH($C11,'[1]SALES PERTYPE'!$B$10:$B$52,0),MATCH("IQOO Z11x",'[1]SALES PERTYPE'!$D$8:$BA$8,0)+1),0)</f>
        <v>5699000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5699000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1</v>
      </c>
      <c r="CZ11" s="33">
        <f t="shared" si="32"/>
        <v>-1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6899000</v>
      </c>
      <c r="DC11" s="33">
        <f t="shared" si="33"/>
        <v>-6899000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21</v>
      </c>
      <c r="EC11" s="33">
        <f t="shared" si="42"/>
        <v>24</v>
      </c>
      <c r="ED11" s="33">
        <f t="shared" si="43"/>
        <v>-3</v>
      </c>
      <c r="EE11" s="33">
        <f t="shared" si="44"/>
        <v>103279000</v>
      </c>
      <c r="EF11" s="33">
        <f t="shared" si="44"/>
        <v>122076000</v>
      </c>
      <c r="EG11" s="33">
        <f t="shared" si="45"/>
        <v>-18797000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1</v>
      </c>
      <c r="G12" s="33">
        <f>IFERROR(INDEX('[1]Sales per type Agustus'!$D$10:$BA$51,MATCH($C12,'[1]Sales per type Agustus'!$B$10:$B$51,0),MATCH("Y05",'[1]Sales per type Agustus'!$D$8:$BA$8,0)),0)</f>
        <v>3</v>
      </c>
      <c r="H12" s="33">
        <f t="shared" si="0"/>
        <v>-2</v>
      </c>
      <c r="I12" s="33" cm="1">
        <f t="array" ref="I12">IFERROR(INDEX('[1]SALES PERTYPE'!$D$10:$BA$52,MATCH($C12,'[1]SALES PERTYPE'!$B$10:$B$52,0),MATCH("Y05",'[1]SALES PERTYPE'!$D$8:$BA$8,0)+1),0)</f>
        <v>2299000</v>
      </c>
      <c r="J12" s="33" cm="1">
        <f t="array" ref="J12">IFERROR(INDEX('[1]Sales per type Agustus'!$D$10:$BA$51,MATCH($C12,'[1]Sales per type Agustus'!$B$10:$B$51,0),MATCH("Y05",'[1]Sales per type Agustus'!$D$8:$BA$8,0)+1),0)</f>
        <v>7197000</v>
      </c>
      <c r="K12" s="33">
        <f t="shared" si="1"/>
        <v>-4898000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3</v>
      </c>
      <c r="N12" s="33">
        <f t="shared" si="2"/>
        <v>-3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7997000</v>
      </c>
      <c r="Q12" s="33">
        <f t="shared" si="3"/>
        <v>-7997000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2</v>
      </c>
      <c r="Z12" s="33">
        <f t="shared" si="6"/>
        <v>-1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4198000</v>
      </c>
      <c r="AC12" s="33">
        <f t="shared" si="7"/>
        <v>-2099000</v>
      </c>
      <c r="AD12" s="33">
        <f>IFERROR(INDEX('[1]SALES PERTYPE'!$D$10:$BA$52,MATCH($C12,'[1]SALES PERTYPE'!$B$10:$B$52,0),MATCH("V70",'[1]SALES PERTYPE'!$D$8:$BA$8,0)),0)</f>
        <v>1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1</v>
      </c>
      <c r="AG12" s="33" cm="1">
        <f t="array" ref="AG12">IFERROR(INDEX('[1]SALES PERTYPE'!$D$10:$BA$52,MATCH($C12,'[1]SALES PERTYPE'!$B$10:$B$52,0),MATCH("V70",'[1]SALES PERTYPE'!$D$8:$BA$8,0)+1),0)</f>
        <v>9999000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9999000</v>
      </c>
      <c r="AJ12" s="33">
        <f>IFERROR(INDEX('[1]SALES PERTYPE'!$D$10:$BA$52,MATCH($C12,'[1]SALES PERTYPE'!$B$10:$B$52,0),MATCH("Y31d Pro",'[1]SALES PERTYPE'!$D$8:$BA$8,0)),0)</f>
        <v>1</v>
      </c>
      <c r="AK12" s="33">
        <f>IFERROR(INDEX('[1]Sales per type Agustus'!$D$10:$BA$51,MATCH($C12,'[1]Sales per type Agustus'!$B$10:$B$51,0),MATCH("Y31d Pro",'[1]Sales per type Agustus'!$D$8:$BA$8,0)),0)</f>
        <v>3</v>
      </c>
      <c r="AL12" s="33">
        <f t="shared" si="10"/>
        <v>-2</v>
      </c>
      <c r="AM12" s="33" cm="1">
        <f t="array" ref="AM12">IFERROR(INDEX('[1]SALES PERTYPE'!$D$10:$BA$52,MATCH($C12,'[1]SALES PERTYPE'!$B$10:$B$52,0),MATCH("Y31d Pro",'[1]SALES PERTYPE'!$D$8:$BA$8,0)+1),0)</f>
        <v>3899000</v>
      </c>
      <c r="AN12" s="33" cm="1">
        <f t="array" ref="AN12">IFERROR(INDEX('[1]Sales per type Agustus'!$D$10:$BA$51,MATCH($C12,'[1]Sales per type Agustus'!$B$10:$B$51,0),MATCH("Y31d Pro",'[1]Sales per type Agustus'!$D$8:$BA$8,0)+1),0)</f>
        <v>12097000</v>
      </c>
      <c r="AO12" s="33">
        <f t="shared" si="11"/>
        <v>-8198000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1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1</v>
      </c>
      <c r="BE12" s="33" cm="1">
        <f t="array" ref="BE12">IFERROR(INDEX('[1]SALES PERTYPE'!$D$10:$BA$52,MATCH($C12,'[1]SALES PERTYPE'!$B$10:$B$52,0),MATCH("V70 FE",'[1]SALES PERTYPE'!$D$8:$BA$8,0)+1),0)</f>
        <v>7999000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7999000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1</v>
      </c>
      <c r="CA12" s="33">
        <f>IFERROR(INDEX('[1]Sales per type Agustus'!$D$10:$BA$51,MATCH($C12,'[1]Sales per type Agustus'!$B$10:$B$51,0),MATCH("V60 Lite",'[1]Sales per type Agustus'!$D$8:$BA$8,0)),0)</f>
        <v>1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5899000</v>
      </c>
      <c r="CD12" s="33" cm="1">
        <f t="array" ref="CD12">IFERROR(INDEX('[1]Sales per type Agustus'!$D$10:$BA$51,MATCH($C12,'[1]Sales per type Agustus'!$B$10:$B$51,0),MATCH("V60 Lite",'[1]Sales per type Agustus'!$D$8:$BA$8,0)+1),0)</f>
        <v>6499000</v>
      </c>
      <c r="CE12" s="33">
        <f t="shared" si="25"/>
        <v>-600000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2</v>
      </c>
      <c r="CH12" s="33">
        <f t="shared" si="26"/>
        <v>-2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55998000</v>
      </c>
      <c r="CK12" s="33">
        <f t="shared" si="27"/>
        <v>-55998000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1</v>
      </c>
      <c r="CZ12" s="33">
        <f t="shared" si="32"/>
        <v>-1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7999000</v>
      </c>
      <c r="DC12" s="33">
        <f t="shared" si="33"/>
        <v>-7999000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6</v>
      </c>
      <c r="EC12" s="33">
        <f t="shared" si="42"/>
        <v>17</v>
      </c>
      <c r="ED12" s="33">
        <f t="shared" si="43"/>
        <v>-11</v>
      </c>
      <c r="EE12" s="33">
        <f t="shared" si="44"/>
        <v>32194000</v>
      </c>
      <c r="EF12" s="33">
        <f t="shared" si="44"/>
        <v>123483000</v>
      </c>
      <c r="EG12" s="33">
        <f t="shared" si="45"/>
        <v>-91289000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8</v>
      </c>
      <c r="G13" s="33">
        <f>IFERROR(INDEX('[1]Sales per type Agustus'!$D$10:$BA$51,MATCH($C13,'[1]Sales per type Agustus'!$B$10:$B$51,0),MATCH("Y05",'[1]Sales per type Agustus'!$D$8:$BA$8,0)),0)</f>
        <v>9</v>
      </c>
      <c r="H13" s="33">
        <f t="shared" si="0"/>
        <v>-1</v>
      </c>
      <c r="I13" s="33" cm="1">
        <f t="array" ref="I13">IFERROR(INDEX('[1]SALES PERTYPE'!$D$10:$BA$52,MATCH($C13,'[1]SALES PERTYPE'!$B$10:$B$52,0),MATCH("Y05",'[1]SALES PERTYPE'!$D$8:$BA$8,0)+1),0)</f>
        <v>19592000</v>
      </c>
      <c r="J13" s="33" cm="1">
        <f t="array" ref="J13">IFERROR(INDEX('[1]Sales per type Agustus'!$D$10:$BA$51,MATCH($C13,'[1]Sales per type Agustus'!$B$10:$B$51,0),MATCH("Y05",'[1]Sales per type Agustus'!$D$8:$BA$8,0)+1),0)</f>
        <v>21891000</v>
      </c>
      <c r="K13" s="33">
        <f t="shared" si="1"/>
        <v>-2299000</v>
      </c>
      <c r="L13" s="33">
        <f>IFERROR(INDEX('[1]SALES PERTYPE'!$D$10:$BA$52,MATCH($C13,'[1]SALES PERTYPE'!$B$10:$B$52,0),MATCH("Y11d",'[1]SALES PERTYPE'!$D$8:$BA$8,0)),0)</f>
        <v>12</v>
      </c>
      <c r="M13" s="33">
        <f>IFERROR(INDEX('[1]Sales per type Agustus'!$D$10:$BA$51,MATCH($C13,'[1]Sales per type Agustus'!$B$10:$B$51,0),MATCH("Y11d",'[1]Sales per type Agustus'!$D$8:$BA$8,0)),0)</f>
        <v>4</v>
      </c>
      <c r="N13" s="33">
        <f t="shared" si="2"/>
        <v>8</v>
      </c>
      <c r="O13" s="33" cm="1">
        <f t="array" ref="O13">IFERROR(INDEX('[1]SALES PERTYPE'!$D$10:$BA$52,MATCH($C13,'[1]SALES PERTYPE'!$B$10:$B$52,0),MATCH("Y11d",'[1]SALES PERTYPE'!$D$8:$BA$8,0)+1),0)</f>
        <v>31188000</v>
      </c>
      <c r="P13" s="33" cm="1">
        <f t="array" ref="P13">IFERROR(INDEX('[1]Sales per type Agustus'!$D$10:$BA$51,MATCH($C13,'[1]Sales per type Agustus'!$B$10:$B$51,0),MATCH("Y11d",'[1]Sales per type Agustus'!$D$8:$BA$8,0)+1),0)</f>
        <v>11196000</v>
      </c>
      <c r="Q13" s="33">
        <f t="shared" si="3"/>
        <v>19992000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3</v>
      </c>
      <c r="Y13" s="33">
        <f>IFERROR(INDEX('[1]Sales per type Agustus'!$D$10:$BA$51,MATCH($C13,'[1]Sales per type Agustus'!$B$10:$B$51,0),MATCH("Y05e",'[1]Sales per type Agustus'!$D$8:$BA$8,0)),0)</f>
        <v>3</v>
      </c>
      <c r="Z13" s="33">
        <f t="shared" si="6"/>
        <v>0</v>
      </c>
      <c r="AA13" s="33" cm="1">
        <f t="array" ref="AA13">IFERROR(INDEX('[1]SALES PERTYPE'!$D$10:$BA$52,MATCH($C13,'[1]SALES PERTYPE'!$B$10:$B$52,0),MATCH("Y05e",'[1]SALES PERTYPE'!$D$8:$BA$8,0)+1),0)</f>
        <v>6297000</v>
      </c>
      <c r="AB13" s="33" cm="1">
        <f t="array" ref="AB13">IFERROR(INDEX('[1]Sales per type Agustus'!$D$10:$BA$51,MATCH($C13,'[1]Sales per type Agustus'!$B$10:$B$51,0),MATCH("Y05e",'[1]Sales per type Agustus'!$D$8:$BA$8,0)+1),0)</f>
        <v>6297000</v>
      </c>
      <c r="AC13" s="33">
        <f t="shared" si="7"/>
        <v>0</v>
      </c>
      <c r="AD13" s="33">
        <f>IFERROR(INDEX('[1]SALES PERTYPE'!$D$10:$BA$52,MATCH($C13,'[1]SALES PERTYPE'!$B$10:$B$52,0),MATCH("V70",'[1]SALES PERTYPE'!$D$8:$BA$8,0)),0)</f>
        <v>2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2</v>
      </c>
      <c r="AG13" s="33" cm="1">
        <f t="array" ref="AG13">IFERROR(INDEX('[1]SALES PERTYPE'!$D$10:$BA$52,MATCH($C13,'[1]SALES PERTYPE'!$B$10:$B$52,0),MATCH("V70",'[1]SALES PERTYPE'!$D$8:$BA$8,0)+1),0)</f>
        <v>19998000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19998000</v>
      </c>
      <c r="AJ13" s="33">
        <f>IFERROR(INDEX('[1]SALES PERTYPE'!$D$10:$BA$52,MATCH($C13,'[1]SALES PERTYPE'!$B$10:$B$52,0),MATCH("Y31d Pro",'[1]SALES PERTYPE'!$D$8:$BA$8,0)),0)</f>
        <v>2</v>
      </c>
      <c r="AK13" s="33">
        <f>IFERROR(INDEX('[1]Sales per type Agustus'!$D$10:$BA$51,MATCH($C13,'[1]Sales per type Agustus'!$B$10:$B$51,0),MATCH("Y31d Pro",'[1]Sales per type Agustus'!$D$8:$BA$8,0)),0)</f>
        <v>6</v>
      </c>
      <c r="AL13" s="33">
        <f t="shared" si="10"/>
        <v>-4</v>
      </c>
      <c r="AM13" s="33" cm="1">
        <f t="array" ref="AM13">IFERROR(INDEX('[1]SALES PERTYPE'!$D$10:$BA$52,MATCH($C13,'[1]SALES PERTYPE'!$B$10:$B$52,0),MATCH("Y31d Pro",'[1]SALES PERTYPE'!$D$8:$BA$8,0)+1),0)</f>
        <v>8598000</v>
      </c>
      <c r="AN13" s="33" cm="1">
        <f t="array" ref="AN13">IFERROR(INDEX('[1]Sales per type Agustus'!$D$10:$BA$51,MATCH($C13,'[1]Sales per type Agustus'!$B$10:$B$51,0),MATCH("Y31d Pro",'[1]Sales per type Agustus'!$D$8:$BA$8,0)+1),0)</f>
        <v>27394000</v>
      </c>
      <c r="AO13" s="33">
        <f t="shared" si="11"/>
        <v>-18796000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1</v>
      </c>
      <c r="AW13" s="33">
        <f>IFERROR(INDEX('[1]Sales per type Agustus'!$D$10:$BA$51,MATCH($C13,'[1]Sales per type Agustus'!$B$10:$B$51,0),MATCH("Y31d ",'[1]Sales per type Agustus'!$D$8:$BA$8,0)),0)</f>
        <v>2</v>
      </c>
      <c r="AX13" s="33">
        <f t="shared" si="14"/>
        <v>-1</v>
      </c>
      <c r="AY13" s="33" cm="1">
        <f t="array" ref="AY13">IFERROR(INDEX('[1]SALES PERTYPE'!$D$10:$BA$52,MATCH($C13,'[1]SALES PERTYPE'!$B$10:$B$52,0),MATCH("Y31d ",'[1]SALES PERTYPE'!$D$8:$BA$8,0)+1),0)</f>
        <v>3599000</v>
      </c>
      <c r="AZ13" s="33" cm="1">
        <f t="array" ref="AZ13">IFERROR(INDEX('[1]Sales per type Agustus'!$D$10:$BA$51,MATCH($C13,'[1]Sales per type Agustus'!$B$10:$B$51,0),MATCH("Y31d ",'[1]Sales per type Agustus'!$D$8:$BA$8,0)+1),0)</f>
        <v>7198000</v>
      </c>
      <c r="BA13" s="33">
        <f t="shared" si="15"/>
        <v>-3599000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1</v>
      </c>
      <c r="BP13" s="33">
        <f t="shared" si="20"/>
        <v>-1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6299000</v>
      </c>
      <c r="BS13" s="33">
        <f t="shared" si="21"/>
        <v>-6299000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4</v>
      </c>
      <c r="CA13" s="33">
        <f>IFERROR(INDEX('[1]Sales per type Agustus'!$D$10:$BA$51,MATCH($C13,'[1]Sales per type Agustus'!$B$10:$B$51,0),MATCH("V60 Lite",'[1]Sales per type Agustus'!$D$8:$BA$8,0)),0)</f>
        <v>3</v>
      </c>
      <c r="CB13" s="33">
        <f t="shared" si="24"/>
        <v>1</v>
      </c>
      <c r="CC13" s="33" cm="1">
        <f t="array" ref="CC13">IFERROR(INDEX('[1]SALES PERTYPE'!$D$10:$BA$52,MATCH($C13,'[1]SALES PERTYPE'!$B$10:$B$52,0),MATCH("V60 Lite",'[1]SALES PERTYPE'!$D$8:$BA$8,0)+1),0)</f>
        <v>23596000</v>
      </c>
      <c r="CD13" s="33" cm="1">
        <f t="array" ref="CD13">IFERROR(INDEX('[1]Sales per type Agustus'!$D$10:$BA$51,MATCH($C13,'[1]Sales per type Agustus'!$B$10:$B$51,0),MATCH("V60 Lite",'[1]Sales per type Agustus'!$D$8:$BA$8,0)+1),0)</f>
        <v>17197000</v>
      </c>
      <c r="CE13" s="33">
        <f t="shared" si="25"/>
        <v>6399000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33</v>
      </c>
      <c r="EC13" s="33">
        <f t="shared" si="42"/>
        <v>29</v>
      </c>
      <c r="ED13" s="33">
        <f t="shared" si="43"/>
        <v>4</v>
      </c>
      <c r="EE13" s="33">
        <f t="shared" si="44"/>
        <v>116467000</v>
      </c>
      <c r="EF13" s="33">
        <f t="shared" si="44"/>
        <v>103171000</v>
      </c>
      <c r="EG13" s="33">
        <f t="shared" si="45"/>
        <v>13296000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6</v>
      </c>
      <c r="G14" s="33">
        <f>IFERROR(INDEX('[1]Sales per type Agustus'!$D$10:$BA$51,MATCH($C14,'[1]Sales per type Agustus'!$B$10:$B$51,0),MATCH("Y05",'[1]Sales per type Agustus'!$D$8:$BA$8,0)),0)</f>
        <v>2</v>
      </c>
      <c r="H14" s="33">
        <f t="shared" si="0"/>
        <v>4</v>
      </c>
      <c r="I14" s="33" cm="1">
        <f t="array" ref="I14">IFERROR(INDEX('[1]SALES PERTYPE'!$D$10:$BA$52,MATCH($C14,'[1]SALES PERTYPE'!$B$10:$B$52,0),MATCH("Y05",'[1]SALES PERTYPE'!$D$8:$BA$8,0)+1),0)</f>
        <v>15294000</v>
      </c>
      <c r="J14" s="33" cm="1">
        <f t="array" ref="J14">IFERROR(INDEX('[1]Sales per type Agustus'!$D$10:$BA$51,MATCH($C14,'[1]Sales per type Agustus'!$B$10:$B$51,0),MATCH("Y05",'[1]Sales per type Agustus'!$D$8:$BA$8,0)+1),0)</f>
        <v>4898000</v>
      </c>
      <c r="K14" s="33">
        <f t="shared" si="1"/>
        <v>10396000</v>
      </c>
      <c r="L14" s="33">
        <f>IFERROR(INDEX('[1]SALES PERTYPE'!$D$10:$BA$52,MATCH($C14,'[1]SALES PERTYPE'!$B$10:$B$52,0),MATCH("Y11d",'[1]SALES PERTYPE'!$D$8:$BA$8,0)),0)</f>
        <v>2</v>
      </c>
      <c r="M14" s="33">
        <f>IFERROR(INDEX('[1]Sales per type Agustus'!$D$10:$BA$51,MATCH($C14,'[1]Sales per type Agustus'!$B$10:$B$51,0),MATCH("Y11d",'[1]Sales per type Agustus'!$D$8:$BA$8,0)),0)</f>
        <v>4</v>
      </c>
      <c r="N14" s="33">
        <f t="shared" si="2"/>
        <v>-2</v>
      </c>
      <c r="O14" s="33" cm="1">
        <f t="array" ref="O14">IFERROR(INDEX('[1]SALES PERTYPE'!$D$10:$BA$52,MATCH($C14,'[1]SALES PERTYPE'!$B$10:$B$52,0),MATCH("Y11d",'[1]SALES PERTYPE'!$D$8:$BA$8,0)+1),0)</f>
        <v>5198000</v>
      </c>
      <c r="P14" s="33" cm="1">
        <f t="array" ref="P14">IFERROR(INDEX('[1]Sales per type Agustus'!$D$10:$BA$51,MATCH($C14,'[1]Sales per type Agustus'!$B$10:$B$51,0),MATCH("Y11d",'[1]Sales per type Agustus'!$D$8:$BA$8,0)+1),0)</f>
        <v>11196000</v>
      </c>
      <c r="Q14" s="33">
        <f t="shared" si="3"/>
        <v>-5998000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2</v>
      </c>
      <c r="Z14" s="33">
        <f t="shared" si="6"/>
        <v>-2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4198000</v>
      </c>
      <c r="AC14" s="33">
        <f t="shared" si="7"/>
        <v>-4198000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2</v>
      </c>
      <c r="AK14" s="33">
        <f>IFERROR(INDEX('[1]Sales per type Agustus'!$D$10:$BA$51,MATCH($C14,'[1]Sales per type Agustus'!$B$10:$B$51,0),MATCH("Y31d Pro",'[1]Sales per type Agustus'!$D$8:$BA$8,0)),0)</f>
        <v>3</v>
      </c>
      <c r="AL14" s="33">
        <f t="shared" si="10"/>
        <v>-1</v>
      </c>
      <c r="AM14" s="33" cm="1">
        <f t="array" ref="AM14">IFERROR(INDEX('[1]SALES PERTYPE'!$D$10:$BA$52,MATCH($C14,'[1]SALES PERTYPE'!$B$10:$B$52,0),MATCH("Y31d Pro",'[1]SALES PERTYPE'!$D$8:$BA$8,0)+1),0)</f>
        <v>8598000</v>
      </c>
      <c r="AN14" s="33" cm="1">
        <f t="array" ref="AN14">IFERROR(INDEX('[1]Sales per type Agustus'!$D$10:$BA$51,MATCH($C14,'[1]Sales per type Agustus'!$B$10:$B$51,0),MATCH("Y31d Pro",'[1]Sales per type Agustus'!$D$8:$BA$8,0)+1),0)</f>
        <v>12097000</v>
      </c>
      <c r="AO14" s="33">
        <f t="shared" si="11"/>
        <v>-3499000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PERTYPE'!$D$10:$BA$52,MATCH($C14,'[1]SALES PERTYPE'!$B$10:$B$52,0),MATCH("Y31d",'[1]SALES PERTYPE'!$D$8:$BA$8,0)),0)</f>
        <v>1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1</v>
      </c>
      <c r="BK14" s="33" cm="1">
        <f t="array" ref="BK14">IFERROR(INDEX('[1]SALES PERTYPE'!$D$10:$BA$52,MATCH($C14,'[1]SALES PERTYPE'!$B$10:$B$52,0),MATCH("Y31d",'[1]SALES PERTYPE'!$D$8:$BA$8,0)+1),0)</f>
        <v>3599000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3599000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1</v>
      </c>
      <c r="CB14" s="33">
        <f t="shared" si="24"/>
        <v>-1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5299000</v>
      </c>
      <c r="CE14" s="33">
        <f t="shared" si="25"/>
        <v>-5299000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1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PERTYPE'!$D$10:$BA$52,MATCH($C14,'[1]SALES PERTYPE'!$B$10:$B$52,0),MATCH("IQOO Z11",'[1]SALES PERTYPE'!$D$8:$BA$8,0)+1),0)</f>
        <v>6899000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13</v>
      </c>
      <c r="EC14" s="33">
        <f t="shared" si="42"/>
        <v>16</v>
      </c>
      <c r="ED14" s="33">
        <f t="shared" si="43"/>
        <v>-3</v>
      </c>
      <c r="EE14" s="33">
        <f t="shared" si="44"/>
        <v>47587000</v>
      </c>
      <c r="EF14" s="33">
        <f t="shared" si="44"/>
        <v>63184000</v>
      </c>
      <c r="EG14" s="33">
        <f t="shared" si="45"/>
        <v>-15597000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3</v>
      </c>
      <c r="G15" s="33">
        <f>IFERROR(INDEX('[1]Sales per type Agustus'!$D$10:$BA$51,MATCH($C15,'[1]Sales per type Agustus'!$B$10:$B$51,0),MATCH("Y05",'[1]Sales per type Agustus'!$D$8:$BA$8,0)),0)</f>
        <v>6</v>
      </c>
      <c r="H15" s="33">
        <f t="shared" si="0"/>
        <v>-3</v>
      </c>
      <c r="I15" s="33" cm="1">
        <f t="array" ref="I15">IFERROR(INDEX('[1]SALES PERTYPE'!$D$10:$BA$52,MATCH($C15,'[1]SALES PERTYPE'!$B$10:$B$52,0),MATCH("Y05",'[1]SALES PERTYPE'!$D$8:$BA$8,0)+1),0)</f>
        <v>7497000</v>
      </c>
      <c r="J15" s="33" cm="1">
        <f t="array" ref="J15">IFERROR(INDEX('[1]Sales per type Agustus'!$D$10:$BA$51,MATCH($C15,'[1]Sales per type Agustus'!$B$10:$B$51,0),MATCH("Y05",'[1]Sales per type Agustus'!$D$8:$BA$8,0)+1),0)</f>
        <v>15294000</v>
      </c>
      <c r="K15" s="33">
        <f t="shared" si="1"/>
        <v>-7797000</v>
      </c>
      <c r="L15" s="33">
        <f>IFERROR(INDEX('[1]SALES PERTYPE'!$D$10:$BA$52,MATCH($C15,'[1]SALES PERTYPE'!$B$10:$B$52,0),MATCH("Y11d",'[1]SALES PERTYPE'!$D$8:$BA$8,0)),0)</f>
        <v>2</v>
      </c>
      <c r="M15" s="33">
        <f>IFERROR(INDEX('[1]Sales per type Agustus'!$D$10:$BA$51,MATCH($C15,'[1]Sales per type Agustus'!$B$10:$B$51,0),MATCH("Y11d",'[1]Sales per type Agustus'!$D$8:$BA$8,0)),0)</f>
        <v>5</v>
      </c>
      <c r="N15" s="33">
        <f t="shared" si="2"/>
        <v>-3</v>
      </c>
      <c r="O15" s="33" cm="1">
        <f t="array" ref="O15">IFERROR(INDEX('[1]SALES PERTYPE'!$D$10:$BA$52,MATCH($C15,'[1]SALES PERTYPE'!$B$10:$B$52,0),MATCH("Y11d",'[1]SALES PERTYPE'!$D$8:$BA$8,0)+1),0)</f>
        <v>5598000</v>
      </c>
      <c r="P15" s="33" cm="1">
        <f t="array" ref="P15">IFERROR(INDEX('[1]Sales per type Agustus'!$D$10:$BA$51,MATCH($C15,'[1]Sales per type Agustus'!$B$10:$B$51,0),MATCH("Y11d",'[1]Sales per type Agustus'!$D$8:$BA$8,0)+1),0)</f>
        <v>12795000</v>
      </c>
      <c r="Q15" s="33">
        <f t="shared" si="3"/>
        <v>-7197000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1</v>
      </c>
      <c r="Z15" s="33">
        <f t="shared" si="6"/>
        <v>-1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2099000</v>
      </c>
      <c r="AC15" s="33">
        <f t="shared" si="7"/>
        <v>-2099000</v>
      </c>
      <c r="AD15" s="33">
        <f>IFERROR(INDEX('[1]SALES PERTYPE'!$D$10:$BA$52,MATCH($C15,'[1]SALES PERTYPE'!$B$10:$B$52,0),MATCH("V70",'[1]SALES PERTYPE'!$D$8:$BA$8,0)),0)</f>
        <v>2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2</v>
      </c>
      <c r="AG15" s="33" cm="1">
        <f t="array" ref="AG15">IFERROR(INDEX('[1]SALES PERTYPE'!$D$10:$BA$52,MATCH($C15,'[1]SALES PERTYPE'!$B$10:$B$52,0),MATCH("V70",'[1]SALES PERTYPE'!$D$8:$BA$8,0)+1),0)</f>
        <v>19998000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19998000</v>
      </c>
      <c r="AJ15" s="33">
        <f>IFERROR(INDEX('[1]SALES PERTYPE'!$D$10:$BA$52,MATCH($C15,'[1]SALES PERTYPE'!$B$10:$B$52,0),MATCH("Y31d Pro",'[1]SALES PERTYPE'!$D$8:$BA$8,0)),0)</f>
        <v>1</v>
      </c>
      <c r="AK15" s="33">
        <f>IFERROR(INDEX('[1]Sales per type Agustus'!$D$10:$BA$51,MATCH($C15,'[1]Sales per type Agustus'!$B$10:$B$51,0),MATCH("Y31d Pro",'[1]Sales per type Agustus'!$D$8:$BA$8,0)),0)</f>
        <v>7</v>
      </c>
      <c r="AL15" s="33">
        <f t="shared" si="10"/>
        <v>-6</v>
      </c>
      <c r="AM15" s="33" cm="1">
        <f t="array" ref="AM15">IFERROR(INDEX('[1]SALES PERTYPE'!$D$10:$BA$52,MATCH($C15,'[1]SALES PERTYPE'!$B$10:$B$52,0),MATCH("Y31d Pro",'[1]SALES PERTYPE'!$D$8:$BA$8,0)+1),0)</f>
        <v>4299000</v>
      </c>
      <c r="AN15" s="33" cm="1">
        <f t="array" ref="AN15">IFERROR(INDEX('[1]Sales per type Agustus'!$D$10:$BA$51,MATCH($C15,'[1]Sales per type Agustus'!$B$10:$B$51,0),MATCH("Y31d Pro",'[1]Sales per type Agustus'!$D$8:$BA$8,0)+1),0)</f>
        <v>31293000</v>
      </c>
      <c r="AO15" s="33">
        <f t="shared" si="11"/>
        <v>-26994000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2</v>
      </c>
      <c r="BC15" s="33">
        <f>IFERROR(INDEX('[1]Sales per type Agustus'!$D$10:$BA$51,MATCH($C15,'[1]Sales per type Agustus'!$B$10:$B$51,0),MATCH("V70 FE",'[1]Sales per type Agustus'!$D$8:$BA$8,0)),0)</f>
        <v>3</v>
      </c>
      <c r="BD15" s="33">
        <f t="shared" si="16"/>
        <v>-1</v>
      </c>
      <c r="BE15" s="33" cm="1">
        <f t="array" ref="BE15">IFERROR(INDEX('[1]SALES PERTYPE'!$D$10:$BA$52,MATCH($C15,'[1]SALES PERTYPE'!$B$10:$B$52,0),MATCH("V70 FE",'[1]SALES PERTYPE'!$D$8:$BA$8,0)+1),0)</f>
        <v>15998000</v>
      </c>
      <c r="BF15" s="33" cm="1">
        <f t="array" ref="BF15">IFERROR(INDEX('[1]Sales per type Agustus'!$D$10:$BA$51,MATCH($C15,'[1]Sales per type Agustus'!$B$10:$B$51,0),MATCH("V70 FE",'[1]Sales per type Agustus'!$D$8:$BA$8,0)+1),0)</f>
        <v>21197000</v>
      </c>
      <c r="BG15" s="33">
        <f t="shared" si="17"/>
        <v>-5199000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1</v>
      </c>
      <c r="CZ15" s="33">
        <f t="shared" si="32"/>
        <v>-1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6899000</v>
      </c>
      <c r="DC15" s="33">
        <f t="shared" si="33"/>
        <v>-6899000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11</v>
      </c>
      <c r="EC15" s="33">
        <f t="shared" si="42"/>
        <v>24</v>
      </c>
      <c r="ED15" s="33">
        <f t="shared" si="43"/>
        <v>-13</v>
      </c>
      <c r="EE15" s="33">
        <f t="shared" si="44"/>
        <v>56989000</v>
      </c>
      <c r="EF15" s="33">
        <f t="shared" si="44"/>
        <v>95076000</v>
      </c>
      <c r="EG15" s="33">
        <f t="shared" si="45"/>
        <v>-38087000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3</v>
      </c>
      <c r="G16" s="33">
        <f>IFERROR(INDEX('[1]Sales per type Agustus'!$D$10:$BA$51,MATCH($C16,'[1]Sales per type Agustus'!$B$10:$B$51,0),MATCH("Y05",'[1]Sales per type Agustus'!$D$8:$BA$8,0)),0)</f>
        <v>1</v>
      </c>
      <c r="H16" s="33">
        <f t="shared" si="0"/>
        <v>2</v>
      </c>
      <c r="I16" s="33" cm="1">
        <f t="array" ref="I16">IFERROR(INDEX('[1]SALES PERTYPE'!$D$10:$BA$52,MATCH($C16,'[1]SALES PERTYPE'!$B$10:$B$52,0),MATCH("Y05",'[1]SALES PERTYPE'!$D$8:$BA$8,0)+1),0)</f>
        <v>7797000</v>
      </c>
      <c r="J16" s="33" cm="1">
        <f t="array" ref="J16">IFERROR(INDEX('[1]Sales per type Agustus'!$D$10:$BA$51,MATCH($C16,'[1]Sales per type Agustus'!$B$10:$B$51,0),MATCH("Y05",'[1]Sales per type Agustus'!$D$8:$BA$8,0)+1),0)</f>
        <v>2599000</v>
      </c>
      <c r="K16" s="33">
        <f t="shared" si="1"/>
        <v>5198000</v>
      </c>
      <c r="L16" s="33">
        <f>IFERROR(INDEX('[1]SALES PERTYPE'!$D$10:$BA$52,MATCH($C16,'[1]SALES PERTYPE'!$B$10:$B$52,0),MATCH("Y11d",'[1]SALES PERTYPE'!$D$8:$BA$8,0)),0)</f>
        <v>1</v>
      </c>
      <c r="M16" s="33">
        <f>IFERROR(INDEX('[1]Sales per type Agustus'!$D$10:$BA$51,MATCH($C16,'[1]Sales per type Agustus'!$B$10:$B$51,0),MATCH("Y11d",'[1]Sales per type Agustus'!$D$8:$BA$8,0)),0)</f>
        <v>5</v>
      </c>
      <c r="N16" s="33">
        <f t="shared" si="2"/>
        <v>-4</v>
      </c>
      <c r="O16" s="33" cm="1">
        <f t="array" ref="O16">IFERROR(INDEX('[1]SALES PERTYPE'!$D$10:$BA$52,MATCH($C16,'[1]SALES PERTYPE'!$B$10:$B$52,0),MATCH("Y11d",'[1]SALES PERTYPE'!$D$8:$BA$8,0)+1),0)</f>
        <v>2799000</v>
      </c>
      <c r="P16" s="33" cm="1">
        <f t="array" ref="P16">IFERROR(INDEX('[1]Sales per type Agustus'!$D$10:$BA$51,MATCH($C16,'[1]Sales per type Agustus'!$B$10:$B$51,0),MATCH("Y11d",'[1]Sales per type Agustus'!$D$8:$BA$8,0)+1),0)</f>
        <v>13595000</v>
      </c>
      <c r="Q16" s="33">
        <f t="shared" si="3"/>
        <v>-10796000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1</v>
      </c>
      <c r="Y16" s="33">
        <f>IFERROR(INDEX('[1]Sales per type Agustus'!$D$10:$BA$51,MATCH($C16,'[1]Sales per type Agustus'!$B$10:$B$51,0),MATCH("Y05e",'[1]Sales per type Agustus'!$D$8:$BA$8,0)),0)</f>
        <v>1</v>
      </c>
      <c r="Z16" s="33">
        <f t="shared" si="6"/>
        <v>0</v>
      </c>
      <c r="AA16" s="33" cm="1">
        <f t="array" ref="AA16">IFERROR(INDEX('[1]SALES PERTYPE'!$D$10:$BA$52,MATCH($C16,'[1]SALES PERTYPE'!$B$10:$B$52,0),MATCH("Y05e",'[1]SALES PERTYPE'!$D$8:$BA$8,0)+1),0)</f>
        <v>2099000</v>
      </c>
      <c r="AB16" s="33" cm="1">
        <f t="array" ref="AB16">IFERROR(INDEX('[1]Sales per type Agustus'!$D$10:$BA$51,MATCH($C16,'[1]Sales per type Agustus'!$B$10:$B$51,0),MATCH("Y05e",'[1]Sales per type Agustus'!$D$8:$BA$8,0)+1),0)</f>
        <v>2099000</v>
      </c>
      <c r="AC16" s="33">
        <f t="shared" si="7"/>
        <v>0</v>
      </c>
      <c r="AD16" s="33">
        <f>IFERROR(INDEX('[1]SALES PERTYPE'!$D$10:$BA$52,MATCH($C16,'[1]SALES PERTYPE'!$B$10:$B$52,0),MATCH("V70",'[1]SALES PERTYPE'!$D$8:$BA$8,0)),0)</f>
        <v>1</v>
      </c>
      <c r="AE16" s="33">
        <f>IFERROR(INDEX('[1]Sales per type Agustus'!$D$10:$BA$51,MATCH($C16,'[1]Sales per type Agustus'!$B$10:$B$51,0),MATCH("V70",'[1]Sales per type Agustus'!$D$8:$BA$8,0)),0)</f>
        <v>2</v>
      </c>
      <c r="AF16" s="33">
        <f t="shared" si="8"/>
        <v>-1</v>
      </c>
      <c r="AG16" s="33" cm="1">
        <f t="array" ref="AG16">IFERROR(INDEX('[1]SALES PERTYPE'!$D$10:$BA$52,MATCH($C16,'[1]SALES PERTYPE'!$B$10:$B$52,0),MATCH("V70",'[1]SALES PERTYPE'!$D$8:$BA$8,0)+1),0)</f>
        <v>9999000</v>
      </c>
      <c r="AH16" s="33" cm="1">
        <f t="array" ref="AH16">IFERROR(INDEX('[1]Sales per type Agustus'!$D$10:$BA$51,MATCH($C16,'[1]Sales per type Agustus'!$B$10:$B$51,0),MATCH("V70",'[1]Sales per type Agustus'!$D$8:$BA$8,0)+1),0)</f>
        <v>20998000</v>
      </c>
      <c r="AI16" s="33">
        <f t="shared" si="9"/>
        <v>-10999000</v>
      </c>
      <c r="AJ16" s="33">
        <f>IFERROR(INDEX('[1]SALES PERTYPE'!$D$10:$BA$52,MATCH($C16,'[1]SALES PERTYPE'!$B$10:$B$52,0),MATCH("Y31d Pro",'[1]SALES PERTYPE'!$D$8:$BA$8,0)),0)</f>
        <v>3</v>
      </c>
      <c r="AK16" s="33">
        <f>IFERROR(INDEX('[1]Sales per type Agustus'!$D$10:$BA$51,MATCH($C16,'[1]Sales per type Agustus'!$B$10:$B$51,0),MATCH("Y31d Pro",'[1]Sales per type Agustus'!$D$8:$BA$8,0)),0)</f>
        <v>2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13697000</v>
      </c>
      <c r="AN16" s="33" cm="1">
        <f t="array" ref="AN16">IFERROR(INDEX('[1]Sales per type Agustus'!$D$10:$BA$51,MATCH($C16,'[1]Sales per type Agustus'!$B$10:$B$51,0),MATCH("Y31d Pro",'[1]Sales per type Agustus'!$D$8:$BA$8,0)+1),0)</f>
        <v>10998000</v>
      </c>
      <c r="AO16" s="33">
        <f t="shared" si="11"/>
        <v>2699000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1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PERTYPE'!$D$10:$BA$52,MATCH($C16,'[1]SALES PERTYPE'!$B$10:$B$52,0),MATCH("Y31d ",'[1]SALES PERTYPE'!$D$8:$BA$8,0)+1),0)</f>
        <v>3599000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3599000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2</v>
      </c>
      <c r="BO16" s="33">
        <f>IFERROR(INDEX('[1]Sales per type Agustus'!$D$10:$BA$51,MATCH($C16,'[1]Sales per type Agustus'!$B$10:$B$51,0),MATCH("Y500",'[1]Sales per type Agustus'!$D$8:$BA$8,0)),0)</f>
        <v>2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10998000</v>
      </c>
      <c r="BR16" s="33" cm="1">
        <f t="array" ref="BR16">IFERROR(INDEX('[1]Sales per type Agustus'!$D$10:$BA$51,MATCH($C16,'[1]Sales per type Agustus'!$B$10:$B$51,0),MATCH("Y500",'[1]Sales per type Agustus'!$D$8:$BA$8,0)+1),0)</f>
        <v>11798000</v>
      </c>
      <c r="BS16" s="33">
        <f t="shared" si="21"/>
        <v>-800000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1</v>
      </c>
      <c r="CA16" s="33">
        <f>IFERROR(INDEX('[1]Sales per type Agustus'!$D$10:$BA$51,MATCH($C16,'[1]Sales per type Agustus'!$B$10:$B$51,0),MATCH("V60 Lite",'[1]Sales per type Agustus'!$D$8:$BA$8,0)),0)</f>
        <v>2</v>
      </c>
      <c r="CB16" s="33">
        <f t="shared" si="24"/>
        <v>-1</v>
      </c>
      <c r="CC16" s="33" cm="1">
        <f t="array" ref="CC16">IFERROR(INDEX('[1]SALES PERTYPE'!$D$10:$BA$52,MATCH($C16,'[1]SALES PERTYPE'!$B$10:$B$52,0),MATCH("V60 Lite",'[1]SALES PERTYPE'!$D$8:$BA$8,0)+1),0)</f>
        <v>5899000</v>
      </c>
      <c r="CD16" s="33" cm="1">
        <f t="array" ref="CD16">IFERROR(INDEX('[1]Sales per type Agustus'!$D$10:$BA$51,MATCH($C16,'[1]Sales per type Agustus'!$B$10:$B$51,0),MATCH("V60 Lite",'[1]Sales per type Agustus'!$D$8:$BA$8,0)+1),0)</f>
        <v>11998000</v>
      </c>
      <c r="CE16" s="33">
        <f t="shared" si="25"/>
        <v>-6099000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13</v>
      </c>
      <c r="EC16" s="33">
        <f t="shared" si="42"/>
        <v>17</v>
      </c>
      <c r="ED16" s="33">
        <f t="shared" si="43"/>
        <v>-4</v>
      </c>
      <c r="EE16" s="33">
        <f t="shared" si="44"/>
        <v>56887000</v>
      </c>
      <c r="EF16" s="33">
        <f t="shared" si="44"/>
        <v>88183000</v>
      </c>
      <c r="EG16" s="33">
        <f t="shared" si="45"/>
        <v>-31296000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2</v>
      </c>
      <c r="H17" s="33">
        <f t="shared" si="0"/>
        <v>-2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5198000</v>
      </c>
      <c r="K17" s="33">
        <f t="shared" si="1"/>
        <v>-5198000</v>
      </c>
      <c r="L17" s="33">
        <f>IFERROR(INDEX('[1]SALES PERTYPE'!$D$10:$BA$52,MATCH($C17,'[1]SALES PERTYPE'!$B$10:$B$52,0),MATCH("Y11d",'[1]SALES PERTYPE'!$D$8:$BA$8,0)),0)</f>
        <v>3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3</v>
      </c>
      <c r="O17" s="33" cm="1">
        <f t="array" ref="O17">IFERROR(INDEX('[1]SALES PERTYPE'!$D$10:$BA$52,MATCH($C17,'[1]SALES PERTYPE'!$B$10:$B$52,0),MATCH("Y11d",'[1]SALES PERTYPE'!$D$8:$BA$8,0)+1),0)</f>
        <v>7997000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7997000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2</v>
      </c>
      <c r="Y17" s="33">
        <f>IFERROR(INDEX('[1]Sales per type Agustus'!$D$10:$BA$51,MATCH($C17,'[1]Sales per type Agustus'!$B$10:$B$51,0),MATCH("Y05e",'[1]Sales per type Agustus'!$D$8:$BA$8,0)),0)</f>
        <v>3</v>
      </c>
      <c r="Z17" s="33">
        <f t="shared" si="6"/>
        <v>-1</v>
      </c>
      <c r="AA17" s="33" cm="1">
        <f t="array" ref="AA17">IFERROR(INDEX('[1]SALES PERTYPE'!$D$10:$BA$52,MATCH($C17,'[1]SALES PERTYPE'!$B$10:$B$52,0),MATCH("Y05e",'[1]SALES PERTYPE'!$D$8:$BA$8,0)+1),0)</f>
        <v>4198000</v>
      </c>
      <c r="AB17" s="33" cm="1">
        <f t="array" ref="AB17">IFERROR(INDEX('[1]Sales per type Agustus'!$D$10:$BA$51,MATCH($C17,'[1]Sales per type Agustus'!$B$10:$B$51,0),MATCH("Y05e",'[1]Sales per type Agustus'!$D$8:$BA$8,0)+1),0)</f>
        <v>6297000</v>
      </c>
      <c r="AC17" s="33">
        <f t="shared" si="7"/>
        <v>-2099000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1</v>
      </c>
      <c r="AF17" s="33">
        <f t="shared" si="8"/>
        <v>-1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10999000</v>
      </c>
      <c r="AI17" s="33">
        <f t="shared" si="9"/>
        <v>-10999000</v>
      </c>
      <c r="AJ17" s="33">
        <f>IFERROR(INDEX('[1]SALES PERTYPE'!$D$10:$BA$52,MATCH($C17,'[1]SALES PERTYPE'!$B$10:$B$52,0),MATCH("Y31d Pro",'[1]SALES PERTYPE'!$D$8:$BA$8,0)),0)</f>
        <v>2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2</v>
      </c>
      <c r="AM17" s="33" cm="1">
        <f t="array" ref="AM17">IFERROR(INDEX('[1]SALES PERTYPE'!$D$10:$BA$52,MATCH($C17,'[1]SALES PERTYPE'!$B$10:$B$52,0),MATCH("Y31d Pro",'[1]SALES PERTYPE'!$D$8:$BA$8,0)+1),0)</f>
        <v>9398000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9398000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6499000</v>
      </c>
      <c r="BG17" s="33">
        <f t="shared" si="17"/>
        <v>-6499000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0</v>
      </c>
      <c r="BJ17" s="33">
        <f t="shared" si="18"/>
        <v>0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0</v>
      </c>
      <c r="BM17" s="33">
        <f t="shared" si="19"/>
        <v>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11798000</v>
      </c>
      <c r="BS17" s="33">
        <f t="shared" si="21"/>
        <v>-11798000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8</v>
      </c>
      <c r="EC17" s="33">
        <f t="shared" si="42"/>
        <v>10</v>
      </c>
      <c r="ED17" s="33">
        <f t="shared" si="43"/>
        <v>-2</v>
      </c>
      <c r="EE17" s="33">
        <f t="shared" si="44"/>
        <v>25192000</v>
      </c>
      <c r="EF17" s="33">
        <f t="shared" si="44"/>
        <v>47690000</v>
      </c>
      <c r="EG17" s="33">
        <f t="shared" si="45"/>
        <v>-22498000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1</v>
      </c>
      <c r="G18" s="33">
        <f>IFERROR(INDEX('[1]Sales per type Agustus'!$D$10:$BA$51,MATCH($C18,'[1]Sales per type Agustus'!$B$10:$B$51,0),MATCH("Y05",'[1]Sales per type Agustus'!$D$8:$BA$8,0)),0)</f>
        <v>2</v>
      </c>
      <c r="H18" s="33">
        <f t="shared" si="0"/>
        <v>-1</v>
      </c>
      <c r="I18" s="33" cm="1">
        <f t="array" ref="I18">IFERROR(INDEX('[1]SALES PERTYPE'!$D$10:$BA$52,MATCH($C18,'[1]SALES PERTYPE'!$B$10:$B$52,0),MATCH("Y05",'[1]SALES PERTYPE'!$D$8:$BA$8,0)+1),0)</f>
        <v>2599000</v>
      </c>
      <c r="J18" s="33" cm="1">
        <f t="array" ref="J18">IFERROR(INDEX('[1]Sales per type Agustus'!$D$10:$BA$51,MATCH($C18,'[1]Sales per type Agustus'!$B$10:$B$51,0),MATCH("Y05",'[1]Sales per type Agustus'!$D$8:$BA$8,0)+1),0)</f>
        <v>5198000</v>
      </c>
      <c r="K18" s="33">
        <f t="shared" si="1"/>
        <v>-2599000</v>
      </c>
      <c r="L18" s="33">
        <f>IFERROR(INDEX('[1]SALES PERTYPE'!$D$10:$BA$52,MATCH($C18,'[1]SALES PERTYPE'!$B$10:$B$52,0),MATCH("Y11d",'[1]SALES PERTYPE'!$D$8:$BA$8,0)),0)</f>
        <v>2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0</v>
      </c>
      <c r="O18" s="33" cm="1">
        <f t="array" ref="O18">IFERROR(INDEX('[1]SALES PERTYPE'!$D$10:$BA$52,MATCH($C18,'[1]SALES PERTYPE'!$B$10:$B$52,0),MATCH("Y11d",'[1]SALES PERTYPE'!$D$8:$BA$8,0)+1),0)</f>
        <v>4798000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-400000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4</v>
      </c>
      <c r="AK18" s="33">
        <f>IFERROR(INDEX('[1]Sales per type Agustus'!$D$10:$BA$51,MATCH($C18,'[1]Sales per type Agustus'!$B$10:$B$51,0),MATCH("Y31d Pro",'[1]Sales per type Agustus'!$D$8:$BA$8,0)),0)</f>
        <v>1</v>
      </c>
      <c r="AL18" s="33">
        <f t="shared" si="10"/>
        <v>3</v>
      </c>
      <c r="AM18" s="33" cm="1">
        <f t="array" ref="AM18">IFERROR(INDEX('[1]SALES PERTYPE'!$D$10:$BA$52,MATCH($C18,'[1]SALES PERTYPE'!$B$10:$B$52,0),MATCH("Y31d Pro",'[1]SALES PERTYPE'!$D$8:$BA$8,0)+1),0)</f>
        <v>18596000</v>
      </c>
      <c r="AN18" s="33" cm="1">
        <f t="array" ref="AN18">IFERROR(INDEX('[1]Sales per type Agustus'!$D$10:$BA$51,MATCH($C18,'[1]Sales per type Agustus'!$B$10:$B$51,0),MATCH("Y31d Pro",'[1]Sales per type Agustus'!$D$8:$BA$8,0)+1),0)</f>
        <v>3899000</v>
      </c>
      <c r="AO18" s="33">
        <f t="shared" si="11"/>
        <v>14697000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1</v>
      </c>
      <c r="BD18" s="33">
        <f t="shared" si="16"/>
        <v>-1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6999000</v>
      </c>
      <c r="BG18" s="33">
        <f t="shared" si="17"/>
        <v>-6999000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8</v>
      </c>
      <c r="EC18" s="33">
        <f t="shared" si="42"/>
        <v>12</v>
      </c>
      <c r="ED18" s="33">
        <f t="shared" si="43"/>
        <v>-4</v>
      </c>
      <c r="EE18" s="33">
        <f t="shared" si="44"/>
        <v>31892000</v>
      </c>
      <c r="EF18" s="33">
        <f t="shared" si="44"/>
        <v>68788000</v>
      </c>
      <c r="EG18" s="33">
        <f t="shared" si="45"/>
        <v>-36896000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4</v>
      </c>
      <c r="G19" s="33">
        <f>IFERROR(INDEX('[1]Sales per type Agustus'!$D$10:$BA$51,MATCH($C19,'[1]Sales per type Agustus'!$B$10:$B$51,0),MATCH("Y05",'[1]Sales per type Agustus'!$D$8:$BA$8,0)),0)</f>
        <v>1</v>
      </c>
      <c r="H19" s="33">
        <f t="shared" si="0"/>
        <v>3</v>
      </c>
      <c r="I19" s="33" cm="1">
        <f t="array" ref="I19">IFERROR(INDEX('[1]SALES PERTYPE'!$D$10:$BA$52,MATCH($C19,'[1]SALES PERTYPE'!$B$10:$B$52,0),MATCH("Y05",'[1]SALES PERTYPE'!$D$8:$BA$8,0)+1),0)</f>
        <v>9496000</v>
      </c>
      <c r="J19" s="33" cm="1">
        <f t="array" ref="J19">IFERROR(INDEX('[1]Sales per type Agustus'!$D$10:$BA$51,MATCH($C19,'[1]Sales per type Agustus'!$B$10:$B$51,0),MATCH("Y05",'[1]Sales per type Agustus'!$D$8:$BA$8,0)+1),0)</f>
        <v>2299000</v>
      </c>
      <c r="K19" s="33">
        <f t="shared" si="1"/>
        <v>7197000</v>
      </c>
      <c r="L19" s="33">
        <f>IFERROR(INDEX('[1]SALES PERTYPE'!$D$10:$BA$52,MATCH($C19,'[1]SALES PERTYPE'!$B$10:$B$52,0),MATCH("Y11d",'[1]SALES PERTYPE'!$D$8:$BA$8,0)),0)</f>
        <v>3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-1</v>
      </c>
      <c r="O19" s="33" cm="1">
        <f t="array" ref="O19">IFERROR(INDEX('[1]SALES PERTYPE'!$D$10:$BA$52,MATCH($C19,'[1]SALES PERTYPE'!$B$10:$B$52,0),MATCH("Y11d",'[1]SALES PERTYPE'!$D$8:$BA$8,0)+1),0)</f>
        <v>7997000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-3199000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1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0</v>
      </c>
      <c r="AA19" s="33" cm="1">
        <f t="array" ref="AA19">IFERROR(INDEX('[1]SALES PERTYPE'!$D$10:$BA$52,MATCH($C19,'[1]SALES PERTYPE'!$B$10:$B$52,0),MATCH("Y05e",'[1]SALES PERTYPE'!$D$8:$BA$8,0)+1),0)</f>
        <v>2099000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0</v>
      </c>
      <c r="AD19" s="33">
        <f>IFERROR(INDEX('[1]SALES PERTYPE'!$D$10:$BA$52,MATCH($C19,'[1]SALES PERTYPE'!$B$10:$B$52,0),MATCH("V70",'[1]SALES PERTYPE'!$D$8:$BA$8,0)),0)</f>
        <v>3</v>
      </c>
      <c r="AE19" s="33">
        <f>IFERROR(INDEX('[1]Sales per type Agustus'!$D$10:$BA$51,MATCH($C19,'[1]Sales per type Agustus'!$B$10:$B$51,0),MATCH("V70",'[1]Sales per type Agustus'!$D$8:$BA$8,0)),0)</f>
        <v>2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29997000</v>
      </c>
      <c r="AH19" s="33" cm="1">
        <f t="array" ref="AH19">IFERROR(INDEX('[1]Sales per type Agustus'!$D$10:$BA$51,MATCH($C19,'[1]Sales per type Agustus'!$B$10:$B$51,0),MATCH("V70",'[1]Sales per type Agustus'!$D$8:$BA$8,0)+1),0)</f>
        <v>19998000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2</v>
      </c>
      <c r="AK19" s="33">
        <f>IFERROR(INDEX('[1]Sales per type Agustus'!$D$10:$BA$51,MATCH($C19,'[1]Sales per type Agustus'!$B$10:$B$51,0),MATCH("Y31d Pro",'[1]Sales per type Agustus'!$D$8:$BA$8,0)),0)</f>
        <v>1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8598000</v>
      </c>
      <c r="AN19" s="33" cm="1">
        <f t="array" ref="AN19">IFERROR(INDEX('[1]Sales per type Agustus'!$D$10:$BA$51,MATCH($C19,'[1]Sales per type Agustus'!$B$10:$B$51,0),MATCH("Y31d Pro",'[1]Sales per type Agustus'!$D$8:$BA$8,0)+1),0)</f>
        <v>4299000</v>
      </c>
      <c r="AO19" s="33">
        <f t="shared" si="11"/>
        <v>4299000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1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1</v>
      </c>
      <c r="AY19" s="33" cm="1">
        <f t="array" ref="AY19">IFERROR(INDEX('[1]SALES PERTYPE'!$D$10:$BA$52,MATCH($C19,'[1]SALES PERTYPE'!$B$10:$B$52,0),MATCH("Y31d ",'[1]SALES PERTYPE'!$D$8:$BA$8,0)+1),0)</f>
        <v>3599000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3599000</v>
      </c>
      <c r="BB19" s="33">
        <f>IFERROR(INDEX('[1]SALES PERTYPE'!$D$10:$BA$52,MATCH($C19,'[1]SALES PERTYPE'!$B$10:$B$52,0),MATCH("V70 FE",'[1]SALES PERTYPE'!$D$8:$BA$8,0)),0)</f>
        <v>1</v>
      </c>
      <c r="BC19" s="33">
        <f>IFERROR(INDEX('[1]Sales per type Agustus'!$D$10:$BA$51,MATCH($C19,'[1]Sales per type Agustus'!$B$10:$B$51,0),MATCH("V70 FE",'[1]Sales per type Agustus'!$D$8:$BA$8,0)),0)</f>
        <v>1</v>
      </c>
      <c r="BD19" s="33">
        <f t="shared" si="16"/>
        <v>0</v>
      </c>
      <c r="BE19" s="33" cm="1">
        <f t="array" ref="BE19">IFERROR(INDEX('[1]SALES PERTYPE'!$D$10:$BA$52,MATCH($C19,'[1]SALES PERTYPE'!$B$10:$B$52,0),MATCH("V70 FE",'[1]SALES PERTYPE'!$D$8:$BA$8,0)+1),0)</f>
        <v>7999000</v>
      </c>
      <c r="BF19" s="33" cm="1">
        <f t="array" ref="BF19">IFERROR(INDEX('[1]Sales per type Agustus'!$D$10:$BA$51,MATCH($C19,'[1]Sales per type Agustus'!$B$10:$B$51,0),MATCH("V70 FE",'[1]Sales per type Agustus'!$D$8:$BA$8,0)+1),0)</f>
        <v>6499000</v>
      </c>
      <c r="BG19" s="33">
        <f t="shared" si="17"/>
        <v>1500000</v>
      </c>
      <c r="BH19" s="33">
        <f>IFERROR(INDEX('[1]SALES PERTYPE'!$D$10:$BA$52,MATCH($C19,'[1]SALES PERTYPE'!$B$10:$B$52,0),MATCH("Y31d",'[1]SALES PERTYPE'!$D$8:$BA$8,0)),0)</f>
        <v>1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1</v>
      </c>
      <c r="BK19" s="33" cm="1">
        <f t="array" ref="BK19">IFERROR(INDEX('[1]SALES PERTYPE'!$D$10:$BA$52,MATCH($C19,'[1]SALES PERTYPE'!$B$10:$B$52,0),MATCH("Y31d",'[1]SALES PERTYPE'!$D$8:$BA$8,0)+1),0)</f>
        <v>3599000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3599000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1</v>
      </c>
      <c r="CA19" s="33">
        <f>IFERROR(INDEX('[1]Sales per type Agustus'!$D$10:$BA$51,MATCH($C19,'[1]Sales per type Agustus'!$B$10:$B$51,0),MATCH("V60 Lite",'[1]Sales per type Agustus'!$D$8:$BA$8,0)),0)</f>
        <v>1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5899000</v>
      </c>
      <c r="CD19" s="33" cm="1">
        <f t="array" ref="CD19">IFERROR(INDEX('[1]Sales per type Agustus'!$D$10:$BA$51,MATCH($C19,'[1]Sales per type Agustus'!$B$10:$B$51,0),MATCH("V60 Lite",'[1]Sales per type Agustus'!$D$8:$BA$8,0)+1),0)</f>
        <v>5299000</v>
      </c>
      <c r="CE19" s="33">
        <f t="shared" si="25"/>
        <v>600000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1</v>
      </c>
      <c r="CY19" s="33">
        <f>IFERROR(INDEX('[1]Sales per type Agustus'!$D$10:$BA$51,MATCH($C19,'[1]Sales per type Agustus'!$B$10:$B$51,0),MATCH("IQOO Z11",'[1]Sales per type Agustus'!$D$8:$BA$8,0)),0)</f>
        <v>2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6899000</v>
      </c>
      <c r="DB19" s="33" cm="1">
        <f t="array" ref="DB19">IFERROR(INDEX('[1]Sales per type Agustus'!$D$10:$BA$51,MATCH($C19,'[1]Sales per type Agustus'!$B$10:$B$51,0),MATCH("IQOO Z11",'[1]Sales per type Agustus'!$D$8:$BA$8,0)+1),0)</f>
        <v>13798000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18</v>
      </c>
      <c r="EC19" s="33">
        <f t="shared" si="42"/>
        <v>13</v>
      </c>
      <c r="ED19" s="33">
        <f t="shared" si="43"/>
        <v>5</v>
      </c>
      <c r="EE19" s="33">
        <f t="shared" si="44"/>
        <v>86182000</v>
      </c>
      <c r="EF19" s="33">
        <f t="shared" si="44"/>
        <v>65487000</v>
      </c>
      <c r="EG19" s="33">
        <f t="shared" si="45"/>
        <v>20695000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PERTYPE'!$D$10:$BA$52,MATCH($C20,'[1]SALES PERTYPE'!$B$10:$B$52,0),MATCH("Y05",'[1]SALES PERTYPE'!$D$8:$BA$8,0)),0)</f>
        <v>2</v>
      </c>
      <c r="G20" s="33">
        <f>IFERROR(INDEX('[1]Sales per type Agustus'!$D$10:$BA$51,MATCH($C20,'[1]Sales per type Agustus'!$B$10:$B$51,0),MATCH("Y05",'[1]Sales per type Agustus'!$D$8:$BA$8,0)),0)</f>
        <v>4</v>
      </c>
      <c r="H20" s="33">
        <f t="shared" si="0"/>
        <v>-2</v>
      </c>
      <c r="I20" s="33" cm="1">
        <f t="array" ref="I20">IFERROR(INDEX('[1]SALES PERTYPE'!$D$10:$BA$52,MATCH($C20,'[1]SALES PERTYPE'!$B$10:$B$52,0),MATCH("Y05",'[1]SALES PERTYPE'!$D$8:$BA$8,0)+1),0)</f>
        <v>5198000</v>
      </c>
      <c r="J20" s="33" cm="1">
        <f t="array" ref="J20">IFERROR(INDEX('[1]Sales per type Agustus'!$D$10:$BA$51,MATCH($C20,'[1]Sales per type Agustus'!$B$10:$B$51,0),MATCH("Y05",'[1]Sales per type Agustus'!$D$8:$BA$8,0)+1),0)</f>
        <v>9496000</v>
      </c>
      <c r="K20" s="33">
        <f t="shared" si="1"/>
        <v>-4298000</v>
      </c>
      <c r="L20" s="33">
        <f>IFERROR(INDEX('[1]SALES PERTYPE'!$D$10:$BA$52,MATCH($C20,'[1]SALES PERTYPE'!$B$10:$B$52,0),MATCH("Y11d",'[1]SALES PERTYPE'!$D$8:$BA$8,0)),0)</f>
        <v>1</v>
      </c>
      <c r="M20" s="33">
        <f>IFERROR(INDEX('[1]Sales per type Agustus'!$D$10:$BA$51,MATCH($C20,'[1]Sales per type Agustus'!$B$10:$B$51,0),MATCH("Y11d",'[1]Sales per type Agustus'!$D$8:$BA$8,0)),0)</f>
        <v>5</v>
      </c>
      <c r="N20" s="33">
        <f t="shared" si="2"/>
        <v>-4</v>
      </c>
      <c r="O20" s="33" cm="1">
        <f t="array" ref="O20">IFERROR(INDEX('[1]SALES PERTYPE'!$D$10:$BA$52,MATCH($C20,'[1]SALES PERTYPE'!$B$10:$B$52,0),MATCH("Y11d",'[1]SALES PERTYPE'!$D$8:$BA$8,0)+1),0)</f>
        <v>2799000</v>
      </c>
      <c r="P20" s="33" cm="1">
        <f t="array" ref="P20">IFERROR(INDEX('[1]Sales per type Agustus'!$D$10:$BA$51,MATCH($C20,'[1]Sales per type Agustus'!$B$10:$B$51,0),MATCH("Y11d",'[1]Sales per type Agustus'!$D$8:$BA$8,0)+1),0)</f>
        <v>13995000</v>
      </c>
      <c r="Q20" s="33">
        <f t="shared" si="3"/>
        <v>-11196000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2</v>
      </c>
      <c r="Y20" s="33">
        <f>IFERROR(INDEX('[1]Sales per type Agustus'!$D$10:$BA$51,MATCH($C20,'[1]Sales per type Agustus'!$B$10:$B$51,0),MATCH("Y05e",'[1]Sales per type Agustus'!$D$8:$BA$8,0)),0)</f>
        <v>0</v>
      </c>
      <c r="Z20" s="33">
        <f t="shared" si="6"/>
        <v>2</v>
      </c>
      <c r="AA20" s="33" cm="1">
        <f t="array" ref="AA20">IFERROR(INDEX('[1]SALES PERTYPE'!$D$10:$BA$52,MATCH($C20,'[1]SALES PERTYPE'!$B$10:$B$52,0),MATCH("Y05e",'[1]SALES PERTYPE'!$D$8:$BA$8,0)+1),0)</f>
        <v>4198000</v>
      </c>
      <c r="AB20" s="33" cm="1">
        <f t="array" ref="AB20">IFERROR(INDEX('[1]Sales per type Agustus'!$D$10:$BA$51,MATCH($C20,'[1]Sales per type Agustus'!$B$10:$B$51,0),MATCH("Y05e",'[1]Sales per type Agustus'!$D$8:$BA$8,0)+1),0)</f>
        <v>0</v>
      </c>
      <c r="AC20" s="33">
        <f t="shared" si="7"/>
        <v>4198000</v>
      </c>
      <c r="AD20" s="33">
        <f>IFERROR(INDEX('[1]SALES PERTYPE'!$D$10:$BA$52,MATCH($C20,'[1]SALES PERTYPE'!$B$10:$B$52,0),MATCH("V70",'[1]SALES PERTYPE'!$D$8:$BA$8,0)),0)</f>
        <v>0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0</v>
      </c>
      <c r="AG20" s="33" cm="1">
        <f t="array" ref="AG20">IFERROR(INDEX('[1]SALES PERTYPE'!$D$10:$BA$52,MATCH($C20,'[1]SALES PERTYPE'!$B$10:$B$52,0),MATCH("V70",'[1]SALES PERTYPE'!$D$8:$BA$8,0)+1),0)</f>
        <v>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0</v>
      </c>
      <c r="AJ20" s="33">
        <f>IFERROR(INDEX('[1]SALES PERTYPE'!$D$10:$BA$52,MATCH($C20,'[1]SALES PERTYPE'!$B$10:$B$52,0),MATCH("Y31d Pro",'[1]SALES PERTYPE'!$D$8:$BA$8,0)),0)</f>
        <v>4</v>
      </c>
      <c r="AK20" s="33">
        <f>IFERROR(INDEX('[1]Sales per type Agustus'!$D$10:$BA$51,MATCH($C20,'[1]Sales per type Agustus'!$B$10:$B$51,0),MATCH("Y31d Pro",'[1]Sales per type Agustus'!$D$8:$BA$8,0)),0)</f>
        <v>2</v>
      </c>
      <c r="AL20" s="33">
        <f t="shared" si="10"/>
        <v>2</v>
      </c>
      <c r="AM20" s="33" cm="1">
        <f t="array" ref="AM20">IFERROR(INDEX('[1]SALES PERTYPE'!$D$10:$BA$52,MATCH($C20,'[1]SALES PERTYPE'!$B$10:$B$52,0),MATCH("Y31d Pro",'[1]SALES PERTYPE'!$D$8:$BA$8,0)+1),0)</f>
        <v>18396000</v>
      </c>
      <c r="AN20" s="33" cm="1">
        <f t="array" ref="AN20">IFERROR(INDEX('[1]Sales per type Agustus'!$D$10:$BA$51,MATCH($C20,'[1]Sales per type Agustus'!$B$10:$B$51,0),MATCH("Y31d Pro",'[1]Sales per type Agustus'!$D$8:$BA$8,0)+1),0)</f>
        <v>8598000</v>
      </c>
      <c r="AO20" s="33">
        <f t="shared" si="11"/>
        <v>9798000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2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2</v>
      </c>
      <c r="AY20" s="33" cm="1">
        <f t="array" ref="AY20">IFERROR(INDEX('[1]SALES PERTYPE'!$D$10:$BA$52,MATCH($C20,'[1]SALES PERTYPE'!$B$10:$B$52,0),MATCH("Y31d ",'[1]SALES PERTYPE'!$D$8:$BA$8,0)+1),0)</f>
        <v>7198000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7198000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3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3</v>
      </c>
      <c r="BK20" s="33" cm="1">
        <f t="array" ref="BK20">IFERROR(INDEX('[1]SALES PERTYPE'!$D$10:$BA$52,MATCH($C20,'[1]SALES PERTYPE'!$B$10:$B$52,0),MATCH("Y31d",'[1]SALES PERTYPE'!$D$8:$BA$8,0)+1),0)</f>
        <v>10797000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10797000</v>
      </c>
      <c r="BN20" s="33">
        <f>IFERROR(INDEX('[1]SALES PERTYPE'!$D$10:$BA$52,MATCH($C20,'[1]SALES PERTYPE'!$B$10:$B$52,0),MATCH("Y500",'[1]SALES PERTYPE'!$D$8:$BA$8,0)),0)</f>
        <v>1</v>
      </c>
      <c r="BO20" s="33">
        <f>IFERROR(INDEX('[1]Sales per type Agustus'!$D$10:$BA$51,MATCH($C20,'[1]Sales per type Agustus'!$B$10:$B$51,0),MATCH("Y500",'[1]Sales per type Agustus'!$D$8:$BA$8,0)),0)</f>
        <v>1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5499000</v>
      </c>
      <c r="BR20" s="33" cm="1">
        <f t="array" ref="BR20">IFERROR(INDEX('[1]Sales per type Agustus'!$D$10:$BA$51,MATCH($C20,'[1]Sales per type Agustus'!$B$10:$B$51,0),MATCH("Y500",'[1]Sales per type Agustus'!$D$8:$BA$8,0)+1),0)</f>
        <v>6299000</v>
      </c>
      <c r="BS20" s="33">
        <f t="shared" si="21"/>
        <v>-800000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1</v>
      </c>
      <c r="CA20" s="33">
        <f>IFERROR(INDEX('[1]Sales per type Agustus'!$D$10:$BA$51,MATCH($C20,'[1]Sales per type Agustus'!$B$10:$B$51,0),MATCH("V60 Lite",'[1]Sales per type Agustus'!$D$8:$BA$8,0)),0)</f>
        <v>1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5899000</v>
      </c>
      <c r="CD20" s="33" cm="1">
        <f t="array" ref="CD20">IFERROR(INDEX('[1]Sales per type Agustus'!$D$10:$BA$51,MATCH($C20,'[1]Sales per type Agustus'!$B$10:$B$51,0),MATCH("V60 Lite",'[1]Sales per type Agustus'!$D$8:$BA$8,0)+1),0)</f>
        <v>5999000</v>
      </c>
      <c r="CE20" s="33">
        <f t="shared" si="25"/>
        <v>-100000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1</v>
      </c>
      <c r="CT20" s="33">
        <f t="shared" si="30"/>
        <v>-1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5699000</v>
      </c>
      <c r="CW20" s="33">
        <f t="shared" si="31"/>
        <v>-5699000</v>
      </c>
      <c r="CX20" s="33">
        <f>IFERROR(INDEX('[1]SALES PERTYPE'!$D$10:$BA$52,MATCH($C20,'[1]SALES PERTYPE'!$B$10:$B$52,0),MATCH("IQOO Z11",'[1]SALES PERTYPE'!$D$8:$BA$8,0)),0)</f>
        <v>1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1</v>
      </c>
      <c r="DA20" s="33" cm="1">
        <f t="array" ref="DA20">IFERROR(INDEX('[1]SALES PERTYPE'!$D$10:$BA$52,MATCH($C20,'[1]SALES PERTYPE'!$B$10:$B$52,0),MATCH("IQOO Z11",'[1]SALES PERTYPE'!$D$8:$BA$8,0)+1),0)</f>
        <v>6899000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6899000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17</v>
      </c>
      <c r="EC20" s="33">
        <f t="shared" si="42"/>
        <v>14</v>
      </c>
      <c r="ED20" s="33">
        <f t="shared" si="43"/>
        <v>3</v>
      </c>
      <c r="EE20" s="33">
        <f t="shared" si="44"/>
        <v>66883000</v>
      </c>
      <c r="EF20" s="33">
        <f t="shared" si="44"/>
        <v>50086000</v>
      </c>
      <c r="EG20" s="33">
        <f t="shared" si="45"/>
        <v>16797000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4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1</v>
      </c>
      <c r="O21" s="33" cm="1">
        <f t="array" ref="O21">IFERROR(INDEX('[1]SALES PERTYPE'!$D$10:$BA$52,MATCH($C21,'[1]SALES PERTYPE'!$B$10:$B$52,0),MATCH("Y11d",'[1]SALES PERTYPE'!$D$8:$BA$8,0)+1),0)</f>
        <v>10396000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2799000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2</v>
      </c>
      <c r="AK21" s="33">
        <f>IFERROR(INDEX('[1]Sales per type Agustus'!$D$10:$BA$51,MATCH($C21,'[1]Sales per type Agustus'!$B$10:$B$51,0),MATCH("Y31d Pro",'[1]Sales per type Agustus'!$D$8:$BA$8,0)),0)</f>
        <v>4</v>
      </c>
      <c r="AL21" s="33">
        <f t="shared" si="10"/>
        <v>-2</v>
      </c>
      <c r="AM21" s="33" cm="1">
        <f t="array" ref="AM21">IFERROR(INDEX('[1]SALES PERTYPE'!$D$10:$BA$52,MATCH($C21,'[1]SALES PERTYPE'!$B$10:$B$52,0),MATCH("Y31d Pro",'[1]SALES PERTYPE'!$D$8:$BA$8,0)+1),0)</f>
        <v>10398000</v>
      </c>
      <c r="AN21" s="33" cm="1">
        <f t="array" ref="AN21">IFERROR(INDEX('[1]Sales per type Agustus'!$D$10:$BA$51,MATCH($C21,'[1]Sales per type Agustus'!$B$10:$B$51,0),MATCH("Y31d Pro",'[1]Sales per type Agustus'!$D$8:$BA$8,0)+1),0)</f>
        <v>18596000</v>
      </c>
      <c r="AO21" s="33">
        <f t="shared" si="11"/>
        <v>-8198000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0</v>
      </c>
      <c r="AR21" s="33">
        <f t="shared" si="12"/>
        <v>0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0</v>
      </c>
      <c r="AU21" s="33">
        <f t="shared" si="13"/>
        <v>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1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1</v>
      </c>
      <c r="BE21" s="33" cm="1">
        <f t="array" ref="BE21">IFERROR(INDEX('[1]SALES PERTYPE'!$D$10:$BA$52,MATCH($C21,'[1]SALES PERTYPE'!$B$10:$B$52,0),MATCH("V70 FE",'[1]SALES PERTYPE'!$D$8:$BA$8,0)+1),0)</f>
        <v>7999000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7999000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1</v>
      </c>
      <c r="CZ21" s="33">
        <f t="shared" si="32"/>
        <v>-1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7999000</v>
      </c>
      <c r="DC21" s="33">
        <f t="shared" si="33"/>
        <v>-7999000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9</v>
      </c>
      <c r="EC21" s="33">
        <f t="shared" si="42"/>
        <v>10</v>
      </c>
      <c r="ED21" s="33">
        <f t="shared" si="43"/>
        <v>-1</v>
      </c>
      <c r="EE21" s="33">
        <f t="shared" si="44"/>
        <v>43391000</v>
      </c>
      <c r="EF21" s="33">
        <f t="shared" si="44"/>
        <v>48290000</v>
      </c>
      <c r="EG21" s="33">
        <f t="shared" si="45"/>
        <v>-4899000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5</v>
      </c>
      <c r="H22" s="33">
        <f t="shared" si="0"/>
        <v>-5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12695000</v>
      </c>
      <c r="K22" s="33">
        <f t="shared" si="1"/>
        <v>-12695000</v>
      </c>
      <c r="L22" s="33">
        <f>IFERROR(INDEX('[1]SALES PERTYPE'!$D$10:$BA$52,MATCH($C22,'[1]SALES PERTYPE'!$B$10:$B$52,0),MATCH("Y11d",'[1]SALES PERTYPE'!$D$8:$BA$8,0)),0)</f>
        <v>2</v>
      </c>
      <c r="M22" s="33">
        <f>IFERROR(INDEX('[1]Sales per type Agustus'!$D$10:$BA$51,MATCH($C22,'[1]Sales per type Agustus'!$B$10:$B$51,0),MATCH("Y11d",'[1]Sales per type Agustus'!$D$8:$BA$8,0)),0)</f>
        <v>7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5598000</v>
      </c>
      <c r="P22" s="33" cm="1">
        <f t="array" ref="P22">IFERROR(INDEX('[1]Sales per type Agustus'!$D$10:$BA$51,MATCH($C22,'[1]Sales per type Agustus'!$B$10:$B$51,0),MATCH("Y11d",'[1]Sales per type Agustus'!$D$8:$BA$8,0)+1),0)</f>
        <v>18793000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1</v>
      </c>
      <c r="AK22" s="33">
        <f>IFERROR(INDEX('[1]Sales per type Agustus'!$D$10:$BA$51,MATCH($C22,'[1]Sales per type Agustus'!$B$10:$B$51,0),MATCH("Y31d Pro",'[1]Sales per type Agustus'!$D$8:$BA$8,0)),0)</f>
        <v>0</v>
      </c>
      <c r="AL22" s="33">
        <f t="shared" si="10"/>
        <v>1</v>
      </c>
      <c r="AM22" s="33" cm="1">
        <f t="array" ref="AM22">IFERROR(INDEX('[1]SALES PERTYPE'!$D$10:$BA$52,MATCH($C22,'[1]SALES PERTYPE'!$B$10:$B$52,0),MATCH("Y31d Pro",'[1]SALES PERTYPE'!$D$8:$BA$8,0)+1),0)</f>
        <v>3899000</v>
      </c>
      <c r="AN22" s="33" cm="1">
        <f t="array" ref="AN22">IFERROR(INDEX('[1]Sales per type Agustus'!$D$10:$BA$51,MATCH($C22,'[1]Sales per type Agustus'!$B$10:$B$51,0),MATCH("Y31d Pro",'[1]Sales per type Agustus'!$D$8:$BA$8,0)+1),0)</f>
        <v>0</v>
      </c>
      <c r="AO22" s="33">
        <f t="shared" si="11"/>
        <v>3899000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1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1</v>
      </c>
      <c r="AY22" s="33" cm="1">
        <f t="array" ref="AY22">IFERROR(INDEX('[1]SALES PERTYPE'!$D$10:$BA$52,MATCH($C22,'[1]SALES PERTYPE'!$B$10:$B$52,0),MATCH("Y31d ",'[1]SALES PERTYPE'!$D$8:$BA$8,0)+1),0)</f>
        <v>3599000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3599000</v>
      </c>
      <c r="BB22" s="33">
        <f>IFERROR(INDEX('[1]SALES PERTYPE'!$D$10:$BA$52,MATCH($C22,'[1]SALES PERTYPE'!$B$10:$B$52,0),MATCH("V70 FE",'[1]SALES PERTYPE'!$D$8:$BA$8,0)),0)</f>
        <v>1</v>
      </c>
      <c r="BC22" s="33">
        <f>IFERROR(INDEX('[1]Sales per type Agustus'!$D$10:$BA$51,MATCH($C22,'[1]Sales per type Agustus'!$B$10:$B$51,0),MATCH("V70 FE",'[1]Sales per type Agustus'!$D$8:$BA$8,0)),0)</f>
        <v>1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7999000</v>
      </c>
      <c r="BF22" s="33" cm="1">
        <f t="array" ref="BF22">IFERROR(INDEX('[1]Sales per type Agustus'!$D$10:$BA$51,MATCH($C22,'[1]Sales per type Agustus'!$B$10:$B$51,0),MATCH("V70 FE",'[1]Sales per type Agustus'!$D$8:$BA$8,0)+1),0)</f>
        <v>6999000</v>
      </c>
      <c r="BG22" s="33">
        <f t="shared" si="17"/>
        <v>1000000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2</v>
      </c>
      <c r="BO22" s="33">
        <f>IFERROR(INDEX('[1]Sales per type Agustus'!$D$10:$BA$51,MATCH($C22,'[1]Sales per type Agustus'!$B$10:$B$51,0),MATCH("Y500",'[1]Sales per type Agustus'!$D$8:$BA$8,0)),0)</f>
        <v>2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12598000</v>
      </c>
      <c r="BR22" s="33" cm="1">
        <f t="array" ref="BR22">IFERROR(INDEX('[1]Sales per type Agustus'!$D$10:$BA$51,MATCH($C22,'[1]Sales per type Agustus'!$B$10:$B$51,0),MATCH("Y500",'[1]Sales per type Agustus'!$D$8:$BA$8,0)+1),0)</f>
        <v>11798000</v>
      </c>
      <c r="BS22" s="33">
        <f t="shared" si="21"/>
        <v>800000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</f>
        <v>0</v>
      </c>
      <c r="CZ22" s="33">
        <f t="shared" si="32"/>
        <v>0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</f>
        <v>0</v>
      </c>
      <c r="DC22" s="33">
        <f t="shared" si="33"/>
        <v>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9</v>
      </c>
      <c r="EC22" s="33">
        <f t="shared" si="42"/>
        <v>15</v>
      </c>
      <c r="ED22" s="33">
        <f t="shared" si="43"/>
        <v>-6</v>
      </c>
      <c r="EE22" s="33">
        <f t="shared" si="44"/>
        <v>45791000</v>
      </c>
      <c r="EF22" s="33">
        <f t="shared" si="44"/>
        <v>50285000</v>
      </c>
      <c r="EG22" s="33">
        <f t="shared" si="45"/>
        <v>-4494000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7</v>
      </c>
      <c r="G23" s="33">
        <f>IFERROR(INDEX('[1]Sales per type Agustus'!$D$10:$BA$51,MATCH($C23,'[1]Sales per type Agustus'!$B$10:$B$51,0),MATCH("Y05",'[1]Sales per type Agustus'!$D$8:$BA$8,0)),0)</f>
        <v>4</v>
      </c>
      <c r="H23" s="33">
        <f t="shared" si="0"/>
        <v>3</v>
      </c>
      <c r="I23" s="33" cm="1">
        <f t="array" ref="I23">IFERROR(INDEX('[1]SALES PERTYPE'!$D$10:$BA$52,MATCH($C23,'[1]SALES PERTYPE'!$B$10:$B$52,0),MATCH("Y05",'[1]SALES PERTYPE'!$D$8:$BA$8,0)+1),0)</f>
        <v>16993000</v>
      </c>
      <c r="J23" s="33" cm="1">
        <f t="array" ref="J23">IFERROR(INDEX('[1]Sales per type Agustus'!$D$10:$BA$51,MATCH($C23,'[1]Sales per type Agustus'!$B$10:$B$51,0),MATCH("Y05",'[1]Sales per type Agustus'!$D$8:$BA$8,0)+1),0)</f>
        <v>9496000</v>
      </c>
      <c r="K23" s="33">
        <f t="shared" si="1"/>
        <v>7497000</v>
      </c>
      <c r="L23" s="33">
        <f>IFERROR(INDEX('[1]SALES PERTYPE'!$D$10:$BA$52,MATCH($C23,'[1]SALES PERTYPE'!$B$10:$B$52,0),MATCH("Y11d",'[1]SALES PERTYPE'!$D$8:$BA$8,0)),0)</f>
        <v>7</v>
      </c>
      <c r="M23" s="33">
        <f>IFERROR(INDEX('[1]Sales per type Agustus'!$D$10:$BA$51,MATCH($C23,'[1]Sales per type Agustus'!$B$10:$B$51,0),MATCH("Y11d",'[1]Sales per type Agustus'!$D$8:$BA$8,0)),0)</f>
        <v>6</v>
      </c>
      <c r="N23" s="33">
        <f t="shared" si="2"/>
        <v>1</v>
      </c>
      <c r="O23" s="33" cm="1">
        <f t="array" ref="O23">IFERROR(INDEX('[1]SALES PERTYPE'!$D$10:$BA$52,MATCH($C23,'[1]SALES PERTYPE'!$B$10:$B$52,0),MATCH("Y11d",'[1]SALES PERTYPE'!$D$8:$BA$8,0)+1),0)</f>
        <v>19193000</v>
      </c>
      <c r="P23" s="33" cm="1">
        <f t="array" ref="P23">IFERROR(INDEX('[1]Sales per type Agustus'!$D$10:$BA$51,MATCH($C23,'[1]Sales per type Agustus'!$B$10:$B$51,0),MATCH("Y11d",'[1]Sales per type Agustus'!$D$8:$BA$8,0)+1),0)</f>
        <v>15994000</v>
      </c>
      <c r="Q23" s="33">
        <f t="shared" si="3"/>
        <v>3199000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2</v>
      </c>
      <c r="Y23" s="33">
        <f>IFERROR(INDEX('[1]Sales per type Agustus'!$D$10:$BA$51,MATCH($C23,'[1]Sales per type Agustus'!$B$10:$B$51,0),MATCH("Y05e",'[1]Sales per type Agustus'!$D$8:$BA$8,0)),0)</f>
        <v>10</v>
      </c>
      <c r="Z23" s="33">
        <f t="shared" si="6"/>
        <v>-8</v>
      </c>
      <c r="AA23" s="33" cm="1">
        <f t="array" ref="AA23">IFERROR(INDEX('[1]SALES PERTYPE'!$D$10:$BA$52,MATCH($C23,'[1]SALES PERTYPE'!$B$10:$B$52,0),MATCH("Y05e",'[1]SALES PERTYPE'!$D$8:$BA$8,0)+1),0)</f>
        <v>4198000</v>
      </c>
      <c r="AB23" s="33" cm="1">
        <f t="array" ref="AB23">IFERROR(INDEX('[1]Sales per type Agustus'!$D$10:$BA$51,MATCH($C23,'[1]Sales per type Agustus'!$B$10:$B$51,0),MATCH("Y05e",'[1]Sales per type Agustus'!$D$8:$BA$8,0)+1),0)</f>
        <v>20990000</v>
      </c>
      <c r="AC23" s="33">
        <f t="shared" si="7"/>
        <v>-16792000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2</v>
      </c>
      <c r="AF23" s="33">
        <f t="shared" si="8"/>
        <v>-2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19998000</v>
      </c>
      <c r="AI23" s="33">
        <f t="shared" si="9"/>
        <v>-19998000</v>
      </c>
      <c r="AJ23" s="33">
        <f>IFERROR(INDEX('[1]SALES PERTYPE'!$D$10:$BA$52,MATCH($C23,'[1]SALES PERTYPE'!$B$10:$B$52,0),MATCH("Y31d Pro",'[1]SALES PERTYPE'!$D$8:$BA$8,0)),0)</f>
        <v>4</v>
      </c>
      <c r="AK23" s="33">
        <f>IFERROR(INDEX('[1]Sales per type Agustus'!$D$10:$BA$51,MATCH($C23,'[1]Sales per type Agustus'!$B$10:$B$51,0),MATCH("Y31d Pro",'[1]Sales per type Agustus'!$D$8:$BA$8,0)),0)</f>
        <v>3</v>
      </c>
      <c r="AL23" s="33">
        <f t="shared" si="10"/>
        <v>1</v>
      </c>
      <c r="AM23" s="33" cm="1">
        <f t="array" ref="AM23">IFERROR(INDEX('[1]SALES PERTYPE'!$D$10:$BA$52,MATCH($C23,'[1]SALES PERTYPE'!$B$10:$B$52,0),MATCH("Y31d Pro",'[1]SALES PERTYPE'!$D$8:$BA$8,0)+1),0)</f>
        <v>18996000</v>
      </c>
      <c r="AN23" s="33" cm="1">
        <f t="array" ref="AN23">IFERROR(INDEX('[1]Sales per type Agustus'!$D$10:$BA$51,MATCH($C23,'[1]Sales per type Agustus'!$B$10:$B$51,0),MATCH("Y31d Pro",'[1]Sales per type Agustus'!$D$8:$BA$8,0)+1),0)</f>
        <v>13297000</v>
      </c>
      <c r="AO23" s="33">
        <f t="shared" si="11"/>
        <v>5699000</v>
      </c>
      <c r="AP23" s="33" cm="1">
        <f t="array" ref="AP23">IFERROR(INDEX('[1]SALES PERTYPE'!$D$10:$BA$52,MATCH($C23,'[1]SALES PERTYPE'!$B$10:$B$52,0),$EI$3),0)</f>
        <v>1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1</v>
      </c>
      <c r="AS23" s="33" cm="1">
        <f t="array" ref="AS23">IFERROR(INDEX('[1]SALES PERTYPE'!$D$10:$BA$52,MATCH($C23,'[1]SALES PERTYPE'!$B$10:$B$52,0),$EI$3+1),0)</f>
        <v>3599000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3599000</v>
      </c>
      <c r="AV23" s="33">
        <f>IFERROR(INDEX('[1]SALES PERTYPE'!$D$10:$BA$52,MATCH($C23,'[1]SALES PERTYPE'!$B$10:$B$52,0),MATCH("Y31d ",'[1]SALES PERTYPE'!$D$8:$BA$8,0)),0)</f>
        <v>1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1</v>
      </c>
      <c r="AY23" s="33" cm="1">
        <f t="array" ref="AY23">IFERROR(INDEX('[1]SALES PERTYPE'!$D$10:$BA$52,MATCH($C23,'[1]SALES PERTYPE'!$B$10:$B$52,0),MATCH("Y31d ",'[1]SALES PERTYPE'!$D$8:$BA$8,0)+1),0)</f>
        <v>3599000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3599000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2</v>
      </c>
      <c r="BD23" s="33">
        <f t="shared" si="16"/>
        <v>-2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15998000</v>
      </c>
      <c r="BG23" s="33">
        <f t="shared" si="17"/>
        <v>-15998000</v>
      </c>
      <c r="BH23" s="33">
        <f>IFERROR(INDEX('[1]SALES PERTYPE'!$D$10:$BA$52,MATCH($C23,'[1]SALES PERTYPE'!$B$10:$B$52,0),MATCH("Y31d",'[1]SALES PERTYPE'!$D$8:$BA$8,0)),0)</f>
        <v>1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1</v>
      </c>
      <c r="BK23" s="33" cm="1">
        <f t="array" ref="BK23">IFERROR(INDEX('[1]SALES PERTYPE'!$D$10:$BA$52,MATCH($C23,'[1]SALES PERTYPE'!$B$10:$B$52,0),MATCH("Y31d",'[1]SALES PERTYPE'!$D$8:$BA$8,0)+1),0)</f>
        <v>3599000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3599000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1</v>
      </c>
      <c r="BP23" s="33">
        <f t="shared" si="20"/>
        <v>-1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6299000</v>
      </c>
      <c r="BS23" s="33">
        <f t="shared" si="21"/>
        <v>-6299000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1</v>
      </c>
      <c r="CA23" s="33">
        <f>IFERROR(INDEX('[1]Sales per type Agustus'!$D$10:$BA$51,MATCH($C23,'[1]Sales per type Agustus'!$B$10:$B$51,0),MATCH("V60 Lite",'[1]Sales per type Agustus'!$D$8:$BA$8,0)),0)</f>
        <v>2</v>
      </c>
      <c r="CB23" s="33">
        <f t="shared" si="24"/>
        <v>-1</v>
      </c>
      <c r="CC23" s="33" cm="1">
        <f t="array" ref="CC23">IFERROR(INDEX('[1]SALES PERTYPE'!$D$10:$BA$52,MATCH($C23,'[1]SALES PERTYPE'!$B$10:$B$52,0),MATCH("V60 Lite",'[1]SALES PERTYPE'!$D$8:$BA$8,0)+1),0)</f>
        <v>5899000</v>
      </c>
      <c r="CD23" s="33" cm="1">
        <f t="array" ref="CD23">IFERROR(INDEX('[1]Sales per type Agustus'!$D$10:$BA$51,MATCH($C23,'[1]Sales per type Agustus'!$B$10:$B$51,0),MATCH("V60 Lite",'[1]Sales per type Agustus'!$D$8:$BA$8,0)+1),0)</f>
        <v>10598000</v>
      </c>
      <c r="CE23" s="33">
        <f t="shared" si="25"/>
        <v>-4699000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0</v>
      </c>
      <c r="CT23" s="33">
        <f t="shared" si="30"/>
        <v>0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0</v>
      </c>
      <c r="CW23" s="33">
        <f t="shared" si="31"/>
        <v>0</v>
      </c>
      <c r="CX23" s="33">
        <f>IFERROR(INDEX('[1]SALES PERTYPE'!$D$10:$BA$52,MATCH($C23,'[1]SALES PERTYPE'!$B$10:$B$52,0),MATCH("IQOO Z11",'[1]SALES PERTYPE'!$D$8:$BA$8,0)),0)</f>
        <v>3</v>
      </c>
      <c r="CY23" s="33">
        <f>IFERROR(INDEX('[1]Sales per type Agustus'!$D$10:$BA$51,MATCH($C23,'[1]Sales per type Agustus'!$B$10:$B$51,0),MATCH("IQOO Z11",'[1]Sales per type Agustus'!$D$8:$BA$8,0)),0)</f>
        <v>1</v>
      </c>
      <c r="CZ23" s="33">
        <f t="shared" si="32"/>
        <v>2</v>
      </c>
      <c r="DA23" s="33" cm="1">
        <f t="array" ref="DA23">IFERROR(INDEX('[1]SALES PERTYPE'!$D$10:$BA$52,MATCH($C23,'[1]SALES PERTYPE'!$B$10:$B$52,0),MATCH("IQOO Z11",'[1]SALES PERTYPE'!$D$8:$BA$8,0)+1),0)</f>
        <v>23697000</v>
      </c>
      <c r="DB23" s="33" cm="1">
        <f t="array" ref="DB23">IFERROR(INDEX('[1]Sales per type Agustus'!$D$10:$BA$51,MATCH($C23,'[1]Sales per type Agustus'!$B$10:$B$51,0),MATCH("IQOO Z11",'[1]Sales per type Agustus'!$D$8:$BA$8,0)+1),0)</f>
        <v>6899000</v>
      </c>
      <c r="DC23" s="33">
        <f t="shared" si="33"/>
        <v>16798000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27</v>
      </c>
      <c r="EC23" s="33">
        <f t="shared" si="42"/>
        <v>31</v>
      </c>
      <c r="ED23" s="33">
        <f t="shared" si="43"/>
        <v>-4</v>
      </c>
      <c r="EE23" s="33">
        <f t="shared" si="44"/>
        <v>99773000</v>
      </c>
      <c r="EF23" s="33">
        <f t="shared" si="44"/>
        <v>119569000</v>
      </c>
      <c r="EG23" s="33">
        <f t="shared" si="45"/>
        <v>-19796000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1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1</v>
      </c>
      <c r="I24" s="33" cm="1">
        <f t="array" ref="I24">IFERROR(INDEX('[1]SALES PERTYPE'!$D$10:$BA$52,MATCH($C24,'[1]SALES PERTYPE'!$B$10:$B$52,0),MATCH("Y05",'[1]SALES PERTYPE'!$D$8:$BA$8,0)+1),0)</f>
        <v>2299000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2299000</v>
      </c>
      <c r="L24" s="33">
        <f>IFERROR(INDEX('[1]SALES PERTYPE'!$D$10:$BA$52,MATCH($C24,'[1]SALES PERTYPE'!$B$10:$B$52,0),MATCH("Y11d",'[1]SALES PERTYPE'!$D$8:$BA$8,0)),0)</f>
        <v>1</v>
      </c>
      <c r="M24" s="33">
        <f>IFERROR(INDEX('[1]Sales per type Agustus'!$D$10:$BA$51,MATCH($C24,'[1]Sales per type Agustus'!$B$10:$B$51,0),MATCH("Y11d",'[1]Sales per type Agustus'!$D$8:$BA$8,0)),0)</f>
        <v>3</v>
      </c>
      <c r="N24" s="33">
        <f t="shared" si="2"/>
        <v>-2</v>
      </c>
      <c r="O24" s="33" cm="1">
        <f t="array" ref="O24">IFERROR(INDEX('[1]SALES PERTYPE'!$D$10:$BA$52,MATCH($C24,'[1]SALES PERTYPE'!$B$10:$B$52,0),MATCH("Y11d",'[1]SALES PERTYPE'!$D$8:$BA$8,0)+1),0)</f>
        <v>2799000</v>
      </c>
      <c r="P24" s="33" cm="1">
        <f t="array" ref="P24">IFERROR(INDEX('[1]Sales per type Agustus'!$D$10:$BA$51,MATCH($C24,'[1]Sales per type Agustus'!$B$10:$B$51,0),MATCH("Y11d",'[1]Sales per type Agustus'!$D$8:$BA$8,0)+1),0)</f>
        <v>7997000</v>
      </c>
      <c r="Q24" s="33">
        <f t="shared" si="3"/>
        <v>-5198000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1</v>
      </c>
      <c r="AL24" s="33">
        <f t="shared" si="10"/>
        <v>0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4899000</v>
      </c>
      <c r="AO24" s="33">
        <f t="shared" si="11"/>
        <v>-600000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0</v>
      </c>
      <c r="BJ24" s="33">
        <f t="shared" si="18"/>
        <v>0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0</v>
      </c>
      <c r="BM24" s="33">
        <f t="shared" si="19"/>
        <v>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3</v>
      </c>
      <c r="EC24" s="33">
        <f t="shared" si="42"/>
        <v>4</v>
      </c>
      <c r="ED24" s="33">
        <f t="shared" si="43"/>
        <v>-1</v>
      </c>
      <c r="EE24" s="33">
        <f t="shared" si="44"/>
        <v>9397000</v>
      </c>
      <c r="EF24" s="33">
        <f t="shared" si="44"/>
        <v>12896000</v>
      </c>
      <c r="EG24" s="33">
        <f t="shared" si="45"/>
        <v>-3499000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11</v>
      </c>
      <c r="G25" s="33">
        <f>IFERROR(INDEX('[1]Sales per type Agustus'!$D$10:$BA$51,MATCH($C25,'[1]Sales per type Agustus'!$B$10:$B$51,0),MATCH("Y05",'[1]Sales per type Agustus'!$D$8:$BA$8,0)),0)</f>
        <v>8</v>
      </c>
      <c r="H25" s="33">
        <f t="shared" si="0"/>
        <v>3</v>
      </c>
      <c r="I25" s="33" cm="1">
        <f t="array" ref="I25">IFERROR(INDEX('[1]SALES PERTYPE'!$D$10:$BA$52,MATCH($C25,'[1]SALES PERTYPE'!$B$10:$B$52,0),MATCH("Y05",'[1]SALES PERTYPE'!$D$8:$BA$8,0)+1),0)</f>
        <v>26789000</v>
      </c>
      <c r="J25" s="33" cm="1">
        <f t="array" ref="J25">IFERROR(INDEX('[1]Sales per type Agustus'!$D$10:$BA$51,MATCH($C25,'[1]Sales per type Agustus'!$B$10:$B$51,0),MATCH("Y05",'[1]Sales per type Agustus'!$D$8:$BA$8,0)+1),0)</f>
        <v>19892000</v>
      </c>
      <c r="K25" s="33">
        <f t="shared" si="1"/>
        <v>6897000</v>
      </c>
      <c r="L25" s="33">
        <f>IFERROR(INDEX('[1]SALES PERTYPE'!$D$10:$BA$52,MATCH($C25,'[1]SALES PERTYPE'!$B$10:$B$52,0),MATCH("Y11d",'[1]SALES PERTYPE'!$D$8:$BA$8,0)),0)</f>
        <v>5</v>
      </c>
      <c r="M25" s="33">
        <f>IFERROR(INDEX('[1]Sales per type Agustus'!$D$10:$BA$51,MATCH($C25,'[1]Sales per type Agustus'!$B$10:$B$51,0),MATCH("Y11d",'[1]Sales per type Agustus'!$D$8:$BA$8,0)),0)</f>
        <v>8</v>
      </c>
      <c r="N25" s="33">
        <f t="shared" si="2"/>
        <v>-3</v>
      </c>
      <c r="O25" s="33" cm="1">
        <f t="array" ref="O25">IFERROR(INDEX('[1]SALES PERTYPE'!$D$10:$BA$52,MATCH($C25,'[1]SALES PERTYPE'!$B$10:$B$52,0),MATCH("Y11d",'[1]SALES PERTYPE'!$D$8:$BA$8,0)+1),0)</f>
        <v>13195000</v>
      </c>
      <c r="P25" s="33" cm="1">
        <f t="array" ref="P25">IFERROR(INDEX('[1]Sales per type Agustus'!$D$10:$BA$51,MATCH($C25,'[1]Sales per type Agustus'!$B$10:$B$51,0),MATCH("Y11d",'[1]Sales per type Agustus'!$D$8:$BA$8,0)+1),0)</f>
        <v>21192000</v>
      </c>
      <c r="Q25" s="33">
        <f t="shared" si="3"/>
        <v>-7997000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3</v>
      </c>
      <c r="Y25" s="33">
        <f>IFERROR(INDEX('[1]Sales per type Agustus'!$D$10:$BA$51,MATCH($C25,'[1]Sales per type Agustus'!$B$10:$B$51,0),MATCH("Y05e",'[1]Sales per type Agustus'!$D$8:$BA$8,0)),0)</f>
        <v>0</v>
      </c>
      <c r="Z25" s="33">
        <f t="shared" si="6"/>
        <v>3</v>
      </c>
      <c r="AA25" s="33" cm="1">
        <f t="array" ref="AA25">IFERROR(INDEX('[1]SALES PERTYPE'!$D$10:$BA$52,MATCH($C25,'[1]SALES PERTYPE'!$B$10:$B$52,0),MATCH("Y05e",'[1]SALES PERTYPE'!$D$8:$BA$8,0)+1),0)</f>
        <v>6297000</v>
      </c>
      <c r="AB25" s="33" cm="1">
        <f t="array" ref="AB25">IFERROR(INDEX('[1]Sales per type Agustus'!$D$10:$BA$51,MATCH($C25,'[1]Sales per type Agustus'!$B$10:$B$51,0),MATCH("Y05e",'[1]Sales per type Agustus'!$D$8:$BA$8,0)+1),0)</f>
        <v>0</v>
      </c>
      <c r="AC25" s="33">
        <f t="shared" si="7"/>
        <v>6297000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1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1</v>
      </c>
      <c r="AM25" s="33" cm="1">
        <f t="array" ref="AM25">IFERROR(INDEX('[1]SALES PERTYPE'!$D$10:$BA$52,MATCH($C25,'[1]SALES PERTYPE'!$B$10:$B$52,0),MATCH("Y31d Pro",'[1]SALES PERTYPE'!$D$8:$BA$8,0)+1),0)</f>
        <v>3899000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3899000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0</v>
      </c>
      <c r="BD25" s="33">
        <f t="shared" si="16"/>
        <v>0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0</v>
      </c>
      <c r="BG25" s="33">
        <f t="shared" si="17"/>
        <v>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1</v>
      </c>
      <c r="BP25" s="33">
        <f t="shared" si="20"/>
        <v>-1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5499000</v>
      </c>
      <c r="BS25" s="33">
        <f t="shared" si="21"/>
        <v>-5499000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4</v>
      </c>
      <c r="CA25" s="33">
        <f>IFERROR(INDEX('[1]Sales per type Agustus'!$D$10:$BA$51,MATCH($C25,'[1]Sales per type Agustus'!$B$10:$B$51,0),MATCH("V60 Lite",'[1]Sales per type Agustus'!$D$8:$BA$8,0)),0)</f>
        <v>1</v>
      </c>
      <c r="CB25" s="33">
        <f t="shared" si="24"/>
        <v>3</v>
      </c>
      <c r="CC25" s="33" cm="1">
        <f t="array" ref="CC25">IFERROR(INDEX('[1]SALES PERTYPE'!$D$10:$BA$52,MATCH($C25,'[1]SALES PERTYPE'!$B$10:$B$52,0),MATCH("V60 Lite",'[1]SALES PERTYPE'!$D$8:$BA$8,0)+1),0)</f>
        <v>23596000</v>
      </c>
      <c r="CD25" s="33" cm="1">
        <f t="array" ref="CD25">IFERROR(INDEX('[1]Sales per type Agustus'!$D$10:$BA$51,MATCH($C25,'[1]Sales per type Agustus'!$B$10:$B$51,0),MATCH("V60 Lite",'[1]Sales per type Agustus'!$D$8:$BA$8,0)+1),0)</f>
        <v>5299000</v>
      </c>
      <c r="CE25" s="33">
        <f t="shared" si="25"/>
        <v>18297000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25</v>
      </c>
      <c r="EC25" s="33">
        <f t="shared" si="42"/>
        <v>18</v>
      </c>
      <c r="ED25" s="33">
        <f t="shared" si="43"/>
        <v>7</v>
      </c>
      <c r="EE25" s="33">
        <f t="shared" si="44"/>
        <v>83775000</v>
      </c>
      <c r="EF25" s="33">
        <f t="shared" si="44"/>
        <v>51882000</v>
      </c>
      <c r="EG25" s="33">
        <f t="shared" si="45"/>
        <v>31893000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6</v>
      </c>
      <c r="G26" s="33">
        <f>IFERROR(INDEX('[1]Sales per type Agustus'!$D$10:$BA$51,MATCH($C26,'[1]Sales per type Agustus'!$B$10:$B$51,0),MATCH("Y05",'[1]Sales per type Agustus'!$D$8:$BA$8,0)),0)</f>
        <v>3</v>
      </c>
      <c r="H26" s="33">
        <f t="shared" si="0"/>
        <v>3</v>
      </c>
      <c r="I26" s="33" cm="1">
        <f t="array" ref="I26">IFERROR(INDEX('[1]SALES PERTYPE'!$D$10:$BA$52,MATCH($C26,'[1]SALES PERTYPE'!$B$10:$B$52,0),MATCH("Y05",'[1]SALES PERTYPE'!$D$8:$BA$8,0)+1),0)</f>
        <v>14694000</v>
      </c>
      <c r="J26" s="33" cm="1">
        <f t="array" ref="J26">IFERROR(INDEX('[1]Sales per type Agustus'!$D$10:$BA$51,MATCH($C26,'[1]Sales per type Agustus'!$B$10:$B$51,0),MATCH("Y05",'[1]Sales per type Agustus'!$D$8:$BA$8,0)+1),0)</f>
        <v>7497000</v>
      </c>
      <c r="K26" s="33">
        <f t="shared" si="1"/>
        <v>7197000</v>
      </c>
      <c r="L26" s="33">
        <f>IFERROR(INDEX('[1]SALES PERTYPE'!$D$10:$BA$52,MATCH($C26,'[1]SALES PERTYPE'!$B$10:$B$52,0),MATCH("Y11d",'[1]SALES PERTYPE'!$D$8:$BA$8,0)),0)</f>
        <v>8</v>
      </c>
      <c r="M26" s="33">
        <f>IFERROR(INDEX('[1]Sales per type Agustus'!$D$10:$BA$51,MATCH($C26,'[1]Sales per type Agustus'!$B$10:$B$51,0),MATCH("Y11d",'[1]Sales per type Agustus'!$D$8:$BA$8,0)),0)</f>
        <v>7</v>
      </c>
      <c r="N26" s="33">
        <f t="shared" si="2"/>
        <v>1</v>
      </c>
      <c r="O26" s="33" cm="1">
        <f t="array" ref="O26">IFERROR(INDEX('[1]SALES PERTYPE'!$D$10:$BA$52,MATCH($C26,'[1]SALES PERTYPE'!$B$10:$B$52,0),MATCH("Y11d",'[1]SALES PERTYPE'!$D$8:$BA$8,0)+1),0)</f>
        <v>21192000</v>
      </c>
      <c r="P26" s="33" cm="1">
        <f t="array" ref="P26">IFERROR(INDEX('[1]Sales per type Agustus'!$D$10:$BA$51,MATCH($C26,'[1]Sales per type Agustus'!$B$10:$B$51,0),MATCH("Y11d",'[1]Sales per type Agustus'!$D$8:$BA$8,0)+1),0)</f>
        <v>17993000</v>
      </c>
      <c r="Q26" s="33">
        <f t="shared" si="3"/>
        <v>3199000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3</v>
      </c>
      <c r="Z26" s="33">
        <f t="shared" si="6"/>
        <v>-3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6297000</v>
      </c>
      <c r="AC26" s="33">
        <f t="shared" si="7"/>
        <v>-6297000</v>
      </c>
      <c r="AD26" s="33">
        <f>IFERROR(INDEX('[1]SALES PERTYPE'!$D$10:$BA$52,MATCH($C26,'[1]SALES PERTYPE'!$B$10:$B$52,0),MATCH("V70",'[1]SALES PERTYPE'!$D$8:$BA$8,0)),0)</f>
        <v>3</v>
      </c>
      <c r="AE26" s="33">
        <f>IFERROR(INDEX('[1]Sales per type Agustus'!$D$10:$BA$51,MATCH($C26,'[1]Sales per type Agustus'!$B$10:$B$51,0),MATCH("V70",'[1]Sales per type Agustus'!$D$8:$BA$8,0)),0)</f>
        <v>2</v>
      </c>
      <c r="AF26" s="33">
        <f t="shared" si="8"/>
        <v>1</v>
      </c>
      <c r="AG26" s="33" cm="1">
        <f t="array" ref="AG26">IFERROR(INDEX('[1]SALES PERTYPE'!$D$10:$BA$52,MATCH($C26,'[1]SALES PERTYPE'!$B$10:$B$52,0),MATCH("V70",'[1]SALES PERTYPE'!$D$8:$BA$8,0)+1),0)</f>
        <v>29997000</v>
      </c>
      <c r="AH26" s="33" cm="1">
        <f t="array" ref="AH26">IFERROR(INDEX('[1]Sales per type Agustus'!$D$10:$BA$51,MATCH($C26,'[1]Sales per type Agustus'!$B$10:$B$51,0),MATCH("V70",'[1]Sales per type Agustus'!$D$8:$BA$8,0)+1),0)</f>
        <v>18998000</v>
      </c>
      <c r="AI26" s="33">
        <f t="shared" si="9"/>
        <v>10999000</v>
      </c>
      <c r="AJ26" s="33">
        <f>IFERROR(INDEX('[1]SALES PERTYPE'!$D$10:$BA$52,MATCH($C26,'[1]SALES PERTYPE'!$B$10:$B$52,0),MATCH("Y31d Pro",'[1]SALES PERTYPE'!$D$8:$BA$8,0)),0)</f>
        <v>4</v>
      </c>
      <c r="AK26" s="33">
        <f>IFERROR(INDEX('[1]Sales per type Agustus'!$D$10:$BA$51,MATCH($C26,'[1]Sales per type Agustus'!$B$10:$B$51,0),MATCH("Y31d Pro",'[1]Sales per type Agustus'!$D$8:$BA$8,0)),0)</f>
        <v>5</v>
      </c>
      <c r="AL26" s="33">
        <f t="shared" si="10"/>
        <v>-1</v>
      </c>
      <c r="AM26" s="33" cm="1">
        <f t="array" ref="AM26">IFERROR(INDEX('[1]SALES PERTYPE'!$D$10:$BA$52,MATCH($C26,'[1]SALES PERTYPE'!$B$10:$B$52,0),MATCH("Y31d Pro",'[1]SALES PERTYPE'!$D$8:$BA$8,0)+1),0)</f>
        <v>17996000</v>
      </c>
      <c r="AN26" s="33" cm="1">
        <f t="array" ref="AN26">IFERROR(INDEX('[1]Sales per type Agustus'!$D$10:$BA$51,MATCH($C26,'[1]Sales per type Agustus'!$B$10:$B$51,0),MATCH("Y31d Pro",'[1]Sales per type Agustus'!$D$8:$BA$8,0)+1),0)</f>
        <v>21295000</v>
      </c>
      <c r="AO26" s="33">
        <f t="shared" si="11"/>
        <v>-3299000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1</v>
      </c>
      <c r="BD26" s="33">
        <f t="shared" si="16"/>
        <v>0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7999000</v>
      </c>
      <c r="BG26" s="33">
        <f t="shared" si="17"/>
        <v>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3</v>
      </c>
      <c r="CA26" s="33">
        <f>IFERROR(INDEX('[1]Sales per type Agustus'!$D$10:$BA$51,MATCH($C26,'[1]Sales per type Agustus'!$B$10:$B$51,0),MATCH("V60 Lite",'[1]Sales per type Agustus'!$D$8:$BA$8,0)),0)</f>
        <v>3</v>
      </c>
      <c r="CB26" s="33">
        <f t="shared" si="24"/>
        <v>0</v>
      </c>
      <c r="CC26" s="33" cm="1">
        <f t="array" ref="CC26">IFERROR(INDEX('[1]SALES PERTYPE'!$D$10:$BA$52,MATCH($C26,'[1]SALES PERTYPE'!$B$10:$B$52,0),MATCH("V60 Lite",'[1]SALES PERTYPE'!$D$8:$BA$8,0)+1),0)</f>
        <v>17697000</v>
      </c>
      <c r="CD26" s="33" cm="1">
        <f t="array" ref="CD26">IFERROR(INDEX('[1]Sales per type Agustus'!$D$10:$BA$51,MATCH($C26,'[1]Sales per type Agustus'!$B$10:$B$51,0),MATCH("V60 Lite",'[1]Sales per type Agustus'!$D$8:$BA$8,0)+1),0)</f>
        <v>16497000</v>
      </c>
      <c r="CE26" s="33">
        <f t="shared" si="25"/>
        <v>1200000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25</v>
      </c>
      <c r="EC26" s="33">
        <f t="shared" si="42"/>
        <v>25</v>
      </c>
      <c r="ED26" s="33">
        <f t="shared" si="43"/>
        <v>0</v>
      </c>
      <c r="EE26" s="33">
        <f t="shared" si="44"/>
        <v>109575000</v>
      </c>
      <c r="EF26" s="33">
        <f t="shared" si="44"/>
        <v>102075000</v>
      </c>
      <c r="EG26" s="33">
        <f t="shared" si="45"/>
        <v>7500000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2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PERTYPE'!$D$10:$BA$52,MATCH($C27,'[1]SALES PERTYPE'!$B$10:$B$52,0),MATCH("Y05",'[1]SALES PERTYPE'!$D$8:$BA$8,0)+1),0)</f>
        <v>4898000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4898000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3</v>
      </c>
      <c r="Z27" s="33">
        <f t="shared" si="6"/>
        <v>-3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6297000</v>
      </c>
      <c r="AC27" s="33">
        <f t="shared" si="7"/>
        <v>-6297000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1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1</v>
      </c>
      <c r="AS27" s="33" cm="1">
        <f t="array" ref="AS27">IFERROR(INDEX('[1]SALES PERTYPE'!$D$10:$BA$52,MATCH($C27,'[1]SALES PERTYPE'!$B$10:$B$52,0),$EI$3+1),0)</f>
        <v>3599000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3599000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1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PERTYPE'!$D$10:$BA$52,MATCH($C27,'[1]SALES PERTYPE'!$B$10:$B$52,0),MATCH("IQOO Z11",'[1]SALES PERTYPE'!$D$8:$BA$8,0)+1),0)</f>
        <v>6899000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6899000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4</v>
      </c>
      <c r="EC27" s="33">
        <f t="shared" si="42"/>
        <v>3</v>
      </c>
      <c r="ED27" s="33">
        <f t="shared" si="43"/>
        <v>1</v>
      </c>
      <c r="EE27" s="33">
        <f t="shared" si="44"/>
        <v>15396000</v>
      </c>
      <c r="EF27" s="33">
        <f t="shared" si="44"/>
        <v>6297000</v>
      </c>
      <c r="EG27" s="33">
        <f t="shared" si="45"/>
        <v>9099000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5</v>
      </c>
      <c r="G28" s="33">
        <f>IFERROR(INDEX('[1]Sales per type Agustus'!$D$10:$BA$51,MATCH($C28,'[1]Sales per type Agustus'!$B$10:$B$51,0),MATCH("Y05",'[1]Sales per type Agustus'!$D$8:$BA$8,0)),0)</f>
        <v>6</v>
      </c>
      <c r="H28" s="33">
        <f t="shared" si="0"/>
        <v>-1</v>
      </c>
      <c r="I28" s="33" cm="1">
        <f t="array" ref="I28">IFERROR(INDEX('[1]SALES PERTYPE'!$D$10:$BA$52,MATCH($C28,'[1]SALES PERTYPE'!$B$10:$B$52,0),MATCH("Y05",'[1]SALES PERTYPE'!$D$8:$BA$8,0)+1),0)</f>
        <v>12095000</v>
      </c>
      <c r="J28" s="33" cm="1">
        <f t="array" ref="J28">IFERROR(INDEX('[1]Sales per type Agustus'!$D$10:$BA$51,MATCH($C28,'[1]Sales per type Agustus'!$B$10:$B$51,0),MATCH("Y05",'[1]Sales per type Agustus'!$D$8:$BA$8,0)+1),0)</f>
        <v>15294000</v>
      </c>
      <c r="K28" s="33">
        <f t="shared" si="1"/>
        <v>-3199000</v>
      </c>
      <c r="L28" s="33">
        <f>IFERROR(INDEX('[1]SALES PERTYPE'!$D$10:$BA$52,MATCH($C28,'[1]SALES PERTYPE'!$B$10:$B$52,0),MATCH("Y11d",'[1]SALES PERTYPE'!$D$8:$BA$8,0)),0)</f>
        <v>5</v>
      </c>
      <c r="M28" s="33">
        <f>IFERROR(INDEX('[1]Sales per type Agustus'!$D$10:$BA$51,MATCH($C28,'[1]Sales per type Agustus'!$B$10:$B$51,0),MATCH("Y11d",'[1]Sales per type Agustus'!$D$8:$BA$8,0)),0)</f>
        <v>13</v>
      </c>
      <c r="N28" s="33">
        <f t="shared" si="2"/>
        <v>-8</v>
      </c>
      <c r="O28" s="33" cm="1">
        <f t="array" ref="O28">IFERROR(INDEX('[1]SALES PERTYPE'!$D$10:$BA$52,MATCH($C28,'[1]SALES PERTYPE'!$B$10:$B$52,0),MATCH("Y11d",'[1]SALES PERTYPE'!$D$8:$BA$8,0)+1),0)</f>
        <v>13595000</v>
      </c>
      <c r="P28" s="33" cm="1">
        <f t="array" ref="P28">IFERROR(INDEX('[1]Sales per type Agustus'!$D$10:$BA$51,MATCH($C28,'[1]Sales per type Agustus'!$B$10:$B$51,0),MATCH("Y11d",'[1]Sales per type Agustus'!$D$8:$BA$8,0)+1),0)</f>
        <v>33987000</v>
      </c>
      <c r="Q28" s="33">
        <f t="shared" si="3"/>
        <v>-20392000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5</v>
      </c>
      <c r="Y28" s="33">
        <f>IFERROR(INDEX('[1]Sales per type Agustus'!$D$10:$BA$51,MATCH($C28,'[1]Sales per type Agustus'!$B$10:$B$51,0),MATCH("Y05e",'[1]Sales per type Agustus'!$D$8:$BA$8,0)),0)</f>
        <v>4</v>
      </c>
      <c r="Z28" s="33">
        <f t="shared" si="6"/>
        <v>1</v>
      </c>
      <c r="AA28" s="33" cm="1">
        <f t="array" ref="AA28">IFERROR(INDEX('[1]SALES PERTYPE'!$D$10:$BA$52,MATCH($C28,'[1]SALES PERTYPE'!$B$10:$B$52,0),MATCH("Y05e",'[1]SALES PERTYPE'!$D$8:$BA$8,0)+1),0)</f>
        <v>10495000</v>
      </c>
      <c r="AB28" s="33" cm="1">
        <f t="array" ref="AB28">IFERROR(INDEX('[1]Sales per type Agustus'!$D$10:$BA$51,MATCH($C28,'[1]Sales per type Agustus'!$B$10:$B$51,0),MATCH("Y05e",'[1]Sales per type Agustus'!$D$8:$BA$8,0)+1),0)</f>
        <v>8396000</v>
      </c>
      <c r="AC28" s="33">
        <f t="shared" si="7"/>
        <v>2099000</v>
      </c>
      <c r="AD28" s="33">
        <f>IFERROR(INDEX('[1]SALES PERTYPE'!$D$10:$BA$52,MATCH($C28,'[1]SALES PERTYPE'!$B$10:$B$52,0),MATCH("V70",'[1]SALES PERTYPE'!$D$8:$BA$8,0)),0)</f>
        <v>1</v>
      </c>
      <c r="AE28" s="33">
        <f>IFERROR(INDEX('[1]Sales per type Agustus'!$D$10:$BA$51,MATCH($C28,'[1]Sales per type Agustus'!$B$10:$B$51,0),MATCH("V70",'[1]Sales per type Agustus'!$D$8:$BA$8,0)),0)</f>
        <v>0</v>
      </c>
      <c r="AF28" s="33">
        <f t="shared" si="8"/>
        <v>1</v>
      </c>
      <c r="AG28" s="33" cm="1">
        <f t="array" ref="AG28">IFERROR(INDEX('[1]SALES PERTYPE'!$D$10:$BA$52,MATCH($C28,'[1]SALES PERTYPE'!$B$10:$B$52,0),MATCH("V70",'[1]SALES PERTYPE'!$D$8:$BA$8,0)+1),0)</f>
        <v>9999000</v>
      </c>
      <c r="AH28" s="33" cm="1">
        <f t="array" ref="AH28">IFERROR(INDEX('[1]Sales per type Agustus'!$D$10:$BA$51,MATCH($C28,'[1]Sales per type Agustus'!$B$10:$B$51,0),MATCH("V70",'[1]Sales per type Agustus'!$D$8:$BA$8,0)+1),0)</f>
        <v>0</v>
      </c>
      <c r="AI28" s="33">
        <f t="shared" si="9"/>
        <v>9999000</v>
      </c>
      <c r="AJ28" s="33">
        <f>IFERROR(INDEX('[1]SALES PERTYPE'!$D$10:$BA$52,MATCH($C28,'[1]SALES PERTYPE'!$B$10:$B$52,0),MATCH("Y31d Pro",'[1]SALES PERTYPE'!$D$8:$BA$8,0)),0)</f>
        <v>2</v>
      </c>
      <c r="AK28" s="33">
        <f>IFERROR(INDEX('[1]Sales per type Agustus'!$D$10:$BA$51,MATCH($C28,'[1]Sales per type Agustus'!$B$10:$B$51,0),MATCH("Y31d Pro",'[1]Sales per type Agustus'!$D$8:$BA$8,0)),0)</f>
        <v>5</v>
      </c>
      <c r="AL28" s="33">
        <f t="shared" si="10"/>
        <v>-3</v>
      </c>
      <c r="AM28" s="33" cm="1">
        <f t="array" ref="AM28">IFERROR(INDEX('[1]SALES PERTYPE'!$D$10:$BA$52,MATCH($C28,'[1]SALES PERTYPE'!$B$10:$B$52,0),MATCH("Y31d Pro",'[1]SALES PERTYPE'!$D$8:$BA$8,0)+1),0)</f>
        <v>8198000</v>
      </c>
      <c r="AN28" s="33" cm="1">
        <f t="array" ref="AN28">IFERROR(INDEX('[1]Sales per type Agustus'!$D$10:$BA$51,MATCH($C28,'[1]Sales per type Agustus'!$B$10:$B$51,0),MATCH("Y31d Pro",'[1]Sales per type Agustus'!$D$8:$BA$8,0)+1),0)</f>
        <v>24095000</v>
      </c>
      <c r="AO28" s="33">
        <f t="shared" si="11"/>
        <v>-15897000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2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1</v>
      </c>
      <c r="AY28" s="33" cm="1">
        <f t="array" ref="AY28">IFERROR(INDEX('[1]SALES PERTYPE'!$D$10:$BA$52,MATCH($C28,'[1]SALES PERTYPE'!$B$10:$B$52,0),MATCH("Y31d ",'[1]SALES PERTYPE'!$D$8:$BA$8,0)+1),0)</f>
        <v>7198000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6499000</v>
      </c>
      <c r="BG28" s="33">
        <f t="shared" si="17"/>
        <v>-6499000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1</v>
      </c>
      <c r="BP28" s="33">
        <f t="shared" si="20"/>
        <v>-1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6299000</v>
      </c>
      <c r="BS28" s="33">
        <f t="shared" si="21"/>
        <v>-6299000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22</v>
      </c>
      <c r="EC28" s="33">
        <f t="shared" si="42"/>
        <v>31</v>
      </c>
      <c r="ED28" s="33">
        <f t="shared" si="43"/>
        <v>-9</v>
      </c>
      <c r="EE28" s="33">
        <f t="shared" si="44"/>
        <v>73378000</v>
      </c>
      <c r="EF28" s="33">
        <f t="shared" si="44"/>
        <v>98169000</v>
      </c>
      <c r="EG28" s="33">
        <f t="shared" si="45"/>
        <v>-24791000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5</v>
      </c>
      <c r="G29" s="33">
        <f>IFERROR(INDEX('[1]Sales per type Agustus'!$D$10:$BA$51,MATCH($C29,'[1]Sales per type Agustus'!$B$10:$B$51,0),MATCH("Y05",'[1]Sales per type Agustus'!$D$8:$BA$8,0)),0)</f>
        <v>6</v>
      </c>
      <c r="H29" s="33">
        <f t="shared" si="0"/>
        <v>-1</v>
      </c>
      <c r="I29" s="33" cm="1">
        <f t="array" ref="I29">IFERROR(INDEX('[1]SALES PERTYPE'!$D$10:$BA$52,MATCH($C29,'[1]SALES PERTYPE'!$B$10:$B$52,0),MATCH("Y05",'[1]SALES PERTYPE'!$D$8:$BA$8,0)+1),0)</f>
        <v>12395000</v>
      </c>
      <c r="J29" s="33" cm="1">
        <f t="array" ref="J29">IFERROR(INDEX('[1]Sales per type Agustus'!$D$10:$BA$51,MATCH($C29,'[1]Sales per type Agustus'!$B$10:$B$51,0),MATCH("Y05",'[1]Sales per type Agustus'!$D$8:$BA$8,0)+1),0)</f>
        <v>14994000</v>
      </c>
      <c r="K29" s="33">
        <f t="shared" si="1"/>
        <v>-2599000</v>
      </c>
      <c r="L29" s="33">
        <f>IFERROR(INDEX('[1]SALES PERTYPE'!$D$10:$BA$52,MATCH($C29,'[1]SALES PERTYPE'!$B$10:$B$52,0),MATCH("Y11d",'[1]SALES PERTYPE'!$D$8:$BA$8,0)),0)</f>
        <v>7</v>
      </c>
      <c r="M29" s="33">
        <f>IFERROR(INDEX('[1]Sales per type Agustus'!$D$10:$BA$51,MATCH($C29,'[1]Sales per type Agustus'!$B$10:$B$51,0),MATCH("Y11d",'[1]Sales per type Agustus'!$D$8:$BA$8,0)),0)</f>
        <v>16</v>
      </c>
      <c r="N29" s="33">
        <f t="shared" si="2"/>
        <v>-9</v>
      </c>
      <c r="O29" s="33" cm="1">
        <f t="array" ref="O29">IFERROR(INDEX('[1]SALES PERTYPE'!$D$10:$BA$52,MATCH($C29,'[1]SALES PERTYPE'!$B$10:$B$52,0),MATCH("Y11d",'[1]SALES PERTYPE'!$D$8:$BA$8,0)+1),0)</f>
        <v>19593000</v>
      </c>
      <c r="P29" s="33" cm="1">
        <f t="array" ref="P29">IFERROR(INDEX('[1]Sales per type Agustus'!$D$10:$BA$51,MATCH($C29,'[1]Sales per type Agustus'!$B$10:$B$51,0),MATCH("Y11d",'[1]Sales per type Agustus'!$D$8:$BA$8,0)+1),0)</f>
        <v>43584000</v>
      </c>
      <c r="Q29" s="33">
        <f t="shared" si="3"/>
        <v>-23991000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2</v>
      </c>
      <c r="Y29" s="33">
        <f>IFERROR(INDEX('[1]Sales per type Agustus'!$D$10:$BA$51,MATCH($C29,'[1]Sales per type Agustus'!$B$10:$B$51,0),MATCH("Y05e",'[1]Sales per type Agustus'!$D$8:$BA$8,0)),0)</f>
        <v>4</v>
      </c>
      <c r="Z29" s="33">
        <f t="shared" si="6"/>
        <v>-2</v>
      </c>
      <c r="AA29" s="33" cm="1">
        <f t="array" ref="AA29">IFERROR(INDEX('[1]SALES PERTYPE'!$D$10:$BA$52,MATCH($C29,'[1]SALES PERTYPE'!$B$10:$B$52,0),MATCH("Y05e",'[1]SALES PERTYPE'!$D$8:$BA$8,0)+1),0)</f>
        <v>4198000</v>
      </c>
      <c r="AB29" s="33" cm="1">
        <f t="array" ref="AB29">IFERROR(INDEX('[1]Sales per type Agustus'!$D$10:$BA$51,MATCH($C29,'[1]Sales per type Agustus'!$B$10:$B$51,0),MATCH("Y05e",'[1]Sales per type Agustus'!$D$8:$BA$8,0)+1),0)</f>
        <v>8396000</v>
      </c>
      <c r="AC29" s="33">
        <f t="shared" si="7"/>
        <v>-4198000</v>
      </c>
      <c r="AD29" s="33">
        <f>IFERROR(INDEX('[1]SALES PERTYPE'!$D$10:$BA$52,MATCH($C29,'[1]SALES PERTYPE'!$B$10:$B$52,0),MATCH("V70",'[1]SALES PERTYPE'!$D$8:$BA$8,0)),0)</f>
        <v>1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PERTYPE'!$D$10:$BA$52,MATCH($C29,'[1]SALES PERTYPE'!$B$10:$B$52,0),MATCH("V70",'[1]SALES PERTYPE'!$D$8:$BA$8,0)+1),0)</f>
        <v>9999000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9999000</v>
      </c>
      <c r="AJ29" s="33">
        <f>IFERROR(INDEX('[1]SALES PERTYPE'!$D$10:$BA$52,MATCH($C29,'[1]SALES PERTYPE'!$B$10:$B$52,0),MATCH("Y31d Pro",'[1]SALES PERTYPE'!$D$8:$BA$8,0)),0)</f>
        <v>4</v>
      </c>
      <c r="AK29" s="33">
        <f>IFERROR(INDEX('[1]Sales per type Agustus'!$D$10:$BA$51,MATCH($C29,'[1]Sales per type Agustus'!$B$10:$B$51,0),MATCH("Y31d Pro",'[1]Sales per type Agustus'!$D$8:$BA$8,0)),0)</f>
        <v>2</v>
      </c>
      <c r="AL29" s="33">
        <f t="shared" si="10"/>
        <v>2</v>
      </c>
      <c r="AM29" s="33" cm="1">
        <f t="array" ref="AM29">IFERROR(INDEX('[1]SALES PERTYPE'!$D$10:$BA$52,MATCH($C29,'[1]SALES PERTYPE'!$B$10:$B$52,0),MATCH("Y31d Pro",'[1]SALES PERTYPE'!$D$8:$BA$8,0)+1),0)</f>
        <v>17396000</v>
      </c>
      <c r="AN29" s="33" cm="1">
        <f t="array" ref="AN29">IFERROR(INDEX('[1]Sales per type Agustus'!$D$10:$BA$51,MATCH($C29,'[1]Sales per type Agustus'!$B$10:$B$51,0),MATCH("Y31d Pro",'[1]Sales per type Agustus'!$D$8:$BA$8,0)+1),0)</f>
        <v>7798000</v>
      </c>
      <c r="AO29" s="33">
        <f t="shared" si="11"/>
        <v>9598000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1</v>
      </c>
      <c r="BD29" s="33">
        <f t="shared" si="16"/>
        <v>-1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7199000</v>
      </c>
      <c r="BG29" s="33">
        <f t="shared" si="17"/>
        <v>-7199000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6299000</v>
      </c>
      <c r="BS29" s="33">
        <f t="shared" si="21"/>
        <v>-6299000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1</v>
      </c>
      <c r="CB29" s="33">
        <f t="shared" si="24"/>
        <v>1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5899000</v>
      </c>
      <c r="CE29" s="33">
        <f t="shared" si="25"/>
        <v>5899000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21</v>
      </c>
      <c r="EC29" s="33">
        <f t="shared" si="42"/>
        <v>31</v>
      </c>
      <c r="ED29" s="33">
        <f t="shared" si="43"/>
        <v>-10</v>
      </c>
      <c r="EE29" s="33">
        <f t="shared" si="44"/>
        <v>75379000</v>
      </c>
      <c r="EF29" s="33">
        <f t="shared" si="44"/>
        <v>94169000</v>
      </c>
      <c r="EG29" s="33">
        <f t="shared" si="45"/>
        <v>-18790000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2</v>
      </c>
      <c r="G30" s="33">
        <f>IFERROR(INDEX('[1]Sales per type Agustus'!$D$10:$BA$51,MATCH($C30,'[1]Sales per type Agustus'!$B$10:$B$51,0),MATCH("Y05",'[1]Sales per type Agustus'!$D$8:$BA$8,0)),0)</f>
        <v>6</v>
      </c>
      <c r="H30" s="33">
        <f t="shared" si="0"/>
        <v>-4</v>
      </c>
      <c r="I30" s="33" cm="1">
        <f t="array" ref="I30">IFERROR(INDEX('[1]SALES PERTYPE'!$D$10:$BA$52,MATCH($C30,'[1]SALES PERTYPE'!$B$10:$B$52,0),MATCH("Y05",'[1]SALES PERTYPE'!$D$8:$BA$8,0)+1),0)</f>
        <v>5198000</v>
      </c>
      <c r="J30" s="33" cm="1">
        <f t="array" ref="J30">IFERROR(INDEX('[1]Sales per type Agustus'!$D$10:$BA$51,MATCH($C30,'[1]Sales per type Agustus'!$B$10:$B$51,0),MATCH("Y05",'[1]Sales per type Agustus'!$D$8:$BA$8,0)+1),0)</f>
        <v>14394000</v>
      </c>
      <c r="K30" s="33">
        <f t="shared" si="1"/>
        <v>-9196000</v>
      </c>
      <c r="L30" s="33">
        <f>IFERROR(INDEX('[1]SALES PERTYPE'!$D$10:$BA$52,MATCH($C30,'[1]SALES PERTYPE'!$B$10:$B$52,0),MATCH("Y11d",'[1]SALES PERTYPE'!$D$8:$BA$8,0)),0)</f>
        <v>4</v>
      </c>
      <c r="M30" s="33">
        <f>IFERROR(INDEX('[1]Sales per type Agustus'!$D$10:$BA$51,MATCH($C30,'[1]Sales per type Agustus'!$B$10:$B$51,0),MATCH("Y11d",'[1]Sales per type Agustus'!$D$8:$BA$8,0)),0)</f>
        <v>3</v>
      </c>
      <c r="N30" s="33">
        <f t="shared" si="2"/>
        <v>1</v>
      </c>
      <c r="O30" s="33" cm="1">
        <f t="array" ref="O30">IFERROR(INDEX('[1]SALES PERTYPE'!$D$10:$BA$52,MATCH($C30,'[1]SALES PERTYPE'!$B$10:$B$52,0),MATCH("Y11d",'[1]SALES PERTYPE'!$D$8:$BA$8,0)+1),0)</f>
        <v>10796000</v>
      </c>
      <c r="P30" s="33" cm="1">
        <f t="array" ref="P30">IFERROR(INDEX('[1]Sales per type Agustus'!$D$10:$BA$51,MATCH($C30,'[1]Sales per type Agustus'!$B$10:$B$51,0),MATCH("Y11d",'[1]Sales per type Agustus'!$D$8:$BA$8,0)+1),0)</f>
        <v>7997000</v>
      </c>
      <c r="Q30" s="33">
        <f t="shared" si="3"/>
        <v>2799000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2</v>
      </c>
      <c r="Y30" s="33">
        <f>IFERROR(INDEX('[1]Sales per type Agustus'!$D$10:$BA$51,MATCH($C30,'[1]Sales per type Agustus'!$B$10:$B$51,0),MATCH("Y05e",'[1]Sales per type Agustus'!$D$8:$BA$8,0)),0)</f>
        <v>3</v>
      </c>
      <c r="Z30" s="33">
        <f t="shared" si="6"/>
        <v>-1</v>
      </c>
      <c r="AA30" s="33" cm="1">
        <f t="array" ref="AA30">IFERROR(INDEX('[1]SALES PERTYPE'!$D$10:$BA$52,MATCH($C30,'[1]SALES PERTYPE'!$B$10:$B$52,0),MATCH("Y05e",'[1]SALES PERTYPE'!$D$8:$BA$8,0)+1),0)</f>
        <v>4198000</v>
      </c>
      <c r="AB30" s="33" cm="1">
        <f t="array" ref="AB30">IFERROR(INDEX('[1]Sales per type Agustus'!$D$10:$BA$51,MATCH($C30,'[1]Sales per type Agustus'!$B$10:$B$51,0),MATCH("Y05e",'[1]Sales per type Agustus'!$D$8:$BA$8,0)+1),0)</f>
        <v>6297000</v>
      </c>
      <c r="AC30" s="33">
        <f t="shared" si="7"/>
        <v>-2099000</v>
      </c>
      <c r="AD30" s="33">
        <f>IFERROR(INDEX('[1]SALES PERTYPE'!$D$10:$BA$52,MATCH($C30,'[1]SALES PERTYPE'!$B$10:$B$52,0),MATCH("V70",'[1]SALES PERTYPE'!$D$8:$BA$8,0)),0)</f>
        <v>1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0</v>
      </c>
      <c r="AG30" s="33" cm="1">
        <f t="array" ref="AG30">IFERROR(INDEX('[1]SALES PERTYPE'!$D$10:$BA$52,MATCH($C30,'[1]SALES PERTYPE'!$B$10:$B$52,0),MATCH("V70",'[1]SALES PERTYPE'!$D$8:$BA$8,0)+1),0)</f>
        <v>9999000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0</v>
      </c>
      <c r="AJ30" s="33">
        <f>IFERROR(INDEX('[1]SALES PERTYPE'!$D$10:$BA$52,MATCH($C30,'[1]SALES PERTYPE'!$B$10:$B$52,0),MATCH("Y31d Pro",'[1]SALES PERTYPE'!$D$8:$BA$8,0)),0)</f>
        <v>2</v>
      </c>
      <c r="AK30" s="33">
        <f>IFERROR(INDEX('[1]Sales per type Agustus'!$D$10:$BA$51,MATCH($C30,'[1]Sales per type Agustus'!$B$10:$B$51,0),MATCH("Y31d Pro",'[1]Sales per type Agustus'!$D$8:$BA$8,0)),0)</f>
        <v>6</v>
      </c>
      <c r="AL30" s="33">
        <f t="shared" si="10"/>
        <v>-4</v>
      </c>
      <c r="AM30" s="33" cm="1">
        <f t="array" ref="AM30">IFERROR(INDEX('[1]SALES PERTYPE'!$D$10:$BA$52,MATCH($C30,'[1]SALES PERTYPE'!$B$10:$B$52,0),MATCH("Y31d Pro",'[1]SALES PERTYPE'!$D$8:$BA$8,0)+1),0)</f>
        <v>9798000</v>
      </c>
      <c r="AN30" s="33" cm="1">
        <f t="array" ref="AN30">IFERROR(INDEX('[1]Sales per type Agustus'!$D$10:$BA$51,MATCH($C30,'[1]Sales per type Agustus'!$B$10:$B$51,0),MATCH("Y31d Pro",'[1]Sales per type Agustus'!$D$8:$BA$8,0)+1),0)</f>
        <v>24194000</v>
      </c>
      <c r="AO30" s="33">
        <f t="shared" si="11"/>
        <v>-14396000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1</v>
      </c>
      <c r="AR30" s="33">
        <f t="shared" si="12"/>
        <v>-1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3599000</v>
      </c>
      <c r="AU30" s="33">
        <f t="shared" si="13"/>
        <v>-3599000</v>
      </c>
      <c r="AV30" s="33">
        <f>IFERROR(INDEX('[1]SALES PERTYPE'!$D$10:$BA$52,MATCH($C30,'[1]SALES PERTYPE'!$B$10:$B$52,0),MATCH("Y31d ",'[1]SALES PERTYPE'!$D$8:$BA$8,0)),0)</f>
        <v>2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2</v>
      </c>
      <c r="AY30" s="33" cm="1">
        <f t="array" ref="AY30">IFERROR(INDEX('[1]SALES PERTYPE'!$D$10:$BA$52,MATCH($C30,'[1]SALES PERTYPE'!$B$10:$B$52,0),MATCH("Y31d ",'[1]SALES PERTYPE'!$D$8:$BA$8,0)+1),0)</f>
        <v>7198000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7198000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1</v>
      </c>
      <c r="BD30" s="33">
        <f t="shared" si="16"/>
        <v>-1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7999000</v>
      </c>
      <c r="BG30" s="33">
        <f t="shared" si="17"/>
        <v>-7999000</v>
      </c>
      <c r="BH30" s="33">
        <f>IFERROR(INDEX('[1]SALES PERTYPE'!$D$10:$BA$52,MATCH($C30,'[1]SALES PERTYPE'!$B$10:$B$52,0),MATCH("Y31d",'[1]SALES PERTYPE'!$D$8:$BA$8,0)),0)</f>
        <v>2</v>
      </c>
      <c r="BI30" s="33">
        <f>IFERROR(INDEX('[1]Sales per type Agustus'!$D$10:$BA$51,MATCH($C30,'[1]Sales per type Agustus'!$B$10:$B$51,0),MATCH("Y31d",'[1]Sales per type Agustus'!$D$8:$BA$8,0)),0)</f>
        <v>1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7198000</v>
      </c>
      <c r="BL30" s="33" cm="1">
        <f t="array" ref="BL30">IFERROR(INDEX('[1]Sales per type Agustus'!$D$10:$BA$51,MATCH($C30,'[1]Sales per type Agustus'!$B$10:$B$51,0),MATCH("Y31d",'[1]Sales per type Agustus'!$D$8:$BA$8,0)+1),0)</f>
        <v>3599000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1</v>
      </c>
      <c r="CA30" s="33">
        <f>IFERROR(INDEX('[1]Sales per type Agustus'!$D$10:$BA$51,MATCH($C30,'[1]Sales per type Agustus'!$B$10:$B$51,0),MATCH("V60 Lite",'[1]Sales per type Agustus'!$D$8:$BA$8,0)),0)</f>
        <v>2</v>
      </c>
      <c r="CB30" s="33">
        <f t="shared" si="24"/>
        <v>-1</v>
      </c>
      <c r="CC30" s="33" cm="1">
        <f t="array" ref="CC30">IFERROR(INDEX('[1]SALES PERTYPE'!$D$10:$BA$52,MATCH($C30,'[1]SALES PERTYPE'!$B$10:$B$52,0),MATCH("V60 Lite",'[1]SALES PERTYPE'!$D$8:$BA$8,0)+1),0)</f>
        <v>5899000</v>
      </c>
      <c r="CD30" s="33" cm="1">
        <f t="array" ref="CD30">IFERROR(INDEX('[1]Sales per type Agustus'!$D$10:$BA$51,MATCH($C30,'[1]Sales per type Agustus'!$B$10:$B$51,0),MATCH("V60 Lite",'[1]Sales per type Agustus'!$D$8:$BA$8,0)+1),0)</f>
        <v>11798000</v>
      </c>
      <c r="CE30" s="33">
        <f t="shared" si="25"/>
        <v>-5899000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1</v>
      </c>
      <c r="CZ30" s="33">
        <f t="shared" si="32"/>
        <v>-1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7999000</v>
      </c>
      <c r="DC30" s="33">
        <f t="shared" si="33"/>
        <v>-7999000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17</v>
      </c>
      <c r="EC30" s="33">
        <f t="shared" si="42"/>
        <v>26</v>
      </c>
      <c r="ED30" s="33">
        <f t="shared" si="43"/>
        <v>-9</v>
      </c>
      <c r="EE30" s="33">
        <f t="shared" si="44"/>
        <v>65983000</v>
      </c>
      <c r="EF30" s="33">
        <f t="shared" si="44"/>
        <v>123874000</v>
      </c>
      <c r="EG30" s="33">
        <f t="shared" si="45"/>
        <v>-57891000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1</v>
      </c>
      <c r="N31" s="33">
        <f t="shared" si="2"/>
        <v>-1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2399000</v>
      </c>
      <c r="Q31" s="33">
        <f t="shared" si="3"/>
        <v>-2399000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1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1</v>
      </c>
      <c r="AA31" s="33" cm="1">
        <f t="array" ref="AA31">IFERROR(INDEX('[1]SALES PERTYPE'!$D$10:$BA$52,MATCH($C31,'[1]SALES PERTYPE'!$B$10:$B$52,0),MATCH("Y05e",'[1]SALES PERTYPE'!$D$8:$BA$8,0)+1),0)</f>
        <v>2099000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2099000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9999000</v>
      </c>
      <c r="AI31" s="33">
        <f t="shared" si="9"/>
        <v>-9999000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6999000</v>
      </c>
      <c r="BG31" s="33">
        <f t="shared" si="17"/>
        <v>-6999000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0</v>
      </c>
      <c r="BO31" s="33">
        <f>IFERROR(INDEX('[1]Sales per type Agustus'!$D$10:$BA$51,MATCH($C31,'[1]Sales per type Agustus'!$B$10:$B$51,0),MATCH("Y500",'[1]Sales per type Agustus'!$D$8:$BA$8,0)),0)</f>
        <v>1</v>
      </c>
      <c r="BP31" s="33">
        <f t="shared" si="20"/>
        <v>-1</v>
      </c>
      <c r="BQ31" s="33" cm="1">
        <f t="array" ref="BQ31">IFERROR(INDEX('[1]SALES PERTYPE'!$D$10:$BA$52,MATCH($C31,'[1]SALES PERTYPE'!$B$10:$B$52,0),MATCH("Y500",'[1]SALES PERTYPE'!$D$8:$BA$8,0)+1),0)</f>
        <v>0</v>
      </c>
      <c r="BR31" s="33" cm="1">
        <f t="array" ref="BR31">IFERROR(INDEX('[1]Sales per type Agustus'!$D$10:$BA$51,MATCH($C31,'[1]Sales per type Agustus'!$B$10:$B$51,0),MATCH("Y500",'[1]Sales per type Agustus'!$D$8:$BA$8,0)+1),0)</f>
        <v>5499000</v>
      </c>
      <c r="BS31" s="33">
        <f t="shared" si="21"/>
        <v>-5499000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1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PERTYPE'!$D$10:$BA$52,MATCH($C31,'[1]SALES PERTYPE'!$B$10:$B$52,0),MATCH("X300 Ultra",'[1]SALES PERTYPE'!$D$8:$BA$8,0)+1),0)</f>
        <v>25999000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25999000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2</v>
      </c>
      <c r="EC31" s="33">
        <f t="shared" si="42"/>
        <v>6</v>
      </c>
      <c r="ED31" s="33">
        <f t="shared" si="43"/>
        <v>-4</v>
      </c>
      <c r="EE31" s="33">
        <f t="shared" si="44"/>
        <v>28098000</v>
      </c>
      <c r="EF31" s="33">
        <f t="shared" si="44"/>
        <v>43794000</v>
      </c>
      <c r="EG31" s="33">
        <f t="shared" si="45"/>
        <v>-15696000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1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0</v>
      </c>
      <c r="I32" s="33" cm="1">
        <f t="array" ref="I32">IFERROR(INDEX('[1]SALES PERTYPE'!$D$10:$BA$52,MATCH($C32,'[1]SALES PERTYPE'!$B$10:$B$52,0),MATCH("Y05",'[1]SALES PERTYPE'!$D$8:$BA$8,0)+1),0)</f>
        <v>2599000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2</v>
      </c>
      <c r="N32" s="33">
        <f t="shared" si="2"/>
        <v>-1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5598000</v>
      </c>
      <c r="Q32" s="33">
        <f t="shared" si="3"/>
        <v>-2799000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1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1</v>
      </c>
      <c r="AA32" s="33" cm="1">
        <f t="array" ref="AA32">IFERROR(INDEX('[1]SALES PERTYPE'!$D$10:$BA$52,MATCH($C32,'[1]SALES PERTYPE'!$B$10:$B$52,0),MATCH("Y05e",'[1]SALES PERTYPE'!$D$8:$BA$8,0)+1),0)</f>
        <v>2099000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2099000</v>
      </c>
      <c r="AD32" s="33">
        <f>IFERROR(INDEX('[1]SALES PERTYPE'!$D$10:$BA$52,MATCH($C32,'[1]SALES PERTYPE'!$B$10:$B$52,0),MATCH("V70",'[1]SALES PERTYPE'!$D$8:$BA$8,0)),0)</f>
        <v>1</v>
      </c>
      <c r="AE32" s="33">
        <f>IFERROR(INDEX('[1]Sales per type Agustus'!$D$10:$BA$51,MATCH($C32,'[1]Sales per type Agustus'!$B$10:$B$51,0),MATCH("V70",'[1]Sales per type Agustus'!$D$8:$BA$8,0)),0)</f>
        <v>0</v>
      </c>
      <c r="AF32" s="33">
        <f t="shared" si="8"/>
        <v>1</v>
      </c>
      <c r="AG32" s="33" cm="1">
        <f t="array" ref="AG32">IFERROR(INDEX('[1]SALES PERTYPE'!$D$10:$BA$52,MATCH($C32,'[1]SALES PERTYPE'!$B$10:$B$52,0),MATCH("V70",'[1]SALES PERTYPE'!$D$8:$BA$8,0)+1),0)</f>
        <v>9999000</v>
      </c>
      <c r="AH32" s="33" cm="1">
        <f t="array" ref="AH32">IFERROR(INDEX('[1]Sales per type Agustus'!$D$10:$BA$51,MATCH($C32,'[1]Sales per type Agustus'!$B$10:$B$51,0),MATCH("V70",'[1]Sales per type Agustus'!$D$8:$BA$8,0)+1),0)</f>
        <v>0</v>
      </c>
      <c r="AI32" s="33">
        <f t="shared" si="9"/>
        <v>9999000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2</v>
      </c>
      <c r="BD32" s="33">
        <f t="shared" si="16"/>
        <v>-2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14498000</v>
      </c>
      <c r="BG32" s="33">
        <f t="shared" si="17"/>
        <v>-14498000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1</v>
      </c>
      <c r="CY32" s="33">
        <f>IFERROR(INDEX('[1]Sales per type Agustus'!$D$10:$BA$51,MATCH($C32,'[1]Sales per type Agustus'!$B$10:$B$51,0),MATCH("IQOO Z11",'[1]Sales per type Agustus'!$D$8:$BA$8,0)),0)</f>
        <v>2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6899000</v>
      </c>
      <c r="DB32" s="33" cm="1">
        <f t="array" ref="DB32">IFERROR(INDEX('[1]Sales per type Agustus'!$D$10:$BA$51,MATCH($C32,'[1]Sales per type Agustus'!$B$10:$B$51,0),MATCH("IQOO Z11",'[1]Sales per type Agustus'!$D$8:$BA$8,0)+1),0)</f>
        <v>15298000</v>
      </c>
      <c r="DC32" s="33">
        <f t="shared" si="33"/>
        <v>-8399000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7</v>
      </c>
      <c r="EC32" s="33">
        <f t="shared" si="42"/>
        <v>8</v>
      </c>
      <c r="ED32" s="33">
        <f t="shared" si="43"/>
        <v>-1</v>
      </c>
      <c r="EE32" s="33">
        <f t="shared" si="44"/>
        <v>32193000</v>
      </c>
      <c r="EF32" s="33">
        <f t="shared" si="44"/>
        <v>43492000</v>
      </c>
      <c r="EG32" s="33">
        <f t="shared" si="45"/>
        <v>-11299000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1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PERTYPE'!$D$10:$BA$52,MATCH($C33,'[1]SALES PERTYPE'!$B$10:$B$52,0),MATCH("Y05e",'[1]SALES PERTYPE'!$D$8:$BA$8,0)+1),0)</f>
        <v>2099000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2099000</v>
      </c>
      <c r="AD33" s="33">
        <f>IFERROR(INDEX('[1]SALES PERTYPE'!$D$10:$BA$52,MATCH($C33,'[1]SALES PERTYPE'!$B$10:$B$52,0),MATCH("V70",'[1]SALES PERTYPE'!$D$8:$BA$8,0)),0)</f>
        <v>1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1</v>
      </c>
      <c r="AG33" s="33" cm="1">
        <f t="array" ref="AG33">IFERROR(INDEX('[1]SALES PERTYPE'!$D$10:$BA$52,MATCH($C33,'[1]SALES PERTYPE'!$B$10:$B$52,0),MATCH("V70",'[1]SALES PERTYPE'!$D$8:$BA$8,0)+1),0)</f>
        <v>9999000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9999000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2</v>
      </c>
      <c r="AL33" s="33">
        <f t="shared" si="10"/>
        <v>-2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8198000</v>
      </c>
      <c r="AO33" s="33">
        <f t="shared" si="11"/>
        <v>-8198000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1</v>
      </c>
      <c r="BD33" s="33">
        <f t="shared" si="16"/>
        <v>-1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6499000</v>
      </c>
      <c r="BG33" s="33">
        <f t="shared" si="17"/>
        <v>-6499000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0</v>
      </c>
      <c r="BO33" s="33">
        <f>IFERROR(INDEX('[1]Sales per type Agustus'!$D$10:$BA$51,MATCH($C33,'[1]Sales per type Agustus'!$B$10:$B$51,0),MATCH("Y500",'[1]Sales per type Agustus'!$D$8:$BA$8,0)),0)</f>
        <v>1</v>
      </c>
      <c r="BP33" s="33">
        <f t="shared" si="20"/>
        <v>-1</v>
      </c>
      <c r="BQ33" s="33" cm="1">
        <f t="array" ref="BQ33">IFERROR(INDEX('[1]SALES PERTYPE'!$D$10:$BA$52,MATCH($C33,'[1]SALES PERTYPE'!$B$10:$B$52,0),MATCH("Y500",'[1]SALES PERTYPE'!$D$8:$BA$8,0)+1),0)</f>
        <v>0</v>
      </c>
      <c r="BR33" s="33" cm="1">
        <f t="array" ref="BR33">IFERROR(INDEX('[1]Sales per type Agustus'!$D$10:$BA$51,MATCH($C33,'[1]Sales per type Agustus'!$B$10:$B$51,0),MATCH("Y500",'[1]Sales per type Agustus'!$D$8:$BA$8,0)+1),0)</f>
        <v>5499000</v>
      </c>
      <c r="BS33" s="33">
        <f t="shared" si="21"/>
        <v>-5499000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3</v>
      </c>
      <c r="EC33" s="33">
        <f t="shared" si="42"/>
        <v>6</v>
      </c>
      <c r="ED33" s="33">
        <f t="shared" si="43"/>
        <v>-3</v>
      </c>
      <c r="EE33" s="33">
        <f t="shared" si="44"/>
        <v>15697000</v>
      </c>
      <c r="EF33" s="33">
        <f t="shared" si="44"/>
        <v>24894000</v>
      </c>
      <c r="EG33" s="33">
        <f t="shared" si="45"/>
        <v>-9197000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3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PERTYPE'!$D$10:$BA$52,MATCH($C34,'[1]SALES PERTYPE'!$B$10:$B$52,0),MATCH("Y05",'[1]SALES PERTYPE'!$D$8:$BA$8,0)+1),0)</f>
        <v>6897000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6897000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2099000</v>
      </c>
      <c r="AC34" s="33">
        <f t="shared" si="7"/>
        <v>-2099000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2</v>
      </c>
      <c r="AL34" s="33">
        <f t="shared" si="10"/>
        <v>-2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8198000</v>
      </c>
      <c r="AO34" s="33">
        <f t="shared" si="11"/>
        <v>-8198000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1</v>
      </c>
      <c r="AR34" s="33">
        <f t="shared" si="12"/>
        <v>-1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3599000</v>
      </c>
      <c r="AU34" s="33">
        <f t="shared" si="13"/>
        <v>-3599000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4</v>
      </c>
      <c r="EC34" s="33">
        <f t="shared" si="42"/>
        <v>7</v>
      </c>
      <c r="ED34" s="33">
        <f t="shared" si="43"/>
        <v>-3</v>
      </c>
      <c r="EE34" s="33">
        <f t="shared" si="44"/>
        <v>9696000</v>
      </c>
      <c r="EF34" s="33">
        <f t="shared" si="44"/>
        <v>27493000</v>
      </c>
      <c r="EG34" s="33">
        <f t="shared" si="45"/>
        <v>-17797000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3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3</v>
      </c>
      <c r="I35" s="33" cm="1">
        <f t="array" ref="I35">IFERROR(INDEX('[1]SALES PERTYPE'!$D$10:$BA$52,MATCH($C35,'[1]SALES PERTYPE'!$B$10:$B$52,0),MATCH("Y05",'[1]SALES PERTYPE'!$D$8:$BA$8,0)+1),0)</f>
        <v>7497000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7497000</v>
      </c>
      <c r="L35" s="33">
        <f>IFERROR(INDEX('[1]SALES PERTYPE'!$D$10:$BA$52,MATCH($C35,'[1]SALES PERTYPE'!$B$10:$B$52,0),MATCH("Y11d",'[1]SALES PERTYPE'!$D$8:$BA$8,0)),0)</f>
        <v>2</v>
      </c>
      <c r="M35" s="33">
        <f>IFERROR(INDEX('[1]Sales per type Agustus'!$D$10:$BA$51,MATCH($C35,'[1]Sales per type Agustus'!$B$10:$B$51,0),MATCH("Y11d",'[1]Sales per type Agustus'!$D$8:$BA$8,0)),0)</f>
        <v>3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5598000</v>
      </c>
      <c r="P35" s="33" cm="1">
        <f t="array" ref="P35">IFERROR(INDEX('[1]Sales per type Agustus'!$D$10:$BA$51,MATCH($C35,'[1]Sales per type Agustus'!$B$10:$B$51,0),MATCH("Y11d",'[1]Sales per type Agustus'!$D$8:$BA$8,0)+1),0)</f>
        <v>8397000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0</v>
      </c>
      <c r="Y35" s="33">
        <f>IFERROR(INDEX('[1]Sales per type Agustus'!$D$10:$BA$51,MATCH($C35,'[1]Sales per type Agustus'!$B$10:$B$51,0),MATCH("Y05e",'[1]Sales per type Agustus'!$D$8:$BA$8,0)),0)</f>
        <v>2</v>
      </c>
      <c r="Z35" s="33">
        <f t="shared" si="6"/>
        <v>-2</v>
      </c>
      <c r="AA35" s="33" cm="1">
        <f t="array" ref="AA35">IFERROR(INDEX('[1]SALES PERTYPE'!$D$10:$BA$52,MATCH($C35,'[1]SALES PERTYPE'!$B$10:$B$52,0),MATCH("Y05e",'[1]SALES PERTYPE'!$D$8:$BA$8,0)+1),0)</f>
        <v>0</v>
      </c>
      <c r="AB35" s="33" cm="1">
        <f t="array" ref="AB35">IFERROR(INDEX('[1]Sales per type Agustus'!$D$10:$BA$51,MATCH($C35,'[1]Sales per type Agustus'!$B$10:$B$51,0),MATCH("Y05e",'[1]Sales per type Agustus'!$D$8:$BA$8,0)+1),0)</f>
        <v>4198000</v>
      </c>
      <c r="AC35" s="33">
        <f t="shared" si="7"/>
        <v>-4198000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1</v>
      </c>
      <c r="AL35" s="33">
        <f t="shared" si="10"/>
        <v>-1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4299000</v>
      </c>
      <c r="AO35" s="33">
        <f t="shared" si="11"/>
        <v>-4299000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1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1</v>
      </c>
      <c r="BQ35" s="33" cm="1">
        <f t="array" ref="BQ35">IFERROR(INDEX('[1]SALES PERTYPE'!$D$10:$BA$52,MATCH($C35,'[1]SALES PERTYPE'!$B$10:$B$52,0),MATCH("Y500",'[1]SALES PERTYPE'!$D$8:$BA$8,0)+1),0)</f>
        <v>5499000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5499000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6</v>
      </c>
      <c r="EC35" s="33">
        <f t="shared" si="42"/>
        <v>6</v>
      </c>
      <c r="ED35" s="33">
        <f t="shared" si="43"/>
        <v>0</v>
      </c>
      <c r="EE35" s="33">
        <f t="shared" si="44"/>
        <v>18594000</v>
      </c>
      <c r="EF35" s="33">
        <f t="shared" si="44"/>
        <v>16894000</v>
      </c>
      <c r="EG35" s="33">
        <f t="shared" si="45"/>
        <v>1700000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2</v>
      </c>
      <c r="G36" s="33">
        <f>IFERROR(INDEX('[1]Sales per type Agustus'!$D$10:$BA$51,MATCH($C36,'[1]Sales per type Agustus'!$B$10:$B$51,0),MATCH("Y05",'[1]Sales per type Agustus'!$D$8:$BA$8,0)),0)</f>
        <v>0</v>
      </c>
      <c r="H36" s="33">
        <f t="shared" si="0"/>
        <v>2</v>
      </c>
      <c r="I36" s="33" cm="1">
        <f t="array" ref="I36">IFERROR(INDEX('[1]SALES PERTYPE'!$D$10:$BA$52,MATCH($C36,'[1]SALES PERTYPE'!$B$10:$B$52,0),MATCH("Y05",'[1]SALES PERTYPE'!$D$8:$BA$8,0)+1),0)</f>
        <v>4898000</v>
      </c>
      <c r="J36" s="33" cm="1">
        <f t="array" ref="J36">IFERROR(INDEX('[1]Sales per type Agustus'!$D$10:$BA$51,MATCH($C36,'[1]Sales per type Agustus'!$B$10:$B$51,0),MATCH("Y05",'[1]Sales per type Agustus'!$D$8:$BA$8,0)+1),0)</f>
        <v>0</v>
      </c>
      <c r="K36" s="33">
        <f t="shared" si="1"/>
        <v>4898000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2</v>
      </c>
      <c r="N36" s="33">
        <f t="shared" si="2"/>
        <v>-2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5198000</v>
      </c>
      <c r="Q36" s="33">
        <f t="shared" si="3"/>
        <v>-5198000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2</v>
      </c>
      <c r="Y36" s="33">
        <f>IFERROR(INDEX('[1]Sales per type Agustus'!$D$10:$BA$51,MATCH($C36,'[1]Sales per type Agustus'!$B$10:$B$51,0),MATCH("Y05e",'[1]Sales per type Agustus'!$D$8:$BA$8,0)),0)</f>
        <v>1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4198000</v>
      </c>
      <c r="AB36" s="33" cm="1">
        <f t="array" ref="AB36">IFERROR(INDEX('[1]Sales per type Agustus'!$D$10:$BA$51,MATCH($C36,'[1]Sales per type Agustus'!$B$10:$B$51,0),MATCH("Y05e",'[1]Sales per type Agustus'!$D$8:$BA$8,0)+1),0)</f>
        <v>2099000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1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1</v>
      </c>
      <c r="AG36" s="33" cm="1">
        <f t="array" ref="AG36">IFERROR(INDEX('[1]SALES PERTYPE'!$D$10:$BA$52,MATCH($C36,'[1]SALES PERTYPE'!$B$10:$B$52,0),MATCH("V70",'[1]SALES PERTYPE'!$D$8:$BA$8,0)+1),0)</f>
        <v>9999000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9999000</v>
      </c>
      <c r="AJ36" s="33">
        <f>IFERROR(INDEX('[1]SALES PERTYPE'!$D$10:$BA$52,MATCH($C36,'[1]SALES PERTYPE'!$B$10:$B$52,0),MATCH("Y31d Pro",'[1]SALES PERTYPE'!$D$8:$BA$8,0)),0)</f>
        <v>1</v>
      </c>
      <c r="AK36" s="33">
        <f>IFERROR(INDEX('[1]Sales per type Agustus'!$D$10:$BA$51,MATCH($C36,'[1]Sales per type Agustus'!$B$10:$B$51,0),MATCH("Y31d Pro",'[1]Sales per type Agustus'!$D$8:$BA$8,0)),0)</f>
        <v>2</v>
      </c>
      <c r="AL36" s="33">
        <f t="shared" si="10"/>
        <v>-1</v>
      </c>
      <c r="AM36" s="33" cm="1">
        <f t="array" ref="AM36">IFERROR(INDEX('[1]SALES PERTYPE'!$D$10:$BA$52,MATCH($C36,'[1]SALES PERTYPE'!$B$10:$B$52,0),MATCH("Y31d Pro",'[1]SALES PERTYPE'!$D$8:$BA$8,0)+1),0)</f>
        <v>4299000</v>
      </c>
      <c r="AN36" s="33" cm="1">
        <f t="array" ref="AN36">IFERROR(INDEX('[1]Sales per type Agustus'!$D$10:$BA$51,MATCH($C36,'[1]Sales per type Agustus'!$B$10:$B$51,0),MATCH("Y31d Pro",'[1]Sales per type Agustus'!$D$8:$BA$8,0)+1),0)</f>
        <v>9398000</v>
      </c>
      <c r="AO36" s="33">
        <f t="shared" si="11"/>
        <v>-5099000</v>
      </c>
      <c r="AP36" s="33" cm="1">
        <f t="array" ref="AP36">IFERROR(INDEX('[1]SALES PERTYPE'!$D$10:$BA$52,MATCH($C36,'[1]SALES PERTYPE'!$B$10:$B$52,0),$EI$3),0)</f>
        <v>0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0</v>
      </c>
      <c r="AS36" s="33" cm="1">
        <f t="array" ref="AS36">IFERROR(INDEX('[1]SALES PERTYPE'!$D$10:$BA$52,MATCH($C36,'[1]SALES PERTYPE'!$B$10:$B$52,0),$EI$3+1),0)</f>
        <v>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2</v>
      </c>
      <c r="CA36" s="33">
        <f>IFERROR(INDEX('[1]Sales per type Agustus'!$D$10:$BA$51,MATCH($C36,'[1]Sales per type Agustus'!$B$10:$B$51,0),MATCH("V60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12398000</v>
      </c>
      <c r="CD36" s="33" cm="1">
        <f t="array" ref="CD36">IFERROR(INDEX('[1]Sales per type Agustus'!$D$10:$BA$51,MATCH($C36,'[1]Sales per type Agustus'!$B$10:$B$51,0),MATCH("V60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0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0</v>
      </c>
      <c r="DA36" s="33" cm="1">
        <f t="array" ref="DA36">IFERROR(INDEX('[1]SALES PERTYPE'!$D$10:$BA$52,MATCH($C36,'[1]SALES PERTYPE'!$B$10:$B$52,0),MATCH("IQOO Z11",'[1]SALES PERTYPE'!$D$8:$BA$8,0)+1),0)</f>
        <v>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9</v>
      </c>
      <c r="EC36" s="33">
        <f t="shared" si="42"/>
        <v>6</v>
      </c>
      <c r="ED36" s="33">
        <f t="shared" si="43"/>
        <v>3</v>
      </c>
      <c r="EE36" s="33">
        <f t="shared" si="44"/>
        <v>43791000</v>
      </c>
      <c r="EF36" s="33">
        <f t="shared" si="44"/>
        <v>21994000</v>
      </c>
      <c r="EG36" s="33">
        <f t="shared" si="45"/>
        <v>21797000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3</v>
      </c>
      <c r="G37" s="33">
        <f>IFERROR(INDEX('[1]Sales per type Agustus'!$D$10:$BA$51,MATCH($C37,'[1]Sales per type Agustus'!$B$10:$B$51,0),MATCH("Y05",'[1]Sales per type Agustus'!$D$8:$BA$8,0)),0)</f>
        <v>1</v>
      </c>
      <c r="H37" s="33">
        <f t="shared" si="0"/>
        <v>2</v>
      </c>
      <c r="I37" s="33" cm="1">
        <f t="array" ref="I37">IFERROR(INDEX('[1]SALES PERTYPE'!$D$10:$BA$52,MATCH($C37,'[1]SALES PERTYPE'!$B$10:$B$52,0),MATCH("Y05",'[1]SALES PERTYPE'!$D$8:$BA$8,0)+1),0)</f>
        <v>7797000</v>
      </c>
      <c r="J37" s="33" cm="1">
        <f t="array" ref="J37">IFERROR(INDEX('[1]Sales per type Agustus'!$D$10:$BA$51,MATCH($C37,'[1]Sales per type Agustus'!$B$10:$B$51,0),MATCH("Y05",'[1]Sales per type Agustus'!$D$8:$BA$8,0)+1),0)</f>
        <v>2299000</v>
      </c>
      <c r="K37" s="33">
        <f t="shared" si="1"/>
        <v>5498000</v>
      </c>
      <c r="L37" s="33">
        <f>IFERROR(INDEX('[1]SALES PERTYPE'!$D$10:$BA$52,MATCH($C37,'[1]SALES PERTYPE'!$B$10:$B$52,0),MATCH("Y11d",'[1]SALES PERTYPE'!$D$8:$BA$8,0)),0)</f>
        <v>3</v>
      </c>
      <c r="M37" s="33">
        <f>IFERROR(INDEX('[1]Sales per type Agustus'!$D$10:$BA$51,MATCH($C37,'[1]Sales per type Agustus'!$B$10:$B$51,0),MATCH("Y11d",'[1]Sales per type Agustus'!$D$8:$BA$8,0)),0)</f>
        <v>4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7997000</v>
      </c>
      <c r="P37" s="33" cm="1">
        <f t="array" ref="P37">IFERROR(INDEX('[1]Sales per type Agustus'!$D$10:$BA$51,MATCH($C37,'[1]Sales per type Agustus'!$B$10:$B$51,0),MATCH("Y11d",'[1]Sales per type Agustus'!$D$8:$BA$8,0)+1),0)</f>
        <v>11196000</v>
      </c>
      <c r="Q37" s="33">
        <f t="shared" si="3"/>
        <v>-3199000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2</v>
      </c>
      <c r="Z37" s="33">
        <f t="shared" si="6"/>
        <v>-1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4198000</v>
      </c>
      <c r="AC37" s="33">
        <f t="shared" si="7"/>
        <v>-2099000</v>
      </c>
      <c r="AD37" s="33">
        <f>IFERROR(INDEX('[1]SALES PERTYPE'!$D$10:$BA$52,MATCH($C37,'[1]SALES PERTYPE'!$B$10:$B$52,0),MATCH("V70",'[1]SALES PERTYPE'!$D$8:$BA$8,0)),0)</f>
        <v>1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1</v>
      </c>
      <c r="AG37" s="33" cm="1">
        <f t="array" ref="AG37">IFERROR(INDEX('[1]SALES PERTYPE'!$D$10:$BA$52,MATCH($C37,'[1]SALES PERTYPE'!$B$10:$B$52,0),MATCH("V70",'[1]SALES PERTYPE'!$D$8:$BA$8,0)+1),0)</f>
        <v>9999000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9999000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3</v>
      </c>
      <c r="AL37" s="33">
        <f t="shared" si="10"/>
        <v>-3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11697000</v>
      </c>
      <c r="AO37" s="33">
        <f t="shared" si="11"/>
        <v>-11697000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1</v>
      </c>
      <c r="AR37" s="33">
        <f t="shared" si="12"/>
        <v>-1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3599000</v>
      </c>
      <c r="AU37" s="33">
        <f t="shared" si="13"/>
        <v>-3599000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1</v>
      </c>
      <c r="CB37" s="33">
        <f t="shared" si="24"/>
        <v>-1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5299000</v>
      </c>
      <c r="CE37" s="33">
        <f t="shared" si="25"/>
        <v>-5299000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0</v>
      </c>
      <c r="CZ37" s="33">
        <f t="shared" si="32"/>
        <v>0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0</v>
      </c>
      <c r="DC37" s="33">
        <f t="shared" si="33"/>
        <v>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8</v>
      </c>
      <c r="EC37" s="33">
        <f t="shared" si="42"/>
        <v>12</v>
      </c>
      <c r="ED37" s="33">
        <f t="shared" si="43"/>
        <v>-4</v>
      </c>
      <c r="EE37" s="33">
        <f t="shared" si="44"/>
        <v>27892000</v>
      </c>
      <c r="EF37" s="33">
        <f t="shared" si="44"/>
        <v>38288000</v>
      </c>
      <c r="EG37" s="33">
        <f t="shared" si="45"/>
        <v>-10396000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10</v>
      </c>
      <c r="G38" s="33">
        <f>IFERROR(INDEX('[1]Sales per type Agustus'!$D$10:$BA$51,MATCH($C38,'[1]Sales per type Agustus'!$B$10:$B$51,0),MATCH("Y05",'[1]Sales per type Agustus'!$D$8:$BA$8,0)),0)</f>
        <v>6</v>
      </c>
      <c r="H38" s="33">
        <f t="shared" si="0"/>
        <v>4</v>
      </c>
      <c r="I38" s="33" cm="1">
        <f t="array" ref="I38">IFERROR(INDEX('[1]SALES PERTYPE'!$D$10:$BA$52,MATCH($C38,'[1]SALES PERTYPE'!$B$10:$B$52,0),MATCH("Y05",'[1]SALES PERTYPE'!$D$8:$BA$8,0)+1),0)</f>
        <v>24190000</v>
      </c>
      <c r="J38" s="33" cm="1">
        <f t="array" ref="J38">IFERROR(INDEX('[1]Sales per type Agustus'!$D$10:$BA$51,MATCH($C38,'[1]Sales per type Agustus'!$B$10:$B$51,0),MATCH("Y05",'[1]Sales per type Agustus'!$D$8:$BA$8,0)+1),0)</f>
        <v>14994000</v>
      </c>
      <c r="K38" s="33">
        <f t="shared" si="1"/>
        <v>9196000</v>
      </c>
      <c r="L38" s="33">
        <f>IFERROR(INDEX('[1]SALES PERTYPE'!$D$10:$BA$52,MATCH($C38,'[1]SALES PERTYPE'!$B$10:$B$52,0),MATCH("Y11d",'[1]SALES PERTYPE'!$D$8:$BA$8,0)),0)</f>
        <v>12</v>
      </c>
      <c r="M38" s="33">
        <f>IFERROR(INDEX('[1]Sales per type Agustus'!$D$10:$BA$51,MATCH($C38,'[1]Sales per type Agustus'!$B$10:$B$51,0),MATCH("Y11d",'[1]Sales per type Agustus'!$D$8:$BA$8,0)),0)</f>
        <v>10</v>
      </c>
      <c r="N38" s="33">
        <f t="shared" si="2"/>
        <v>2</v>
      </c>
      <c r="O38" s="33" cm="1">
        <f t="array" ref="O38">IFERROR(INDEX('[1]SALES PERTYPE'!$D$10:$BA$52,MATCH($C38,'[1]SALES PERTYPE'!$B$10:$B$52,0),MATCH("Y11d",'[1]SALES PERTYPE'!$D$8:$BA$8,0)+1),0)</f>
        <v>31988000</v>
      </c>
      <c r="P38" s="33" cm="1">
        <f t="array" ref="P38">IFERROR(INDEX('[1]Sales per type Agustus'!$D$10:$BA$51,MATCH($C38,'[1]Sales per type Agustus'!$B$10:$B$51,0),MATCH("Y11d",'[1]Sales per type Agustus'!$D$8:$BA$8,0)+1),0)</f>
        <v>25990000</v>
      </c>
      <c r="Q38" s="33">
        <f t="shared" si="3"/>
        <v>5998000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2</v>
      </c>
      <c r="Y38" s="33">
        <f>IFERROR(INDEX('[1]Sales per type Agustus'!$D$10:$BA$51,MATCH($C38,'[1]Sales per type Agustus'!$B$10:$B$51,0),MATCH("Y05e",'[1]Sales per type Agustus'!$D$8:$BA$8,0)),0)</f>
        <v>2</v>
      </c>
      <c r="Z38" s="33">
        <f t="shared" si="6"/>
        <v>0</v>
      </c>
      <c r="AA38" s="33" cm="1">
        <f t="array" ref="AA38">IFERROR(INDEX('[1]SALES PERTYPE'!$D$10:$BA$52,MATCH($C38,'[1]SALES PERTYPE'!$B$10:$B$52,0),MATCH("Y05e",'[1]SALES PERTYPE'!$D$8:$BA$8,0)+1),0)</f>
        <v>4198000</v>
      </c>
      <c r="AB38" s="33" cm="1">
        <f t="array" ref="AB38">IFERROR(INDEX('[1]Sales per type Agustus'!$D$10:$BA$51,MATCH($C38,'[1]Sales per type Agustus'!$B$10:$B$51,0),MATCH("Y05e",'[1]Sales per type Agustus'!$D$8:$BA$8,0)+1),0)</f>
        <v>4198000</v>
      </c>
      <c r="AC38" s="33">
        <f t="shared" si="7"/>
        <v>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2</v>
      </c>
      <c r="AF38" s="33">
        <f t="shared" si="8"/>
        <v>-2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19998000</v>
      </c>
      <c r="AI38" s="33">
        <f t="shared" si="9"/>
        <v>-19998000</v>
      </c>
      <c r="AJ38" s="33">
        <f>IFERROR(INDEX('[1]SALES PERTYPE'!$D$10:$BA$52,MATCH($C38,'[1]SALES PERTYPE'!$B$10:$B$52,0),MATCH("Y31d Pro",'[1]SALES PERTYPE'!$D$8:$BA$8,0)),0)</f>
        <v>7</v>
      </c>
      <c r="AK38" s="33">
        <f>IFERROR(INDEX('[1]Sales per type Agustus'!$D$10:$BA$51,MATCH($C38,'[1]Sales per type Agustus'!$B$10:$B$51,0),MATCH("Y31d Pro",'[1]Sales per type Agustus'!$D$8:$BA$8,0)),0)</f>
        <v>8</v>
      </c>
      <c r="AL38" s="33">
        <f t="shared" si="10"/>
        <v>-1</v>
      </c>
      <c r="AM38" s="33" cm="1">
        <f t="array" ref="AM38">IFERROR(INDEX('[1]SALES PERTYPE'!$D$10:$BA$52,MATCH($C38,'[1]SALES PERTYPE'!$B$10:$B$52,0),MATCH("Y31d Pro",'[1]SALES PERTYPE'!$D$8:$BA$8,0)+1),0)</f>
        <v>33093000</v>
      </c>
      <c r="AN38" s="33" cm="1">
        <f t="array" ref="AN38">IFERROR(INDEX('[1]Sales per type Agustus'!$D$10:$BA$51,MATCH($C38,'[1]Sales per type Agustus'!$B$10:$B$51,0),MATCH("Y31d Pro",'[1]Sales per type Agustus'!$D$8:$BA$8,0)+1),0)</f>
        <v>35992000</v>
      </c>
      <c r="AO38" s="33">
        <f t="shared" si="11"/>
        <v>-2899000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1</v>
      </c>
      <c r="BC38" s="33">
        <f>IFERROR(INDEX('[1]Sales per type Agustus'!$D$10:$BA$51,MATCH($C38,'[1]Sales per type Agustus'!$B$10:$B$51,0),MATCH("V70 FE",'[1]Sales per type Agustus'!$D$8:$BA$8,0)),0)</f>
        <v>3</v>
      </c>
      <c r="BD38" s="33">
        <f t="shared" si="16"/>
        <v>-2</v>
      </c>
      <c r="BE38" s="33" cm="1">
        <f t="array" ref="BE38">IFERROR(INDEX('[1]SALES PERTYPE'!$D$10:$BA$52,MATCH($C38,'[1]SALES PERTYPE'!$B$10:$B$52,0),MATCH("V70 FE",'[1]SALES PERTYPE'!$D$8:$BA$8,0)+1),0)</f>
        <v>7999000</v>
      </c>
      <c r="BF38" s="33" cm="1">
        <f t="array" ref="BF38">IFERROR(INDEX('[1]Sales per type Agustus'!$D$10:$BA$51,MATCH($C38,'[1]Sales per type Agustus'!$B$10:$B$51,0),MATCH("V70 FE",'[1]Sales per type Agustus'!$D$8:$BA$8,0)+1),0)</f>
        <v>22397000</v>
      </c>
      <c r="BG38" s="33">
        <f t="shared" si="17"/>
        <v>-14398000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1</v>
      </c>
      <c r="BP38" s="33">
        <f t="shared" si="20"/>
        <v>0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5499000</v>
      </c>
      <c r="BS38" s="33">
        <f t="shared" si="21"/>
        <v>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1</v>
      </c>
      <c r="CA38" s="33">
        <f>IFERROR(INDEX('[1]Sales per type Agustus'!$D$10:$BA$51,MATCH($C38,'[1]Sales per type Agustus'!$B$10:$B$51,0),MATCH("V60 Lite",'[1]Sales per type Agustus'!$D$8:$BA$8,0)),0)</f>
        <v>1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5899000</v>
      </c>
      <c r="CD38" s="33" cm="1">
        <f t="array" ref="CD38">IFERROR(INDEX('[1]Sales per type Agustus'!$D$10:$BA$51,MATCH($C38,'[1]Sales per type Agustus'!$B$10:$B$51,0),MATCH("V60 Lite",'[1]Sales per type Agustus'!$D$8:$BA$8,0)+1),0)</f>
        <v>5299000</v>
      </c>
      <c r="CE38" s="33">
        <f t="shared" si="25"/>
        <v>600000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2</v>
      </c>
      <c r="CH38" s="33">
        <f t="shared" si="26"/>
        <v>-2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51998000</v>
      </c>
      <c r="CK38" s="33">
        <f t="shared" si="27"/>
        <v>-51998000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35</v>
      </c>
      <c r="EC38" s="33">
        <f t="shared" si="42"/>
        <v>36</v>
      </c>
      <c r="ED38" s="33">
        <f t="shared" si="43"/>
        <v>-1</v>
      </c>
      <c r="EE38" s="33">
        <f t="shared" si="44"/>
        <v>119765000</v>
      </c>
      <c r="EF38" s="33">
        <f t="shared" si="44"/>
        <v>193264000</v>
      </c>
      <c r="EG38" s="33">
        <f t="shared" si="45"/>
        <v>-73499000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3</v>
      </c>
      <c r="G39" s="33">
        <f>IFERROR(INDEX('[1]Sales per type Agustus'!$D$10:$BA$51,MATCH($C39,'[1]Sales per type Agustus'!$B$10:$B$51,0),MATCH("Y05",'[1]Sales per type Agustus'!$D$8:$BA$8,0)),0)</f>
        <v>1</v>
      </c>
      <c r="H39" s="33">
        <f t="shared" si="0"/>
        <v>2</v>
      </c>
      <c r="I39" s="33" cm="1">
        <f t="array" ref="I39">IFERROR(INDEX('[1]SALES PERTYPE'!$D$10:$BA$52,MATCH($C39,'[1]SALES PERTYPE'!$B$10:$B$52,0),MATCH("Y05",'[1]SALES PERTYPE'!$D$8:$BA$8,0)+1),0)</f>
        <v>6897000</v>
      </c>
      <c r="J39" s="33" cm="1">
        <f t="array" ref="J39">IFERROR(INDEX('[1]Sales per type Agustus'!$D$10:$BA$51,MATCH($C39,'[1]Sales per type Agustus'!$B$10:$B$51,0),MATCH("Y05",'[1]Sales per type Agustus'!$D$8:$BA$8,0)+1),0)</f>
        <v>2299000</v>
      </c>
      <c r="K39" s="33">
        <f t="shared" si="1"/>
        <v>4598000</v>
      </c>
      <c r="L39" s="33">
        <f>IFERROR(INDEX('[1]SALES PERTYPE'!$D$10:$BA$52,MATCH($C39,'[1]SALES PERTYPE'!$B$10:$B$52,0),MATCH("Y11d",'[1]SALES PERTYPE'!$D$8:$BA$8,0)),0)</f>
        <v>3</v>
      </c>
      <c r="M39" s="33">
        <f>IFERROR(INDEX('[1]Sales per type Agustus'!$D$10:$BA$51,MATCH($C39,'[1]Sales per type Agustus'!$B$10:$B$51,0),MATCH("Y11d",'[1]Sales per type Agustus'!$D$8:$BA$8,0)),0)</f>
        <v>3</v>
      </c>
      <c r="N39" s="33">
        <f t="shared" si="2"/>
        <v>0</v>
      </c>
      <c r="O39" s="33" cm="1">
        <f t="array" ref="O39">IFERROR(INDEX('[1]SALES PERTYPE'!$D$10:$BA$52,MATCH($C39,'[1]SALES PERTYPE'!$B$10:$B$52,0),MATCH("Y11d",'[1]SALES PERTYPE'!$D$8:$BA$8,0)+1),0)</f>
        <v>7597000</v>
      </c>
      <c r="P39" s="33" cm="1">
        <f t="array" ref="P39">IFERROR(INDEX('[1]Sales per type Agustus'!$D$10:$BA$51,MATCH($C39,'[1]Sales per type Agustus'!$B$10:$B$51,0),MATCH("Y11d",'[1]Sales per type Agustus'!$D$8:$BA$8,0)+1),0)</f>
        <v>7597000</v>
      </c>
      <c r="Q39" s="33">
        <f t="shared" si="3"/>
        <v>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1</v>
      </c>
      <c r="Y39" s="33">
        <f>IFERROR(INDEX('[1]Sales per type Agustus'!$D$10:$BA$51,MATCH($C39,'[1]Sales per type Agustus'!$B$10:$B$51,0),MATCH("Y05e",'[1]Sales per type Agustus'!$D$8:$BA$8,0)),0)</f>
        <v>1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2099000</v>
      </c>
      <c r="AB39" s="33" cm="1">
        <f t="array" ref="AB39">IFERROR(INDEX('[1]Sales per type Agustus'!$D$10:$BA$51,MATCH($C39,'[1]Sales per type Agustus'!$B$10:$B$51,0),MATCH("Y05e",'[1]Sales per type Agustus'!$D$8:$BA$8,0)+1),0)</f>
        <v>2099000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1</v>
      </c>
      <c r="AK39" s="33">
        <f>IFERROR(INDEX('[1]Sales per type Agustus'!$D$10:$BA$51,MATCH($C39,'[1]Sales per type Agustus'!$B$10:$B$51,0),MATCH("Y31d Pro",'[1]Sales per type Agustus'!$D$8:$BA$8,0)),0)</f>
        <v>3</v>
      </c>
      <c r="AL39" s="33">
        <f t="shared" si="10"/>
        <v>-2</v>
      </c>
      <c r="AM39" s="33" cm="1">
        <f t="array" ref="AM39">IFERROR(INDEX('[1]SALES PERTYPE'!$D$10:$BA$52,MATCH($C39,'[1]SALES PERTYPE'!$B$10:$B$52,0),MATCH("Y31d Pro",'[1]SALES PERTYPE'!$D$8:$BA$8,0)+1),0)</f>
        <v>4899000</v>
      </c>
      <c r="AN39" s="33" cm="1">
        <f t="array" ref="AN39">IFERROR(INDEX('[1]Sales per type Agustus'!$D$10:$BA$51,MATCH($C39,'[1]Sales per type Agustus'!$B$10:$B$51,0),MATCH("Y31d Pro",'[1]Sales per type Agustus'!$D$8:$BA$8,0)+1),0)</f>
        <v>11697000</v>
      </c>
      <c r="AO39" s="33">
        <f t="shared" si="11"/>
        <v>-6798000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1</v>
      </c>
      <c r="AR39" s="33">
        <f t="shared" si="12"/>
        <v>-1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3599000</v>
      </c>
      <c r="AU39" s="33">
        <f t="shared" si="13"/>
        <v>-3599000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1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1</v>
      </c>
      <c r="BQ39" s="33" cm="1">
        <f t="array" ref="BQ39">IFERROR(INDEX('[1]SALES PERTYPE'!$D$10:$BA$52,MATCH($C39,'[1]SALES PERTYPE'!$B$10:$B$52,0),MATCH("Y500",'[1]SALES PERTYPE'!$D$8:$BA$8,0)+1),0)</f>
        <v>5499000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5499000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1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1</v>
      </c>
      <c r="DA39" s="33" cm="1">
        <f t="array" ref="DA39">IFERROR(INDEX('[1]SALES PERTYPE'!$D$10:$BA$52,MATCH($C39,'[1]SALES PERTYPE'!$B$10:$B$52,0),MATCH("IQOO Z11",'[1]SALES PERTYPE'!$D$8:$BA$8,0)+1),0)</f>
        <v>6899000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6899000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12</v>
      </c>
      <c r="EC39" s="33">
        <f t="shared" si="42"/>
        <v>10</v>
      </c>
      <c r="ED39" s="33">
        <f t="shared" si="43"/>
        <v>2</v>
      </c>
      <c r="EE39" s="33">
        <f t="shared" si="44"/>
        <v>45488000</v>
      </c>
      <c r="EF39" s="33">
        <f t="shared" si="44"/>
        <v>39290000</v>
      </c>
      <c r="EG39" s="33">
        <f t="shared" si="45"/>
        <v>6198000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6</v>
      </c>
      <c r="G40" s="33">
        <f>IFERROR(INDEX('[1]Sales per type Agustus'!$D$10:$BA$51,MATCH($C40,'[1]Sales per type Agustus'!$B$10:$B$51,0),MATCH("Y05",'[1]Sales per type Agustus'!$D$8:$BA$8,0)),0)</f>
        <v>2</v>
      </c>
      <c r="H40" s="33">
        <f t="shared" si="0"/>
        <v>4</v>
      </c>
      <c r="I40" s="33" cm="1">
        <f t="array" ref="I40">IFERROR(INDEX('[1]SALES PERTYPE'!$D$10:$BA$52,MATCH($C40,'[1]SALES PERTYPE'!$B$10:$B$52,0),MATCH("Y05",'[1]SALES PERTYPE'!$D$8:$BA$8,0)+1),0)</f>
        <v>14994000</v>
      </c>
      <c r="J40" s="33" cm="1">
        <f t="array" ref="J40">IFERROR(INDEX('[1]Sales per type Agustus'!$D$10:$BA$51,MATCH($C40,'[1]Sales per type Agustus'!$B$10:$B$51,0),MATCH("Y05",'[1]Sales per type Agustus'!$D$8:$BA$8,0)+1),0)</f>
        <v>4898000</v>
      </c>
      <c r="K40" s="33">
        <f t="shared" si="1"/>
        <v>10096000</v>
      </c>
      <c r="L40" s="33">
        <f>IFERROR(INDEX('[1]SALES PERTYPE'!$D$10:$BA$52,MATCH($C40,'[1]SALES PERTYPE'!$B$10:$B$52,0),MATCH("Y11d",'[1]SALES PERTYPE'!$D$8:$BA$8,0)),0)</f>
        <v>5</v>
      </c>
      <c r="M40" s="33">
        <f>IFERROR(INDEX('[1]Sales per type Agustus'!$D$10:$BA$51,MATCH($C40,'[1]Sales per type Agustus'!$B$10:$B$51,0),MATCH("Y11d",'[1]Sales per type Agustus'!$D$8:$BA$8,0)),0)</f>
        <v>10</v>
      </c>
      <c r="N40" s="33">
        <f t="shared" si="2"/>
        <v>-5</v>
      </c>
      <c r="O40" s="33" cm="1">
        <f t="array" ref="O40">IFERROR(INDEX('[1]SALES PERTYPE'!$D$10:$BA$52,MATCH($C40,'[1]SALES PERTYPE'!$B$10:$B$52,0),MATCH("Y11d",'[1]SALES PERTYPE'!$D$8:$BA$8,0)+1),0)</f>
        <v>12795000</v>
      </c>
      <c r="P40" s="33" cm="1">
        <f t="array" ref="P40">IFERROR(INDEX('[1]Sales per type Agustus'!$D$10:$BA$51,MATCH($C40,'[1]Sales per type Agustus'!$B$10:$B$51,0),MATCH("Y11d",'[1]Sales per type Agustus'!$D$8:$BA$8,0)+1),0)</f>
        <v>25590000</v>
      </c>
      <c r="Q40" s="33">
        <f t="shared" si="3"/>
        <v>-12795000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2</v>
      </c>
      <c r="Y40" s="33">
        <f>IFERROR(INDEX('[1]Sales per type Agustus'!$D$10:$BA$51,MATCH($C40,'[1]Sales per type Agustus'!$B$10:$B$51,0),MATCH("Y05e",'[1]Sales per type Agustus'!$D$8:$BA$8,0)),0)</f>
        <v>11</v>
      </c>
      <c r="Z40" s="33">
        <f t="shared" si="6"/>
        <v>-9</v>
      </c>
      <c r="AA40" s="33" cm="1">
        <f t="array" ref="AA40">IFERROR(INDEX('[1]SALES PERTYPE'!$D$10:$BA$52,MATCH($C40,'[1]SALES PERTYPE'!$B$10:$B$52,0),MATCH("Y05e",'[1]SALES PERTYPE'!$D$8:$BA$8,0)+1),0)</f>
        <v>4198000</v>
      </c>
      <c r="AB40" s="33" cm="1">
        <f t="array" ref="AB40">IFERROR(INDEX('[1]Sales per type Agustus'!$D$10:$BA$51,MATCH($C40,'[1]Sales per type Agustus'!$B$10:$B$51,0),MATCH("Y05e",'[1]Sales per type Agustus'!$D$8:$BA$8,0)+1),0)</f>
        <v>23089000</v>
      </c>
      <c r="AC40" s="33">
        <f t="shared" si="7"/>
        <v>-18891000</v>
      </c>
      <c r="AD40" s="33">
        <f>IFERROR(INDEX('[1]SALES PERTYPE'!$D$10:$BA$52,MATCH($C40,'[1]SALES PERTYPE'!$B$10:$B$52,0),MATCH("V70",'[1]SALES PERTYPE'!$D$8:$BA$8,0)),0)</f>
        <v>1</v>
      </c>
      <c r="AE40" s="33">
        <f>IFERROR(INDEX('[1]Sales per type Agustus'!$D$10:$BA$51,MATCH($C40,'[1]Sales per type Agustus'!$B$10:$B$51,0),MATCH("V70",'[1]Sales per type Agustus'!$D$8:$BA$8,0)),0)</f>
        <v>1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9999000</v>
      </c>
      <c r="AH40" s="33" cm="1">
        <f t="array" ref="AH40">IFERROR(INDEX('[1]Sales per type Agustus'!$D$10:$BA$51,MATCH($C40,'[1]Sales per type Agustus'!$B$10:$B$51,0),MATCH("V70",'[1]Sales per type Agustus'!$D$8:$BA$8,0)+1),0)</f>
        <v>8999000</v>
      </c>
      <c r="AI40" s="33">
        <f t="shared" si="9"/>
        <v>1000000</v>
      </c>
      <c r="AJ40" s="33">
        <f>IFERROR(INDEX('[1]SALES PERTYPE'!$D$10:$BA$52,MATCH($C40,'[1]SALES PERTYPE'!$B$10:$B$52,0),MATCH("Y31d Pro",'[1]SALES PERTYPE'!$D$8:$BA$8,0)),0)</f>
        <v>1</v>
      </c>
      <c r="AK40" s="33">
        <f>IFERROR(INDEX('[1]Sales per type Agustus'!$D$10:$BA$51,MATCH($C40,'[1]Sales per type Agustus'!$B$10:$B$51,0),MATCH("Y31d Pro",'[1]Sales per type Agustus'!$D$8:$BA$8,0)),0)</f>
        <v>5</v>
      </c>
      <c r="AL40" s="33">
        <f t="shared" si="10"/>
        <v>-4</v>
      </c>
      <c r="AM40" s="33" cm="1">
        <f t="array" ref="AM40">IFERROR(INDEX('[1]SALES PERTYPE'!$D$10:$BA$52,MATCH($C40,'[1]SALES PERTYPE'!$B$10:$B$52,0),MATCH("Y31d Pro",'[1]SALES PERTYPE'!$D$8:$BA$8,0)+1),0)</f>
        <v>4299000</v>
      </c>
      <c r="AN40" s="33" cm="1">
        <f t="array" ref="AN40">IFERROR(INDEX('[1]Sales per type Agustus'!$D$10:$BA$51,MATCH($C40,'[1]Sales per type Agustus'!$B$10:$B$51,0),MATCH("Y31d Pro",'[1]Sales per type Agustus'!$D$8:$BA$8,0)+1),0)</f>
        <v>24695000</v>
      </c>
      <c r="AO40" s="33">
        <f t="shared" si="11"/>
        <v>-20396000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1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1</v>
      </c>
      <c r="AY40" s="33" cm="1">
        <f t="array" ref="AY40">IFERROR(INDEX('[1]SALES PERTYPE'!$D$10:$BA$52,MATCH($C40,'[1]SALES PERTYPE'!$B$10:$B$52,0),MATCH("Y31d ",'[1]SALES PERTYPE'!$D$8:$BA$8,0)+1),0)</f>
        <v>3599000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3599000</v>
      </c>
      <c r="BB40" s="33">
        <f>IFERROR(INDEX('[1]SALES PERTYPE'!$D$10:$BA$52,MATCH($C40,'[1]SALES PERTYPE'!$B$10:$B$52,0),MATCH("V70 FE",'[1]SALES PERTYPE'!$D$8:$BA$8,0)),0)</f>
        <v>1</v>
      </c>
      <c r="BC40" s="33">
        <f>IFERROR(INDEX('[1]Sales per type Agustus'!$D$10:$BA$51,MATCH($C40,'[1]Sales per type Agustus'!$B$10:$B$51,0),MATCH("V70 FE",'[1]Sales per type Agustus'!$D$8:$BA$8,0)),0)</f>
        <v>4</v>
      </c>
      <c r="BD40" s="33">
        <f t="shared" si="16"/>
        <v>-3</v>
      </c>
      <c r="BE40" s="33" cm="1">
        <f t="array" ref="BE40">IFERROR(INDEX('[1]SALES PERTYPE'!$D$10:$BA$52,MATCH($C40,'[1]SALES PERTYPE'!$B$10:$B$52,0),MATCH("V70 FE",'[1]SALES PERTYPE'!$D$8:$BA$8,0)+1),0)</f>
        <v>7999000</v>
      </c>
      <c r="BF40" s="33" cm="1">
        <f t="array" ref="BF40">IFERROR(INDEX('[1]Sales per type Agustus'!$D$10:$BA$51,MATCH($C40,'[1]Sales per type Agustus'!$B$10:$B$51,0),MATCH("V70 FE",'[1]Sales per type Agustus'!$D$8:$BA$8,0)+1),0)</f>
        <v>28896000</v>
      </c>
      <c r="BG40" s="33">
        <f t="shared" si="17"/>
        <v>-20897000</v>
      </c>
      <c r="BH40" s="33">
        <f>IFERROR(INDEX('[1]SALES PERTYPE'!$D$10:$BA$52,MATCH($C40,'[1]SALES PERTYPE'!$B$10:$B$52,0),MATCH("Y31d",'[1]SALES PERTYPE'!$D$8:$BA$8,0)),0)</f>
        <v>3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3</v>
      </c>
      <c r="BK40" s="33" cm="1">
        <f t="array" ref="BK40">IFERROR(INDEX('[1]SALES PERTYPE'!$D$10:$BA$52,MATCH($C40,'[1]SALES PERTYPE'!$B$10:$B$52,0),MATCH("Y31d",'[1]SALES PERTYPE'!$D$8:$BA$8,0)+1),0)</f>
        <v>10797000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10797000</v>
      </c>
      <c r="BN40" s="33">
        <f>IFERROR(INDEX('[1]SALES PERTYPE'!$D$10:$BA$52,MATCH($C40,'[1]SALES PERTYPE'!$B$10:$B$52,0),MATCH("Y500",'[1]SALES PERTYPE'!$D$8:$BA$8,0)),0)</f>
        <v>2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1</v>
      </c>
      <c r="BQ40" s="33" cm="1">
        <f t="array" ref="BQ40">IFERROR(INDEX('[1]SALES PERTYPE'!$D$10:$BA$52,MATCH($C40,'[1]SALES PERTYPE'!$B$10:$B$52,0),MATCH("Y500",'[1]SALES PERTYPE'!$D$8:$BA$8,0)+1),0)</f>
        <v>11798000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6299000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2</v>
      </c>
      <c r="CA40" s="33">
        <f>IFERROR(INDEX('[1]Sales per type Agustus'!$D$10:$BA$51,MATCH($C40,'[1]Sales per type Agustus'!$B$10:$B$51,0),MATCH("V60 Lite",'[1]Sales per type Agustus'!$D$8:$BA$8,0)),0)</f>
        <v>0</v>
      </c>
      <c r="CB40" s="33">
        <f t="shared" si="24"/>
        <v>2</v>
      </c>
      <c r="CC40" s="33" cm="1">
        <f t="array" ref="CC40">IFERROR(INDEX('[1]SALES PERTYPE'!$D$10:$BA$52,MATCH($C40,'[1]SALES PERTYPE'!$B$10:$B$52,0),MATCH("V60 Lite",'[1]SALES PERTYPE'!$D$8:$BA$8,0)+1),0)</f>
        <v>11798000</v>
      </c>
      <c r="CD40" s="33" cm="1">
        <f t="array" ref="CD40">IFERROR(INDEX('[1]Sales per type Agustus'!$D$10:$BA$51,MATCH($C40,'[1]Sales per type Agustus'!$B$10:$B$51,0),MATCH("V60 Lite",'[1]Sales per type Agustus'!$D$8:$BA$8,0)+1),0)</f>
        <v>0</v>
      </c>
      <c r="CE40" s="33">
        <f t="shared" si="25"/>
        <v>11798000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1</v>
      </c>
      <c r="CS40" s="33">
        <f>IFERROR(INDEX('[1]Sales per type Agustus'!$D$10:$BA$51,MATCH($C40,'[1]Sales per type Agustus'!$B$10:$B$51,0),MATCH("IQOO Z11x",'[1]Sales per type Agustus'!$D$8:$BA$8,0)),0)</f>
        <v>0</v>
      </c>
      <c r="CT40" s="33">
        <f t="shared" si="30"/>
        <v>1</v>
      </c>
      <c r="CU40" s="33" cm="1">
        <f t="array" ref="CU40">IFERROR(INDEX('[1]SALES PERTYPE'!$D$10:$BA$52,MATCH($C40,'[1]SALES PERTYPE'!$B$10:$B$52,0),MATCH("IQOO Z11x",'[1]SALES PERTYPE'!$D$8:$BA$8,0)+1),0)</f>
        <v>5699000</v>
      </c>
      <c r="CV40" s="33" cm="1">
        <f t="array" ref="CV40">IFERROR(INDEX('[1]Sales per type Agustus'!$D$10:$BA$51,MATCH($C40,'[1]Sales per type Agustus'!$B$10:$B$51,0),MATCH("IQOO Z11x",'[1]Sales per type Agustus'!$D$8:$BA$8,0)+1),0)</f>
        <v>0</v>
      </c>
      <c r="CW40" s="33">
        <f t="shared" si="31"/>
        <v>5699000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26</v>
      </c>
      <c r="EC40" s="33">
        <f t="shared" si="42"/>
        <v>34</v>
      </c>
      <c r="ED40" s="33">
        <f t="shared" si="43"/>
        <v>-8</v>
      </c>
      <c r="EE40" s="33">
        <f t="shared" si="44"/>
        <v>106374000</v>
      </c>
      <c r="EF40" s="33">
        <f t="shared" si="44"/>
        <v>121666000</v>
      </c>
      <c r="EG40" s="33">
        <f t="shared" si="45"/>
        <v>-15292000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6</v>
      </c>
      <c r="G41" s="33">
        <f>IFERROR(INDEX('[1]Sales per type Agustus'!$D$10:$BA$51,MATCH($C41,'[1]Sales per type Agustus'!$B$10:$B$51,0),MATCH("Y05",'[1]Sales per type Agustus'!$D$8:$BA$8,0)),0)</f>
        <v>10</v>
      </c>
      <c r="H41" s="33">
        <f t="shared" si="0"/>
        <v>-4</v>
      </c>
      <c r="I41" s="33" cm="1">
        <f t="array" ref="I41">IFERROR(INDEX('[1]SALES PERTYPE'!$D$10:$BA$52,MATCH($C41,'[1]SALES PERTYPE'!$B$10:$B$52,0),MATCH("Y05",'[1]SALES PERTYPE'!$D$8:$BA$8,0)+1),0)</f>
        <v>14394000</v>
      </c>
      <c r="J41" s="33" cm="1">
        <f t="array" ref="J41">IFERROR(INDEX('[1]Sales per type Agustus'!$D$10:$BA$51,MATCH($C41,'[1]Sales per type Agustus'!$B$10:$B$51,0),MATCH("Y05",'[1]Sales per type Agustus'!$D$8:$BA$8,0)+1),0)</f>
        <v>24190000</v>
      </c>
      <c r="K41" s="33">
        <f t="shared" si="1"/>
        <v>-9796000</v>
      </c>
      <c r="L41" s="33">
        <f>IFERROR(INDEX('[1]SALES PERTYPE'!$D$10:$BA$52,MATCH($C41,'[1]SALES PERTYPE'!$B$10:$B$52,0),MATCH("Y11d",'[1]SALES PERTYPE'!$D$8:$BA$8,0)),0)</f>
        <v>10</v>
      </c>
      <c r="M41" s="33">
        <f>IFERROR(INDEX('[1]Sales per type Agustus'!$D$10:$BA$51,MATCH($C41,'[1]Sales per type Agustus'!$B$10:$B$51,0),MATCH("Y11d",'[1]Sales per type Agustus'!$D$8:$BA$8,0)),0)</f>
        <v>12</v>
      </c>
      <c r="N41" s="33">
        <f t="shared" si="2"/>
        <v>-2</v>
      </c>
      <c r="O41" s="33" cm="1">
        <f t="array" ref="O41">IFERROR(INDEX('[1]SALES PERTYPE'!$D$10:$BA$52,MATCH($C41,'[1]SALES PERTYPE'!$B$10:$B$52,0),MATCH("Y11d",'[1]SALES PERTYPE'!$D$8:$BA$8,0)+1),0)</f>
        <v>27190000</v>
      </c>
      <c r="P41" s="33" cm="1">
        <f t="array" ref="P41">IFERROR(INDEX('[1]Sales per type Agustus'!$D$10:$BA$51,MATCH($C41,'[1]Sales per type Agustus'!$B$10:$B$51,0),MATCH("Y11d",'[1]Sales per type Agustus'!$D$8:$BA$8,0)+1),0)</f>
        <v>32388000</v>
      </c>
      <c r="Q41" s="33">
        <f t="shared" si="3"/>
        <v>-5198000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3</v>
      </c>
      <c r="Y41" s="33">
        <f>IFERROR(INDEX('[1]Sales per type Agustus'!$D$10:$BA$51,MATCH($C41,'[1]Sales per type Agustus'!$B$10:$B$51,0),MATCH("Y05e",'[1]Sales per type Agustus'!$D$8:$BA$8,0)),0)</f>
        <v>5</v>
      </c>
      <c r="Z41" s="33">
        <f t="shared" si="6"/>
        <v>-2</v>
      </c>
      <c r="AA41" s="33" cm="1">
        <f t="array" ref="AA41">IFERROR(INDEX('[1]SALES PERTYPE'!$D$10:$BA$52,MATCH($C41,'[1]SALES PERTYPE'!$B$10:$B$52,0),MATCH("Y05e",'[1]SALES PERTYPE'!$D$8:$BA$8,0)+1),0)</f>
        <v>6297000</v>
      </c>
      <c r="AB41" s="33" cm="1">
        <f t="array" ref="AB41">IFERROR(INDEX('[1]Sales per type Agustus'!$D$10:$BA$51,MATCH($C41,'[1]Sales per type Agustus'!$B$10:$B$51,0),MATCH("Y05e",'[1]Sales per type Agustus'!$D$8:$BA$8,0)+1),0)</f>
        <v>10495000</v>
      </c>
      <c r="AC41" s="33">
        <f t="shared" si="7"/>
        <v>-4198000</v>
      </c>
      <c r="AD41" s="33">
        <f>IFERROR(INDEX('[1]SALES PERTYPE'!$D$10:$BA$52,MATCH($C41,'[1]SALES PERTYPE'!$B$10:$B$52,0),MATCH("V70",'[1]SALES PERTYPE'!$D$8:$BA$8,0)),0)</f>
        <v>1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1</v>
      </c>
      <c r="AG41" s="33" cm="1">
        <f t="array" ref="AG41">IFERROR(INDEX('[1]SALES PERTYPE'!$D$10:$BA$52,MATCH($C41,'[1]SALES PERTYPE'!$B$10:$B$52,0),MATCH("V70",'[1]SALES PERTYPE'!$D$8:$BA$8,0)+1),0)</f>
        <v>9999000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9999000</v>
      </c>
      <c r="AJ41" s="33">
        <f>IFERROR(INDEX('[1]SALES PERTYPE'!$D$10:$BA$52,MATCH($C41,'[1]SALES PERTYPE'!$B$10:$B$52,0),MATCH("Y31d Pro",'[1]SALES PERTYPE'!$D$8:$BA$8,0)),0)</f>
        <v>5</v>
      </c>
      <c r="AK41" s="33">
        <f>IFERROR(INDEX('[1]Sales per type Agustus'!$D$10:$BA$51,MATCH($C41,'[1]Sales per type Agustus'!$B$10:$B$51,0),MATCH("Y31d Pro",'[1]Sales per type Agustus'!$D$8:$BA$8,0)),0)</f>
        <v>4</v>
      </c>
      <c r="AL41" s="33">
        <f t="shared" si="10"/>
        <v>1</v>
      </c>
      <c r="AM41" s="33" cm="1">
        <f t="array" ref="AM41">IFERROR(INDEX('[1]SALES PERTYPE'!$D$10:$BA$52,MATCH($C41,'[1]SALES PERTYPE'!$B$10:$B$52,0),MATCH("Y31d Pro",'[1]SALES PERTYPE'!$D$8:$BA$8,0)+1),0)</f>
        <v>21095000</v>
      </c>
      <c r="AN41" s="33" cm="1">
        <f t="array" ref="AN41">IFERROR(INDEX('[1]Sales per type Agustus'!$D$10:$BA$51,MATCH($C41,'[1]Sales per type Agustus'!$B$10:$B$51,0),MATCH("Y31d Pro",'[1]Sales per type Agustus'!$D$8:$BA$8,0)+1),0)</f>
        <v>18796000</v>
      </c>
      <c r="AO41" s="33">
        <f t="shared" si="11"/>
        <v>2299000</v>
      </c>
      <c r="AP41" s="33" cm="1">
        <f t="array" ref="AP41">IFERROR(INDEX('[1]SALES PERTYPE'!$D$10:$BA$52,MATCH($C41,'[1]SALES PERTYPE'!$B$10:$B$52,0),$EI$3),0)</f>
        <v>1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1</v>
      </c>
      <c r="AS41" s="33" cm="1">
        <f t="array" ref="AS41">IFERROR(INDEX('[1]SALES PERTYPE'!$D$10:$BA$52,MATCH($C41,'[1]SALES PERTYPE'!$B$10:$B$52,0),$EI$3+1),0)</f>
        <v>3599000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3599000</v>
      </c>
      <c r="AV41" s="33">
        <f>IFERROR(INDEX('[1]SALES PERTYPE'!$D$10:$BA$52,MATCH($C41,'[1]SALES PERTYPE'!$B$10:$B$52,0),MATCH("Y31d ",'[1]SALES PERTYPE'!$D$8:$BA$8,0)),0)</f>
        <v>2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2</v>
      </c>
      <c r="AY41" s="33" cm="1">
        <f t="array" ref="AY41">IFERROR(INDEX('[1]SALES PERTYPE'!$D$10:$BA$52,MATCH($C41,'[1]SALES PERTYPE'!$B$10:$B$52,0),MATCH("Y31d ",'[1]SALES PERTYPE'!$D$8:$BA$8,0)+1),0)</f>
        <v>7198000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7198000</v>
      </c>
      <c r="BB41" s="33">
        <f>IFERROR(INDEX('[1]SALES PERTYPE'!$D$10:$BA$52,MATCH($C41,'[1]SALES PERTYPE'!$B$10:$B$52,0),MATCH("V70 FE",'[1]SALES PERTYPE'!$D$8:$BA$8,0)),0)</f>
        <v>1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1</v>
      </c>
      <c r="BE41" s="33" cm="1">
        <f t="array" ref="BE41">IFERROR(INDEX('[1]SALES PERTYPE'!$D$10:$BA$52,MATCH($C41,'[1]SALES PERTYPE'!$B$10:$B$52,0),MATCH("V70 FE",'[1]SALES PERTYPE'!$D$8:$BA$8,0)+1),0)</f>
        <v>7999000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7999000</v>
      </c>
      <c r="BH41" s="33">
        <f>IFERROR(INDEX('[1]SALES PERTYPE'!$D$10:$BA$52,MATCH($C41,'[1]SALES PERTYPE'!$B$10:$B$52,0),MATCH("Y31d",'[1]SALES PERTYPE'!$D$8:$BA$8,0)),0)</f>
        <v>2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2</v>
      </c>
      <c r="BK41" s="33" cm="1">
        <f t="array" ref="BK41">IFERROR(INDEX('[1]SALES PERTYPE'!$D$10:$BA$52,MATCH($C41,'[1]SALES PERTYPE'!$B$10:$B$52,0),MATCH("Y31d",'[1]SALES PERTYPE'!$D$8:$BA$8,0)+1),0)</f>
        <v>7198000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7198000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5499000</v>
      </c>
      <c r="BS41" s="33">
        <f t="shared" si="21"/>
        <v>800000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1</v>
      </c>
      <c r="BV41" s="33">
        <f t="shared" si="22"/>
        <v>-1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11999000</v>
      </c>
      <c r="BY41" s="33">
        <f t="shared" si="23"/>
        <v>-11999000</v>
      </c>
      <c r="BZ41" s="33">
        <f>IFERROR(INDEX('[1]SALES PERTYPE'!$D$10:$BA$52,MATCH($C41,'[1]SALES PERTYPE'!$B$10:$B$52,0),MATCH("V60 Lite",'[1]SALES PERTYPE'!$D$8:$BA$8,0)),0)</f>
        <v>7</v>
      </c>
      <c r="CA41" s="33">
        <f>IFERROR(INDEX('[1]Sales per type Agustus'!$D$10:$BA$51,MATCH($C41,'[1]Sales per type Agustus'!$B$10:$B$51,0),MATCH("V60 Lite",'[1]Sales per type Agustus'!$D$8:$BA$8,0)),0)</f>
        <v>1</v>
      </c>
      <c r="CB41" s="33">
        <f t="shared" si="24"/>
        <v>6</v>
      </c>
      <c r="CC41" s="33" cm="1">
        <f t="array" ref="CC41">IFERROR(INDEX('[1]SALES PERTYPE'!$D$10:$BA$52,MATCH($C41,'[1]SALES PERTYPE'!$B$10:$B$52,0),MATCH("V60 Lite",'[1]SALES PERTYPE'!$D$8:$BA$8,0)+1),0)</f>
        <v>41293000</v>
      </c>
      <c r="CD41" s="33" cm="1">
        <f t="array" ref="CD41">IFERROR(INDEX('[1]Sales per type Agustus'!$D$10:$BA$51,MATCH($C41,'[1]Sales per type Agustus'!$B$10:$B$51,0),MATCH("V60 Lite",'[1]Sales per type Agustus'!$D$8:$BA$8,0)+1),0)</f>
        <v>5299000</v>
      </c>
      <c r="CE41" s="33">
        <f t="shared" si="25"/>
        <v>35994000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1</v>
      </c>
      <c r="CT41" s="33">
        <f t="shared" si="30"/>
        <v>-1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5699000</v>
      </c>
      <c r="CW41" s="33">
        <f t="shared" si="31"/>
        <v>-5699000</v>
      </c>
      <c r="CX41" s="33">
        <f>IFERROR(INDEX('[1]SALES PERTYPE'!$D$10:$BA$52,MATCH($C41,'[1]SALES PERTYPE'!$B$10:$B$52,0),MATCH("IQOO Z11",'[1]SALES PERTYPE'!$D$8:$BA$8,0)),0)</f>
        <v>2</v>
      </c>
      <c r="CY41" s="33">
        <f>IFERROR(INDEX('[1]Sales per type Agustus'!$D$10:$BA$51,MATCH($C41,'[1]Sales per type Agustus'!$B$10:$B$51,0),MATCH("IQOO Z11",'[1]Sales per type Agustus'!$D$8:$BA$8,0)),0)</f>
        <v>1</v>
      </c>
      <c r="CZ41" s="33">
        <f t="shared" si="32"/>
        <v>1</v>
      </c>
      <c r="DA41" s="33" cm="1">
        <f t="array" ref="DA41">IFERROR(INDEX('[1]SALES PERTYPE'!$D$10:$BA$52,MATCH($C41,'[1]SALES PERTYPE'!$B$10:$B$52,0),MATCH("IQOO Z11",'[1]SALES PERTYPE'!$D$8:$BA$8,0)+1),0)</f>
        <v>13798000</v>
      </c>
      <c r="DB41" s="33" cm="1">
        <f t="array" ref="DB41">IFERROR(INDEX('[1]Sales per type Agustus'!$D$10:$BA$51,MATCH($C41,'[1]Sales per type Agustus'!$B$10:$B$51,0),MATCH("IQOO Z11",'[1]Sales per type Agustus'!$D$8:$BA$8,0)+1),0)</f>
        <v>6899000</v>
      </c>
      <c r="DC41" s="33">
        <f t="shared" si="33"/>
        <v>6899000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41</v>
      </c>
      <c r="EC41" s="33">
        <f t="shared" si="42"/>
        <v>36</v>
      </c>
      <c r="ED41" s="33">
        <f t="shared" si="43"/>
        <v>5</v>
      </c>
      <c r="EE41" s="33">
        <f t="shared" si="44"/>
        <v>166359000</v>
      </c>
      <c r="EF41" s="33">
        <f t="shared" si="44"/>
        <v>121264000</v>
      </c>
      <c r="EG41" s="33">
        <f t="shared" si="45"/>
        <v>45095000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2</v>
      </c>
      <c r="M42" s="33">
        <f>IFERROR(INDEX('[1]Sales per type Agustus'!$D$10:$BA$51,MATCH($C42,'[1]Sales per type Agustus'!$B$10:$B$51,0),MATCH("Y11d",'[1]Sales per type Agustus'!$D$8:$BA$8,0)),0)</f>
        <v>1</v>
      </c>
      <c r="N42" s="33">
        <f t="shared" si="2"/>
        <v>1</v>
      </c>
      <c r="O42" s="33" cm="1">
        <f t="array" ref="O42">IFERROR(INDEX('[1]SALES PERTYPE'!$D$10:$BA$52,MATCH($C42,'[1]SALES PERTYPE'!$B$10:$B$52,0),MATCH("Y11d",'[1]SALES PERTYPE'!$D$8:$BA$8,0)+1),0)</f>
        <v>5598000</v>
      </c>
      <c r="P42" s="33" cm="1">
        <f t="array" ref="P42">IFERROR(INDEX('[1]Sales per type Agustus'!$D$10:$BA$51,MATCH($C42,'[1]Sales per type Agustus'!$B$10:$B$51,0),MATCH("Y11d",'[1]Sales per type Agustus'!$D$8:$BA$8,0)+1),0)</f>
        <v>2799000</v>
      </c>
      <c r="Q42" s="33">
        <f t="shared" si="3"/>
        <v>2799000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1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0</v>
      </c>
      <c r="AG42" s="33" cm="1">
        <f t="array" ref="AG42">IFERROR(INDEX('[1]SALES PERTYPE'!$D$10:$BA$52,MATCH($C42,'[1]SALES PERTYPE'!$B$10:$B$52,0),MATCH("V70",'[1]SALES PERTYPE'!$D$8:$BA$8,0)+1),0)</f>
        <v>9999000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0</v>
      </c>
      <c r="AJ42" s="33">
        <f>IFERROR(INDEX('[1]SALES PERTYPE'!$D$10:$BA$52,MATCH($C42,'[1]SALES PERTYPE'!$B$10:$B$52,0),MATCH("Y31d Pro",'[1]SALES PERTYPE'!$D$8:$BA$8,0)),0)</f>
        <v>5</v>
      </c>
      <c r="AK42" s="33">
        <f>IFERROR(INDEX('[1]Sales per type Agustus'!$D$10:$BA$51,MATCH($C42,'[1]Sales per type Agustus'!$B$10:$B$51,0),MATCH("Y31d Pro",'[1]Sales per type Agustus'!$D$8:$BA$8,0)),0)</f>
        <v>1</v>
      </c>
      <c r="AL42" s="33">
        <f t="shared" si="10"/>
        <v>4</v>
      </c>
      <c r="AM42" s="33" cm="1">
        <f t="array" ref="AM42">IFERROR(INDEX('[1]SALES PERTYPE'!$D$10:$BA$52,MATCH($C42,'[1]SALES PERTYPE'!$B$10:$B$52,0),MATCH("Y31d Pro",'[1]SALES PERTYPE'!$D$8:$BA$8,0)+1),0)</f>
        <v>21495000</v>
      </c>
      <c r="AN42" s="33" cm="1">
        <f t="array" ref="AN42">IFERROR(INDEX('[1]Sales per type Agustus'!$D$10:$BA$51,MATCH($C42,'[1]Sales per type Agustus'!$B$10:$B$51,0),MATCH("Y31d Pro",'[1]Sales per type Agustus'!$D$8:$BA$8,0)+1),0)</f>
        <v>4299000</v>
      </c>
      <c r="AO42" s="33">
        <f t="shared" si="11"/>
        <v>17196000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1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1</v>
      </c>
      <c r="AY42" s="33" cm="1">
        <f t="array" ref="AY42">IFERROR(INDEX('[1]SALES PERTYPE'!$D$10:$BA$52,MATCH($C42,'[1]SALES PERTYPE'!$B$10:$B$52,0),MATCH("Y31d ",'[1]SALES PERTYPE'!$D$8:$BA$8,0)+1),0)</f>
        <v>3599000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3599000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1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PERTYPE'!$D$10:$BA$52,MATCH($C42,'[1]SALES PERTYPE'!$B$10:$B$52,0),MATCH("Y31d",'[1]SALES PERTYPE'!$D$8:$BA$8,0)+1),0)</f>
        <v>3599000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3599000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12</v>
      </c>
      <c r="EC42" s="33">
        <f t="shared" si="42"/>
        <v>3</v>
      </c>
      <c r="ED42" s="33">
        <f t="shared" si="43"/>
        <v>9</v>
      </c>
      <c r="EE42" s="33">
        <f t="shared" si="44"/>
        <v>52488000</v>
      </c>
      <c r="EF42" s="33">
        <f t="shared" si="44"/>
        <v>17097000</v>
      </c>
      <c r="EG42" s="33">
        <f t="shared" si="45"/>
        <v>35391000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2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2</v>
      </c>
      <c r="CC43" s="33" cm="1">
        <f t="array" ref="CC43">IFERROR(INDEX('[1]SALES PERTYPE'!$D$10:$BA$52,MATCH($C43,'[1]SALES PERTYPE'!$B$10:$B$52,0),MATCH("V60 Lite",'[1]SALES PERTYPE'!$D$8:$BA$8,0)+1),0)</f>
        <v>11798000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11798000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3</v>
      </c>
      <c r="EC43" s="33">
        <f t="shared" si="42"/>
        <v>0</v>
      </c>
      <c r="ED43" s="33">
        <f t="shared" si="43"/>
        <v>3</v>
      </c>
      <c r="EE43" s="33">
        <f t="shared" si="44"/>
        <v>18697000</v>
      </c>
      <c r="EF43" s="33">
        <f t="shared" si="44"/>
        <v>0</v>
      </c>
      <c r="EG43" s="33">
        <f t="shared" si="45"/>
        <v>18697000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2</v>
      </c>
      <c r="G44" s="33">
        <f>IFERROR(INDEX('[1]Sales per type Agustus'!$D$10:$BA$51,MATCH($C44,'[1]Sales per type Agustus'!$B$10:$B$51,0),MATCH("Y05",'[1]Sales per type Agustus'!$D$8:$BA$8,0)),0)</f>
        <v>2</v>
      </c>
      <c r="H44" s="33">
        <f t="shared" si="0"/>
        <v>0</v>
      </c>
      <c r="I44" s="33" cm="1">
        <f t="array" ref="I44">IFERROR(INDEX('[1]SALES PERTYPE'!$D$10:$BA$52,MATCH($C44,'[1]SALES PERTYPE'!$B$10:$B$52,0),MATCH("Y05",'[1]SALES PERTYPE'!$D$8:$BA$8,0)+1),0)</f>
        <v>5198000</v>
      </c>
      <c r="J44" s="33" cm="1">
        <f t="array" ref="J44">IFERROR(INDEX('[1]Sales per type Agustus'!$D$10:$BA$51,MATCH($C44,'[1]Sales per type Agustus'!$B$10:$B$51,0),MATCH("Y05",'[1]Sales per type Agustus'!$D$8:$BA$8,0)+1),0)</f>
        <v>4598000</v>
      </c>
      <c r="K44" s="33">
        <f t="shared" si="1"/>
        <v>600000</v>
      </c>
      <c r="L44" s="33">
        <f>IFERROR(INDEX('[1]SALES PERTYPE'!$D$10:$BA$52,MATCH($C44,'[1]SALES PERTYPE'!$B$10:$B$52,0),MATCH("Y11d",'[1]SALES PERTYPE'!$D$8:$BA$8,0)),0)</f>
        <v>1</v>
      </c>
      <c r="M44" s="33">
        <f>IFERROR(INDEX('[1]Sales per type Agustus'!$D$10:$BA$51,MATCH($C44,'[1]Sales per type Agustus'!$B$10:$B$51,0),MATCH("Y11d",'[1]Sales per type Agustus'!$D$8:$BA$8,0)),0)</f>
        <v>1</v>
      </c>
      <c r="N44" s="33">
        <f t="shared" si="2"/>
        <v>0</v>
      </c>
      <c r="O44" s="33" cm="1">
        <f t="array" ref="O44">IFERROR(INDEX('[1]SALES PERTYPE'!$D$10:$BA$52,MATCH($C44,'[1]SALES PERTYPE'!$B$10:$B$52,0),MATCH("Y11d",'[1]SALES PERTYPE'!$D$8:$BA$8,0)+1),0)</f>
        <v>2399000</v>
      </c>
      <c r="P44" s="33" cm="1">
        <f t="array" ref="P44">IFERROR(INDEX('[1]Sales per type Agustus'!$D$10:$BA$51,MATCH($C44,'[1]Sales per type Agustus'!$B$10:$B$51,0),MATCH("Y11d",'[1]Sales per type Agustus'!$D$8:$BA$8,0)+1),0)</f>
        <v>2799000</v>
      </c>
      <c r="Q44" s="33">
        <f t="shared" si="3"/>
        <v>-400000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1</v>
      </c>
      <c r="AF44" s="33">
        <f t="shared" si="8"/>
        <v>-1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8999000</v>
      </c>
      <c r="AI44" s="33">
        <f t="shared" si="9"/>
        <v>-8999000</v>
      </c>
      <c r="AJ44" s="33">
        <f>IFERROR(INDEX('[1]SALES PERTYPE'!$D$10:$BA$52,MATCH($C44,'[1]SALES PERTYPE'!$B$10:$B$52,0),MATCH("Y31d Pro",'[1]SALES PERTYPE'!$D$8:$BA$8,0)),0)</f>
        <v>1</v>
      </c>
      <c r="AK44" s="33">
        <f>IFERROR(INDEX('[1]Sales per type Agustus'!$D$10:$BA$51,MATCH($C44,'[1]Sales per type Agustus'!$B$10:$B$51,0),MATCH("Y31d Pro",'[1]Sales per type Agustus'!$D$8:$BA$8,0)),0)</f>
        <v>2</v>
      </c>
      <c r="AL44" s="33">
        <f t="shared" si="10"/>
        <v>-1</v>
      </c>
      <c r="AM44" s="33" cm="1">
        <f t="array" ref="AM44">IFERROR(INDEX('[1]SALES PERTYPE'!$D$10:$BA$52,MATCH($C44,'[1]SALES PERTYPE'!$B$10:$B$52,0),MATCH("Y31d Pro",'[1]SALES PERTYPE'!$D$8:$BA$8,0)+1),0)</f>
        <v>4299000</v>
      </c>
      <c r="AN44" s="33" cm="1">
        <f t="array" ref="AN44">IFERROR(INDEX('[1]Sales per type Agustus'!$D$10:$BA$51,MATCH($C44,'[1]Sales per type Agustus'!$B$10:$B$51,0),MATCH("Y31d Pro",'[1]Sales per type Agustus'!$D$8:$BA$8,0)+1),0)</f>
        <v>9198000</v>
      </c>
      <c r="AO44" s="33">
        <f t="shared" si="11"/>
        <v>-4899000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1</v>
      </c>
      <c r="BC44" s="33">
        <f>IFERROR(INDEX('[1]Sales per type Agustus'!$D$10:$BA$51,MATCH($C44,'[1]Sales per type Agustus'!$B$10:$B$51,0),MATCH("V70 FE",'[1]Sales per type Agustus'!$D$8:$BA$8,0)),0)</f>
        <v>2</v>
      </c>
      <c r="BD44" s="33">
        <f t="shared" si="16"/>
        <v>-1</v>
      </c>
      <c r="BE44" s="33" cm="1">
        <f t="array" ref="BE44">IFERROR(INDEX('[1]SALES PERTYPE'!$D$10:$BA$52,MATCH($C44,'[1]SALES PERTYPE'!$B$10:$B$52,0),MATCH("V70 FE",'[1]SALES PERTYPE'!$D$8:$BA$8,0)+1),0)</f>
        <v>7999000</v>
      </c>
      <c r="BF44" s="33" cm="1">
        <f t="array" ref="BF44">IFERROR(INDEX('[1]Sales per type Agustus'!$D$10:$BA$51,MATCH($C44,'[1]Sales per type Agustus'!$B$10:$B$51,0),MATCH("V70 FE",'[1]Sales per type Agustus'!$D$8:$BA$8,0)+1),0)</f>
        <v>13998000</v>
      </c>
      <c r="BG44" s="33">
        <f t="shared" si="17"/>
        <v>-5999000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0</v>
      </c>
      <c r="BP44" s="33">
        <f t="shared" si="20"/>
        <v>0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0</v>
      </c>
      <c r="BS44" s="33">
        <f t="shared" si="21"/>
        <v>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0</v>
      </c>
      <c r="BV44" s="33">
        <f t="shared" si="22"/>
        <v>0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0</v>
      </c>
      <c r="BY44" s="33">
        <f t="shared" si="23"/>
        <v>0</v>
      </c>
      <c r="BZ44" s="33">
        <f>IFERROR(INDEX('[1]SALES PERTYPE'!$D$10:$BA$52,MATCH($C44,'[1]SALES PERTYPE'!$B$10:$B$52,0),MATCH("V60 Lite",'[1]SALES PERTYPE'!$D$8:$BA$8,0)),0)</f>
        <v>2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2</v>
      </c>
      <c r="CC44" s="33" cm="1">
        <f t="array" ref="CC44">IFERROR(INDEX('[1]SALES PERTYPE'!$D$10:$BA$52,MATCH($C44,'[1]SALES PERTYPE'!$B$10:$B$52,0),MATCH("V60 Lite",'[1]SALES PERTYPE'!$D$8:$BA$8,0)+1),0)</f>
        <v>11798000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11798000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1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1</v>
      </c>
      <c r="CU44" s="33" cm="1">
        <f t="array" ref="CU44">IFERROR(INDEX('[1]SALES PERTYPE'!$D$10:$BA$52,MATCH($C44,'[1]SALES PERTYPE'!$B$10:$B$52,0),MATCH("IQOO Z11x",'[1]SALES PERTYPE'!$D$8:$BA$8,0)+1),0)</f>
        <v>5699000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5699000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2</v>
      </c>
      <c r="CZ44" s="33">
        <f t="shared" si="32"/>
        <v>-2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15098000</v>
      </c>
      <c r="DC44" s="33">
        <f t="shared" si="33"/>
        <v>-15098000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9</v>
      </c>
      <c r="EC44" s="33">
        <f t="shared" si="42"/>
        <v>10</v>
      </c>
      <c r="ED44" s="33">
        <f t="shared" si="43"/>
        <v>-1</v>
      </c>
      <c r="EE44" s="33">
        <f t="shared" si="44"/>
        <v>39491000</v>
      </c>
      <c r="EF44" s="33">
        <f t="shared" si="44"/>
        <v>54690000</v>
      </c>
      <c r="EG44" s="33">
        <f t="shared" si="45"/>
        <v>-15199000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2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2</v>
      </c>
      <c r="I45" s="33" cm="1">
        <f t="array" ref="I45">IFERROR(INDEX('[1]SALES PERTYPE'!$D$10:$BA$52,MATCH($C45,'[1]SALES PERTYPE'!$B$10:$B$52,0),MATCH("Y05",'[1]SALES PERTYPE'!$D$8:$BA$8,0)+1),0)</f>
        <v>4898000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4898000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1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0</v>
      </c>
      <c r="AA45" s="33" cm="1">
        <f t="array" ref="AA45">IFERROR(INDEX('[1]SALES PERTYPE'!$D$10:$BA$52,MATCH($C45,'[1]SALES PERTYPE'!$B$10:$B$52,0),MATCH("Y05e",'[1]SALES PERTYPE'!$D$8:$BA$8,0)+1),0)</f>
        <v>2099000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0</v>
      </c>
      <c r="AD45" s="33">
        <f>IFERROR(INDEX('[1]SALES PERTYPE'!$D$10:$BA$52,MATCH($C45,'[1]SALES PERTYPE'!$B$10:$B$52,0),MATCH("V70",'[1]SALES PERTYPE'!$D$8:$BA$8,0)),0)</f>
        <v>2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2</v>
      </c>
      <c r="AG45" s="33" cm="1">
        <f t="array" ref="AG45">IFERROR(INDEX('[1]SALES PERTYPE'!$D$10:$BA$52,MATCH($C45,'[1]SALES PERTYPE'!$B$10:$B$52,0),MATCH("V70",'[1]SALES PERTYPE'!$D$8:$BA$8,0)+1),0)</f>
        <v>19998000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19998000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2</v>
      </c>
      <c r="AL45" s="33">
        <f t="shared" si="10"/>
        <v>-2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8198000</v>
      </c>
      <c r="AO45" s="33">
        <f t="shared" si="11"/>
        <v>-8198000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1</v>
      </c>
      <c r="AX45" s="33">
        <f t="shared" si="14"/>
        <v>-1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3599000</v>
      </c>
      <c r="BA45" s="33">
        <f t="shared" si="15"/>
        <v>-3599000</v>
      </c>
      <c r="BB45" s="33">
        <f>IFERROR(INDEX('[1]SALES PERTYPE'!$D$10:$BA$52,MATCH($C45,'[1]SALES PERTYPE'!$B$10:$B$52,0),MATCH("V70 FE",'[1]SALES PERTYPE'!$D$8:$BA$8,0)),0)</f>
        <v>1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1</v>
      </c>
      <c r="BE45" s="33" cm="1">
        <f t="array" ref="BE45">IFERROR(INDEX('[1]SALES PERTYPE'!$D$10:$BA$52,MATCH($C45,'[1]SALES PERTYPE'!$B$10:$B$52,0),MATCH("V70 FE",'[1]SALES PERTYPE'!$D$8:$BA$8,0)+1),0)</f>
        <v>6999000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6999000</v>
      </c>
      <c r="BH45" s="33">
        <f>IFERROR(INDEX('[1]SALES PERTYPE'!$D$10:$BA$52,MATCH($C45,'[1]SALES PERTYPE'!$B$10:$B$52,0),MATCH("Y31d",'[1]SALES PERTYPE'!$D$8:$BA$8,0)),0)</f>
        <v>1</v>
      </c>
      <c r="BI45" s="33">
        <f>IFERROR(INDEX('[1]Sales per type Agustus'!$D$10:$BA$51,MATCH($C45,'[1]Sales per type Agustus'!$B$10:$B$51,0),MATCH("Y31d",'[1]Sales per type Agustus'!$D$8:$BA$8,0)),0)</f>
        <v>2</v>
      </c>
      <c r="BJ45" s="33">
        <f t="shared" si="18"/>
        <v>-1</v>
      </c>
      <c r="BK45" s="33" cm="1">
        <f t="array" ref="BK45">IFERROR(INDEX('[1]SALES PERTYPE'!$D$10:$BA$52,MATCH($C45,'[1]SALES PERTYPE'!$B$10:$B$52,0),MATCH("Y31d",'[1]SALES PERTYPE'!$D$8:$BA$8,0)+1),0)</f>
        <v>3599000</v>
      </c>
      <c r="BL45" s="33" cm="1">
        <f t="array" ref="BL45">IFERROR(INDEX('[1]Sales per type Agustus'!$D$10:$BA$51,MATCH($C45,'[1]Sales per type Agustus'!$B$10:$B$51,0),MATCH("Y31d",'[1]Sales per type Agustus'!$D$8:$BA$8,0)+1),0)</f>
        <v>7198000</v>
      </c>
      <c r="BM45" s="33">
        <f t="shared" si="19"/>
        <v>-3599000</v>
      </c>
      <c r="BN45" s="33">
        <f>IFERROR(INDEX('[1]SALES PERTYPE'!$D$10:$BA$52,MATCH($C45,'[1]SALES PERTYPE'!$B$10:$B$52,0),MATCH("Y500",'[1]SALES PERTYPE'!$D$8:$BA$8,0)),0)</f>
        <v>1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1</v>
      </c>
      <c r="BQ45" s="33" cm="1">
        <f t="array" ref="BQ45">IFERROR(INDEX('[1]SALES PERTYPE'!$D$10:$BA$52,MATCH($C45,'[1]SALES PERTYPE'!$B$10:$B$52,0),MATCH("Y500",'[1]SALES PERTYPE'!$D$8:$BA$8,0)+1),0)</f>
        <v>6299000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6299000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8</v>
      </c>
      <c r="EC45" s="33">
        <f t="shared" si="42"/>
        <v>11</v>
      </c>
      <c r="ED45" s="33">
        <f t="shared" si="43"/>
        <v>-3</v>
      </c>
      <c r="EE45" s="33">
        <f t="shared" si="44"/>
        <v>43892000</v>
      </c>
      <c r="EF45" s="33">
        <f t="shared" si="44"/>
        <v>50089000</v>
      </c>
      <c r="EG45" s="33">
        <f t="shared" si="45"/>
        <v>-6197000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0</v>
      </c>
      <c r="M46" s="33">
        <f>IFERROR(INDEX('[1]Sales per type Agustus'!$D$10:$BA$51,MATCH($C46,'[1]Sales per type Agustus'!$B$10:$B$51,0),MATCH("Y11d",'[1]Sales per type Agustus'!$D$8:$BA$8,0)),0)</f>
        <v>2</v>
      </c>
      <c r="N46" s="33">
        <f t="shared" si="2"/>
        <v>-2</v>
      </c>
      <c r="O46" s="33" cm="1">
        <f t="array" ref="O46">IFERROR(INDEX('[1]SALES PERTYPE'!$D$10:$BA$52,MATCH($C46,'[1]SALES PERTYPE'!$B$10:$B$52,0),MATCH("Y11d",'[1]SALES PERTYPE'!$D$8:$BA$8,0)+1),0)</f>
        <v>0</v>
      </c>
      <c r="P46" s="33" cm="1">
        <f t="array" ref="P46">IFERROR(INDEX('[1]Sales per type Agustus'!$D$10:$BA$51,MATCH($C46,'[1]Sales per type Agustus'!$B$10:$B$51,0),MATCH("Y11d",'[1]Sales per type Agustus'!$D$8:$BA$8,0)+1),0)</f>
        <v>5198000</v>
      </c>
      <c r="Q46" s="33">
        <f t="shared" si="3"/>
        <v>-5198000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2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PERTYPE'!$D$10:$BA$52,MATCH($C46,'[1]SALES PERTYPE'!$B$10:$B$52,0),MATCH("V70",'[1]SALES PERTYPE'!$D$8:$BA$8,0)+1),0)</f>
        <v>19998000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9999000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1</v>
      </c>
      <c r="AL46" s="33">
        <f t="shared" si="10"/>
        <v>-1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3899000</v>
      </c>
      <c r="AO46" s="33">
        <f t="shared" si="11"/>
        <v>-3899000</v>
      </c>
      <c r="AP46" s="33" cm="1">
        <f t="array" ref="AP46">IFERROR(INDEX('[1]SALES PERTYPE'!$D$10:$BA$52,MATCH($C46,'[1]SALES PERTYPE'!$B$10:$B$52,0),$EI$3),0)</f>
        <v>2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2</v>
      </c>
      <c r="AS46" s="33" cm="1">
        <f t="array" ref="AS46">IFERROR(INDEX('[1]SALES PERTYPE'!$D$10:$BA$52,MATCH($C46,'[1]SALES PERTYPE'!$B$10:$B$52,0),$EI$3+1),0)</f>
        <v>7198000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7198000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4</v>
      </c>
      <c r="EC46" s="33">
        <f t="shared" si="42"/>
        <v>5</v>
      </c>
      <c r="ED46" s="33">
        <f t="shared" si="43"/>
        <v>-1</v>
      </c>
      <c r="EE46" s="33">
        <f t="shared" si="44"/>
        <v>27196000</v>
      </c>
      <c r="EF46" s="33">
        <f t="shared" si="44"/>
        <v>45095000</v>
      </c>
      <c r="EG46" s="33">
        <f t="shared" si="45"/>
        <v>-17899000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2</v>
      </c>
      <c r="M47" s="33">
        <f>IFERROR(INDEX('[1]Sales per type Agustus'!$D$10:$BA$51,MATCH($C47,'[1]Sales per type Agustus'!$B$10:$B$51,0),MATCH("Y11d",'[1]Sales per type Agustus'!$D$8:$BA$8,0)),0)</f>
        <v>1</v>
      </c>
      <c r="N47" s="33">
        <f t="shared" si="2"/>
        <v>1</v>
      </c>
      <c r="O47" s="33" cm="1">
        <f t="array" ref="O47">IFERROR(INDEX('[1]SALES PERTYPE'!$D$10:$BA$52,MATCH($C47,'[1]SALES PERTYPE'!$B$10:$B$52,0),MATCH("Y11d",'[1]SALES PERTYPE'!$D$8:$BA$8,0)+1),0)</f>
        <v>5198000</v>
      </c>
      <c r="P47" s="33" cm="1">
        <f t="array" ref="P47">IFERROR(INDEX('[1]Sales per type Agustus'!$D$10:$BA$51,MATCH($C47,'[1]Sales per type Agustus'!$B$10:$B$51,0),MATCH("Y11d",'[1]Sales per type Agustus'!$D$8:$BA$8,0)+1),0)</f>
        <v>2399000</v>
      </c>
      <c r="Q47" s="33">
        <f t="shared" si="3"/>
        <v>2799000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1</v>
      </c>
      <c r="Z47" s="33">
        <f t="shared" si="6"/>
        <v>-1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2099000</v>
      </c>
      <c r="AC47" s="33">
        <f t="shared" si="7"/>
        <v>-2099000</v>
      </c>
      <c r="AD47" s="33">
        <f>IFERROR(INDEX('[1]SALES PERTYPE'!$D$10:$BA$52,MATCH($C47,'[1]SALES PERTYPE'!$B$10:$B$52,0),MATCH("V70",'[1]SALES PERTYPE'!$D$8:$BA$8,0)),0)</f>
        <v>1</v>
      </c>
      <c r="AE47" s="33">
        <f>IFERROR(INDEX('[1]Sales per type Agustus'!$D$10:$BA$51,MATCH($C47,'[1]Sales per type Agustus'!$B$10:$B$51,0),MATCH("V70",'[1]Sales per type Agustus'!$D$8:$BA$8,0)),0)</f>
        <v>2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9999000</v>
      </c>
      <c r="AH47" s="33" cm="1">
        <f t="array" ref="AH47">IFERROR(INDEX('[1]Sales per type Agustus'!$D$10:$BA$51,MATCH($C47,'[1]Sales per type Agustus'!$B$10:$B$51,0),MATCH("V70",'[1]Sales per type Agustus'!$D$8:$BA$8,0)+1),0)</f>
        <v>19998000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3</v>
      </c>
      <c r="AK47" s="33">
        <f>IFERROR(INDEX('[1]Sales per type Agustus'!$D$10:$BA$51,MATCH($C47,'[1]Sales per type Agustus'!$B$10:$B$51,0),MATCH("Y31d Pro",'[1]Sales per type Agustus'!$D$8:$BA$8,0)),0)</f>
        <v>0</v>
      </c>
      <c r="AL47" s="33">
        <f t="shared" si="10"/>
        <v>3</v>
      </c>
      <c r="AM47" s="33" cm="1">
        <f t="array" ref="AM47">IFERROR(INDEX('[1]SALES PERTYPE'!$D$10:$BA$52,MATCH($C47,'[1]SALES PERTYPE'!$B$10:$B$52,0),MATCH("Y31d Pro",'[1]SALES PERTYPE'!$D$8:$BA$8,0)+1),0)</f>
        <v>13697000</v>
      </c>
      <c r="AN47" s="33" cm="1">
        <f t="array" ref="AN47">IFERROR(INDEX('[1]Sales per type Agustus'!$D$10:$BA$51,MATCH($C47,'[1]Sales per type Agustus'!$B$10:$B$51,0),MATCH("Y31d Pro",'[1]Sales per type Agustus'!$D$8:$BA$8,0)+1),0)</f>
        <v>0</v>
      </c>
      <c r="AO47" s="33">
        <f t="shared" si="11"/>
        <v>13697000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2</v>
      </c>
      <c r="BC47" s="33">
        <f>IFERROR(INDEX('[1]Sales per type Agustus'!$D$10:$BA$51,MATCH($C47,'[1]Sales per type Agustus'!$B$10:$B$51,0),MATCH("V70 FE",'[1]Sales per type Agustus'!$D$8:$BA$8,0)),0)</f>
        <v>2</v>
      </c>
      <c r="BD47" s="33">
        <f t="shared" si="16"/>
        <v>0</v>
      </c>
      <c r="BE47" s="33" cm="1">
        <f t="array" ref="BE47">IFERROR(INDEX('[1]SALES PERTYPE'!$D$10:$BA$52,MATCH($C47,'[1]SALES PERTYPE'!$B$10:$B$52,0),MATCH("V70 FE",'[1]SALES PERTYPE'!$D$8:$BA$8,0)+1),0)</f>
        <v>14998000</v>
      </c>
      <c r="BF47" s="33" cm="1">
        <f t="array" ref="BF47">IFERROR(INDEX('[1]Sales per type Agustus'!$D$10:$BA$51,MATCH($C47,'[1]Sales per type Agustus'!$B$10:$B$51,0),MATCH("V70 FE",'[1]Sales per type Agustus'!$D$8:$BA$8,0)+1),0)</f>
        <v>12998000</v>
      </c>
      <c r="BG47" s="33">
        <f t="shared" si="17"/>
        <v>2000000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2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PERTYPE'!$D$10:$BA$52,MATCH($C47,'[1]SALES PERTYPE'!$B$10:$B$52,0),MATCH("IQOO 15R",'[1]SALES PERTYPE'!$D$8:$BA$8,0)+1),0)</f>
        <v>23998000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23998000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1</v>
      </c>
      <c r="CB47" s="33">
        <f t="shared" si="24"/>
        <v>-1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5299000</v>
      </c>
      <c r="CE47" s="33">
        <f t="shared" si="25"/>
        <v>-5299000</v>
      </c>
      <c r="CF47" s="33">
        <f>IFERROR(INDEX('[1]SALES PERTYPE'!$D$10:$BA$52,MATCH($C47,'[1]SALES PERTYPE'!$B$10:$B$52,0),MATCH("X300 Ultra",'[1]SALES PERTYPE'!$D$8:$BA$8,0)),0)</f>
        <v>2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PERTYPE'!$D$10:$BA$52,MATCH($C47,'[1]SALES PERTYPE'!$B$10:$B$52,0),MATCH("X300 Ultra",'[1]SALES PERTYPE'!$D$8:$BA$8,0)+1),0)</f>
        <v>51998000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2</v>
      </c>
      <c r="CT47" s="33">
        <f t="shared" si="30"/>
        <v>-2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11398000</v>
      </c>
      <c r="CW47" s="33">
        <f t="shared" si="31"/>
        <v>-11398000</v>
      </c>
      <c r="CX47" s="33">
        <f>IFERROR(INDEX('[1]SALES PERTYPE'!$D$10:$BA$52,MATCH($C47,'[1]SALES PERTYPE'!$B$10:$B$52,0),MATCH("IQOO Z11",'[1]SALES PERTYPE'!$D$8:$BA$8,0)),0)</f>
        <v>3</v>
      </c>
      <c r="CY47" s="33">
        <f>IFERROR(INDEX('[1]Sales per type Agustus'!$D$10:$BA$51,MATCH($C47,'[1]Sales per type Agustus'!$B$10:$B$51,0),MATCH("IQOO Z11",'[1]Sales per type Agustus'!$D$8:$BA$8,0)),0)</f>
        <v>3</v>
      </c>
      <c r="CZ47" s="33">
        <f t="shared" si="32"/>
        <v>0</v>
      </c>
      <c r="DA47" s="33" cm="1">
        <f t="array" ref="DA47">IFERROR(INDEX('[1]SALES PERTYPE'!$D$10:$BA$52,MATCH($C47,'[1]SALES PERTYPE'!$B$10:$B$52,0),MATCH("IQOO Z11",'[1]SALES PERTYPE'!$D$8:$BA$8,0)+1),0)</f>
        <v>23697000</v>
      </c>
      <c r="DB47" s="33" cm="1">
        <f t="array" ref="DB47">IFERROR(INDEX('[1]Sales per type Agustus'!$D$10:$BA$51,MATCH($C47,'[1]Sales per type Agustus'!$B$10:$B$51,0),MATCH("IQOO Z11",'[1]Sales per type Agustus'!$D$8:$BA$8,0)+1),0)</f>
        <v>20697000</v>
      </c>
      <c r="DC47" s="33">
        <f t="shared" si="33"/>
        <v>3000000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15</v>
      </c>
      <c r="EC47" s="33">
        <f t="shared" si="42"/>
        <v>13</v>
      </c>
      <c r="ED47" s="33">
        <f t="shared" si="43"/>
        <v>2</v>
      </c>
      <c r="EE47" s="33">
        <f t="shared" si="44"/>
        <v>143585000</v>
      </c>
      <c r="EF47" s="33">
        <f t="shared" si="44"/>
        <v>100887000</v>
      </c>
      <c r="EG47" s="33">
        <f t="shared" si="45"/>
        <v>42698000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176</v>
      </c>
      <c r="G48" s="35">
        <f>SUM(G5:G47)</f>
        <v>162</v>
      </c>
      <c r="H48" s="35">
        <f t="shared" si="0"/>
        <v>14</v>
      </c>
      <c r="I48" s="35">
        <f>SUM(I5:I47)</f>
        <v>430724000</v>
      </c>
      <c r="J48" s="35">
        <f>SUM(J5:J47)</f>
        <v>394338000</v>
      </c>
      <c r="K48" s="35">
        <f t="shared" si="1"/>
        <v>36386000</v>
      </c>
      <c r="L48" s="35">
        <f>SUM(L5:L47)</f>
        <v>201</v>
      </c>
      <c r="M48" s="35">
        <f>SUM(M5:M47)</f>
        <v>225</v>
      </c>
      <c r="N48" s="35">
        <f t="shared" si="2"/>
        <v>-24</v>
      </c>
      <c r="O48" s="35">
        <f>SUM(O5:O47)</f>
        <v>533799000</v>
      </c>
      <c r="P48" s="35">
        <f>SUM(P5:P47)</f>
        <v>595775000</v>
      </c>
      <c r="Q48" s="35">
        <f t="shared" si="3"/>
        <v>-61976000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128</v>
      </c>
      <c r="Y48" s="35">
        <f>SUM(Y5:Y47)</f>
        <v>218</v>
      </c>
      <c r="Z48" s="35">
        <f t="shared" si="6"/>
        <v>-90</v>
      </c>
      <c r="AA48" s="35">
        <f>SUM(AA5:AA47)</f>
        <v>268672000</v>
      </c>
      <c r="AB48" s="35">
        <f>SUM(AB5:AB47)</f>
        <v>457582000</v>
      </c>
      <c r="AC48" s="35">
        <f t="shared" si="7"/>
        <v>-188910000</v>
      </c>
      <c r="AD48" s="35">
        <f>SUM(AD5:AD47)</f>
        <v>41</v>
      </c>
      <c r="AE48" s="35">
        <f>SUM(AE5:AE47)</f>
        <v>26</v>
      </c>
      <c r="AF48" s="35">
        <f t="shared" si="8"/>
        <v>15</v>
      </c>
      <c r="AG48" s="35">
        <f>SUM(AG5:AG47)</f>
        <v>409959000</v>
      </c>
      <c r="AH48" s="35">
        <f>SUM(AH5:AH47)</f>
        <v>257974000</v>
      </c>
      <c r="AI48" s="35">
        <f t="shared" si="9"/>
        <v>151985000</v>
      </c>
      <c r="AJ48" s="35">
        <f>SUM(AJ5:AJ47)</f>
        <v>105</v>
      </c>
      <c r="AK48" s="35">
        <f>SUM(AK5:AK47)</f>
        <v>141</v>
      </c>
      <c r="AL48" s="35">
        <f t="shared" si="10"/>
        <v>-36</v>
      </c>
      <c r="AM48" s="35">
        <f>SUM(AM5:AM47)</f>
        <v>463595000</v>
      </c>
      <c r="AN48" s="35">
        <f>SUM(AN5:AN47)</f>
        <v>621159000</v>
      </c>
      <c r="AO48" s="35">
        <f t="shared" si="11"/>
        <v>-157564000</v>
      </c>
      <c r="AP48" s="35">
        <f>SUM(AP5:AP47)</f>
        <v>6</v>
      </c>
      <c r="AQ48" s="35">
        <f>SUM(AQ5:AQ47)</f>
        <v>5</v>
      </c>
      <c r="AR48" s="35">
        <f t="shared" si="12"/>
        <v>1</v>
      </c>
      <c r="AS48" s="35">
        <f>SUM(AS5:AS47)</f>
        <v>21594000</v>
      </c>
      <c r="AT48" s="35">
        <f>SUM(AT5:AT47)</f>
        <v>17995000</v>
      </c>
      <c r="AU48" s="35">
        <f t="shared" si="13"/>
        <v>3599000</v>
      </c>
      <c r="AV48" s="35">
        <f>SUM(AV5:AV47)</f>
        <v>21</v>
      </c>
      <c r="AW48" s="35">
        <f>SUM(AW5:AW47)</f>
        <v>12</v>
      </c>
      <c r="AX48" s="35">
        <f t="shared" si="14"/>
        <v>9</v>
      </c>
      <c r="AY48" s="35">
        <f>SUM(AY5:AY47)</f>
        <v>75579000</v>
      </c>
      <c r="AZ48" s="35">
        <f>SUM(AZ5:AZ47)</f>
        <v>43188000</v>
      </c>
      <c r="BA48" s="35">
        <f t="shared" si="15"/>
        <v>32391000</v>
      </c>
      <c r="BB48" s="35">
        <f>SUM(BB5:BB47)</f>
        <v>20</v>
      </c>
      <c r="BC48" s="35">
        <f>SUM(BC5:BC47)</f>
        <v>37</v>
      </c>
      <c r="BD48" s="35">
        <f t="shared" si="16"/>
        <v>-17</v>
      </c>
      <c r="BE48" s="35">
        <f>SUM(BE5:BE47)</f>
        <v>157980000</v>
      </c>
      <c r="BF48" s="35">
        <f>SUM(BF5:BF47)</f>
        <v>267163000</v>
      </c>
      <c r="BG48" s="35">
        <f t="shared" si="17"/>
        <v>-109183000</v>
      </c>
      <c r="BH48" s="35">
        <f>SUM(BH5:BH47)</f>
        <v>26</v>
      </c>
      <c r="BI48" s="35">
        <f>SUM(BI5:BI47)</f>
        <v>7</v>
      </c>
      <c r="BJ48" s="35">
        <f t="shared" si="18"/>
        <v>19</v>
      </c>
      <c r="BK48" s="35">
        <f>SUM(BK5:BK47)</f>
        <v>93574000</v>
      </c>
      <c r="BL48" s="35">
        <f>SUM(BL5:BL47)</f>
        <v>25193000</v>
      </c>
      <c r="BM48" s="35">
        <f t="shared" si="19"/>
        <v>68381000</v>
      </c>
      <c r="BN48" s="35">
        <f>SUM(BN5:BN47)</f>
        <v>20</v>
      </c>
      <c r="BO48" s="35">
        <f>SUM(BO5:BO47)</f>
        <v>33</v>
      </c>
      <c r="BP48" s="35">
        <f t="shared" si="20"/>
        <v>-13</v>
      </c>
      <c r="BQ48" s="35">
        <f>SUM(BQ5:BQ47)</f>
        <v>116380000</v>
      </c>
      <c r="BR48" s="35">
        <f>SUM(BR5:BR47)</f>
        <v>191867000</v>
      </c>
      <c r="BS48" s="35">
        <f t="shared" si="21"/>
        <v>-75487000</v>
      </c>
      <c r="BT48" s="35">
        <f>SUM(BT5:BT47)</f>
        <v>4</v>
      </c>
      <c r="BU48" s="35">
        <f>SUM(BU5:BU47)</f>
        <v>5</v>
      </c>
      <c r="BV48" s="35">
        <f t="shared" si="22"/>
        <v>-1</v>
      </c>
      <c r="BW48" s="35">
        <f>SUM(BW5:BW47)</f>
        <v>47996000</v>
      </c>
      <c r="BX48" s="35">
        <f>SUM(BX5:BX47)</f>
        <v>59995000</v>
      </c>
      <c r="BY48" s="35">
        <f t="shared" si="23"/>
        <v>-11999000</v>
      </c>
      <c r="BZ48" s="35">
        <f>SUM(BZ5:BZ47)</f>
        <v>50</v>
      </c>
      <c r="CA48" s="35">
        <f>SUM(CA5:CA47)</f>
        <v>32</v>
      </c>
      <c r="CB48" s="35">
        <f t="shared" si="24"/>
        <v>18</v>
      </c>
      <c r="CC48" s="35">
        <f>SUM(CC5:CC47)</f>
        <v>295550000</v>
      </c>
      <c r="CD48" s="35">
        <f>SUM(CD5:CD47)</f>
        <v>180168000</v>
      </c>
      <c r="CE48" s="35">
        <f t="shared" si="25"/>
        <v>115382000</v>
      </c>
      <c r="CF48" s="35">
        <f>SUM(CF5:CF47)</f>
        <v>6</v>
      </c>
      <c r="CG48" s="35">
        <f>SUM(CG5:CG47)</f>
        <v>10</v>
      </c>
      <c r="CH48" s="35">
        <f t="shared" si="26"/>
        <v>-4</v>
      </c>
      <c r="CI48" s="35">
        <f>SUM(CI5:CI47)</f>
        <v>155994000</v>
      </c>
      <c r="CJ48" s="35">
        <f>SUM(CJ5:CJ47)</f>
        <v>267990000</v>
      </c>
      <c r="CK48" s="35">
        <f t="shared" si="27"/>
        <v>-111996000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5</v>
      </c>
      <c r="CS48" s="35">
        <f>SUM(CS5:CS47)</f>
        <v>12</v>
      </c>
      <c r="CT48" s="35">
        <f t="shared" si="30"/>
        <v>-7</v>
      </c>
      <c r="CU48" s="35">
        <f>SUM(CU5:CU47)</f>
        <v>28495000</v>
      </c>
      <c r="CV48" s="35">
        <f>SUM(CV5:CV47)</f>
        <v>68188000</v>
      </c>
      <c r="CW48" s="35">
        <f t="shared" si="31"/>
        <v>-39693000</v>
      </c>
      <c r="CX48" s="35">
        <f>SUM(CX5:CX47)</f>
        <v>24</v>
      </c>
      <c r="CY48" s="35">
        <f>SUM(CY5:CY47)</f>
        <v>27</v>
      </c>
      <c r="CZ48" s="35">
        <f t="shared" si="32"/>
        <v>-3</v>
      </c>
      <c r="DA48" s="35">
        <f>SUM(DA5:DA47)</f>
        <v>173076000</v>
      </c>
      <c r="DB48" s="35">
        <f>SUM(DB5:DB47)</f>
        <v>196673000</v>
      </c>
      <c r="DC48" s="35">
        <f t="shared" si="33"/>
        <v>-23597000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833</v>
      </c>
      <c r="EC48" s="35">
        <f>SUM(EC5:EC47)</f>
        <v>954</v>
      </c>
      <c r="ED48" s="35">
        <f t="shared" si="43"/>
        <v>-121</v>
      </c>
      <c r="EE48" s="35">
        <f>SUM(EE5:EE47)</f>
        <v>3272967000</v>
      </c>
      <c r="EF48" s="35">
        <f>SUM(EF5:EF47)</f>
        <v>3663046000</v>
      </c>
      <c r="EG48" s="35">
        <f t="shared" si="45"/>
        <v>-390079000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297" t="s">
        <v>37</v>
      </c>
      <c r="B1" s="297"/>
      <c r="C1" s="297"/>
      <c r="D1" s="61" t="s">
        <v>2</v>
      </c>
      <c r="E1" s="62" t="s">
        <v>1</v>
      </c>
      <c r="F1" s="63" t="s">
        <v>3</v>
      </c>
      <c r="G1" s="298" t="s">
        <v>24</v>
      </c>
      <c r="H1" s="298"/>
      <c r="I1" s="298"/>
      <c r="J1" s="298"/>
      <c r="K1" s="298"/>
      <c r="L1" s="305" t="s">
        <v>23</v>
      </c>
      <c r="M1" s="306" t="s">
        <v>21</v>
      </c>
      <c r="N1" s="307" t="s">
        <v>105</v>
      </c>
      <c r="O1" s="308" t="s">
        <v>106</v>
      </c>
      <c r="P1" s="308"/>
      <c r="Q1" s="308"/>
      <c r="R1" s="308"/>
      <c r="S1" s="309" t="s">
        <v>107</v>
      </c>
      <c r="T1" s="309"/>
      <c r="U1" s="309"/>
      <c r="V1" s="309"/>
      <c r="W1"/>
      <c r="X1"/>
      <c r="Y1"/>
    </row>
    <row r="2" spans="1:33" ht="17" thickBot="1" x14ac:dyDescent="0.25">
      <c r="A2" s="297"/>
      <c r="B2" s="297"/>
      <c r="C2" s="297"/>
      <c r="D2" s="65">
        <v>8</v>
      </c>
      <c r="E2" s="66">
        <v>30</v>
      </c>
      <c r="F2" s="67">
        <f>D2/E2</f>
        <v>0.26666666666666666</v>
      </c>
      <c r="G2" s="298"/>
      <c r="H2" s="298"/>
      <c r="I2" s="298"/>
      <c r="J2" s="298"/>
      <c r="K2" s="298"/>
      <c r="L2" s="305"/>
      <c r="M2" s="306"/>
      <c r="N2" s="307"/>
      <c r="O2" s="308"/>
      <c r="P2" s="308"/>
      <c r="Q2" s="308"/>
      <c r="R2" s="308"/>
      <c r="S2" s="309"/>
      <c r="T2" s="309"/>
      <c r="U2" s="309"/>
      <c r="V2" s="309"/>
      <c r="W2"/>
      <c r="X2"/>
      <c r="Y2"/>
    </row>
    <row r="3" spans="1:33" s="68" customFormat="1" ht="18" customHeight="1" x14ac:dyDescent="0.2">
      <c r="A3" s="318" t="s">
        <v>17</v>
      </c>
      <c r="B3" s="320" t="s">
        <v>18</v>
      </c>
      <c r="C3" s="322" t="s">
        <v>108</v>
      </c>
      <c r="D3" s="323" t="s">
        <v>20</v>
      </c>
      <c r="E3" s="314" t="s">
        <v>109</v>
      </c>
      <c r="F3" s="314" t="s">
        <v>110</v>
      </c>
      <c r="G3" s="324" t="s">
        <v>333</v>
      </c>
      <c r="H3" s="324" t="s">
        <v>334</v>
      </c>
      <c r="I3" s="324" t="s">
        <v>28</v>
      </c>
      <c r="J3" s="324" t="s">
        <v>111</v>
      </c>
      <c r="K3" s="324" t="s">
        <v>25</v>
      </c>
      <c r="L3" s="326" t="s">
        <v>27</v>
      </c>
      <c r="M3" s="326" t="s">
        <v>27</v>
      </c>
      <c r="N3" s="328" t="s">
        <v>112</v>
      </c>
      <c r="O3" s="310" t="s">
        <v>113</v>
      </c>
      <c r="P3" s="310"/>
      <c r="Q3" s="310" t="s">
        <v>33</v>
      </c>
      <c r="R3" s="310"/>
      <c r="S3" s="311" t="s">
        <v>113</v>
      </c>
      <c r="T3" s="311"/>
      <c r="U3" s="311" t="s">
        <v>33</v>
      </c>
      <c r="V3" s="311"/>
      <c r="W3"/>
      <c r="X3"/>
      <c r="Y3"/>
    </row>
    <row r="4" spans="1:33" s="68" customFormat="1" ht="37" customHeight="1" thickBot="1" x14ac:dyDescent="0.25">
      <c r="A4" s="319"/>
      <c r="B4" s="321"/>
      <c r="C4" s="316"/>
      <c r="D4" s="323"/>
      <c r="E4" s="315"/>
      <c r="F4" s="316"/>
      <c r="G4" s="325"/>
      <c r="H4" s="325"/>
      <c r="I4" s="325"/>
      <c r="J4" s="325"/>
      <c r="K4" s="325"/>
      <c r="L4" s="327"/>
      <c r="M4" s="327"/>
      <c r="N4" s="329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29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23693000</v>
      </c>
      <c r="I5" s="75">
        <f>IFERROR(H5/G5,0)</f>
        <v>0.13937058823529411</v>
      </c>
      <c r="J5" s="73">
        <f>IFERROR(H5/$D$2*$E$2,0)</f>
        <v>88848750</v>
      </c>
      <c r="K5" s="76">
        <f>IFERROR(H5/M5,0)</f>
        <v>3384714.2857142859</v>
      </c>
      <c r="L5" s="77">
        <f>SUMIF('[1]SALES BY PROMOTOR'!$D:$D,$F5,'[1]SALES BY PROMOTOR'!$G:$G)</f>
        <v>3</v>
      </c>
      <c r="M5" s="77">
        <f>SUMIF('[1]SALES BY PROMOTOR'!$D:$D,$F5,'[1]SALES BY PROMOTOR'!$I:$I)</f>
        <v>7</v>
      </c>
      <c r="N5" s="75">
        <f>IFERROR(L5/M5,0)</f>
        <v>0.42857142857142855</v>
      </c>
      <c r="O5" s="78">
        <f>IFERROR(VLOOKUP($F5,'[1]Sales By Promotor Last Month'!D:G,4,0),0)</f>
        <v>14</v>
      </c>
      <c r="P5" s="78">
        <f>+L5</f>
        <v>3</v>
      </c>
      <c r="Q5" s="79">
        <f>P5-O5</f>
        <v>-11</v>
      </c>
      <c r="R5" s="80">
        <f>IFERROR(Q5/O5,0)</f>
        <v>-0.7857142857142857</v>
      </c>
      <c r="S5" s="78">
        <f>IFERROR(VLOOKUP($F5,'[1]Sales By Promotor Last Month'!D:I,6,0),0)</f>
        <v>42</v>
      </c>
      <c r="T5" s="78">
        <f>+M5</f>
        <v>7</v>
      </c>
      <c r="U5" s="79">
        <f>T5-S5</f>
        <v>-35</v>
      </c>
      <c r="V5" s="80">
        <f>IFERROR(U5/S5,0)</f>
        <v>-0.83333333333333337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299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44586000</v>
      </c>
      <c r="I6" s="75">
        <f t="shared" ref="I6:I71" si="0">IFERROR(H6/G6,0)</f>
        <v>0.26227058823529414</v>
      </c>
      <c r="J6" s="73">
        <f t="shared" ref="J6:J71" si="1">IFERROR(H6/$D$2*$E$2,0)</f>
        <v>167197500</v>
      </c>
      <c r="K6" s="76">
        <f t="shared" ref="K6:K71" si="2">IFERROR(H6/M6,0)</f>
        <v>3184714.2857142859</v>
      </c>
      <c r="L6" s="77">
        <f>SUMIF('[1]SALES BY PROMOTOR'!$D:$D,$F6,'[1]SALES BY PROMOTOR'!$G:$G)</f>
        <v>2</v>
      </c>
      <c r="M6" s="77">
        <f>SUMIF('[1]SALES BY PROMOTOR'!$D:$D,$F6,'[1]SALES BY PROMOTOR'!$I:$I)</f>
        <v>14</v>
      </c>
      <c r="N6" s="75">
        <f t="shared" ref="N6:N71" si="3">IFERROR(L6/M6,0)</f>
        <v>0.14285714285714285</v>
      </c>
      <c r="O6" s="78">
        <f>IFERROR(VLOOKUP($F6,'[1]Sales By Promotor Last Month'!D:G,4,0),0)</f>
        <v>17</v>
      </c>
      <c r="P6" s="78">
        <f t="shared" ref="P6:P71" si="4">+L6</f>
        <v>2</v>
      </c>
      <c r="Q6" s="79">
        <f t="shared" ref="Q6:Q71" si="5">P6-O6</f>
        <v>-15</v>
      </c>
      <c r="R6" s="80">
        <f t="shared" ref="R6:R71" si="6">IFERROR(Q6/O6,0)</f>
        <v>-0.88235294117647056</v>
      </c>
      <c r="S6" s="78">
        <f>IFERROR(VLOOKUP($F6,'[1]Sales By Promotor Last Month'!D:I,6,0),0)</f>
        <v>42</v>
      </c>
      <c r="T6" s="78">
        <f t="shared" ref="T6:T71" si="7">+M6</f>
        <v>14</v>
      </c>
      <c r="U6" s="79">
        <f t="shared" ref="U6:U71" si="8">T6-S6</f>
        <v>-28</v>
      </c>
      <c r="V6" s="80">
        <f t="shared" ref="V6:V71" si="9">IFERROR(U6/S6,0)</f>
        <v>-0.66666666666666663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299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31689000</v>
      </c>
      <c r="I7" s="75">
        <f t="shared" si="0"/>
        <v>0.18640588235294117</v>
      </c>
      <c r="J7" s="73">
        <f t="shared" si="1"/>
        <v>118833750</v>
      </c>
      <c r="K7" s="76">
        <f t="shared" si="2"/>
        <v>2880818.1818181816</v>
      </c>
      <c r="L7" s="77">
        <f>SUMIF('[1]SALES BY PROMOTOR'!$D:$D,$F7,'[1]SALES BY PROMOTOR'!$G:$G)</f>
        <v>2</v>
      </c>
      <c r="M7" s="77">
        <f>SUMIF('[1]SALES BY PROMOTOR'!$D:$D,$F7,'[1]SALES BY PROMOTOR'!$I:$I)</f>
        <v>11</v>
      </c>
      <c r="N7" s="75">
        <f t="shared" si="3"/>
        <v>0.18181818181818182</v>
      </c>
      <c r="O7" s="78">
        <f>IFERROR(VLOOKUP($F7,'[1]Sales By Promotor Last Month'!D:G,4,0),0)</f>
        <v>18</v>
      </c>
      <c r="P7" s="78">
        <f t="shared" si="4"/>
        <v>2</v>
      </c>
      <c r="Q7" s="79">
        <f t="shared" si="5"/>
        <v>-16</v>
      </c>
      <c r="R7" s="80">
        <f t="shared" si="6"/>
        <v>-0.88888888888888884</v>
      </c>
      <c r="S7" s="78">
        <f>IFERROR(VLOOKUP($F7,'[1]Sales By Promotor Last Month'!D:I,6,0),0)</f>
        <v>42</v>
      </c>
      <c r="T7" s="78">
        <f t="shared" si="7"/>
        <v>11</v>
      </c>
      <c r="U7" s="79">
        <f t="shared" si="8"/>
        <v>-31</v>
      </c>
      <c r="V7" s="80">
        <f t="shared" si="9"/>
        <v>-0.73809523809523814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299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23792000</v>
      </c>
      <c r="I8" s="75">
        <f t="shared" si="0"/>
        <v>0.13995294117647059</v>
      </c>
      <c r="J8" s="73">
        <f t="shared" si="1"/>
        <v>89220000</v>
      </c>
      <c r="K8" s="76">
        <f t="shared" si="2"/>
        <v>2974000</v>
      </c>
      <c r="L8" s="77">
        <f>SUMIF('[1]SALES BY PROMOTOR'!$D:$D,$F8,'[1]SALES BY PROMOTOR'!$G:$G)</f>
        <v>2</v>
      </c>
      <c r="M8" s="77">
        <f>SUMIF('[1]SALES BY PROMOTOR'!$D:$D,$F8,'[1]SALES BY PROMOTOR'!$I:$I)</f>
        <v>8</v>
      </c>
      <c r="N8" s="75">
        <f t="shared" si="3"/>
        <v>0.25</v>
      </c>
      <c r="O8" s="78">
        <f>IFERROR(VLOOKUP($F8,'[1]Sales By Promotor Last Month'!D:G,4,0),0)</f>
        <v>19</v>
      </c>
      <c r="P8" s="78">
        <f t="shared" si="4"/>
        <v>2</v>
      </c>
      <c r="Q8" s="79">
        <f t="shared" si="5"/>
        <v>-17</v>
      </c>
      <c r="R8" s="80">
        <f t="shared" si="6"/>
        <v>-0.89473684210526316</v>
      </c>
      <c r="S8" s="78">
        <f>IFERROR(VLOOKUP($F8,'[1]Sales By Promotor Last Month'!D:I,6,0),0)</f>
        <v>41</v>
      </c>
      <c r="T8" s="78">
        <f t="shared" si="7"/>
        <v>8</v>
      </c>
      <c r="U8" s="79">
        <f t="shared" si="8"/>
        <v>-33</v>
      </c>
      <c r="V8" s="80">
        <f t="shared" si="9"/>
        <v>-0.80487804878048785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299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38686000</v>
      </c>
      <c r="I9" s="75">
        <f t="shared" si="0"/>
        <v>0.22756470588235295</v>
      </c>
      <c r="J9" s="73">
        <f t="shared" si="1"/>
        <v>145072500</v>
      </c>
      <c r="K9" s="76">
        <f t="shared" si="2"/>
        <v>2763285.7142857141</v>
      </c>
      <c r="L9" s="77">
        <f>SUMIF('[1]SALES BY PROMOTOR'!$D:$D,$F9,'[1]SALES BY PROMOTOR'!$G:$G)</f>
        <v>3</v>
      </c>
      <c r="M9" s="77">
        <f>SUMIF('[1]SALES BY PROMOTOR'!$D:$D,$F9,'[1]SALES BY PROMOTOR'!$I:$I)</f>
        <v>14</v>
      </c>
      <c r="N9" s="75">
        <f t="shared" si="3"/>
        <v>0.21428571428571427</v>
      </c>
      <c r="O9" s="78">
        <f>IFERROR(VLOOKUP($F9,'[1]Sales By Promotor Last Month'!D:G,4,0),0)</f>
        <v>10</v>
      </c>
      <c r="P9" s="78">
        <f t="shared" si="4"/>
        <v>3</v>
      </c>
      <c r="Q9" s="79">
        <f t="shared" si="5"/>
        <v>-7</v>
      </c>
      <c r="R9" s="80">
        <f t="shared" si="6"/>
        <v>-0.7</v>
      </c>
      <c r="S9" s="78">
        <f>IFERROR(VLOOKUP($F9,'[1]Sales By Promotor Last Month'!D:I,6,0),0)</f>
        <v>49</v>
      </c>
      <c r="T9" s="78">
        <f t="shared" si="7"/>
        <v>14</v>
      </c>
      <c r="U9" s="79">
        <f t="shared" si="8"/>
        <v>-35</v>
      </c>
      <c r="V9" s="80">
        <f t="shared" si="9"/>
        <v>-0.7142857142857143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0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48591000</v>
      </c>
      <c r="I10" s="75">
        <f t="shared" si="0"/>
        <v>0.28582941176470589</v>
      </c>
      <c r="J10" s="73">
        <f t="shared" si="1"/>
        <v>182216250</v>
      </c>
      <c r="K10" s="76">
        <f t="shared" si="2"/>
        <v>5399000</v>
      </c>
      <c r="L10" s="77">
        <f>SUMIF('[1]SALES BY PROMOTOR'!$D:$D,$F10,'[1]SALES BY PROMOTOR'!$G:$G)</f>
        <v>7</v>
      </c>
      <c r="M10" s="77">
        <f>SUMIF('[1]SALES BY PROMOTOR'!$D:$D,$F10,'[1]SALES BY PROMOTOR'!$I:$I)</f>
        <v>9</v>
      </c>
      <c r="N10" s="75">
        <f t="shared" si="3"/>
        <v>0.77777777777777779</v>
      </c>
      <c r="O10" s="78">
        <f>IFERROR(VLOOKUP($F10,'[1]Sales By Promotor Last Month'!D:G,4,0),0)</f>
        <v>33</v>
      </c>
      <c r="P10" s="78">
        <f t="shared" si="4"/>
        <v>7</v>
      </c>
      <c r="Q10" s="79">
        <f t="shared" si="5"/>
        <v>-26</v>
      </c>
      <c r="R10" s="80">
        <f t="shared" si="6"/>
        <v>-0.78787878787878785</v>
      </c>
      <c r="S10" s="78">
        <f>IFERROR(VLOOKUP($F10,'[1]Sales By Promotor Last Month'!D:I,6,0),0)</f>
        <v>54</v>
      </c>
      <c r="T10" s="78">
        <f t="shared" si="7"/>
        <v>9</v>
      </c>
      <c r="U10" s="79">
        <f t="shared" si="8"/>
        <v>-45</v>
      </c>
      <c r="V10" s="80">
        <f t="shared" si="9"/>
        <v>-0.83333333333333337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29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62185000</v>
      </c>
      <c r="I11" s="75">
        <f t="shared" si="0"/>
        <v>0.36579411764705883</v>
      </c>
      <c r="J11" s="73">
        <f t="shared" si="1"/>
        <v>233193750</v>
      </c>
      <c r="K11" s="76">
        <f t="shared" si="2"/>
        <v>4145666.6666666665</v>
      </c>
      <c r="L11" s="77">
        <f>SUMIF('[1]SALES BY PROMOTOR'!$D:$D,$F11,'[1]SALES BY PROMOTOR'!$G:$G)</f>
        <v>5</v>
      </c>
      <c r="M11" s="77">
        <f>SUMIF('[1]SALES BY PROMOTOR'!$D:$D,$F11,'[1]SALES BY PROMOTOR'!$I:$I)</f>
        <v>15</v>
      </c>
      <c r="N11" s="75">
        <f t="shared" si="3"/>
        <v>0.33333333333333331</v>
      </c>
      <c r="O11" s="78">
        <f>IFERROR(VLOOKUP($F11,'[1]Sales By Promotor Last Month'!D:G,4,0),0)</f>
        <v>16</v>
      </c>
      <c r="P11" s="78">
        <f t="shared" si="4"/>
        <v>5</v>
      </c>
      <c r="Q11" s="79">
        <f t="shared" si="5"/>
        <v>-11</v>
      </c>
      <c r="R11" s="80">
        <f t="shared" si="6"/>
        <v>-0.6875</v>
      </c>
      <c r="S11" s="78">
        <f>IFERROR(VLOOKUP($F11,'[1]Sales By Promotor Last Month'!D:I,6,0),0)</f>
        <v>51</v>
      </c>
      <c r="T11" s="78">
        <f t="shared" si="7"/>
        <v>15</v>
      </c>
      <c r="U11" s="79">
        <f t="shared" si="8"/>
        <v>-36</v>
      </c>
      <c r="V11" s="80">
        <f t="shared" si="9"/>
        <v>-0.70588235294117652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299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65284000</v>
      </c>
      <c r="I12" s="75">
        <f t="shared" si="0"/>
        <v>0.38402352941176471</v>
      </c>
      <c r="J12" s="73">
        <f t="shared" si="1"/>
        <v>244815000</v>
      </c>
      <c r="K12" s="76">
        <f t="shared" si="2"/>
        <v>4080250</v>
      </c>
      <c r="L12" s="77">
        <f>SUMIF('[1]SALES BY PROMOTOR'!$D:$D,$F12,'[1]SALES BY PROMOTOR'!$G:$G)</f>
        <v>3</v>
      </c>
      <c r="M12" s="77">
        <f>SUMIF('[1]SALES BY PROMOTOR'!$D:$D,$F12,'[1]SALES BY PROMOTOR'!$I:$I)</f>
        <v>16</v>
      </c>
      <c r="N12" s="75">
        <f t="shared" si="3"/>
        <v>0.1875</v>
      </c>
      <c r="O12" s="78">
        <f>IFERROR(VLOOKUP($F12,'[1]Sales By Promotor Last Month'!D:G,4,0),0)</f>
        <v>17</v>
      </c>
      <c r="P12" s="78">
        <f t="shared" si="4"/>
        <v>3</v>
      </c>
      <c r="Q12" s="79">
        <f t="shared" si="5"/>
        <v>-14</v>
      </c>
      <c r="R12" s="80">
        <f t="shared" si="6"/>
        <v>-0.82352941176470584</v>
      </c>
      <c r="S12" s="78">
        <f>IFERROR(VLOOKUP($F12,'[1]Sales By Promotor Last Month'!D:I,6,0),0)</f>
        <v>58</v>
      </c>
      <c r="T12" s="78">
        <f t="shared" si="7"/>
        <v>16</v>
      </c>
      <c r="U12" s="79">
        <f t="shared" si="8"/>
        <v>-42</v>
      </c>
      <c r="V12" s="80">
        <f t="shared" si="9"/>
        <v>-0.72413793103448276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299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37486000</v>
      </c>
      <c r="I13" s="75">
        <f t="shared" si="0"/>
        <v>0.22050588235294116</v>
      </c>
      <c r="J13" s="73">
        <f t="shared" si="1"/>
        <v>140572500</v>
      </c>
      <c r="K13" s="76">
        <f t="shared" si="2"/>
        <v>2677571.4285714286</v>
      </c>
      <c r="L13" s="77">
        <f>SUMIF('[1]SALES BY PROMOTOR'!$D:$D,$F13,'[1]SALES BY PROMOTOR'!$G:$G)</f>
        <v>3</v>
      </c>
      <c r="M13" s="77">
        <f>SUMIF('[1]SALES BY PROMOTOR'!$D:$D,$F13,'[1]SALES BY PROMOTOR'!$I:$I)</f>
        <v>14</v>
      </c>
      <c r="N13" s="75">
        <f t="shared" si="3"/>
        <v>0.21428571428571427</v>
      </c>
      <c r="O13" s="78">
        <f>IFERROR(VLOOKUP($F13,'[1]Sales By Promotor Last Month'!D:G,4,0),0)</f>
        <v>17</v>
      </c>
      <c r="P13" s="78">
        <f t="shared" si="4"/>
        <v>3</v>
      </c>
      <c r="Q13" s="79">
        <f t="shared" si="5"/>
        <v>-14</v>
      </c>
      <c r="R13" s="80">
        <f t="shared" si="6"/>
        <v>-0.82352941176470584</v>
      </c>
      <c r="S13" s="78">
        <f>IFERROR(VLOOKUP($F13,'[1]Sales By Promotor Last Month'!D:I,6,0),0)</f>
        <v>47</v>
      </c>
      <c r="T13" s="78">
        <f t="shared" si="7"/>
        <v>14</v>
      </c>
      <c r="U13" s="79">
        <f t="shared" si="8"/>
        <v>-33</v>
      </c>
      <c r="V13" s="80">
        <f t="shared" si="9"/>
        <v>-0.7021276595744681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299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19793000</v>
      </c>
      <c r="I14" s="75">
        <f t="shared" si="0"/>
        <v>0.11642941176470588</v>
      </c>
      <c r="J14" s="73">
        <f t="shared" si="1"/>
        <v>74223750</v>
      </c>
      <c r="K14" s="76">
        <f t="shared" si="2"/>
        <v>2827571.4285714286</v>
      </c>
      <c r="L14" s="77">
        <f>SUMIF('[1]SALES BY PROMOTOR'!$D:$D,$F14,'[1]SALES BY PROMOTOR'!$G:$G)</f>
        <v>1</v>
      </c>
      <c r="M14" s="77">
        <f>SUMIF('[1]SALES BY PROMOTOR'!$D:$D,$F14,'[1]SALES BY PROMOTOR'!$I:$I)</f>
        <v>7</v>
      </c>
      <c r="N14" s="75">
        <f t="shared" si="3"/>
        <v>0.14285714285714285</v>
      </c>
      <c r="O14" s="78">
        <f>IFERROR(VLOOKUP($F14,'[1]Sales By Promotor Last Month'!D:G,4,0),0)</f>
        <v>10</v>
      </c>
      <c r="P14" s="78">
        <f t="shared" si="4"/>
        <v>1</v>
      </c>
      <c r="Q14" s="79">
        <f t="shared" si="5"/>
        <v>-9</v>
      </c>
      <c r="R14" s="80">
        <f t="shared" si="6"/>
        <v>-0.9</v>
      </c>
      <c r="S14" s="78">
        <f>IFERROR(VLOOKUP($F14,'[1]Sales By Promotor Last Month'!D:I,6,0),0)</f>
        <v>40</v>
      </c>
      <c r="T14" s="78">
        <f t="shared" si="7"/>
        <v>7</v>
      </c>
      <c r="U14" s="79">
        <f t="shared" si="8"/>
        <v>-33</v>
      </c>
      <c r="V14" s="80">
        <f t="shared" si="9"/>
        <v>-0.82499999999999996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299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36887000</v>
      </c>
      <c r="I15" s="75">
        <f t="shared" si="0"/>
        <v>0.21698235294117646</v>
      </c>
      <c r="J15" s="73">
        <f t="shared" si="1"/>
        <v>138326250</v>
      </c>
      <c r="K15" s="76">
        <f t="shared" si="2"/>
        <v>2837461.5384615385</v>
      </c>
      <c r="L15" s="77">
        <f>SUMIF('[1]SALES BY PROMOTOR'!$D:$D,$F15,'[1]SALES BY PROMOTOR'!$G:$G)</f>
        <v>3</v>
      </c>
      <c r="M15" s="77">
        <f>SUMIF('[1]SALES BY PROMOTOR'!$D:$D,$F15,'[1]SALES BY PROMOTOR'!$I:$I)</f>
        <v>13</v>
      </c>
      <c r="N15" s="75">
        <f t="shared" si="3"/>
        <v>0.23076923076923078</v>
      </c>
      <c r="O15" s="78">
        <f>IFERROR(VLOOKUP($F15,'[1]Sales By Promotor Last Month'!D:G,4,0),0)</f>
        <v>11</v>
      </c>
      <c r="P15" s="78">
        <f t="shared" si="4"/>
        <v>3</v>
      </c>
      <c r="Q15" s="79">
        <f t="shared" si="5"/>
        <v>-8</v>
      </c>
      <c r="R15" s="80">
        <f t="shared" si="6"/>
        <v>-0.72727272727272729</v>
      </c>
      <c r="S15" s="78">
        <f>IFERROR(VLOOKUP($F15,'[1]Sales By Promotor Last Month'!D:I,6,0),0)</f>
        <v>49</v>
      </c>
      <c r="T15" s="78">
        <f t="shared" si="7"/>
        <v>13</v>
      </c>
      <c r="U15" s="79">
        <f t="shared" si="8"/>
        <v>-36</v>
      </c>
      <c r="V15" s="80">
        <f t="shared" si="9"/>
        <v>-0.73469387755102045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0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27393000</v>
      </c>
      <c r="I16" s="75">
        <f t="shared" si="0"/>
        <v>0.16113529411764707</v>
      </c>
      <c r="J16" s="73">
        <f t="shared" si="1"/>
        <v>102723750</v>
      </c>
      <c r="K16" s="76">
        <f t="shared" si="2"/>
        <v>3913285.7142857141</v>
      </c>
      <c r="L16" s="77">
        <f>SUMIF('[1]SALES BY PROMOTOR'!$D:$D,$F16,'[1]SALES BY PROMOTOR'!$G:$G)</f>
        <v>2</v>
      </c>
      <c r="M16" s="77">
        <f>SUMIF('[1]SALES BY PROMOTOR'!$D:$D,$F16,'[1]SALES BY PROMOTOR'!$I:$I)</f>
        <v>7</v>
      </c>
      <c r="N16" s="75">
        <f t="shared" si="3"/>
        <v>0.2857142857142857</v>
      </c>
      <c r="O16" s="78">
        <f>IFERROR(VLOOKUP($F16,'[1]Sales By Promotor Last Month'!D:G,4,0),0)</f>
        <v>6</v>
      </c>
      <c r="P16" s="78">
        <f t="shared" si="4"/>
        <v>2</v>
      </c>
      <c r="Q16" s="79">
        <f t="shared" si="5"/>
        <v>-4</v>
      </c>
      <c r="R16" s="80">
        <f t="shared" si="6"/>
        <v>-0.66666666666666663</v>
      </c>
      <c r="S16" s="78">
        <f>IFERROR(VLOOKUP($F16,'[1]Sales By Promotor Last Month'!D:I,6,0),0)</f>
        <v>40</v>
      </c>
      <c r="T16" s="78">
        <f t="shared" si="7"/>
        <v>7</v>
      </c>
      <c r="U16" s="79">
        <f t="shared" si="8"/>
        <v>-33</v>
      </c>
      <c r="V16" s="80">
        <f t="shared" si="9"/>
        <v>-0.82499999999999996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29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31589000</v>
      </c>
      <c r="I17" s="75">
        <f t="shared" si="0"/>
        <v>0.18581764705882353</v>
      </c>
      <c r="J17" s="73">
        <f t="shared" si="1"/>
        <v>118458750</v>
      </c>
      <c r="K17" s="76">
        <f t="shared" si="2"/>
        <v>2871727.2727272729</v>
      </c>
      <c r="L17" s="77">
        <f>SUMIF('[1]SALES BY PROMOTOR'!$D:$D,$F17,'[1]SALES BY PROMOTOR'!$G:$G)</f>
        <v>3</v>
      </c>
      <c r="M17" s="77">
        <f>SUMIF('[1]SALES BY PROMOTOR'!$D:$D,$F17,'[1]SALES BY PROMOTOR'!$I:$I)</f>
        <v>11</v>
      </c>
      <c r="N17" s="75">
        <f t="shared" si="3"/>
        <v>0.27272727272727271</v>
      </c>
      <c r="O17" s="78">
        <f>IFERROR(VLOOKUP($F17,'[1]Sales By Promotor Last Month'!D:G,4,0),0)</f>
        <v>12</v>
      </c>
      <c r="P17" s="78">
        <f t="shared" si="4"/>
        <v>3</v>
      </c>
      <c r="Q17" s="79">
        <f t="shared" si="5"/>
        <v>-9</v>
      </c>
      <c r="R17" s="80">
        <f t="shared" si="6"/>
        <v>-0.75</v>
      </c>
      <c r="S17" s="78">
        <f>IFERROR(VLOOKUP($F17,'[1]Sales By Promotor Last Month'!D:I,6,0),0)</f>
        <v>50</v>
      </c>
      <c r="T17" s="78">
        <f t="shared" si="7"/>
        <v>11</v>
      </c>
      <c r="U17" s="79">
        <f t="shared" si="8"/>
        <v>-39</v>
      </c>
      <c r="V17" s="80">
        <f t="shared" si="9"/>
        <v>-0.78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299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18792000</v>
      </c>
      <c r="I18" s="75">
        <f t="shared" si="0"/>
        <v>0.11054117647058824</v>
      </c>
      <c r="J18" s="73">
        <f t="shared" si="1"/>
        <v>70470000</v>
      </c>
      <c r="K18" s="76">
        <f t="shared" si="2"/>
        <v>2349000</v>
      </c>
      <c r="L18" s="77">
        <f>SUMIF('[1]SALES BY PROMOTOR'!$D:$D,$F18,'[1]SALES BY PROMOTOR'!$G:$G)</f>
        <v>0</v>
      </c>
      <c r="M18" s="77">
        <f>SUMIF('[1]SALES BY PROMOTOR'!$D:$D,$F18,'[1]SALES BY PROMOTOR'!$I:$I)</f>
        <v>8</v>
      </c>
      <c r="N18" s="75">
        <f t="shared" si="3"/>
        <v>0</v>
      </c>
      <c r="O18" s="78">
        <f>IFERROR(VLOOKUP($F18,'[1]Sales By Promotor Last Month'!D:G,4,0),0)</f>
        <v>3</v>
      </c>
      <c r="P18" s="78">
        <f t="shared" si="4"/>
        <v>0</v>
      </c>
      <c r="Q18" s="79">
        <f t="shared" si="5"/>
        <v>-3</v>
      </c>
      <c r="R18" s="80">
        <f t="shared" si="6"/>
        <v>-1</v>
      </c>
      <c r="S18" s="78">
        <f>IFERROR(VLOOKUP($F18,'[1]Sales By Promotor Last Month'!D:I,6,0),0)</f>
        <v>41</v>
      </c>
      <c r="T18" s="78">
        <f t="shared" si="7"/>
        <v>8</v>
      </c>
      <c r="U18" s="79">
        <f t="shared" si="8"/>
        <v>-33</v>
      </c>
      <c r="V18" s="80">
        <f t="shared" si="9"/>
        <v>-0.80487804878048785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0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18492000</v>
      </c>
      <c r="I19" s="75">
        <f t="shared" si="0"/>
        <v>0.10877647058823529</v>
      </c>
      <c r="J19" s="73">
        <f t="shared" si="1"/>
        <v>69345000</v>
      </c>
      <c r="K19" s="76">
        <f t="shared" si="2"/>
        <v>2311500</v>
      </c>
      <c r="L19" s="77">
        <f>SUMIF('[1]SALES BY PROMOTOR'!$D:$D,$F19,'[1]SALES BY PROMOTOR'!$G:$G)</f>
        <v>0</v>
      </c>
      <c r="M19" s="77">
        <f>SUMIF('[1]SALES BY PROMOTOR'!$D:$D,$F19,'[1]SALES BY PROMOTOR'!$I:$I)</f>
        <v>8</v>
      </c>
      <c r="N19" s="75">
        <f t="shared" si="3"/>
        <v>0</v>
      </c>
      <c r="O19" s="78">
        <f>IFERROR(VLOOKUP($F19,'[1]Sales By Promotor Last Month'!D:G,4,0),0)</f>
        <v>8</v>
      </c>
      <c r="P19" s="78">
        <f t="shared" si="4"/>
        <v>0</v>
      </c>
      <c r="Q19" s="79">
        <f t="shared" si="5"/>
        <v>-8</v>
      </c>
      <c r="R19" s="80">
        <f t="shared" si="6"/>
        <v>-1</v>
      </c>
      <c r="S19" s="78">
        <f>IFERROR(VLOOKUP($F19,'[1]Sales By Promotor Last Month'!D:I,6,0),0)</f>
        <v>47</v>
      </c>
      <c r="T19" s="78">
        <f t="shared" si="7"/>
        <v>8</v>
      </c>
      <c r="U19" s="79">
        <f t="shared" si="8"/>
        <v>-39</v>
      </c>
      <c r="V19" s="80">
        <f t="shared" si="9"/>
        <v>-0.82978723404255317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29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70390000</v>
      </c>
      <c r="I20" s="75">
        <f t="shared" si="0"/>
        <v>0.41405882352941176</v>
      </c>
      <c r="J20" s="73">
        <f t="shared" si="1"/>
        <v>263962500</v>
      </c>
      <c r="K20" s="76">
        <f t="shared" si="2"/>
        <v>7039000</v>
      </c>
      <c r="L20" s="77">
        <f>SUMIF('[1]SALES BY PROMOTOR'!$D:$D,$F20,'[1]SALES BY PROMOTOR'!$G:$G)</f>
        <v>5</v>
      </c>
      <c r="M20" s="77">
        <f>SUMIF('[1]SALES BY PROMOTOR'!$D:$D,$F20,'[1]SALES BY PROMOTOR'!$I:$I)</f>
        <v>10</v>
      </c>
      <c r="N20" s="75">
        <f t="shared" si="3"/>
        <v>0.5</v>
      </c>
      <c r="O20" s="78">
        <f>IFERROR(VLOOKUP($F20,'[1]Sales By Promotor Last Month'!D:G,4,0),0)</f>
        <v>11</v>
      </c>
      <c r="P20" s="78">
        <f t="shared" si="4"/>
        <v>5</v>
      </c>
      <c r="Q20" s="79">
        <f t="shared" si="5"/>
        <v>-6</v>
      </c>
      <c r="R20" s="80">
        <f t="shared" si="6"/>
        <v>-0.54545454545454541</v>
      </c>
      <c r="S20" s="78">
        <f>IFERROR(VLOOKUP($F20,'[1]Sales By Promotor Last Month'!D:I,6,0),0)</f>
        <v>17</v>
      </c>
      <c r="T20" s="78">
        <f t="shared" si="7"/>
        <v>10</v>
      </c>
      <c r="U20" s="79">
        <f t="shared" si="8"/>
        <v>-7</v>
      </c>
      <c r="V20" s="80">
        <f t="shared" si="9"/>
        <v>-0.41176470588235292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299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58394000</v>
      </c>
      <c r="I21" s="75">
        <f t="shared" si="0"/>
        <v>0.34349411764705884</v>
      </c>
      <c r="J21" s="73">
        <f t="shared" si="1"/>
        <v>218977500</v>
      </c>
      <c r="K21" s="76">
        <f t="shared" si="2"/>
        <v>9732333.333333334</v>
      </c>
      <c r="L21" s="77">
        <f>SUMIF('[1]SALES BY PROMOTOR'!$D:$D,$F21,'[1]SALES BY PROMOTOR'!$G:$G)</f>
        <v>6</v>
      </c>
      <c r="M21" s="77">
        <f>SUMIF('[1]SALES BY PROMOTOR'!$D:$D,$F21,'[1]SALES BY PROMOTOR'!$I:$I)</f>
        <v>6</v>
      </c>
      <c r="N21" s="75">
        <f t="shared" si="3"/>
        <v>1</v>
      </c>
      <c r="O21" s="78">
        <f>IFERROR(VLOOKUP($F21,'[1]Sales By Promotor Last Month'!D:G,4,0),0)</f>
        <v>7</v>
      </c>
      <c r="P21" s="78">
        <f t="shared" si="4"/>
        <v>6</v>
      </c>
      <c r="Q21" s="79">
        <f t="shared" si="5"/>
        <v>-1</v>
      </c>
      <c r="R21" s="80">
        <f t="shared" si="6"/>
        <v>-0.14285714285714285</v>
      </c>
      <c r="S21" s="78">
        <f>IFERROR(VLOOKUP($F21,'[1]Sales By Promotor Last Month'!D:I,6,0),0)</f>
        <v>16</v>
      </c>
      <c r="T21" s="78">
        <f t="shared" si="7"/>
        <v>6</v>
      </c>
      <c r="U21" s="79">
        <f t="shared" si="8"/>
        <v>-10</v>
      </c>
      <c r="V21" s="80">
        <f t="shared" si="9"/>
        <v>-0.625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299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42890000</v>
      </c>
      <c r="I22" s="75">
        <f t="shared" si="0"/>
        <v>0.25229411764705884</v>
      </c>
      <c r="J22" s="73">
        <f t="shared" si="1"/>
        <v>160837500</v>
      </c>
      <c r="K22" s="76">
        <f t="shared" si="2"/>
        <v>4289000</v>
      </c>
      <c r="L22" s="77">
        <f>SUMIF('[1]SALES BY PROMOTOR'!$D:$D,$F22,'[1]SALES BY PROMOTOR'!$G:$G)</f>
        <v>3</v>
      </c>
      <c r="M22" s="77">
        <f>SUMIF('[1]SALES BY PROMOTOR'!$D:$D,$F22,'[1]SALES BY PROMOTOR'!$I:$I)</f>
        <v>10</v>
      </c>
      <c r="N22" s="75">
        <f t="shared" si="3"/>
        <v>0.3</v>
      </c>
      <c r="O22" s="78">
        <f>IFERROR(VLOOKUP($F22,'[1]Sales By Promotor Last Month'!D:G,4,0),0)</f>
        <v>18</v>
      </c>
      <c r="P22" s="78">
        <f t="shared" si="4"/>
        <v>3</v>
      </c>
      <c r="Q22" s="79">
        <f t="shared" si="5"/>
        <v>-15</v>
      </c>
      <c r="R22" s="80">
        <f t="shared" si="6"/>
        <v>-0.83333333333333337</v>
      </c>
      <c r="S22" s="78">
        <f>IFERROR(VLOOKUP($F22,'[1]Sales By Promotor Last Month'!D:I,6,0),0)</f>
        <v>38</v>
      </c>
      <c r="T22" s="78">
        <f t="shared" si="7"/>
        <v>10</v>
      </c>
      <c r="U22" s="79">
        <f t="shared" si="8"/>
        <v>-28</v>
      </c>
      <c r="V22" s="80">
        <f t="shared" si="9"/>
        <v>-0.73684210526315785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299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56082000</v>
      </c>
      <c r="I23" s="75">
        <f t="shared" si="0"/>
        <v>0.32989411764705884</v>
      </c>
      <c r="J23" s="73">
        <f t="shared" si="1"/>
        <v>210307500</v>
      </c>
      <c r="K23" s="76">
        <f t="shared" si="2"/>
        <v>3115666.6666666665</v>
      </c>
      <c r="L23" s="77">
        <f>SUMIF('[1]SALES BY PROMOTOR'!$D:$D,$F23,'[1]SALES BY PROMOTOR'!$G:$G)</f>
        <v>6</v>
      </c>
      <c r="M23" s="77">
        <f>SUMIF('[1]SALES BY PROMOTOR'!$D:$D,$F23,'[1]SALES BY PROMOTOR'!$I:$I)</f>
        <v>18</v>
      </c>
      <c r="N23" s="75">
        <f t="shared" si="3"/>
        <v>0.33333333333333331</v>
      </c>
      <c r="O23" s="78">
        <f>IFERROR(VLOOKUP($F23,'[1]Sales By Promotor Last Month'!D:G,4,0),0)</f>
        <v>13</v>
      </c>
      <c r="P23" s="78">
        <f t="shared" si="4"/>
        <v>6</v>
      </c>
      <c r="Q23" s="79">
        <f t="shared" si="5"/>
        <v>-7</v>
      </c>
      <c r="R23" s="80">
        <f t="shared" si="6"/>
        <v>-0.53846153846153844</v>
      </c>
      <c r="S23" s="78">
        <f>IFERROR(VLOOKUP($F23,'[1]Sales By Promotor Last Month'!D:I,6,0),0)</f>
        <v>60</v>
      </c>
      <c r="T23" s="78">
        <f t="shared" si="7"/>
        <v>18</v>
      </c>
      <c r="U23" s="79">
        <f t="shared" si="8"/>
        <v>-42</v>
      </c>
      <c r="V23" s="80">
        <f t="shared" si="9"/>
        <v>-0.7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299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27092000</v>
      </c>
      <c r="I24" s="75">
        <f t="shared" si="0"/>
        <v>0.15936470588235294</v>
      </c>
      <c r="J24" s="73">
        <f t="shared" si="1"/>
        <v>101595000</v>
      </c>
      <c r="K24" s="76">
        <f t="shared" si="2"/>
        <v>3386500</v>
      </c>
      <c r="L24" s="77">
        <f>SUMIF('[1]SALES BY PROMOTOR'!$D:$D,$F24,'[1]SALES BY PROMOTOR'!$G:$G)</f>
        <v>2</v>
      </c>
      <c r="M24" s="77">
        <f>SUMIF('[1]SALES BY PROMOTOR'!$D:$D,$F24,'[1]SALES BY PROMOTOR'!$I:$I)</f>
        <v>8</v>
      </c>
      <c r="N24" s="75">
        <f t="shared" si="3"/>
        <v>0.25</v>
      </c>
      <c r="O24" s="78">
        <f>IFERROR(VLOOKUP($F24,'[1]Sales By Promotor Last Month'!D:G,4,0),0)</f>
        <v>8</v>
      </c>
      <c r="P24" s="78">
        <f t="shared" si="4"/>
        <v>2</v>
      </c>
      <c r="Q24" s="79">
        <f t="shared" si="5"/>
        <v>-6</v>
      </c>
      <c r="R24" s="80">
        <f t="shared" si="6"/>
        <v>-0.75</v>
      </c>
      <c r="S24" s="78">
        <f>IFERROR(VLOOKUP($F24,'[1]Sales By Promotor Last Month'!D:I,6,0),0)</f>
        <v>44</v>
      </c>
      <c r="T24" s="78">
        <f t="shared" si="7"/>
        <v>8</v>
      </c>
      <c r="U24" s="79">
        <f t="shared" si="8"/>
        <v>-36</v>
      </c>
      <c r="V24" s="80">
        <f t="shared" si="9"/>
        <v>-0.81818181818181823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299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63678000</v>
      </c>
      <c r="I25" s="75">
        <f t="shared" si="0"/>
        <v>0.37457647058823529</v>
      </c>
      <c r="J25" s="73">
        <f t="shared" si="1"/>
        <v>238792500</v>
      </c>
      <c r="K25" s="76">
        <f t="shared" si="2"/>
        <v>2894454.5454545454</v>
      </c>
      <c r="L25" s="77">
        <f>SUMIF('[1]SALES BY PROMOTOR'!$D:$D,$F25,'[1]SALES BY PROMOTOR'!$G:$G)</f>
        <v>4</v>
      </c>
      <c r="M25" s="77">
        <f>SUMIF('[1]SALES BY PROMOTOR'!$D:$D,$F25,'[1]SALES BY PROMOTOR'!$I:$I)</f>
        <v>22</v>
      </c>
      <c r="N25" s="75">
        <f t="shared" si="3"/>
        <v>0.18181818181818182</v>
      </c>
      <c r="O25" s="78">
        <f>IFERROR(VLOOKUP($F25,'[1]Sales By Promotor Last Month'!D:G,4,0),0)</f>
        <v>14</v>
      </c>
      <c r="P25" s="78">
        <f t="shared" si="4"/>
        <v>4</v>
      </c>
      <c r="Q25" s="79">
        <f t="shared" si="5"/>
        <v>-10</v>
      </c>
      <c r="R25" s="80">
        <f t="shared" si="6"/>
        <v>-0.7142857142857143</v>
      </c>
      <c r="S25" s="78">
        <f>IFERROR(VLOOKUP($F25,'[1]Sales By Promotor Last Month'!D:I,6,0),0)</f>
        <v>50</v>
      </c>
      <c r="T25" s="78">
        <f t="shared" si="7"/>
        <v>22</v>
      </c>
      <c r="U25" s="79">
        <f t="shared" si="8"/>
        <v>-28</v>
      </c>
      <c r="V25" s="80">
        <f t="shared" si="9"/>
        <v>-0.56000000000000005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299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61282000</v>
      </c>
      <c r="I26" s="75">
        <f t="shared" si="0"/>
        <v>0.36048235294117648</v>
      </c>
      <c r="J26" s="73">
        <f t="shared" si="1"/>
        <v>229807500</v>
      </c>
      <c r="K26" s="76">
        <f t="shared" si="2"/>
        <v>3404555.5555555555</v>
      </c>
      <c r="L26" s="77">
        <f>SUMIF('[1]SALES BY PROMOTOR'!$D:$D,$F26,'[1]SALES BY PROMOTOR'!$G:$G)</f>
        <v>7</v>
      </c>
      <c r="M26" s="77">
        <f>SUMIF('[1]SALES BY PROMOTOR'!$D:$D,$F26,'[1]SALES BY PROMOTOR'!$I:$I)</f>
        <v>18</v>
      </c>
      <c r="N26" s="75">
        <f t="shared" si="3"/>
        <v>0.3888888888888889</v>
      </c>
      <c r="O26" s="78">
        <f>IFERROR(VLOOKUP($F26,'[1]Sales By Promotor Last Month'!D:G,4,0),0)</f>
        <v>19</v>
      </c>
      <c r="P26" s="78">
        <f t="shared" si="4"/>
        <v>7</v>
      </c>
      <c r="Q26" s="79">
        <f t="shared" si="5"/>
        <v>-12</v>
      </c>
      <c r="R26" s="80">
        <f t="shared" si="6"/>
        <v>-0.63157894736842102</v>
      </c>
      <c r="S26" s="78">
        <f>IFERROR(VLOOKUP($F26,'[1]Sales By Promotor Last Month'!D:I,6,0),0)</f>
        <v>60</v>
      </c>
      <c r="T26" s="78">
        <f t="shared" si="7"/>
        <v>18</v>
      </c>
      <c r="U26" s="79">
        <f t="shared" si="8"/>
        <v>-42</v>
      </c>
      <c r="V26" s="80">
        <f t="shared" si="9"/>
        <v>-0.7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299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37889000</v>
      </c>
      <c r="I27" s="75">
        <f t="shared" si="0"/>
        <v>0.22287647058823529</v>
      </c>
      <c r="J27" s="73">
        <f t="shared" si="1"/>
        <v>142083750</v>
      </c>
      <c r="K27" s="76">
        <f t="shared" si="2"/>
        <v>3444454.5454545454</v>
      </c>
      <c r="L27" s="77">
        <f>SUMIF('[1]SALES BY PROMOTOR'!$D:$D,$F27,'[1]SALES BY PROMOTOR'!$G:$G)</f>
        <v>5</v>
      </c>
      <c r="M27" s="77">
        <f>SUMIF('[1]SALES BY PROMOTOR'!$D:$D,$F27,'[1]SALES BY PROMOTOR'!$I:$I)</f>
        <v>11</v>
      </c>
      <c r="N27" s="75">
        <f t="shared" si="3"/>
        <v>0.45454545454545453</v>
      </c>
      <c r="O27" s="78">
        <f>IFERROR(VLOOKUP($F27,'[1]Sales By Promotor Last Month'!D:G,4,0),0)</f>
        <v>12</v>
      </c>
      <c r="P27" s="78">
        <f t="shared" si="4"/>
        <v>5</v>
      </c>
      <c r="Q27" s="79">
        <f t="shared" si="5"/>
        <v>-7</v>
      </c>
      <c r="R27" s="80">
        <f t="shared" si="6"/>
        <v>-0.58333333333333337</v>
      </c>
      <c r="S27" s="78">
        <f>IFERROR(VLOOKUP($F27,'[1]Sales By Promotor Last Month'!D:I,6,0),0)</f>
        <v>45</v>
      </c>
      <c r="T27" s="78">
        <f t="shared" si="7"/>
        <v>11</v>
      </c>
      <c r="U27" s="79">
        <f t="shared" si="8"/>
        <v>-34</v>
      </c>
      <c r="V27" s="80">
        <f t="shared" si="9"/>
        <v>-0.75555555555555554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299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16195000</v>
      </c>
      <c r="I28" s="75">
        <f t="shared" si="0"/>
        <v>9.5264705882352946E-2</v>
      </c>
      <c r="J28" s="73">
        <f t="shared" si="1"/>
        <v>60731250</v>
      </c>
      <c r="K28" s="76">
        <f t="shared" si="2"/>
        <v>3239000</v>
      </c>
      <c r="L28" s="77">
        <f>SUMIF('[1]SALES BY PROMOTOR'!$D:$D,$F28,'[1]SALES BY PROMOTOR'!$G:$G)</f>
        <v>1</v>
      </c>
      <c r="M28" s="77">
        <f>SUMIF('[1]SALES BY PROMOTOR'!$D:$D,$F28,'[1]SALES BY PROMOTOR'!$I:$I)</f>
        <v>5</v>
      </c>
      <c r="N28" s="75">
        <f t="shared" si="3"/>
        <v>0.2</v>
      </c>
      <c r="O28" s="78">
        <f>IFERROR(VLOOKUP($F28,'[1]Sales By Promotor Last Month'!D:G,4,0),0)</f>
        <v>6</v>
      </c>
      <c r="P28" s="78">
        <f t="shared" si="4"/>
        <v>1</v>
      </c>
      <c r="Q28" s="79">
        <f t="shared" si="5"/>
        <v>-5</v>
      </c>
      <c r="R28" s="80">
        <f t="shared" si="6"/>
        <v>-0.83333333333333337</v>
      </c>
      <c r="S28" s="78">
        <f>IFERROR(VLOOKUP($F28,'[1]Sales By Promotor Last Month'!D:I,6,0),0)</f>
        <v>42</v>
      </c>
      <c r="T28" s="78">
        <f t="shared" si="7"/>
        <v>5</v>
      </c>
      <c r="U28" s="79">
        <f t="shared" si="8"/>
        <v>-37</v>
      </c>
      <c r="V28" s="80">
        <f t="shared" si="9"/>
        <v>-0.88095238095238093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0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39386000</v>
      </c>
      <c r="I29" s="75">
        <f t="shared" si="0"/>
        <v>0.23168235294117648</v>
      </c>
      <c r="J29" s="73">
        <f t="shared" si="1"/>
        <v>147697500</v>
      </c>
      <c r="K29" s="76">
        <f t="shared" si="2"/>
        <v>2813285.7142857141</v>
      </c>
      <c r="L29" s="77">
        <f>SUMIF('[1]SALES BY PROMOTOR'!$D:$D,$F29,'[1]SALES BY PROMOTOR'!$G:$G)</f>
        <v>3</v>
      </c>
      <c r="M29" s="77">
        <f>SUMIF('[1]SALES BY PROMOTOR'!$D:$D,$F29,'[1]SALES BY PROMOTOR'!$I:$I)</f>
        <v>14</v>
      </c>
      <c r="N29" s="75">
        <f t="shared" si="3"/>
        <v>0.21428571428571427</v>
      </c>
      <c r="O29" s="78">
        <f>IFERROR(VLOOKUP($F29,'[1]Sales By Promotor Last Month'!D:G,4,0),0)</f>
        <v>12</v>
      </c>
      <c r="P29" s="78">
        <f t="shared" si="4"/>
        <v>3</v>
      </c>
      <c r="Q29" s="79">
        <f t="shared" si="5"/>
        <v>-9</v>
      </c>
      <c r="R29" s="80">
        <f t="shared" si="6"/>
        <v>-0.75</v>
      </c>
      <c r="S29" s="78">
        <f>IFERROR(VLOOKUP($F29,'[1]Sales By Promotor Last Month'!D:I,6,0),0)</f>
        <v>50</v>
      </c>
      <c r="T29" s="78">
        <f t="shared" si="7"/>
        <v>14</v>
      </c>
      <c r="U29" s="79">
        <f t="shared" si="8"/>
        <v>-36</v>
      </c>
      <c r="V29" s="80">
        <f t="shared" si="9"/>
        <v>-0.72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29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36988000</v>
      </c>
      <c r="I30" s="75">
        <f t="shared" si="0"/>
        <v>0.21757647058823529</v>
      </c>
      <c r="J30" s="73">
        <f t="shared" si="1"/>
        <v>138705000</v>
      </c>
      <c r="K30" s="76">
        <f t="shared" si="2"/>
        <v>3082333.3333333335</v>
      </c>
      <c r="L30" s="77">
        <f>SUMIF('[1]SALES BY PROMOTOR'!$D:$D,$F30,'[1]SALES BY PROMOTOR'!$G:$G)</f>
        <v>3</v>
      </c>
      <c r="M30" s="77">
        <f>SUMIF('[1]SALES BY PROMOTOR'!$D:$D,$F30,'[1]SALES BY PROMOTOR'!$I:$I)</f>
        <v>12</v>
      </c>
      <c r="N30" s="75">
        <f t="shared" si="3"/>
        <v>0.25</v>
      </c>
      <c r="O30" s="78">
        <f>IFERROR(VLOOKUP($F30,'[1]Sales By Promotor Last Month'!D:G,4,0),0)</f>
        <v>10</v>
      </c>
      <c r="P30" s="78">
        <f t="shared" si="4"/>
        <v>3</v>
      </c>
      <c r="Q30" s="79">
        <f t="shared" si="5"/>
        <v>-7</v>
      </c>
      <c r="R30" s="80">
        <f t="shared" si="6"/>
        <v>-0.7</v>
      </c>
      <c r="S30" s="78">
        <f>IFERROR(VLOOKUP($F30,'[1]Sales By Promotor Last Month'!D:I,6,0),0)</f>
        <v>40</v>
      </c>
      <c r="T30" s="78">
        <f t="shared" si="7"/>
        <v>12</v>
      </c>
      <c r="U30" s="79">
        <f t="shared" si="8"/>
        <v>-28</v>
      </c>
      <c r="V30" s="80">
        <f t="shared" si="9"/>
        <v>-0.7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299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30887000</v>
      </c>
      <c r="I31" s="75">
        <f t="shared" si="0"/>
        <v>0.18168823529411765</v>
      </c>
      <c r="J31" s="73">
        <f t="shared" si="1"/>
        <v>115826250</v>
      </c>
      <c r="K31" s="76">
        <f t="shared" si="2"/>
        <v>2375923.076923077</v>
      </c>
      <c r="L31" s="77">
        <f>SUMIF('[1]SALES BY PROMOTOR'!$D:$D,$F31,'[1]SALES BY PROMOTOR'!$G:$G)</f>
        <v>1</v>
      </c>
      <c r="M31" s="77">
        <f>SUMIF('[1]SALES BY PROMOTOR'!$D:$D,$F31,'[1]SALES BY PROMOTOR'!$I:$I)</f>
        <v>13</v>
      </c>
      <c r="N31" s="75">
        <f t="shared" si="3"/>
        <v>7.6923076923076927E-2</v>
      </c>
      <c r="O31" s="78">
        <f>IFERROR(VLOOKUP($F31,'[1]Sales By Promotor Last Month'!D:G,4,0),0)</f>
        <v>5</v>
      </c>
      <c r="P31" s="78">
        <f t="shared" si="4"/>
        <v>1</v>
      </c>
      <c r="Q31" s="79">
        <f t="shared" si="5"/>
        <v>-4</v>
      </c>
      <c r="R31" s="80">
        <f t="shared" si="6"/>
        <v>-0.8</v>
      </c>
      <c r="S31" s="78">
        <f>IFERROR(VLOOKUP($F31,'[1]Sales By Promotor Last Month'!D:I,6,0),0)</f>
        <v>42</v>
      </c>
      <c r="T31" s="78">
        <f t="shared" si="7"/>
        <v>13</v>
      </c>
      <c r="U31" s="79">
        <f t="shared" si="8"/>
        <v>-29</v>
      </c>
      <c r="V31" s="80">
        <f t="shared" si="9"/>
        <v>-0.69047619047619047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0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50188000</v>
      </c>
      <c r="I32" s="75">
        <f t="shared" si="0"/>
        <v>0.29522352941176472</v>
      </c>
      <c r="J32" s="73">
        <f t="shared" si="1"/>
        <v>188205000</v>
      </c>
      <c r="K32" s="76">
        <f t="shared" si="2"/>
        <v>4182333.3333333335</v>
      </c>
      <c r="L32" s="77">
        <f>SUMIF('[1]SALES BY PROMOTOR'!$D:$D,$F32,'[1]SALES BY PROMOTOR'!$G:$G)</f>
        <v>5</v>
      </c>
      <c r="M32" s="77">
        <f>SUMIF('[1]SALES BY PROMOTOR'!$D:$D,$F32,'[1]SALES BY PROMOTOR'!$I:$I)</f>
        <v>12</v>
      </c>
      <c r="N32" s="75">
        <f t="shared" si="3"/>
        <v>0.41666666666666669</v>
      </c>
      <c r="O32" s="78">
        <f>IFERROR(VLOOKUP($F32,'[1]Sales By Promotor Last Month'!D:G,4,0),0)</f>
        <v>11</v>
      </c>
      <c r="P32" s="78">
        <f t="shared" si="4"/>
        <v>5</v>
      </c>
      <c r="Q32" s="79">
        <f t="shared" si="5"/>
        <v>-6</v>
      </c>
      <c r="R32" s="80">
        <f t="shared" si="6"/>
        <v>-0.54545454545454541</v>
      </c>
      <c r="S32" s="78">
        <f>IFERROR(VLOOKUP($F32,'[1]Sales By Promotor Last Month'!D:I,6,0),0)</f>
        <v>41</v>
      </c>
      <c r="T32" s="78">
        <f t="shared" si="7"/>
        <v>12</v>
      </c>
      <c r="U32" s="79">
        <f t="shared" si="8"/>
        <v>-29</v>
      </c>
      <c r="V32" s="80">
        <f t="shared" si="9"/>
        <v>-0.70731707317073167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29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17997000</v>
      </c>
      <c r="I33" s="75">
        <f t="shared" si="0"/>
        <v>0.10586470588235294</v>
      </c>
      <c r="J33" s="73">
        <f t="shared" si="1"/>
        <v>67488750</v>
      </c>
      <c r="K33" s="76">
        <f t="shared" si="2"/>
        <v>5999000</v>
      </c>
      <c r="L33" s="77">
        <f>SUMIF('[1]SALES BY PROMOTOR'!$D:$D,$F33,'[1]SALES BY PROMOTOR'!$G:$G)</f>
        <v>2</v>
      </c>
      <c r="M33" s="77">
        <f>SUMIF('[1]SALES BY PROMOTOR'!$D:$D,$F33,'[1]SALES BY PROMOTOR'!$I:$I)</f>
        <v>3</v>
      </c>
      <c r="N33" s="75">
        <f t="shared" si="3"/>
        <v>0.66666666666666663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3</v>
      </c>
      <c r="U33" s="79">
        <f t="shared" si="8"/>
        <v>-11</v>
      </c>
      <c r="V33" s="80">
        <f t="shared" si="9"/>
        <v>-0.7857142857142857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299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14621250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0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10298000</v>
      </c>
      <c r="I35" s="75">
        <f t="shared" si="0"/>
        <v>6.0576470588235294E-2</v>
      </c>
      <c r="J35" s="73">
        <f t="shared" si="1"/>
        <v>38617500</v>
      </c>
      <c r="K35" s="76">
        <f t="shared" si="2"/>
        <v>5149000</v>
      </c>
      <c r="L35" s="77">
        <f>SUMIF('[1]SALES BY PROMOTOR'!$D:$D,$F35,'[1]SALES BY PROMOTOR'!$G:$G)</f>
        <v>1</v>
      </c>
      <c r="M35" s="77">
        <f>SUMIF('[1]SALES BY PROMOTOR'!$D:$D,$F35,'[1]SALES BY PROMOTOR'!$I:$I)</f>
        <v>2</v>
      </c>
      <c r="N35" s="75">
        <f t="shared" si="3"/>
        <v>0.5</v>
      </c>
      <c r="O35" s="78">
        <f>IFERROR(VLOOKUP($F35,'[1]Sales By Promotor Last Month'!D:G,4,0),0)</f>
        <v>14</v>
      </c>
      <c r="P35" s="78">
        <f t="shared" si="4"/>
        <v>1</v>
      </c>
      <c r="Q35" s="79">
        <f t="shared" si="5"/>
        <v>-13</v>
      </c>
      <c r="R35" s="80">
        <f t="shared" si="6"/>
        <v>-0.9285714285714286</v>
      </c>
      <c r="S35" s="78">
        <f>IFERROR(VLOOKUP($F35,'[1]Sales By Promotor Last Month'!D:I,6,0),0)</f>
        <v>20</v>
      </c>
      <c r="T35" s="78">
        <f t="shared" si="7"/>
        <v>2</v>
      </c>
      <c r="U35" s="79">
        <f t="shared" si="8"/>
        <v>-18</v>
      </c>
      <c r="V35" s="80">
        <f t="shared" si="9"/>
        <v>-0.9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29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19594000</v>
      </c>
      <c r="I36" s="75">
        <f t="shared" si="0"/>
        <v>0.16328333333333334</v>
      </c>
      <c r="J36" s="73">
        <f t="shared" si="1"/>
        <v>73477500</v>
      </c>
      <c r="K36" s="76">
        <f t="shared" si="2"/>
        <v>3265666.6666666665</v>
      </c>
      <c r="L36" s="77">
        <f>SUMIF('[1]SALES BY PROMOTOR'!$D:$D,$F36,'[1]SALES BY PROMOTOR'!$G:$G)</f>
        <v>1</v>
      </c>
      <c r="M36" s="77">
        <f>SUMIF('[1]SALES BY PROMOTOR'!$D:$D,$F36,'[1]SALES BY PROMOTOR'!$I:$I)</f>
        <v>6</v>
      </c>
      <c r="N36" s="75">
        <f t="shared" si="3"/>
        <v>0.16666666666666666</v>
      </c>
      <c r="O36" s="78">
        <f>IFERROR(VLOOKUP($F36,'[1]Sales By Promotor Last Month'!D:G,4,0),0)</f>
        <v>20</v>
      </c>
      <c r="P36" s="78">
        <f t="shared" si="4"/>
        <v>1</v>
      </c>
      <c r="Q36" s="79">
        <f t="shared" si="5"/>
        <v>-19</v>
      </c>
      <c r="R36" s="80">
        <f t="shared" si="6"/>
        <v>-0.95</v>
      </c>
      <c r="S36" s="78">
        <f>IFERROR(VLOOKUP($F36,'[1]Sales By Promotor Last Month'!D:I,6,0),0)</f>
        <v>38</v>
      </c>
      <c r="T36" s="78">
        <f t="shared" si="7"/>
        <v>6</v>
      </c>
      <c r="U36" s="79">
        <f t="shared" si="8"/>
        <v>-32</v>
      </c>
      <c r="V36" s="80">
        <f t="shared" si="9"/>
        <v>-0.84210526315789469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0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27993000</v>
      </c>
      <c r="I37" s="75">
        <f t="shared" si="0"/>
        <v>0.23327500000000001</v>
      </c>
      <c r="J37" s="73">
        <f t="shared" si="1"/>
        <v>104973750</v>
      </c>
      <c r="K37" s="76">
        <f t="shared" si="2"/>
        <v>3999000</v>
      </c>
      <c r="L37" s="77">
        <f>SUMIF('[1]SALES BY PROMOTOR'!$D:$D,$F37,'[1]SALES BY PROMOTOR'!$G:$G)</f>
        <v>4</v>
      </c>
      <c r="M37" s="77">
        <f>SUMIF('[1]SALES BY PROMOTOR'!$D:$D,$F37,'[1]SALES BY PROMOTOR'!$I:$I)</f>
        <v>7</v>
      </c>
      <c r="N37" s="75">
        <f t="shared" si="3"/>
        <v>0.5714285714285714</v>
      </c>
      <c r="O37" s="78">
        <f>IFERROR(VLOOKUP($F37,'[1]Sales By Promotor Last Month'!D:G,4,0),0)</f>
        <v>8</v>
      </c>
      <c r="P37" s="78">
        <f t="shared" si="4"/>
        <v>4</v>
      </c>
      <c r="Q37" s="79">
        <f t="shared" si="5"/>
        <v>-4</v>
      </c>
      <c r="R37" s="80">
        <f t="shared" si="6"/>
        <v>-0.5</v>
      </c>
      <c r="S37" s="78">
        <f>IFERROR(VLOOKUP($F37,'[1]Sales By Promotor Last Month'!D:I,6,0),0)</f>
        <v>25</v>
      </c>
      <c r="T37" s="78">
        <f t="shared" si="7"/>
        <v>7</v>
      </c>
      <c r="U37" s="79">
        <f t="shared" si="8"/>
        <v>-18</v>
      </c>
      <c r="V37" s="80">
        <f t="shared" si="9"/>
        <v>-0.72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29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37591000</v>
      </c>
      <c r="I38" s="75">
        <f t="shared" si="0"/>
        <v>0.31325833333333336</v>
      </c>
      <c r="J38" s="73">
        <f t="shared" si="1"/>
        <v>140966250</v>
      </c>
      <c r="K38" s="76">
        <f t="shared" si="2"/>
        <v>4176777.777777778</v>
      </c>
      <c r="L38" s="77">
        <f>SUMIF('[1]SALES BY PROMOTOR'!$D:$D,$F38,'[1]SALES BY PROMOTOR'!$G:$G)</f>
        <v>4</v>
      </c>
      <c r="M38" s="77">
        <f>SUMIF('[1]SALES BY PROMOTOR'!$D:$D,$F38,'[1]SALES BY PROMOTOR'!$I:$I)</f>
        <v>9</v>
      </c>
      <c r="N38" s="75">
        <f t="shared" si="3"/>
        <v>0.44444444444444442</v>
      </c>
      <c r="O38" s="78">
        <f>IFERROR(VLOOKUP($F38,'[1]Sales By Promotor Last Month'!D:G,4,0),0)</f>
        <v>8</v>
      </c>
      <c r="P38" s="78">
        <f t="shared" si="4"/>
        <v>4</v>
      </c>
      <c r="Q38" s="79">
        <f t="shared" si="5"/>
        <v>-4</v>
      </c>
      <c r="R38" s="80">
        <f t="shared" si="6"/>
        <v>-0.5</v>
      </c>
      <c r="S38" s="78">
        <f>IFERROR(VLOOKUP($F38,'[1]Sales By Promotor Last Month'!D:I,6,0),0)</f>
        <v>18</v>
      </c>
      <c r="T38" s="78">
        <f t="shared" si="7"/>
        <v>9</v>
      </c>
      <c r="U38" s="79">
        <f t="shared" si="8"/>
        <v>-9</v>
      </c>
      <c r="V38" s="80">
        <f t="shared" si="9"/>
        <v>-0.5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299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38288000</v>
      </c>
      <c r="I39" s="75">
        <f t="shared" si="0"/>
        <v>0.31906666666666667</v>
      </c>
      <c r="J39" s="73">
        <f t="shared" si="1"/>
        <v>143580000</v>
      </c>
      <c r="K39" s="76">
        <f t="shared" si="2"/>
        <v>3190666.6666666665</v>
      </c>
      <c r="L39" s="77">
        <f>SUMIF('[1]SALES BY PROMOTOR'!$D:$D,$F39,'[1]SALES BY PROMOTOR'!$G:$G)</f>
        <v>4</v>
      </c>
      <c r="M39" s="77">
        <f>SUMIF('[1]SALES BY PROMOTOR'!$D:$D,$F39,'[1]SALES BY PROMOTOR'!$I:$I)</f>
        <v>12</v>
      </c>
      <c r="N39" s="75">
        <f t="shared" si="3"/>
        <v>0.33333333333333331</v>
      </c>
      <c r="O39" s="78">
        <f>IFERROR(VLOOKUP($F39,'[1]Sales By Promotor Last Month'!D:G,4,0),0)</f>
        <v>14</v>
      </c>
      <c r="P39" s="78">
        <f t="shared" si="4"/>
        <v>4</v>
      </c>
      <c r="Q39" s="79">
        <f t="shared" si="5"/>
        <v>-10</v>
      </c>
      <c r="R39" s="80">
        <f t="shared" si="6"/>
        <v>-0.7142857142857143</v>
      </c>
      <c r="S39" s="78">
        <f>IFERROR(VLOOKUP($F39,'[1]Sales By Promotor Last Month'!D:I,6,0),0)</f>
        <v>35</v>
      </c>
      <c r="T39" s="78">
        <f t="shared" si="7"/>
        <v>12</v>
      </c>
      <c r="U39" s="79">
        <f t="shared" si="8"/>
        <v>-23</v>
      </c>
      <c r="V39" s="80">
        <f t="shared" si="9"/>
        <v>-0.65714285714285714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0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40588000</v>
      </c>
      <c r="I40" s="75">
        <f t="shared" si="0"/>
        <v>0.33823333333333333</v>
      </c>
      <c r="J40" s="73">
        <f t="shared" si="1"/>
        <v>152205000</v>
      </c>
      <c r="K40" s="76">
        <f t="shared" si="2"/>
        <v>3382333.3333333335</v>
      </c>
      <c r="L40" s="77">
        <f>SUMIF('[1]SALES BY PROMOTOR'!$D:$D,$F40,'[1]SALES BY PROMOTOR'!$G:$G)</f>
        <v>2</v>
      </c>
      <c r="M40" s="77">
        <f>SUMIF('[1]SALES BY PROMOTOR'!$D:$D,$F40,'[1]SALES BY PROMOTOR'!$I:$I)</f>
        <v>12</v>
      </c>
      <c r="N40" s="75">
        <f t="shared" si="3"/>
        <v>0.16666666666666666</v>
      </c>
      <c r="O40" s="78">
        <f>IFERROR(VLOOKUP($F40,'[1]Sales By Promotor Last Month'!D:G,4,0),0)</f>
        <v>8</v>
      </c>
      <c r="P40" s="78">
        <f t="shared" si="4"/>
        <v>2</v>
      </c>
      <c r="Q40" s="79">
        <f t="shared" si="5"/>
        <v>-6</v>
      </c>
      <c r="R40" s="80">
        <f t="shared" si="6"/>
        <v>-0.75</v>
      </c>
      <c r="S40" s="78">
        <f>IFERROR(VLOOKUP($F40,'[1]Sales By Promotor Last Month'!D:I,6,0),0)</f>
        <v>35</v>
      </c>
      <c r="T40" s="78">
        <f t="shared" si="7"/>
        <v>12</v>
      </c>
      <c r="U40" s="79">
        <f t="shared" si="8"/>
        <v>-23</v>
      </c>
      <c r="V40" s="80">
        <f t="shared" si="9"/>
        <v>-0.65714285714285714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29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39191000</v>
      </c>
      <c r="I41" s="75">
        <f t="shared" si="0"/>
        <v>0.23053529411764706</v>
      </c>
      <c r="J41" s="73">
        <f t="shared" si="1"/>
        <v>146966250</v>
      </c>
      <c r="K41" s="76">
        <f t="shared" si="2"/>
        <v>4354555.555555556</v>
      </c>
      <c r="L41" s="77">
        <f>SUMIF('[1]SALES BY PROMOTOR'!$D:$D,$F41,'[1]SALES BY PROMOTOR'!$G:$G)</f>
        <v>4</v>
      </c>
      <c r="M41" s="77">
        <f>SUMIF('[1]SALES BY PROMOTOR'!$D:$D,$F41,'[1]SALES BY PROMOTOR'!$I:$I)</f>
        <v>9</v>
      </c>
      <c r="N41" s="75">
        <f t="shared" si="3"/>
        <v>0.44444444444444442</v>
      </c>
      <c r="O41" s="78">
        <f>IFERROR(VLOOKUP($F41,'[1]Sales By Promotor Last Month'!D:G,4,0),0)</f>
        <v>23</v>
      </c>
      <c r="P41" s="78">
        <f t="shared" si="4"/>
        <v>4</v>
      </c>
      <c r="Q41" s="79">
        <f t="shared" si="5"/>
        <v>-19</v>
      </c>
      <c r="R41" s="80">
        <f t="shared" si="6"/>
        <v>-0.82608695652173914</v>
      </c>
      <c r="S41" s="78">
        <f>IFERROR(VLOOKUP($F41,'[1]Sales By Promotor Last Month'!D:I,6,0),0)</f>
        <v>35</v>
      </c>
      <c r="T41" s="78">
        <f t="shared" si="7"/>
        <v>9</v>
      </c>
      <c r="U41" s="79">
        <f t="shared" si="8"/>
        <v>-26</v>
      </c>
      <c r="V41" s="80">
        <f t="shared" si="9"/>
        <v>-0.74285714285714288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299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23093000</v>
      </c>
      <c r="I42" s="75">
        <f t="shared" si="0"/>
        <v>0.13584117647058824</v>
      </c>
      <c r="J42" s="73">
        <f t="shared" si="1"/>
        <v>86598750</v>
      </c>
      <c r="K42" s="76">
        <f t="shared" si="2"/>
        <v>3299000</v>
      </c>
      <c r="L42" s="77">
        <f>SUMIF('[1]SALES BY PROMOTOR'!$D:$D,$F42,'[1]SALES BY PROMOTOR'!$G:$G)</f>
        <v>2</v>
      </c>
      <c r="M42" s="77">
        <f>SUMIF('[1]SALES BY PROMOTOR'!$D:$D,$F42,'[1]SALES BY PROMOTOR'!$I:$I)</f>
        <v>7</v>
      </c>
      <c r="N42" s="75">
        <f t="shared" si="3"/>
        <v>0.2857142857142857</v>
      </c>
      <c r="O42" s="78">
        <f>IFERROR(VLOOKUP($F42,'[1]Sales By Promotor Last Month'!D:G,4,0),0)</f>
        <v>16</v>
      </c>
      <c r="P42" s="78">
        <f t="shared" si="4"/>
        <v>2</v>
      </c>
      <c r="Q42" s="79">
        <f t="shared" si="5"/>
        <v>-14</v>
      </c>
      <c r="R42" s="80">
        <f t="shared" si="6"/>
        <v>-0.875</v>
      </c>
      <c r="S42" s="78">
        <f>IFERROR(VLOOKUP($F42,'[1]Sales By Promotor Last Month'!D:I,6,0),0)</f>
        <v>35</v>
      </c>
      <c r="T42" s="78">
        <f t="shared" si="7"/>
        <v>7</v>
      </c>
      <c r="U42" s="79">
        <f t="shared" si="8"/>
        <v>-28</v>
      </c>
      <c r="V42" s="80">
        <f t="shared" si="9"/>
        <v>-0.8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0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40995000</v>
      </c>
      <c r="I43" s="75">
        <f t="shared" si="0"/>
        <v>0.24114705882352941</v>
      </c>
      <c r="J43" s="73">
        <f t="shared" si="1"/>
        <v>153731250</v>
      </c>
      <c r="K43" s="76">
        <f t="shared" si="2"/>
        <v>8199000</v>
      </c>
      <c r="L43" s="77">
        <f>SUMIF('[1]SALES BY PROMOTOR'!$D:$D,$F43,'[1]SALES BY PROMOTOR'!$G:$G)</f>
        <v>3</v>
      </c>
      <c r="M43" s="77">
        <f>SUMIF('[1]SALES BY PROMOTOR'!$D:$D,$F43,'[1]SALES BY PROMOTOR'!$I:$I)</f>
        <v>5</v>
      </c>
      <c r="N43" s="75">
        <f t="shared" si="3"/>
        <v>0.6</v>
      </c>
      <c r="O43" s="78">
        <f>IFERROR(VLOOKUP($F43,'[1]Sales By Promotor Last Month'!D:G,4,0),0)</f>
        <v>10</v>
      </c>
      <c r="P43" s="78">
        <f t="shared" si="4"/>
        <v>3</v>
      </c>
      <c r="Q43" s="79">
        <f t="shared" si="5"/>
        <v>-7</v>
      </c>
      <c r="R43" s="80">
        <f t="shared" si="6"/>
        <v>-0.7</v>
      </c>
      <c r="S43" s="78">
        <f>IFERROR(VLOOKUP($F43,'[1]Sales By Promotor Last Month'!D:I,6,0),0)</f>
        <v>16</v>
      </c>
      <c r="T43" s="78">
        <f t="shared" si="7"/>
        <v>5</v>
      </c>
      <c r="U43" s="79">
        <f t="shared" si="8"/>
        <v>-11</v>
      </c>
      <c r="V43" s="80">
        <f t="shared" si="9"/>
        <v>-0.6875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29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39993000</v>
      </c>
      <c r="I44" s="75">
        <f t="shared" si="0"/>
        <v>0.33327499999999999</v>
      </c>
      <c r="J44" s="73">
        <f t="shared" si="1"/>
        <v>149973750</v>
      </c>
      <c r="K44" s="76">
        <f t="shared" si="2"/>
        <v>5713285.7142857146</v>
      </c>
      <c r="L44" s="77">
        <f>SUMIF('[1]SALES BY PROMOTOR'!$D:$D,$F44,'[1]SALES BY PROMOTOR'!$G:$G)</f>
        <v>4</v>
      </c>
      <c r="M44" s="77">
        <f>SUMIF('[1]SALES BY PROMOTOR'!$D:$D,$F44,'[1]SALES BY PROMOTOR'!$I:$I)</f>
        <v>7</v>
      </c>
      <c r="N44" s="75">
        <f t="shared" si="3"/>
        <v>0.5714285714285714</v>
      </c>
      <c r="O44" s="78">
        <f>IFERROR(VLOOKUP($F44,'[1]Sales By Promotor Last Month'!D:G,4,0),0)</f>
        <v>15</v>
      </c>
      <c r="P44" s="78">
        <f t="shared" si="4"/>
        <v>4</v>
      </c>
      <c r="Q44" s="79">
        <f t="shared" si="5"/>
        <v>-11</v>
      </c>
      <c r="R44" s="80">
        <f t="shared" si="6"/>
        <v>-0.73333333333333328</v>
      </c>
      <c r="S44" s="78">
        <f>IFERROR(VLOOKUP($F44,'[1]Sales By Promotor Last Month'!D:I,6,0),0)</f>
        <v>30</v>
      </c>
      <c r="T44" s="78">
        <f t="shared" si="7"/>
        <v>7</v>
      </c>
      <c r="U44" s="79">
        <f t="shared" si="8"/>
        <v>-23</v>
      </c>
      <c r="V44" s="80">
        <f t="shared" si="9"/>
        <v>-0.76666666666666672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299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16996000</v>
      </c>
      <c r="I45" s="75">
        <f t="shared" si="0"/>
        <v>0.14163333333333333</v>
      </c>
      <c r="J45" s="73">
        <f t="shared" si="1"/>
        <v>63735000</v>
      </c>
      <c r="K45" s="76">
        <f t="shared" si="2"/>
        <v>4249000</v>
      </c>
      <c r="L45" s="77">
        <f>SUMIF('[1]SALES BY PROMOTOR'!$D:$D,$F45,'[1]SALES BY PROMOTOR'!$G:$G)</f>
        <v>2</v>
      </c>
      <c r="M45" s="77">
        <f>SUMIF('[1]SALES BY PROMOTOR'!$D:$D,$F45,'[1]SALES BY PROMOTOR'!$I:$I)</f>
        <v>4</v>
      </c>
      <c r="N45" s="75">
        <f t="shared" si="3"/>
        <v>0.5</v>
      </c>
      <c r="O45" s="78">
        <f>IFERROR(VLOOKUP($F45,'[1]Sales By Promotor Last Month'!D:G,4,0),0)</f>
        <v>9</v>
      </c>
      <c r="P45" s="78">
        <f t="shared" si="4"/>
        <v>2</v>
      </c>
      <c r="Q45" s="79">
        <f t="shared" si="5"/>
        <v>-7</v>
      </c>
      <c r="R45" s="80">
        <f t="shared" si="6"/>
        <v>-0.77777777777777779</v>
      </c>
      <c r="S45" s="78">
        <f>IFERROR(VLOOKUP($F45,'[1]Sales By Promotor Last Month'!D:I,6,0),0)</f>
        <v>30</v>
      </c>
      <c r="T45" s="78">
        <f t="shared" si="7"/>
        <v>4</v>
      </c>
      <c r="U45" s="79">
        <f t="shared" si="8"/>
        <v>-26</v>
      </c>
      <c r="V45" s="80">
        <f t="shared" si="9"/>
        <v>-0.8666666666666667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299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36393000</v>
      </c>
      <c r="I46" s="75">
        <f t="shared" si="0"/>
        <v>0.30327500000000002</v>
      </c>
      <c r="J46" s="73">
        <f t="shared" si="1"/>
        <v>136473750</v>
      </c>
      <c r="K46" s="76">
        <f t="shared" si="2"/>
        <v>5199000</v>
      </c>
      <c r="L46" s="77">
        <f>SUMIF('[1]SALES BY PROMOTOR'!$D:$D,$F46,'[1]SALES BY PROMOTOR'!$G:$G)</f>
        <v>5</v>
      </c>
      <c r="M46" s="77">
        <f>SUMIF('[1]SALES BY PROMOTOR'!$D:$D,$F46,'[1]SALES BY PROMOTOR'!$I:$I)</f>
        <v>7</v>
      </c>
      <c r="N46" s="75">
        <f t="shared" si="3"/>
        <v>0.7142857142857143</v>
      </c>
      <c r="O46" s="78">
        <f>IFERROR(VLOOKUP($F46,'[1]Sales By Promotor Last Month'!D:G,4,0),0)</f>
        <v>10</v>
      </c>
      <c r="P46" s="78">
        <f t="shared" si="4"/>
        <v>5</v>
      </c>
      <c r="Q46" s="79">
        <f t="shared" si="5"/>
        <v>-5</v>
      </c>
      <c r="R46" s="80">
        <f t="shared" si="6"/>
        <v>-0.5</v>
      </c>
      <c r="S46" s="78">
        <f>IFERROR(VLOOKUP($F46,'[1]Sales By Promotor Last Month'!D:I,6,0),0)</f>
        <v>25</v>
      </c>
      <c r="T46" s="78">
        <f t="shared" si="7"/>
        <v>7</v>
      </c>
      <c r="U46" s="79">
        <f t="shared" si="8"/>
        <v>-18</v>
      </c>
      <c r="V46" s="80">
        <f t="shared" si="9"/>
        <v>-0.72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299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7598000</v>
      </c>
      <c r="I47" s="75">
        <f t="shared" si="0"/>
        <v>6.331666666666666E-2</v>
      </c>
      <c r="J47" s="73">
        <f t="shared" si="1"/>
        <v>28492500</v>
      </c>
      <c r="K47" s="76">
        <f t="shared" si="2"/>
        <v>3799000</v>
      </c>
      <c r="L47" s="77">
        <f>SUMIF('[1]SALES BY PROMOTOR'!$D:$D,$F47,'[1]SALES BY PROMOTOR'!$G:$G)</f>
        <v>1</v>
      </c>
      <c r="M47" s="77">
        <f>SUMIF('[1]SALES BY PROMOTOR'!$D:$D,$F47,'[1]SALES BY PROMOTOR'!$I:$I)</f>
        <v>2</v>
      </c>
      <c r="N47" s="75">
        <f t="shared" si="3"/>
        <v>0.5</v>
      </c>
      <c r="O47" s="78">
        <f>IFERROR(VLOOKUP($F47,'[1]Sales By Promotor Last Month'!D:G,4,0),0)</f>
        <v>11</v>
      </c>
      <c r="P47" s="78">
        <f t="shared" si="4"/>
        <v>1</v>
      </c>
      <c r="Q47" s="79">
        <f t="shared" si="5"/>
        <v>-10</v>
      </c>
      <c r="R47" s="80">
        <f t="shared" si="6"/>
        <v>-0.90909090909090906</v>
      </c>
      <c r="S47" s="78">
        <f>IFERROR(VLOOKUP($F47,'[1]Sales By Promotor Last Month'!D:I,6,0),0)</f>
        <v>18</v>
      </c>
      <c r="T47" s="78">
        <f t="shared" si="7"/>
        <v>2</v>
      </c>
      <c r="U47" s="79">
        <f t="shared" si="8"/>
        <v>-16</v>
      </c>
      <c r="V47" s="80">
        <f t="shared" si="9"/>
        <v>-0.88888888888888884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299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12896000</v>
      </c>
      <c r="I48" s="75">
        <f t="shared" si="0"/>
        <v>0.10746666666666667</v>
      </c>
      <c r="J48" s="73">
        <f t="shared" si="1"/>
        <v>48360000</v>
      </c>
      <c r="K48" s="76">
        <f t="shared" si="2"/>
        <v>3224000</v>
      </c>
      <c r="L48" s="77">
        <f>SUMIF('[1]SALES BY PROMOTOR'!$D:$D,$F48,'[1]SALES BY PROMOTOR'!$G:$G)</f>
        <v>2</v>
      </c>
      <c r="M48" s="77">
        <f>SUMIF('[1]SALES BY PROMOTOR'!$D:$D,$F48,'[1]SALES BY PROMOTOR'!$I:$I)</f>
        <v>4</v>
      </c>
      <c r="N48" s="75">
        <f t="shared" si="3"/>
        <v>0.5</v>
      </c>
      <c r="O48" s="78">
        <f>IFERROR(VLOOKUP($F48,'[1]Sales By Promotor Last Month'!D:G,4,0),0)</f>
        <v>0</v>
      </c>
      <c r="P48" s="78">
        <f t="shared" si="4"/>
        <v>2</v>
      </c>
      <c r="Q48" s="79">
        <f t="shared" si="5"/>
        <v>2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4</v>
      </c>
      <c r="U48" s="79">
        <f t="shared" si="8"/>
        <v>4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0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7797000</v>
      </c>
      <c r="I50" s="75">
        <f t="shared" si="0"/>
        <v>6.4975000000000005E-2</v>
      </c>
      <c r="J50" s="73">
        <f t="shared" si="1"/>
        <v>29238750</v>
      </c>
      <c r="K50" s="76">
        <f t="shared" si="2"/>
        <v>2599000</v>
      </c>
      <c r="L50" s="77">
        <f>SUMIF('[1]SALES BY PROMOTOR'!$D:$D,$F50,'[1]SALES BY PROMOTOR'!$G:$G)</f>
        <v>1</v>
      </c>
      <c r="M50" s="77">
        <f>SUMIF('[1]SALES BY PROMOTOR'!$D:$D,$F50,'[1]SALES BY PROMOTOR'!$I:$I)</f>
        <v>3</v>
      </c>
      <c r="N50" s="75">
        <f t="shared" si="3"/>
        <v>0.33333333333333331</v>
      </c>
      <c r="O50" s="78">
        <f>IFERROR(VLOOKUP($F50,'[1]Sales By Promotor Last Month'!D:G,4,0),0)</f>
        <v>15</v>
      </c>
      <c r="P50" s="78">
        <f t="shared" si="4"/>
        <v>1</v>
      </c>
      <c r="Q50" s="79">
        <f t="shared" si="5"/>
        <v>-14</v>
      </c>
      <c r="R50" s="80">
        <f t="shared" si="6"/>
        <v>-0.93333333333333335</v>
      </c>
      <c r="S50" s="78">
        <f>IFERROR(VLOOKUP($F50,'[1]Sales By Promotor Last Month'!D:I,6,0),0)</f>
        <v>31</v>
      </c>
      <c r="T50" s="78">
        <f t="shared" si="7"/>
        <v>3</v>
      </c>
      <c r="U50" s="79">
        <f t="shared" si="8"/>
        <v>-28</v>
      </c>
      <c r="V50" s="80">
        <f t="shared" si="9"/>
        <v>-0.90322580645161288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7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10597000</v>
      </c>
      <c r="I51" s="75">
        <f t="shared" si="0"/>
        <v>8.8308333333333336E-2</v>
      </c>
      <c r="J51" s="73">
        <f t="shared" si="1"/>
        <v>39738750</v>
      </c>
      <c r="K51" s="76">
        <f t="shared" si="2"/>
        <v>3532333.3333333335</v>
      </c>
      <c r="L51" s="77">
        <f>SUMIF('[1]SALES BY PROMOTOR'!$D:$D,$F51,'[1]SALES BY PROMOTOR'!$G:$G)</f>
        <v>2</v>
      </c>
      <c r="M51" s="77">
        <f>SUMIF('[1]SALES BY PROMOTOR'!$D:$D,$F51,'[1]SALES BY PROMOTOR'!$I:$I)</f>
        <v>3</v>
      </c>
      <c r="N51" s="75">
        <f t="shared" si="3"/>
        <v>0.66666666666666663</v>
      </c>
      <c r="O51" s="78">
        <f>IFERROR(VLOOKUP($F51,'[1]Sales By Promotor Last Month'!D:G,4,0),0)</f>
        <v>10</v>
      </c>
      <c r="P51" s="78">
        <f t="shared" si="4"/>
        <v>2</v>
      </c>
      <c r="Q51" s="79">
        <f t="shared" si="5"/>
        <v>-8</v>
      </c>
      <c r="R51" s="80">
        <f t="shared" si="6"/>
        <v>-0.8</v>
      </c>
      <c r="S51" s="78">
        <f>IFERROR(VLOOKUP($F51,'[1]Sales By Promotor Last Month'!D:I,6,0),0)</f>
        <v>25</v>
      </c>
      <c r="T51" s="78">
        <f t="shared" si="7"/>
        <v>3</v>
      </c>
      <c r="U51" s="79">
        <f t="shared" si="8"/>
        <v>-22</v>
      </c>
      <c r="V51" s="80">
        <f t="shared" si="9"/>
        <v>-0.88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3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21295000</v>
      </c>
      <c r="I52" s="75">
        <f t="shared" si="0"/>
        <v>0.17745833333333333</v>
      </c>
      <c r="J52" s="73">
        <f t="shared" si="1"/>
        <v>79856250</v>
      </c>
      <c r="K52" s="76">
        <f t="shared" si="2"/>
        <v>4259000</v>
      </c>
      <c r="L52" s="77">
        <f>SUMIF('[1]SALES BY PROMOTOR'!$D:$D,$F52,'[1]SALES BY PROMOTOR'!$G:$G)</f>
        <v>3</v>
      </c>
      <c r="M52" s="77">
        <f>SUMIF('[1]SALES BY PROMOTOR'!$D:$D,$F52,'[1]SALES BY PROMOTOR'!$I:$I)</f>
        <v>5</v>
      </c>
      <c r="N52" s="75">
        <f t="shared" si="3"/>
        <v>0.6</v>
      </c>
      <c r="O52" s="78">
        <f>IFERROR(VLOOKUP($F52,'[1]Sales By Promotor Last Month'!D:G,4,0),0)</f>
        <v>6</v>
      </c>
      <c r="P52" s="78">
        <f t="shared" si="4"/>
        <v>3</v>
      </c>
      <c r="Q52" s="79">
        <f t="shared" si="5"/>
        <v>-3</v>
      </c>
      <c r="R52" s="80">
        <f t="shared" si="6"/>
        <v>-0.5</v>
      </c>
      <c r="S52" s="78">
        <f>IFERROR(VLOOKUP($F52,'[1]Sales By Promotor Last Month'!D:I,6,0),0)</f>
        <v>10</v>
      </c>
      <c r="T52" s="78">
        <f t="shared" si="7"/>
        <v>5</v>
      </c>
      <c r="U52" s="79">
        <f t="shared" si="8"/>
        <v>-5</v>
      </c>
      <c r="V52" s="80">
        <f t="shared" si="9"/>
        <v>-0.5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29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49391000</v>
      </c>
      <c r="I53" s="75">
        <f t="shared" si="0"/>
        <v>0.35279285714285713</v>
      </c>
      <c r="J53" s="73">
        <f t="shared" si="1"/>
        <v>185216250</v>
      </c>
      <c r="K53" s="76">
        <f t="shared" si="2"/>
        <v>5487888.888888889</v>
      </c>
      <c r="L53" s="77">
        <f>SUMIF('[1]SALES BY PROMOTOR'!$D:$D,$F53,'[1]SALES BY PROMOTOR'!$G:$G)</f>
        <v>5</v>
      </c>
      <c r="M53" s="77">
        <f>SUMIF('[1]SALES BY PROMOTOR'!$D:$D,$F53,'[1]SALES BY PROMOTOR'!$I:$I)</f>
        <v>9</v>
      </c>
      <c r="N53" s="75">
        <f t="shared" si="3"/>
        <v>0.55555555555555558</v>
      </c>
      <c r="O53" s="78">
        <f>IFERROR(VLOOKUP($F53,'[1]Sales By Promotor Last Month'!D:G,4,0),0)</f>
        <v>21</v>
      </c>
      <c r="P53" s="78">
        <f t="shared" si="4"/>
        <v>5</v>
      </c>
      <c r="Q53" s="79">
        <f t="shared" si="5"/>
        <v>-16</v>
      </c>
      <c r="R53" s="80">
        <f t="shared" si="6"/>
        <v>-0.76190476190476186</v>
      </c>
      <c r="S53" s="78">
        <f>IFERROR(VLOOKUP($F53,'[1]Sales By Promotor Last Month'!D:I,6,0),0)</f>
        <v>32</v>
      </c>
      <c r="T53" s="78">
        <f t="shared" si="7"/>
        <v>9</v>
      </c>
      <c r="U53" s="79">
        <f t="shared" si="8"/>
        <v>-23</v>
      </c>
      <c r="V53" s="80">
        <f t="shared" si="9"/>
        <v>-0.71875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299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36791000</v>
      </c>
      <c r="I54" s="75">
        <f t="shared" si="0"/>
        <v>0.26279285714285716</v>
      </c>
      <c r="J54" s="73">
        <f t="shared" si="1"/>
        <v>137966250</v>
      </c>
      <c r="K54" s="76">
        <f t="shared" si="2"/>
        <v>4087888.888888889</v>
      </c>
      <c r="L54" s="77">
        <f>SUMIF('[1]SALES BY PROMOTOR'!$D:$D,$F54,'[1]SALES BY PROMOTOR'!$G:$G)</f>
        <v>5</v>
      </c>
      <c r="M54" s="77">
        <f>SUMIF('[1]SALES BY PROMOTOR'!$D:$D,$F54,'[1]SALES BY PROMOTOR'!$I:$I)</f>
        <v>9</v>
      </c>
      <c r="N54" s="75">
        <f t="shared" si="3"/>
        <v>0.55555555555555558</v>
      </c>
      <c r="O54" s="78">
        <f>IFERROR(VLOOKUP($F54,'[1]Sales By Promotor Last Month'!D:G,4,0),0)</f>
        <v>5</v>
      </c>
      <c r="P54" s="78">
        <f t="shared" si="4"/>
        <v>5</v>
      </c>
      <c r="Q54" s="79">
        <f t="shared" si="5"/>
        <v>0</v>
      </c>
      <c r="R54" s="80">
        <f t="shared" si="6"/>
        <v>0</v>
      </c>
      <c r="S54" s="78">
        <f>IFERROR(VLOOKUP($F54,'[1]Sales By Promotor Last Month'!D:I,6,0),0)</f>
        <v>11</v>
      </c>
      <c r="T54" s="78">
        <f t="shared" si="7"/>
        <v>9</v>
      </c>
      <c r="U54" s="79">
        <f t="shared" si="8"/>
        <v>-2</v>
      </c>
      <c r="V54" s="80">
        <f t="shared" si="9"/>
        <v>-0.18181818181818182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299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38193000</v>
      </c>
      <c r="I55" s="75">
        <f t="shared" si="0"/>
        <v>0.42436666666666667</v>
      </c>
      <c r="J55" s="73">
        <f t="shared" si="1"/>
        <v>143223750</v>
      </c>
      <c r="K55" s="76">
        <f t="shared" si="2"/>
        <v>5456142.8571428573</v>
      </c>
      <c r="L55" s="77">
        <f>SUMIF('[1]SALES BY PROMOTOR'!$D:$D,$F55,'[1]SALES BY PROMOTOR'!$G:$G)</f>
        <v>4</v>
      </c>
      <c r="M55" s="77">
        <f>SUMIF('[1]SALES BY PROMOTOR'!$D:$D,$F55,'[1]SALES BY PROMOTOR'!$I:$I)</f>
        <v>7</v>
      </c>
      <c r="N55" s="75">
        <f t="shared" si="3"/>
        <v>0.5714285714285714</v>
      </c>
      <c r="O55" s="78">
        <f>IFERROR(VLOOKUP($F55,'[1]Sales By Promotor Last Month'!D:G,4,0),0)</f>
        <v>12</v>
      </c>
      <c r="P55" s="78">
        <f t="shared" si="4"/>
        <v>4</v>
      </c>
      <c r="Q55" s="79">
        <f t="shared" si="5"/>
        <v>-8</v>
      </c>
      <c r="R55" s="80">
        <f t="shared" si="6"/>
        <v>-0.66666666666666663</v>
      </c>
      <c r="S55" s="78">
        <f>IFERROR(VLOOKUP($F55,'[1]Sales By Promotor Last Month'!D:I,6,0),0)</f>
        <v>17</v>
      </c>
      <c r="T55" s="78">
        <f t="shared" si="7"/>
        <v>7</v>
      </c>
      <c r="U55" s="79">
        <f t="shared" si="8"/>
        <v>-10</v>
      </c>
      <c r="V55" s="80">
        <f t="shared" si="9"/>
        <v>-0.58823529411764708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299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5198000</v>
      </c>
      <c r="I56" s="75">
        <f t="shared" si="0"/>
        <v>5.7755555555555553E-2</v>
      </c>
      <c r="J56" s="73">
        <f t="shared" si="1"/>
        <v>19492500</v>
      </c>
      <c r="K56" s="76">
        <f t="shared" si="2"/>
        <v>2599000</v>
      </c>
      <c r="L56" s="77">
        <f>SUMIF('[1]SALES BY PROMOTOR'!$D:$D,$F56,'[1]SALES BY PROMOTOR'!$G:$G)</f>
        <v>0</v>
      </c>
      <c r="M56" s="77">
        <f>SUMIF('[1]SALES BY PROMOTOR'!$D:$D,$F56,'[1]SALES BY PROMOTOR'!$I:$I)</f>
        <v>2</v>
      </c>
      <c r="N56" s="75">
        <f t="shared" si="3"/>
        <v>0</v>
      </c>
      <c r="O56" s="78">
        <f>IFERROR(VLOOKUP($F56,'[1]Sales By Promotor Last Month'!D:G,4,0),0)</f>
        <v>3</v>
      </c>
      <c r="P56" s="78">
        <f t="shared" si="4"/>
        <v>0</v>
      </c>
      <c r="Q56" s="79">
        <f t="shared" si="5"/>
        <v>-3</v>
      </c>
      <c r="R56" s="80">
        <f t="shared" si="6"/>
        <v>-1</v>
      </c>
      <c r="S56" s="78">
        <f>IFERROR(VLOOKUP($F56,'[1]Sales By Promotor Last Month'!D:I,6,0),0)</f>
        <v>6</v>
      </c>
      <c r="T56" s="78">
        <f t="shared" si="7"/>
        <v>2</v>
      </c>
      <c r="U56" s="79">
        <f t="shared" si="8"/>
        <v>-4</v>
      </c>
      <c r="V56" s="80">
        <f t="shared" si="9"/>
        <v>-0.66666666666666663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299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9098000</v>
      </c>
      <c r="I57" s="75">
        <f t="shared" si="0"/>
        <v>0</v>
      </c>
      <c r="J57" s="73">
        <f t="shared" si="1"/>
        <v>34117500</v>
      </c>
      <c r="K57" s="76">
        <f t="shared" si="2"/>
        <v>4549000</v>
      </c>
      <c r="L57" s="77">
        <f>SUMIF('[1]SALES BY PROMOTOR'!$D:$D,$F57,'[1]SALES BY PROMOTOR'!$G:$G)</f>
        <v>1</v>
      </c>
      <c r="M57" s="77">
        <f>SUMIF('[1]SALES BY PROMOTOR'!$D:$D,$F57,'[1]SALES BY PROMOTOR'!$I:$I)</f>
        <v>2</v>
      </c>
      <c r="N57" s="75">
        <f t="shared" si="3"/>
        <v>0.5</v>
      </c>
      <c r="O57" s="78">
        <f>IFERROR(VLOOKUP($F57,'[1]Sales By Promotor Last Month'!D:G,4,0),0)</f>
        <v>7</v>
      </c>
      <c r="P57" s="78">
        <f t="shared" si="4"/>
        <v>1</v>
      </c>
      <c r="Q57" s="79">
        <f t="shared" si="5"/>
        <v>-6</v>
      </c>
      <c r="R57" s="80">
        <f t="shared" si="6"/>
        <v>-0.8571428571428571</v>
      </c>
      <c r="S57" s="78">
        <f>IFERROR(VLOOKUP($F57,'[1]Sales By Promotor Last Month'!D:I,6,0),0)</f>
        <v>23</v>
      </c>
      <c r="T57" s="78">
        <f t="shared" si="7"/>
        <v>2</v>
      </c>
      <c r="U57" s="79">
        <f t="shared" si="8"/>
        <v>-21</v>
      </c>
      <c r="V57" s="80">
        <f t="shared" si="9"/>
        <v>-0.91304347826086951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299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22795000</v>
      </c>
      <c r="I58" s="75">
        <f t="shared" si="0"/>
        <v>0</v>
      </c>
      <c r="J58" s="73">
        <f t="shared" si="1"/>
        <v>85481250</v>
      </c>
      <c r="K58" s="76">
        <f t="shared" si="2"/>
        <v>4559000</v>
      </c>
      <c r="L58" s="77">
        <f>SUMIF('[1]SALES BY PROMOTOR'!$D:$D,$F58,'[1]SALES BY PROMOTOR'!$G:$G)</f>
        <v>3</v>
      </c>
      <c r="M58" s="77">
        <f>SUMIF('[1]SALES BY PROMOTOR'!$D:$D,$F58,'[1]SALES BY PROMOTOR'!$I:$I)</f>
        <v>5</v>
      </c>
      <c r="N58" s="75">
        <f t="shared" si="3"/>
        <v>0.6</v>
      </c>
      <c r="O58" s="78">
        <f>IFERROR(VLOOKUP($F58,'[1]Sales By Promotor Last Month'!D:G,4,0),0)</f>
        <v>5</v>
      </c>
      <c r="P58" s="78">
        <f t="shared" si="4"/>
        <v>3</v>
      </c>
      <c r="Q58" s="79">
        <f t="shared" si="5"/>
        <v>-2</v>
      </c>
      <c r="R58" s="80">
        <f t="shared" si="6"/>
        <v>-0.4</v>
      </c>
      <c r="S58" s="78">
        <f>IFERROR(VLOOKUP($F58,'[1]Sales By Promotor Last Month'!D:I,6,0),0)</f>
        <v>11</v>
      </c>
      <c r="T58" s="78">
        <f t="shared" si="7"/>
        <v>5</v>
      </c>
      <c r="U58" s="79">
        <f t="shared" si="8"/>
        <v>-6</v>
      </c>
      <c r="V58" s="80">
        <f t="shared" si="9"/>
        <v>-0.54545454545454541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299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29293000</v>
      </c>
      <c r="I59" s="75">
        <f t="shared" si="0"/>
        <v>0.20923571428571427</v>
      </c>
      <c r="J59" s="73">
        <f t="shared" si="1"/>
        <v>109848750</v>
      </c>
      <c r="K59" s="76">
        <f t="shared" si="2"/>
        <v>4184714.2857142859</v>
      </c>
      <c r="L59" s="77">
        <f>SUMIF('[1]SALES BY PROMOTOR'!$D:$D,$F59,'[1]SALES BY PROMOTOR'!$G:$G)</f>
        <v>6</v>
      </c>
      <c r="M59" s="77">
        <f>SUMIF('[1]SALES BY PROMOTOR'!$D:$D,$F59,'[1]SALES BY PROMOTOR'!$I:$I)</f>
        <v>7</v>
      </c>
      <c r="N59" s="75">
        <f t="shared" si="3"/>
        <v>0.8571428571428571</v>
      </c>
      <c r="O59" s="78">
        <f>IFERROR(VLOOKUP($F59,'[1]Sales By Promotor Last Month'!D:G,4,0),0)</f>
        <v>16</v>
      </c>
      <c r="P59" s="78">
        <f t="shared" si="4"/>
        <v>6</v>
      </c>
      <c r="Q59" s="79">
        <f t="shared" si="5"/>
        <v>-10</v>
      </c>
      <c r="R59" s="80">
        <f t="shared" si="6"/>
        <v>-0.625</v>
      </c>
      <c r="S59" s="78">
        <f>IFERROR(VLOOKUP($F59,'[1]Sales By Promotor Last Month'!D:I,6,0),0)</f>
        <v>35</v>
      </c>
      <c r="T59" s="78">
        <f t="shared" si="7"/>
        <v>7</v>
      </c>
      <c r="U59" s="79">
        <f t="shared" si="8"/>
        <v>-28</v>
      </c>
      <c r="V59" s="80">
        <f t="shared" si="9"/>
        <v>-0.8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0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37590000</v>
      </c>
      <c r="I60" s="75">
        <f t="shared" si="0"/>
        <v>0.26850000000000002</v>
      </c>
      <c r="J60" s="73">
        <f t="shared" si="1"/>
        <v>140962500</v>
      </c>
      <c r="K60" s="76">
        <f t="shared" si="2"/>
        <v>3759000</v>
      </c>
      <c r="L60" s="77">
        <f>SUMIF('[1]SALES BY PROMOTOR'!$D:$D,$F60,'[1]SALES BY PROMOTOR'!$G:$G)</f>
        <v>6</v>
      </c>
      <c r="M60" s="77">
        <f>SUMIF('[1]SALES BY PROMOTOR'!$D:$D,$F60,'[1]SALES BY PROMOTOR'!$I:$I)</f>
        <v>10</v>
      </c>
      <c r="N60" s="75">
        <f t="shared" si="3"/>
        <v>0.6</v>
      </c>
      <c r="O60" s="78">
        <f>IFERROR(VLOOKUP($F60,'[1]Sales By Promotor Last Month'!D:G,4,0),0)</f>
        <v>11</v>
      </c>
      <c r="P60" s="78">
        <f t="shared" si="4"/>
        <v>6</v>
      </c>
      <c r="Q60" s="79">
        <f t="shared" si="5"/>
        <v>-5</v>
      </c>
      <c r="R60" s="80">
        <f t="shared" si="6"/>
        <v>-0.45454545454545453</v>
      </c>
      <c r="S60" s="78">
        <f>IFERROR(VLOOKUP($F60,'[1]Sales By Promotor Last Month'!D:I,6,0),0)</f>
        <v>31</v>
      </c>
      <c r="T60" s="78">
        <f t="shared" si="7"/>
        <v>10</v>
      </c>
      <c r="U60" s="79">
        <f t="shared" si="8"/>
        <v>-21</v>
      </c>
      <c r="V60" s="80">
        <f t="shared" si="9"/>
        <v>-0.67741935483870963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299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14696000</v>
      </c>
      <c r="I62" s="75">
        <f t="shared" si="0"/>
        <v>8.6447058823529419E-2</v>
      </c>
      <c r="J62" s="73">
        <f t="shared" si="1"/>
        <v>55110000</v>
      </c>
      <c r="K62" s="76">
        <f t="shared" si="2"/>
        <v>3674000</v>
      </c>
      <c r="L62" s="77">
        <f>SUMIF('[1]SALES BY PROMOTOR'!$D:$D,$F62,'[1]SALES BY PROMOTOR'!$G:$G)</f>
        <v>2</v>
      </c>
      <c r="M62" s="77">
        <f>SUMIF('[1]SALES BY PROMOTOR'!$D:$D,$F62,'[1]SALES BY PROMOTOR'!$I:$I)</f>
        <v>4</v>
      </c>
      <c r="N62" s="75">
        <f t="shared" si="3"/>
        <v>0.5</v>
      </c>
      <c r="O62" s="78">
        <f>IFERROR(VLOOKUP($F62,'[1]Sales By Promotor Last Month'!D:G,4,0),0)</f>
        <v>15</v>
      </c>
      <c r="P62" s="78">
        <f t="shared" si="4"/>
        <v>2</v>
      </c>
      <c r="Q62" s="79">
        <f t="shared" si="5"/>
        <v>-13</v>
      </c>
      <c r="R62" s="80">
        <f t="shared" si="6"/>
        <v>-0.8666666666666667</v>
      </c>
      <c r="S62" s="78">
        <f>IFERROR(VLOOKUP($F62,'[1]Sales By Promotor Last Month'!D:I,6,0),0)</f>
        <v>30</v>
      </c>
      <c r="T62" s="78">
        <f t="shared" si="7"/>
        <v>4</v>
      </c>
      <c r="U62" s="79">
        <f t="shared" si="8"/>
        <v>-26</v>
      </c>
      <c r="V62" s="80">
        <f t="shared" si="9"/>
        <v>-0.8666666666666667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299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24795000</v>
      </c>
      <c r="I63" s="75">
        <f t="shared" si="0"/>
        <v>0.1458529411764706</v>
      </c>
      <c r="J63" s="73">
        <f t="shared" si="1"/>
        <v>92981250</v>
      </c>
      <c r="K63" s="76">
        <f t="shared" si="2"/>
        <v>4959000</v>
      </c>
      <c r="L63" s="77">
        <f>SUMIF('[1]SALES BY PROMOTOR'!$D:$D,$F63,'[1]SALES BY PROMOTOR'!$G:$G)</f>
        <v>3</v>
      </c>
      <c r="M63" s="77">
        <f>SUMIF('[1]SALES BY PROMOTOR'!$D:$D,$F63,'[1]SALES BY PROMOTOR'!$I:$I)</f>
        <v>5</v>
      </c>
      <c r="N63" s="75">
        <f t="shared" si="3"/>
        <v>0.6</v>
      </c>
      <c r="O63" s="78">
        <f>IFERROR(VLOOKUP($F63,'[1]Sales By Promotor Last Month'!D:G,4,0),0)</f>
        <v>15</v>
      </c>
      <c r="P63" s="78">
        <f t="shared" si="4"/>
        <v>3</v>
      </c>
      <c r="Q63" s="79">
        <f t="shared" si="5"/>
        <v>-12</v>
      </c>
      <c r="R63" s="80">
        <f t="shared" si="6"/>
        <v>-0.8</v>
      </c>
      <c r="S63" s="78">
        <f>IFERROR(VLOOKUP($F63,'[1]Sales By Promotor Last Month'!D:I,6,0),0)</f>
        <v>30</v>
      </c>
      <c r="T63" s="78">
        <f t="shared" si="7"/>
        <v>5</v>
      </c>
      <c r="U63" s="79">
        <f t="shared" si="8"/>
        <v>-25</v>
      </c>
      <c r="V63" s="80">
        <f t="shared" si="9"/>
        <v>-0.83333333333333337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299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3599000</v>
      </c>
      <c r="I64" s="75">
        <f t="shared" si="0"/>
        <v>2.9991666666666666E-2</v>
      </c>
      <c r="J64" s="73">
        <f t="shared" si="1"/>
        <v>13496250</v>
      </c>
      <c r="K64" s="76">
        <f t="shared" si="2"/>
        <v>3599000</v>
      </c>
      <c r="L64" s="77">
        <f>SUMIF('[1]SALES BY PROMOTOR'!$D:$D,$F64,'[1]SALES BY PROMOTOR'!$G:$G)</f>
        <v>1</v>
      </c>
      <c r="M64" s="77">
        <f>SUMIF('[1]SALES BY PROMOTOR'!$D:$D,$F64,'[1]SALES BY PROMOTOR'!$I:$I)</f>
        <v>1</v>
      </c>
      <c r="N64" s="75">
        <f t="shared" si="3"/>
        <v>1</v>
      </c>
      <c r="O64" s="78">
        <f>IFERROR(VLOOKUP($F64,'[1]Sales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IFERROR(VLOOKUP($F64,'[1]Sales By Promotor Last Month'!D:I,6,0),0)</f>
        <v>1</v>
      </c>
      <c r="T64" s="78">
        <f t="shared" si="7"/>
        <v>1</v>
      </c>
      <c r="U64" s="79">
        <f t="shared" si="8"/>
        <v>0</v>
      </c>
      <c r="V64" s="80">
        <f t="shared" si="9"/>
        <v>0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299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299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8399000</v>
      </c>
      <c r="I66" s="75">
        <f t="shared" si="0"/>
        <v>6.999166666666666E-2</v>
      </c>
      <c r="J66" s="73">
        <f t="shared" si="1"/>
        <v>31496250</v>
      </c>
      <c r="K66" s="76">
        <f t="shared" si="2"/>
        <v>8399000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1</v>
      </c>
      <c r="N66" s="75">
        <f t="shared" si="3"/>
        <v>1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1</v>
      </c>
      <c r="U66" s="79">
        <f t="shared" si="8"/>
        <v>-28</v>
      </c>
      <c r="V66" s="80">
        <f t="shared" si="9"/>
        <v>-0.96551724137931039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299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68494000</v>
      </c>
      <c r="I67" s="75">
        <f t="shared" si="0"/>
        <v>0.57078333333333331</v>
      </c>
      <c r="J67" s="73">
        <f t="shared" si="1"/>
        <v>256852500</v>
      </c>
      <c r="K67" s="76">
        <f t="shared" si="2"/>
        <v>11415666.666666666</v>
      </c>
      <c r="L67" s="77">
        <f>SUMIF('[1]SALES BY PROMOTOR'!$D:$D,$F67,'[1]SALES BY PROMOTOR'!$G:$G)</f>
        <v>4</v>
      </c>
      <c r="M67" s="77">
        <f>SUMIF('[1]SALES BY PROMOTOR'!$D:$D,$F67,'[1]SALES BY PROMOTOR'!$I:$I)</f>
        <v>6</v>
      </c>
      <c r="N67" s="75">
        <f t="shared" si="3"/>
        <v>0.66666666666666663</v>
      </c>
      <c r="O67" s="78">
        <f>IFERROR(VLOOKUP($F67,'[1]Sales By Promotor Last Month'!D:G,4,0),0)</f>
        <v>0</v>
      </c>
      <c r="P67" s="78">
        <f t="shared" si="4"/>
        <v>4</v>
      </c>
      <c r="Q67" s="79">
        <f t="shared" si="5"/>
        <v>4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6</v>
      </c>
      <c r="U67" s="79">
        <f t="shared" si="8"/>
        <v>6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299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11999000</v>
      </c>
      <c r="I68" s="75">
        <f t="shared" si="0"/>
        <v>9.9991666666666673E-2</v>
      </c>
      <c r="J68" s="73">
        <f t="shared" si="1"/>
        <v>44996250</v>
      </c>
      <c r="K68" s="76">
        <f t="shared" si="2"/>
        <v>11999000</v>
      </c>
      <c r="L68" s="77">
        <f>SUMIF('[1]SALES BY PROMOTOR'!$D:$D,$F68,'[1]SALES BY PROMOTOR'!$G:$G)</f>
        <v>1</v>
      </c>
      <c r="M68" s="77">
        <f>SUMIF('[1]SALES BY PROMOTOR'!$D:$D,$F68,'[1]SALES BY PROMOTOR'!$I:$I)</f>
        <v>1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1</v>
      </c>
      <c r="Q68" s="79">
        <f t="shared" si="5"/>
        <v>0</v>
      </c>
      <c r="R68" s="80">
        <f t="shared" si="6"/>
        <v>0</v>
      </c>
      <c r="S68" s="78">
        <f>IFERROR(VLOOKUP($F68,'[1]Sales By Promotor Last Month'!D:I,6,0),0)</f>
        <v>2</v>
      </c>
      <c r="T68" s="78">
        <f t="shared" si="7"/>
        <v>1</v>
      </c>
      <c r="U68" s="79">
        <f t="shared" si="8"/>
        <v>-1</v>
      </c>
      <c r="V68" s="80">
        <f t="shared" si="9"/>
        <v>-0.5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299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54693000</v>
      </c>
      <c r="I69" s="75">
        <f t="shared" si="0"/>
        <v>0</v>
      </c>
      <c r="J69" s="73">
        <f t="shared" si="1"/>
        <v>205098750</v>
      </c>
      <c r="K69" s="76">
        <f t="shared" si="2"/>
        <v>7813285.7142857146</v>
      </c>
      <c r="L69" s="77">
        <f>SUMIF('[1]SALES BY PROMOTOR'!$D:$D,$F69,'[1]SALES BY PROMOTOR'!$G:$G)</f>
        <v>7</v>
      </c>
      <c r="M69" s="77">
        <f>SUMIF('[1]SALES BY PROMOTOR'!$D:$D,$F69,'[1]SALES BY PROMOTOR'!$I:$I)</f>
        <v>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7</v>
      </c>
      <c r="Q69" s="79">
        <f t="shared" si="5"/>
        <v>6</v>
      </c>
      <c r="R69" s="80">
        <f t="shared" si="6"/>
        <v>6</v>
      </c>
      <c r="S69" s="78">
        <f>IFERROR(VLOOKUP($F69,'[1]Sales By Promotor Last Month'!D:I,6,0),0)</f>
        <v>2</v>
      </c>
      <c r="T69" s="78">
        <f t="shared" si="7"/>
        <v>7</v>
      </c>
      <c r="U69" s="79">
        <f t="shared" si="8"/>
        <v>5</v>
      </c>
      <c r="V69" s="80">
        <f t="shared" si="9"/>
        <v>2.5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299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3599000</v>
      </c>
      <c r="I70" s="75">
        <f t="shared" si="0"/>
        <v>0</v>
      </c>
      <c r="J70" s="73">
        <f t="shared" si="1"/>
        <v>13496250</v>
      </c>
      <c r="K70" s="76">
        <f t="shared" si="2"/>
        <v>3599000</v>
      </c>
      <c r="L70" s="77">
        <f>SUMIF('[1]SALES BY PROMOTOR'!$D:$D,$F70,'[1]SALES BY PROMOTOR'!$G:$G)</f>
        <v>1</v>
      </c>
      <c r="M70" s="77">
        <f>SUMIF('[1]SALES BY PROMOTOR'!$D:$D,$F70,'[1]SALES BY PROMOTOR'!$I:$I)</f>
        <v>1</v>
      </c>
      <c r="N70" s="75">
        <f t="shared" si="3"/>
        <v>1</v>
      </c>
      <c r="O70" s="78">
        <f>IFERROR(VLOOKUP($F70,'[1]Sales By Promotor Last Month'!D:G,4,0),0)</f>
        <v>10</v>
      </c>
      <c r="P70" s="78">
        <f t="shared" si="4"/>
        <v>1</v>
      </c>
      <c r="Q70" s="79">
        <f t="shared" si="5"/>
        <v>-9</v>
      </c>
      <c r="R70" s="80">
        <f t="shared" si="6"/>
        <v>-0.9</v>
      </c>
      <c r="S70" s="78">
        <f>IFERROR(VLOOKUP($F70,'[1]Sales By Promotor Last Month'!D:I,6,0),0)</f>
        <v>13</v>
      </c>
      <c r="T70" s="78">
        <f t="shared" si="7"/>
        <v>1</v>
      </c>
      <c r="U70" s="79">
        <f t="shared" si="8"/>
        <v>-12</v>
      </c>
      <c r="V70" s="80">
        <f t="shared" si="9"/>
        <v>-0.92307692307692313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0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19998000</v>
      </c>
      <c r="I71" s="75">
        <f t="shared" si="0"/>
        <v>0</v>
      </c>
      <c r="J71" s="73">
        <f t="shared" si="1"/>
        <v>74992500</v>
      </c>
      <c r="K71" s="76">
        <f t="shared" si="2"/>
        <v>9999000</v>
      </c>
      <c r="L71" s="77">
        <f>SUMIF('[1]SALES BY PROMOTOR'!$D:$D,$F71,'[1]SALES BY PROMOTOR'!$G:$G)</f>
        <v>2</v>
      </c>
      <c r="M71" s="77">
        <f>SUMIF('[1]SALES BY PROMOTOR'!$D:$D,$F71,'[1]SALES BY PROMOTOR'!$I:$I)</f>
        <v>2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2</v>
      </c>
      <c r="Q71" s="79">
        <f t="shared" si="5"/>
        <v>-4</v>
      </c>
      <c r="R71" s="80">
        <f t="shared" si="6"/>
        <v>-0.66666666666666663</v>
      </c>
      <c r="S71" s="78">
        <f>IFERROR(VLOOKUP($F71,'[1]Sales By Promotor Last Month'!D:I,6,0),0)</f>
        <v>14</v>
      </c>
      <c r="T71" s="78">
        <f t="shared" si="7"/>
        <v>2</v>
      </c>
      <c r="U71" s="79">
        <f t="shared" si="8"/>
        <v>-12</v>
      </c>
      <c r="V71" s="80">
        <f t="shared" si="9"/>
        <v>-0.8571428571428571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29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27495000</v>
      </c>
      <c r="I72" s="75">
        <f t="shared" ref="I72:I122" si="10">IFERROR(H72/G72,0)</f>
        <v>0.16173529411764706</v>
      </c>
      <c r="J72" s="73">
        <f t="shared" ref="J72:J122" si="11">IFERROR(H72/$D$2*$E$2,0)</f>
        <v>103106250</v>
      </c>
      <c r="K72" s="76">
        <f t="shared" ref="K72:K122" si="12">IFERROR(H72/M72,0)</f>
        <v>5499000</v>
      </c>
      <c r="L72" s="77">
        <f>SUMIF('[1]SALES BY PROMOTOR'!$D:$D,$F72,'[1]SALES BY PROMOTOR'!$G:$G)</f>
        <v>3</v>
      </c>
      <c r="M72" s="77">
        <f>SUMIF('[1]SALES BY PROMOTOR'!$D:$D,$F72,'[1]SALES BY PROMOTOR'!$I:$I)</f>
        <v>5</v>
      </c>
      <c r="N72" s="75">
        <f t="shared" ref="N72:N122" si="13">IFERROR(L72/M72,0)</f>
        <v>0.6</v>
      </c>
      <c r="O72" s="78">
        <f>IFERROR(VLOOKUP($F72,'[1]Sales By Promotor Last Month'!D:G,4,0),0)</f>
        <v>15</v>
      </c>
      <c r="P72" s="78">
        <f t="shared" ref="P72:P122" si="14">+L72</f>
        <v>3</v>
      </c>
      <c r="Q72" s="79">
        <f t="shared" ref="Q72:Q122" si="15">P72-O72</f>
        <v>-12</v>
      </c>
      <c r="R72" s="80">
        <f t="shared" ref="R72:R122" si="16">IFERROR(Q72/O72,0)</f>
        <v>-0.8</v>
      </c>
      <c r="S72" s="78">
        <f>IFERROR(VLOOKUP($F72,'[1]Sales By Promotor Last Month'!D:I,6,0),0)</f>
        <v>35</v>
      </c>
      <c r="T72" s="78">
        <f t="shared" ref="T72:T122" si="17">+M72</f>
        <v>5</v>
      </c>
      <c r="U72" s="79">
        <f t="shared" ref="U72:U122" si="18">T72-S72</f>
        <v>-30</v>
      </c>
      <c r="V72" s="80">
        <f t="shared" ref="V72:V122" si="19">IFERROR(U72/S72,0)</f>
        <v>-0.8571428571428571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299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45586000</v>
      </c>
      <c r="I73" s="75">
        <f t="shared" si="10"/>
        <v>0.26815294117647059</v>
      </c>
      <c r="J73" s="73">
        <f t="shared" si="11"/>
        <v>170947500</v>
      </c>
      <c r="K73" s="76">
        <f t="shared" si="12"/>
        <v>3256142.8571428573</v>
      </c>
      <c r="L73" s="77">
        <f>SUMIF('[1]SALES BY PROMOTOR'!$D:$D,$F73,'[1]SALES BY PROMOTOR'!$G:$G)</f>
        <v>6</v>
      </c>
      <c r="M73" s="77">
        <f>SUMIF('[1]SALES BY PROMOTOR'!$D:$D,$F73,'[1]SALES BY PROMOTOR'!$I:$I)</f>
        <v>14</v>
      </c>
      <c r="N73" s="75">
        <f t="shared" si="13"/>
        <v>0.42857142857142855</v>
      </c>
      <c r="O73" s="78">
        <f>IFERROR(VLOOKUP($F73,'[1]Sales By Promotor Last Month'!D:G,4,0),0)</f>
        <v>25</v>
      </c>
      <c r="P73" s="78">
        <f t="shared" si="14"/>
        <v>6</v>
      </c>
      <c r="Q73" s="79">
        <f t="shared" si="15"/>
        <v>-19</v>
      </c>
      <c r="R73" s="80">
        <f t="shared" si="16"/>
        <v>-0.76</v>
      </c>
      <c r="S73" s="78">
        <f>IFERROR(VLOOKUP($F73,'[1]Sales By Promotor Last Month'!D:I,6,0),0)</f>
        <v>47</v>
      </c>
      <c r="T73" s="78">
        <f t="shared" si="17"/>
        <v>14</v>
      </c>
      <c r="U73" s="79">
        <f t="shared" si="18"/>
        <v>-33</v>
      </c>
      <c r="V73" s="80">
        <f t="shared" si="19"/>
        <v>-0.7021276595744681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0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26692000</v>
      </c>
      <c r="I74" s="75">
        <f t="shared" si="10"/>
        <v>0.15701176470588235</v>
      </c>
      <c r="J74" s="73">
        <f t="shared" si="11"/>
        <v>100095000</v>
      </c>
      <c r="K74" s="76">
        <f t="shared" si="12"/>
        <v>3336500</v>
      </c>
      <c r="L74" s="77">
        <f>SUMIF('[1]SALES BY PROMOTOR'!$D:$D,$F74,'[1]SALES BY PROMOTOR'!$G:$G)</f>
        <v>2</v>
      </c>
      <c r="M74" s="77">
        <f>SUMIF('[1]SALES BY PROMOTOR'!$D:$D,$F74,'[1]SALES BY PROMOTOR'!$I:$I)</f>
        <v>8</v>
      </c>
      <c r="N74" s="75">
        <f t="shared" si="13"/>
        <v>0.25</v>
      </c>
      <c r="O74" s="78">
        <f>IFERROR(VLOOKUP($F74,'[1]Sales By Promotor Last Month'!D:G,4,0),0)</f>
        <v>12</v>
      </c>
      <c r="P74" s="78">
        <f t="shared" si="14"/>
        <v>2</v>
      </c>
      <c r="Q74" s="79">
        <f t="shared" si="15"/>
        <v>-10</v>
      </c>
      <c r="R74" s="80">
        <f t="shared" si="16"/>
        <v>-0.83333333333333337</v>
      </c>
      <c r="S74" s="78">
        <f>IFERROR(VLOOKUP($F74,'[1]Sales By Promotor Last Month'!D:I,6,0),0)</f>
        <v>27</v>
      </c>
      <c r="T74" s="78">
        <f t="shared" si="17"/>
        <v>8</v>
      </c>
      <c r="U74" s="79">
        <f t="shared" si="18"/>
        <v>-19</v>
      </c>
      <c r="V74" s="80">
        <f t="shared" si="19"/>
        <v>-0.70370370370370372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9397000</v>
      </c>
      <c r="I75" s="75">
        <f t="shared" si="10"/>
        <v>0.10441111111111111</v>
      </c>
      <c r="J75" s="73">
        <f t="shared" si="11"/>
        <v>35238750</v>
      </c>
      <c r="K75" s="76">
        <f t="shared" si="12"/>
        <v>3132333.3333333335</v>
      </c>
      <c r="L75" s="77">
        <f>SUMIF('[1]SALES BY PROMOTOR'!$D:$D,$F75,'[1]SALES BY PROMOTOR'!$G:$G)</f>
        <v>1</v>
      </c>
      <c r="M75" s="77">
        <f>SUMIF('[1]SALES BY PROMOTOR'!$D:$D,$F75,'[1]SALES BY PROMOTOR'!$I:$I)</f>
        <v>3</v>
      </c>
      <c r="N75" s="75">
        <f t="shared" si="13"/>
        <v>0.33333333333333331</v>
      </c>
      <c r="O75" s="78">
        <f>IFERROR(VLOOKUP($F75,'[1]Sales By Promotor Last Month'!D:G,4,0),0)</f>
        <v>15</v>
      </c>
      <c r="P75" s="78">
        <f t="shared" si="14"/>
        <v>1</v>
      </c>
      <c r="Q75" s="79">
        <f t="shared" si="15"/>
        <v>-14</v>
      </c>
      <c r="R75" s="80">
        <f t="shared" si="16"/>
        <v>-0.93333333333333335</v>
      </c>
      <c r="S75" s="78">
        <f>IFERROR(VLOOKUP($F75,'[1]Sales By Promotor Last Month'!D:I,6,0),0)</f>
        <v>27</v>
      </c>
      <c r="T75" s="78">
        <f t="shared" si="17"/>
        <v>3</v>
      </c>
      <c r="U75" s="79">
        <f t="shared" si="18"/>
        <v>-24</v>
      </c>
      <c r="V75" s="80">
        <f t="shared" si="19"/>
        <v>-0.88888888888888884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29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52488000</v>
      </c>
      <c r="I76" s="75">
        <f t="shared" si="10"/>
        <v>0.43740000000000001</v>
      </c>
      <c r="J76" s="73">
        <f t="shared" si="11"/>
        <v>196830000</v>
      </c>
      <c r="K76" s="76">
        <f t="shared" si="12"/>
        <v>4374000</v>
      </c>
      <c r="L76" s="77">
        <f>SUMIF('[1]SALES BY PROMOTOR'!$D:$D,$F76,'[1]SALES BY PROMOTOR'!$G:$G)</f>
        <v>9</v>
      </c>
      <c r="M76" s="77">
        <f>SUMIF('[1]SALES BY PROMOTOR'!$D:$D,$F76,'[1]SALES BY PROMOTOR'!$I:$I)</f>
        <v>12</v>
      </c>
      <c r="N76" s="75">
        <f t="shared" si="13"/>
        <v>0.75</v>
      </c>
      <c r="O76" s="78">
        <f>IFERROR(VLOOKUP($F76,'[1]Sales By Promotor Last Month'!D:G,4,0),0)</f>
        <v>2</v>
      </c>
      <c r="P76" s="78">
        <f t="shared" si="14"/>
        <v>9</v>
      </c>
      <c r="Q76" s="79">
        <f t="shared" si="15"/>
        <v>7</v>
      </c>
      <c r="R76" s="80">
        <f t="shared" si="16"/>
        <v>3.5</v>
      </c>
      <c r="S76" s="78">
        <f>IFERROR(VLOOKUP($F76,'[1]Sales By Promotor Last Month'!D:I,6,0),0)</f>
        <v>13</v>
      </c>
      <c r="T76" s="78">
        <f t="shared" si="17"/>
        <v>12</v>
      </c>
      <c r="U76" s="79">
        <f t="shared" si="18"/>
        <v>-1</v>
      </c>
      <c r="V76" s="80">
        <f t="shared" si="19"/>
        <v>-7.6923076923076927E-2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0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12495000</v>
      </c>
      <c r="I77" s="75">
        <f t="shared" si="10"/>
        <v>0.104125</v>
      </c>
      <c r="J77" s="73">
        <f t="shared" si="11"/>
        <v>46856250</v>
      </c>
      <c r="K77" s="76">
        <f t="shared" si="12"/>
        <v>2499000</v>
      </c>
      <c r="L77" s="77">
        <f>SUMIF('[1]SALES BY PROMOTOR'!$D:$D,$F77,'[1]SALES BY PROMOTOR'!$G:$G)</f>
        <v>0</v>
      </c>
      <c r="M77" s="77">
        <f>SUMIF('[1]SALES BY PROMOTOR'!$D:$D,$F77,'[1]SALES BY PROMOTOR'!$I:$I)</f>
        <v>5</v>
      </c>
      <c r="N77" s="75">
        <f t="shared" si="13"/>
        <v>0</v>
      </c>
      <c r="O77" s="78">
        <f>IFERROR(VLOOKUP($F77,'[1]Sales By Promotor Last Month'!D:G,4,0),0)</f>
        <v>11</v>
      </c>
      <c r="P77" s="78">
        <f t="shared" si="14"/>
        <v>0</v>
      </c>
      <c r="Q77" s="79">
        <f t="shared" si="15"/>
        <v>-11</v>
      </c>
      <c r="R77" s="80">
        <f t="shared" si="16"/>
        <v>-1</v>
      </c>
      <c r="S77" s="78">
        <f>IFERROR(VLOOKUP($F77,'[1]Sales By Promotor Last Month'!D:I,6,0),0)</f>
        <v>35</v>
      </c>
      <c r="T77" s="78">
        <f t="shared" si="17"/>
        <v>5</v>
      </c>
      <c r="U77" s="79">
        <f t="shared" si="18"/>
        <v>-30</v>
      </c>
      <c r="V77" s="80">
        <f t="shared" si="19"/>
        <v>-0.8571428571428571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29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29292000</v>
      </c>
      <c r="I78" s="75">
        <f t="shared" si="10"/>
        <v>0.24410000000000001</v>
      </c>
      <c r="J78" s="73">
        <f t="shared" si="11"/>
        <v>109845000</v>
      </c>
      <c r="K78" s="76">
        <f t="shared" si="12"/>
        <v>3661500</v>
      </c>
      <c r="L78" s="77">
        <f>SUMIF('[1]SALES BY PROMOTOR'!$D:$D,$F78,'[1]SALES BY PROMOTOR'!$G:$G)</f>
        <v>4</v>
      </c>
      <c r="M78" s="77">
        <f>SUMIF('[1]SALES BY PROMOTOR'!$D:$D,$F78,'[1]SALES BY PROMOTOR'!$I:$I)</f>
        <v>8</v>
      </c>
      <c r="N78" s="75">
        <f t="shared" si="13"/>
        <v>0.5</v>
      </c>
      <c r="O78" s="78">
        <f>IFERROR(VLOOKUP($F78,'[1]Sales By Promotor Last Month'!D:G,4,0),0)</f>
        <v>16</v>
      </c>
      <c r="P78" s="78">
        <f t="shared" si="14"/>
        <v>4</v>
      </c>
      <c r="Q78" s="79">
        <f t="shared" si="15"/>
        <v>-12</v>
      </c>
      <c r="R78" s="80">
        <f t="shared" si="16"/>
        <v>-0.75</v>
      </c>
      <c r="S78" s="78">
        <f>IFERROR(VLOOKUP($F78,'[1]Sales By Promotor Last Month'!D:I,6,0),0)</f>
        <v>35</v>
      </c>
      <c r="T78" s="78">
        <f t="shared" si="17"/>
        <v>8</v>
      </c>
      <c r="U78" s="79">
        <f t="shared" si="18"/>
        <v>-27</v>
      </c>
      <c r="V78" s="80">
        <f t="shared" si="19"/>
        <v>-0.77142857142857146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299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51889000</v>
      </c>
      <c r="I79" s="75">
        <f t="shared" si="10"/>
        <v>0.43240833333333334</v>
      </c>
      <c r="J79" s="73">
        <f t="shared" si="11"/>
        <v>194583750</v>
      </c>
      <c r="K79" s="76">
        <f t="shared" si="12"/>
        <v>4717181.8181818184</v>
      </c>
      <c r="L79" s="77">
        <f>SUMIF('[1]SALES BY PROMOTOR'!$D:$D,$F79,'[1]SALES BY PROMOTOR'!$G:$G)</f>
        <v>7</v>
      </c>
      <c r="M79" s="77">
        <f>SUMIF('[1]SALES BY PROMOTOR'!$D:$D,$F79,'[1]SALES BY PROMOTOR'!$I:$I)</f>
        <v>11</v>
      </c>
      <c r="N79" s="75">
        <f t="shared" si="13"/>
        <v>0.63636363636363635</v>
      </c>
      <c r="O79" s="78">
        <f>IFERROR(VLOOKUP($F79,'[1]Sales By Promotor Last Month'!D:G,4,0),0)</f>
        <v>18</v>
      </c>
      <c r="P79" s="78">
        <f t="shared" si="14"/>
        <v>7</v>
      </c>
      <c r="Q79" s="79">
        <f t="shared" si="15"/>
        <v>-11</v>
      </c>
      <c r="R79" s="80">
        <f t="shared" si="16"/>
        <v>-0.61111111111111116</v>
      </c>
      <c r="S79" s="78">
        <f>IFERROR(VLOOKUP($F79,'[1]Sales By Promotor Last Month'!D:I,6,0),0)</f>
        <v>35</v>
      </c>
      <c r="T79" s="78">
        <f t="shared" si="17"/>
        <v>11</v>
      </c>
      <c r="U79" s="79">
        <f t="shared" si="18"/>
        <v>-24</v>
      </c>
      <c r="V79" s="80">
        <f t="shared" si="19"/>
        <v>-0.68571428571428572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299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25193000</v>
      </c>
      <c r="I80" s="75">
        <f t="shared" si="10"/>
        <v>0.20994166666666667</v>
      </c>
      <c r="J80" s="73">
        <f t="shared" si="11"/>
        <v>94473750</v>
      </c>
      <c r="K80" s="76">
        <f t="shared" si="12"/>
        <v>3599000</v>
      </c>
      <c r="L80" s="77">
        <f>SUMIF('[1]SALES BY PROMOTOR'!$D:$D,$F80,'[1]SALES BY PROMOTOR'!$G:$G)</f>
        <v>2</v>
      </c>
      <c r="M80" s="77">
        <f>SUMIF('[1]SALES BY PROMOTOR'!$D:$D,$F80,'[1]SALES BY PROMOTOR'!$I:$I)</f>
        <v>7</v>
      </c>
      <c r="N80" s="75">
        <f t="shared" si="13"/>
        <v>0.2857142857142857</v>
      </c>
      <c r="O80" s="78">
        <f>IFERROR(VLOOKUP($F80,'[1]Sales By Promotor Last Month'!D:G,4,0),0)</f>
        <v>13</v>
      </c>
      <c r="P80" s="78">
        <f t="shared" si="14"/>
        <v>2</v>
      </c>
      <c r="Q80" s="79">
        <f t="shared" si="15"/>
        <v>-11</v>
      </c>
      <c r="R80" s="80">
        <f t="shared" si="16"/>
        <v>-0.84615384615384615</v>
      </c>
      <c r="S80" s="78">
        <f>IFERROR(VLOOKUP($F80,'[1]Sales By Promotor Last Month'!D:I,6,0),0)</f>
        <v>37</v>
      </c>
      <c r="T80" s="78">
        <f t="shared" si="17"/>
        <v>7</v>
      </c>
      <c r="U80" s="79">
        <f t="shared" si="18"/>
        <v>-30</v>
      </c>
      <c r="V80" s="80">
        <f t="shared" si="19"/>
        <v>-0.81081081081081086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299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29093000</v>
      </c>
      <c r="I81" s="75">
        <f t="shared" si="10"/>
        <v>0.24244166666666667</v>
      </c>
      <c r="J81" s="73">
        <f t="shared" si="11"/>
        <v>109098750</v>
      </c>
      <c r="K81" s="76">
        <f t="shared" si="12"/>
        <v>4156142.8571428573</v>
      </c>
      <c r="L81" s="77">
        <f>SUMIF('[1]SALES BY PROMOTOR'!$D:$D,$F81,'[1]SALES BY PROMOTOR'!$G:$G)</f>
        <v>4</v>
      </c>
      <c r="M81" s="77">
        <f>SUMIF('[1]SALES BY PROMOTOR'!$D:$D,$F81,'[1]SALES BY PROMOTOR'!$I:$I)</f>
        <v>7</v>
      </c>
      <c r="N81" s="75">
        <f t="shared" si="13"/>
        <v>0.5714285714285714</v>
      </c>
      <c r="O81" s="78">
        <f>IFERROR(VLOOKUP($F81,'[1]Sales By Promotor Last Month'!D:G,4,0),0)</f>
        <v>5</v>
      </c>
      <c r="P81" s="78">
        <f t="shared" si="14"/>
        <v>4</v>
      </c>
      <c r="Q81" s="79">
        <f t="shared" si="15"/>
        <v>-1</v>
      </c>
      <c r="R81" s="80">
        <f t="shared" si="16"/>
        <v>-0.2</v>
      </c>
      <c r="S81" s="78">
        <f>IFERROR(VLOOKUP($F81,'[1]Sales By Promotor Last Month'!D:I,6,0),0)</f>
        <v>12</v>
      </c>
      <c r="T81" s="78">
        <f t="shared" si="17"/>
        <v>7</v>
      </c>
      <c r="U81" s="79">
        <f t="shared" si="18"/>
        <v>-5</v>
      </c>
      <c r="V81" s="80">
        <f t="shared" si="19"/>
        <v>-0.41666666666666669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299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16395000</v>
      </c>
      <c r="I82" s="75">
        <f t="shared" si="10"/>
        <v>0.136625</v>
      </c>
      <c r="J82" s="73">
        <f t="shared" si="11"/>
        <v>61481250</v>
      </c>
      <c r="K82" s="76">
        <f t="shared" si="12"/>
        <v>3279000</v>
      </c>
      <c r="L82" s="77">
        <f>SUMIF('[1]SALES BY PROMOTOR'!$D:$D,$F82,'[1]SALES BY PROMOTOR'!$G:$G)</f>
        <v>1</v>
      </c>
      <c r="M82" s="77">
        <f>SUMIF('[1]SALES BY PROMOTOR'!$D:$D,$F82,'[1]SALES BY PROMOTOR'!$I:$I)</f>
        <v>5</v>
      </c>
      <c r="N82" s="75">
        <f t="shared" si="13"/>
        <v>0.2</v>
      </c>
      <c r="O82" s="78">
        <f>IFERROR(VLOOKUP($F82,'[1]Sales By Promotor Last Month'!D:G,4,0),0)</f>
        <v>5</v>
      </c>
      <c r="P82" s="78">
        <f t="shared" si="14"/>
        <v>1</v>
      </c>
      <c r="Q82" s="79">
        <f t="shared" si="15"/>
        <v>-4</v>
      </c>
      <c r="R82" s="80">
        <f t="shared" si="16"/>
        <v>-0.8</v>
      </c>
      <c r="S82" s="78">
        <f>IFERROR(VLOOKUP($F82,'[1]Sales By Promotor Last Month'!D:I,6,0),0)</f>
        <v>12</v>
      </c>
      <c r="T82" s="78">
        <f t="shared" si="17"/>
        <v>5</v>
      </c>
      <c r="U82" s="79">
        <f t="shared" si="18"/>
        <v>-7</v>
      </c>
      <c r="V82" s="80">
        <f t="shared" si="19"/>
        <v>-0.58333333333333337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299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14395000</v>
      </c>
      <c r="I83" s="75">
        <f t="shared" si="10"/>
        <v>0.11995833333333333</v>
      </c>
      <c r="J83" s="73">
        <f t="shared" si="11"/>
        <v>53981250</v>
      </c>
      <c r="K83" s="76">
        <f t="shared" si="12"/>
        <v>2879000</v>
      </c>
      <c r="L83" s="77">
        <f>SUMIF('[1]SALES BY PROMOTOR'!$D:$D,$F83,'[1]SALES BY PROMOTOR'!$G:$G)</f>
        <v>1</v>
      </c>
      <c r="M83" s="77">
        <f>SUMIF('[1]SALES BY PROMOTOR'!$D:$D,$F83,'[1]SALES BY PROMOTOR'!$I:$I)</f>
        <v>5</v>
      </c>
      <c r="N83" s="75">
        <f t="shared" si="13"/>
        <v>0.2</v>
      </c>
      <c r="O83" s="78">
        <f>IFERROR(VLOOKUP($F83,'[1]Sales By Promotor Last Month'!D:G,4,0),0)</f>
        <v>11</v>
      </c>
      <c r="P83" s="78">
        <f t="shared" si="14"/>
        <v>1</v>
      </c>
      <c r="Q83" s="79">
        <f t="shared" si="15"/>
        <v>-10</v>
      </c>
      <c r="R83" s="80">
        <f t="shared" si="16"/>
        <v>-0.90909090909090906</v>
      </c>
      <c r="S83" s="78">
        <f>IFERROR(VLOOKUP($F83,'[1]Sales By Promotor Last Month'!D:I,6,0),0)</f>
        <v>36</v>
      </c>
      <c r="T83" s="78">
        <f t="shared" si="17"/>
        <v>5</v>
      </c>
      <c r="U83" s="79">
        <f t="shared" si="18"/>
        <v>-31</v>
      </c>
      <c r="V83" s="80">
        <f t="shared" si="19"/>
        <v>-0.86111111111111116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299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43789000</v>
      </c>
      <c r="I84" s="75">
        <f t="shared" si="10"/>
        <v>0.36490833333333333</v>
      </c>
      <c r="J84" s="73">
        <f t="shared" si="11"/>
        <v>164208750</v>
      </c>
      <c r="K84" s="76">
        <f t="shared" si="12"/>
        <v>3980818.1818181816</v>
      </c>
      <c r="L84" s="77">
        <f>SUMIF('[1]SALES BY PROMOTOR'!$D:$D,$F84,'[1]SALES BY PROMOTOR'!$G:$G)</f>
        <v>5</v>
      </c>
      <c r="M84" s="77">
        <f>SUMIF('[1]SALES BY PROMOTOR'!$D:$D,$F84,'[1]SALES BY PROMOTOR'!$I:$I)</f>
        <v>11</v>
      </c>
      <c r="N84" s="75">
        <f t="shared" si="13"/>
        <v>0.45454545454545453</v>
      </c>
      <c r="O84" s="78">
        <f>IFERROR(VLOOKUP($F84,'[1]Sales By Promotor Last Month'!D:G,4,0),0)</f>
        <v>20</v>
      </c>
      <c r="P84" s="78">
        <f t="shared" si="14"/>
        <v>5</v>
      </c>
      <c r="Q84" s="79">
        <f t="shared" si="15"/>
        <v>-15</v>
      </c>
      <c r="R84" s="80">
        <f t="shared" si="16"/>
        <v>-0.75</v>
      </c>
      <c r="S84" s="78">
        <f>IFERROR(VLOOKUP($F84,'[1]Sales By Promotor Last Month'!D:I,6,0),0)</f>
        <v>35</v>
      </c>
      <c r="T84" s="78">
        <f t="shared" si="17"/>
        <v>11</v>
      </c>
      <c r="U84" s="79">
        <f t="shared" si="18"/>
        <v>-24</v>
      </c>
      <c r="V84" s="80">
        <f t="shared" si="19"/>
        <v>-0.68571428571428572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299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35889000</v>
      </c>
      <c r="I85" s="75">
        <f t="shared" si="10"/>
        <v>0.29907499999999998</v>
      </c>
      <c r="J85" s="73">
        <f t="shared" si="11"/>
        <v>134583750</v>
      </c>
      <c r="K85" s="76">
        <f t="shared" si="12"/>
        <v>3262636.3636363638</v>
      </c>
      <c r="L85" s="77">
        <f>SUMIF('[1]SALES BY PROMOTOR'!$D:$D,$F85,'[1]SALES BY PROMOTOR'!$G:$G)</f>
        <v>2</v>
      </c>
      <c r="M85" s="77">
        <f>SUMIF('[1]SALES BY PROMOTOR'!$D:$D,$F85,'[1]SALES BY PROMOTOR'!$I:$I)</f>
        <v>11</v>
      </c>
      <c r="N85" s="75">
        <f t="shared" si="13"/>
        <v>0.18181818181818182</v>
      </c>
      <c r="O85" s="78">
        <f>IFERROR(VLOOKUP($F85,'[1]Sales By Promotor Last Month'!D:G,4,0),0)</f>
        <v>12</v>
      </c>
      <c r="P85" s="78">
        <f t="shared" si="14"/>
        <v>2</v>
      </c>
      <c r="Q85" s="79">
        <f t="shared" si="15"/>
        <v>-10</v>
      </c>
      <c r="R85" s="80">
        <f t="shared" si="16"/>
        <v>-0.83333333333333337</v>
      </c>
      <c r="S85" s="78">
        <f>IFERROR(VLOOKUP($F85,'[1]Sales By Promotor Last Month'!D:I,6,0),0)</f>
        <v>36</v>
      </c>
      <c r="T85" s="78">
        <f t="shared" si="17"/>
        <v>11</v>
      </c>
      <c r="U85" s="79">
        <f t="shared" si="18"/>
        <v>-25</v>
      </c>
      <c r="V85" s="80">
        <f t="shared" si="19"/>
        <v>-0.69444444444444442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299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25692000</v>
      </c>
      <c r="I86" s="75">
        <f t="shared" si="10"/>
        <v>0.21410000000000001</v>
      </c>
      <c r="J86" s="73">
        <f t="shared" si="11"/>
        <v>96345000</v>
      </c>
      <c r="K86" s="76">
        <f t="shared" si="12"/>
        <v>3211500</v>
      </c>
      <c r="L86" s="77">
        <f>SUMIF('[1]SALES BY PROMOTOR'!$D:$D,$F86,'[1]SALES BY PROMOTOR'!$G:$G)</f>
        <v>3</v>
      </c>
      <c r="M86" s="77">
        <f>SUMIF('[1]SALES BY PROMOTOR'!$D:$D,$F86,'[1]SALES BY PROMOTOR'!$I:$I)</f>
        <v>8</v>
      </c>
      <c r="N86" s="75">
        <f t="shared" si="13"/>
        <v>0.375</v>
      </c>
      <c r="O86" s="78">
        <f>IFERROR(VLOOKUP($F86,'[1]Sales By Promotor Last Month'!D:G,4,0),0)</f>
        <v>15</v>
      </c>
      <c r="P86" s="78">
        <f t="shared" si="14"/>
        <v>3</v>
      </c>
      <c r="Q86" s="79">
        <f t="shared" si="15"/>
        <v>-12</v>
      </c>
      <c r="R86" s="80">
        <f t="shared" si="16"/>
        <v>-0.8</v>
      </c>
      <c r="S86" s="78">
        <f>IFERROR(VLOOKUP($F86,'[1]Sales By Promotor Last Month'!D:I,6,0),0)</f>
        <v>29</v>
      </c>
      <c r="T86" s="78">
        <f t="shared" si="17"/>
        <v>8</v>
      </c>
      <c r="U86" s="79">
        <f t="shared" si="18"/>
        <v>-21</v>
      </c>
      <c r="V86" s="80">
        <f t="shared" si="19"/>
        <v>-0.72413793103448276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299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57486000</v>
      </c>
      <c r="I87" s="75">
        <f t="shared" si="10"/>
        <v>0.47904999999999998</v>
      </c>
      <c r="J87" s="73">
        <f t="shared" si="11"/>
        <v>215572500</v>
      </c>
      <c r="K87" s="76">
        <f t="shared" si="12"/>
        <v>4106142.8571428573</v>
      </c>
      <c r="L87" s="77">
        <f>SUMIF('[1]SALES BY PROMOTOR'!$D:$D,$F87,'[1]SALES BY PROMOTOR'!$G:$G)</f>
        <v>7</v>
      </c>
      <c r="M87" s="77">
        <f>SUMIF('[1]SALES BY PROMOTOR'!$D:$D,$F87,'[1]SALES BY PROMOTOR'!$I:$I)</f>
        <v>14</v>
      </c>
      <c r="N87" s="75">
        <f t="shared" si="13"/>
        <v>0.5</v>
      </c>
      <c r="O87" s="78">
        <f>IFERROR(VLOOKUP($F87,'[1]Sales By Promotor Last Month'!D:G,4,0),0)</f>
        <v>14</v>
      </c>
      <c r="P87" s="78">
        <f t="shared" si="14"/>
        <v>7</v>
      </c>
      <c r="Q87" s="79">
        <f t="shared" si="15"/>
        <v>-7</v>
      </c>
      <c r="R87" s="80">
        <f t="shared" si="16"/>
        <v>-0.5</v>
      </c>
      <c r="S87" s="78">
        <f>IFERROR(VLOOKUP($F87,'[1]Sales By Promotor Last Month'!D:I,6,0),0)</f>
        <v>36</v>
      </c>
      <c r="T87" s="78">
        <f t="shared" si="17"/>
        <v>14</v>
      </c>
      <c r="U87" s="79">
        <f t="shared" si="18"/>
        <v>-22</v>
      </c>
      <c r="V87" s="80">
        <f t="shared" si="19"/>
        <v>-0.61111111111111116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299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32392000</v>
      </c>
      <c r="I88" s="75">
        <f t="shared" si="10"/>
        <v>0.26993333333333336</v>
      </c>
      <c r="J88" s="73">
        <f t="shared" si="11"/>
        <v>121470000</v>
      </c>
      <c r="K88" s="76">
        <f t="shared" si="12"/>
        <v>4049000</v>
      </c>
      <c r="L88" s="77">
        <f>SUMIF('[1]SALES BY PROMOTOR'!$D:$D,$F88,'[1]SALES BY PROMOTOR'!$G:$G)</f>
        <v>3</v>
      </c>
      <c r="M88" s="77">
        <f>SUMIF('[1]SALES BY PROMOTOR'!$D:$D,$F88,'[1]SALES BY PROMOTOR'!$I:$I)</f>
        <v>8</v>
      </c>
      <c r="N88" s="75">
        <f t="shared" si="13"/>
        <v>0.375</v>
      </c>
      <c r="O88" s="78">
        <f>IFERROR(VLOOKUP($F88,'[1]Sales By Promotor Last Month'!D:G,4,0),0)</f>
        <v>9</v>
      </c>
      <c r="P88" s="78">
        <f t="shared" si="14"/>
        <v>3</v>
      </c>
      <c r="Q88" s="79">
        <f t="shared" si="15"/>
        <v>-6</v>
      </c>
      <c r="R88" s="80">
        <f t="shared" si="16"/>
        <v>-0.66666666666666663</v>
      </c>
      <c r="S88" s="78">
        <f>IFERROR(VLOOKUP($F88,'[1]Sales By Promotor Last Month'!D:I,6,0),0)</f>
        <v>21</v>
      </c>
      <c r="T88" s="78">
        <f t="shared" si="17"/>
        <v>8</v>
      </c>
      <c r="U88" s="79">
        <f t="shared" si="18"/>
        <v>-13</v>
      </c>
      <c r="V88" s="80">
        <f t="shared" si="19"/>
        <v>-0.61904761904761907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299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37491000</v>
      </c>
      <c r="I89" s="75">
        <f t="shared" si="10"/>
        <v>0.31242500000000001</v>
      </c>
      <c r="J89" s="73">
        <f t="shared" si="11"/>
        <v>140591250</v>
      </c>
      <c r="K89" s="76">
        <f t="shared" si="12"/>
        <v>4165666.6666666665</v>
      </c>
      <c r="L89" s="77">
        <f>SUMIF('[1]SALES BY PROMOTOR'!$D:$D,$F89,'[1]SALES BY PROMOTOR'!$G:$G)</f>
        <v>6</v>
      </c>
      <c r="M89" s="77">
        <f>SUMIF('[1]SALES BY PROMOTOR'!$D:$D,$F89,'[1]SALES BY PROMOTOR'!$I:$I)</f>
        <v>9</v>
      </c>
      <c r="N89" s="75">
        <f t="shared" si="13"/>
        <v>0.66666666666666663</v>
      </c>
      <c r="O89" s="78">
        <f>IFERROR(VLOOKUP($F89,'[1]Sales By Promotor Last Month'!D:G,4,0),0)</f>
        <v>9</v>
      </c>
      <c r="P89" s="78">
        <f t="shared" si="14"/>
        <v>6</v>
      </c>
      <c r="Q89" s="79">
        <f t="shared" si="15"/>
        <v>-3</v>
      </c>
      <c r="R89" s="80">
        <f t="shared" si="16"/>
        <v>-0.33333333333333331</v>
      </c>
      <c r="S89" s="78">
        <f>IFERROR(VLOOKUP($F89,'[1]Sales By Promotor Last Month'!D:I,6,0),0)</f>
        <v>36</v>
      </c>
      <c r="T89" s="78">
        <f t="shared" si="17"/>
        <v>9</v>
      </c>
      <c r="U89" s="79">
        <f t="shared" si="18"/>
        <v>-27</v>
      </c>
      <c r="V89" s="80">
        <f t="shared" si="19"/>
        <v>-0.75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299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38990000</v>
      </c>
      <c r="I90" s="75">
        <f t="shared" si="10"/>
        <v>0.32491666666666669</v>
      </c>
      <c r="J90" s="73">
        <f t="shared" si="11"/>
        <v>146212500</v>
      </c>
      <c r="K90" s="76">
        <f t="shared" si="12"/>
        <v>3899000</v>
      </c>
      <c r="L90" s="77">
        <f>SUMIF('[1]SALES BY PROMOTOR'!$D:$D,$F90,'[1]SALES BY PROMOTOR'!$G:$G)</f>
        <v>6</v>
      </c>
      <c r="M90" s="77">
        <f>SUMIF('[1]SALES BY PROMOTOR'!$D:$D,$F90,'[1]SALES BY PROMOTOR'!$I:$I)</f>
        <v>10</v>
      </c>
      <c r="N90" s="75">
        <f t="shared" si="13"/>
        <v>0.6</v>
      </c>
      <c r="O90" s="78">
        <f>IFERROR(VLOOKUP($F90,'[1]Sales By Promotor Last Month'!D:G,4,0),0)</f>
        <v>7</v>
      </c>
      <c r="P90" s="78">
        <f t="shared" si="14"/>
        <v>6</v>
      </c>
      <c r="Q90" s="79">
        <f t="shared" si="15"/>
        <v>-1</v>
      </c>
      <c r="R90" s="80">
        <f t="shared" si="16"/>
        <v>-0.14285714285714285</v>
      </c>
      <c r="S90" s="78">
        <f>IFERROR(VLOOKUP($F90,'[1]Sales By Promotor Last Month'!D:I,6,0),0)</f>
        <v>17</v>
      </c>
      <c r="T90" s="78">
        <f t="shared" si="17"/>
        <v>10</v>
      </c>
      <c r="U90" s="79">
        <f t="shared" si="18"/>
        <v>-7</v>
      </c>
      <c r="V90" s="80">
        <f t="shared" si="19"/>
        <v>-0.41176470588235292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15397000</v>
      </c>
      <c r="I91" s="75">
        <f t="shared" si="10"/>
        <v>0</v>
      </c>
      <c r="J91" s="73">
        <f t="shared" si="11"/>
        <v>57738750</v>
      </c>
      <c r="K91" s="76">
        <f t="shared" si="12"/>
        <v>5132333.333333333</v>
      </c>
      <c r="L91" s="77">
        <f>SUMIF('[1]SALES BY PROMOTOR'!$D:$D,$F91,'[1]SALES BY PROMOTOR'!$G:$G)</f>
        <v>1</v>
      </c>
      <c r="M91" s="77">
        <f>SUMIF('[1]SALES BY PROMOTOR'!$D:$D,$F91,'[1]SALES BY PROMOTOR'!$I:$I)</f>
        <v>3</v>
      </c>
      <c r="N91" s="75">
        <f t="shared" si="13"/>
        <v>0.33333333333333331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3</v>
      </c>
      <c r="U91" s="79">
        <f t="shared" si="18"/>
        <v>-12</v>
      </c>
      <c r="V91" s="80">
        <f t="shared" si="19"/>
        <v>-0.8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29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38786000</v>
      </c>
      <c r="I92" s="75">
        <f t="shared" si="10"/>
        <v>0.32321666666666665</v>
      </c>
      <c r="J92" s="73">
        <f t="shared" si="11"/>
        <v>145447500</v>
      </c>
      <c r="K92" s="76">
        <f t="shared" si="12"/>
        <v>2770428.5714285714</v>
      </c>
      <c r="L92" s="77">
        <f>SUMIF('[1]SALES BY PROMOTOR'!$D:$D,$F92,'[1]SALES BY PROMOTOR'!$G:$G)</f>
        <v>2</v>
      </c>
      <c r="M92" s="77">
        <f>SUMIF('[1]SALES BY PROMOTOR'!$D:$D,$F92,'[1]SALES BY PROMOTOR'!$I:$I)</f>
        <v>14</v>
      </c>
      <c r="N92" s="75">
        <f t="shared" si="13"/>
        <v>0.14285714285714285</v>
      </c>
      <c r="O92" s="78">
        <f>IFERROR(VLOOKUP($F92,'[1]Sales By Promotor Last Month'!D:G,4,0),0)</f>
        <v>7</v>
      </c>
      <c r="P92" s="78">
        <f t="shared" si="14"/>
        <v>2</v>
      </c>
      <c r="Q92" s="79">
        <f t="shared" si="15"/>
        <v>-5</v>
      </c>
      <c r="R92" s="80">
        <f t="shared" si="16"/>
        <v>-0.7142857142857143</v>
      </c>
      <c r="S92" s="78">
        <f>IFERROR(VLOOKUP($F92,'[1]Sales By Promotor Last Month'!D:I,6,0),0)</f>
        <v>37</v>
      </c>
      <c r="T92" s="78">
        <f t="shared" si="17"/>
        <v>14</v>
      </c>
      <c r="U92" s="79">
        <f t="shared" si="18"/>
        <v>-23</v>
      </c>
      <c r="V92" s="80">
        <f t="shared" si="19"/>
        <v>-0.6216216216216216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299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0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36593000</v>
      </c>
      <c r="I94" s="75">
        <f t="shared" si="10"/>
        <v>0.30494166666666667</v>
      </c>
      <c r="J94" s="73">
        <f t="shared" si="11"/>
        <v>137223750</v>
      </c>
      <c r="K94" s="76">
        <f t="shared" si="12"/>
        <v>5227571.4285714282</v>
      </c>
      <c r="L94" s="77">
        <f>SUMIF('[1]SALES BY PROMOTOR'!$D:$D,$F94,'[1]SALES BY PROMOTOR'!$G:$G)</f>
        <v>5</v>
      </c>
      <c r="M94" s="77">
        <f>SUMIF('[1]SALES BY PROMOTOR'!$D:$D,$F94,'[1]SALES BY PROMOTOR'!$I:$I)</f>
        <v>7</v>
      </c>
      <c r="N94" s="75">
        <f t="shared" si="13"/>
        <v>0.7142857142857143</v>
      </c>
      <c r="O94" s="78">
        <f>IFERROR(VLOOKUP($F94,'[1]Sales By Promotor Last Month'!D:G,4,0),0)</f>
        <v>6</v>
      </c>
      <c r="P94" s="78">
        <f t="shared" si="14"/>
        <v>5</v>
      </c>
      <c r="Q94" s="79">
        <f t="shared" si="15"/>
        <v>-1</v>
      </c>
      <c r="R94" s="80">
        <f t="shared" si="16"/>
        <v>-0.16666666666666666</v>
      </c>
      <c r="S94" s="78">
        <f>IFERROR(VLOOKUP($F94,'[1]Sales By Promotor Last Month'!D:I,6,0),0)</f>
        <v>35</v>
      </c>
      <c r="T94" s="78">
        <f t="shared" si="17"/>
        <v>7</v>
      </c>
      <c r="U94" s="79">
        <f t="shared" si="18"/>
        <v>-28</v>
      </c>
      <c r="V94" s="80">
        <f t="shared" si="19"/>
        <v>-0.8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29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28589000</v>
      </c>
      <c r="I95" s="75">
        <f t="shared" si="10"/>
        <v>0.23824166666666666</v>
      </c>
      <c r="J95" s="73">
        <f t="shared" si="11"/>
        <v>107208750</v>
      </c>
      <c r="K95" s="76">
        <f t="shared" si="12"/>
        <v>2599000</v>
      </c>
      <c r="L95" s="77">
        <f>SUMIF('[1]SALES BY PROMOTOR'!$D:$D,$F95,'[1]SALES BY PROMOTOR'!$G:$G)</f>
        <v>1</v>
      </c>
      <c r="M95" s="77">
        <f>SUMIF('[1]SALES BY PROMOTOR'!$D:$D,$F95,'[1]SALES BY PROMOTOR'!$I:$I)</f>
        <v>11</v>
      </c>
      <c r="N95" s="75">
        <f t="shared" si="13"/>
        <v>9.0909090909090912E-2</v>
      </c>
      <c r="O95" s="78">
        <f>IFERROR(VLOOKUP($F95,'[1]Sales By Promotor Last Month'!D:G,4,0),0)</f>
        <v>10</v>
      </c>
      <c r="P95" s="78">
        <f t="shared" si="14"/>
        <v>1</v>
      </c>
      <c r="Q95" s="79">
        <f t="shared" si="15"/>
        <v>-9</v>
      </c>
      <c r="R95" s="80">
        <f t="shared" si="16"/>
        <v>-0.9</v>
      </c>
      <c r="S95" s="78">
        <f>IFERROR(VLOOKUP($F95,'[1]Sales By Promotor Last Month'!D:I,6,0),0)</f>
        <v>35</v>
      </c>
      <c r="T95" s="78">
        <f t="shared" si="17"/>
        <v>11</v>
      </c>
      <c r="U95" s="79">
        <f t="shared" si="18"/>
        <v>-24</v>
      </c>
      <c r="V95" s="80">
        <f t="shared" si="19"/>
        <v>-0.68571428571428572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299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22094000</v>
      </c>
      <c r="I96" s="75">
        <f t="shared" si="10"/>
        <v>0.18411666666666668</v>
      </c>
      <c r="J96" s="73">
        <f t="shared" si="11"/>
        <v>82852500</v>
      </c>
      <c r="K96" s="76">
        <f t="shared" si="12"/>
        <v>3682333.3333333335</v>
      </c>
      <c r="L96" s="77">
        <f>SUMIF('[1]SALES BY PROMOTOR'!$D:$D,$F96,'[1]SALES BY PROMOTOR'!$G:$G)</f>
        <v>2</v>
      </c>
      <c r="M96" s="77">
        <f>SUMIF('[1]SALES BY PROMOTOR'!$D:$D,$F96,'[1]SALES BY PROMOTOR'!$I:$I)</f>
        <v>6</v>
      </c>
      <c r="N96" s="75">
        <f t="shared" si="13"/>
        <v>0.33333333333333331</v>
      </c>
      <c r="O96" s="78">
        <f>IFERROR(VLOOKUP($F96,'[1]Sales By Promotor Last Month'!D:G,4,0),0)</f>
        <v>7</v>
      </c>
      <c r="P96" s="78">
        <f t="shared" si="14"/>
        <v>2</v>
      </c>
      <c r="Q96" s="79">
        <f t="shared" si="15"/>
        <v>-5</v>
      </c>
      <c r="R96" s="80">
        <f t="shared" si="16"/>
        <v>-0.7142857142857143</v>
      </c>
      <c r="S96" s="78">
        <f>IFERROR(VLOOKUP($F96,'[1]Sales By Promotor Last Month'!D:I,6,0),0)</f>
        <v>35</v>
      </c>
      <c r="T96" s="78">
        <f t="shared" si="17"/>
        <v>6</v>
      </c>
      <c r="U96" s="79">
        <f t="shared" si="18"/>
        <v>-29</v>
      </c>
      <c r="V96" s="80">
        <f t="shared" si="19"/>
        <v>-0.82857142857142863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0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33092000</v>
      </c>
      <c r="I97" s="75">
        <f t="shared" si="10"/>
        <v>0.27576666666666666</v>
      </c>
      <c r="J97" s="73">
        <f t="shared" si="11"/>
        <v>124095000</v>
      </c>
      <c r="K97" s="76">
        <f t="shared" si="12"/>
        <v>4136500</v>
      </c>
      <c r="L97" s="77">
        <f>SUMIF('[1]SALES BY PROMOTOR'!$D:$D,$F97,'[1]SALES BY PROMOTOR'!$G:$G)</f>
        <v>3</v>
      </c>
      <c r="M97" s="77">
        <f>SUMIF('[1]SALES BY PROMOTOR'!$D:$D,$F97,'[1]SALES BY PROMOTOR'!$I:$I)</f>
        <v>8</v>
      </c>
      <c r="N97" s="75">
        <f t="shared" si="13"/>
        <v>0.375</v>
      </c>
      <c r="O97" s="78">
        <f>IFERROR(VLOOKUP($F97,'[1]Sales By Promotor Last Month'!D:G,4,0),0)</f>
        <v>3</v>
      </c>
      <c r="P97" s="78">
        <f t="shared" si="14"/>
        <v>3</v>
      </c>
      <c r="Q97" s="79">
        <f t="shared" si="15"/>
        <v>0</v>
      </c>
      <c r="R97" s="80">
        <f t="shared" si="16"/>
        <v>0</v>
      </c>
      <c r="S97" s="78">
        <f>IFERROR(VLOOKUP($F97,'[1]Sales By Promotor Last Month'!D:I,6,0),0)</f>
        <v>11</v>
      </c>
      <c r="T97" s="78">
        <f t="shared" si="17"/>
        <v>8</v>
      </c>
      <c r="U97" s="79">
        <f t="shared" si="18"/>
        <v>-3</v>
      </c>
      <c r="V97" s="80">
        <f t="shared" si="19"/>
        <v>-0.27272727272727271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29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18094000</v>
      </c>
      <c r="I98" s="75">
        <f t="shared" si="10"/>
        <v>0.15078333333333332</v>
      </c>
      <c r="J98" s="73">
        <f t="shared" si="11"/>
        <v>67852500</v>
      </c>
      <c r="K98" s="76">
        <f t="shared" si="12"/>
        <v>3015666.6666666665</v>
      </c>
      <c r="L98" s="77">
        <f>SUMIF('[1]SALES BY PROMOTOR'!$D:$D,$F98,'[1]SALES BY PROMOTOR'!$G:$G)</f>
        <v>3</v>
      </c>
      <c r="M98" s="77">
        <f>SUMIF('[1]SALES BY PROMOTOR'!$D:$D,$F98,'[1]SALES BY PROMOTOR'!$I:$I)</f>
        <v>6</v>
      </c>
      <c r="N98" s="75">
        <f t="shared" si="13"/>
        <v>0.5</v>
      </c>
      <c r="O98" s="78">
        <f>IFERROR(VLOOKUP($F98,'[1]Sales By Promotor Last Month'!D:G,4,0),0)</f>
        <v>14</v>
      </c>
      <c r="P98" s="78">
        <f t="shared" si="14"/>
        <v>3</v>
      </c>
      <c r="Q98" s="79">
        <f t="shared" si="15"/>
        <v>-11</v>
      </c>
      <c r="R98" s="80">
        <f t="shared" si="16"/>
        <v>-0.7857142857142857</v>
      </c>
      <c r="S98" s="78">
        <f>IFERROR(VLOOKUP($F98,'[1]Sales By Promotor Last Month'!D:I,6,0),0)</f>
        <v>35</v>
      </c>
      <c r="T98" s="78">
        <f t="shared" si="17"/>
        <v>6</v>
      </c>
      <c r="U98" s="79">
        <f t="shared" si="18"/>
        <v>-29</v>
      </c>
      <c r="V98" s="80">
        <f t="shared" si="19"/>
        <v>-0.82857142857142863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299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17495000</v>
      </c>
      <c r="I99" s="75">
        <f t="shared" si="10"/>
        <v>0.14579166666666668</v>
      </c>
      <c r="J99" s="73">
        <f t="shared" si="11"/>
        <v>65606250</v>
      </c>
      <c r="K99" s="76">
        <f t="shared" si="12"/>
        <v>3499000</v>
      </c>
      <c r="L99" s="77">
        <f>SUMIF('[1]SALES BY PROMOTOR'!$D:$D,$F99,'[1]SALES BY PROMOTOR'!$G:$G)</f>
        <v>2</v>
      </c>
      <c r="M99" s="77">
        <f>SUMIF('[1]SALES BY PROMOTOR'!$D:$D,$F99,'[1]SALES BY PROMOTOR'!$I:$I)</f>
        <v>5</v>
      </c>
      <c r="N99" s="75">
        <f t="shared" si="13"/>
        <v>0.4</v>
      </c>
      <c r="O99" s="78">
        <f>IFERROR(VLOOKUP($F99,'[1]Sales By Promotor Last Month'!D:G,4,0),0)</f>
        <v>16</v>
      </c>
      <c r="P99" s="78">
        <f t="shared" si="14"/>
        <v>2</v>
      </c>
      <c r="Q99" s="79">
        <f t="shared" si="15"/>
        <v>-14</v>
      </c>
      <c r="R99" s="80">
        <f t="shared" si="16"/>
        <v>-0.875</v>
      </c>
      <c r="S99" s="78">
        <f>IFERROR(VLOOKUP($F99,'[1]Sales By Promotor Last Month'!D:I,6,0),0)</f>
        <v>35</v>
      </c>
      <c r="T99" s="78">
        <f t="shared" si="17"/>
        <v>5</v>
      </c>
      <c r="U99" s="79">
        <f t="shared" si="18"/>
        <v>-30</v>
      </c>
      <c r="V99" s="80">
        <f t="shared" si="19"/>
        <v>-0.8571428571428571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0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37789000</v>
      </c>
      <c r="I100" s="75">
        <f t="shared" si="10"/>
        <v>0.31490833333333335</v>
      </c>
      <c r="J100" s="73">
        <f t="shared" si="11"/>
        <v>141708750</v>
      </c>
      <c r="K100" s="76">
        <f t="shared" si="12"/>
        <v>3435363.6363636362</v>
      </c>
      <c r="L100" s="77">
        <f>SUMIF('[1]SALES BY PROMOTOR'!$D:$D,$F100,'[1]SALES BY PROMOTOR'!$G:$G)</f>
        <v>2</v>
      </c>
      <c r="M100" s="77">
        <f>SUMIF('[1]SALES BY PROMOTOR'!$D:$D,$F100,'[1]SALES BY PROMOTOR'!$I:$I)</f>
        <v>11</v>
      </c>
      <c r="N100" s="75">
        <f t="shared" si="13"/>
        <v>0.18181818181818182</v>
      </c>
      <c r="O100" s="78">
        <f>IFERROR(VLOOKUP($F100,'[1]Sales By Promotor Last Month'!D:G,4,0),0)</f>
        <v>10</v>
      </c>
      <c r="P100" s="78">
        <f t="shared" si="14"/>
        <v>2</v>
      </c>
      <c r="Q100" s="79">
        <f t="shared" si="15"/>
        <v>-8</v>
      </c>
      <c r="R100" s="80">
        <f t="shared" si="16"/>
        <v>-0.8</v>
      </c>
      <c r="S100" s="78">
        <f>IFERROR(VLOOKUP($F100,'[1]Sales By Promotor Last Month'!D:I,6,0),0)</f>
        <v>35</v>
      </c>
      <c r="T100" s="78">
        <f t="shared" si="17"/>
        <v>11</v>
      </c>
      <c r="U100" s="79">
        <f t="shared" si="18"/>
        <v>-24</v>
      </c>
      <c r="V100" s="80">
        <f t="shared" si="19"/>
        <v>-0.68571428571428572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29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34092000</v>
      </c>
      <c r="I101" s="75">
        <f t="shared" si="10"/>
        <v>0.28410000000000002</v>
      </c>
      <c r="J101" s="73">
        <f t="shared" si="11"/>
        <v>127845000</v>
      </c>
      <c r="K101" s="76">
        <f t="shared" si="12"/>
        <v>4261500</v>
      </c>
      <c r="L101" s="77">
        <f>SUMIF('[1]SALES BY PROMOTOR'!$D:$D,$F101,'[1]SALES BY PROMOTOR'!$G:$G)</f>
        <v>3</v>
      </c>
      <c r="M101" s="77">
        <f>SUMIF('[1]SALES BY PROMOTOR'!$D:$D,$F101,'[1]SALES BY PROMOTOR'!$I:$I)</f>
        <v>8</v>
      </c>
      <c r="N101" s="75">
        <f t="shared" si="13"/>
        <v>0.375</v>
      </c>
      <c r="O101" s="78">
        <f>IFERROR(VLOOKUP($F101,'[1]Sales By Promotor Last Month'!D:G,4,0),0)</f>
        <v>13</v>
      </c>
      <c r="P101" s="78">
        <f t="shared" si="14"/>
        <v>3</v>
      </c>
      <c r="Q101" s="79">
        <f t="shared" si="15"/>
        <v>-10</v>
      </c>
      <c r="R101" s="80">
        <f t="shared" si="16"/>
        <v>-0.76923076923076927</v>
      </c>
      <c r="S101" s="78">
        <f>IFERROR(VLOOKUP($F101,'[1]Sales By Promotor Last Month'!D:I,6,0),0)</f>
        <v>35</v>
      </c>
      <c r="T101" s="78">
        <f t="shared" si="17"/>
        <v>8</v>
      </c>
      <c r="U101" s="79">
        <f t="shared" si="18"/>
        <v>-27</v>
      </c>
      <c r="V101" s="80">
        <f t="shared" si="19"/>
        <v>-0.77142857142857146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299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44790000</v>
      </c>
      <c r="I102" s="75">
        <f t="shared" si="10"/>
        <v>0.37325000000000003</v>
      </c>
      <c r="J102" s="73">
        <f t="shared" si="11"/>
        <v>167962500</v>
      </c>
      <c r="K102" s="76">
        <f t="shared" si="12"/>
        <v>4479000</v>
      </c>
      <c r="L102" s="77">
        <f>SUMIF('[1]SALES BY PROMOTOR'!$D:$D,$F102,'[1]SALES BY PROMOTOR'!$G:$G)</f>
        <v>6</v>
      </c>
      <c r="M102" s="77">
        <f>SUMIF('[1]SALES BY PROMOTOR'!$D:$D,$F102,'[1]SALES BY PROMOTOR'!$I:$I)</f>
        <v>10</v>
      </c>
      <c r="N102" s="75">
        <f t="shared" si="13"/>
        <v>0.6</v>
      </c>
      <c r="O102" s="78">
        <f>IFERROR(VLOOKUP($F102,'[1]Sales By Promotor Last Month'!D:G,4,0),0)</f>
        <v>14</v>
      </c>
      <c r="P102" s="78">
        <f t="shared" si="14"/>
        <v>6</v>
      </c>
      <c r="Q102" s="79">
        <f t="shared" si="15"/>
        <v>-8</v>
      </c>
      <c r="R102" s="80">
        <f t="shared" si="16"/>
        <v>-0.5714285714285714</v>
      </c>
      <c r="S102" s="78">
        <f>IFERROR(VLOOKUP($F102,'[1]Sales By Promotor Last Month'!D:I,6,0),0)</f>
        <v>35</v>
      </c>
      <c r="T102" s="78">
        <f t="shared" si="17"/>
        <v>10</v>
      </c>
      <c r="U102" s="79">
        <f t="shared" si="18"/>
        <v>-25</v>
      </c>
      <c r="V102" s="80">
        <f t="shared" si="19"/>
        <v>-0.7142857142857143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299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30693000</v>
      </c>
      <c r="I103" s="75">
        <f t="shared" si="10"/>
        <v>0.25577499999999997</v>
      </c>
      <c r="J103" s="73">
        <f t="shared" si="11"/>
        <v>115098750</v>
      </c>
      <c r="K103" s="76">
        <f t="shared" si="12"/>
        <v>4384714.2857142854</v>
      </c>
      <c r="L103" s="77">
        <f>SUMIF('[1]SALES BY PROMOTOR'!$D:$D,$F103,'[1]SALES BY PROMOTOR'!$G:$G)</f>
        <v>2</v>
      </c>
      <c r="M103" s="77">
        <f>SUMIF('[1]SALES BY PROMOTOR'!$D:$D,$F103,'[1]SALES BY PROMOTOR'!$I:$I)</f>
        <v>7</v>
      </c>
      <c r="N103" s="75">
        <f t="shared" si="13"/>
        <v>0.2857142857142857</v>
      </c>
      <c r="O103" s="78">
        <f>IFERROR(VLOOKUP($F103,'[1]Sales By Promotor Last Month'!D:G,4,0),0)</f>
        <v>15</v>
      </c>
      <c r="P103" s="78">
        <f t="shared" si="14"/>
        <v>2</v>
      </c>
      <c r="Q103" s="79">
        <f t="shared" si="15"/>
        <v>-13</v>
      </c>
      <c r="R103" s="80">
        <f t="shared" si="16"/>
        <v>-0.8666666666666667</v>
      </c>
      <c r="S103" s="78">
        <f>IFERROR(VLOOKUP($F103,'[1]Sales By Promotor Last Month'!D:I,6,0),0)</f>
        <v>35</v>
      </c>
      <c r="T103" s="78">
        <f t="shared" si="17"/>
        <v>7</v>
      </c>
      <c r="U103" s="79">
        <f t="shared" si="18"/>
        <v>-28</v>
      </c>
      <c r="V103" s="80">
        <f t="shared" si="19"/>
        <v>-0.8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299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22695000</v>
      </c>
      <c r="I104" s="75">
        <f t="shared" si="10"/>
        <v>0.18912499999999999</v>
      </c>
      <c r="J104" s="73">
        <f t="shared" si="11"/>
        <v>85106250</v>
      </c>
      <c r="K104" s="76">
        <f t="shared" si="12"/>
        <v>4539000</v>
      </c>
      <c r="L104" s="77">
        <f>SUMIF('[1]SALES BY PROMOTOR'!$D:$D,$F104,'[1]SALES BY PROMOTOR'!$G:$G)</f>
        <v>3</v>
      </c>
      <c r="M104" s="77">
        <f>SUMIF('[1]SALES BY PROMOTOR'!$D:$D,$F104,'[1]SALES BY PROMOTOR'!$I:$I)</f>
        <v>5</v>
      </c>
      <c r="N104" s="75">
        <f t="shared" si="13"/>
        <v>0.6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5</v>
      </c>
      <c r="U104" s="79">
        <f t="shared" si="18"/>
        <v>-30</v>
      </c>
      <c r="V104" s="80">
        <f t="shared" si="19"/>
        <v>-0.8571428571428571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299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23295000</v>
      </c>
      <c r="I105" s="75">
        <f t="shared" si="10"/>
        <v>0.19412499999999999</v>
      </c>
      <c r="J105" s="73">
        <f t="shared" si="11"/>
        <v>87356250</v>
      </c>
      <c r="K105" s="76">
        <f t="shared" si="12"/>
        <v>4659000</v>
      </c>
      <c r="L105" s="77">
        <f>SUMIF('[1]SALES BY PROMOTOR'!$D:$D,$F105,'[1]SALES BY PROMOTOR'!$G:$G)</f>
        <v>3</v>
      </c>
      <c r="M105" s="77">
        <f>SUMIF('[1]SALES BY PROMOTOR'!$D:$D,$F105,'[1]SALES BY PROMOTOR'!$I:$I)</f>
        <v>5</v>
      </c>
      <c r="N105" s="75">
        <f t="shared" si="13"/>
        <v>0.6</v>
      </c>
      <c r="O105" s="78">
        <f>IFERROR(VLOOKUP($F105,'[1]Sales By Promotor Last Month'!D:G,4,0),0)</f>
        <v>10</v>
      </c>
      <c r="P105" s="78">
        <f t="shared" si="14"/>
        <v>3</v>
      </c>
      <c r="Q105" s="79">
        <f t="shared" si="15"/>
        <v>-7</v>
      </c>
      <c r="R105" s="80">
        <f t="shared" si="16"/>
        <v>-0.7</v>
      </c>
      <c r="S105" s="78">
        <f>IFERROR(VLOOKUP($F105,'[1]Sales By Promotor Last Month'!D:I,6,0),0)</f>
        <v>35</v>
      </c>
      <c r="T105" s="78">
        <f t="shared" si="17"/>
        <v>5</v>
      </c>
      <c r="U105" s="79">
        <f t="shared" si="18"/>
        <v>-30</v>
      </c>
      <c r="V105" s="80">
        <f t="shared" si="19"/>
        <v>-0.8571428571428571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0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19993000</v>
      </c>
      <c r="I106" s="75">
        <f t="shared" si="10"/>
        <v>0.16660833333333333</v>
      </c>
      <c r="J106" s="73">
        <f t="shared" si="11"/>
        <v>74973750</v>
      </c>
      <c r="K106" s="76">
        <f t="shared" si="12"/>
        <v>2856142.8571428573</v>
      </c>
      <c r="L106" s="77">
        <f>SUMIF('[1]SALES BY PROMOTOR'!$D:$D,$F106,'[1]SALES BY PROMOTOR'!$G:$G)</f>
        <v>3</v>
      </c>
      <c r="M106" s="77">
        <f>SUMIF('[1]SALES BY PROMOTOR'!$D:$D,$F106,'[1]SALES BY PROMOTOR'!$I:$I)</f>
        <v>7</v>
      </c>
      <c r="N106" s="75">
        <f t="shared" si="13"/>
        <v>0.42857142857142855</v>
      </c>
      <c r="O106" s="78">
        <f>IFERROR(VLOOKUP($F106,'[1]Sales By Promotor Last Month'!D:G,4,0),0)</f>
        <v>9</v>
      </c>
      <c r="P106" s="78">
        <f t="shared" si="14"/>
        <v>3</v>
      </c>
      <c r="Q106" s="79">
        <f t="shared" si="15"/>
        <v>-6</v>
      </c>
      <c r="R106" s="80">
        <f t="shared" si="16"/>
        <v>-0.66666666666666663</v>
      </c>
      <c r="S106" s="78">
        <f>IFERROR(VLOOKUP($F106,'[1]Sales By Promotor Last Month'!D:I,6,0),0)</f>
        <v>15</v>
      </c>
      <c r="T106" s="78">
        <f t="shared" si="17"/>
        <v>7</v>
      </c>
      <c r="U106" s="79">
        <f t="shared" si="18"/>
        <v>-8</v>
      </c>
      <c r="V106" s="80">
        <f t="shared" si="19"/>
        <v>-0.53333333333333333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29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0</v>
      </c>
      <c r="I107" s="75">
        <f t="shared" si="10"/>
        <v>0</v>
      </c>
      <c r="J107" s="73">
        <f t="shared" si="11"/>
        <v>0</v>
      </c>
      <c r="K107" s="76">
        <f t="shared" si="12"/>
        <v>0</v>
      </c>
      <c r="L107" s="77">
        <f>SUMIF('[1]SALES BY PROMOTOR'!$D:$D,$F107,'[1]SALES BY PROMOTOR'!$G:$G)</f>
        <v>0</v>
      </c>
      <c r="M107" s="77">
        <f>SUMIF('[1]SALES BY PROMOTOR'!$D:$D,$F107,'[1]SALES BY PROMOTOR'!$I:$I)</f>
        <v>0</v>
      </c>
      <c r="N107" s="75">
        <f t="shared" si="13"/>
        <v>0</v>
      </c>
      <c r="O107" s="78">
        <f>IFERROR(VLOOKUP($F107,'[1]Sales By Promotor Last Month'!D:G,4,0),0)</f>
        <v>1</v>
      </c>
      <c r="P107" s="78">
        <f t="shared" si="14"/>
        <v>0</v>
      </c>
      <c r="Q107" s="79">
        <f t="shared" si="15"/>
        <v>-1</v>
      </c>
      <c r="R107" s="80">
        <f t="shared" si="16"/>
        <v>-1</v>
      </c>
      <c r="S107" s="78">
        <f>IFERROR(VLOOKUP($F107,'[1]Sales By Promotor Last Month'!D:I,6,0),0)</f>
        <v>7</v>
      </c>
      <c r="T107" s="78">
        <f t="shared" si="17"/>
        <v>0</v>
      </c>
      <c r="U107" s="79">
        <f t="shared" si="18"/>
        <v>-7</v>
      </c>
      <c r="V107" s="80">
        <f t="shared" si="19"/>
        <v>-1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0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15396000</v>
      </c>
      <c r="I108" s="75">
        <f t="shared" si="10"/>
        <v>0.17106666666666667</v>
      </c>
      <c r="J108" s="73">
        <f t="shared" si="11"/>
        <v>57735000</v>
      </c>
      <c r="K108" s="76">
        <f t="shared" si="12"/>
        <v>3849000</v>
      </c>
      <c r="L108" s="77">
        <f>SUMIF('[1]SALES BY PROMOTOR'!$D:$D,$F108,'[1]SALES BY PROMOTOR'!$G:$G)</f>
        <v>2</v>
      </c>
      <c r="M108" s="77">
        <f>SUMIF('[1]SALES BY PROMOTOR'!$D:$D,$F108,'[1]SALES BY PROMOTOR'!$I:$I)</f>
        <v>4</v>
      </c>
      <c r="N108" s="75">
        <f t="shared" si="13"/>
        <v>0.5</v>
      </c>
      <c r="O108" s="78">
        <f>IFERROR(VLOOKUP($F108,'[1]Sales By Promotor Last Month'!D:G,4,0),0)</f>
        <v>3</v>
      </c>
      <c r="P108" s="78">
        <f t="shared" si="14"/>
        <v>2</v>
      </c>
      <c r="Q108" s="79">
        <f t="shared" si="15"/>
        <v>-1</v>
      </c>
      <c r="R108" s="80">
        <f t="shared" si="16"/>
        <v>-0.33333333333333331</v>
      </c>
      <c r="S108" s="78">
        <f>IFERROR(VLOOKUP($F108,'[1]Sales By Promotor Last Month'!D:I,6,0),0)</f>
        <v>13</v>
      </c>
      <c r="T108" s="78">
        <f t="shared" si="17"/>
        <v>4</v>
      </c>
      <c r="U108" s="79">
        <f t="shared" si="18"/>
        <v>-9</v>
      </c>
      <c r="V108" s="80">
        <f t="shared" si="19"/>
        <v>-0.69230769230769229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01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20797000</v>
      </c>
      <c r="I109" s="75">
        <f t="shared" si="10"/>
        <v>0.17330833333333334</v>
      </c>
      <c r="J109" s="73">
        <f t="shared" si="11"/>
        <v>77988750</v>
      </c>
      <c r="K109" s="76">
        <f t="shared" si="12"/>
        <v>6932333.333333333</v>
      </c>
      <c r="L109" s="77">
        <f>SUMIF('[1]SALES BY PROMOTOR'!$D:$D,$F109,'[1]SALES BY PROMOTOR'!$G:$G)</f>
        <v>3</v>
      </c>
      <c r="M109" s="77">
        <f>SUMIF('[1]SALES BY PROMOTOR'!$D:$D,$F109,'[1]SALES BY PROMOTOR'!$I:$I)</f>
        <v>3</v>
      </c>
      <c r="N109" s="75">
        <f t="shared" si="13"/>
        <v>1</v>
      </c>
      <c r="O109" s="78">
        <f>IFERROR(VLOOKUP($F109,'[1]Sales By Promotor Last Month'!D:G,4,0),0)</f>
        <v>14</v>
      </c>
      <c r="P109" s="78">
        <f t="shared" si="14"/>
        <v>3</v>
      </c>
      <c r="Q109" s="79">
        <f t="shared" si="15"/>
        <v>-11</v>
      </c>
      <c r="R109" s="80">
        <f t="shared" si="16"/>
        <v>-0.7857142857142857</v>
      </c>
      <c r="S109" s="78">
        <f>IFERROR(VLOOKUP($F109,'[1]Sales By Promotor Last Month'!D:I,6,0),0)</f>
        <v>25</v>
      </c>
      <c r="T109" s="78">
        <f t="shared" si="17"/>
        <v>3</v>
      </c>
      <c r="U109" s="79">
        <f t="shared" si="18"/>
        <v>-22</v>
      </c>
      <c r="V109" s="80">
        <f t="shared" si="19"/>
        <v>-0.88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02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11396000</v>
      </c>
      <c r="I110" s="75">
        <f t="shared" si="10"/>
        <v>9.4966666666666671E-2</v>
      </c>
      <c r="J110" s="73">
        <f t="shared" si="11"/>
        <v>42735000</v>
      </c>
      <c r="K110" s="76">
        <f t="shared" si="12"/>
        <v>2849000</v>
      </c>
      <c r="L110" s="77">
        <f>SUMIF('[1]SALES BY PROMOTOR'!$D:$D,$F110,'[1]SALES BY PROMOTOR'!$G:$G)</f>
        <v>1</v>
      </c>
      <c r="M110" s="77">
        <f>SUMIF('[1]SALES BY PROMOTOR'!$D:$D,$F110,'[1]SALES BY PROMOTOR'!$I:$I)</f>
        <v>4</v>
      </c>
      <c r="N110" s="75">
        <f t="shared" si="13"/>
        <v>0.25</v>
      </c>
      <c r="O110" s="78">
        <f>IFERROR(VLOOKUP($F110,'[1]Sales By Promotor Last Month'!D:G,4,0),0)</f>
        <v>9</v>
      </c>
      <c r="P110" s="78">
        <f t="shared" si="14"/>
        <v>1</v>
      </c>
      <c r="Q110" s="79">
        <f t="shared" si="15"/>
        <v>-8</v>
      </c>
      <c r="R110" s="80">
        <f t="shared" si="16"/>
        <v>-0.88888888888888884</v>
      </c>
      <c r="S110" s="78">
        <f>IFERROR(VLOOKUP($F110,'[1]Sales By Promotor Last Month'!D:I,6,0),0)</f>
        <v>13</v>
      </c>
      <c r="T110" s="78">
        <f t="shared" si="17"/>
        <v>4</v>
      </c>
      <c r="U110" s="79">
        <f t="shared" si="18"/>
        <v>-9</v>
      </c>
      <c r="V110" s="80">
        <f t="shared" si="19"/>
        <v>-0.69230769230769229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03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34993000</v>
      </c>
      <c r="I111" s="75">
        <f t="shared" si="10"/>
        <v>0.38881111111111111</v>
      </c>
      <c r="J111" s="73">
        <f t="shared" si="11"/>
        <v>131223750</v>
      </c>
      <c r="K111" s="76">
        <f t="shared" si="12"/>
        <v>4999000</v>
      </c>
      <c r="L111" s="77">
        <f>SUMIF('[1]SALES BY PROMOTOR'!$D:$D,$F111,'[1]SALES BY PROMOTOR'!$G:$G)</f>
        <v>4</v>
      </c>
      <c r="M111" s="77">
        <f>SUMIF('[1]SALES BY PROMOTOR'!$D:$D,$F111,'[1]SALES BY PROMOTOR'!$I:$I)</f>
        <v>7</v>
      </c>
      <c r="N111" s="75">
        <f t="shared" si="13"/>
        <v>0.5714285714285714</v>
      </c>
      <c r="O111" s="78">
        <f>IFERROR(VLOOKUP($F111,'[1]Sales By Promotor Last Month'!D:G,4,0),0)</f>
        <v>9</v>
      </c>
      <c r="P111" s="78">
        <f t="shared" si="14"/>
        <v>4</v>
      </c>
      <c r="Q111" s="79">
        <f t="shared" si="15"/>
        <v>-5</v>
      </c>
      <c r="R111" s="80">
        <f t="shared" si="16"/>
        <v>-0.55555555555555558</v>
      </c>
      <c r="S111" s="78">
        <f>IFERROR(VLOOKUP($F111,'[1]Sales By Promotor Last Month'!D:I,6,0),0)</f>
        <v>18</v>
      </c>
      <c r="T111" s="78">
        <f t="shared" si="17"/>
        <v>7</v>
      </c>
      <c r="U111" s="79">
        <f t="shared" si="18"/>
        <v>-11</v>
      </c>
      <c r="V111" s="80">
        <f t="shared" si="19"/>
        <v>-0.61111111111111116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04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8798000</v>
      </c>
      <c r="I112" s="75">
        <f t="shared" si="10"/>
        <v>9.7755555555555554E-2</v>
      </c>
      <c r="J112" s="73">
        <f t="shared" si="11"/>
        <v>32992500</v>
      </c>
      <c r="K112" s="76">
        <f t="shared" si="12"/>
        <v>4399000</v>
      </c>
      <c r="L112" s="77">
        <f>SUMIF('[1]SALES BY PROMOTOR'!$D:$D,$F112,'[1]SALES BY PROMOTOR'!$G:$G)</f>
        <v>1</v>
      </c>
      <c r="M112" s="77">
        <f>SUMIF('[1]SALES BY PROMOTOR'!$D:$D,$F112,'[1]SALES BY PROMOTOR'!$I:$I)</f>
        <v>2</v>
      </c>
      <c r="N112" s="75">
        <f t="shared" si="13"/>
        <v>0.5</v>
      </c>
      <c r="O112" s="78">
        <f>IFERROR(VLOOKUP($F112,'[1]Sales By Promotor Last Month'!D:G,4,0),0)</f>
        <v>1</v>
      </c>
      <c r="P112" s="78">
        <f t="shared" si="14"/>
        <v>1</v>
      </c>
      <c r="Q112" s="79">
        <f t="shared" si="15"/>
        <v>0</v>
      </c>
      <c r="R112" s="80">
        <f t="shared" si="16"/>
        <v>0</v>
      </c>
      <c r="S112" s="78">
        <f>IFERROR(VLOOKUP($F112,'[1]Sales By Promotor Last Month'!D:I,6,0),0)</f>
        <v>4</v>
      </c>
      <c r="T112" s="78">
        <f t="shared" si="17"/>
        <v>2</v>
      </c>
      <c r="U112" s="79">
        <f t="shared" si="18"/>
        <v>-2</v>
      </c>
      <c r="V112" s="80">
        <f t="shared" si="19"/>
        <v>-0.5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2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10796000</v>
      </c>
      <c r="I113" s="75">
        <f t="shared" si="10"/>
        <v>0.11995555555555555</v>
      </c>
      <c r="J113" s="73">
        <f t="shared" si="11"/>
        <v>40485000</v>
      </c>
      <c r="K113" s="76">
        <f t="shared" si="12"/>
        <v>2699000</v>
      </c>
      <c r="L113" s="77">
        <f>SUMIF('[1]SALES BY PROMOTOR'!$D:$D,$F113,'[1]SALES BY PROMOTOR'!$G:$G)</f>
        <v>0</v>
      </c>
      <c r="M113" s="77">
        <f>SUMIF('[1]SALES BY PROMOTOR'!$D:$D,$F113,'[1]SALES BY PROMOTOR'!$I:$I)</f>
        <v>4</v>
      </c>
      <c r="N113" s="75">
        <f t="shared" si="13"/>
        <v>0</v>
      </c>
      <c r="O113" s="78">
        <f>IFERROR(VLOOKUP($F113,'[1]Sales By Promotor Last Month'!D:G,4,0),0)</f>
        <v>7</v>
      </c>
      <c r="P113" s="78">
        <f t="shared" si="14"/>
        <v>0</v>
      </c>
      <c r="Q113" s="79">
        <f t="shared" si="15"/>
        <v>-7</v>
      </c>
      <c r="R113" s="80">
        <f t="shared" si="16"/>
        <v>-1</v>
      </c>
      <c r="S113" s="78">
        <f>IFERROR(VLOOKUP($F113,'[1]Sales By Promotor Last Month'!D:I,6,0),0)</f>
        <v>7</v>
      </c>
      <c r="T113" s="78">
        <f t="shared" si="17"/>
        <v>4</v>
      </c>
      <c r="U113" s="79">
        <f t="shared" si="18"/>
        <v>-3</v>
      </c>
      <c r="V113" s="80">
        <f t="shared" si="19"/>
        <v>-0.42857142857142855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3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7798000</v>
      </c>
      <c r="I114" s="75">
        <f t="shared" si="10"/>
        <v>8.6644444444444441E-2</v>
      </c>
      <c r="J114" s="73">
        <f t="shared" si="11"/>
        <v>29242500</v>
      </c>
      <c r="K114" s="76">
        <f t="shared" si="12"/>
        <v>3899000</v>
      </c>
      <c r="L114" s="77">
        <f>SUMIF('[1]SALES BY PROMOTOR'!$D:$D,$F114,'[1]SALES BY PROMOTOR'!$G:$G)</f>
        <v>1</v>
      </c>
      <c r="M114" s="77">
        <f>SUMIF('[1]SALES BY PROMOTOR'!$D:$D,$F114,'[1]SALES BY PROMOTOR'!$I:$I)</f>
        <v>2</v>
      </c>
      <c r="N114" s="75">
        <f t="shared" si="13"/>
        <v>0.5</v>
      </c>
      <c r="O114" s="78">
        <f>IFERROR(VLOOKUP($F114,'[1]Sales By Promotor Last Month'!D:G,4,0),0)</f>
        <v>10</v>
      </c>
      <c r="P114" s="78">
        <f t="shared" si="14"/>
        <v>1</v>
      </c>
      <c r="Q114" s="79">
        <f t="shared" si="15"/>
        <v>-9</v>
      </c>
      <c r="R114" s="80">
        <f t="shared" si="16"/>
        <v>-0.9</v>
      </c>
      <c r="S114" s="78">
        <f>IFERROR(VLOOKUP($F114,'[1]Sales By Promotor Last Month'!D:I,6,0),0)</f>
        <v>25</v>
      </c>
      <c r="T114" s="78">
        <f t="shared" si="17"/>
        <v>2</v>
      </c>
      <c r="U114" s="79">
        <f t="shared" si="18"/>
        <v>-23</v>
      </c>
      <c r="V114" s="80">
        <f t="shared" si="19"/>
        <v>-0.92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292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4598000</v>
      </c>
      <c r="I115" s="75">
        <f t="shared" si="10"/>
        <v>5.1088888888888892E-2</v>
      </c>
      <c r="J115" s="73">
        <f t="shared" si="11"/>
        <v>17242500</v>
      </c>
      <c r="K115" s="76">
        <f t="shared" si="12"/>
        <v>2299000</v>
      </c>
      <c r="L115" s="77">
        <f>SUMIF('[1]SALES BY PROMOTOR'!$D:$D,$F115,'[1]SALES BY PROMOTOR'!$G:$G)</f>
        <v>0</v>
      </c>
      <c r="M115" s="77">
        <f>SUMIF('[1]SALES BY PROMOTOR'!$D:$D,$F115,'[1]SALES BY PROMOTOR'!$I:$I)</f>
        <v>2</v>
      </c>
      <c r="N115" s="75">
        <f t="shared" si="13"/>
        <v>0</v>
      </c>
      <c r="O115" s="78">
        <f>IFERROR(VLOOKUP($F115,'[1]Sales By Promotor Last Month'!D:G,4,0),0)</f>
        <v>6</v>
      </c>
      <c r="P115" s="78">
        <f t="shared" si="14"/>
        <v>0</v>
      </c>
      <c r="Q115" s="79">
        <f t="shared" si="15"/>
        <v>-6</v>
      </c>
      <c r="R115" s="80">
        <f t="shared" si="16"/>
        <v>-1</v>
      </c>
      <c r="S115" s="78">
        <f>IFERROR(VLOOKUP($F115,'[1]Sales By Promotor Last Month'!D:I,6,0),0)</f>
        <v>13</v>
      </c>
      <c r="T115" s="78">
        <f t="shared" si="17"/>
        <v>2</v>
      </c>
      <c r="U115" s="79">
        <f t="shared" si="18"/>
        <v>-11</v>
      </c>
      <c r="V115" s="80">
        <f t="shared" si="19"/>
        <v>-0.84615384615384615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293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5098000</v>
      </c>
      <c r="I116" s="75">
        <f t="shared" si="10"/>
        <v>5.6644444444444442E-2</v>
      </c>
      <c r="J116" s="73">
        <f t="shared" si="11"/>
        <v>19117500</v>
      </c>
      <c r="K116" s="76">
        <f t="shared" si="12"/>
        <v>2549000</v>
      </c>
      <c r="L116" s="77">
        <f>SUMIF('[1]SALES BY PROMOTOR'!$D:$D,$F116,'[1]SALES BY PROMOTOR'!$G:$G)</f>
        <v>0</v>
      </c>
      <c r="M116" s="77">
        <f>SUMIF('[1]SALES BY PROMOTOR'!$D:$D,$F116,'[1]SALES BY PROMOTOR'!$I:$I)</f>
        <v>2</v>
      </c>
      <c r="N116" s="75">
        <f t="shared" si="13"/>
        <v>0</v>
      </c>
      <c r="O116" s="78">
        <f>IFERROR(VLOOKUP($F116,'[1]Sales By Promotor Last Month'!D:G,4,0),0)</f>
        <v>4</v>
      </c>
      <c r="P116" s="78">
        <f t="shared" si="14"/>
        <v>0</v>
      </c>
      <c r="Q116" s="79">
        <f t="shared" si="15"/>
        <v>-4</v>
      </c>
      <c r="R116" s="80">
        <f t="shared" si="16"/>
        <v>-1</v>
      </c>
      <c r="S116" s="78">
        <f>IFERROR(VLOOKUP($F116,'[1]Sales By Promotor Last Month'!D:I,6,0),0)</f>
        <v>7</v>
      </c>
      <c r="T116" s="78">
        <f t="shared" si="17"/>
        <v>2</v>
      </c>
      <c r="U116" s="79">
        <f t="shared" si="18"/>
        <v>-5</v>
      </c>
      <c r="V116" s="80">
        <f t="shared" si="19"/>
        <v>-0.7142857142857143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294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2099000</v>
      </c>
      <c r="I117" s="75">
        <f t="shared" si="10"/>
        <v>2.3322222222222223E-2</v>
      </c>
      <c r="J117" s="73">
        <f t="shared" si="11"/>
        <v>7871250</v>
      </c>
      <c r="K117" s="76">
        <f t="shared" si="12"/>
        <v>2099000</v>
      </c>
      <c r="L117" s="77">
        <f>SUMIF('[1]SALES BY PROMOTOR'!$D:$D,$F117,'[1]SALES BY PROMOTOR'!$G:$G)</f>
        <v>0</v>
      </c>
      <c r="M117" s="77">
        <f>SUMIF('[1]SALES BY PROMOTOR'!$D:$D,$F117,'[1]SALES BY PROMOTOR'!$I:$I)</f>
        <v>1</v>
      </c>
      <c r="N117" s="75">
        <f t="shared" si="13"/>
        <v>0</v>
      </c>
      <c r="O117" s="78">
        <f>IFERROR(VLOOKUP($F117,'[1]Sales By Promotor Last Month'!D:G,4,0),0)</f>
        <v>7</v>
      </c>
      <c r="P117" s="78">
        <f t="shared" si="14"/>
        <v>0</v>
      </c>
      <c r="Q117" s="79">
        <f t="shared" si="15"/>
        <v>-7</v>
      </c>
      <c r="R117" s="80">
        <f t="shared" si="16"/>
        <v>-1</v>
      </c>
      <c r="S117" s="78">
        <f>IFERROR(VLOOKUP($F117,'[1]Sales By Promotor Last Month'!D:I,6,0),0)</f>
        <v>10</v>
      </c>
      <c r="T117" s="78">
        <f t="shared" si="17"/>
        <v>1</v>
      </c>
      <c r="U117" s="79">
        <f t="shared" si="18"/>
        <v>-9</v>
      </c>
      <c r="V117" s="80">
        <f t="shared" si="19"/>
        <v>-0.9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13598000</v>
      </c>
      <c r="I118" s="75">
        <f t="shared" si="10"/>
        <v>0.15108888888888888</v>
      </c>
      <c r="J118" s="73">
        <f t="shared" si="11"/>
        <v>50992500</v>
      </c>
      <c r="K118" s="76">
        <f t="shared" si="12"/>
        <v>6799000</v>
      </c>
      <c r="L118" s="77">
        <f>SUMIF('[1]SALES BY PROMOTOR'!$D:$D,$F118,'[1]SALES BY PROMOTOR'!$G:$G)</f>
        <v>2</v>
      </c>
      <c r="M118" s="77">
        <f>SUMIF('[1]SALES BY PROMOTOR'!$D:$D,$F118,'[1]SALES BY PROMOTOR'!$I:$I)</f>
        <v>2</v>
      </c>
      <c r="N118" s="75">
        <f t="shared" si="13"/>
        <v>1</v>
      </c>
      <c r="O118" s="78">
        <f>IFERROR(VLOOKUP($F118,'[1]Sales By Promotor Last Month'!D:G,4,0),0)</f>
        <v>12</v>
      </c>
      <c r="P118" s="78">
        <f t="shared" si="14"/>
        <v>2</v>
      </c>
      <c r="Q118" s="79">
        <f t="shared" si="15"/>
        <v>-10</v>
      </c>
      <c r="R118" s="80">
        <f t="shared" si="16"/>
        <v>-0.83333333333333337</v>
      </c>
      <c r="S118" s="78">
        <f>IFERROR(VLOOKUP($F118,'[1]Sales By Promotor Last Month'!D:I,6,0),0)</f>
        <v>16</v>
      </c>
      <c r="T118" s="78">
        <f t="shared" si="17"/>
        <v>2</v>
      </c>
      <c r="U118" s="79">
        <f t="shared" si="18"/>
        <v>-14</v>
      </c>
      <c r="V118" s="80">
        <f t="shared" si="19"/>
        <v>-0.875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292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6899000</v>
      </c>
      <c r="I119" s="75">
        <f t="shared" si="10"/>
        <v>0</v>
      </c>
      <c r="J119" s="73">
        <f t="shared" si="11"/>
        <v>25871250</v>
      </c>
      <c r="K119" s="76">
        <f t="shared" si="12"/>
        <v>6899000</v>
      </c>
      <c r="L119" s="77">
        <f>SUMIF('[1]SALES BY PROMOTOR'!$D:$D,$F119,'[1]SALES BY PROMOTOR'!$G:$G)</f>
        <v>1</v>
      </c>
      <c r="M119" s="77">
        <f>SUMIF('[1]SALES BY PROMOTOR'!$D:$D,$F119,'[1]SALES BY PROMOTOR'!$I:$I)</f>
        <v>1</v>
      </c>
      <c r="N119" s="75">
        <f t="shared" si="13"/>
        <v>1</v>
      </c>
      <c r="O119" s="78">
        <f>IFERROR(VLOOKUP($F119,'[1]Sales By Promotor Last Month'!D:G,4,0),0)</f>
        <v>4</v>
      </c>
      <c r="P119" s="78">
        <f t="shared" si="14"/>
        <v>1</v>
      </c>
      <c r="Q119" s="79">
        <f t="shared" si="15"/>
        <v>-3</v>
      </c>
      <c r="R119" s="80">
        <f t="shared" si="16"/>
        <v>-0.75</v>
      </c>
      <c r="S119" s="78">
        <f>IFERROR(VLOOKUP($F119,'[1]Sales By Promotor Last Month'!D:I,6,0),0)</f>
        <v>5</v>
      </c>
      <c r="T119" s="78">
        <f t="shared" si="17"/>
        <v>1</v>
      </c>
      <c r="U119" s="79">
        <f t="shared" si="18"/>
        <v>-4</v>
      </c>
      <c r="V119" s="80">
        <f t="shared" si="19"/>
        <v>-0.8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294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11798000</v>
      </c>
      <c r="I120" s="75">
        <f t="shared" si="10"/>
        <v>0</v>
      </c>
      <c r="J120" s="73">
        <f t="shared" si="11"/>
        <v>44242500</v>
      </c>
      <c r="K120" s="76">
        <f t="shared" si="12"/>
        <v>5899000</v>
      </c>
      <c r="L120" s="77">
        <f>SUMIF('[1]SALES BY PROMOTOR'!$D:$D,$F120,'[1]SALES BY PROMOTOR'!$G:$G)</f>
        <v>2</v>
      </c>
      <c r="M120" s="77">
        <f>SUMIF('[1]SALES BY PROMOTOR'!$D:$D,$F120,'[1]SALES BY PROMOTOR'!$I:$I)</f>
        <v>2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2</v>
      </c>
      <c r="Q120" s="79">
        <f t="shared" si="15"/>
        <v>-3</v>
      </c>
      <c r="R120" s="80">
        <f t="shared" si="16"/>
        <v>-0.6</v>
      </c>
      <c r="S120" s="78">
        <f>IFERROR(VLOOKUP($F120,'[1]Sales By Promotor Last Month'!D:I,6,0),0)</f>
        <v>5</v>
      </c>
      <c r="T120" s="78">
        <f t="shared" si="17"/>
        <v>2</v>
      </c>
      <c r="U120" s="79">
        <f t="shared" si="18"/>
        <v>-3</v>
      </c>
      <c r="V120" s="80">
        <f t="shared" si="19"/>
        <v>-0.6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29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25999000</v>
      </c>
      <c r="I121" s="75">
        <f t="shared" si="10"/>
        <v>0.28887777777777779</v>
      </c>
      <c r="J121" s="73">
        <f t="shared" si="11"/>
        <v>97496250</v>
      </c>
      <c r="K121" s="76">
        <f t="shared" si="12"/>
        <v>25999000</v>
      </c>
      <c r="L121" s="77">
        <f>SUMIF('[1]SALES BY PROMOTOR'!$D:$D,$F121,'[1]SALES BY PROMOTOR'!$G:$G)</f>
        <v>1</v>
      </c>
      <c r="M121" s="77">
        <f>SUMIF('[1]SALES BY PROMOTOR'!$D:$D,$F121,'[1]SALES BY PROMOTOR'!$I:$I)</f>
        <v>1</v>
      </c>
      <c r="N121" s="75">
        <f t="shared" si="13"/>
        <v>1</v>
      </c>
      <c r="O121" s="78">
        <f>IFERROR(VLOOKUP($F121,'[1]Sales By Promotor Last Month'!D:G,4,0),0)</f>
        <v>5</v>
      </c>
      <c r="P121" s="78">
        <f t="shared" si="14"/>
        <v>1</v>
      </c>
      <c r="Q121" s="79">
        <f t="shared" si="15"/>
        <v>-4</v>
      </c>
      <c r="R121" s="80">
        <f t="shared" si="16"/>
        <v>-0.8</v>
      </c>
      <c r="S121" s="78">
        <f>IFERROR(VLOOKUP($F121,'[1]Sales By Promotor Last Month'!D:I,6,0),0)</f>
        <v>9</v>
      </c>
      <c r="T121" s="78">
        <f t="shared" si="17"/>
        <v>1</v>
      </c>
      <c r="U121" s="79">
        <f t="shared" si="18"/>
        <v>-8</v>
      </c>
      <c r="V121" s="80">
        <f t="shared" si="19"/>
        <v>-0.88888888888888884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296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2099000</v>
      </c>
      <c r="I122" s="75">
        <f t="shared" si="10"/>
        <v>2.3322222222222223E-2</v>
      </c>
      <c r="J122" s="73">
        <f t="shared" si="11"/>
        <v>7871250</v>
      </c>
      <c r="K122" s="76">
        <f t="shared" si="12"/>
        <v>2099000</v>
      </c>
      <c r="L122" s="77">
        <f>SUMIF('[1]SALES BY PROMOTOR'!$D:$D,$F122,'[1]SALES BY PROMOTOR'!$G:$G)</f>
        <v>0</v>
      </c>
      <c r="M122" s="77">
        <f>SUMIF('[1]SALES BY PROMOTOR'!$D:$D,$F122,'[1]SALES BY PROMOTOR'!$I:$I)</f>
        <v>1</v>
      </c>
      <c r="N122" s="75">
        <f t="shared" si="13"/>
        <v>0</v>
      </c>
      <c r="O122" s="78">
        <f>IFERROR(VLOOKUP($F122,'[1]Sales By Promotor Last Month'!D:G,4,0),0)</f>
        <v>4</v>
      </c>
      <c r="P122" s="78">
        <f t="shared" si="14"/>
        <v>0</v>
      </c>
      <c r="Q122" s="79">
        <f t="shared" si="15"/>
        <v>-4</v>
      </c>
      <c r="R122" s="80">
        <f t="shared" si="16"/>
        <v>-1</v>
      </c>
      <c r="S122" s="78">
        <f>IFERROR(VLOOKUP($F122,'[1]Sales By Promotor Last Month'!D:I,6,0),0)</f>
        <v>8</v>
      </c>
      <c r="T122" s="78">
        <f t="shared" si="17"/>
        <v>1</v>
      </c>
      <c r="U122" s="79">
        <f t="shared" si="18"/>
        <v>-7</v>
      </c>
      <c r="V122" s="80">
        <f t="shared" si="19"/>
        <v>-0.875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3229780000</v>
      </c>
      <c r="I123" s="75">
        <f>IFERROR(H123/G123,0)</f>
        <v>0.21896813559322034</v>
      </c>
      <c r="J123" s="73">
        <f>SUM(J5:J122)</f>
        <v>12111675000</v>
      </c>
      <c r="K123" s="76">
        <f>IFERROR(H123/M123,0)</f>
        <v>3938756.0975609757</v>
      </c>
      <c r="L123" s="78">
        <f>SUM(L5:L122)</f>
        <v>321</v>
      </c>
      <c r="M123" s="78">
        <f>SUM(M5:M122)</f>
        <v>820</v>
      </c>
      <c r="N123" s="75">
        <f>IFERROR(L123/M123,0)</f>
        <v>0.39146341463414636</v>
      </c>
      <c r="O123" s="78">
        <f>SUM(O5:O122)</f>
        <v>1229</v>
      </c>
      <c r="P123" s="78">
        <f>SUM(P5:P122)</f>
        <v>321</v>
      </c>
      <c r="Q123" s="79">
        <f>P123-O123</f>
        <v>-908</v>
      </c>
      <c r="R123" s="80">
        <f>IFERROR(Q123/O123,0)</f>
        <v>-0.73881204231082176</v>
      </c>
      <c r="S123" s="78">
        <f>SUM(S5:S122)</f>
        <v>3231</v>
      </c>
      <c r="T123" s="78">
        <f>SUM(T5:T122)</f>
        <v>820</v>
      </c>
      <c r="U123" s="79">
        <f>T123-S123</f>
        <v>-2411</v>
      </c>
      <c r="V123" s="80">
        <f>IFERROR(U123/S123,0)</f>
        <v>-0.74620860414732282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M3:M4"/>
    <mergeCell ref="N3:N4"/>
    <mergeCell ref="H3:H4"/>
    <mergeCell ref="I3:I4"/>
    <mergeCell ref="J3:J4"/>
    <mergeCell ref="K3:K4"/>
    <mergeCell ref="L3:L4"/>
    <mergeCell ref="A3:A4"/>
    <mergeCell ref="B3:B4"/>
    <mergeCell ref="C3:C4"/>
    <mergeCell ref="D3:D4"/>
    <mergeCell ref="G3:G4"/>
    <mergeCell ref="D5:D10"/>
    <mergeCell ref="D11:D16"/>
    <mergeCell ref="D17:D19"/>
    <mergeCell ref="D20:D22"/>
    <mergeCell ref="D23:D29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L1:L2"/>
    <mergeCell ref="M1:M2"/>
    <mergeCell ref="N1:N2"/>
    <mergeCell ref="O1:R2"/>
    <mergeCell ref="S1:V2"/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56" priority="1">
      <formula>MOD(ROW(),2)=0</formula>
    </cfRule>
  </conditionalFormatting>
  <conditionalFormatting sqref="I5:I123">
    <cfRule type="expression" dxfId="55" priority="2">
      <formula>I5&gt;=$F$2</formula>
    </cfRule>
    <cfRule type="expression" dxfId="54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A48"/>
  <sheetViews>
    <sheetView topLeftCell="AF1" zoomScale="84" zoomScaleNormal="84" workbookViewId="0">
      <selection sqref="A1:BA48"/>
    </sheetView>
  </sheetViews>
  <sheetFormatPr baseColWidth="10" defaultColWidth="11" defaultRowHeight="16" x14ac:dyDescent="0.2"/>
  <sheetData>
    <row r="1" spans="1:53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8"/>
    </row>
    <row r="2" spans="1:53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3" t="s">
        <v>298</v>
      </c>
      <c r="BA2" s="224" t="s">
        <v>299</v>
      </c>
    </row>
    <row r="3" spans="1:53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/>
      <c r="BA3" s="224"/>
    </row>
    <row r="4" spans="1:53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6"/>
      <c r="BA4" s="229"/>
    </row>
    <row r="5" spans="1:53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25</v>
      </c>
      <c r="BA5" s="6">
        <v>83775000</v>
      </c>
    </row>
    <row r="6" spans="1:53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>
        <v>25</v>
      </c>
      <c r="BA6" s="6">
        <v>109575000</v>
      </c>
    </row>
    <row r="7" spans="1:53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22</v>
      </c>
      <c r="BA7" s="6">
        <v>73378000</v>
      </c>
    </row>
    <row r="8" spans="1:53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>
        <v>4</v>
      </c>
      <c r="BA8" s="6">
        <v>15396000</v>
      </c>
    </row>
    <row r="9" spans="1:53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17</v>
      </c>
      <c r="BA9" s="6">
        <v>65983000</v>
      </c>
    </row>
    <row r="10" spans="1:53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6</v>
      </c>
      <c r="BA10" s="6">
        <v>18594000</v>
      </c>
    </row>
    <row r="11" spans="1:53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>
        <v>9</v>
      </c>
      <c r="BA11" s="6">
        <v>43791000</v>
      </c>
    </row>
    <row r="12" spans="1:53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>
        <v>3</v>
      </c>
      <c r="BA12" s="6">
        <v>15697000</v>
      </c>
    </row>
    <row r="13" spans="1:53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>
        <v>4</v>
      </c>
      <c r="BA13" s="6">
        <v>9696000</v>
      </c>
    </row>
    <row r="14" spans="1:53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>
        <v>7</v>
      </c>
      <c r="BA14" s="6">
        <v>32193000</v>
      </c>
    </row>
    <row r="15" spans="1:53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21</v>
      </c>
      <c r="BA15" s="6">
        <v>75379000</v>
      </c>
    </row>
    <row r="16" spans="1:53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>
        <v>2</v>
      </c>
      <c r="BA16" s="6">
        <v>28098000</v>
      </c>
    </row>
    <row r="17" spans="1:53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17</v>
      </c>
      <c r="BA17" s="6">
        <v>66883000</v>
      </c>
    </row>
    <row r="18" spans="1:53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>
        <v>18</v>
      </c>
      <c r="BA18" s="6">
        <v>86182000</v>
      </c>
    </row>
    <row r="19" spans="1:53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>
        <v>9</v>
      </c>
      <c r="BA19" s="6">
        <v>43391000</v>
      </c>
    </row>
    <row r="20" spans="1:53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>
        <v>9</v>
      </c>
      <c r="BA20" s="6">
        <v>45791000</v>
      </c>
    </row>
    <row r="21" spans="1:53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26</v>
      </c>
      <c r="BA21" s="6">
        <v>106374000</v>
      </c>
    </row>
    <row r="22" spans="1:53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8</v>
      </c>
      <c r="BA22" s="6">
        <v>27892000</v>
      </c>
    </row>
    <row r="23" spans="1:53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35</v>
      </c>
      <c r="BA23" s="6">
        <v>119765000</v>
      </c>
    </row>
    <row r="24" spans="1:53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41</v>
      </c>
      <c r="BA24" s="6">
        <v>166359000</v>
      </c>
    </row>
    <row r="25" spans="1:53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>
        <v>12</v>
      </c>
      <c r="BA25" s="6">
        <v>52488000</v>
      </c>
    </row>
    <row r="26" spans="1:53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12</v>
      </c>
      <c r="BA26" s="6">
        <v>45488000</v>
      </c>
    </row>
    <row r="27" spans="1:53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27</v>
      </c>
      <c r="BA27" s="6">
        <v>99773000</v>
      </c>
    </row>
    <row r="28" spans="1:53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>
        <v>3</v>
      </c>
      <c r="BA28" s="6">
        <v>9397000</v>
      </c>
    </row>
    <row r="29" spans="1:53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9</v>
      </c>
      <c r="BA29" s="6">
        <v>39491000</v>
      </c>
    </row>
    <row r="30" spans="1:53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>
        <v>15</v>
      </c>
      <c r="BA30" s="6">
        <v>143585000</v>
      </c>
    </row>
    <row r="31" spans="1:53" x14ac:dyDescent="0.2">
      <c r="A31" s="232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4</v>
      </c>
      <c r="BA31" s="6">
        <v>27196000</v>
      </c>
    </row>
    <row r="32" spans="1:53" x14ac:dyDescent="0.2">
      <c r="A32" s="1" t="s">
        <v>46</v>
      </c>
      <c r="B32" s="2">
        <v>6040701</v>
      </c>
      <c r="C32" s="3" t="s">
        <v>321</v>
      </c>
      <c r="D32" s="4">
        <v>1</v>
      </c>
      <c r="E32" s="5">
        <v>2599000</v>
      </c>
      <c r="F32" s="4">
        <v>1</v>
      </c>
      <c r="G32" s="5">
        <v>3599000</v>
      </c>
      <c r="H32" s="230">
        <v>2</v>
      </c>
      <c r="I32" s="231">
        <v>6198000</v>
      </c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>
        <v>2</v>
      </c>
      <c r="W32" s="5">
        <v>5598000</v>
      </c>
      <c r="X32" s="4"/>
      <c r="Y32" s="5"/>
      <c r="Z32" s="230">
        <v>2</v>
      </c>
      <c r="AA32" s="231">
        <v>5598000</v>
      </c>
      <c r="AB32" s="4"/>
      <c r="AC32" s="5"/>
      <c r="AD32" s="4">
        <v>1</v>
      </c>
      <c r="AE32" s="5">
        <v>9999000</v>
      </c>
      <c r="AF32" s="230">
        <v>1</v>
      </c>
      <c r="AG32" s="231">
        <v>9999000</v>
      </c>
      <c r="AH32" s="4">
        <v>2</v>
      </c>
      <c r="AI32" s="5">
        <v>4898000</v>
      </c>
      <c r="AJ32" s="4">
        <v>2</v>
      </c>
      <c r="AK32" s="5">
        <v>15998000</v>
      </c>
      <c r="AL32" s="230">
        <v>4</v>
      </c>
      <c r="AM32" s="231">
        <v>20896000</v>
      </c>
      <c r="AN32" s="4"/>
      <c r="AO32" s="5"/>
      <c r="AP32" s="4">
        <v>1</v>
      </c>
      <c r="AQ32" s="5">
        <v>9999000</v>
      </c>
      <c r="AR32" s="230">
        <v>1</v>
      </c>
      <c r="AS32" s="231">
        <v>9999000</v>
      </c>
      <c r="AT32" s="4"/>
      <c r="AU32" s="5"/>
      <c r="AV32" s="4">
        <v>1</v>
      </c>
      <c r="AW32" s="5">
        <v>4299000</v>
      </c>
      <c r="AX32" s="230">
        <v>1</v>
      </c>
      <c r="AY32" s="231">
        <v>4299000</v>
      </c>
      <c r="AZ32" s="4">
        <v>11</v>
      </c>
      <c r="BA32" s="6">
        <v>56989000</v>
      </c>
    </row>
    <row r="33" spans="1:53" x14ac:dyDescent="0.2">
      <c r="A33" s="1"/>
      <c r="B33" s="2">
        <v>6040703</v>
      </c>
      <c r="C33" s="3" t="s">
        <v>181</v>
      </c>
      <c r="D33" s="4"/>
      <c r="E33" s="5"/>
      <c r="F33" s="4">
        <v>1</v>
      </c>
      <c r="G33" s="5">
        <v>5899000</v>
      </c>
      <c r="H33" s="230">
        <v>1</v>
      </c>
      <c r="I33" s="231">
        <v>5899000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1</v>
      </c>
      <c r="W33" s="5">
        <v>2399000</v>
      </c>
      <c r="X33" s="4"/>
      <c r="Y33" s="5"/>
      <c r="Z33" s="230">
        <v>1</v>
      </c>
      <c r="AA33" s="231">
        <v>2399000</v>
      </c>
      <c r="AB33" s="4"/>
      <c r="AC33" s="5"/>
      <c r="AD33" s="4">
        <v>1</v>
      </c>
      <c r="AE33" s="5">
        <v>5499000</v>
      </c>
      <c r="AF33" s="230">
        <v>1</v>
      </c>
      <c r="AG33" s="231">
        <v>5499000</v>
      </c>
      <c r="AH33" s="4">
        <v>2</v>
      </c>
      <c r="AI33" s="5">
        <v>4998000</v>
      </c>
      <c r="AJ33" s="4">
        <v>1</v>
      </c>
      <c r="AK33" s="5">
        <v>4899000</v>
      </c>
      <c r="AL33" s="230">
        <v>3</v>
      </c>
      <c r="AM33" s="231">
        <v>9897000</v>
      </c>
      <c r="AN33" s="4"/>
      <c r="AO33" s="5"/>
      <c r="AP33" s="4">
        <v>1</v>
      </c>
      <c r="AQ33" s="5">
        <v>4299000</v>
      </c>
      <c r="AR33" s="230">
        <v>1</v>
      </c>
      <c r="AS33" s="231">
        <v>4299000</v>
      </c>
      <c r="AT33" s="4"/>
      <c r="AU33" s="5"/>
      <c r="AV33" s="4">
        <v>1</v>
      </c>
      <c r="AW33" s="5">
        <v>3899000</v>
      </c>
      <c r="AX33" s="230">
        <v>1</v>
      </c>
      <c r="AY33" s="231">
        <v>3899000</v>
      </c>
      <c r="AZ33" s="4">
        <v>8</v>
      </c>
      <c r="BA33" s="6">
        <v>31892000</v>
      </c>
    </row>
    <row r="34" spans="1:53" x14ac:dyDescent="0.2">
      <c r="A34" s="1"/>
      <c r="B34" s="2">
        <v>6080712</v>
      </c>
      <c r="C34" s="3" t="s">
        <v>322</v>
      </c>
      <c r="D34" s="4"/>
      <c r="E34" s="5"/>
      <c r="F34" s="4"/>
      <c r="G34" s="5"/>
      <c r="H34" s="230"/>
      <c r="I34" s="231"/>
      <c r="J34" s="4">
        <v>1</v>
      </c>
      <c r="K34" s="5">
        <v>2599000</v>
      </c>
      <c r="L34" s="4">
        <v>1</v>
      </c>
      <c r="M34" s="5">
        <v>3899000</v>
      </c>
      <c r="N34" s="230">
        <v>2</v>
      </c>
      <c r="O34" s="231">
        <v>6498000</v>
      </c>
      <c r="P34" s="4"/>
      <c r="Q34" s="5"/>
      <c r="R34" s="4"/>
      <c r="S34" s="5"/>
      <c r="T34" s="230"/>
      <c r="U34" s="231"/>
      <c r="V34" s="4">
        <v>2</v>
      </c>
      <c r="W34" s="5">
        <v>4898000</v>
      </c>
      <c r="X34" s="4"/>
      <c r="Y34" s="5"/>
      <c r="Z34" s="230">
        <v>2</v>
      </c>
      <c r="AA34" s="231">
        <v>4898000</v>
      </c>
      <c r="AB34" s="4"/>
      <c r="AC34" s="5"/>
      <c r="AD34" s="4">
        <v>5</v>
      </c>
      <c r="AE34" s="5">
        <v>28895000</v>
      </c>
      <c r="AF34" s="230">
        <v>5</v>
      </c>
      <c r="AG34" s="231">
        <v>28895000</v>
      </c>
      <c r="AH34" s="4"/>
      <c r="AI34" s="5"/>
      <c r="AJ34" s="4">
        <v>1</v>
      </c>
      <c r="AK34" s="5">
        <v>5499000</v>
      </c>
      <c r="AL34" s="230">
        <v>1</v>
      </c>
      <c r="AM34" s="231">
        <v>5499000</v>
      </c>
      <c r="AN34" s="4">
        <v>1</v>
      </c>
      <c r="AO34" s="5">
        <v>2599000</v>
      </c>
      <c r="AP34" s="4"/>
      <c r="AQ34" s="5"/>
      <c r="AR34" s="230">
        <v>1</v>
      </c>
      <c r="AS34" s="231">
        <v>2599000</v>
      </c>
      <c r="AT34" s="4">
        <v>1</v>
      </c>
      <c r="AU34" s="5">
        <v>2599000</v>
      </c>
      <c r="AV34" s="4">
        <v>1</v>
      </c>
      <c r="AW34" s="5">
        <v>5899000</v>
      </c>
      <c r="AX34" s="230">
        <v>2</v>
      </c>
      <c r="AY34" s="231">
        <v>8498000</v>
      </c>
      <c r="AZ34" s="4">
        <v>13</v>
      </c>
      <c r="BA34" s="6">
        <v>56887000</v>
      </c>
    </row>
    <row r="35" spans="1:53" x14ac:dyDescent="0.2">
      <c r="A35" s="232"/>
      <c r="B35" s="2">
        <v>6040702</v>
      </c>
      <c r="C35" s="3" t="s">
        <v>179</v>
      </c>
      <c r="D35" s="4"/>
      <c r="E35" s="5"/>
      <c r="F35" s="4"/>
      <c r="G35" s="5"/>
      <c r="H35" s="230"/>
      <c r="I35" s="231"/>
      <c r="J35" s="4"/>
      <c r="K35" s="5"/>
      <c r="L35" s="4">
        <v>1</v>
      </c>
      <c r="M35" s="5">
        <v>3599000</v>
      </c>
      <c r="N35" s="230">
        <v>1</v>
      </c>
      <c r="O35" s="231">
        <v>3599000</v>
      </c>
      <c r="P35" s="4">
        <v>2</v>
      </c>
      <c r="Q35" s="5">
        <v>5198000</v>
      </c>
      <c r="R35" s="4"/>
      <c r="S35" s="5"/>
      <c r="T35" s="230">
        <v>2</v>
      </c>
      <c r="U35" s="231">
        <v>5198000</v>
      </c>
      <c r="V35" s="4">
        <v>1</v>
      </c>
      <c r="W35" s="5">
        <v>2799000</v>
      </c>
      <c r="X35" s="4"/>
      <c r="Y35" s="5"/>
      <c r="Z35" s="230">
        <v>1</v>
      </c>
      <c r="AA35" s="231">
        <v>2799000</v>
      </c>
      <c r="AB35" s="4"/>
      <c r="AC35" s="5"/>
      <c r="AD35" s="4">
        <v>1</v>
      </c>
      <c r="AE35" s="5">
        <v>3899000</v>
      </c>
      <c r="AF35" s="230">
        <v>1</v>
      </c>
      <c r="AG35" s="231">
        <v>3899000</v>
      </c>
      <c r="AH35" s="4">
        <v>1</v>
      </c>
      <c r="AI35" s="5">
        <v>2099000</v>
      </c>
      <c r="AJ35" s="4"/>
      <c r="AK35" s="5"/>
      <c r="AL35" s="230">
        <v>1</v>
      </c>
      <c r="AM35" s="231">
        <v>2099000</v>
      </c>
      <c r="AN35" s="4"/>
      <c r="AO35" s="5"/>
      <c r="AP35" s="4">
        <v>1</v>
      </c>
      <c r="AQ35" s="5">
        <v>5499000</v>
      </c>
      <c r="AR35" s="230">
        <v>1</v>
      </c>
      <c r="AS35" s="231">
        <v>5499000</v>
      </c>
      <c r="AT35" s="4">
        <v>1</v>
      </c>
      <c r="AU35" s="5">
        <v>2099000</v>
      </c>
      <c r="AV35" s="4"/>
      <c r="AW35" s="5"/>
      <c r="AX35" s="230">
        <v>1</v>
      </c>
      <c r="AY35" s="231">
        <v>2099000</v>
      </c>
      <c r="AZ35" s="4">
        <v>8</v>
      </c>
      <c r="BA35" s="6">
        <v>25192000</v>
      </c>
    </row>
    <row r="36" spans="1:53" x14ac:dyDescent="0.2">
      <c r="A36" s="1" t="s">
        <v>39</v>
      </c>
      <c r="B36" s="2">
        <v>6020711</v>
      </c>
      <c r="C36" s="3" t="s">
        <v>323</v>
      </c>
      <c r="D36" s="4">
        <v>3</v>
      </c>
      <c r="E36" s="5">
        <v>7597000</v>
      </c>
      <c r="F36" s="4"/>
      <c r="G36" s="5"/>
      <c r="H36" s="230">
        <v>3</v>
      </c>
      <c r="I36" s="231">
        <v>7597000</v>
      </c>
      <c r="J36" s="4">
        <v>1</v>
      </c>
      <c r="K36" s="5">
        <v>2599000</v>
      </c>
      <c r="L36" s="4"/>
      <c r="M36" s="5"/>
      <c r="N36" s="230">
        <v>1</v>
      </c>
      <c r="O36" s="231">
        <v>2599000</v>
      </c>
      <c r="P36" s="4"/>
      <c r="Q36" s="5"/>
      <c r="R36" s="4">
        <v>2</v>
      </c>
      <c r="S36" s="5">
        <v>30898000</v>
      </c>
      <c r="T36" s="230">
        <v>2</v>
      </c>
      <c r="U36" s="231">
        <v>30898000</v>
      </c>
      <c r="V36" s="4">
        <v>2</v>
      </c>
      <c r="W36" s="5">
        <v>5598000</v>
      </c>
      <c r="X36" s="4">
        <v>3</v>
      </c>
      <c r="Y36" s="5">
        <v>14697000</v>
      </c>
      <c r="Z36" s="230">
        <v>5</v>
      </c>
      <c r="AA36" s="231">
        <v>20295000</v>
      </c>
      <c r="AB36" s="4">
        <v>1</v>
      </c>
      <c r="AC36" s="5">
        <v>2299000</v>
      </c>
      <c r="AD36" s="4">
        <v>2</v>
      </c>
      <c r="AE36" s="5">
        <v>11898000</v>
      </c>
      <c r="AF36" s="230">
        <v>3</v>
      </c>
      <c r="AG36" s="231">
        <v>14197000</v>
      </c>
      <c r="AH36" s="4">
        <v>2</v>
      </c>
      <c r="AI36" s="5">
        <v>4898000</v>
      </c>
      <c r="AJ36" s="4"/>
      <c r="AK36" s="5"/>
      <c r="AL36" s="230">
        <v>2</v>
      </c>
      <c r="AM36" s="231">
        <v>4898000</v>
      </c>
      <c r="AN36" s="4">
        <v>2</v>
      </c>
      <c r="AO36" s="5">
        <v>4998000</v>
      </c>
      <c r="AP36" s="4">
        <v>2</v>
      </c>
      <c r="AQ36" s="5">
        <v>15698000</v>
      </c>
      <c r="AR36" s="230">
        <v>4</v>
      </c>
      <c r="AS36" s="231">
        <v>20696000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21</v>
      </c>
      <c r="BA36" s="6">
        <v>103279000</v>
      </c>
    </row>
    <row r="37" spans="1:53" x14ac:dyDescent="0.2">
      <c r="A37" s="1"/>
      <c r="B37" s="2">
        <v>6020706</v>
      </c>
      <c r="C37" s="3" t="s">
        <v>324</v>
      </c>
      <c r="D37" s="4">
        <v>3</v>
      </c>
      <c r="E37" s="5">
        <v>6797000</v>
      </c>
      <c r="F37" s="4"/>
      <c r="G37" s="5"/>
      <c r="H37" s="230">
        <v>3</v>
      </c>
      <c r="I37" s="231">
        <v>6797000</v>
      </c>
      <c r="J37" s="4">
        <v>6</v>
      </c>
      <c r="K37" s="5">
        <v>14994000</v>
      </c>
      <c r="L37" s="4"/>
      <c r="M37" s="5"/>
      <c r="N37" s="230">
        <v>6</v>
      </c>
      <c r="O37" s="231">
        <v>14994000</v>
      </c>
      <c r="P37" s="4">
        <v>2</v>
      </c>
      <c r="Q37" s="5">
        <v>4798000</v>
      </c>
      <c r="R37" s="4">
        <v>2</v>
      </c>
      <c r="S37" s="5">
        <v>7898000</v>
      </c>
      <c r="T37" s="230">
        <v>4</v>
      </c>
      <c r="U37" s="231">
        <v>12696000</v>
      </c>
      <c r="V37" s="4">
        <v>2</v>
      </c>
      <c r="W37" s="5">
        <v>5098000</v>
      </c>
      <c r="X37" s="4"/>
      <c r="Y37" s="5"/>
      <c r="Z37" s="230">
        <v>2</v>
      </c>
      <c r="AA37" s="231">
        <v>5098000</v>
      </c>
      <c r="AB37" s="4">
        <v>3</v>
      </c>
      <c r="AC37" s="5">
        <v>7797000</v>
      </c>
      <c r="AD37" s="4">
        <v>3</v>
      </c>
      <c r="AE37" s="5">
        <v>20197000</v>
      </c>
      <c r="AF37" s="230">
        <v>6</v>
      </c>
      <c r="AG37" s="231">
        <v>27994000</v>
      </c>
      <c r="AH37" s="4">
        <v>4</v>
      </c>
      <c r="AI37" s="5">
        <v>10296000</v>
      </c>
      <c r="AJ37" s="4">
        <v>3</v>
      </c>
      <c r="AK37" s="5">
        <v>15397000</v>
      </c>
      <c r="AL37" s="230">
        <v>7</v>
      </c>
      <c r="AM37" s="231">
        <v>25693000</v>
      </c>
      <c r="AN37" s="4">
        <v>1</v>
      </c>
      <c r="AO37" s="5">
        <v>2799000</v>
      </c>
      <c r="AP37" s="4">
        <v>2</v>
      </c>
      <c r="AQ37" s="5">
        <v>15898000</v>
      </c>
      <c r="AR37" s="230">
        <v>3</v>
      </c>
      <c r="AS37" s="231">
        <v>18697000</v>
      </c>
      <c r="AT37" s="4">
        <v>2</v>
      </c>
      <c r="AU37" s="5">
        <v>4498000</v>
      </c>
      <c r="AV37" s="4"/>
      <c r="AW37" s="5"/>
      <c r="AX37" s="230">
        <v>2</v>
      </c>
      <c r="AY37" s="231">
        <v>4498000</v>
      </c>
      <c r="AZ37" s="4">
        <v>33</v>
      </c>
      <c r="BA37" s="6">
        <v>116467000</v>
      </c>
    </row>
    <row r="38" spans="1:53" x14ac:dyDescent="0.2">
      <c r="A38" s="1"/>
      <c r="B38" s="2">
        <v>6020704</v>
      </c>
      <c r="C38" s="3" t="s">
        <v>325</v>
      </c>
      <c r="D38" s="4">
        <v>1</v>
      </c>
      <c r="E38" s="5">
        <v>2599000</v>
      </c>
      <c r="F38" s="4">
        <v>1</v>
      </c>
      <c r="G38" s="5">
        <v>7999000</v>
      </c>
      <c r="H38" s="230">
        <v>2</v>
      </c>
      <c r="I38" s="231">
        <v>10598000</v>
      </c>
      <c r="J38" s="4"/>
      <c r="K38" s="5"/>
      <c r="L38" s="4"/>
      <c r="M38" s="5"/>
      <c r="N38" s="230"/>
      <c r="O38" s="231"/>
      <c r="P38" s="4">
        <v>1</v>
      </c>
      <c r="Q38" s="5">
        <v>2399000</v>
      </c>
      <c r="R38" s="4"/>
      <c r="S38" s="5"/>
      <c r="T38" s="230">
        <v>1</v>
      </c>
      <c r="U38" s="231">
        <v>2399000</v>
      </c>
      <c r="V38" s="4">
        <v>2</v>
      </c>
      <c r="W38" s="5">
        <v>5198000</v>
      </c>
      <c r="X38" s="4">
        <v>1</v>
      </c>
      <c r="Y38" s="5">
        <v>4299000</v>
      </c>
      <c r="Z38" s="230">
        <v>3</v>
      </c>
      <c r="AA38" s="231">
        <v>9497000</v>
      </c>
      <c r="AB38" s="4">
        <v>2</v>
      </c>
      <c r="AC38" s="5">
        <v>4898000</v>
      </c>
      <c r="AD38" s="4"/>
      <c r="AE38" s="5"/>
      <c r="AF38" s="230">
        <v>2</v>
      </c>
      <c r="AG38" s="231">
        <v>4898000</v>
      </c>
      <c r="AH38" s="4">
        <v>1</v>
      </c>
      <c r="AI38" s="5">
        <v>2799000</v>
      </c>
      <c r="AJ38" s="4">
        <v>1</v>
      </c>
      <c r="AK38" s="5">
        <v>3599000</v>
      </c>
      <c r="AL38" s="230">
        <v>2</v>
      </c>
      <c r="AM38" s="231">
        <v>6398000</v>
      </c>
      <c r="AN38" s="4">
        <v>1</v>
      </c>
      <c r="AO38" s="5">
        <v>2599000</v>
      </c>
      <c r="AP38" s="4"/>
      <c r="AQ38" s="5"/>
      <c r="AR38" s="230">
        <v>1</v>
      </c>
      <c r="AS38" s="231">
        <v>2599000</v>
      </c>
      <c r="AT38" s="4"/>
      <c r="AU38" s="5"/>
      <c r="AV38" s="4">
        <v>2</v>
      </c>
      <c r="AW38" s="5">
        <v>11198000</v>
      </c>
      <c r="AX38" s="230">
        <v>2</v>
      </c>
      <c r="AY38" s="231">
        <v>11198000</v>
      </c>
      <c r="AZ38" s="4">
        <v>13</v>
      </c>
      <c r="BA38" s="6">
        <v>47587000</v>
      </c>
    </row>
    <row r="39" spans="1:53" x14ac:dyDescent="0.2">
      <c r="A39" s="1"/>
      <c r="B39" s="2">
        <v>6010708</v>
      </c>
      <c r="C39" s="3" t="s">
        <v>326</v>
      </c>
      <c r="D39" s="4">
        <v>1</v>
      </c>
      <c r="E39" s="5">
        <v>2399000</v>
      </c>
      <c r="F39" s="4"/>
      <c r="G39" s="5"/>
      <c r="H39" s="230">
        <v>1</v>
      </c>
      <c r="I39" s="231">
        <v>2399000</v>
      </c>
      <c r="J39" s="4">
        <v>2</v>
      </c>
      <c r="K39" s="5">
        <v>4498000</v>
      </c>
      <c r="L39" s="4">
        <v>2</v>
      </c>
      <c r="M39" s="5">
        <v>7198000</v>
      </c>
      <c r="N39" s="230">
        <v>4</v>
      </c>
      <c r="O39" s="231">
        <v>11696000</v>
      </c>
      <c r="P39" s="4">
        <v>1</v>
      </c>
      <c r="Q39" s="5">
        <v>2399000</v>
      </c>
      <c r="R39" s="4">
        <v>1</v>
      </c>
      <c r="S39" s="5">
        <v>5899000</v>
      </c>
      <c r="T39" s="230">
        <v>2</v>
      </c>
      <c r="U39" s="231">
        <v>8298000</v>
      </c>
      <c r="V39" s="4">
        <v>1</v>
      </c>
      <c r="W39" s="5">
        <v>2799000</v>
      </c>
      <c r="X39" s="4">
        <v>4</v>
      </c>
      <c r="Y39" s="5">
        <v>46996000</v>
      </c>
      <c r="Z39" s="230">
        <v>5</v>
      </c>
      <c r="AA39" s="231">
        <v>49795000</v>
      </c>
      <c r="AB39" s="4">
        <v>4</v>
      </c>
      <c r="AC39" s="5">
        <v>9696000</v>
      </c>
      <c r="AD39" s="4">
        <v>2</v>
      </c>
      <c r="AE39" s="5">
        <v>26998000</v>
      </c>
      <c r="AF39" s="230">
        <v>6</v>
      </c>
      <c r="AG39" s="231">
        <v>36694000</v>
      </c>
      <c r="AH39" s="4">
        <v>2</v>
      </c>
      <c r="AI39" s="5">
        <v>4698000</v>
      </c>
      <c r="AJ39" s="4">
        <v>1</v>
      </c>
      <c r="AK39" s="5">
        <v>25999000</v>
      </c>
      <c r="AL39" s="230">
        <v>3</v>
      </c>
      <c r="AM39" s="231">
        <v>30697000</v>
      </c>
      <c r="AN39" s="4"/>
      <c r="AO39" s="5"/>
      <c r="AP39" s="4">
        <v>3</v>
      </c>
      <c r="AQ39" s="5">
        <v>23797000</v>
      </c>
      <c r="AR39" s="230">
        <v>3</v>
      </c>
      <c r="AS39" s="231">
        <v>23797000</v>
      </c>
      <c r="AT39" s="4">
        <v>1</v>
      </c>
      <c r="AU39" s="5">
        <v>2399000</v>
      </c>
      <c r="AV39" s="4">
        <v>1</v>
      </c>
      <c r="AW39" s="5">
        <v>5899000</v>
      </c>
      <c r="AX39" s="230">
        <v>2</v>
      </c>
      <c r="AY39" s="231">
        <v>8298000</v>
      </c>
      <c r="AZ39" s="4">
        <v>26</v>
      </c>
      <c r="BA39" s="6">
        <v>171674000</v>
      </c>
    </row>
    <row r="40" spans="1:53" x14ac:dyDescent="0.2">
      <c r="A40" s="1"/>
      <c r="B40" s="2">
        <v>6010703</v>
      </c>
      <c r="C40" s="3" t="s">
        <v>327</v>
      </c>
      <c r="D40" s="4">
        <v>1</v>
      </c>
      <c r="E40" s="5">
        <v>2399000</v>
      </c>
      <c r="F40" s="4">
        <v>1</v>
      </c>
      <c r="G40" s="5">
        <v>3899000</v>
      </c>
      <c r="H40" s="230">
        <v>2</v>
      </c>
      <c r="I40" s="231">
        <v>6298000</v>
      </c>
      <c r="J40" s="4"/>
      <c r="K40" s="5"/>
      <c r="L40" s="4"/>
      <c r="M40" s="5"/>
      <c r="N40" s="230"/>
      <c r="O40" s="231"/>
      <c r="P40" s="4">
        <v>3</v>
      </c>
      <c r="Q40" s="5">
        <v>7297000</v>
      </c>
      <c r="R40" s="4"/>
      <c r="S40" s="5"/>
      <c r="T40" s="230">
        <v>3</v>
      </c>
      <c r="U40" s="231">
        <v>7297000</v>
      </c>
      <c r="V40" s="4">
        <v>4</v>
      </c>
      <c r="W40" s="5">
        <v>9796000</v>
      </c>
      <c r="X40" s="4">
        <v>2</v>
      </c>
      <c r="Y40" s="5">
        <v>9098000</v>
      </c>
      <c r="Z40" s="230">
        <v>6</v>
      </c>
      <c r="AA40" s="231">
        <v>18894000</v>
      </c>
      <c r="AB40" s="4">
        <v>5</v>
      </c>
      <c r="AC40" s="5">
        <v>12295000</v>
      </c>
      <c r="AD40" s="4"/>
      <c r="AE40" s="5"/>
      <c r="AF40" s="230">
        <v>5</v>
      </c>
      <c r="AG40" s="231">
        <v>12295000</v>
      </c>
      <c r="AH40" s="4">
        <v>6</v>
      </c>
      <c r="AI40" s="5">
        <v>12794000</v>
      </c>
      <c r="AJ40" s="4"/>
      <c r="AK40" s="5"/>
      <c r="AL40" s="230">
        <v>6</v>
      </c>
      <c r="AM40" s="231">
        <v>12794000</v>
      </c>
      <c r="AN40" s="4">
        <v>4</v>
      </c>
      <c r="AO40" s="5">
        <v>9196000</v>
      </c>
      <c r="AP40" s="4"/>
      <c r="AQ40" s="5"/>
      <c r="AR40" s="230">
        <v>4</v>
      </c>
      <c r="AS40" s="231">
        <v>9196000</v>
      </c>
      <c r="AT40" s="4">
        <v>1</v>
      </c>
      <c r="AU40" s="5">
        <v>2099000</v>
      </c>
      <c r="AV40" s="4"/>
      <c r="AW40" s="5"/>
      <c r="AX40" s="230">
        <v>1</v>
      </c>
      <c r="AY40" s="231">
        <v>2099000</v>
      </c>
      <c r="AZ40" s="4">
        <v>27</v>
      </c>
      <c r="BA40" s="6">
        <v>68873000</v>
      </c>
    </row>
    <row r="41" spans="1:53" x14ac:dyDescent="0.2">
      <c r="A41" s="1"/>
      <c r="B41" s="2">
        <v>6010702</v>
      </c>
      <c r="C41" s="3" t="s">
        <v>328</v>
      </c>
      <c r="D41" s="4">
        <v>5</v>
      </c>
      <c r="E41" s="5">
        <v>12595000</v>
      </c>
      <c r="F41" s="4">
        <v>1</v>
      </c>
      <c r="G41" s="5">
        <v>6899000</v>
      </c>
      <c r="H41" s="230">
        <v>6</v>
      </c>
      <c r="I41" s="231">
        <v>19494000</v>
      </c>
      <c r="J41" s="4">
        <v>6</v>
      </c>
      <c r="K41" s="5">
        <v>13994000</v>
      </c>
      <c r="L41" s="4">
        <v>2</v>
      </c>
      <c r="M41" s="5">
        <v>7898000</v>
      </c>
      <c r="N41" s="230">
        <v>8</v>
      </c>
      <c r="O41" s="231">
        <v>21892000</v>
      </c>
      <c r="P41" s="4">
        <v>8</v>
      </c>
      <c r="Q41" s="5">
        <v>19592000</v>
      </c>
      <c r="R41" s="4"/>
      <c r="S41" s="5"/>
      <c r="T41" s="230">
        <v>8</v>
      </c>
      <c r="U41" s="231">
        <v>19592000</v>
      </c>
      <c r="V41" s="4">
        <v>3</v>
      </c>
      <c r="W41" s="5">
        <v>6597000</v>
      </c>
      <c r="X41" s="4">
        <v>1</v>
      </c>
      <c r="Y41" s="5">
        <v>4899000</v>
      </c>
      <c r="Z41" s="230">
        <v>4</v>
      </c>
      <c r="AA41" s="231">
        <v>11496000</v>
      </c>
      <c r="AB41" s="4">
        <v>16</v>
      </c>
      <c r="AC41" s="5">
        <v>38584000</v>
      </c>
      <c r="AD41" s="4">
        <v>6</v>
      </c>
      <c r="AE41" s="5">
        <v>49994000</v>
      </c>
      <c r="AF41" s="230">
        <v>22</v>
      </c>
      <c r="AG41" s="231">
        <v>88578000</v>
      </c>
      <c r="AH41" s="4">
        <v>8</v>
      </c>
      <c r="AI41" s="5">
        <v>20192000</v>
      </c>
      <c r="AJ41" s="4">
        <v>2</v>
      </c>
      <c r="AK41" s="5">
        <v>13898000</v>
      </c>
      <c r="AL41" s="230">
        <v>10</v>
      </c>
      <c r="AM41" s="231">
        <v>34090000</v>
      </c>
      <c r="AN41" s="4">
        <v>3</v>
      </c>
      <c r="AO41" s="5">
        <v>7297000</v>
      </c>
      <c r="AP41" s="4">
        <v>1</v>
      </c>
      <c r="AQ41" s="5">
        <v>9999000</v>
      </c>
      <c r="AR41" s="230">
        <v>4</v>
      </c>
      <c r="AS41" s="231">
        <v>17296000</v>
      </c>
      <c r="AT41" s="4">
        <v>6</v>
      </c>
      <c r="AU41" s="5">
        <v>14494000</v>
      </c>
      <c r="AV41" s="4">
        <v>4</v>
      </c>
      <c r="AW41" s="5">
        <v>22096000</v>
      </c>
      <c r="AX41" s="230">
        <v>10</v>
      </c>
      <c r="AY41" s="231">
        <v>36590000</v>
      </c>
      <c r="AZ41" s="4">
        <v>72</v>
      </c>
      <c r="BA41" s="6">
        <v>249028000</v>
      </c>
    </row>
    <row r="42" spans="1:53" x14ac:dyDescent="0.2">
      <c r="A42" s="1"/>
      <c r="B42" s="2">
        <v>6010701</v>
      </c>
      <c r="C42" s="3" t="s">
        <v>329</v>
      </c>
      <c r="D42" s="4">
        <v>2</v>
      </c>
      <c r="E42" s="5">
        <v>5098000</v>
      </c>
      <c r="F42" s="4">
        <v>1</v>
      </c>
      <c r="G42" s="5">
        <v>4299000</v>
      </c>
      <c r="H42" s="230">
        <v>3</v>
      </c>
      <c r="I42" s="231">
        <v>9397000</v>
      </c>
      <c r="J42" s="4">
        <v>3</v>
      </c>
      <c r="K42" s="5">
        <v>7297000</v>
      </c>
      <c r="L42" s="4">
        <v>2</v>
      </c>
      <c r="M42" s="5">
        <v>14298000</v>
      </c>
      <c r="N42" s="230">
        <v>5</v>
      </c>
      <c r="O42" s="231">
        <v>21595000</v>
      </c>
      <c r="P42" s="4">
        <v>7</v>
      </c>
      <c r="Q42" s="5">
        <v>18693000</v>
      </c>
      <c r="R42" s="4">
        <v>2</v>
      </c>
      <c r="S42" s="5">
        <v>15498000</v>
      </c>
      <c r="T42" s="230">
        <v>9</v>
      </c>
      <c r="U42" s="231">
        <v>34191000</v>
      </c>
      <c r="V42" s="4">
        <v>5</v>
      </c>
      <c r="W42" s="5">
        <v>11995000</v>
      </c>
      <c r="X42" s="4"/>
      <c r="Y42" s="5"/>
      <c r="Z42" s="230">
        <v>5</v>
      </c>
      <c r="AA42" s="231">
        <v>11995000</v>
      </c>
      <c r="AB42" s="4">
        <v>12</v>
      </c>
      <c r="AC42" s="5">
        <v>29388000</v>
      </c>
      <c r="AD42" s="4">
        <v>6</v>
      </c>
      <c r="AE42" s="5">
        <v>26594000</v>
      </c>
      <c r="AF42" s="230">
        <v>18</v>
      </c>
      <c r="AG42" s="231">
        <v>55982000</v>
      </c>
      <c r="AH42" s="4">
        <v>3</v>
      </c>
      <c r="AI42" s="5">
        <v>6597000</v>
      </c>
      <c r="AJ42" s="4">
        <v>4</v>
      </c>
      <c r="AK42" s="5">
        <v>21396000</v>
      </c>
      <c r="AL42" s="230">
        <v>7</v>
      </c>
      <c r="AM42" s="231">
        <v>27993000</v>
      </c>
      <c r="AN42" s="4">
        <v>6</v>
      </c>
      <c r="AO42" s="5">
        <v>14394000</v>
      </c>
      <c r="AP42" s="4">
        <v>2</v>
      </c>
      <c r="AQ42" s="5">
        <v>13598000</v>
      </c>
      <c r="AR42" s="230">
        <v>8</v>
      </c>
      <c r="AS42" s="231">
        <v>27992000</v>
      </c>
      <c r="AT42" s="4">
        <v>6</v>
      </c>
      <c r="AU42" s="5">
        <v>14394000</v>
      </c>
      <c r="AV42" s="4">
        <v>2</v>
      </c>
      <c r="AW42" s="5">
        <v>7498000</v>
      </c>
      <c r="AX42" s="230">
        <v>8</v>
      </c>
      <c r="AY42" s="231">
        <v>21892000</v>
      </c>
      <c r="AZ42" s="4">
        <v>63</v>
      </c>
      <c r="BA42" s="6">
        <v>211037000</v>
      </c>
    </row>
    <row r="43" spans="1:53" x14ac:dyDescent="0.2">
      <c r="A43" s="1"/>
      <c r="B43" s="2">
        <v>6010710</v>
      </c>
      <c r="C43" s="3" t="s">
        <v>330</v>
      </c>
      <c r="D43" s="4"/>
      <c r="E43" s="5"/>
      <c r="F43" s="4">
        <v>1</v>
      </c>
      <c r="G43" s="5">
        <v>5499000</v>
      </c>
      <c r="H43" s="230">
        <v>1</v>
      </c>
      <c r="I43" s="231">
        <v>5499000</v>
      </c>
      <c r="J43" s="4">
        <v>9</v>
      </c>
      <c r="K43" s="5">
        <v>21591000</v>
      </c>
      <c r="L43" s="4"/>
      <c r="M43" s="5"/>
      <c r="N43" s="230">
        <v>9</v>
      </c>
      <c r="O43" s="231">
        <v>21591000</v>
      </c>
      <c r="P43" s="4">
        <v>5</v>
      </c>
      <c r="Q43" s="5">
        <v>11295000</v>
      </c>
      <c r="R43" s="4">
        <v>2</v>
      </c>
      <c r="S43" s="5">
        <v>9598000</v>
      </c>
      <c r="T43" s="230">
        <v>7</v>
      </c>
      <c r="U43" s="231">
        <v>20893000</v>
      </c>
      <c r="V43" s="4">
        <v>4</v>
      </c>
      <c r="W43" s="5">
        <v>8596000</v>
      </c>
      <c r="X43" s="4">
        <v>2</v>
      </c>
      <c r="Y43" s="5">
        <v>14298000</v>
      </c>
      <c r="Z43" s="230">
        <v>6</v>
      </c>
      <c r="AA43" s="231">
        <v>22894000</v>
      </c>
      <c r="AB43" s="4">
        <v>4</v>
      </c>
      <c r="AC43" s="5">
        <v>9796000</v>
      </c>
      <c r="AD43" s="4">
        <v>1</v>
      </c>
      <c r="AE43" s="5">
        <v>5899000</v>
      </c>
      <c r="AF43" s="230">
        <v>5</v>
      </c>
      <c r="AG43" s="231">
        <v>15695000</v>
      </c>
      <c r="AH43" s="4">
        <v>2</v>
      </c>
      <c r="AI43" s="5">
        <v>4998000</v>
      </c>
      <c r="AJ43" s="4">
        <v>1</v>
      </c>
      <c r="AK43" s="5">
        <v>3899000</v>
      </c>
      <c r="AL43" s="230">
        <v>3</v>
      </c>
      <c r="AM43" s="231">
        <v>8897000</v>
      </c>
      <c r="AN43" s="4">
        <v>4</v>
      </c>
      <c r="AO43" s="5">
        <v>8996000</v>
      </c>
      <c r="AP43" s="4">
        <v>1</v>
      </c>
      <c r="AQ43" s="5">
        <v>3599000</v>
      </c>
      <c r="AR43" s="230">
        <v>5</v>
      </c>
      <c r="AS43" s="231">
        <v>12595000</v>
      </c>
      <c r="AT43" s="4"/>
      <c r="AU43" s="5"/>
      <c r="AV43" s="4">
        <v>1</v>
      </c>
      <c r="AW43" s="5">
        <v>9999000</v>
      </c>
      <c r="AX43" s="230">
        <v>1</v>
      </c>
      <c r="AY43" s="231">
        <v>9999000</v>
      </c>
      <c r="AZ43" s="4">
        <v>37</v>
      </c>
      <c r="BA43" s="6">
        <v>118063000</v>
      </c>
    </row>
    <row r="44" spans="1:53" x14ac:dyDescent="0.2">
      <c r="A44" s="1"/>
      <c r="B44" s="2">
        <v>6010709</v>
      </c>
      <c r="C44" s="3" t="s">
        <v>331</v>
      </c>
      <c r="D44" s="4">
        <v>6</v>
      </c>
      <c r="E44" s="5">
        <v>13994000</v>
      </c>
      <c r="F44" s="4">
        <v>4</v>
      </c>
      <c r="G44" s="5">
        <v>21296000</v>
      </c>
      <c r="H44" s="230">
        <v>10</v>
      </c>
      <c r="I44" s="231">
        <v>35290000</v>
      </c>
      <c r="J44" s="4">
        <v>6</v>
      </c>
      <c r="K44" s="5">
        <v>15294000</v>
      </c>
      <c r="L44" s="4">
        <v>2</v>
      </c>
      <c r="M44" s="5">
        <v>11798000</v>
      </c>
      <c r="N44" s="230">
        <v>8</v>
      </c>
      <c r="O44" s="231">
        <v>27092000</v>
      </c>
      <c r="P44" s="4">
        <v>11</v>
      </c>
      <c r="Q44" s="5">
        <v>26589000</v>
      </c>
      <c r="R44" s="4">
        <v>1</v>
      </c>
      <c r="S44" s="5">
        <v>3899000</v>
      </c>
      <c r="T44" s="230">
        <v>12</v>
      </c>
      <c r="U44" s="231">
        <v>30488000</v>
      </c>
      <c r="V44" s="4">
        <v>2</v>
      </c>
      <c r="W44" s="5">
        <v>5098000</v>
      </c>
      <c r="X44" s="4">
        <v>1</v>
      </c>
      <c r="Y44" s="5">
        <v>3899000</v>
      </c>
      <c r="Z44" s="230">
        <v>3</v>
      </c>
      <c r="AA44" s="231">
        <v>8997000</v>
      </c>
      <c r="AB44" s="4">
        <v>9</v>
      </c>
      <c r="AC44" s="5">
        <v>20991000</v>
      </c>
      <c r="AD44" s="4">
        <v>11</v>
      </c>
      <c r="AE44" s="5">
        <v>54589000</v>
      </c>
      <c r="AF44" s="230">
        <v>20</v>
      </c>
      <c r="AG44" s="231">
        <v>75580000</v>
      </c>
      <c r="AH44" s="4">
        <v>17</v>
      </c>
      <c r="AI44" s="5">
        <v>38283000</v>
      </c>
      <c r="AJ44" s="4">
        <v>5</v>
      </c>
      <c r="AK44" s="5">
        <v>26895000</v>
      </c>
      <c r="AL44" s="230">
        <v>22</v>
      </c>
      <c r="AM44" s="231">
        <v>65178000</v>
      </c>
      <c r="AN44" s="4">
        <v>12</v>
      </c>
      <c r="AO44" s="5">
        <v>26288000</v>
      </c>
      <c r="AP44" s="4">
        <v>4</v>
      </c>
      <c r="AQ44" s="5">
        <v>20396000</v>
      </c>
      <c r="AR44" s="230">
        <v>16</v>
      </c>
      <c r="AS44" s="231">
        <v>46684000</v>
      </c>
      <c r="AT44" s="4">
        <v>5</v>
      </c>
      <c r="AU44" s="5">
        <v>12295000</v>
      </c>
      <c r="AV44" s="4"/>
      <c r="AW44" s="5"/>
      <c r="AX44" s="230">
        <v>5</v>
      </c>
      <c r="AY44" s="231">
        <v>12295000</v>
      </c>
      <c r="AZ44" s="4">
        <v>96</v>
      </c>
      <c r="BA44" s="6">
        <v>301604000</v>
      </c>
    </row>
    <row r="45" spans="1:53" x14ac:dyDescent="0.2">
      <c r="A45" s="232"/>
      <c r="B45" s="2">
        <v>6010711</v>
      </c>
      <c r="C45" s="3" t="s">
        <v>151</v>
      </c>
      <c r="D45" s="4"/>
      <c r="E45" s="5"/>
      <c r="F45" s="4"/>
      <c r="G45" s="5"/>
      <c r="H45" s="230"/>
      <c r="I45" s="231"/>
      <c r="J45" s="4"/>
      <c r="K45" s="5"/>
      <c r="L45" s="4"/>
      <c r="M45" s="5"/>
      <c r="N45" s="230"/>
      <c r="O45" s="231"/>
      <c r="P45" s="4">
        <v>1</v>
      </c>
      <c r="Q45" s="5">
        <v>2099000</v>
      </c>
      <c r="R45" s="4"/>
      <c r="S45" s="5"/>
      <c r="T45" s="230">
        <v>1</v>
      </c>
      <c r="U45" s="231">
        <v>2099000</v>
      </c>
      <c r="V45" s="4"/>
      <c r="W45" s="5"/>
      <c r="X45" s="4">
        <v>1</v>
      </c>
      <c r="Y45" s="5">
        <v>3899000</v>
      </c>
      <c r="Z45" s="230">
        <v>1</v>
      </c>
      <c r="AA45" s="231">
        <v>3899000</v>
      </c>
      <c r="AB45" s="4">
        <v>1</v>
      </c>
      <c r="AC45" s="5">
        <v>2299000</v>
      </c>
      <c r="AD45" s="4">
        <v>1</v>
      </c>
      <c r="AE45" s="5">
        <v>7999000</v>
      </c>
      <c r="AF45" s="230">
        <v>2</v>
      </c>
      <c r="AG45" s="231">
        <v>10298000</v>
      </c>
      <c r="AH45" s="4"/>
      <c r="AI45" s="5"/>
      <c r="AJ45" s="4">
        <v>2</v>
      </c>
      <c r="AK45" s="5">
        <v>15898000</v>
      </c>
      <c r="AL45" s="230">
        <v>2</v>
      </c>
      <c r="AM45" s="231">
        <v>15898000</v>
      </c>
      <c r="AN45" s="4"/>
      <c r="AO45" s="5"/>
      <c r="AP45" s="4"/>
      <c r="AQ45" s="5"/>
      <c r="AR45" s="230"/>
      <c r="AS45" s="231"/>
      <c r="AT45" s="4"/>
      <c r="AU45" s="5"/>
      <c r="AV45" s="4"/>
      <c r="AW45" s="5"/>
      <c r="AX45" s="230"/>
      <c r="AY45" s="231"/>
      <c r="AZ45" s="4">
        <v>6</v>
      </c>
      <c r="BA45" s="6">
        <v>32194000</v>
      </c>
    </row>
    <row r="46" spans="1:53" x14ac:dyDescent="0.2">
      <c r="A46" s="232" t="s">
        <v>60</v>
      </c>
      <c r="B46" s="2">
        <v>6150702</v>
      </c>
      <c r="C46" s="3" t="s">
        <v>284</v>
      </c>
      <c r="D46" s="4"/>
      <c r="E46" s="5"/>
      <c r="F46" s="4">
        <v>1</v>
      </c>
      <c r="G46" s="5">
        <v>6899000</v>
      </c>
      <c r="H46" s="230">
        <v>1</v>
      </c>
      <c r="I46" s="231">
        <v>6899000</v>
      </c>
      <c r="J46" s="4"/>
      <c r="K46" s="5"/>
      <c r="L46" s="4"/>
      <c r="M46" s="5"/>
      <c r="N46" s="230"/>
      <c r="O46" s="231"/>
      <c r="P46" s="4"/>
      <c r="Q46" s="5"/>
      <c r="R46" s="4">
        <v>1</v>
      </c>
      <c r="S46" s="5">
        <v>5899000</v>
      </c>
      <c r="T46" s="230">
        <v>1</v>
      </c>
      <c r="U46" s="231">
        <v>5899000</v>
      </c>
      <c r="V46" s="4"/>
      <c r="W46" s="5"/>
      <c r="X46" s="4"/>
      <c r="Y46" s="5"/>
      <c r="Z46" s="230"/>
      <c r="AA46" s="231"/>
      <c r="AB46" s="4"/>
      <c r="AC46" s="5"/>
      <c r="AD46" s="4">
        <v>1</v>
      </c>
      <c r="AE46" s="5">
        <v>5899000</v>
      </c>
      <c r="AF46" s="230">
        <v>1</v>
      </c>
      <c r="AG46" s="231">
        <v>5899000</v>
      </c>
      <c r="AH46" s="4"/>
      <c r="AI46" s="5"/>
      <c r="AJ46" s="4"/>
      <c r="AK46" s="5"/>
      <c r="AL46" s="230"/>
      <c r="AM46" s="231"/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>
        <v>3</v>
      </c>
      <c r="BA46" s="6">
        <v>18697000</v>
      </c>
    </row>
    <row r="47" spans="1:53" x14ac:dyDescent="0.2">
      <c r="A47" s="232" t="s">
        <v>198</v>
      </c>
      <c r="B47" s="2">
        <v>6100702</v>
      </c>
      <c r="C47" s="3" t="s">
        <v>341</v>
      </c>
      <c r="D47" s="4"/>
      <c r="E47" s="5"/>
      <c r="F47" s="4"/>
      <c r="G47" s="5"/>
      <c r="H47" s="230"/>
      <c r="I47" s="231"/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9999000</v>
      </c>
      <c r="T47" s="230">
        <v>1</v>
      </c>
      <c r="U47" s="231">
        <v>9999000</v>
      </c>
      <c r="V47" s="4"/>
      <c r="W47" s="5"/>
      <c r="X47" s="4"/>
      <c r="Y47" s="5"/>
      <c r="Z47" s="230"/>
      <c r="AA47" s="231"/>
      <c r="AB47" s="4"/>
      <c r="AC47" s="5"/>
      <c r="AD47" s="4"/>
      <c r="AE47" s="5"/>
      <c r="AF47" s="230"/>
      <c r="AG47" s="231"/>
      <c r="AH47" s="4"/>
      <c r="AI47" s="5"/>
      <c r="AJ47" s="4">
        <v>2</v>
      </c>
      <c r="AK47" s="5">
        <v>9898000</v>
      </c>
      <c r="AL47" s="230">
        <v>2</v>
      </c>
      <c r="AM47" s="231">
        <v>9898000</v>
      </c>
      <c r="AN47" s="4">
        <v>1</v>
      </c>
      <c r="AO47" s="5">
        <v>2299000</v>
      </c>
      <c r="AP47" s="4">
        <v>2</v>
      </c>
      <c r="AQ47" s="5">
        <v>16998000</v>
      </c>
      <c r="AR47" s="230">
        <v>3</v>
      </c>
      <c r="AS47" s="231">
        <v>19297000</v>
      </c>
      <c r="AT47" s="4">
        <v>2</v>
      </c>
      <c r="AU47" s="5">
        <v>4698000</v>
      </c>
      <c r="AV47" s="4"/>
      <c r="AW47" s="5"/>
      <c r="AX47" s="230">
        <v>2</v>
      </c>
      <c r="AY47" s="231">
        <v>4698000</v>
      </c>
      <c r="AZ47" s="4">
        <v>8</v>
      </c>
      <c r="BA47" s="6">
        <v>43892000</v>
      </c>
    </row>
    <row r="48" spans="1:53" x14ac:dyDescent="0.2">
      <c r="A48" s="233" t="s">
        <v>332</v>
      </c>
      <c r="B48" s="234"/>
      <c r="C48" s="234"/>
      <c r="D48" s="235">
        <v>45</v>
      </c>
      <c r="E48" s="236">
        <v>111655000</v>
      </c>
      <c r="F48" s="235">
        <v>26</v>
      </c>
      <c r="G48" s="236">
        <v>164874000</v>
      </c>
      <c r="H48" s="234">
        <v>71</v>
      </c>
      <c r="I48" s="236">
        <v>276529000</v>
      </c>
      <c r="J48" s="235">
        <v>61</v>
      </c>
      <c r="K48" s="236">
        <v>150039000</v>
      </c>
      <c r="L48" s="235">
        <v>32</v>
      </c>
      <c r="M48" s="236">
        <v>176768000</v>
      </c>
      <c r="N48" s="234">
        <v>93</v>
      </c>
      <c r="O48" s="236">
        <v>326807000</v>
      </c>
      <c r="P48" s="235">
        <v>60</v>
      </c>
      <c r="Q48" s="236">
        <v>149340000</v>
      </c>
      <c r="R48" s="235">
        <v>33</v>
      </c>
      <c r="S48" s="236">
        <v>212967000</v>
      </c>
      <c r="T48" s="234">
        <v>93</v>
      </c>
      <c r="U48" s="236">
        <v>362307000</v>
      </c>
      <c r="V48" s="235">
        <v>57</v>
      </c>
      <c r="W48" s="236">
        <v>140543000</v>
      </c>
      <c r="X48" s="235">
        <v>28</v>
      </c>
      <c r="Y48" s="236">
        <v>198772000</v>
      </c>
      <c r="Z48" s="234">
        <v>85</v>
      </c>
      <c r="AA48" s="236">
        <v>339315000</v>
      </c>
      <c r="AB48" s="235">
        <v>93</v>
      </c>
      <c r="AC48" s="236">
        <v>227907000</v>
      </c>
      <c r="AD48" s="235">
        <v>81</v>
      </c>
      <c r="AE48" s="236">
        <v>530719000</v>
      </c>
      <c r="AF48" s="234">
        <v>174</v>
      </c>
      <c r="AG48" s="236">
        <v>758626000</v>
      </c>
      <c r="AH48" s="235">
        <v>82</v>
      </c>
      <c r="AI48" s="236">
        <v>195718000</v>
      </c>
      <c r="AJ48" s="235">
        <v>58</v>
      </c>
      <c r="AK48" s="236">
        <v>352942000</v>
      </c>
      <c r="AL48" s="234">
        <v>140</v>
      </c>
      <c r="AM48" s="236">
        <v>548660000</v>
      </c>
      <c r="AN48" s="235">
        <v>61</v>
      </c>
      <c r="AO48" s="236">
        <v>146639000</v>
      </c>
      <c r="AP48" s="235">
        <v>36</v>
      </c>
      <c r="AQ48" s="236">
        <v>229264000</v>
      </c>
      <c r="AR48" s="234">
        <v>97</v>
      </c>
      <c r="AS48" s="236">
        <v>375903000</v>
      </c>
      <c r="AT48" s="235">
        <v>46</v>
      </c>
      <c r="AU48" s="236">
        <v>111354000</v>
      </c>
      <c r="AV48" s="235">
        <v>36</v>
      </c>
      <c r="AW48" s="236">
        <v>205464000</v>
      </c>
      <c r="AX48" s="234">
        <v>82</v>
      </c>
      <c r="AY48" s="236">
        <v>316818000</v>
      </c>
      <c r="AZ48" s="235">
        <v>835</v>
      </c>
      <c r="BA48" s="237">
        <v>3304965000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2026-09-09T01:53:36Z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