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1 Sales &amp; Performance/"/>
    </mc:Choice>
  </mc:AlternateContent>
  <xr:revisionPtr revIDLastSave="0" documentId="8_{D75E1CEC-8009-3F46-9F84-1EB550E1A010}" xr6:coauthVersionLast="47" xr6:coauthVersionMax="47" xr10:uidLastSave="{00000000-0000-0000-0000-000000000000}"/>
  <bookViews>
    <workbookView xWindow="0" yWindow="600" windowWidth="32740" windowHeight="19880" xr2:uid="{AC9873E4-AD77-464A-9CE7-44C9ECB5B5A6}"/>
  </bookViews>
  <sheets>
    <sheet name="ACHIEVEMENT STORE" sheetId="1" r:id="rId1"/>
  </sheets>
  <externalReferences>
    <externalReference r:id="rId2"/>
  </externalReferences>
  <definedNames>
    <definedName name="_xlnm._FilterDatabase" localSheetId="0" hidden="1">'ACHIEVEMENT STORE'!$H$4:$H$49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53" i="1" l="1"/>
  <c r="J53" i="1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I5" i="1"/>
  <c r="BF5" i="1"/>
  <c r="BC5" i="1"/>
  <c r="AY5" i="1"/>
  <c r="H5" i="1"/>
  <c r="H48" i="1" s="1"/>
  <c r="G5" i="1"/>
  <c r="F2" i="1"/>
  <c r="AM47" i="1"/>
  <c r="O47" i="1"/>
  <c r="I47" i="1"/>
  <c r="R46" i="1"/>
  <c r="L46" i="1"/>
  <c r="AM45" i="1"/>
  <c r="O45" i="1"/>
  <c r="I45" i="1"/>
  <c r="R44" i="1"/>
  <c r="L44" i="1"/>
  <c r="AM43" i="1"/>
  <c r="O43" i="1"/>
  <c r="I43" i="1"/>
  <c r="R42" i="1"/>
  <c r="L42" i="1"/>
  <c r="AM41" i="1"/>
  <c r="O41" i="1"/>
  <c r="I41" i="1"/>
  <c r="R40" i="1"/>
  <c r="L40" i="1"/>
  <c r="BP47" i="1"/>
  <c r="BJ47" i="1"/>
  <c r="BD47" i="1"/>
  <c r="AF47" i="1"/>
  <c r="R47" i="1"/>
  <c r="L47" i="1"/>
  <c r="AM46" i="1"/>
  <c r="O46" i="1"/>
  <c r="I46" i="1"/>
  <c r="R45" i="1"/>
  <c r="L45" i="1"/>
  <c r="AM44" i="1"/>
  <c r="O44" i="1"/>
  <c r="I44" i="1"/>
  <c r="R43" i="1"/>
  <c r="L43" i="1"/>
  <c r="BM47" i="1"/>
  <c r="BG47" i="1"/>
  <c r="AU47" i="1"/>
  <c r="AI47" i="1"/>
  <c r="BP46" i="1"/>
  <c r="BJ46" i="1"/>
  <c r="BD46" i="1"/>
  <c r="AF46" i="1"/>
  <c r="AE47" i="1"/>
  <c r="M47" i="1"/>
  <c r="AI45" i="1"/>
  <c r="BJ44" i="1"/>
  <c r="AU43" i="1"/>
  <c r="BM42" i="1"/>
  <c r="BD42" i="1"/>
  <c r="M42" i="1"/>
  <c r="BP41" i="1"/>
  <c r="L41" i="1"/>
  <c r="BP40" i="1"/>
  <c r="AM40" i="1"/>
  <c r="AF40" i="1"/>
  <c r="BG39" i="1"/>
  <c r="AU39" i="1"/>
  <c r="AI39" i="1"/>
  <c r="BP38" i="1"/>
  <c r="BJ38" i="1"/>
  <c r="BD38" i="1"/>
  <c r="AF38" i="1"/>
  <c r="BM37" i="1"/>
  <c r="BG37" i="1"/>
  <c r="AU37" i="1"/>
  <c r="AI37" i="1"/>
  <c r="BP36" i="1"/>
  <c r="BJ36" i="1"/>
  <c r="BD36" i="1"/>
  <c r="AF36" i="1"/>
  <c r="BM35" i="1"/>
  <c r="BG35" i="1"/>
  <c r="AU35" i="1"/>
  <c r="AI35" i="1"/>
  <c r="BG46" i="1"/>
  <c r="AU46" i="1"/>
  <c r="AE46" i="1"/>
  <c r="BP45" i="1"/>
  <c r="BG45" i="1"/>
  <c r="AE44" i="1"/>
  <c r="BJ43" i="1"/>
  <c r="M43" i="1"/>
  <c r="BM41" i="1"/>
  <c r="AF41" i="1"/>
  <c r="BJ40" i="1"/>
  <c r="BM39" i="1"/>
  <c r="AQ39" i="1"/>
  <c r="L38" i="1"/>
  <c r="BJ37" i="1"/>
  <c r="L37" i="1"/>
  <c r="AM36" i="1"/>
  <c r="AE36" i="1"/>
  <c r="AE35" i="1"/>
  <c r="R35" i="1"/>
  <c r="L35" i="1"/>
  <c r="AM34" i="1"/>
  <c r="O34" i="1"/>
  <c r="I34" i="1"/>
  <c r="R33" i="1"/>
  <c r="L33" i="1"/>
  <c r="AM32" i="1"/>
  <c r="O32" i="1"/>
  <c r="I32" i="1"/>
  <c r="R31" i="1"/>
  <c r="L31" i="1"/>
  <c r="AM30" i="1"/>
  <c r="O30" i="1"/>
  <c r="I30" i="1"/>
  <c r="R29" i="1"/>
  <c r="L29" i="1"/>
  <c r="AM28" i="1"/>
  <c r="O28" i="1"/>
  <c r="BM46" i="1"/>
  <c r="M45" i="1"/>
  <c r="BD44" i="1"/>
  <c r="AU44" i="1"/>
  <c r="AI44" i="1"/>
  <c r="BG42" i="1"/>
  <c r="AF42" i="1"/>
  <c r="O42" i="1"/>
  <c r="BM40" i="1"/>
  <c r="O40" i="1"/>
  <c r="AM39" i="1"/>
  <c r="AF39" i="1"/>
  <c r="R39" i="1"/>
  <c r="BG38" i="1"/>
  <c r="I38" i="1"/>
  <c r="O37" i="1"/>
  <c r="AI36" i="1"/>
  <c r="M36" i="1"/>
  <c r="BD35" i="1"/>
  <c r="O35" i="1"/>
  <c r="I35" i="1"/>
  <c r="R34" i="1"/>
  <c r="L34" i="1"/>
  <c r="AM33" i="1"/>
  <c r="BD45" i="1"/>
  <c r="AQ45" i="1"/>
  <c r="BM44" i="1"/>
  <c r="AI43" i="1"/>
  <c r="BP42" i="1"/>
  <c r="AQ42" i="1"/>
  <c r="BG41" i="1"/>
  <c r="AQ40" i="1"/>
  <c r="BP39" i="1"/>
  <c r="O39" i="1"/>
  <c r="AM38" i="1"/>
  <c r="AQ37" i="1"/>
  <c r="AF37" i="1"/>
  <c r="AU36" i="1"/>
  <c r="O36" i="1"/>
  <c r="AM35" i="1"/>
  <c r="AU34" i="1"/>
  <c r="BM33" i="1"/>
  <c r="BD33" i="1"/>
  <c r="AE33" i="1"/>
  <c r="O33" i="1"/>
  <c r="BD32" i="1"/>
  <c r="AQ32" i="1"/>
  <c r="BD31" i="1"/>
  <c r="M31" i="1"/>
  <c r="BP30" i="1"/>
  <c r="L30" i="1"/>
  <c r="BP29" i="1"/>
  <c r="AM29" i="1"/>
  <c r="AF29" i="1"/>
  <c r="AQ46" i="1"/>
  <c r="BM45" i="1"/>
  <c r="BG43" i="1"/>
  <c r="AI46" i="1"/>
  <c r="M46" i="1"/>
  <c r="BP43" i="1"/>
  <c r="AE43" i="1"/>
  <c r="BD41" i="1"/>
  <c r="AE41" i="1"/>
  <c r="R41" i="1"/>
  <c r="BG40" i="1"/>
  <c r="M40" i="1"/>
  <c r="L39" i="1"/>
  <c r="BM38" i="1"/>
  <c r="AI38" i="1"/>
  <c r="M38" i="1"/>
  <c r="AM37" i="1"/>
  <c r="R37" i="1"/>
  <c r="AQ36" i="1"/>
  <c r="AI34" i="1"/>
  <c r="BJ33" i="1"/>
  <c r="M33" i="1"/>
  <c r="BP32" i="1"/>
  <c r="L32" i="1"/>
  <c r="BP31" i="1"/>
  <c r="AM31" i="1"/>
  <c r="AF31" i="1"/>
  <c r="BG30" i="1"/>
  <c r="AE30" i="1"/>
  <c r="BM29" i="1"/>
  <c r="AF45" i="1"/>
  <c r="AF44" i="1"/>
  <c r="BJ42" i="1"/>
  <c r="AU42" i="1"/>
  <c r="AE42" i="1"/>
  <c r="I42" i="1"/>
  <c r="BJ41" i="1"/>
  <c r="M41" i="1"/>
  <c r="BJ39" i="1"/>
  <c r="AQ38" i="1"/>
  <c r="R36" i="1"/>
  <c r="BP35" i="1"/>
  <c r="AQ35" i="1"/>
  <c r="M35" i="1"/>
  <c r="BM34" i="1"/>
  <c r="BD34" i="1"/>
  <c r="AF34" i="1"/>
  <c r="AF33" i="1"/>
  <c r="I33" i="1"/>
  <c r="AI32" i="1"/>
  <c r="M32" i="1"/>
  <c r="AU31" i="1"/>
  <c r="O31" i="1"/>
  <c r="BG29" i="1"/>
  <c r="AQ29" i="1"/>
  <c r="BG28" i="1"/>
  <c r="AE28" i="1"/>
  <c r="AQ27" i="1"/>
  <c r="AE27" i="1"/>
  <c r="M27" i="1"/>
  <c r="BG44" i="1"/>
  <c r="AQ44" i="1"/>
  <c r="AQ43" i="1"/>
  <c r="AI41" i="1"/>
  <c r="AI40" i="1"/>
  <c r="AU38" i="1"/>
  <c r="AE38" i="1"/>
  <c r="O38" i="1"/>
  <c r="I37" i="1"/>
  <c r="BG33" i="1"/>
  <c r="AU33" i="1"/>
  <c r="BM32" i="1"/>
  <c r="AU32" i="1"/>
  <c r="BG31" i="1"/>
  <c r="R30" i="1"/>
  <c r="AI29" i="1"/>
  <c r="AU28" i="1"/>
  <c r="AF28" i="1"/>
  <c r="R28" i="1"/>
  <c r="BP27" i="1"/>
  <c r="BJ27" i="1"/>
  <c r="BD27" i="1"/>
  <c r="AF27" i="1"/>
  <c r="BM26" i="1"/>
  <c r="BG26" i="1"/>
  <c r="AU26" i="1"/>
  <c r="AI26" i="1"/>
  <c r="BP25" i="1"/>
  <c r="BJ25" i="1"/>
  <c r="BD25" i="1"/>
  <c r="AF25" i="1"/>
  <c r="BD43" i="1"/>
  <c r="AU41" i="1"/>
  <c r="AE39" i="1"/>
  <c r="I39" i="1"/>
  <c r="M37" i="1"/>
  <c r="BJ31" i="1"/>
  <c r="BD30" i="1"/>
  <c r="AQ30" i="1"/>
  <c r="BJ29" i="1"/>
  <c r="O29" i="1"/>
  <c r="BP28" i="1"/>
  <c r="AU27" i="1"/>
  <c r="AM27" i="1"/>
  <c r="BP26" i="1"/>
  <c r="R26" i="1"/>
  <c r="AI25" i="1"/>
  <c r="O25" i="1"/>
  <c r="I25" i="1"/>
  <c r="R24" i="1"/>
  <c r="L24" i="1"/>
  <c r="AM23" i="1"/>
  <c r="O23" i="1"/>
  <c r="I23" i="1"/>
  <c r="R22" i="1"/>
  <c r="L22" i="1"/>
  <c r="AM21" i="1"/>
  <c r="O21" i="1"/>
  <c r="I21" i="1"/>
  <c r="R20" i="1"/>
  <c r="L20" i="1"/>
  <c r="AM19" i="1"/>
  <c r="O19" i="1"/>
  <c r="I19" i="1"/>
  <c r="R18" i="1"/>
  <c r="L18" i="1"/>
  <c r="AM17" i="1"/>
  <c r="O17" i="1"/>
  <c r="I17" i="1"/>
  <c r="R16" i="1"/>
  <c r="L16" i="1"/>
  <c r="AQ41" i="1"/>
  <c r="R38" i="1"/>
  <c r="AE37" i="1"/>
  <c r="BM43" i="1"/>
  <c r="AM42" i="1"/>
  <c r="AU40" i="1"/>
  <c r="BG36" i="1"/>
  <c r="AF35" i="1"/>
  <c r="AQ47" i="1"/>
  <c r="BJ45" i="1"/>
  <c r="AU45" i="1"/>
  <c r="AI42" i="1"/>
  <c r="I40" i="1"/>
  <c r="L36" i="1"/>
  <c r="AE45" i="1"/>
  <c r="BP44" i="1"/>
  <c r="M44" i="1"/>
  <c r="BD40" i="1"/>
  <c r="AF43" i="1"/>
  <c r="AE40" i="1"/>
  <c r="BD39" i="1"/>
  <c r="M39" i="1"/>
  <c r="BP37" i="1"/>
  <c r="BD37" i="1"/>
  <c r="BM36" i="1"/>
  <c r="BP33" i="1"/>
  <c r="AI33" i="1"/>
  <c r="AI31" i="1"/>
  <c r="M30" i="1"/>
  <c r="L27" i="1"/>
  <c r="BJ26" i="1"/>
  <c r="I26" i="1"/>
  <c r="BM25" i="1"/>
  <c r="AQ25" i="1"/>
  <c r="AQ24" i="1"/>
  <c r="AE24" i="1"/>
  <c r="M24" i="1"/>
  <c r="AQ22" i="1"/>
  <c r="AE22" i="1"/>
  <c r="M22" i="1"/>
  <c r="AQ20" i="1"/>
  <c r="AE20" i="1"/>
  <c r="M20" i="1"/>
  <c r="AQ18" i="1"/>
  <c r="AE18" i="1"/>
  <c r="M18" i="1"/>
  <c r="AQ16" i="1"/>
  <c r="AE16" i="1"/>
  <c r="M16" i="1"/>
  <c r="AQ14" i="1"/>
  <c r="AE14" i="1"/>
  <c r="M14" i="1"/>
  <c r="AQ12" i="1"/>
  <c r="AE12" i="1"/>
  <c r="M12" i="1"/>
  <c r="AQ10" i="1"/>
  <c r="AE10" i="1"/>
  <c r="M10" i="1"/>
  <c r="BG34" i="1"/>
  <c r="AE31" i="1"/>
  <c r="I31" i="1"/>
  <c r="BJ30" i="1"/>
  <c r="AU30" i="1"/>
  <c r="BD28" i="1"/>
  <c r="AQ28" i="1"/>
  <c r="L28" i="1"/>
  <c r="R27" i="1"/>
  <c r="AM26" i="1"/>
  <c r="M26" i="1"/>
  <c r="AM25" i="1"/>
  <c r="R25" i="1"/>
  <c r="AF24" i="1"/>
  <c r="BP23" i="1"/>
  <c r="AU23" i="1"/>
  <c r="BM22" i="1"/>
  <c r="O22" i="1"/>
  <c r="BJ21" i="1"/>
  <c r="L21" i="1"/>
  <c r="BG20" i="1"/>
  <c r="BD19" i="1"/>
  <c r="AE19" i="1"/>
  <c r="M19" i="1"/>
  <c r="BP18" i="1"/>
  <c r="AI18" i="1"/>
  <c r="I18" i="1"/>
  <c r="BM17" i="1"/>
  <c r="AF17" i="1"/>
  <c r="BJ16" i="1"/>
  <c r="BJ35" i="1"/>
  <c r="BP34" i="1"/>
  <c r="AE34" i="1"/>
  <c r="BG32" i="1"/>
  <c r="BM31" i="1"/>
  <c r="BM28" i="1"/>
  <c r="I28" i="1"/>
  <c r="BM27" i="1"/>
  <c r="L26" i="1"/>
  <c r="AU25" i="1"/>
  <c r="BD24" i="1"/>
  <c r="AU24" i="1"/>
  <c r="AM24" i="1"/>
  <c r="R23" i="1"/>
  <c r="AF22" i="1"/>
  <c r="BP21" i="1"/>
  <c r="AU21" i="1"/>
  <c r="BM20" i="1"/>
  <c r="O20" i="1"/>
  <c r="BJ19" i="1"/>
  <c r="I36" i="1"/>
  <c r="R32" i="1"/>
  <c r="AE29" i="1"/>
  <c r="M29" i="1"/>
  <c r="BJ24" i="1"/>
  <c r="BG23" i="1"/>
  <c r="AQ23" i="1"/>
  <c r="AI23" i="1"/>
  <c r="BD22" i="1"/>
  <c r="AU22" i="1"/>
  <c r="AM22" i="1"/>
  <c r="R21" i="1"/>
  <c r="AF20" i="1"/>
  <c r="BP19" i="1"/>
  <c r="AU19" i="1"/>
  <c r="BM18" i="1"/>
  <c r="O18" i="1"/>
  <c r="BJ17" i="1"/>
  <c r="L17" i="1"/>
  <c r="BG16" i="1"/>
  <c r="BD15" i="1"/>
  <c r="AI15" i="1"/>
  <c r="AI30" i="1"/>
  <c r="AU29" i="1"/>
  <c r="I29" i="1"/>
  <c r="BJ28" i="1"/>
  <c r="AI28" i="1"/>
  <c r="O27" i="1"/>
  <c r="AF26" i="1"/>
  <c r="M25" i="1"/>
  <c r="BP24" i="1"/>
  <c r="AI24" i="1"/>
  <c r="I24" i="1"/>
  <c r="BM23" i="1"/>
  <c r="AF23" i="1"/>
  <c r="BJ22" i="1"/>
  <c r="BG21" i="1"/>
  <c r="AQ21" i="1"/>
  <c r="AI21" i="1"/>
  <c r="BD20" i="1"/>
  <c r="AU20" i="1"/>
  <c r="AM20" i="1"/>
  <c r="R19" i="1"/>
  <c r="AF18" i="1"/>
  <c r="BP17" i="1"/>
  <c r="AU17" i="1"/>
  <c r="BM16" i="1"/>
  <c r="O16" i="1"/>
  <c r="BJ15" i="1"/>
  <c r="L15" i="1"/>
  <c r="BP14" i="1"/>
  <c r="BJ14" i="1"/>
  <c r="BD14" i="1"/>
  <c r="AI14" i="1"/>
  <c r="O13" i="1"/>
  <c r="BM12" i="1"/>
  <c r="BG12" i="1"/>
  <c r="AM12" i="1"/>
  <c r="AF12" i="1"/>
  <c r="L11" i="1"/>
  <c r="BP10" i="1"/>
  <c r="BJ10" i="1"/>
  <c r="BD10" i="1"/>
  <c r="AI10" i="1"/>
  <c r="O9" i="1"/>
  <c r="BM8" i="1"/>
  <c r="O26" i="1"/>
  <c r="BD23" i="1"/>
  <c r="L23" i="1"/>
  <c r="AF21" i="1"/>
  <c r="BJ20" i="1"/>
  <c r="BD17" i="1"/>
  <c r="AQ17" i="1"/>
  <c r="AU15" i="1"/>
  <c r="O15" i="1"/>
  <c r="AU14" i="1"/>
  <c r="AM14" i="1"/>
  <c r="L14" i="1"/>
  <c r="O12" i="1"/>
  <c r="AQ11" i="1"/>
  <c r="AI11" i="1"/>
  <c r="AF10" i="1"/>
  <c r="O10" i="1"/>
  <c r="AQ9" i="1"/>
  <c r="AI9" i="1"/>
  <c r="R9" i="1"/>
  <c r="I9" i="1"/>
  <c r="BG8" i="1"/>
  <c r="AQ7" i="1"/>
  <c r="AE7" i="1"/>
  <c r="M7" i="1"/>
  <c r="AQ5" i="1"/>
  <c r="AE5" i="1"/>
  <c r="M5" i="1"/>
  <c r="AQ33" i="1"/>
  <c r="BD29" i="1"/>
  <c r="BM24" i="1"/>
  <c r="AE23" i="1"/>
  <c r="BG22" i="1"/>
  <c r="BM21" i="1"/>
  <c r="AE21" i="1"/>
  <c r="BG18" i="1"/>
  <c r="AU18" i="1"/>
  <c r="BP16" i="1"/>
  <c r="AU16" i="1"/>
  <c r="AI16" i="1"/>
  <c r="I16" i="1"/>
  <c r="BM15" i="1"/>
  <c r="BP13" i="1"/>
  <c r="BJ13" i="1"/>
  <c r="BD13" i="1"/>
  <c r="AF13" i="1"/>
  <c r="BD12" i="1"/>
  <c r="AF11" i="1"/>
  <c r="O11" i="1"/>
  <c r="AU10" i="1"/>
  <c r="AM10" i="1"/>
  <c r="L10" i="1"/>
  <c r="AM8" i="1"/>
  <c r="O8" i="1"/>
  <c r="I8" i="1"/>
  <c r="R7" i="1"/>
  <c r="L7" i="1"/>
  <c r="AM6" i="1"/>
  <c r="O6" i="1"/>
  <c r="I6" i="1"/>
  <c r="R5" i="1"/>
  <c r="L5" i="1"/>
  <c r="BJ34" i="1"/>
  <c r="AQ34" i="1"/>
  <c r="AQ26" i="1"/>
  <c r="L25" i="1"/>
  <c r="BM19" i="1"/>
  <c r="AI19" i="1"/>
  <c r="R17" i="1"/>
  <c r="BD16" i="1"/>
  <c r="AF16" i="1"/>
  <c r="AF15" i="1"/>
  <c r="M15" i="1"/>
  <c r="R14" i="1"/>
  <c r="AM13" i="1"/>
  <c r="AE13" i="1"/>
  <c r="M13" i="1"/>
  <c r="BJ12" i="1"/>
  <c r="AU12" i="1"/>
  <c r="L12" i="1"/>
  <c r="BP11" i="1"/>
  <c r="BJ11" i="1"/>
  <c r="BD11" i="1"/>
  <c r="AM11" i="1"/>
  <c r="AE11" i="1"/>
  <c r="BP9" i="1"/>
  <c r="BJ9" i="1"/>
  <c r="BD9" i="1"/>
  <c r="AF9" i="1"/>
  <c r="AF8" i="1"/>
  <c r="BM7" i="1"/>
  <c r="BG7" i="1"/>
  <c r="AU7" i="1"/>
  <c r="AI7" i="1"/>
  <c r="BP6" i="1"/>
  <c r="BJ6" i="1"/>
  <c r="BD6" i="1"/>
  <c r="AF6" i="1"/>
  <c r="BM5" i="1"/>
  <c r="BG5" i="1"/>
  <c r="AU5" i="1"/>
  <c r="AI5" i="1"/>
  <c r="BJ32" i="1"/>
  <c r="AQ31" i="1"/>
  <c r="M28" i="1"/>
  <c r="I27" i="1"/>
  <c r="BG25" i="1"/>
  <c r="BJ23" i="1"/>
  <c r="BP22" i="1"/>
  <c r="AI22" i="1"/>
  <c r="I22" i="1"/>
  <c r="BP20" i="1"/>
  <c r="AI20" i="1"/>
  <c r="I20" i="1"/>
  <c r="AF19" i="1"/>
  <c r="BD18" i="1"/>
  <c r="AI17" i="1"/>
  <c r="AQ15" i="1"/>
  <c r="AE15" i="1"/>
  <c r="BG14" i="1"/>
  <c r="I14" i="1"/>
  <c r="AU13" i="1"/>
  <c r="L13" i="1"/>
  <c r="BP12" i="1"/>
  <c r="AU11" i="1"/>
  <c r="M11" i="1"/>
  <c r="R10" i="1"/>
  <c r="AM9" i="1"/>
  <c r="AE9" i="1"/>
  <c r="M9" i="1"/>
  <c r="BJ8" i="1"/>
  <c r="BD8" i="1"/>
  <c r="AQ8" i="1"/>
  <c r="AE8" i="1"/>
  <c r="M8" i="1"/>
  <c r="AQ6" i="1"/>
  <c r="AE6" i="1"/>
  <c r="M6" i="1"/>
  <c r="M34" i="1"/>
  <c r="AF32" i="1"/>
  <c r="BM30" i="1"/>
  <c r="AE26" i="1"/>
  <c r="AE25" i="1"/>
  <c r="BG24" i="1"/>
  <c r="O24" i="1"/>
  <c r="L19" i="1"/>
  <c r="AM18" i="1"/>
  <c r="BG17" i="1"/>
  <c r="AE17" i="1"/>
  <c r="M17" i="1"/>
  <c r="BP15" i="1"/>
  <c r="AM15" i="1"/>
  <c r="R15" i="1"/>
  <c r="I15" i="1"/>
  <c r="BM14" i="1"/>
  <c r="BM13" i="1"/>
  <c r="BG13" i="1"/>
  <c r="AI12" i="1"/>
  <c r="R12" i="1"/>
  <c r="I12" i="1"/>
  <c r="BG10" i="1"/>
  <c r="I10" i="1"/>
  <c r="AU9" i="1"/>
  <c r="L9" i="1"/>
  <c r="BP8" i="1"/>
  <c r="R8" i="1"/>
  <c r="L8" i="1"/>
  <c r="AM7" i="1"/>
  <c r="O7" i="1"/>
  <c r="I7" i="1"/>
  <c r="R6" i="1"/>
  <c r="L6" i="1"/>
  <c r="AM5" i="1"/>
  <c r="O5" i="1"/>
  <c r="I5" i="1"/>
  <c r="AE32" i="1"/>
  <c r="AF30" i="1"/>
  <c r="BG27" i="1"/>
  <c r="AI27" i="1"/>
  <c r="BD26" i="1"/>
  <c r="M23" i="1"/>
  <c r="BD21" i="1"/>
  <c r="M21" i="1"/>
  <c r="BG19" i="1"/>
  <c r="AQ19" i="1"/>
  <c r="BJ18" i="1"/>
  <c r="AM16" i="1"/>
  <c r="BG15" i="1"/>
  <c r="AF14" i="1"/>
  <c r="O14" i="1"/>
  <c r="AQ13" i="1"/>
  <c r="AI13" i="1"/>
  <c r="R13" i="1"/>
  <c r="I13" i="1"/>
  <c r="BM11" i="1"/>
  <c r="BG11" i="1"/>
  <c r="R11" i="1"/>
  <c r="I11" i="1"/>
  <c r="BM10" i="1"/>
  <c r="BM9" i="1"/>
  <c r="BG9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AF48" i="1" l="1"/>
  <c r="AG5" i="1"/>
  <c r="AH5" i="1" s="1"/>
  <c r="BD48" i="1"/>
  <c r="BE5" i="1"/>
  <c r="BJ48" i="1"/>
  <c r="BK48" i="1" s="1"/>
  <c r="BK5" i="1"/>
  <c r="BP48" i="1"/>
  <c r="BQ5" i="1"/>
  <c r="BH6" i="1"/>
  <c r="BN6" i="1"/>
  <c r="AG7" i="1"/>
  <c r="AH7" i="1" s="1"/>
  <c r="BE7" i="1"/>
  <c r="BK7" i="1"/>
  <c r="BQ7" i="1"/>
  <c r="BH9" i="1"/>
  <c r="BN9" i="1"/>
  <c r="BN10" i="1"/>
  <c r="J11" i="1"/>
  <c r="U11" i="1"/>
  <c r="AC11" i="1"/>
  <c r="K11" i="1"/>
  <c r="AJ11" i="1"/>
  <c r="AK11" i="1" s="1"/>
  <c r="AL11" i="1" s="1"/>
  <c r="AV11" i="1"/>
  <c r="AW11" i="1" s="1"/>
  <c r="AX11" i="1" s="1"/>
  <c r="Z11" i="1"/>
  <c r="S11" i="1"/>
  <c r="AD11" i="1"/>
  <c r="T11" i="1"/>
  <c r="BH11" i="1"/>
  <c r="BN11" i="1"/>
  <c r="J13" i="1"/>
  <c r="U13" i="1"/>
  <c r="AC13" i="1"/>
  <c r="AJ13" i="1"/>
  <c r="AK13" i="1" s="1"/>
  <c r="AL13" i="1" s="1"/>
  <c r="K13" i="1"/>
  <c r="AV13" i="1"/>
  <c r="AW13" i="1" s="1"/>
  <c r="AX13" i="1" s="1"/>
  <c r="T13" i="1"/>
  <c r="S13" i="1"/>
  <c r="Z13" i="1"/>
  <c r="P14" i="1"/>
  <c r="AG14" i="1"/>
  <c r="AH14" i="1" s="1"/>
  <c r="BH15" i="1"/>
  <c r="BK18" i="1"/>
  <c r="BH19" i="1"/>
  <c r="AR21" i="1"/>
  <c r="AS21" i="1" s="1"/>
  <c r="AT21" i="1" s="1"/>
  <c r="Q21" i="1"/>
  <c r="X21" i="1"/>
  <c r="Y21" i="1" s="1"/>
  <c r="N21" i="1"/>
  <c r="BE21" i="1"/>
  <c r="AR23" i="1"/>
  <c r="AS23" i="1" s="1"/>
  <c r="AT23" i="1" s="1"/>
  <c r="Q23" i="1"/>
  <c r="X23" i="1"/>
  <c r="Y23" i="1" s="1"/>
  <c r="N23" i="1"/>
  <c r="BE26" i="1"/>
  <c r="BH27" i="1"/>
  <c r="AG30" i="1"/>
  <c r="AH30" i="1" s="1"/>
  <c r="I48" i="1"/>
  <c r="AJ5" i="1"/>
  <c r="AC5" i="1"/>
  <c r="K5" i="1"/>
  <c r="J5" i="1"/>
  <c r="U5" i="1"/>
  <c r="O48" i="1"/>
  <c r="P48" i="1" s="1"/>
  <c r="P5" i="1"/>
  <c r="AM48" i="1"/>
  <c r="Z6" i="1"/>
  <c r="T6" i="1"/>
  <c r="S6" i="1"/>
  <c r="AV6" i="1"/>
  <c r="AW6" i="1" s="1"/>
  <c r="AX6" i="1" s="1"/>
  <c r="AD6" i="1"/>
  <c r="AJ7" i="1"/>
  <c r="AK7" i="1" s="1"/>
  <c r="AL7" i="1" s="1"/>
  <c r="AC7" i="1"/>
  <c r="K7" i="1"/>
  <c r="J7" i="1"/>
  <c r="U7" i="1"/>
  <c r="P7" i="1"/>
  <c r="Z8" i="1"/>
  <c r="T8" i="1"/>
  <c r="S8" i="1"/>
  <c r="AV8" i="1"/>
  <c r="AW8" i="1" s="1"/>
  <c r="AX8" i="1" s="1"/>
  <c r="AD8" i="1"/>
  <c r="BQ8" i="1"/>
  <c r="U10" i="1"/>
  <c r="AC10" i="1"/>
  <c r="K10" i="1"/>
  <c r="AJ10" i="1"/>
  <c r="AK10" i="1" s="1"/>
  <c r="AL10" i="1" s="1"/>
  <c r="J10" i="1"/>
  <c r="BH10" i="1"/>
  <c r="J12" i="1"/>
  <c r="AC12" i="1"/>
  <c r="U12" i="1"/>
  <c r="AJ12" i="1"/>
  <c r="AK12" i="1" s="1"/>
  <c r="AL12" i="1" s="1"/>
  <c r="K12" i="1"/>
  <c r="S12" i="1"/>
  <c r="AV12" i="1"/>
  <c r="AW12" i="1" s="1"/>
  <c r="AX12" i="1" s="1"/>
  <c r="T12" i="1"/>
  <c r="Z12" i="1"/>
  <c r="BH13" i="1"/>
  <c r="BN13" i="1"/>
  <c r="BN14" i="1"/>
  <c r="J15" i="1"/>
  <c r="AJ15" i="1"/>
  <c r="AK15" i="1" s="1"/>
  <c r="AL15" i="1" s="1"/>
  <c r="U15" i="1"/>
  <c r="K15" i="1"/>
  <c r="AC15" i="1"/>
  <c r="T15" i="1"/>
  <c r="AV15" i="1"/>
  <c r="AW15" i="1" s="1"/>
  <c r="AX15" i="1" s="1"/>
  <c r="Z15" i="1"/>
  <c r="S15" i="1"/>
  <c r="BQ15" i="1"/>
  <c r="X17" i="1"/>
  <c r="Y17" i="1" s="1"/>
  <c r="N17" i="1"/>
  <c r="Q17" i="1"/>
  <c r="AR17" i="1"/>
  <c r="AS17" i="1" s="1"/>
  <c r="AT17" i="1" s="1"/>
  <c r="BH17" i="1"/>
  <c r="P24" i="1"/>
  <c r="BH24" i="1"/>
  <c r="BN30" i="1"/>
  <c r="AG32" i="1"/>
  <c r="AH32" i="1" s="1"/>
  <c r="X34" i="1"/>
  <c r="Y34" i="1" s="1"/>
  <c r="AR34" i="1"/>
  <c r="AS34" i="1" s="1"/>
  <c r="AT34" i="1" s="1"/>
  <c r="Q34" i="1"/>
  <c r="N34" i="1"/>
  <c r="AR6" i="1"/>
  <c r="AS6" i="1" s="1"/>
  <c r="AT6" i="1" s="1"/>
  <c r="N6" i="1"/>
  <c r="X6" i="1"/>
  <c r="Y6" i="1" s="1"/>
  <c r="Q6" i="1"/>
  <c r="AR8" i="1"/>
  <c r="AS8" i="1" s="1"/>
  <c r="AT8" i="1" s="1"/>
  <c r="N8" i="1"/>
  <c r="X8" i="1"/>
  <c r="Y8" i="1" s="1"/>
  <c r="Q8" i="1"/>
  <c r="BE8" i="1"/>
  <c r="BK8" i="1"/>
  <c r="AR9" i="1"/>
  <c r="AS9" i="1" s="1"/>
  <c r="AT9" i="1" s="1"/>
  <c r="Q9" i="1"/>
  <c r="X9" i="1"/>
  <c r="Y9" i="1" s="1"/>
  <c r="N9" i="1"/>
  <c r="S10" i="1"/>
  <c r="AV10" i="1"/>
  <c r="AW10" i="1" s="1"/>
  <c r="AX10" i="1" s="1"/>
  <c r="T10" i="1"/>
  <c r="Z10" i="1"/>
  <c r="Q11" i="1"/>
  <c r="X11" i="1"/>
  <c r="Y11" i="1" s="1"/>
  <c r="N11" i="1"/>
  <c r="AR11" i="1"/>
  <c r="AS11" i="1" s="1"/>
  <c r="AT11" i="1" s="1"/>
  <c r="BQ12" i="1"/>
  <c r="U14" i="1"/>
  <c r="AC14" i="1"/>
  <c r="K14" i="1"/>
  <c r="AJ14" i="1"/>
  <c r="AK14" i="1" s="1"/>
  <c r="AL14" i="1" s="1"/>
  <c r="J14" i="1"/>
  <c r="BH14" i="1"/>
  <c r="BE18" i="1"/>
  <c r="AG19" i="1"/>
  <c r="AH19" i="1" s="1"/>
  <c r="AJ20" i="1"/>
  <c r="AK20" i="1" s="1"/>
  <c r="AL20" i="1" s="1"/>
  <c r="AC20" i="1"/>
  <c r="U20" i="1"/>
  <c r="K20" i="1"/>
  <c r="J20" i="1"/>
  <c r="BQ20" i="1"/>
  <c r="AJ22" i="1"/>
  <c r="AK22" i="1" s="1"/>
  <c r="AL22" i="1" s="1"/>
  <c r="AC22" i="1"/>
  <c r="U22" i="1"/>
  <c r="K22" i="1"/>
  <c r="J22" i="1"/>
  <c r="BQ22" i="1"/>
  <c r="BK23" i="1"/>
  <c r="BH25" i="1"/>
  <c r="AC27" i="1"/>
  <c r="U27" i="1"/>
  <c r="K27" i="1"/>
  <c r="J27" i="1"/>
  <c r="AJ27" i="1"/>
  <c r="AK27" i="1" s="1"/>
  <c r="AL27" i="1" s="1"/>
  <c r="X28" i="1"/>
  <c r="Y28" i="1" s="1"/>
  <c r="Q28" i="1"/>
  <c r="N28" i="1"/>
  <c r="AR28" i="1"/>
  <c r="AS28" i="1" s="1"/>
  <c r="AT28" i="1" s="1"/>
  <c r="BK32" i="1"/>
  <c r="AI48" i="1"/>
  <c r="AU48" i="1"/>
  <c r="BG48" i="1"/>
  <c r="BH5" i="1"/>
  <c r="BM48" i="1"/>
  <c r="BN48" i="1" s="1"/>
  <c r="BN5" i="1"/>
  <c r="AG6" i="1"/>
  <c r="AH6" i="1" s="1"/>
  <c r="BE6" i="1"/>
  <c r="BK6" i="1"/>
  <c r="BQ6" i="1"/>
  <c r="BH7" i="1"/>
  <c r="BN7" i="1"/>
  <c r="AG8" i="1"/>
  <c r="AH8" i="1" s="1"/>
  <c r="AG9" i="1"/>
  <c r="AH9" i="1" s="1"/>
  <c r="BE9" i="1"/>
  <c r="BK9" i="1"/>
  <c r="BQ9" i="1"/>
  <c r="BE11" i="1"/>
  <c r="BK11" i="1"/>
  <c r="BQ11" i="1"/>
  <c r="BK12" i="1"/>
  <c r="AR13" i="1"/>
  <c r="AS13" i="1" s="1"/>
  <c r="AT13" i="1" s="1"/>
  <c r="Q13" i="1"/>
  <c r="X13" i="1"/>
  <c r="Y13" i="1" s="1"/>
  <c r="N13" i="1"/>
  <c r="S14" i="1"/>
  <c r="T14" i="1"/>
  <c r="Z14" i="1"/>
  <c r="AV14" i="1"/>
  <c r="AW14" i="1" s="1"/>
  <c r="AX14" i="1" s="1"/>
  <c r="X15" i="1"/>
  <c r="Y15" i="1" s="1"/>
  <c r="N15" i="1"/>
  <c r="AR15" i="1"/>
  <c r="AS15" i="1" s="1"/>
  <c r="AT15" i="1" s="1"/>
  <c r="Q15" i="1"/>
  <c r="AG15" i="1"/>
  <c r="AH15" i="1" s="1"/>
  <c r="AG16" i="1"/>
  <c r="AH16" i="1" s="1"/>
  <c r="BE16" i="1"/>
  <c r="AV17" i="1"/>
  <c r="AW17" i="1" s="1"/>
  <c r="AX17" i="1" s="1"/>
  <c r="T17" i="1"/>
  <c r="S17" i="1"/>
  <c r="Z17" i="1"/>
  <c r="BN19" i="1"/>
  <c r="BK34" i="1"/>
  <c r="L48" i="1"/>
  <c r="R48" i="1"/>
  <c r="S5" i="1"/>
  <c r="AV5" i="1"/>
  <c r="Z5" i="1"/>
  <c r="T5" i="1"/>
  <c r="J6" i="1"/>
  <c r="U6" i="1"/>
  <c r="AJ6" i="1"/>
  <c r="AK6" i="1" s="1"/>
  <c r="AL6" i="1" s="1"/>
  <c r="AC6" i="1"/>
  <c r="K6" i="1"/>
  <c r="P6" i="1"/>
  <c r="S7" i="1"/>
  <c r="AV7" i="1"/>
  <c r="AW7" i="1" s="1"/>
  <c r="AX7" i="1" s="1"/>
  <c r="Z7" i="1"/>
  <c r="T7" i="1"/>
  <c r="J8" i="1"/>
  <c r="U8" i="1"/>
  <c r="AJ8" i="1"/>
  <c r="AK8" i="1" s="1"/>
  <c r="AL8" i="1" s="1"/>
  <c r="AC8" i="1"/>
  <c r="K8" i="1"/>
  <c r="P8" i="1"/>
  <c r="P11" i="1"/>
  <c r="AG11" i="1"/>
  <c r="AH11" i="1" s="1"/>
  <c r="BE12" i="1"/>
  <c r="AG13" i="1"/>
  <c r="AH13" i="1" s="1"/>
  <c r="BE13" i="1"/>
  <c r="BK13" i="1"/>
  <c r="BQ13" i="1"/>
  <c r="BN15" i="1"/>
  <c r="AJ16" i="1"/>
  <c r="AK16" i="1" s="1"/>
  <c r="AL16" i="1" s="1"/>
  <c r="J16" i="1"/>
  <c r="U16" i="1"/>
  <c r="AC16" i="1"/>
  <c r="K16" i="1"/>
  <c r="BQ16" i="1"/>
  <c r="BH18" i="1"/>
  <c r="BN21" i="1"/>
  <c r="BH22" i="1"/>
  <c r="BN24" i="1"/>
  <c r="BE29" i="1"/>
  <c r="M48" i="1"/>
  <c r="X5" i="1"/>
  <c r="Q5" i="1"/>
  <c r="AR5" i="1"/>
  <c r="N5" i="1"/>
  <c r="AE48" i="1"/>
  <c r="AQ48" i="1"/>
  <c r="X7" i="1"/>
  <c r="Y7" i="1" s="1"/>
  <c r="Q7" i="1"/>
  <c r="AR7" i="1"/>
  <c r="AS7" i="1" s="1"/>
  <c r="AT7" i="1" s="1"/>
  <c r="N7" i="1"/>
  <c r="BH8" i="1"/>
  <c r="J9" i="1"/>
  <c r="U9" i="1"/>
  <c r="AC9" i="1"/>
  <c r="AJ9" i="1"/>
  <c r="AK9" i="1" s="1"/>
  <c r="AL9" i="1" s="1"/>
  <c r="K9" i="1"/>
  <c r="Z9" i="1"/>
  <c r="AV9" i="1"/>
  <c r="AW9" i="1" s="1"/>
  <c r="AX9" i="1" s="1"/>
  <c r="T9" i="1"/>
  <c r="S9" i="1"/>
  <c r="P10" i="1"/>
  <c r="AG10" i="1"/>
  <c r="AH10" i="1" s="1"/>
  <c r="P12" i="1"/>
  <c r="P15" i="1"/>
  <c r="BE17" i="1"/>
  <c r="BK20" i="1"/>
  <c r="AG21" i="1"/>
  <c r="AH21" i="1" s="1"/>
  <c r="BE23" i="1"/>
  <c r="P26" i="1"/>
  <c r="BN8" i="1"/>
  <c r="P9" i="1"/>
  <c r="BE10" i="1"/>
  <c r="BK10" i="1"/>
  <c r="BQ10" i="1"/>
  <c r="AG12" i="1"/>
  <c r="AH12" i="1" s="1"/>
  <c r="BH12" i="1"/>
  <c r="BN12" i="1"/>
  <c r="P13" i="1"/>
  <c r="BE14" i="1"/>
  <c r="BK14" i="1"/>
  <c r="BQ14" i="1"/>
  <c r="BK15" i="1"/>
  <c r="P16" i="1"/>
  <c r="BN16" i="1"/>
  <c r="BQ17" i="1"/>
  <c r="AG18" i="1"/>
  <c r="AH18" i="1" s="1"/>
  <c r="S19" i="1"/>
  <c r="Z19" i="1"/>
  <c r="T19" i="1"/>
  <c r="AV19" i="1"/>
  <c r="AW19" i="1" s="1"/>
  <c r="AX19" i="1" s="1"/>
  <c r="AD19" i="1"/>
  <c r="BE20" i="1"/>
  <c r="BH21" i="1"/>
  <c r="BK22" i="1"/>
  <c r="AG23" i="1"/>
  <c r="AH23" i="1" s="1"/>
  <c r="BN23" i="1"/>
  <c r="AJ24" i="1"/>
  <c r="AK24" i="1" s="1"/>
  <c r="AL24" i="1" s="1"/>
  <c r="AC24" i="1"/>
  <c r="U24" i="1"/>
  <c r="K24" i="1"/>
  <c r="J24" i="1"/>
  <c r="BQ24" i="1"/>
  <c r="AR25" i="1"/>
  <c r="AS25" i="1" s="1"/>
  <c r="AT25" i="1" s="1"/>
  <c r="Q25" i="1"/>
  <c r="X25" i="1"/>
  <c r="Y25" i="1" s="1"/>
  <c r="N25" i="1"/>
  <c r="AG26" i="1"/>
  <c r="AH26" i="1" s="1"/>
  <c r="P27" i="1"/>
  <c r="BK28" i="1"/>
  <c r="AJ29" i="1"/>
  <c r="AK29" i="1" s="1"/>
  <c r="AL29" i="1" s="1"/>
  <c r="J29" i="1"/>
  <c r="K29" i="1"/>
  <c r="U29" i="1"/>
  <c r="BE15" i="1"/>
  <c r="BH16" i="1"/>
  <c r="BK17" i="1"/>
  <c r="P18" i="1"/>
  <c r="BN18" i="1"/>
  <c r="BQ19" i="1"/>
  <c r="AG20" i="1"/>
  <c r="AH20" i="1" s="1"/>
  <c r="AV21" i="1"/>
  <c r="AW21" i="1" s="1"/>
  <c r="AX21" i="1" s="1"/>
  <c r="AD21" i="1"/>
  <c r="T21" i="1"/>
  <c r="S21" i="1"/>
  <c r="Z21" i="1"/>
  <c r="BE22" i="1"/>
  <c r="BH23" i="1"/>
  <c r="BK24" i="1"/>
  <c r="X29" i="1"/>
  <c r="Y29" i="1" s="1"/>
  <c r="Q29" i="1"/>
  <c r="AR29" i="1"/>
  <c r="AS29" i="1" s="1"/>
  <c r="AT29" i="1" s="1"/>
  <c r="N29" i="1"/>
  <c r="AV32" i="1"/>
  <c r="AW32" i="1" s="1"/>
  <c r="AX32" i="1" s="1"/>
  <c r="Z32" i="1"/>
  <c r="S32" i="1"/>
  <c r="T32" i="1"/>
  <c r="J36" i="1"/>
  <c r="U36" i="1"/>
  <c r="AJ36" i="1"/>
  <c r="AK36" i="1" s="1"/>
  <c r="AL36" i="1" s="1"/>
  <c r="K36" i="1"/>
  <c r="AC36" i="1"/>
  <c r="BK19" i="1"/>
  <c r="P20" i="1"/>
  <c r="BN20" i="1"/>
  <c r="BQ21" i="1"/>
  <c r="AG22" i="1"/>
  <c r="AH22" i="1" s="1"/>
  <c r="S23" i="1"/>
  <c r="Z23" i="1"/>
  <c r="AD23" i="1"/>
  <c r="AV23" i="1"/>
  <c r="AW23" i="1" s="1"/>
  <c r="AX23" i="1" s="1"/>
  <c r="T23" i="1"/>
  <c r="BE24" i="1"/>
  <c r="BN27" i="1"/>
  <c r="U28" i="1"/>
  <c r="J28" i="1"/>
  <c r="K28" i="1"/>
  <c r="AC28" i="1"/>
  <c r="AJ28" i="1"/>
  <c r="AK28" i="1" s="1"/>
  <c r="AL28" i="1" s="1"/>
  <c r="BN28" i="1"/>
  <c r="BN31" i="1"/>
  <c r="BH32" i="1"/>
  <c r="BQ34" i="1"/>
  <c r="BK35" i="1"/>
  <c r="BK16" i="1"/>
  <c r="AG17" i="1"/>
  <c r="AH17" i="1" s="1"/>
  <c r="BN17" i="1"/>
  <c r="AJ18" i="1"/>
  <c r="AK18" i="1" s="1"/>
  <c r="AL18" i="1" s="1"/>
  <c r="AC18" i="1"/>
  <c r="K18" i="1"/>
  <c r="J18" i="1"/>
  <c r="U18" i="1"/>
  <c r="BQ18" i="1"/>
  <c r="AR19" i="1"/>
  <c r="AS19" i="1" s="1"/>
  <c r="AT19" i="1" s="1"/>
  <c r="X19" i="1"/>
  <c r="Y19" i="1" s="1"/>
  <c r="Q19" i="1"/>
  <c r="N19" i="1"/>
  <c r="BE19" i="1"/>
  <c r="BH20" i="1"/>
  <c r="BK21" i="1"/>
  <c r="P22" i="1"/>
  <c r="BN22" i="1"/>
  <c r="BQ23" i="1"/>
  <c r="AG24" i="1"/>
  <c r="AH24" i="1" s="1"/>
  <c r="Z25" i="1"/>
  <c r="AV25" i="1"/>
  <c r="AW25" i="1" s="1"/>
  <c r="AX25" i="1" s="1"/>
  <c r="T25" i="1"/>
  <c r="S25" i="1"/>
  <c r="AD25" i="1"/>
  <c r="Q26" i="1"/>
  <c r="AR26" i="1"/>
  <c r="AS26" i="1" s="1"/>
  <c r="AT26" i="1" s="1"/>
  <c r="X26" i="1"/>
  <c r="Y26" i="1" s="1"/>
  <c r="N26" i="1"/>
  <c r="S27" i="1"/>
  <c r="Z27" i="1"/>
  <c r="T27" i="1"/>
  <c r="AV27" i="1"/>
  <c r="AW27" i="1" s="1"/>
  <c r="AX27" i="1" s="1"/>
  <c r="AD27" i="1"/>
  <c r="BE28" i="1"/>
  <c r="BK30" i="1"/>
  <c r="AJ31" i="1"/>
  <c r="AK31" i="1" s="1"/>
  <c r="AL31" i="1" s="1"/>
  <c r="J31" i="1"/>
  <c r="U31" i="1"/>
  <c r="AC31" i="1"/>
  <c r="K31" i="1"/>
  <c r="BH34" i="1"/>
  <c r="N10" i="1"/>
  <c r="AR10" i="1"/>
  <c r="AS10" i="1" s="1"/>
  <c r="AT10" i="1" s="1"/>
  <c r="Q10" i="1"/>
  <c r="X10" i="1"/>
  <c r="Y10" i="1" s="1"/>
  <c r="X12" i="1"/>
  <c r="Y12" i="1" s="1"/>
  <c r="Q12" i="1"/>
  <c r="N12" i="1"/>
  <c r="AR12" i="1"/>
  <c r="AS12" i="1" s="1"/>
  <c r="AT12" i="1" s="1"/>
  <c r="N14" i="1"/>
  <c r="AR14" i="1"/>
  <c r="AS14" i="1" s="1"/>
  <c r="AT14" i="1" s="1"/>
  <c r="Q14" i="1"/>
  <c r="X14" i="1"/>
  <c r="Y14" i="1" s="1"/>
  <c r="X16" i="1"/>
  <c r="Y16" i="1" s="1"/>
  <c r="AR16" i="1"/>
  <c r="AS16" i="1" s="1"/>
  <c r="AT16" i="1" s="1"/>
  <c r="Q16" i="1"/>
  <c r="N16" i="1"/>
  <c r="X18" i="1"/>
  <c r="Y18" i="1" s="1"/>
  <c r="Q18" i="1"/>
  <c r="N18" i="1"/>
  <c r="AR18" i="1"/>
  <c r="AS18" i="1" s="1"/>
  <c r="AT18" i="1" s="1"/>
  <c r="X20" i="1"/>
  <c r="Y20" i="1" s="1"/>
  <c r="AR20" i="1"/>
  <c r="AS20" i="1" s="1"/>
  <c r="AT20" i="1" s="1"/>
  <c r="N20" i="1"/>
  <c r="Q20" i="1"/>
  <c r="X22" i="1"/>
  <c r="Y22" i="1" s="1"/>
  <c r="N22" i="1"/>
  <c r="Q22" i="1"/>
  <c r="AR22" i="1"/>
  <c r="AS22" i="1" s="1"/>
  <c r="AT22" i="1" s="1"/>
  <c r="X24" i="1"/>
  <c r="Y24" i="1" s="1"/>
  <c r="N24" i="1"/>
  <c r="Q24" i="1"/>
  <c r="AR24" i="1"/>
  <c r="AS24" i="1" s="1"/>
  <c r="AT24" i="1" s="1"/>
  <c r="BN25" i="1"/>
  <c r="J26" i="1"/>
  <c r="K26" i="1"/>
  <c r="AJ26" i="1"/>
  <c r="AK26" i="1" s="1"/>
  <c r="AL26" i="1" s="1"/>
  <c r="U26" i="1"/>
  <c r="BK26" i="1"/>
  <c r="X30" i="1"/>
  <c r="Y30" i="1" s="1"/>
  <c r="Q30" i="1"/>
  <c r="AR30" i="1"/>
  <c r="AS30" i="1" s="1"/>
  <c r="AT30" i="1" s="1"/>
  <c r="N30" i="1"/>
  <c r="BQ33" i="1"/>
  <c r="BN36" i="1"/>
  <c r="BE37" i="1"/>
  <c r="BQ37" i="1"/>
  <c r="Q39" i="1"/>
  <c r="N39" i="1"/>
  <c r="AR39" i="1"/>
  <c r="AS39" i="1" s="1"/>
  <c r="AT39" i="1" s="1"/>
  <c r="X39" i="1"/>
  <c r="Y39" i="1" s="1"/>
  <c r="BE39" i="1"/>
  <c r="AG43" i="1"/>
  <c r="AH43" i="1" s="1"/>
  <c r="BE40" i="1"/>
  <c r="X44" i="1"/>
  <c r="Y44" i="1" s="1"/>
  <c r="N44" i="1"/>
  <c r="Q44" i="1"/>
  <c r="AR44" i="1"/>
  <c r="AS44" i="1" s="1"/>
  <c r="AT44" i="1" s="1"/>
  <c r="BQ44" i="1"/>
  <c r="AJ40" i="1"/>
  <c r="AK40" i="1" s="1"/>
  <c r="AL40" i="1" s="1"/>
  <c r="J40" i="1"/>
  <c r="K40" i="1"/>
  <c r="AC40" i="1"/>
  <c r="U40" i="1"/>
  <c r="BK45" i="1"/>
  <c r="AG35" i="1"/>
  <c r="AH35" i="1" s="1"/>
  <c r="BH36" i="1"/>
  <c r="BN43" i="1"/>
  <c r="Z38" i="1"/>
  <c r="T38" i="1"/>
  <c r="AV38" i="1"/>
  <c r="AW38" i="1" s="1"/>
  <c r="AX38" i="1" s="1"/>
  <c r="S38" i="1"/>
  <c r="AD38" i="1"/>
  <c r="AV16" i="1"/>
  <c r="AW16" i="1" s="1"/>
  <c r="AX16" i="1" s="1"/>
  <c r="S16" i="1"/>
  <c r="Z16" i="1"/>
  <c r="T16" i="1"/>
  <c r="U17" i="1"/>
  <c r="J17" i="1"/>
  <c r="K17" i="1"/>
  <c r="AJ17" i="1"/>
  <c r="AK17" i="1" s="1"/>
  <c r="AL17" i="1" s="1"/>
  <c r="P17" i="1"/>
  <c r="AV18" i="1"/>
  <c r="AW18" i="1" s="1"/>
  <c r="AX18" i="1" s="1"/>
  <c r="S18" i="1"/>
  <c r="Z18" i="1"/>
  <c r="T18" i="1"/>
  <c r="U19" i="1"/>
  <c r="J19" i="1"/>
  <c r="K19" i="1"/>
  <c r="AJ19" i="1"/>
  <c r="AK19" i="1" s="1"/>
  <c r="AL19" i="1" s="1"/>
  <c r="P19" i="1"/>
  <c r="AV20" i="1"/>
  <c r="AW20" i="1" s="1"/>
  <c r="AX20" i="1" s="1"/>
  <c r="S20" i="1"/>
  <c r="Z20" i="1"/>
  <c r="T20" i="1"/>
  <c r="U21" i="1"/>
  <c r="J21" i="1"/>
  <c r="K21" i="1"/>
  <c r="AJ21" i="1"/>
  <c r="AK21" i="1" s="1"/>
  <c r="AL21" i="1" s="1"/>
  <c r="P21" i="1"/>
  <c r="AV22" i="1"/>
  <c r="AW22" i="1" s="1"/>
  <c r="AX22" i="1" s="1"/>
  <c r="S22" i="1"/>
  <c r="T22" i="1"/>
  <c r="Z22" i="1"/>
  <c r="U23" i="1"/>
  <c r="J23" i="1"/>
  <c r="K23" i="1"/>
  <c r="AJ23" i="1"/>
  <c r="AK23" i="1" s="1"/>
  <c r="AL23" i="1" s="1"/>
  <c r="P23" i="1"/>
  <c r="AV24" i="1"/>
  <c r="AW24" i="1" s="1"/>
  <c r="AX24" i="1" s="1"/>
  <c r="S24" i="1"/>
  <c r="T24" i="1"/>
  <c r="Z24" i="1"/>
  <c r="U25" i="1"/>
  <c r="AJ25" i="1"/>
  <c r="AK25" i="1" s="1"/>
  <c r="AL25" i="1" s="1"/>
  <c r="J25" i="1"/>
  <c r="K25" i="1"/>
  <c r="P25" i="1"/>
  <c r="Z26" i="1"/>
  <c r="S26" i="1"/>
  <c r="AV26" i="1"/>
  <c r="AW26" i="1" s="1"/>
  <c r="AX26" i="1" s="1"/>
  <c r="T26" i="1"/>
  <c r="AD26" i="1"/>
  <c r="BQ26" i="1"/>
  <c r="BQ28" i="1"/>
  <c r="P29" i="1"/>
  <c r="BK29" i="1"/>
  <c r="BE30" i="1"/>
  <c r="BK31" i="1"/>
  <c r="Q37" i="1"/>
  <c r="AR37" i="1"/>
  <c r="AS37" i="1" s="1"/>
  <c r="AT37" i="1" s="1"/>
  <c r="X37" i="1"/>
  <c r="Y37" i="1" s="1"/>
  <c r="N37" i="1"/>
  <c r="K39" i="1"/>
  <c r="AJ39" i="1"/>
  <c r="AK39" i="1" s="1"/>
  <c r="AL39" i="1" s="1"/>
  <c r="U39" i="1"/>
  <c r="J39" i="1"/>
  <c r="BE43" i="1"/>
  <c r="AG25" i="1"/>
  <c r="AH25" i="1" s="1"/>
  <c r="BE25" i="1"/>
  <c r="BK25" i="1"/>
  <c r="BQ25" i="1"/>
  <c r="BH26" i="1"/>
  <c r="BN26" i="1"/>
  <c r="AG27" i="1"/>
  <c r="AH27" i="1" s="1"/>
  <c r="BE27" i="1"/>
  <c r="BK27" i="1"/>
  <c r="BQ27" i="1"/>
  <c r="S28" i="1"/>
  <c r="Z28" i="1"/>
  <c r="T28" i="1"/>
  <c r="AD28" i="1"/>
  <c r="AV28" i="1"/>
  <c r="AW28" i="1" s="1"/>
  <c r="AX28" i="1" s="1"/>
  <c r="AG28" i="1"/>
  <c r="AH28" i="1" s="1"/>
  <c r="AV30" i="1"/>
  <c r="AW30" i="1" s="1"/>
  <c r="AX30" i="1" s="1"/>
  <c r="Z30" i="1"/>
  <c r="S30" i="1"/>
  <c r="T30" i="1"/>
  <c r="BH31" i="1"/>
  <c r="BN32" i="1"/>
  <c r="BH33" i="1"/>
  <c r="K37" i="1"/>
  <c r="U37" i="1"/>
  <c r="J37" i="1"/>
  <c r="AJ37" i="1"/>
  <c r="AK37" i="1" s="1"/>
  <c r="AL37" i="1" s="1"/>
  <c r="P38" i="1"/>
  <c r="BH44" i="1"/>
  <c r="AR27" i="1"/>
  <c r="AS27" i="1" s="1"/>
  <c r="AT27" i="1" s="1"/>
  <c r="N27" i="1"/>
  <c r="Q27" i="1"/>
  <c r="X27" i="1"/>
  <c r="Y27" i="1" s="1"/>
  <c r="BH28" i="1"/>
  <c r="BH29" i="1"/>
  <c r="P31" i="1"/>
  <c r="N32" i="1"/>
  <c r="X32" i="1"/>
  <c r="Y32" i="1" s="1"/>
  <c r="AR32" i="1"/>
  <c r="AS32" i="1" s="1"/>
  <c r="AT32" i="1" s="1"/>
  <c r="Q32" i="1"/>
  <c r="AJ33" i="1"/>
  <c r="AK33" i="1" s="1"/>
  <c r="AL33" i="1" s="1"/>
  <c r="U33" i="1"/>
  <c r="J33" i="1"/>
  <c r="K33" i="1"/>
  <c r="AG33" i="1"/>
  <c r="AH33" i="1" s="1"/>
  <c r="AG34" i="1"/>
  <c r="AH34" i="1" s="1"/>
  <c r="BE34" i="1"/>
  <c r="BN34" i="1"/>
  <c r="X35" i="1"/>
  <c r="Y35" i="1" s="1"/>
  <c r="AR35" i="1"/>
  <c r="AS35" i="1" s="1"/>
  <c r="AT35" i="1" s="1"/>
  <c r="N35" i="1"/>
  <c r="Q35" i="1"/>
  <c r="BQ35" i="1"/>
  <c r="Z36" i="1"/>
  <c r="T36" i="1"/>
  <c r="S36" i="1"/>
  <c r="AV36" i="1"/>
  <c r="AW36" i="1" s="1"/>
  <c r="AX36" i="1" s="1"/>
  <c r="AD36" i="1"/>
  <c r="BK39" i="1"/>
  <c r="X41" i="1"/>
  <c r="Y41" i="1" s="1"/>
  <c r="AR41" i="1"/>
  <c r="AS41" i="1" s="1"/>
  <c r="AT41" i="1" s="1"/>
  <c r="N41" i="1"/>
  <c r="Q41" i="1"/>
  <c r="BK41" i="1"/>
  <c r="AJ42" i="1"/>
  <c r="AK42" i="1" s="1"/>
  <c r="AL42" i="1" s="1"/>
  <c r="J42" i="1"/>
  <c r="AC42" i="1"/>
  <c r="K42" i="1"/>
  <c r="U42" i="1"/>
  <c r="BK42" i="1"/>
  <c r="AG44" i="1"/>
  <c r="AH44" i="1" s="1"/>
  <c r="AG45" i="1"/>
  <c r="AH45" i="1" s="1"/>
  <c r="BN29" i="1"/>
  <c r="BH30" i="1"/>
  <c r="AG31" i="1"/>
  <c r="AH31" i="1" s="1"/>
  <c r="BQ31" i="1"/>
  <c r="BQ32" i="1"/>
  <c r="X33" i="1"/>
  <c r="Y33" i="1" s="1"/>
  <c r="AR33" i="1"/>
  <c r="AS33" i="1" s="1"/>
  <c r="AT33" i="1" s="1"/>
  <c r="N33" i="1"/>
  <c r="Q33" i="1"/>
  <c r="BK33" i="1"/>
  <c r="AV37" i="1"/>
  <c r="AW37" i="1" s="1"/>
  <c r="AX37" i="1" s="1"/>
  <c r="Z37" i="1"/>
  <c r="S37" i="1"/>
  <c r="T37" i="1"/>
  <c r="AR38" i="1"/>
  <c r="AS38" i="1" s="1"/>
  <c r="AT38" i="1" s="1"/>
  <c r="N38" i="1"/>
  <c r="Q38" i="1"/>
  <c r="X38" i="1"/>
  <c r="Y38" i="1" s="1"/>
  <c r="BN38" i="1"/>
  <c r="X40" i="1"/>
  <c r="Y40" i="1" s="1"/>
  <c r="Q40" i="1"/>
  <c r="N40" i="1"/>
  <c r="AR40" i="1"/>
  <c r="AS40" i="1" s="1"/>
  <c r="AT40" i="1" s="1"/>
  <c r="BH40" i="1"/>
  <c r="AV41" i="1"/>
  <c r="AW41" i="1" s="1"/>
  <c r="AX41" i="1" s="1"/>
  <c r="Z41" i="1"/>
  <c r="S41" i="1"/>
  <c r="T41" i="1"/>
  <c r="BE41" i="1"/>
  <c r="BQ43" i="1"/>
  <c r="X46" i="1"/>
  <c r="Y46" i="1" s="1"/>
  <c r="AR46" i="1"/>
  <c r="AS46" i="1" s="1"/>
  <c r="AT46" i="1" s="1"/>
  <c r="N46" i="1"/>
  <c r="Q46" i="1"/>
  <c r="BH43" i="1"/>
  <c r="BN45" i="1"/>
  <c r="AG29" i="1"/>
  <c r="AH29" i="1" s="1"/>
  <c r="BQ29" i="1"/>
  <c r="BQ30" i="1"/>
  <c r="X31" i="1"/>
  <c r="Y31" i="1" s="1"/>
  <c r="Q31" i="1"/>
  <c r="AR31" i="1"/>
  <c r="AS31" i="1" s="1"/>
  <c r="AT31" i="1" s="1"/>
  <c r="N31" i="1"/>
  <c r="BE31" i="1"/>
  <c r="BE32" i="1"/>
  <c r="P33" i="1"/>
  <c r="BE33" i="1"/>
  <c r="BN33" i="1"/>
  <c r="P36" i="1"/>
  <c r="AG37" i="1"/>
  <c r="AH37" i="1" s="1"/>
  <c r="P39" i="1"/>
  <c r="BQ39" i="1"/>
  <c r="BH41" i="1"/>
  <c r="BQ42" i="1"/>
  <c r="BN44" i="1"/>
  <c r="BE45" i="1"/>
  <c r="AV34" i="1"/>
  <c r="AW34" i="1" s="1"/>
  <c r="AX34" i="1" s="1"/>
  <c r="T34" i="1"/>
  <c r="Z34" i="1"/>
  <c r="S34" i="1"/>
  <c r="U35" i="1"/>
  <c r="J35" i="1"/>
  <c r="AJ35" i="1"/>
  <c r="AK35" i="1" s="1"/>
  <c r="AL35" i="1" s="1"/>
  <c r="K35" i="1"/>
  <c r="P35" i="1"/>
  <c r="BE35" i="1"/>
  <c r="AR36" i="1"/>
  <c r="AS36" i="1" s="1"/>
  <c r="AT36" i="1" s="1"/>
  <c r="N36" i="1"/>
  <c r="X36" i="1"/>
  <c r="Y36" i="1" s="1"/>
  <c r="Q36" i="1"/>
  <c r="P37" i="1"/>
  <c r="AC38" i="1"/>
  <c r="K38" i="1"/>
  <c r="U38" i="1"/>
  <c r="AJ38" i="1"/>
  <c r="AK38" i="1" s="1"/>
  <c r="AL38" i="1" s="1"/>
  <c r="J38" i="1"/>
  <c r="BH38" i="1"/>
  <c r="AV39" i="1"/>
  <c r="AW39" i="1" s="1"/>
  <c r="AX39" i="1" s="1"/>
  <c r="Z39" i="1"/>
  <c r="T39" i="1"/>
  <c r="AD39" i="1"/>
  <c r="S39" i="1"/>
  <c r="AG39" i="1"/>
  <c r="AH39" i="1" s="1"/>
  <c r="P40" i="1"/>
  <c r="BN40" i="1"/>
  <c r="P42" i="1"/>
  <c r="AG42" i="1"/>
  <c r="AH42" i="1" s="1"/>
  <c r="BH42" i="1"/>
  <c r="BE44" i="1"/>
  <c r="X45" i="1"/>
  <c r="Y45" i="1" s="1"/>
  <c r="AR45" i="1"/>
  <c r="AS45" i="1" s="1"/>
  <c r="AT45" i="1" s="1"/>
  <c r="Q45" i="1"/>
  <c r="N45" i="1"/>
  <c r="BN46" i="1"/>
  <c r="P28" i="1"/>
  <c r="AV29" i="1"/>
  <c r="AW29" i="1" s="1"/>
  <c r="AX29" i="1" s="1"/>
  <c r="Z29" i="1"/>
  <c r="S29" i="1"/>
  <c r="T29" i="1"/>
  <c r="U30" i="1"/>
  <c r="J30" i="1"/>
  <c r="K30" i="1"/>
  <c r="AJ30" i="1"/>
  <c r="AK30" i="1" s="1"/>
  <c r="AL30" i="1" s="1"/>
  <c r="P30" i="1"/>
  <c r="AV31" i="1"/>
  <c r="AW31" i="1" s="1"/>
  <c r="AX31" i="1" s="1"/>
  <c r="T31" i="1"/>
  <c r="Z31" i="1"/>
  <c r="S31" i="1"/>
  <c r="U32" i="1"/>
  <c r="AJ32" i="1"/>
  <c r="AK32" i="1" s="1"/>
  <c r="AL32" i="1" s="1"/>
  <c r="J32" i="1"/>
  <c r="K32" i="1"/>
  <c r="P32" i="1"/>
  <c r="AV33" i="1"/>
  <c r="AW33" i="1" s="1"/>
  <c r="AX33" i="1" s="1"/>
  <c r="T33" i="1"/>
  <c r="S33" i="1"/>
  <c r="Z33" i="1"/>
  <c r="U34" i="1"/>
  <c r="AJ34" i="1"/>
  <c r="AK34" i="1" s="1"/>
  <c r="AL34" i="1" s="1"/>
  <c r="K34" i="1"/>
  <c r="J34" i="1"/>
  <c r="P34" i="1"/>
  <c r="S35" i="1"/>
  <c r="Z35" i="1"/>
  <c r="T35" i="1"/>
  <c r="AV35" i="1"/>
  <c r="AW35" i="1" s="1"/>
  <c r="AX35" i="1" s="1"/>
  <c r="BK37" i="1"/>
  <c r="BN39" i="1"/>
  <c r="BK40" i="1"/>
  <c r="AG41" i="1"/>
  <c r="AH41" i="1" s="1"/>
  <c r="BN41" i="1"/>
  <c r="X43" i="1"/>
  <c r="Y43" i="1" s="1"/>
  <c r="AR43" i="1"/>
  <c r="AS43" i="1" s="1"/>
  <c r="AT43" i="1" s="1"/>
  <c r="Q43" i="1"/>
  <c r="N43" i="1"/>
  <c r="BK43" i="1"/>
  <c r="BH45" i="1"/>
  <c r="BQ45" i="1"/>
  <c r="BH46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BH39" i="1"/>
  <c r="AG40" i="1"/>
  <c r="AH40" i="1" s="1"/>
  <c r="BQ40" i="1"/>
  <c r="BQ41" i="1"/>
  <c r="X42" i="1"/>
  <c r="Y42" i="1" s="1"/>
  <c r="N42" i="1"/>
  <c r="AR42" i="1"/>
  <c r="AS42" i="1" s="1"/>
  <c r="AT42" i="1" s="1"/>
  <c r="Q42" i="1"/>
  <c r="BE42" i="1"/>
  <c r="BN42" i="1"/>
  <c r="BK44" i="1"/>
  <c r="AR47" i="1"/>
  <c r="AS47" i="1" s="1"/>
  <c r="AT47" i="1" s="1"/>
  <c r="N47" i="1"/>
  <c r="X47" i="1"/>
  <c r="Y47" i="1" s="1"/>
  <c r="Q47" i="1"/>
  <c r="AG46" i="1"/>
  <c r="AH46" i="1" s="1"/>
  <c r="BE46" i="1"/>
  <c r="BK46" i="1"/>
  <c r="BQ46" i="1"/>
  <c r="BH47" i="1"/>
  <c r="BN47" i="1"/>
  <c r="AV43" i="1"/>
  <c r="AW43" i="1" s="1"/>
  <c r="AX43" i="1" s="1"/>
  <c r="T43" i="1"/>
  <c r="S43" i="1"/>
  <c r="Z43" i="1"/>
  <c r="AJ44" i="1"/>
  <c r="AK44" i="1" s="1"/>
  <c r="AL44" i="1" s="1"/>
  <c r="U44" i="1"/>
  <c r="J44" i="1"/>
  <c r="K44" i="1"/>
  <c r="AC44" i="1"/>
  <c r="P44" i="1"/>
  <c r="AV45" i="1"/>
  <c r="AW45" i="1" s="1"/>
  <c r="AX45" i="1" s="1"/>
  <c r="Z45" i="1"/>
  <c r="S45" i="1"/>
  <c r="T45" i="1"/>
  <c r="AJ46" i="1"/>
  <c r="AK46" i="1" s="1"/>
  <c r="AL46" i="1" s="1"/>
  <c r="U46" i="1"/>
  <c r="J46" i="1"/>
  <c r="K46" i="1"/>
  <c r="P46" i="1"/>
  <c r="Z47" i="1"/>
  <c r="T47" i="1"/>
  <c r="AV47" i="1"/>
  <c r="AW47" i="1" s="1"/>
  <c r="AX47" i="1" s="1"/>
  <c r="S47" i="1"/>
  <c r="AG47" i="1"/>
  <c r="AH47" i="1" s="1"/>
  <c r="BE47" i="1"/>
  <c r="BK47" i="1"/>
  <c r="BQ47" i="1"/>
  <c r="AV40" i="1"/>
  <c r="AW40" i="1" s="1"/>
  <c r="AX40" i="1" s="1"/>
  <c r="T40" i="1"/>
  <c r="Z40" i="1"/>
  <c r="S40" i="1"/>
  <c r="U41" i="1"/>
  <c r="AC41" i="1"/>
  <c r="K41" i="1"/>
  <c r="AJ41" i="1"/>
  <c r="AK41" i="1" s="1"/>
  <c r="AL41" i="1" s="1"/>
  <c r="J41" i="1"/>
  <c r="P41" i="1"/>
  <c r="AV42" i="1"/>
  <c r="AW42" i="1" s="1"/>
  <c r="AX42" i="1" s="1"/>
  <c r="T42" i="1"/>
  <c r="S42" i="1"/>
  <c r="Z42" i="1"/>
  <c r="U43" i="1"/>
  <c r="AJ43" i="1"/>
  <c r="AK43" i="1" s="1"/>
  <c r="AL43" i="1" s="1"/>
  <c r="K43" i="1"/>
  <c r="J43" i="1"/>
  <c r="P43" i="1"/>
  <c r="AV44" i="1"/>
  <c r="AW44" i="1" s="1"/>
  <c r="AX44" i="1" s="1"/>
  <c r="S44" i="1"/>
  <c r="T44" i="1"/>
  <c r="Z44" i="1"/>
  <c r="U45" i="1"/>
  <c r="AJ45" i="1"/>
  <c r="AK45" i="1" s="1"/>
  <c r="AL45" i="1" s="1"/>
  <c r="K45" i="1"/>
  <c r="J45" i="1"/>
  <c r="P45" i="1"/>
  <c r="AV46" i="1"/>
  <c r="AW46" i="1" s="1"/>
  <c r="AX46" i="1" s="1"/>
  <c r="Z46" i="1"/>
  <c r="T46" i="1"/>
  <c r="S46" i="1"/>
  <c r="U47" i="1"/>
  <c r="AJ47" i="1"/>
  <c r="AK47" i="1" s="1"/>
  <c r="AL47" i="1" s="1"/>
  <c r="K47" i="1"/>
  <c r="J47" i="1"/>
  <c r="P47" i="1"/>
  <c r="AD7" i="1"/>
  <c r="AD10" i="1"/>
  <c r="AD14" i="1"/>
  <c r="AD12" i="1"/>
  <c r="AD15" i="1"/>
  <c r="AD17" i="1"/>
  <c r="AD24" i="1"/>
  <c r="AD22" i="1"/>
  <c r="AD35" i="1"/>
  <c r="BF48" i="1"/>
  <c r="BL48" i="1"/>
  <c r="AD18" i="1"/>
  <c r="AC29" i="1"/>
  <c r="AC23" i="1"/>
  <c r="AD29" i="1"/>
  <c r="AC30" i="1"/>
  <c r="AD5" i="1"/>
  <c r="AD9" i="1"/>
  <c r="AC21" i="1"/>
  <c r="AC32" i="1"/>
  <c r="G48" i="1"/>
  <c r="BC48" i="1"/>
  <c r="BI48" i="1"/>
  <c r="BO48" i="1"/>
  <c r="AD13" i="1"/>
  <c r="AC17" i="1"/>
  <c r="AC19" i="1"/>
  <c r="AD32" i="1"/>
  <c r="AC26" i="1"/>
  <c r="AD30" i="1"/>
  <c r="AD16" i="1"/>
  <c r="AC25" i="1"/>
  <c r="AD31" i="1"/>
  <c r="AC33" i="1"/>
  <c r="AD20" i="1"/>
  <c r="AD40" i="1"/>
  <c r="AD43" i="1"/>
  <c r="AC37" i="1"/>
  <c r="AD41" i="1"/>
  <c r="AD42" i="1"/>
  <c r="AC46" i="1"/>
  <c r="AC34" i="1"/>
  <c r="AC45" i="1"/>
  <c r="AD46" i="1"/>
  <c r="AC47" i="1"/>
  <c r="AD34" i="1"/>
  <c r="AC35" i="1"/>
  <c r="AD37" i="1"/>
  <c r="AD33" i="1"/>
  <c r="AC43" i="1"/>
  <c r="AC39" i="1"/>
  <c r="AD44" i="1"/>
  <c r="AD47" i="1"/>
  <c r="AD45" i="1"/>
  <c r="Z48" i="1" l="1"/>
  <c r="AZ5" i="1"/>
  <c r="BA5" i="1" s="1"/>
  <c r="BB5" i="1" s="1"/>
  <c r="AB5" i="1"/>
  <c r="AA5" i="1"/>
  <c r="AB10" i="1"/>
  <c r="AA10" i="1"/>
  <c r="AZ10" i="1"/>
  <c r="BA10" i="1" s="1"/>
  <c r="BB10" i="1" s="1"/>
  <c r="AN46" i="1"/>
  <c r="AO46" i="1" s="1"/>
  <c r="AP46" i="1" s="1"/>
  <c r="W46" i="1"/>
  <c r="V46" i="1"/>
  <c r="AA43" i="1"/>
  <c r="AB43" i="1"/>
  <c r="AZ43" i="1"/>
  <c r="BA43" i="1" s="1"/>
  <c r="BB43" i="1" s="1"/>
  <c r="W38" i="1"/>
  <c r="AN38" i="1"/>
  <c r="AO38" i="1" s="1"/>
  <c r="AP38" i="1" s="1"/>
  <c r="V38" i="1"/>
  <c r="AA41" i="1"/>
  <c r="AZ41" i="1"/>
  <c r="BA41" i="1" s="1"/>
  <c r="BB41" i="1" s="1"/>
  <c r="AB41" i="1"/>
  <c r="AN26" i="1"/>
  <c r="AO26" i="1" s="1"/>
  <c r="AP26" i="1" s="1"/>
  <c r="V26" i="1"/>
  <c r="W26" i="1"/>
  <c r="AB27" i="1"/>
  <c r="AA27" i="1"/>
  <c r="AZ27" i="1"/>
  <c r="BA27" i="1" s="1"/>
  <c r="BB27" i="1" s="1"/>
  <c r="AA32" i="1"/>
  <c r="AB32" i="1"/>
  <c r="AZ32" i="1"/>
  <c r="BA32" i="1" s="1"/>
  <c r="BB32" i="1" s="1"/>
  <c r="AV48" i="1"/>
  <c r="AW48" i="1" s="1"/>
  <c r="AX48" i="1" s="1"/>
  <c r="AW5" i="1"/>
  <c r="AX5" i="1" s="1"/>
  <c r="AA17" i="1"/>
  <c r="AZ17" i="1"/>
  <c r="BA17" i="1" s="1"/>
  <c r="BB17" i="1" s="1"/>
  <c r="AB17" i="1"/>
  <c r="AB14" i="1"/>
  <c r="AA14" i="1"/>
  <c r="AZ14" i="1"/>
  <c r="BA14" i="1" s="1"/>
  <c r="BB14" i="1" s="1"/>
  <c r="AN27" i="1"/>
  <c r="AO27" i="1" s="1"/>
  <c r="AP27" i="1" s="1"/>
  <c r="V27" i="1"/>
  <c r="W27" i="1"/>
  <c r="U48" i="1"/>
  <c r="W5" i="1"/>
  <c r="AN5" i="1"/>
  <c r="V5" i="1"/>
  <c r="AN13" i="1"/>
  <c r="AO13" i="1" s="1"/>
  <c r="AP13" i="1" s="1"/>
  <c r="V13" i="1"/>
  <c r="W13" i="1"/>
  <c r="AN11" i="1"/>
  <c r="AO11" i="1" s="1"/>
  <c r="AP11" i="1" s="1"/>
  <c r="V11" i="1"/>
  <c r="W11" i="1"/>
  <c r="BQ48" i="1"/>
  <c r="AG48" i="1"/>
  <c r="AH48" i="1" s="1"/>
  <c r="AD48" i="1"/>
  <c r="AA46" i="1"/>
  <c r="AZ46" i="1"/>
  <c r="BA46" i="1" s="1"/>
  <c r="BB46" i="1" s="1"/>
  <c r="AB46" i="1"/>
  <c r="AN45" i="1"/>
  <c r="AO45" i="1" s="1"/>
  <c r="AP45" i="1" s="1"/>
  <c r="W45" i="1"/>
  <c r="V45" i="1"/>
  <c r="V32" i="1"/>
  <c r="W32" i="1"/>
  <c r="AN32" i="1"/>
  <c r="AO32" i="1" s="1"/>
  <c r="AP32" i="1" s="1"/>
  <c r="AZ29" i="1"/>
  <c r="BA29" i="1" s="1"/>
  <c r="BB29" i="1" s="1"/>
  <c r="AA29" i="1"/>
  <c r="AB29" i="1"/>
  <c r="AB39" i="1"/>
  <c r="AZ39" i="1"/>
  <c r="BA39" i="1" s="1"/>
  <c r="BB39" i="1" s="1"/>
  <c r="AA39" i="1"/>
  <c r="AN35" i="1"/>
  <c r="AO35" i="1" s="1"/>
  <c r="AP35" i="1" s="1"/>
  <c r="W35" i="1"/>
  <c r="V35" i="1"/>
  <c r="W37" i="1"/>
  <c r="AN37" i="1"/>
  <c r="AO37" i="1" s="1"/>
  <c r="AP37" i="1" s="1"/>
  <c r="V37" i="1"/>
  <c r="AA18" i="1"/>
  <c r="AB18" i="1"/>
  <c r="AZ18" i="1"/>
  <c r="BA18" i="1" s="1"/>
  <c r="BB18" i="1" s="1"/>
  <c r="AR48" i="1"/>
  <c r="AS48" i="1" s="1"/>
  <c r="AT48" i="1" s="1"/>
  <c r="AS5" i="1"/>
  <c r="AT5" i="1" s="1"/>
  <c r="W16" i="1"/>
  <c r="V16" i="1"/>
  <c r="AN16" i="1"/>
  <c r="AO16" i="1" s="1"/>
  <c r="AP16" i="1" s="1"/>
  <c r="AZ7" i="1"/>
  <c r="BA7" i="1" s="1"/>
  <c r="BB7" i="1" s="1"/>
  <c r="AB7" i="1"/>
  <c r="AA7" i="1"/>
  <c r="BH48" i="1"/>
  <c r="W22" i="1"/>
  <c r="AN22" i="1"/>
  <c r="AO22" i="1" s="1"/>
  <c r="AP22" i="1" s="1"/>
  <c r="V22" i="1"/>
  <c r="W20" i="1"/>
  <c r="AN20" i="1"/>
  <c r="AO20" i="1" s="1"/>
  <c r="AP20" i="1" s="1"/>
  <c r="V20" i="1"/>
  <c r="AN15" i="1"/>
  <c r="AO15" i="1" s="1"/>
  <c r="AP15" i="1" s="1"/>
  <c r="V15" i="1"/>
  <c r="W15" i="1"/>
  <c r="AB12" i="1"/>
  <c r="AZ12" i="1"/>
  <c r="BA12" i="1" s="1"/>
  <c r="BB12" i="1" s="1"/>
  <c r="AA12" i="1"/>
  <c r="W12" i="1"/>
  <c r="AN12" i="1"/>
  <c r="AO12" i="1" s="1"/>
  <c r="AP12" i="1" s="1"/>
  <c r="V12" i="1"/>
  <c r="AZ11" i="1"/>
  <c r="BA11" i="1" s="1"/>
  <c r="BB11" i="1" s="1"/>
  <c r="AB11" i="1"/>
  <c r="AA11" i="1"/>
  <c r="AA31" i="1"/>
  <c r="AB31" i="1"/>
  <c r="AZ31" i="1"/>
  <c r="BA31" i="1" s="1"/>
  <c r="BB31" i="1" s="1"/>
  <c r="AA34" i="1"/>
  <c r="AZ34" i="1"/>
  <c r="BA34" i="1" s="1"/>
  <c r="BB34" i="1" s="1"/>
  <c r="AB34" i="1"/>
  <c r="AA44" i="1"/>
  <c r="AB44" i="1"/>
  <c r="AZ44" i="1"/>
  <c r="BA44" i="1" s="1"/>
  <c r="BB44" i="1" s="1"/>
  <c r="W41" i="1"/>
  <c r="V41" i="1"/>
  <c r="AN41" i="1"/>
  <c r="AO41" i="1" s="1"/>
  <c r="AP41" i="1" s="1"/>
  <c r="AA47" i="1"/>
  <c r="AB47" i="1"/>
  <c r="AZ47" i="1"/>
  <c r="BA47" i="1" s="1"/>
  <c r="BB47" i="1" s="1"/>
  <c r="AZ37" i="1"/>
  <c r="BA37" i="1" s="1"/>
  <c r="BB37" i="1" s="1"/>
  <c r="AB37" i="1"/>
  <c r="AA37" i="1"/>
  <c r="AB36" i="1"/>
  <c r="AZ36" i="1"/>
  <c r="BA36" i="1" s="1"/>
  <c r="BB36" i="1" s="1"/>
  <c r="AA36" i="1"/>
  <c r="AN33" i="1"/>
  <c r="AO33" i="1" s="1"/>
  <c r="AP33" i="1" s="1"/>
  <c r="V33" i="1"/>
  <c r="W33" i="1"/>
  <c r="AA30" i="1"/>
  <c r="AZ30" i="1"/>
  <c r="BA30" i="1" s="1"/>
  <c r="BB30" i="1" s="1"/>
  <c r="AB30" i="1"/>
  <c r="AA28" i="1"/>
  <c r="AZ28" i="1"/>
  <c r="BA28" i="1" s="1"/>
  <c r="BB28" i="1" s="1"/>
  <c r="AB28" i="1"/>
  <c r="V25" i="1"/>
  <c r="W25" i="1"/>
  <c r="AN25" i="1"/>
  <c r="AO25" i="1" s="1"/>
  <c r="AP25" i="1" s="1"/>
  <c r="AN21" i="1"/>
  <c r="AO21" i="1" s="1"/>
  <c r="AP21" i="1" s="1"/>
  <c r="V21" i="1"/>
  <c r="W21" i="1"/>
  <c r="AN17" i="1"/>
  <c r="AO17" i="1" s="1"/>
  <c r="AP17" i="1" s="1"/>
  <c r="V17" i="1"/>
  <c r="W17" i="1"/>
  <c r="V36" i="1"/>
  <c r="W36" i="1"/>
  <c r="AN36" i="1"/>
  <c r="AO36" i="1" s="1"/>
  <c r="AP36" i="1" s="1"/>
  <c r="AN6" i="1"/>
  <c r="AO6" i="1" s="1"/>
  <c r="AP6" i="1" s="1"/>
  <c r="V6" i="1"/>
  <c r="W6" i="1"/>
  <c r="T48" i="1"/>
  <c r="S48" i="1"/>
  <c r="AY48" i="1"/>
  <c r="AZ15" i="1"/>
  <c r="BA15" i="1" s="1"/>
  <c r="BB15" i="1" s="1"/>
  <c r="AB15" i="1"/>
  <c r="AA15" i="1"/>
  <c r="AZ6" i="1"/>
  <c r="BA6" i="1" s="1"/>
  <c r="BB6" i="1" s="1"/>
  <c r="AB6" i="1"/>
  <c r="AA6" i="1"/>
  <c r="Q48" i="1"/>
  <c r="N48" i="1"/>
  <c r="AN8" i="1"/>
  <c r="AO8" i="1" s="1"/>
  <c r="AP8" i="1" s="1"/>
  <c r="V8" i="1"/>
  <c r="W8" i="1"/>
  <c r="AJ48" i="1"/>
  <c r="AK48" i="1" s="1"/>
  <c r="AL48" i="1" s="1"/>
  <c r="AK5" i="1"/>
  <c r="AL5" i="1" s="1"/>
  <c r="BE48" i="1"/>
  <c r="W18" i="1"/>
  <c r="AN18" i="1"/>
  <c r="AO18" i="1" s="1"/>
  <c r="AP18" i="1" s="1"/>
  <c r="V18" i="1"/>
  <c r="AN24" i="1"/>
  <c r="AO24" i="1" s="1"/>
  <c r="AP24" i="1" s="1"/>
  <c r="V24" i="1"/>
  <c r="W24" i="1"/>
  <c r="AZ9" i="1"/>
  <c r="BA9" i="1" s="1"/>
  <c r="BB9" i="1" s="1"/>
  <c r="AB9" i="1"/>
  <c r="AA9" i="1"/>
  <c r="V14" i="1"/>
  <c r="AN14" i="1"/>
  <c r="AO14" i="1" s="1"/>
  <c r="AP14" i="1" s="1"/>
  <c r="W14" i="1"/>
  <c r="W7" i="1"/>
  <c r="AN7" i="1"/>
  <c r="AO7" i="1" s="1"/>
  <c r="AP7" i="1" s="1"/>
  <c r="V7" i="1"/>
  <c r="K48" i="1"/>
  <c r="J48" i="1"/>
  <c r="AZ13" i="1"/>
  <c r="BA13" i="1" s="1"/>
  <c r="BB13" i="1" s="1"/>
  <c r="AB13" i="1"/>
  <c r="AA13" i="1"/>
  <c r="AZ26" i="1"/>
  <c r="BA26" i="1" s="1"/>
  <c r="BB26" i="1" s="1"/>
  <c r="AB26" i="1"/>
  <c r="AA26" i="1"/>
  <c r="AB24" i="1"/>
  <c r="AA24" i="1"/>
  <c r="AZ24" i="1"/>
  <c r="BA24" i="1" s="1"/>
  <c r="BB24" i="1" s="1"/>
  <c r="AA21" i="1"/>
  <c r="AZ21" i="1"/>
  <c r="BA21" i="1" s="1"/>
  <c r="BB21" i="1" s="1"/>
  <c r="AB21" i="1"/>
  <c r="AN29" i="1"/>
  <c r="AO29" i="1" s="1"/>
  <c r="AP29" i="1" s="1"/>
  <c r="W29" i="1"/>
  <c r="V29" i="1"/>
  <c r="AN9" i="1"/>
  <c r="AO9" i="1" s="1"/>
  <c r="AP9" i="1" s="1"/>
  <c r="V9" i="1"/>
  <c r="W9" i="1"/>
  <c r="X48" i="1"/>
  <c r="Y48" i="1" s="1"/>
  <c r="Y5" i="1"/>
  <c r="AN10" i="1"/>
  <c r="AO10" i="1" s="1"/>
  <c r="AP10" i="1" s="1"/>
  <c r="W10" i="1"/>
  <c r="V10" i="1"/>
  <c r="AB8" i="1"/>
  <c r="AZ8" i="1"/>
  <c r="BA8" i="1" s="1"/>
  <c r="BB8" i="1" s="1"/>
  <c r="AA8" i="1"/>
  <c r="AC48" i="1"/>
  <c r="W47" i="1"/>
  <c r="V47" i="1"/>
  <c r="AN47" i="1"/>
  <c r="AO47" i="1" s="1"/>
  <c r="AP47" i="1" s="1"/>
  <c r="W43" i="1"/>
  <c r="AN43" i="1"/>
  <c r="AO43" i="1" s="1"/>
  <c r="AP43" i="1" s="1"/>
  <c r="V43" i="1"/>
  <c r="AB40" i="1"/>
  <c r="AZ40" i="1"/>
  <c r="BA40" i="1" s="1"/>
  <c r="BB40" i="1" s="1"/>
  <c r="AA40" i="1"/>
  <c r="AA45" i="1"/>
  <c r="AZ45" i="1"/>
  <c r="BA45" i="1" s="1"/>
  <c r="BB45" i="1" s="1"/>
  <c r="AB45" i="1"/>
  <c r="AN44" i="1"/>
  <c r="AO44" i="1" s="1"/>
  <c r="AP44" i="1" s="1"/>
  <c r="W44" i="1"/>
  <c r="V44" i="1"/>
  <c r="AZ35" i="1"/>
  <c r="BA35" i="1" s="1"/>
  <c r="BB35" i="1" s="1"/>
  <c r="AA35" i="1"/>
  <c r="AB35" i="1"/>
  <c r="V34" i="1"/>
  <c r="AN34" i="1"/>
  <c r="AO34" i="1" s="1"/>
  <c r="AP34" i="1" s="1"/>
  <c r="W34" i="1"/>
  <c r="AN30" i="1"/>
  <c r="AO30" i="1" s="1"/>
  <c r="AP30" i="1" s="1"/>
  <c r="V30" i="1"/>
  <c r="W30" i="1"/>
  <c r="W39" i="1"/>
  <c r="V39" i="1"/>
  <c r="AN39" i="1"/>
  <c r="AO39" i="1" s="1"/>
  <c r="AP39" i="1" s="1"/>
  <c r="AZ20" i="1"/>
  <c r="BA20" i="1" s="1"/>
  <c r="BB20" i="1" s="1"/>
  <c r="AB20" i="1"/>
  <c r="AA20" i="1"/>
  <c r="AZ16" i="1"/>
  <c r="BA16" i="1" s="1"/>
  <c r="BB16" i="1" s="1"/>
  <c r="AB16" i="1"/>
  <c r="AA16" i="1"/>
  <c r="W40" i="1"/>
  <c r="V40" i="1"/>
  <c r="AN40" i="1"/>
  <c r="AO40" i="1" s="1"/>
  <c r="AP40" i="1" s="1"/>
  <c r="W31" i="1"/>
  <c r="V31" i="1"/>
  <c r="AN31" i="1"/>
  <c r="AO31" i="1" s="1"/>
  <c r="AP31" i="1" s="1"/>
  <c r="AB25" i="1"/>
  <c r="AA25" i="1"/>
  <c r="AZ25" i="1"/>
  <c r="BA25" i="1" s="1"/>
  <c r="BB25" i="1" s="1"/>
  <c r="AN28" i="1"/>
  <c r="AO28" i="1" s="1"/>
  <c r="AP28" i="1" s="1"/>
  <c r="W28" i="1"/>
  <c r="V28" i="1"/>
  <c r="AA23" i="1"/>
  <c r="AZ23" i="1"/>
  <c r="BA23" i="1" s="1"/>
  <c r="BB23" i="1" s="1"/>
  <c r="AB23" i="1"/>
  <c r="AA19" i="1"/>
  <c r="AZ19" i="1"/>
  <c r="BA19" i="1" s="1"/>
  <c r="BB19" i="1" s="1"/>
  <c r="AB19" i="1"/>
  <c r="AA42" i="1"/>
  <c r="AB42" i="1"/>
  <c r="AZ42" i="1"/>
  <c r="BA42" i="1" s="1"/>
  <c r="BB42" i="1" s="1"/>
  <c r="AA33" i="1"/>
  <c r="AB33" i="1"/>
  <c r="AZ33" i="1"/>
  <c r="BA33" i="1" s="1"/>
  <c r="BB33" i="1" s="1"/>
  <c r="AN42" i="1"/>
  <c r="AO42" i="1" s="1"/>
  <c r="AP42" i="1" s="1"/>
  <c r="W42" i="1"/>
  <c r="V42" i="1"/>
  <c r="AN23" i="1"/>
  <c r="AO23" i="1" s="1"/>
  <c r="AP23" i="1" s="1"/>
  <c r="V23" i="1"/>
  <c r="W23" i="1"/>
  <c r="AN19" i="1"/>
  <c r="AO19" i="1" s="1"/>
  <c r="AP19" i="1" s="1"/>
  <c r="V19" i="1"/>
  <c r="W19" i="1"/>
  <c r="AA38" i="1"/>
  <c r="AZ38" i="1"/>
  <c r="BA38" i="1" s="1"/>
  <c r="BB38" i="1" s="1"/>
  <c r="AB38" i="1"/>
  <c r="AB22" i="1"/>
  <c r="AZ22" i="1"/>
  <c r="BA22" i="1" s="1"/>
  <c r="BB22" i="1" s="1"/>
  <c r="AA22" i="1"/>
  <c r="AN48" i="1" l="1"/>
  <c r="AO48" i="1" s="1"/>
  <c r="AP48" i="1" s="1"/>
  <c r="AO5" i="1"/>
  <c r="AP5" i="1" s="1"/>
  <c r="W48" i="1"/>
  <c r="V48" i="1"/>
  <c r="AZ48" i="1"/>
  <c r="BA48" i="1" s="1"/>
  <c r="BB48" i="1" s="1"/>
  <c r="AB48" i="1"/>
  <c r="AA48" i="1"/>
</calcChain>
</file>

<file path=xl/sharedStrings.xml><?xml version="1.0" encoding="utf-8"?>
<sst xmlns="http://schemas.openxmlformats.org/spreadsheetml/2006/main" count="220" uniqueCount="115">
  <si>
    <t>DATA SALES ON JULY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</si>
  <si>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</si>
  <si>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</si>
  <si>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</si>
  <si>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</si>
  <si>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</si>
  <si>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</si>
  <si>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</si>
  <si>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</si>
  <si>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</si>
  <si>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</si>
  <si>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</si>
  <si>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</si>
  <si>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</si>
  <si>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</si>
  <si>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</si>
  <si>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</si>
  <si>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</si>
  <si>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</si>
  <si>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</si>
  <si>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</si>
  <si>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</si>
  <si>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</si>
  <si>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</si>
  <si>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</si>
  <si>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</si>
  <si>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</si>
  <si>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</si>
  <si>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</si>
  <si>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</si>
  <si>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</si>
  <si>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</si>
  <si>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</si>
  <si>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</si>
  <si>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</si>
  <si>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</si>
  <si>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</si>
  <si>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JUNE</t>
  </si>
  <si>
    <t>JULY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</si>
  <si>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</si>
  <si>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</si>
  <si>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</si>
  <si>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</si>
  <si>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</si>
  <si>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</si>
  <si>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</si>
  <si>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</si>
  <si>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</si>
  <si>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</si>
  <si>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</si>
  <si>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</si>
  <si>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</si>
  <si>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</si>
  <si>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</si>
  <si>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</si>
  <si>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</si>
  <si>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</si>
  <si>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</si>
  <si>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</si>
  <si>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</si>
  <si>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</si>
  <si>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</si>
  <si>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</si>
  <si>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</si>
  <si>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</si>
  <si>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</si>
  <si>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</si>
  <si>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</si>
  <si>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</si>
  <si>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</si>
  <si>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</si>
  <si>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</si>
  <si>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</si>
  <si>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</si>
  <si>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</si>
  <si>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</si>
  <si>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</si>
  <si>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</si>
  <si>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</si>
  <si>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</si>
  <si>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</si>
  <si>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</si>
  <si>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</si>
  <si>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</si>
  <si>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</si>
  <si>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DANFY INDRAWAN (PIC)</t>
  </si>
  <si>
    <t>6240709-ITC BSD 1F49-50</t>
  </si>
  <si>
    <t>RIZKI SUCIANTO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</si>
  <si>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</si>
  <si>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</si>
  <si>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</si>
  <si>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</si>
  <si>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</si>
  <si>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</si>
  <si>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</si>
  <si>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</si>
  <si>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</si>
  <si>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</si>
  <si>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</si>
  <si>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</si>
  <si>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</si>
  <si>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</si>
  <si>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</si>
  <si>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VACANT</t>
  </si>
  <si>
    <t>中爪哇西 - Purwokerto</t>
  </si>
  <si>
    <t>6130702-RITA SUPERMALL SF36-37</t>
  </si>
  <si>
    <t>FRISKA FAJAR</t>
  </si>
  <si>
    <t>614 三宝垄 Semarang</t>
  </si>
  <si>
    <t>6100702-VS Jogja City Mall</t>
  </si>
  <si>
    <t>BIRILYAN KUSWARA</t>
  </si>
  <si>
    <t>6140706-23 SEMARANG MALL 1F065-66</t>
  </si>
  <si>
    <t>VICKY DINDA INEZ</t>
  </si>
  <si>
    <t>6140705-QUEENCITY 2F027</t>
  </si>
  <si>
    <t>EDI SUSANTO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</si>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</sst>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13809]dd\ mmmm\ yyyy;@"/>
    <numFmt numFmtId="165" formatCode="0_ "/>
    <numFmt numFmtId="166" formatCode="#,##0.0_);[Red]\(#,##0.0\)"/>
  </numFmts>
  <fonts count="11" x14ac:knownFonts="1"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18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right" vertical="center" wrapText="1"/>
    </xf>
    <xf numFmtId="9" fontId="1" fillId="2" borderId="10" xfId="1" applyFont="1" applyFill="1" applyBorder="1" applyAlignment="1">
      <alignment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5" fillId="3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vertical="center"/>
    </xf>
    <xf numFmtId="0" fontId="5" fillId="3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 wrapText="1"/>
    </xf>
    <xf numFmtId="0" fontId="6" fillId="5" borderId="26" xfId="0" applyFont="1" applyFill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6" fillId="6" borderId="23" xfId="0" applyFont="1" applyFill="1" applyBorder="1" applyAlignment="1">
      <alignment horizontal="center" vertical="center" wrapText="1"/>
    </xf>
    <xf numFmtId="0" fontId="6" fillId="6" borderId="24" xfId="0" applyFont="1" applyFill="1" applyBorder="1" applyAlignment="1">
      <alignment horizontal="center" vertical="center" wrapText="1"/>
    </xf>
    <xf numFmtId="0" fontId="6" fillId="7" borderId="25" xfId="0" applyFont="1" applyFill="1" applyBorder="1" applyAlignment="1">
      <alignment horizontal="center" vertical="center" wrapText="1"/>
    </xf>
    <xf numFmtId="0" fontId="6" fillId="7" borderId="27" xfId="0" applyFont="1" applyFill="1" applyBorder="1" applyAlignment="1">
      <alignment horizontal="center" vertical="center" wrapText="1"/>
    </xf>
    <xf numFmtId="9" fontId="6" fillId="7" borderId="23" xfId="1" applyFont="1" applyFill="1" applyBorder="1" applyAlignment="1">
      <alignment horizontal="center" vertical="center" wrapText="1"/>
    </xf>
    <xf numFmtId="9" fontId="6" fillId="7" borderId="24" xfId="1" applyFont="1" applyFill="1" applyBorder="1" applyAlignment="1">
      <alignment horizontal="center" vertical="center" wrapText="1"/>
    </xf>
    <xf numFmtId="9" fontId="6" fillId="8" borderId="25" xfId="1" applyFont="1" applyFill="1" applyBorder="1" applyAlignment="1">
      <alignment horizontal="center" vertical="center" wrapText="1"/>
    </xf>
    <xf numFmtId="9" fontId="6" fillId="8" borderId="26" xfId="1" applyFont="1" applyFill="1" applyBorder="1" applyAlignment="1">
      <alignment horizontal="center" vertical="center" wrapText="1"/>
    </xf>
    <xf numFmtId="9" fontId="6" fillId="9" borderId="25" xfId="1" applyFont="1" applyFill="1" applyBorder="1" applyAlignment="1">
      <alignment horizontal="center" vertical="center" wrapText="1"/>
    </xf>
    <xf numFmtId="9" fontId="6" fillId="9" borderId="27" xfId="1" applyFont="1" applyFill="1" applyBorder="1" applyAlignment="1">
      <alignment horizontal="center" vertical="center" wrapText="1"/>
    </xf>
    <xf numFmtId="9" fontId="6" fillId="9" borderId="23" xfId="1" applyFont="1" applyFill="1" applyBorder="1" applyAlignment="1">
      <alignment horizontal="center" vertical="center" wrapText="1"/>
    </xf>
    <xf numFmtId="9" fontId="6" fillId="9" borderId="24" xfId="1" applyFont="1" applyFill="1" applyBorder="1" applyAlignment="1">
      <alignment horizontal="center" vertical="center" wrapText="1"/>
    </xf>
    <xf numFmtId="0" fontId="6" fillId="10" borderId="25" xfId="0" applyFont="1" applyFill="1" applyBorder="1" applyAlignment="1">
      <alignment horizontal="center" vertical="center" wrapText="1"/>
    </xf>
    <xf numFmtId="0" fontId="6" fillId="10" borderId="27" xfId="0" applyFont="1" applyFill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 wrapText="1"/>
    </xf>
    <xf numFmtId="0" fontId="6" fillId="10" borderId="24" xfId="0" applyFont="1" applyFill="1" applyBorder="1" applyAlignment="1">
      <alignment horizontal="center" vertical="center" wrapText="1"/>
    </xf>
    <xf numFmtId="0" fontId="6" fillId="11" borderId="25" xfId="0" applyFont="1" applyFill="1" applyBorder="1" applyAlignment="1">
      <alignment horizontal="center" vertical="center" wrapText="1"/>
    </xf>
    <xf numFmtId="0" fontId="6" fillId="11" borderId="27" xfId="0" applyFont="1" applyFill="1" applyBorder="1" applyAlignment="1">
      <alignment horizontal="center" vertical="center" wrapText="1"/>
    </xf>
    <xf numFmtId="0" fontId="6" fillId="11" borderId="23" xfId="0" applyFont="1" applyFill="1" applyBorder="1" applyAlignment="1">
      <alignment horizontal="center" vertical="center" wrapText="1"/>
    </xf>
    <xf numFmtId="0" fontId="6" fillId="11" borderId="28" xfId="0" applyFont="1" applyFill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vertical="center"/>
    </xf>
    <xf numFmtId="0" fontId="3" fillId="0" borderId="30" xfId="0" applyFont="1" applyBorder="1" applyAlignment="1">
      <alignment horizontal="center" vertical="center"/>
    </xf>
    <xf numFmtId="0" fontId="7" fillId="0" borderId="30" xfId="0" applyFont="1" applyBorder="1"/>
    <xf numFmtId="164" fontId="8" fillId="12" borderId="30" xfId="0" applyNumberFormat="1" applyFont="1" applyFill="1" applyBorder="1" applyAlignment="1">
      <alignment horizontal="left" vertical="center"/>
    </xf>
    <xf numFmtId="0" fontId="3" fillId="0" borderId="31" xfId="0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 vertical="center"/>
    </xf>
    <xf numFmtId="3" fontId="7" fillId="0" borderId="33" xfId="1" applyNumberFormat="1" applyFont="1" applyBorder="1" applyAlignment="1">
      <alignment horizontal="center" vertical="center"/>
    </xf>
    <xf numFmtId="9" fontId="7" fillId="0" borderId="34" xfId="1" applyFont="1" applyFill="1" applyBorder="1" applyAlignment="1">
      <alignment horizontal="center" vertical="center"/>
    </xf>
    <xf numFmtId="1" fontId="7" fillId="0" borderId="30" xfId="0" applyNumberFormat="1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9" fontId="7" fillId="0" borderId="30" xfId="1" applyFont="1" applyFill="1" applyBorder="1" applyAlignment="1">
      <alignment horizontal="center" vertical="center"/>
    </xf>
    <xf numFmtId="1" fontId="7" fillId="0" borderId="30" xfId="1" applyNumberFormat="1" applyFont="1" applyFill="1" applyBorder="1" applyAlignment="1">
      <alignment horizontal="center" vertical="center"/>
    </xf>
    <xf numFmtId="3" fontId="7" fillId="0" borderId="30" xfId="1" applyNumberFormat="1" applyFont="1" applyFill="1" applyBorder="1" applyAlignment="1">
      <alignment horizontal="center" vertical="center"/>
    </xf>
    <xf numFmtId="3" fontId="7" fillId="0" borderId="31" xfId="1" applyNumberFormat="1" applyFont="1" applyFill="1" applyBorder="1" applyAlignment="1">
      <alignment horizontal="center" vertical="center"/>
    </xf>
    <xf numFmtId="165" fontId="7" fillId="0" borderId="32" xfId="0" applyNumberFormat="1" applyFont="1" applyBorder="1" applyAlignment="1">
      <alignment horizontal="center" vertical="center"/>
    </xf>
    <xf numFmtId="9" fontId="3" fillId="0" borderId="34" xfId="1" applyFont="1" applyFill="1" applyBorder="1" applyAlignment="1">
      <alignment horizontal="center" vertical="center"/>
    </xf>
    <xf numFmtId="1" fontId="3" fillId="0" borderId="30" xfId="1" applyNumberFormat="1" applyFont="1" applyFill="1" applyBorder="1" applyAlignment="1">
      <alignment horizontal="center" vertical="center"/>
    </xf>
    <xf numFmtId="3" fontId="3" fillId="0" borderId="30" xfId="1" applyNumberFormat="1" applyFont="1" applyFill="1" applyBorder="1" applyAlignment="1">
      <alignment horizontal="center" vertical="center"/>
    </xf>
    <xf numFmtId="9" fontId="3" fillId="0" borderId="31" xfId="1" applyFont="1" applyFill="1" applyBorder="1" applyAlignment="1">
      <alignment horizontal="center" vertical="center"/>
    </xf>
    <xf numFmtId="166" fontId="7" fillId="0" borderId="32" xfId="1" applyNumberFormat="1" applyFont="1" applyFill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1" fontId="7" fillId="0" borderId="34" xfId="1" applyNumberFormat="1" applyFont="1" applyFill="1" applyBorder="1" applyAlignment="1">
      <alignment horizontal="center" vertical="center"/>
    </xf>
    <xf numFmtId="9" fontId="7" fillId="0" borderId="31" xfId="1" applyFont="1" applyFill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" fontId="7" fillId="0" borderId="34" xfId="0" applyNumberFormat="1" applyFont="1" applyBorder="1" applyAlignment="1">
      <alignment horizontal="center" vertical="center"/>
    </xf>
    <xf numFmtId="3" fontId="7" fillId="0" borderId="30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horizontal="center" vertical="center"/>
    </xf>
    <xf numFmtId="3" fontId="7" fillId="0" borderId="30" xfId="1" applyNumberFormat="1" applyFont="1" applyBorder="1" applyAlignment="1">
      <alignment horizontal="center" vertical="center"/>
    </xf>
    <xf numFmtId="9" fontId="7" fillId="0" borderId="35" xfId="1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7" fillId="0" borderId="9" xfId="0" applyFont="1" applyBorder="1"/>
    <xf numFmtId="0" fontId="3" fillId="0" borderId="9" xfId="0" applyFont="1" applyBorder="1" applyAlignment="1">
      <alignment vertical="center"/>
    </xf>
    <xf numFmtId="0" fontId="3" fillId="12" borderId="9" xfId="0" applyFont="1" applyFill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3" fontId="7" fillId="0" borderId="12" xfId="1" applyNumberFormat="1" applyFont="1" applyBorder="1" applyAlignment="1">
      <alignment horizontal="center" vertical="center"/>
    </xf>
    <xf numFmtId="9" fontId="7" fillId="0" borderId="13" xfId="1" applyFont="1" applyFill="1" applyBorder="1" applyAlignment="1">
      <alignment horizontal="center" vertical="center"/>
    </xf>
    <xf numFmtId="1" fontId="7" fillId="0" borderId="9" xfId="0" applyNumberFormat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9" fontId="7" fillId="0" borderId="9" xfId="1" applyFont="1" applyFill="1" applyBorder="1" applyAlignment="1">
      <alignment horizontal="center" vertical="center"/>
    </xf>
    <xf numFmtId="1" fontId="7" fillId="0" borderId="9" xfId="1" applyNumberFormat="1" applyFont="1" applyFill="1" applyBorder="1" applyAlignment="1">
      <alignment horizontal="center" vertical="center"/>
    </xf>
    <xf numFmtId="3" fontId="7" fillId="0" borderId="9" xfId="1" applyNumberFormat="1" applyFont="1" applyFill="1" applyBorder="1" applyAlignment="1">
      <alignment horizontal="center" vertical="center"/>
    </xf>
    <xf numFmtId="3" fontId="7" fillId="0" borderId="10" xfId="1" applyNumberFormat="1" applyFont="1" applyFill="1" applyBorder="1" applyAlignment="1">
      <alignment horizontal="center" vertical="center"/>
    </xf>
    <xf numFmtId="165" fontId="7" fillId="0" borderId="11" xfId="0" applyNumberFormat="1" applyFont="1" applyBorder="1" applyAlignment="1">
      <alignment horizontal="center" vertical="center"/>
    </xf>
    <xf numFmtId="9" fontId="3" fillId="0" borderId="13" xfId="1" applyFont="1" applyFill="1" applyBorder="1" applyAlignment="1">
      <alignment horizontal="center" vertical="center"/>
    </xf>
    <xf numFmtId="1" fontId="3" fillId="0" borderId="9" xfId="1" applyNumberFormat="1" applyFont="1" applyFill="1" applyBorder="1" applyAlignment="1">
      <alignment horizontal="center" vertical="center"/>
    </xf>
    <xf numFmtId="3" fontId="3" fillId="0" borderId="9" xfId="1" applyNumberFormat="1" applyFont="1" applyFill="1" applyBorder="1" applyAlignment="1">
      <alignment horizontal="center" vertical="center"/>
    </xf>
    <xf numFmtId="9" fontId="3" fillId="0" borderId="10" xfId="1" applyFont="1" applyFill="1" applyBorder="1" applyAlignment="1">
      <alignment horizontal="center" vertical="center"/>
    </xf>
    <xf numFmtId="166" fontId="7" fillId="0" borderId="11" xfId="1" applyNumberFormat="1" applyFont="1" applyFill="1" applyBorder="1" applyAlignment="1">
      <alignment horizontal="center" vertical="center"/>
    </xf>
    <xf numFmtId="3" fontId="7" fillId="0" borderId="12" xfId="0" applyNumberFormat="1" applyFont="1" applyBorder="1" applyAlignment="1">
      <alignment horizontal="center" vertical="center"/>
    </xf>
    <xf numFmtId="1" fontId="7" fillId="0" borderId="13" xfId="1" applyNumberFormat="1" applyFont="1" applyFill="1" applyBorder="1" applyAlignment="1">
      <alignment horizontal="center" vertical="center"/>
    </xf>
    <xf numFmtId="9" fontId="7" fillId="0" borderId="10" xfId="1" applyFont="1" applyFill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3" fontId="7" fillId="0" borderId="9" xfId="0" applyNumberFormat="1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3" fontId="7" fillId="0" borderId="9" xfId="1" applyNumberFormat="1" applyFont="1" applyBorder="1" applyAlignment="1">
      <alignment horizontal="center" vertical="center"/>
    </xf>
    <xf numFmtId="9" fontId="7" fillId="0" borderId="14" xfId="1" applyFont="1" applyFill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2" fontId="9" fillId="0" borderId="9" xfId="0" applyNumberFormat="1" applyFont="1" applyBorder="1"/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7" fillId="0" borderId="16" xfId="0" applyFont="1" applyBorder="1"/>
    <xf numFmtId="0" fontId="3" fillId="0" borderId="16" xfId="0" applyFont="1" applyBorder="1" applyAlignment="1">
      <alignment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3" fontId="7" fillId="0" borderId="19" xfId="1" applyNumberFormat="1" applyFont="1" applyBorder="1" applyAlignment="1">
      <alignment horizontal="center" vertical="center"/>
    </xf>
    <xf numFmtId="9" fontId="7" fillId="0" borderId="20" xfId="1" applyFont="1" applyFill="1" applyBorder="1" applyAlignment="1">
      <alignment horizontal="center" vertical="center"/>
    </xf>
    <xf numFmtId="1" fontId="7" fillId="0" borderId="16" xfId="0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9" fontId="7" fillId="0" borderId="16" xfId="1" applyFont="1" applyFill="1" applyBorder="1" applyAlignment="1">
      <alignment horizontal="center" vertical="center"/>
    </xf>
    <xf numFmtId="1" fontId="7" fillId="0" borderId="16" xfId="1" applyNumberFormat="1" applyFont="1" applyFill="1" applyBorder="1" applyAlignment="1">
      <alignment horizontal="center" vertical="center"/>
    </xf>
    <xf numFmtId="3" fontId="7" fillId="0" borderId="16" xfId="1" applyNumberFormat="1" applyFont="1" applyFill="1" applyBorder="1" applyAlignment="1">
      <alignment horizontal="center" vertical="center"/>
    </xf>
    <xf numFmtId="3" fontId="7" fillId="0" borderId="17" xfId="1" applyNumberFormat="1" applyFont="1" applyFill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9" fontId="3" fillId="0" borderId="20" xfId="1" applyFont="1" applyFill="1" applyBorder="1" applyAlignment="1">
      <alignment horizontal="center" vertical="center"/>
    </xf>
    <xf numFmtId="1" fontId="3" fillId="0" borderId="16" xfId="1" applyNumberFormat="1" applyFont="1" applyFill="1" applyBorder="1" applyAlignment="1">
      <alignment horizontal="center" vertical="center"/>
    </xf>
    <xf numFmtId="3" fontId="3" fillId="0" borderId="16" xfId="1" applyNumberFormat="1" applyFont="1" applyFill="1" applyBorder="1" applyAlignment="1">
      <alignment horizontal="center" vertical="center"/>
    </xf>
    <xf numFmtId="9" fontId="3" fillId="0" borderId="17" xfId="1" applyFont="1" applyFill="1" applyBorder="1" applyAlignment="1">
      <alignment horizontal="center" vertical="center"/>
    </xf>
    <xf numFmtId="166" fontId="7" fillId="0" borderId="18" xfId="1" applyNumberFormat="1" applyFont="1" applyFill="1" applyBorder="1" applyAlignment="1">
      <alignment horizontal="center" vertical="center"/>
    </xf>
    <xf numFmtId="3" fontId="7" fillId="0" borderId="19" xfId="0" applyNumberFormat="1" applyFont="1" applyBorder="1" applyAlignment="1">
      <alignment horizontal="center" vertical="center"/>
    </xf>
    <xf numFmtId="1" fontId="7" fillId="0" borderId="20" xfId="1" applyNumberFormat="1" applyFont="1" applyFill="1" applyBorder="1" applyAlignment="1">
      <alignment horizontal="center" vertical="center"/>
    </xf>
    <xf numFmtId="9" fontId="7" fillId="0" borderId="17" xfId="1" applyFont="1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" fontId="7" fillId="0" borderId="20" xfId="0" applyNumberFormat="1" applyFont="1" applyBorder="1" applyAlignment="1">
      <alignment horizontal="center" vertical="center"/>
    </xf>
    <xf numFmtId="3" fontId="7" fillId="0" borderId="16" xfId="0" applyNumberFormat="1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3" fontId="7" fillId="0" borderId="16" xfId="1" applyNumberFormat="1" applyFont="1" applyBorder="1" applyAlignment="1">
      <alignment horizontal="center" vertical="center"/>
    </xf>
    <xf numFmtId="9" fontId="7" fillId="0" borderId="21" xfId="1" applyFont="1" applyFill="1" applyBorder="1" applyAlignment="1">
      <alignment horizontal="center" vertical="center"/>
    </xf>
    <xf numFmtId="0" fontId="10" fillId="4" borderId="36" xfId="0" applyFont="1" applyFill="1" applyBorder="1" applyAlignment="1">
      <alignment horizontal="left" indent="1"/>
    </xf>
    <xf numFmtId="0" fontId="10" fillId="4" borderId="37" xfId="0" applyFont="1" applyFill="1" applyBorder="1" applyAlignment="1">
      <alignment horizontal="center"/>
    </xf>
    <xf numFmtId="0" fontId="10" fillId="4" borderId="38" xfId="0" applyFont="1" applyFill="1" applyBorder="1" applyAlignment="1">
      <alignment horizontal="center"/>
    </xf>
    <xf numFmtId="1" fontId="10" fillId="4" borderId="39" xfId="0" applyNumberFormat="1" applyFont="1" applyFill="1" applyBorder="1" applyAlignment="1">
      <alignment horizontal="center"/>
    </xf>
    <xf numFmtId="3" fontId="10" fillId="4" borderId="40" xfId="0" applyNumberFormat="1" applyFont="1" applyFill="1" applyBorder="1" applyAlignment="1">
      <alignment horizontal="center"/>
    </xf>
    <xf numFmtId="9" fontId="10" fillId="4" borderId="41" xfId="0" applyNumberFormat="1" applyFont="1" applyFill="1" applyBorder="1" applyAlignment="1">
      <alignment horizontal="center"/>
    </xf>
    <xf numFmtId="1" fontId="10" fillId="4" borderId="37" xfId="0" applyNumberFormat="1" applyFont="1" applyFill="1" applyBorder="1" applyAlignment="1">
      <alignment horizontal="center"/>
    </xf>
    <xf numFmtId="0" fontId="10" fillId="4" borderId="37" xfId="0" applyFont="1" applyFill="1" applyBorder="1" applyAlignment="1">
      <alignment horizontal="center"/>
    </xf>
    <xf numFmtId="9" fontId="10" fillId="4" borderId="37" xfId="0" applyNumberFormat="1" applyFont="1" applyFill="1" applyBorder="1" applyAlignment="1">
      <alignment horizontal="center"/>
    </xf>
    <xf numFmtId="3" fontId="10" fillId="4" borderId="37" xfId="0" applyNumberFormat="1" applyFont="1" applyFill="1" applyBorder="1" applyAlignment="1">
      <alignment horizontal="center"/>
    </xf>
    <xf numFmtId="3" fontId="10" fillId="4" borderId="38" xfId="0" applyNumberFormat="1" applyFont="1" applyFill="1" applyBorder="1" applyAlignment="1">
      <alignment horizontal="center"/>
    </xf>
    <xf numFmtId="165" fontId="10" fillId="4" borderId="39" xfId="0" applyNumberFormat="1" applyFont="1" applyFill="1" applyBorder="1" applyAlignment="1">
      <alignment horizontal="center"/>
    </xf>
    <xf numFmtId="9" fontId="10" fillId="4" borderId="38" xfId="0" applyNumberFormat="1" applyFont="1" applyFill="1" applyBorder="1" applyAlignment="1">
      <alignment horizontal="center"/>
    </xf>
    <xf numFmtId="166" fontId="10" fillId="4" borderId="39" xfId="0" applyNumberFormat="1" applyFont="1" applyFill="1" applyBorder="1" applyAlignment="1">
      <alignment horizontal="center"/>
    </xf>
    <xf numFmtId="1" fontId="10" fillId="4" borderId="41" xfId="0" applyNumberFormat="1" applyFont="1" applyFill="1" applyBorder="1" applyAlignment="1">
      <alignment horizontal="center"/>
    </xf>
    <xf numFmtId="0" fontId="10" fillId="4" borderId="39" xfId="0" applyFont="1" applyFill="1" applyBorder="1" applyAlignment="1">
      <alignment horizontal="center"/>
    </xf>
    <xf numFmtId="0" fontId="10" fillId="4" borderId="41" xfId="0" applyFont="1" applyFill="1" applyBorder="1" applyAlignment="1">
      <alignment horizontal="center"/>
    </xf>
    <xf numFmtId="9" fontId="10" fillId="4" borderId="42" xfId="0" applyNumberFormat="1" applyFont="1" applyFill="1" applyBorder="1" applyAlignment="1">
      <alignment horizontal="center"/>
    </xf>
    <xf numFmtId="0" fontId="3" fillId="0" borderId="0" xfId="0" applyFont="1" applyAlignment="1">
      <alignment horizontal="left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3" fillId="0" borderId="0" xfId="1" applyFont="1" applyFill="1" applyAlignment="1">
      <alignment horizontal="center" vertical="center"/>
    </xf>
    <xf numFmtId="1" fontId="3" fillId="0" borderId="0" xfId="0" applyNumberFormat="1" applyFont="1" applyAlignment="1">
      <alignment vertical="center"/>
    </xf>
  </cellXfs>
  <cellStyles count="2">
    <cellStyle name="Normal" xfId="0" builtinId="0"/>
    <cellStyle name="Percent" xfId="1" builtinId="5"/>
  </cellStyles>
  <dxfs count="54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1%20Sales%20&amp;%20Performance/2026-07%20Juli/2026-07-30%20Store%20perfomance.xlsx" TargetMode="External"/><Relationship Id="rId1" Type="http://schemas.openxmlformats.org/officeDocument/2006/relationships/externalLinkPath" Target="2026-07%20Juli/2026-07-30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900000000</v>
          </cell>
          <cell r="N5">
            <v>3</v>
          </cell>
          <cell r="O5">
            <v>300000000</v>
          </cell>
          <cell r="Q5">
            <v>24</v>
          </cell>
          <cell r="R5">
            <v>3600000</v>
          </cell>
          <cell r="S5">
            <v>900000</v>
          </cell>
          <cell r="T5">
            <v>3.6</v>
          </cell>
          <cell r="U5">
            <v>1.2</v>
          </cell>
        </row>
        <row r="6">
          <cell r="C6">
            <v>6010701</v>
          </cell>
          <cell r="D6" t="str">
            <v>6010701-MVS ROXY SHOWROOM 21</v>
          </cell>
          <cell r="E6">
            <v>270</v>
          </cell>
          <cell r="F6">
            <v>6</v>
          </cell>
          <cell r="G6">
            <v>45</v>
          </cell>
          <cell r="I6">
            <v>130</v>
          </cell>
          <cell r="J6">
            <v>6</v>
          </cell>
          <cell r="K6">
            <v>21.6666666666667</v>
          </cell>
          <cell r="M6">
            <v>972000000</v>
          </cell>
          <cell r="N6">
            <v>6</v>
          </cell>
          <cell r="O6">
            <v>162000000</v>
          </cell>
          <cell r="Q6">
            <v>54</v>
          </cell>
          <cell r="R6">
            <v>3888000</v>
          </cell>
          <cell r="S6">
            <v>972000</v>
          </cell>
          <cell r="T6">
            <v>8.1</v>
          </cell>
          <cell r="U6">
            <v>2.7</v>
          </cell>
        </row>
        <row r="7">
          <cell r="C7">
            <v>6010702</v>
          </cell>
          <cell r="D7" t="str">
            <v>6010702-ME ROXY PAMERAN TIMUR</v>
          </cell>
          <cell r="E7">
            <v>270</v>
          </cell>
          <cell r="F7">
            <v>6</v>
          </cell>
          <cell r="G7">
            <v>45</v>
          </cell>
          <cell r="I7">
            <v>130</v>
          </cell>
          <cell r="J7">
            <v>6</v>
          </cell>
          <cell r="K7">
            <v>21.6666666666667</v>
          </cell>
          <cell r="M7">
            <v>972000000</v>
          </cell>
          <cell r="N7">
            <v>6</v>
          </cell>
          <cell r="O7">
            <v>162000000</v>
          </cell>
          <cell r="Q7">
            <v>54</v>
          </cell>
          <cell r="R7">
            <v>3888000</v>
          </cell>
          <cell r="S7">
            <v>972000</v>
          </cell>
          <cell r="T7">
            <v>8.1</v>
          </cell>
          <cell r="U7">
            <v>2.7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396000000</v>
          </cell>
          <cell r="N8">
            <v>3</v>
          </cell>
          <cell r="O8">
            <v>132000000</v>
          </cell>
          <cell r="Q8">
            <v>24</v>
          </cell>
          <cell r="R8">
            <v>1584000</v>
          </cell>
          <cell r="S8">
            <v>396000</v>
          </cell>
          <cell r="T8">
            <v>3.6</v>
          </cell>
          <cell r="U8">
            <v>1.2</v>
          </cell>
        </row>
        <row r="9">
          <cell r="C9">
            <v>6010709</v>
          </cell>
          <cell r="D9" t="str">
            <v>A100303-PAMERAN UTARA</v>
          </cell>
          <cell r="E9">
            <v>330</v>
          </cell>
          <cell r="F9">
            <v>7</v>
          </cell>
          <cell r="G9">
            <v>47.142857142857103</v>
          </cell>
          <cell r="I9">
            <v>135</v>
          </cell>
          <cell r="J9">
            <v>7</v>
          </cell>
          <cell r="K9">
            <v>19.285714285714299</v>
          </cell>
          <cell r="M9">
            <v>1089000000</v>
          </cell>
          <cell r="N9">
            <v>7</v>
          </cell>
          <cell r="O9">
            <v>155571428.57142901</v>
          </cell>
          <cell r="Q9">
            <v>66</v>
          </cell>
          <cell r="R9">
            <v>4356000</v>
          </cell>
          <cell r="S9">
            <v>1089000</v>
          </cell>
          <cell r="T9">
            <v>9.9</v>
          </cell>
          <cell r="U9">
            <v>3.3</v>
          </cell>
        </row>
        <row r="10">
          <cell r="C10">
            <v>6010710</v>
          </cell>
          <cell r="D10" t="str">
            <v>A100304-PAMERAN SELATAN</v>
          </cell>
          <cell r="E10">
            <v>120</v>
          </cell>
          <cell r="F10">
            <v>4</v>
          </cell>
          <cell r="G10">
            <v>30</v>
          </cell>
          <cell r="I10">
            <v>55</v>
          </cell>
          <cell r="J10">
            <v>4</v>
          </cell>
          <cell r="K10">
            <v>13.75</v>
          </cell>
          <cell r="M10">
            <v>396000000</v>
          </cell>
          <cell r="N10">
            <v>4</v>
          </cell>
          <cell r="O10">
            <v>99000000</v>
          </cell>
          <cell r="Q10">
            <v>24</v>
          </cell>
          <cell r="R10">
            <v>1584000</v>
          </cell>
          <cell r="S10">
            <v>396000</v>
          </cell>
          <cell r="T10">
            <v>3.6</v>
          </cell>
          <cell r="U10">
            <v>1.2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365000000</v>
          </cell>
          <cell r="N11">
            <v>3</v>
          </cell>
          <cell r="O11">
            <v>121666666.666667</v>
          </cell>
          <cell r="Q11">
            <v>10</v>
          </cell>
          <cell r="R11">
            <v>1460000</v>
          </cell>
          <cell r="S11">
            <v>365000</v>
          </cell>
          <cell r="T11">
            <v>1.5</v>
          </cell>
          <cell r="U11">
            <v>0.5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24</v>
          </cell>
          <cell r="R12">
            <v>3360000</v>
          </cell>
          <cell r="S12">
            <v>840000</v>
          </cell>
          <cell r="T12">
            <v>3.6</v>
          </cell>
          <cell r="U12">
            <v>1.2</v>
          </cell>
        </row>
        <row r="13">
          <cell r="C13">
            <v>6020706</v>
          </cell>
          <cell r="D13" t="str">
            <v>6020706-MVS CEMPAKA SHOWROOM 2 (454)</v>
          </cell>
          <cell r="E13">
            <v>110</v>
          </cell>
          <cell r="F13">
            <v>3</v>
          </cell>
          <cell r="G13">
            <v>36.6666666666667</v>
          </cell>
          <cell r="I13">
            <v>50</v>
          </cell>
          <cell r="J13">
            <v>3</v>
          </cell>
          <cell r="K13">
            <v>16.6666666666667</v>
          </cell>
          <cell r="M13">
            <v>429000000</v>
          </cell>
          <cell r="N13">
            <v>3</v>
          </cell>
          <cell r="O13">
            <v>143000000</v>
          </cell>
          <cell r="Q13">
            <v>22</v>
          </cell>
          <cell r="R13">
            <v>1716000</v>
          </cell>
          <cell r="S13">
            <v>429000</v>
          </cell>
          <cell r="T13">
            <v>3.3</v>
          </cell>
          <cell r="U13">
            <v>1.1000000000000001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234000000</v>
          </cell>
          <cell r="N14">
            <v>3</v>
          </cell>
          <cell r="O14">
            <v>78000000</v>
          </cell>
          <cell r="Q14">
            <v>12</v>
          </cell>
          <cell r="R14">
            <v>936000</v>
          </cell>
          <cell r="S14">
            <v>234000</v>
          </cell>
          <cell r="T14">
            <v>1.8</v>
          </cell>
          <cell r="U14">
            <v>0.6</v>
          </cell>
        </row>
        <row r="15">
          <cell r="C15">
            <v>6040701</v>
          </cell>
          <cell r="D15" t="str">
            <v>A200402-ITC-VIVO STORE 1</v>
          </cell>
          <cell r="E15">
            <v>60</v>
          </cell>
          <cell r="F15">
            <v>2</v>
          </cell>
          <cell r="G15">
            <v>30</v>
          </cell>
          <cell r="I15">
            <v>29</v>
          </cell>
          <cell r="J15">
            <v>2</v>
          </cell>
          <cell r="K15">
            <v>14.5</v>
          </cell>
          <cell r="M15">
            <v>240000000</v>
          </cell>
          <cell r="N15">
            <v>2</v>
          </cell>
          <cell r="O15">
            <v>120000000</v>
          </cell>
          <cell r="Q15">
            <v>12</v>
          </cell>
          <cell r="R15">
            <v>960000</v>
          </cell>
          <cell r="S15">
            <v>240000</v>
          </cell>
          <cell r="T15">
            <v>1.8</v>
          </cell>
          <cell r="U15">
            <v>0.6</v>
          </cell>
        </row>
        <row r="16">
          <cell r="C16">
            <v>6080712</v>
          </cell>
          <cell r="D16" t="str">
            <v>6080712-MVS ITC DEPOK VIVO STORE 2</v>
          </cell>
          <cell r="E16">
            <v>70</v>
          </cell>
          <cell r="F16">
            <v>3</v>
          </cell>
          <cell r="G16">
            <v>23.3333333333333</v>
          </cell>
          <cell r="I16">
            <v>40</v>
          </cell>
          <cell r="J16">
            <v>3</v>
          </cell>
          <cell r="K16">
            <v>13.3333333333333</v>
          </cell>
          <cell r="M16">
            <v>280000000</v>
          </cell>
          <cell r="N16">
            <v>3</v>
          </cell>
          <cell r="O16">
            <v>93333333.333333299</v>
          </cell>
          <cell r="Q16">
            <v>14</v>
          </cell>
          <cell r="R16">
            <v>1120000</v>
          </cell>
          <cell r="S16">
            <v>280000</v>
          </cell>
          <cell r="T16">
            <v>2.1</v>
          </cell>
          <cell r="U16">
            <v>0.7</v>
          </cell>
        </row>
        <row r="17">
          <cell r="C17">
            <v>6040702</v>
          </cell>
          <cell r="D17" t="str">
            <v>6040702-Tran Studio Mall 2F059</v>
          </cell>
          <cell r="E17">
            <v>40</v>
          </cell>
          <cell r="F17">
            <v>2</v>
          </cell>
          <cell r="G17">
            <v>20</v>
          </cell>
          <cell r="I17">
            <v>30</v>
          </cell>
          <cell r="J17">
            <v>3</v>
          </cell>
          <cell r="K17">
            <v>10</v>
          </cell>
          <cell r="M17">
            <v>280000000</v>
          </cell>
          <cell r="N17">
            <v>3</v>
          </cell>
          <cell r="O17">
            <v>93333333.333333299</v>
          </cell>
          <cell r="Q17">
            <v>8</v>
          </cell>
          <cell r="R17">
            <v>1120000</v>
          </cell>
          <cell r="S17">
            <v>280000</v>
          </cell>
          <cell r="T17">
            <v>1.2</v>
          </cell>
          <cell r="U17">
            <v>0.4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216000000</v>
          </cell>
          <cell r="N18">
            <v>2</v>
          </cell>
          <cell r="O18">
            <v>108000000</v>
          </cell>
          <cell r="Q18">
            <v>8</v>
          </cell>
          <cell r="R18">
            <v>864000</v>
          </cell>
          <cell r="S18">
            <v>216000</v>
          </cell>
          <cell r="T18">
            <v>1.2</v>
          </cell>
          <cell r="U18">
            <v>0.4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342000000</v>
          </cell>
          <cell r="N19">
            <v>2</v>
          </cell>
          <cell r="O19">
            <v>171000000</v>
          </cell>
          <cell r="Q19">
            <v>12</v>
          </cell>
          <cell r="R19">
            <v>1368000</v>
          </cell>
          <cell r="S19">
            <v>342000</v>
          </cell>
          <cell r="T19">
            <v>1.8</v>
          </cell>
          <cell r="U19">
            <v>0.6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114000000</v>
          </cell>
          <cell r="Q20">
            <v>4</v>
          </cell>
          <cell r="R20">
            <v>456000</v>
          </cell>
          <cell r="S20">
            <v>114000</v>
          </cell>
          <cell r="T20">
            <v>0</v>
          </cell>
          <cell r="U20">
            <v>0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456000000</v>
          </cell>
          <cell r="N21">
            <v>3</v>
          </cell>
          <cell r="O21">
            <v>152000000</v>
          </cell>
          <cell r="Q21">
            <v>16</v>
          </cell>
          <cell r="R21">
            <v>1824000</v>
          </cell>
          <cell r="S21">
            <v>456000</v>
          </cell>
          <cell r="T21">
            <v>2.4</v>
          </cell>
          <cell r="U21">
            <v>0.8</v>
          </cell>
        </row>
        <row r="22">
          <cell r="C22">
            <v>6050706</v>
          </cell>
          <cell r="D22" t="str">
            <v>6050706-AEON MALL DELTAMAS 1F081</v>
          </cell>
          <cell r="E22">
            <v>20</v>
          </cell>
          <cell r="M22">
            <v>80000000</v>
          </cell>
          <cell r="Q22">
            <v>4</v>
          </cell>
          <cell r="R22">
            <v>320000</v>
          </cell>
          <cell r="S22">
            <v>80000</v>
          </cell>
          <cell r="T22">
            <v>0</v>
          </cell>
          <cell r="U22">
            <v>0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612000000</v>
          </cell>
          <cell r="N23">
            <v>3</v>
          </cell>
          <cell r="O23">
            <v>204000000</v>
          </cell>
          <cell r="Q23">
            <v>24</v>
          </cell>
          <cell r="R23">
            <v>2448000</v>
          </cell>
          <cell r="S23">
            <v>612000</v>
          </cell>
          <cell r="T23">
            <v>3.6</v>
          </cell>
          <cell r="U23">
            <v>1.2</v>
          </cell>
        </row>
        <row r="24">
          <cell r="C24">
            <v>6180707</v>
          </cell>
          <cell r="D24" t="str">
            <v>6180707-SC BTM</v>
          </cell>
          <cell r="E24">
            <v>25</v>
          </cell>
          <cell r="F24">
            <v>1</v>
          </cell>
          <cell r="G24">
            <v>25</v>
          </cell>
          <cell r="I24">
            <v>15</v>
          </cell>
          <cell r="J24">
            <v>1</v>
          </cell>
          <cell r="K24">
            <v>15</v>
          </cell>
          <cell r="M24">
            <v>117500000</v>
          </cell>
          <cell r="N24">
            <v>1</v>
          </cell>
          <cell r="O24">
            <v>117500000</v>
          </cell>
          <cell r="Q24">
            <v>5</v>
          </cell>
          <cell r="R24">
            <v>100000</v>
          </cell>
          <cell r="S24">
            <v>100000</v>
          </cell>
          <cell r="T24">
            <v>0.75</v>
          </cell>
          <cell r="U24">
            <v>0.25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16</v>
          </cell>
          <cell r="R25">
            <v>1376000</v>
          </cell>
          <cell r="S25">
            <v>344000</v>
          </cell>
          <cell r="T25">
            <v>2.4</v>
          </cell>
          <cell r="U25">
            <v>0.8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20</v>
          </cell>
          <cell r="R26">
            <v>1720000</v>
          </cell>
          <cell r="S26">
            <v>430000</v>
          </cell>
          <cell r="T26">
            <v>3</v>
          </cell>
          <cell r="U26">
            <v>1</v>
          </cell>
        </row>
        <row r="27">
          <cell r="C27">
            <v>6240704</v>
          </cell>
          <cell r="D27" t="str">
            <v>6240704-TANGCITY LG017 WEST LOBBY</v>
          </cell>
          <cell r="E27">
            <v>40</v>
          </cell>
          <cell r="F27">
            <v>2</v>
          </cell>
          <cell r="G27">
            <v>20</v>
          </cell>
          <cell r="I27">
            <v>22</v>
          </cell>
          <cell r="J27">
            <v>2</v>
          </cell>
          <cell r="K27">
            <v>11</v>
          </cell>
          <cell r="M27">
            <v>172000000</v>
          </cell>
          <cell r="N27">
            <v>2</v>
          </cell>
          <cell r="O27">
            <v>86000000</v>
          </cell>
          <cell r="Q27">
            <v>8</v>
          </cell>
          <cell r="R27">
            <v>350000</v>
          </cell>
          <cell r="S27">
            <v>150000</v>
          </cell>
          <cell r="T27">
            <v>1.2</v>
          </cell>
          <cell r="U27">
            <v>0.4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18</v>
          </cell>
          <cell r="R28">
            <v>1548000</v>
          </cell>
          <cell r="S28">
            <v>387000</v>
          </cell>
          <cell r="T28">
            <v>2.7</v>
          </cell>
          <cell r="U28">
            <v>0.9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18</v>
          </cell>
          <cell r="R29">
            <v>1548000</v>
          </cell>
          <cell r="S29">
            <v>387000</v>
          </cell>
          <cell r="T29">
            <v>2.7</v>
          </cell>
          <cell r="U29">
            <v>0.9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18</v>
          </cell>
          <cell r="R30">
            <v>1548000</v>
          </cell>
          <cell r="S30">
            <v>387000</v>
          </cell>
          <cell r="T30">
            <v>2.7</v>
          </cell>
          <cell r="U30">
            <v>0.9</v>
          </cell>
        </row>
        <row r="31">
          <cell r="C31">
            <v>6170703</v>
          </cell>
          <cell r="D31" t="str">
            <v>6170703-4004 MVS-BNT-CCM STORE</v>
          </cell>
          <cell r="E31">
            <v>40</v>
          </cell>
          <cell r="F31">
            <v>2</v>
          </cell>
          <cell r="G31">
            <v>20</v>
          </cell>
          <cell r="I31">
            <v>18</v>
          </cell>
          <cell r="J31">
            <v>2</v>
          </cell>
          <cell r="K31">
            <v>9</v>
          </cell>
          <cell r="M31">
            <v>172000000</v>
          </cell>
          <cell r="N31">
            <v>2</v>
          </cell>
          <cell r="O31">
            <v>86000000</v>
          </cell>
          <cell r="Q31">
            <v>8</v>
          </cell>
          <cell r="R31">
            <v>200000</v>
          </cell>
          <cell r="S31">
            <v>100000</v>
          </cell>
          <cell r="T31">
            <v>1.2</v>
          </cell>
          <cell r="U31">
            <v>0.4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160000000</v>
          </cell>
          <cell r="N32">
            <v>2</v>
          </cell>
          <cell r="O32">
            <v>80000000</v>
          </cell>
          <cell r="Q32">
            <v>8</v>
          </cell>
          <cell r="R32">
            <v>100000</v>
          </cell>
          <cell r="S32">
            <v>50000</v>
          </cell>
          <cell r="T32">
            <v>1.2</v>
          </cell>
          <cell r="U32">
            <v>0.4</v>
          </cell>
        </row>
        <row r="33">
          <cell r="C33">
            <v>6240707</v>
          </cell>
          <cell r="D33" t="str">
            <v>6240707-SUPERMALL UGN3A</v>
          </cell>
          <cell r="E33">
            <v>35</v>
          </cell>
          <cell r="F33">
            <v>2</v>
          </cell>
          <cell r="G33">
            <v>17.5</v>
          </cell>
          <cell r="I33">
            <v>18</v>
          </cell>
          <cell r="J33">
            <v>2</v>
          </cell>
          <cell r="K33">
            <v>9</v>
          </cell>
          <cell r="M33">
            <v>192500000</v>
          </cell>
          <cell r="N33">
            <v>2</v>
          </cell>
          <cell r="O33">
            <v>96250000</v>
          </cell>
          <cell r="Q33">
            <v>7</v>
          </cell>
          <cell r="R33">
            <v>770000</v>
          </cell>
          <cell r="S33">
            <v>192500</v>
          </cell>
          <cell r="T33">
            <v>1.05</v>
          </cell>
          <cell r="U33">
            <v>0.35</v>
          </cell>
        </row>
        <row r="34">
          <cell r="C34">
            <v>6240706</v>
          </cell>
          <cell r="D34" t="str">
            <v>6240706-SUPERMALL LGC3A</v>
          </cell>
          <cell r="E34">
            <v>35</v>
          </cell>
          <cell r="F34">
            <v>2</v>
          </cell>
          <cell r="G34">
            <v>17.5</v>
          </cell>
          <cell r="I34">
            <v>18</v>
          </cell>
          <cell r="J34">
            <v>2</v>
          </cell>
          <cell r="K34">
            <v>9</v>
          </cell>
          <cell r="M34">
            <v>192500000</v>
          </cell>
          <cell r="N34">
            <v>2</v>
          </cell>
          <cell r="O34">
            <v>96250000</v>
          </cell>
          <cell r="Q34">
            <v>7</v>
          </cell>
          <cell r="R34">
            <v>770000</v>
          </cell>
          <cell r="S34">
            <v>192500</v>
          </cell>
          <cell r="T34">
            <v>1.05</v>
          </cell>
          <cell r="U34">
            <v>0.35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135000000</v>
          </cell>
          <cell r="N35">
            <v>2</v>
          </cell>
          <cell r="O35">
            <v>67500000</v>
          </cell>
          <cell r="Q35">
            <v>6</v>
          </cell>
          <cell r="R35">
            <v>540000</v>
          </cell>
          <cell r="S35">
            <v>135000</v>
          </cell>
          <cell r="T35">
            <v>0.9</v>
          </cell>
          <cell r="U35">
            <v>0.3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135000000</v>
          </cell>
          <cell r="N36">
            <v>2</v>
          </cell>
          <cell r="O36">
            <v>67500000</v>
          </cell>
          <cell r="Q36">
            <v>6</v>
          </cell>
          <cell r="R36">
            <v>540000</v>
          </cell>
          <cell r="S36">
            <v>135000</v>
          </cell>
          <cell r="T36">
            <v>0.9</v>
          </cell>
          <cell r="U36">
            <v>0.3</v>
          </cell>
        </row>
        <row r="37">
          <cell r="C37">
            <v>6190701</v>
          </cell>
          <cell r="D37" t="str">
            <v>6190701-VIVO STORE UG</v>
          </cell>
          <cell r="E37">
            <v>40</v>
          </cell>
          <cell r="F37">
            <v>2</v>
          </cell>
          <cell r="G37">
            <v>20</v>
          </cell>
          <cell r="I37">
            <v>32</v>
          </cell>
          <cell r="J37">
            <v>2</v>
          </cell>
          <cell r="K37">
            <v>16</v>
          </cell>
          <cell r="M37">
            <v>180000000</v>
          </cell>
          <cell r="N37">
            <v>2</v>
          </cell>
          <cell r="O37">
            <v>90000000</v>
          </cell>
          <cell r="Q37">
            <v>8</v>
          </cell>
          <cell r="R37">
            <v>720000</v>
          </cell>
          <cell r="S37">
            <v>180000</v>
          </cell>
          <cell r="T37">
            <v>1.2</v>
          </cell>
          <cell r="U37">
            <v>0.4</v>
          </cell>
        </row>
        <row r="38">
          <cell r="C38">
            <v>6190706</v>
          </cell>
          <cell r="D38" t="str">
            <v>A300102-VIVO STORE 4 BEC</v>
          </cell>
          <cell r="E38">
            <v>125</v>
          </cell>
          <cell r="F38">
            <v>4</v>
          </cell>
          <cell r="G38">
            <v>31.25</v>
          </cell>
          <cell r="I38">
            <v>61</v>
          </cell>
          <cell r="J38">
            <v>4</v>
          </cell>
          <cell r="K38">
            <v>15.25</v>
          </cell>
          <cell r="M38">
            <v>562500000</v>
          </cell>
          <cell r="N38">
            <v>4</v>
          </cell>
          <cell r="O38">
            <v>140625000</v>
          </cell>
          <cell r="Q38">
            <v>25</v>
          </cell>
          <cell r="R38">
            <v>2250000</v>
          </cell>
          <cell r="S38">
            <v>562500</v>
          </cell>
          <cell r="T38">
            <v>3.75</v>
          </cell>
          <cell r="U38">
            <v>1.25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270000000</v>
          </cell>
          <cell r="N39">
            <v>2</v>
          </cell>
          <cell r="O39">
            <v>135000000</v>
          </cell>
          <cell r="Q39">
            <v>12</v>
          </cell>
          <cell r="R39">
            <v>1080000</v>
          </cell>
          <cell r="S39">
            <v>270000</v>
          </cell>
          <cell r="T39">
            <v>1.8</v>
          </cell>
          <cell r="U39">
            <v>0.6</v>
          </cell>
        </row>
        <row r="40">
          <cell r="C40">
            <v>6190704</v>
          </cell>
          <cell r="D40" t="str">
            <v>A300201-VIVO STORE 1 BEC</v>
          </cell>
          <cell r="E40">
            <v>130</v>
          </cell>
          <cell r="F40">
            <v>4</v>
          </cell>
          <cell r="G40">
            <v>32.5</v>
          </cell>
          <cell r="I40">
            <v>50</v>
          </cell>
          <cell r="J40">
            <v>4</v>
          </cell>
          <cell r="K40">
            <v>12.5</v>
          </cell>
          <cell r="M40">
            <v>585000000</v>
          </cell>
          <cell r="N40">
            <v>4</v>
          </cell>
          <cell r="O40">
            <v>146250000</v>
          </cell>
          <cell r="Q40">
            <v>26</v>
          </cell>
          <cell r="R40">
            <v>2340000</v>
          </cell>
          <cell r="S40">
            <v>585000</v>
          </cell>
          <cell r="T40">
            <v>3.9</v>
          </cell>
          <cell r="U40">
            <v>1.3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540000000</v>
          </cell>
          <cell r="N41">
            <v>4</v>
          </cell>
          <cell r="O41">
            <v>135000000</v>
          </cell>
          <cell r="Q41">
            <v>24</v>
          </cell>
          <cell r="R41">
            <v>2160000</v>
          </cell>
          <cell r="S41">
            <v>540000</v>
          </cell>
          <cell r="T41">
            <v>3.6</v>
          </cell>
          <cell r="U41">
            <v>1.2</v>
          </cell>
        </row>
        <row r="42">
          <cell r="C42">
            <v>6190708</v>
          </cell>
          <cell r="D42" t="str">
            <v>6190708-BEC SC LGAA07</v>
          </cell>
          <cell r="E42">
            <v>10</v>
          </cell>
          <cell r="M42">
            <v>45000000</v>
          </cell>
          <cell r="Q42">
            <v>2</v>
          </cell>
          <cell r="R42">
            <v>180000</v>
          </cell>
          <cell r="S42">
            <v>45000</v>
          </cell>
          <cell r="T42">
            <v>0.3</v>
          </cell>
          <cell r="U42">
            <v>0.1</v>
          </cell>
        </row>
        <row r="43">
          <cell r="C43">
            <v>6150702</v>
          </cell>
          <cell r="D43" t="str">
            <v>6150702-GRANMALL SC GF-11</v>
          </cell>
          <cell r="E43">
            <v>10</v>
          </cell>
          <cell r="M43">
            <v>40000000</v>
          </cell>
          <cell r="Q43">
            <v>2</v>
          </cell>
          <cell r="R43">
            <v>160000</v>
          </cell>
          <cell r="S43">
            <v>40000</v>
          </cell>
          <cell r="T43">
            <v>0.3</v>
          </cell>
          <cell r="U43">
            <v>0.1</v>
          </cell>
        </row>
        <row r="44">
          <cell r="C44">
            <v>6100702</v>
          </cell>
          <cell r="D44" t="str">
            <v>6100702-VS Jogja City Mall</v>
          </cell>
          <cell r="E44">
            <v>60</v>
          </cell>
          <cell r="F44">
            <v>1</v>
          </cell>
          <cell r="G44">
            <v>60</v>
          </cell>
          <cell r="I44">
            <v>22</v>
          </cell>
          <cell r="J44">
            <v>1</v>
          </cell>
          <cell r="K44">
            <v>22</v>
          </cell>
          <cell r="M44">
            <v>420000000</v>
          </cell>
          <cell r="N44">
            <v>1</v>
          </cell>
          <cell r="O44">
            <v>420000000</v>
          </cell>
          <cell r="Q44">
            <v>12</v>
          </cell>
          <cell r="R44">
            <v>1680000</v>
          </cell>
          <cell r="S44">
            <v>420000</v>
          </cell>
          <cell r="T44">
            <v>1.8</v>
          </cell>
          <cell r="U44">
            <v>0.6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12</v>
          </cell>
          <cell r="R45">
            <v>1200000</v>
          </cell>
          <cell r="S45">
            <v>300000</v>
          </cell>
          <cell r="T45">
            <v>1.8</v>
          </cell>
          <cell r="U45">
            <v>0.6</v>
          </cell>
        </row>
        <row r="46">
          <cell r="C46">
            <v>6140706</v>
          </cell>
          <cell r="D46" t="str">
            <v>6140706-23 SEMARANG MALL 1F065-66</v>
          </cell>
          <cell r="E46">
            <v>20</v>
          </cell>
          <cell r="F46">
            <v>2</v>
          </cell>
          <cell r="M46">
            <v>140000000</v>
          </cell>
          <cell r="Q46">
            <v>4</v>
          </cell>
          <cell r="R46">
            <v>560000</v>
          </cell>
          <cell r="S46">
            <v>140000</v>
          </cell>
          <cell r="T46">
            <v>0.6</v>
          </cell>
          <cell r="U46">
            <v>0.2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12</v>
          </cell>
          <cell r="R47">
            <v>1680000</v>
          </cell>
          <cell r="S47">
            <v>420000</v>
          </cell>
          <cell r="T47">
            <v>1.8</v>
          </cell>
          <cell r="U47">
            <v>0.6</v>
          </cell>
        </row>
        <row r="48">
          <cell r="E48">
            <v>3500</v>
          </cell>
          <cell r="F48">
            <v>115</v>
          </cell>
          <cell r="I48">
            <v>1619</v>
          </cell>
          <cell r="J48">
            <v>113</v>
          </cell>
          <cell r="M48">
            <v>15927000000</v>
          </cell>
          <cell r="N48">
            <v>113</v>
          </cell>
          <cell r="O48">
            <v>140946902.65486699</v>
          </cell>
          <cell r="Q48">
            <v>700</v>
          </cell>
          <cell r="R48">
            <v>61972000</v>
          </cell>
          <cell r="S48">
            <v>15705500</v>
          </cell>
          <cell r="T48">
            <v>103.8</v>
          </cell>
          <cell r="U48">
            <v>34.6</v>
          </cell>
        </row>
        <row r="49">
          <cell r="E49">
            <v>3500</v>
          </cell>
          <cell r="I49">
            <v>1619</v>
          </cell>
        </row>
      </sheetData>
      <sheetData sheetId="29"/>
      <sheetData sheetId="30"/>
      <sheetData sheetId="31"/>
      <sheetData sheetId="32"/>
      <sheetData sheetId="33">
        <row r="6">
          <cell r="A6" t="str">
            <v>Sum of Qty</v>
          </cell>
        </row>
      </sheetData>
      <sheetData sheetId="34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7396727.2727272725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3336282.2299651569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3275699.0291262134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7346663.5514018694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9091592.5925925933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4170559.6330275228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3435585.3658536584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4893736.8421052629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5994238.0952380951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5730034.4827586208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5243262.2950819675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5795153.846153846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5617939.3939393936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4491857.1428571427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3972015.8730158731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3715216.2162162163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4745031.7460317463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4876419.3548387093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5360538.461538462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5344161.2903225804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3760290.3225806453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4087135.5932203392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8247936.1702127662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5276142.8571428573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8932928.5714285709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3468811.3207547171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4362709.6774193551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4562218.3908045981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4721340.4255319145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3909416.6666666665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3164423.7288135593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F218F-9C9D-C646-8E19-2EA1551E55B8}">
  <sheetPr>
    <tabColor rgb="FF00B050"/>
  </sheetPr>
  <dimension ref="A1:BQ53"/>
  <sheetViews>
    <sheetView tabSelected="1" zoomScale="85" zoomScaleNormal="85" workbookViewId="0">
      <pane xSplit="6" ySplit="4" topLeftCell="G5" activePane="bottomRight" state="frozen"/>
      <selection pane="topRight"/>
      <selection pane="bottomLeft"/>
      <selection pane="bottomRight" sqref="A1:BQ48"/>
    </sheetView>
  </sheetViews>
  <sheetFormatPr baseColWidth="10" defaultColWidth="9.1640625" defaultRowHeight="15" x14ac:dyDescent="0.15"/>
  <cols>
    <col min="1" max="1" width="5.6640625" style="15" customWidth="1"/>
    <col min="2" max="2" width="22.5" style="15" customWidth="1"/>
    <col min="3" max="3" width="10.6640625" style="15" customWidth="1"/>
    <col min="4" max="4" width="54.83203125" style="178" customWidth="1"/>
    <col min="5" max="5" width="21.6640625" style="178" customWidth="1"/>
    <col min="6" max="6" width="9.6640625" style="178" customWidth="1"/>
    <col min="7" max="7" width="7.6640625" style="178" customWidth="1"/>
    <col min="8" max="8" width="13.6640625" style="178" customWidth="1"/>
    <col min="9" max="17" width="7.6640625" style="180" customWidth="1"/>
    <col min="18" max="18" width="14.5" style="180" customWidth="1"/>
    <col min="19" max="19" width="7.6640625" style="180" customWidth="1"/>
    <col min="20" max="20" width="13.1640625" style="180" customWidth="1"/>
    <col min="21" max="25" width="7.6640625" style="180" customWidth="1"/>
    <col min="26" max="26" width="13.6640625" style="180" customWidth="1"/>
    <col min="27" max="27" width="12.6640625" style="180" customWidth="1"/>
    <col min="28" max="28" width="7.6640625" style="180" customWidth="1"/>
    <col min="29" max="29" width="9.1640625" style="180" customWidth="1"/>
    <col min="30" max="30" width="12.1640625" style="15" customWidth="1"/>
    <col min="31" max="34" width="7.6640625" style="15" customWidth="1"/>
    <col min="35" max="46" width="7.6640625" style="180" customWidth="1"/>
    <col min="47" max="49" width="12.6640625" style="180" customWidth="1"/>
    <col min="50" max="50" width="7.6640625" style="180" customWidth="1"/>
    <col min="51" max="51" width="12.1640625" style="180" customWidth="1"/>
    <col min="52" max="52" width="11.1640625" style="180" customWidth="1"/>
    <col min="53" max="54" width="12.6640625" style="180" customWidth="1"/>
    <col min="55" max="57" width="7.6640625" style="15" customWidth="1"/>
    <col min="58" max="59" width="10.1640625" style="15" customWidth="1"/>
    <col min="60" max="60" width="12.1640625" style="15" customWidth="1"/>
    <col min="61" max="62" width="10.83203125" style="15" customWidth="1"/>
    <col min="63" max="69" width="7.6640625" style="15" customWidth="1"/>
    <col min="70" max="70" width="9.1640625" style="15" customWidth="1"/>
    <col min="71" max="16384" width="9.1640625" style="15"/>
  </cols>
  <sheetData>
    <row r="1" spans="1:69" ht="18" customHeight="1" x14ac:dyDescent="0.15">
      <c r="A1" s="1" t="s">
        <v>0</v>
      </c>
      <c r="B1" s="2"/>
      <c r="C1" s="2"/>
      <c r="D1" s="3" t="s">
        <v>1</v>
      </c>
      <c r="E1" s="3" t="s">
        <v>2</v>
      </c>
      <c r="F1" s="4" t="s">
        <v>3</v>
      </c>
      <c r="G1" s="5" t="s">
        <v>4</v>
      </c>
      <c r="H1" s="6"/>
      <c r="I1" s="5" t="s">
        <v>5</v>
      </c>
      <c r="J1" s="7"/>
      <c r="K1" s="8"/>
      <c r="L1" s="8"/>
      <c r="M1" s="8"/>
      <c r="N1" s="8"/>
      <c r="O1" s="8"/>
      <c r="P1" s="8"/>
      <c r="Q1" s="8"/>
      <c r="R1" s="8"/>
      <c r="S1" s="8"/>
      <c r="T1" s="9"/>
      <c r="U1" s="5" t="s">
        <v>6</v>
      </c>
      <c r="V1" s="7"/>
      <c r="W1" s="8"/>
      <c r="X1" s="8"/>
      <c r="Y1" s="8"/>
      <c r="Z1" s="8"/>
      <c r="AA1" s="8"/>
      <c r="AB1" s="9"/>
      <c r="AC1" s="5" t="s">
        <v>7</v>
      </c>
      <c r="AD1" s="6"/>
      <c r="AE1" s="5" t="s">
        <v>8</v>
      </c>
      <c r="AF1" s="7"/>
      <c r="AG1" s="8"/>
      <c r="AH1" s="9"/>
      <c r="AI1" s="10" t="s">
        <v>9</v>
      </c>
      <c r="AJ1" s="11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3"/>
      <c r="BC1" s="10" t="s">
        <v>10</v>
      </c>
      <c r="BD1" s="11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4"/>
    </row>
    <row r="2" spans="1:69" ht="18" customHeight="1" x14ac:dyDescent="0.15">
      <c r="A2" s="16"/>
      <c r="B2" s="17"/>
      <c r="C2" s="17"/>
      <c r="D2" s="18">
        <v>30</v>
      </c>
      <c r="E2" s="18">
        <v>30</v>
      </c>
      <c r="F2" s="19">
        <f>E2/D2</f>
        <v>1</v>
      </c>
      <c r="G2" s="20"/>
      <c r="H2" s="21"/>
      <c r="I2" s="20"/>
      <c r="J2" s="22"/>
      <c r="K2" s="23"/>
      <c r="L2" s="23"/>
      <c r="M2" s="23"/>
      <c r="N2" s="23"/>
      <c r="O2" s="23"/>
      <c r="P2" s="23"/>
      <c r="Q2" s="23"/>
      <c r="R2" s="23"/>
      <c r="S2" s="23"/>
      <c r="T2" s="24"/>
      <c r="U2" s="20"/>
      <c r="V2" s="22"/>
      <c r="W2" s="23"/>
      <c r="X2" s="23"/>
      <c r="Y2" s="23"/>
      <c r="Z2" s="23"/>
      <c r="AA2" s="23"/>
      <c r="AB2" s="24"/>
      <c r="AC2" s="20"/>
      <c r="AD2" s="21"/>
      <c r="AE2" s="20"/>
      <c r="AF2" s="22"/>
      <c r="AG2" s="23"/>
      <c r="AH2" s="24"/>
      <c r="AI2" s="25"/>
      <c r="AJ2" s="26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8"/>
      <c r="BC2" s="25" t="s">
        <v>11</v>
      </c>
      <c r="BD2" s="26"/>
      <c r="BE2" s="27"/>
      <c r="BF2" s="27" t="s">
        <v>12</v>
      </c>
      <c r="BG2" s="27"/>
      <c r="BH2" s="27"/>
      <c r="BI2" s="27" t="s">
        <v>13</v>
      </c>
      <c r="BJ2" s="27"/>
      <c r="BK2" s="27"/>
      <c r="BL2" s="27" t="s">
        <v>14</v>
      </c>
      <c r="BM2" s="27"/>
      <c r="BN2" s="27"/>
      <c r="BO2" s="27" t="s">
        <v>15</v>
      </c>
      <c r="BP2" s="27"/>
      <c r="BQ2" s="29"/>
    </row>
    <row r="3" spans="1:69" ht="20" customHeight="1" x14ac:dyDescent="0.15">
      <c r="A3" s="30" t="s">
        <v>16</v>
      </c>
      <c r="B3" s="31" t="s">
        <v>17</v>
      </c>
      <c r="C3" s="31" t="s">
        <v>18</v>
      </c>
      <c r="D3" s="31" t="s">
        <v>19</v>
      </c>
      <c r="E3" s="31" t="s">
        <v>20</v>
      </c>
      <c r="F3" s="32" t="s">
        <v>21</v>
      </c>
      <c r="G3" s="33"/>
      <c r="H3" s="34"/>
      <c r="I3" s="33"/>
      <c r="J3" s="35"/>
      <c r="K3" s="36"/>
      <c r="L3" s="36"/>
      <c r="M3" s="36"/>
      <c r="N3" s="36"/>
      <c r="O3" s="36"/>
      <c r="P3" s="36"/>
      <c r="Q3" s="36"/>
      <c r="R3" s="36"/>
      <c r="S3" s="36"/>
      <c r="T3" s="37"/>
      <c r="U3" s="33"/>
      <c r="V3" s="35"/>
      <c r="W3" s="36"/>
      <c r="X3" s="36"/>
      <c r="Y3" s="36"/>
      <c r="Z3" s="36"/>
      <c r="AA3" s="36"/>
      <c r="AB3" s="37"/>
      <c r="AC3" s="33"/>
      <c r="AD3" s="34"/>
      <c r="AE3" s="33"/>
      <c r="AF3" s="35"/>
      <c r="AG3" s="36"/>
      <c r="AH3" s="37"/>
      <c r="AI3" s="33" t="s">
        <v>22</v>
      </c>
      <c r="AJ3" s="35"/>
      <c r="AK3" s="36"/>
      <c r="AL3" s="36"/>
      <c r="AM3" s="36" t="s">
        <v>23</v>
      </c>
      <c r="AN3" s="36"/>
      <c r="AO3" s="36"/>
      <c r="AP3" s="36"/>
      <c r="AQ3" s="36" t="s">
        <v>24</v>
      </c>
      <c r="AR3" s="36"/>
      <c r="AS3" s="36"/>
      <c r="AT3" s="36"/>
      <c r="AU3" s="36" t="s">
        <v>25</v>
      </c>
      <c r="AV3" s="36"/>
      <c r="AW3" s="36"/>
      <c r="AX3" s="36"/>
      <c r="AY3" s="36" t="s">
        <v>26</v>
      </c>
      <c r="AZ3" s="36"/>
      <c r="BA3" s="36"/>
      <c r="BB3" s="37"/>
      <c r="BC3" s="33" t="s">
        <v>27</v>
      </c>
      <c r="BD3" s="35" t="s">
        <v>28</v>
      </c>
      <c r="BE3" s="36" t="s">
        <v>29</v>
      </c>
      <c r="BF3" s="36" t="s">
        <v>30</v>
      </c>
      <c r="BG3" s="36" t="s">
        <v>28</v>
      </c>
      <c r="BH3" s="36" t="s">
        <v>29</v>
      </c>
      <c r="BI3" s="36" t="s">
        <v>31</v>
      </c>
      <c r="BJ3" s="36" t="s">
        <v>28</v>
      </c>
      <c r="BK3" s="36" t="s">
        <v>29</v>
      </c>
      <c r="BL3" s="36" t="s">
        <v>32</v>
      </c>
      <c r="BM3" s="36" t="s">
        <v>28</v>
      </c>
      <c r="BN3" s="36" t="s">
        <v>29</v>
      </c>
      <c r="BO3" s="36" t="s">
        <v>33</v>
      </c>
      <c r="BP3" s="36" t="s">
        <v>28</v>
      </c>
      <c r="BQ3" s="38" t="s">
        <v>29</v>
      </c>
    </row>
    <row r="4" spans="1:69" ht="30" customHeight="1" thickBot="1" x14ac:dyDescent="0.2">
      <c r="A4" s="39"/>
      <c r="B4" s="40"/>
      <c r="C4" s="41"/>
      <c r="D4" s="40"/>
      <c r="E4" s="40"/>
      <c r="F4" s="42"/>
      <c r="G4" s="43" t="s">
        <v>22</v>
      </c>
      <c r="H4" s="44" t="s">
        <v>25</v>
      </c>
      <c r="I4" s="45" t="s">
        <v>22</v>
      </c>
      <c r="J4" s="46" t="s">
        <v>29</v>
      </c>
      <c r="K4" s="47" t="s">
        <v>34</v>
      </c>
      <c r="L4" s="47" t="s">
        <v>35</v>
      </c>
      <c r="M4" s="47" t="s">
        <v>24</v>
      </c>
      <c r="N4" s="47" t="s">
        <v>29</v>
      </c>
      <c r="O4" s="47" t="s">
        <v>8</v>
      </c>
      <c r="P4" s="47" t="s">
        <v>29</v>
      </c>
      <c r="Q4" s="47" t="s">
        <v>36</v>
      </c>
      <c r="R4" s="47" t="s">
        <v>25</v>
      </c>
      <c r="S4" s="47" t="s">
        <v>29</v>
      </c>
      <c r="T4" s="48" t="s">
        <v>34</v>
      </c>
      <c r="U4" s="49" t="s">
        <v>22</v>
      </c>
      <c r="V4" s="50" t="s">
        <v>29</v>
      </c>
      <c r="W4" s="51" t="s">
        <v>34</v>
      </c>
      <c r="X4" s="51" t="s">
        <v>24</v>
      </c>
      <c r="Y4" s="51" t="s">
        <v>34</v>
      </c>
      <c r="Z4" s="51" t="s">
        <v>25</v>
      </c>
      <c r="AA4" s="51" t="s">
        <v>34</v>
      </c>
      <c r="AB4" s="52" t="s">
        <v>29</v>
      </c>
      <c r="AC4" s="53" t="s">
        <v>22</v>
      </c>
      <c r="AD4" s="54" t="s">
        <v>25</v>
      </c>
      <c r="AE4" s="55" t="s">
        <v>37</v>
      </c>
      <c r="AF4" s="56" t="s">
        <v>38</v>
      </c>
      <c r="AG4" s="57" t="s">
        <v>34</v>
      </c>
      <c r="AH4" s="58" t="s">
        <v>29</v>
      </c>
      <c r="AI4" s="59" t="s">
        <v>37</v>
      </c>
      <c r="AJ4" s="60" t="s">
        <v>38</v>
      </c>
      <c r="AK4" s="61" t="s">
        <v>34</v>
      </c>
      <c r="AL4" s="61" t="s">
        <v>29</v>
      </c>
      <c r="AM4" s="61" t="s">
        <v>37</v>
      </c>
      <c r="AN4" s="61" t="s">
        <v>38</v>
      </c>
      <c r="AO4" s="61" t="s">
        <v>34</v>
      </c>
      <c r="AP4" s="61" t="s">
        <v>29</v>
      </c>
      <c r="AQ4" s="61" t="s">
        <v>37</v>
      </c>
      <c r="AR4" s="61" t="s">
        <v>38</v>
      </c>
      <c r="AS4" s="61" t="s">
        <v>34</v>
      </c>
      <c r="AT4" s="61" t="s">
        <v>39</v>
      </c>
      <c r="AU4" s="61" t="s">
        <v>37</v>
      </c>
      <c r="AV4" s="61" t="s">
        <v>38</v>
      </c>
      <c r="AW4" s="61" t="s">
        <v>34</v>
      </c>
      <c r="AX4" s="61" t="s">
        <v>29</v>
      </c>
      <c r="AY4" s="61" t="s">
        <v>37</v>
      </c>
      <c r="AZ4" s="61" t="s">
        <v>38</v>
      </c>
      <c r="BA4" s="61" t="s">
        <v>34</v>
      </c>
      <c r="BB4" s="62" t="s">
        <v>29</v>
      </c>
      <c r="BC4" s="63"/>
      <c r="BD4" s="64"/>
      <c r="BE4" s="65"/>
      <c r="BF4" s="65"/>
      <c r="BG4" s="65"/>
      <c r="BH4" s="65"/>
      <c r="BI4" s="65"/>
      <c r="BJ4" s="65"/>
      <c r="BK4" s="65"/>
      <c r="BL4" s="65"/>
      <c r="BM4" s="65"/>
      <c r="BN4" s="65"/>
      <c r="BO4" s="65"/>
      <c r="BP4" s="65"/>
      <c r="BQ4" s="66"/>
    </row>
    <row r="5" spans="1:69" x14ac:dyDescent="0.2">
      <c r="A5" s="67">
        <v>1</v>
      </c>
      <c r="B5" s="68" t="s">
        <v>40</v>
      </c>
      <c r="C5" s="69">
        <v>6010708</v>
      </c>
      <c r="D5" s="70" t="s">
        <v>41</v>
      </c>
      <c r="E5" s="71" t="s">
        <v>42</v>
      </c>
      <c r="F5" s="72">
        <v>3</v>
      </c>
      <c r="G5" s="73">
        <f>IFERROR(VLOOKUP(C5,'[1]TARGET THIS MONTH'!C:E,3,0),0)</f>
        <v>120</v>
      </c>
      <c r="H5" s="74">
        <f>IFERROR(VLOOKUP(C5,'[1]TARGET THIS MONTH'!C:M,11,0),0)</f>
        <v>900000000</v>
      </c>
      <c r="I5" s="73">
        <f>IFERROR(GETPIVOTDATA("Sum of Qty",'[1]DEVICE &amp; VALUE'!$A$6,"ID Store",$C5),0)</f>
        <v>110</v>
      </c>
      <c r="J5" s="75">
        <f t="shared" ref="J5:J48" si="0">I5/G5</f>
        <v>0.91666666666666663</v>
      </c>
      <c r="K5" s="76">
        <f t="shared" ref="K5:K48" si="1">I5-G5</f>
        <v>-10</v>
      </c>
      <c r="L5" s="77">
        <f>IFERROR(GETPIVOTDATA("Sum of Qty",[1]PF!$A$5,"ID Store",$C5),0)</f>
        <v>17</v>
      </c>
      <c r="M5" s="77">
        <f>IFERROR(GETPIVOTDATA("Sum of Qty",'[1]DEVICE &amp; VALUE'!$A$6,"ID Store",$C5,"Segment Price","3mio&gt;"),0)</f>
        <v>74</v>
      </c>
      <c r="N5" s="78">
        <f t="shared" ref="N5:N47" si="2">IFERROR(M5/I5,0)</f>
        <v>0.67272727272727273</v>
      </c>
      <c r="O5" s="79">
        <f>IFERROR(GETPIVOTDATA("Sum of Qty",[1]IQOO!$A$6,"ID Store",$C5),0)</f>
        <v>18</v>
      </c>
      <c r="P5" s="78">
        <f t="shared" ref="P5:P47" si="3">IFERROR(O5/I5,0)</f>
        <v>0.16363636363636364</v>
      </c>
      <c r="Q5" s="78">
        <f t="shared" ref="Q5:Q47" si="4">IFERROR(M5/I5,0)</f>
        <v>0.67272727272727273</v>
      </c>
      <c r="R5" s="80">
        <f>IFERROR(GETPIVOTDATA("Sum of SRP",'[1]DEVICE &amp; VALUE'!$A$6,"ID Store",$C5),0)</f>
        <v>857390000</v>
      </c>
      <c r="S5" s="78">
        <f t="shared" ref="S5:S47" si="5">IFERROR(R5/H5,0)</f>
        <v>0.95265555555555559</v>
      </c>
      <c r="T5" s="81">
        <f t="shared" ref="T5:T48" si="6">R5-H5</f>
        <v>-42610000</v>
      </c>
      <c r="U5" s="82">
        <f t="shared" ref="U5:U47" si="7">I5/$E$2*$D$2</f>
        <v>110</v>
      </c>
      <c r="V5" s="83">
        <f t="shared" ref="V5:V47" si="8">IFERROR(U5/G5,0)</f>
        <v>0.91666666666666663</v>
      </c>
      <c r="W5" s="84">
        <f t="shared" ref="W5:W48" si="9">U5-G5</f>
        <v>-10</v>
      </c>
      <c r="X5" s="84">
        <f t="shared" ref="X5:X47" si="10">M5/$E$2*$D$2</f>
        <v>74</v>
      </c>
      <c r="Y5" s="84">
        <f t="shared" ref="Y5:Y48" si="11">X5-G5</f>
        <v>-46</v>
      </c>
      <c r="Z5" s="85">
        <f t="shared" ref="Z5:Z47" si="12">R5/$E$2*$D$2</f>
        <v>857390000</v>
      </c>
      <c r="AA5" s="85">
        <f t="shared" ref="AA5:AA48" si="13">Z5-H5</f>
        <v>-42610000</v>
      </c>
      <c r="AB5" s="86">
        <f t="shared" ref="AB5:AB47" si="14">IFERROR(Z5/H5,0)</f>
        <v>0.95265555555555559</v>
      </c>
      <c r="AC5" s="87">
        <f t="shared" ref="AC5:AC47" si="15">IFERROR(($G5-$I5)/($D$2-$E$2),0)</f>
        <v>0</v>
      </c>
      <c r="AD5" s="88">
        <f t="shared" ref="AD5:AD47" si="16">IFERROR(($H5-$R5)/($D$2-$E$2),0)</f>
        <v>0</v>
      </c>
      <c r="AE5" s="73">
        <f>IFERROR(GETPIVOTDATA("Sum of Qty",'[1]DATA LAST MONTH IQOO'!$A$6,"ID Store",$C5),0)</f>
        <v>25</v>
      </c>
      <c r="AF5" s="89">
        <f>IFERROR(GETPIVOTDATA("Sum of Qty",[1]IQOO!$A$6,"ID Store",$C5),0)</f>
        <v>18</v>
      </c>
      <c r="AG5" s="76">
        <f t="shared" ref="AG5:AG48" si="17">AF5-AE5</f>
        <v>-7</v>
      </c>
      <c r="AH5" s="90">
        <f t="shared" ref="AH5:AH47" si="18">IFERROR(AG5/AE5,0)</f>
        <v>-0.28000000000000003</v>
      </c>
      <c r="AI5" s="91">
        <f>IFERROR(GETPIVOTDATA("Sum of Qty",'[1]DATA LAST MONTH DEVICE'!$A$6,"ID Store",$C5),0)</f>
        <v>132</v>
      </c>
      <c r="AJ5" s="92">
        <f t="shared" ref="AJ5:AJ47" si="19">I5</f>
        <v>110</v>
      </c>
      <c r="AK5" s="76">
        <f t="shared" ref="AK5:AK48" si="20">AJ5-AI5</f>
        <v>-22</v>
      </c>
      <c r="AL5" s="78">
        <f t="shared" ref="AL5:AL47" si="21">IFERROR(AK5/AI5,0)</f>
        <v>-0.16666666666666666</v>
      </c>
      <c r="AM5" s="77">
        <f>IFERROR(GETPIVOTDATA("Sum of Qty",'[1]Store 3mio+ last month'!$A$6,"ID Store",$C5),0)</f>
        <v>132</v>
      </c>
      <c r="AN5" s="76">
        <f t="shared" ref="AN5:AN47" si="22">VLOOKUP(C:C,C:U,19,0)</f>
        <v>110</v>
      </c>
      <c r="AO5" s="76">
        <f t="shared" ref="AO5:AO48" si="23">AN5-AM5</f>
        <v>-22</v>
      </c>
      <c r="AP5" s="78">
        <f t="shared" ref="AP5:AP47" si="24">IFERROR(AO5/AM5,0)</f>
        <v>-0.16666666666666666</v>
      </c>
      <c r="AQ5" s="77">
        <f>IFERROR(GETPIVOTDATA("Sum of Qty",'[1]DATA LAST MONTH DEVICE'!$A$6,"ID Store",$C5,"Segment Price","3mio&gt;"),0)</f>
        <v>85</v>
      </c>
      <c r="AR5" s="79">
        <f t="shared" ref="AR5:AR47" si="25">M5</f>
        <v>74</v>
      </c>
      <c r="AS5" s="79">
        <f t="shared" ref="AS5:AS48" si="26">AR5-AQ5</f>
        <v>-11</v>
      </c>
      <c r="AT5" s="78">
        <f t="shared" ref="AT5:AT47" si="27">IFERROR(AS5/AQ5,0)</f>
        <v>-0.12941176470588237</v>
      </c>
      <c r="AU5" s="93">
        <f>IFERROR(GETPIVOTDATA("Sum of SRP",'[1]DATA LAST MONTH DEVICE'!$A$6,"ID Store",$C5),0)</f>
        <v>976368000</v>
      </c>
      <c r="AV5" s="93">
        <f t="shared" ref="AV5:AV47" si="28">R5</f>
        <v>857390000</v>
      </c>
      <c r="AW5" s="93">
        <f t="shared" ref="AW5:AW48" si="29">AV5-AU5</f>
        <v>-118978000</v>
      </c>
      <c r="AX5" s="78">
        <f t="shared" ref="AX5:AX47" si="30">IFERROR(AW5/AU5,0)</f>
        <v>-0.12185774216279108</v>
      </c>
      <c r="AY5" s="93">
        <f>IFERROR(VLOOKUP(C5,'[1]DATA SALES LAST MONTH'!A:E,5,0),0)</f>
        <v>7396727.2727272725</v>
      </c>
      <c r="AZ5" s="80">
        <f t="shared" ref="AZ5:AZ47" si="31">IFERROR(Z5/U5,0)</f>
        <v>7794454.5454545459</v>
      </c>
      <c r="BA5" s="80">
        <f t="shared" ref="BA5:BA48" si="32">AZ5-AY5</f>
        <v>397727.2727272734</v>
      </c>
      <c r="BB5" s="90">
        <f t="shared" ref="BB5:BB47" si="33">IFERROR(BA5/AY5,0)</f>
        <v>5.3770709404650799E-2</v>
      </c>
      <c r="BC5" s="73">
        <f>IFERROR(VLOOKUP(C5,'[1]TARGET THIS MONTH'!C:U,15,0),0)</f>
        <v>24</v>
      </c>
      <c r="BD5" s="94">
        <f>IFERROR(GETPIVOTDATA("Sum of Qty",[1]ACC!$A$5,"ID Store",$C5),0)</f>
        <v>22</v>
      </c>
      <c r="BE5" s="78">
        <f t="shared" ref="BE5:BE47" si="34">IFERROR(BD5/BC5,0)</f>
        <v>0.91666666666666663</v>
      </c>
      <c r="BF5" s="95">
        <f>IFERROR(VLOOKUP(C5,'[1]TARGET THIS MONTH'!C:U,16,0),0)</f>
        <v>3600000</v>
      </c>
      <c r="BG5" s="95">
        <f>IFERROR(GETPIVOTDATA("Sum of SRP",'[1]Insurance by Store'!$A$5,"ID Store",$C5,"Product Type","Qoala"),0)</f>
        <v>4420000</v>
      </c>
      <c r="BH5" s="78">
        <f t="shared" ref="BH5:BH47" si="35">IFERROR(BG5/BF5,0)</f>
        <v>1.2277777777777779</v>
      </c>
      <c r="BI5" s="95">
        <f>IFERROR(VLOOKUP(C5,'[1]TARGET THIS MONTH'!C:U,17,0),0)</f>
        <v>900000</v>
      </c>
      <c r="BJ5" s="95">
        <f>IFERROR(GETPIVOTDATA("Sum of SRP",'[1]Insurance by Store'!$A$5,"ID Store",$C5,"Product Type","Vivo Care"),0)</f>
        <v>1000000</v>
      </c>
      <c r="BK5" s="78">
        <f t="shared" ref="BK5:BK47" si="36">IFERROR(BJ5/BI5,0)</f>
        <v>1.1111111111111112</v>
      </c>
      <c r="BL5" s="76">
        <f>IFERROR(VLOOKUP(C5,'[1]TARGET THIS MONTH'!C:U,18,0),0)</f>
        <v>3.6</v>
      </c>
      <c r="BM5" s="77">
        <f>IFERROR(GETPIVOTDATA("Sum of Qty",'[1]Operator by Store'!$A$5,"ID Store",$C5,"Product Type","Indosat"),0)</f>
        <v>0</v>
      </c>
      <c r="BN5" s="78">
        <f t="shared" ref="BN5:BN47" si="37">IFERROR(BM5/BL5,0)</f>
        <v>0</v>
      </c>
      <c r="BO5" s="76">
        <f>VLOOKUP(C5,'[1]TARGET THIS MONTH'!C:U,19,0)</f>
        <v>1.2</v>
      </c>
      <c r="BP5" s="77">
        <f>IFERROR(GETPIVOTDATA("Sum of Qty",'[1]Operator by Store'!$A$5,"ID Store",$C5,"Product Type","Telkomsel"),0)</f>
        <v>0</v>
      </c>
      <c r="BQ5" s="96">
        <f t="shared" ref="BQ5:BQ47" si="38">IFERROR(BP5/BO5,0)</f>
        <v>0</v>
      </c>
    </row>
    <row r="6" spans="1:69" x14ac:dyDescent="0.2">
      <c r="A6" s="97">
        <v>2</v>
      </c>
      <c r="B6" s="98" t="s">
        <v>40</v>
      </c>
      <c r="C6" s="99">
        <v>6010701</v>
      </c>
      <c r="D6" s="100" t="s">
        <v>43</v>
      </c>
      <c r="E6" s="101" t="s">
        <v>44</v>
      </c>
      <c r="F6" s="102">
        <v>6</v>
      </c>
      <c r="G6" s="103">
        <f>IFERROR(VLOOKUP(C6,'[1]TARGET THIS MONTH'!C:E,3,0),0)</f>
        <v>270</v>
      </c>
      <c r="H6" s="104">
        <f>IFERROR(VLOOKUP(C6,'[1]TARGET THIS MONTH'!C:M,11,0),0)</f>
        <v>972000000</v>
      </c>
      <c r="I6" s="103">
        <f>IFERROR(GETPIVOTDATA("Sum of Qty",'[1]DEVICE &amp; VALUE'!$A$6,"ID Store",$C6),0)</f>
        <v>270</v>
      </c>
      <c r="J6" s="105">
        <f t="shared" si="0"/>
        <v>1</v>
      </c>
      <c r="K6" s="106">
        <f t="shared" si="1"/>
        <v>0</v>
      </c>
      <c r="L6" s="107">
        <f>IFERROR(GETPIVOTDATA("Sum of Qty",[1]PF!$A$5,"ID Store",$C6),0)</f>
        <v>58</v>
      </c>
      <c r="M6" s="107">
        <f>IFERROR(GETPIVOTDATA("Sum of Qty",'[1]DEVICE &amp; VALUE'!$A$6,"ID Store",$C6,"Segment Price","3mio&gt;"),0)</f>
        <v>109</v>
      </c>
      <c r="N6" s="108">
        <f t="shared" si="2"/>
        <v>0.40370370370370373</v>
      </c>
      <c r="O6" s="109">
        <f>IFERROR(GETPIVOTDATA("Sum of Qty",[1]IQOO!$A$6,"ID Store",$C6),0)</f>
        <v>10</v>
      </c>
      <c r="P6" s="108">
        <f t="shared" si="3"/>
        <v>3.7037037037037035E-2</v>
      </c>
      <c r="Q6" s="108">
        <f t="shared" si="4"/>
        <v>0.40370370370370373</v>
      </c>
      <c r="R6" s="110">
        <f>IFERROR(GETPIVOTDATA("Sum of SRP",'[1]DEVICE &amp; VALUE'!$A$6,"ID Store",$C6),0)</f>
        <v>1014730000</v>
      </c>
      <c r="S6" s="108">
        <f t="shared" si="5"/>
        <v>1.0439609053497942</v>
      </c>
      <c r="T6" s="111">
        <f t="shared" si="6"/>
        <v>42730000</v>
      </c>
      <c r="U6" s="112">
        <f t="shared" si="7"/>
        <v>270</v>
      </c>
      <c r="V6" s="113">
        <f t="shared" si="8"/>
        <v>1</v>
      </c>
      <c r="W6" s="114">
        <f t="shared" si="9"/>
        <v>0</v>
      </c>
      <c r="X6" s="114">
        <f t="shared" si="10"/>
        <v>109</v>
      </c>
      <c r="Y6" s="114">
        <f t="shared" si="11"/>
        <v>-161</v>
      </c>
      <c r="Z6" s="115">
        <f t="shared" si="12"/>
        <v>1014730000.0000001</v>
      </c>
      <c r="AA6" s="115">
        <f t="shared" si="13"/>
        <v>42730000.000000119</v>
      </c>
      <c r="AB6" s="116">
        <f t="shared" si="14"/>
        <v>1.0439609053497945</v>
      </c>
      <c r="AC6" s="117">
        <f t="shared" si="15"/>
        <v>0</v>
      </c>
      <c r="AD6" s="118">
        <f t="shared" si="16"/>
        <v>0</v>
      </c>
      <c r="AE6" s="103">
        <f>IFERROR(GETPIVOTDATA("Sum of Qty",'[1]DATA LAST MONTH IQOO'!$A$6,"ID Store",$C6),0)</f>
        <v>24</v>
      </c>
      <c r="AF6" s="119">
        <f>IFERROR(GETPIVOTDATA("Sum of Qty",[1]IQOO!$A$6,"ID Store",$C6),0)</f>
        <v>10</v>
      </c>
      <c r="AG6" s="106">
        <f t="shared" si="17"/>
        <v>-14</v>
      </c>
      <c r="AH6" s="120">
        <f t="shared" si="18"/>
        <v>-0.58333333333333337</v>
      </c>
      <c r="AI6" s="121">
        <f>IFERROR(GETPIVOTDATA("Sum of Qty",'[1]DATA LAST MONTH DEVICE'!$A$6,"ID Store",$C6),0)</f>
        <v>250</v>
      </c>
      <c r="AJ6" s="122">
        <f t="shared" si="19"/>
        <v>270</v>
      </c>
      <c r="AK6" s="106">
        <f t="shared" si="20"/>
        <v>20</v>
      </c>
      <c r="AL6" s="108">
        <f t="shared" si="21"/>
        <v>0.08</v>
      </c>
      <c r="AM6" s="107">
        <f>IFERROR(GETPIVOTDATA("Sum of Qty",'[1]Store 3mio+ last month'!$A$6,"ID Store",$C6),0)</f>
        <v>250</v>
      </c>
      <c r="AN6" s="106">
        <f t="shared" si="22"/>
        <v>270</v>
      </c>
      <c r="AO6" s="106">
        <f t="shared" si="23"/>
        <v>20</v>
      </c>
      <c r="AP6" s="108">
        <f t="shared" si="24"/>
        <v>0.08</v>
      </c>
      <c r="AQ6" s="107">
        <f>IFERROR(GETPIVOTDATA("Sum of Qty",'[1]DATA LAST MONTH DEVICE'!$A$6,"ID Store",$C6,"Segment Price","3mio&gt;"),0)</f>
        <v>94</v>
      </c>
      <c r="AR6" s="109">
        <f t="shared" si="25"/>
        <v>109</v>
      </c>
      <c r="AS6" s="109">
        <f t="shared" si="26"/>
        <v>15</v>
      </c>
      <c r="AT6" s="108">
        <f t="shared" si="27"/>
        <v>0.15957446808510639</v>
      </c>
      <c r="AU6" s="123">
        <f>IFERROR(GETPIVOTDATA("Sum of SRP",'[1]DATA LAST MONTH DEVICE'!$A$6,"ID Store",$C6),0)</f>
        <v>994150000</v>
      </c>
      <c r="AV6" s="123">
        <f t="shared" si="28"/>
        <v>1014730000</v>
      </c>
      <c r="AW6" s="123">
        <f t="shared" si="29"/>
        <v>20580000</v>
      </c>
      <c r="AX6" s="108">
        <f t="shared" si="30"/>
        <v>2.0701101443444149E-2</v>
      </c>
      <c r="AY6" s="123">
        <f>IFERROR(VLOOKUP(C6,'[1]DATA SALES LAST MONTH'!A:E,5,0),0)</f>
        <v>3976600</v>
      </c>
      <c r="AZ6" s="110">
        <f t="shared" si="31"/>
        <v>3758259.2592592598</v>
      </c>
      <c r="BA6" s="110">
        <f t="shared" si="32"/>
        <v>-218340.74074074021</v>
      </c>
      <c r="BB6" s="120">
        <f t="shared" si="33"/>
        <v>-5.4906387552366397E-2</v>
      </c>
      <c r="BC6" s="103">
        <f>IFERROR(VLOOKUP(C6,'[1]TARGET THIS MONTH'!C:U,15,0),0)</f>
        <v>54</v>
      </c>
      <c r="BD6" s="124">
        <f>IFERROR(GETPIVOTDATA("Sum of Qty",[1]ACC!$A$5,"ID Store",$C6),0)</f>
        <v>73</v>
      </c>
      <c r="BE6" s="108">
        <f t="shared" si="34"/>
        <v>1.3518518518518519</v>
      </c>
      <c r="BF6" s="125">
        <f>IFERROR(VLOOKUP(C6,'[1]TARGET THIS MONTH'!C:U,16,0),0)</f>
        <v>3888000</v>
      </c>
      <c r="BG6" s="125">
        <f>IFERROR(GETPIVOTDATA("Sum of SRP",'[1]Insurance by Store'!$A$5,"ID Store",$C6,"Product Type","Qoala"),0)</f>
        <v>4452000</v>
      </c>
      <c r="BH6" s="108">
        <f t="shared" si="35"/>
        <v>1.1450617283950617</v>
      </c>
      <c r="BI6" s="125">
        <f>IFERROR(VLOOKUP(C6,'[1]TARGET THIS MONTH'!C:U,17,0),0)</f>
        <v>972000</v>
      </c>
      <c r="BJ6" s="125">
        <f>IFERROR(GETPIVOTDATA("Sum of SRP",'[1]Insurance by Store'!$A$5,"ID Store",$C6,"Product Type","Vivo Care"),0)</f>
        <v>1000000</v>
      </c>
      <c r="BK6" s="108">
        <f t="shared" si="36"/>
        <v>1.0288065843621399</v>
      </c>
      <c r="BL6" s="106">
        <f>IFERROR(VLOOKUP(C6,'[1]TARGET THIS MONTH'!C:U,18,0),0)</f>
        <v>8.1</v>
      </c>
      <c r="BM6" s="107">
        <f>IFERROR(GETPIVOTDATA("Sum of Qty",'[1]Operator by Store'!$A$5,"ID Store",$C6,"Product Type","Indosat"),0)</f>
        <v>2</v>
      </c>
      <c r="BN6" s="108">
        <f t="shared" si="37"/>
        <v>0.24691358024691359</v>
      </c>
      <c r="BO6" s="106">
        <f>VLOOKUP(C6,'[1]TARGET THIS MONTH'!C:U,19,0)</f>
        <v>2.7</v>
      </c>
      <c r="BP6" s="107">
        <f>IFERROR(GETPIVOTDATA("Sum of Qty",'[1]Operator by Store'!$A$5,"ID Store",$C6,"Product Type","Telkomsel"),0)</f>
        <v>0</v>
      </c>
      <c r="BQ6" s="126">
        <f t="shared" si="38"/>
        <v>0</v>
      </c>
    </row>
    <row r="7" spans="1:69" x14ac:dyDescent="0.2">
      <c r="A7" s="97">
        <v>3</v>
      </c>
      <c r="B7" s="98" t="s">
        <v>40</v>
      </c>
      <c r="C7" s="99">
        <v>6010702</v>
      </c>
      <c r="D7" s="100" t="s">
        <v>45</v>
      </c>
      <c r="E7" s="101" t="s">
        <v>44</v>
      </c>
      <c r="F7" s="102">
        <v>7</v>
      </c>
      <c r="G7" s="103">
        <f>IFERROR(VLOOKUP(C7,'[1]TARGET THIS MONTH'!C:E,3,0),0)</f>
        <v>270</v>
      </c>
      <c r="H7" s="104">
        <f>IFERROR(VLOOKUP(C7,'[1]TARGET THIS MONTH'!C:M,11,0),0)</f>
        <v>972000000</v>
      </c>
      <c r="I7" s="103">
        <f>IFERROR(GETPIVOTDATA("Sum of Qty",'[1]DEVICE &amp; VALUE'!$A$6,"ID Store",$C7),0)</f>
        <v>270</v>
      </c>
      <c r="J7" s="105">
        <f t="shared" si="0"/>
        <v>1</v>
      </c>
      <c r="K7" s="106">
        <f t="shared" si="1"/>
        <v>0</v>
      </c>
      <c r="L7" s="107">
        <f>IFERROR(GETPIVOTDATA("Sum of Qty",[1]PF!$A$5,"ID Store",$C7),0)</f>
        <v>41</v>
      </c>
      <c r="M7" s="107">
        <f>IFERROR(GETPIVOTDATA("Sum of Qty",'[1]DEVICE &amp; VALUE'!$A$6,"ID Store",$C7,"Segment Price","3mio&gt;"),0)</f>
        <v>91</v>
      </c>
      <c r="N7" s="108">
        <f t="shared" si="2"/>
        <v>0.33703703703703702</v>
      </c>
      <c r="O7" s="109">
        <f>IFERROR(GETPIVOTDATA("Sum of Qty",[1]IQOO!$A$6,"ID Store",$C7),0)</f>
        <v>11</v>
      </c>
      <c r="P7" s="108">
        <f t="shared" si="3"/>
        <v>4.0740740740740744E-2</v>
      </c>
      <c r="Q7" s="108">
        <f t="shared" si="4"/>
        <v>0.33703703703703702</v>
      </c>
      <c r="R7" s="110">
        <f>IFERROR(GETPIVOTDATA("Sum of SRP",'[1]DEVICE &amp; VALUE'!$A$6,"ID Store",$C7),0)</f>
        <v>985330000</v>
      </c>
      <c r="S7" s="108">
        <f t="shared" si="5"/>
        <v>1.0137139917695472</v>
      </c>
      <c r="T7" s="111">
        <f t="shared" si="6"/>
        <v>13330000</v>
      </c>
      <c r="U7" s="112">
        <f t="shared" si="7"/>
        <v>270</v>
      </c>
      <c r="V7" s="113">
        <f t="shared" si="8"/>
        <v>1</v>
      </c>
      <c r="W7" s="114">
        <f t="shared" si="9"/>
        <v>0</v>
      </c>
      <c r="X7" s="114">
        <f t="shared" si="10"/>
        <v>91</v>
      </c>
      <c r="Y7" s="114">
        <f t="shared" si="11"/>
        <v>-179</v>
      </c>
      <c r="Z7" s="115">
        <f t="shared" si="12"/>
        <v>985330000</v>
      </c>
      <c r="AA7" s="115">
        <f t="shared" si="13"/>
        <v>13330000</v>
      </c>
      <c r="AB7" s="116">
        <f t="shared" si="14"/>
        <v>1.0137139917695472</v>
      </c>
      <c r="AC7" s="117">
        <f t="shared" si="15"/>
        <v>0</v>
      </c>
      <c r="AD7" s="118">
        <f t="shared" si="16"/>
        <v>0</v>
      </c>
      <c r="AE7" s="103">
        <f>IFERROR(GETPIVOTDATA("Sum of Qty",'[1]DATA LAST MONTH IQOO'!$A$6,"ID Store",$C7),0)</f>
        <v>22</v>
      </c>
      <c r="AF7" s="119">
        <f>IFERROR(GETPIVOTDATA("Sum of Qty",[1]IQOO!$A$6,"ID Store",$C7),0)</f>
        <v>11</v>
      </c>
      <c r="AG7" s="106">
        <f t="shared" si="17"/>
        <v>-11</v>
      </c>
      <c r="AH7" s="120">
        <f t="shared" si="18"/>
        <v>-0.5</v>
      </c>
      <c r="AI7" s="121">
        <f>IFERROR(GETPIVOTDATA("Sum of Qty",'[1]DATA LAST MONTH DEVICE'!$A$6,"ID Store",$C7),0)</f>
        <v>287</v>
      </c>
      <c r="AJ7" s="122">
        <f t="shared" si="19"/>
        <v>270</v>
      </c>
      <c r="AK7" s="106">
        <f t="shared" si="20"/>
        <v>-17</v>
      </c>
      <c r="AL7" s="108">
        <f t="shared" si="21"/>
        <v>-5.9233449477351915E-2</v>
      </c>
      <c r="AM7" s="107">
        <f>IFERROR(GETPIVOTDATA("Sum of Qty",'[1]Store 3mio+ last month'!$A$6,"ID Store",$C7),0)</f>
        <v>287</v>
      </c>
      <c r="AN7" s="106">
        <f t="shared" si="22"/>
        <v>270</v>
      </c>
      <c r="AO7" s="106">
        <f t="shared" si="23"/>
        <v>-17</v>
      </c>
      <c r="AP7" s="108">
        <f t="shared" si="24"/>
        <v>-5.9233449477351915E-2</v>
      </c>
      <c r="AQ7" s="107">
        <f>IFERROR(GETPIVOTDATA("Sum of Qty",'[1]DATA LAST MONTH DEVICE'!$A$6,"ID Store",$C7,"Segment Price","3mio&gt;"),0)</f>
        <v>79</v>
      </c>
      <c r="AR7" s="109">
        <f t="shared" si="25"/>
        <v>91</v>
      </c>
      <c r="AS7" s="109">
        <f t="shared" si="26"/>
        <v>12</v>
      </c>
      <c r="AT7" s="108">
        <f t="shared" si="27"/>
        <v>0.15189873417721519</v>
      </c>
      <c r="AU7" s="123">
        <f>IFERROR(GETPIVOTDATA("Sum of SRP",'[1]DATA LAST MONTH DEVICE'!$A$6,"ID Store",$C7),0)</f>
        <v>957513000</v>
      </c>
      <c r="AV7" s="123">
        <f t="shared" si="28"/>
        <v>985330000</v>
      </c>
      <c r="AW7" s="123">
        <f t="shared" si="29"/>
        <v>27817000</v>
      </c>
      <c r="AX7" s="108">
        <f t="shared" si="30"/>
        <v>2.9051302697717944E-2</v>
      </c>
      <c r="AY7" s="123">
        <f>IFERROR(VLOOKUP(C7,'[1]DATA SALES LAST MONTH'!A:E,5,0),0)</f>
        <v>3336282.2299651569</v>
      </c>
      <c r="AZ7" s="110">
        <f t="shared" si="31"/>
        <v>3649370.3703703703</v>
      </c>
      <c r="BA7" s="110">
        <f t="shared" si="32"/>
        <v>313088.14040521346</v>
      </c>
      <c r="BB7" s="120">
        <f t="shared" si="33"/>
        <v>9.3843421756463111E-2</v>
      </c>
      <c r="BC7" s="103">
        <f>IFERROR(VLOOKUP(C7,'[1]TARGET THIS MONTH'!C:U,15,0),0)</f>
        <v>54</v>
      </c>
      <c r="BD7" s="124">
        <f>IFERROR(GETPIVOTDATA("Sum of Qty",[1]ACC!$A$5,"ID Store",$C7),0)</f>
        <v>66</v>
      </c>
      <c r="BE7" s="108">
        <f t="shared" si="34"/>
        <v>1.2222222222222223</v>
      </c>
      <c r="BF7" s="125">
        <f>IFERROR(VLOOKUP(C7,'[1]TARGET THIS MONTH'!C:U,16,0),0)</f>
        <v>3888000</v>
      </c>
      <c r="BG7" s="125">
        <f>IFERROR(GETPIVOTDATA("Sum of SRP",'[1]Insurance by Store'!$A$5,"ID Store",$C7,"Product Type","Qoala"),0)</f>
        <v>3122000</v>
      </c>
      <c r="BH7" s="108">
        <f t="shared" si="35"/>
        <v>0.80298353909465026</v>
      </c>
      <c r="BI7" s="125">
        <f>IFERROR(VLOOKUP(C7,'[1]TARGET THIS MONTH'!C:U,17,0),0)</f>
        <v>972000</v>
      </c>
      <c r="BJ7" s="125">
        <f>IFERROR(GETPIVOTDATA("Sum of SRP",'[1]Insurance by Store'!$A$5,"ID Store",$C7,"Product Type","Vivo Care"),0)</f>
        <v>0</v>
      </c>
      <c r="BK7" s="108">
        <f t="shared" si="36"/>
        <v>0</v>
      </c>
      <c r="BL7" s="106">
        <f>IFERROR(VLOOKUP(C7,'[1]TARGET THIS MONTH'!C:U,18,0),0)</f>
        <v>8.1</v>
      </c>
      <c r="BM7" s="107">
        <f>IFERROR(GETPIVOTDATA("Sum of Qty",'[1]Operator by Store'!$A$5,"ID Store",$C7,"Product Type","Indosat"),0)</f>
        <v>3</v>
      </c>
      <c r="BN7" s="108">
        <f t="shared" si="37"/>
        <v>0.37037037037037041</v>
      </c>
      <c r="BO7" s="106">
        <f>VLOOKUP(C7,'[1]TARGET THIS MONTH'!C:U,19,0)</f>
        <v>2.7</v>
      </c>
      <c r="BP7" s="107">
        <f>IFERROR(GETPIVOTDATA("Sum of Qty",'[1]Operator by Store'!$A$5,"ID Store",$C7,"Product Type","Telkomsel"),0)</f>
        <v>0</v>
      </c>
      <c r="BQ7" s="126">
        <f t="shared" si="38"/>
        <v>0</v>
      </c>
    </row>
    <row r="8" spans="1:69" x14ac:dyDescent="0.2">
      <c r="A8" s="97">
        <v>4</v>
      </c>
      <c r="B8" s="98" t="s">
        <v>40</v>
      </c>
      <c r="C8" s="99">
        <v>6010703</v>
      </c>
      <c r="D8" s="100" t="s">
        <v>46</v>
      </c>
      <c r="E8" s="101" t="s">
        <v>47</v>
      </c>
      <c r="F8" s="102">
        <v>3</v>
      </c>
      <c r="G8" s="103">
        <f>IFERROR(VLOOKUP(C8,'[1]TARGET THIS MONTH'!C:E,3,0),0)</f>
        <v>120</v>
      </c>
      <c r="H8" s="104">
        <f>IFERROR(VLOOKUP(C8,'[1]TARGET THIS MONTH'!C:M,11,0),0)</f>
        <v>396000000</v>
      </c>
      <c r="I8" s="103">
        <f>IFERROR(GETPIVOTDATA("Sum of Qty",'[1]DEVICE &amp; VALUE'!$A$6,"ID Store",$C8),0)</f>
        <v>105</v>
      </c>
      <c r="J8" s="105">
        <f t="shared" si="0"/>
        <v>0.875</v>
      </c>
      <c r="K8" s="106">
        <f t="shared" si="1"/>
        <v>-15</v>
      </c>
      <c r="L8" s="107">
        <f>IFERROR(GETPIVOTDATA("Sum of Qty",[1]PF!$A$5,"ID Store",$C8),0)</f>
        <v>14</v>
      </c>
      <c r="M8" s="107">
        <f>IFERROR(GETPIVOTDATA("Sum of Qty",'[1]DEVICE &amp; VALUE'!$A$6,"ID Store",$C8,"Segment Price","3mio&gt;"),0)</f>
        <v>25</v>
      </c>
      <c r="N8" s="108">
        <f t="shared" si="2"/>
        <v>0.23809523809523808</v>
      </c>
      <c r="O8" s="109">
        <f>IFERROR(GETPIVOTDATA("Sum of Qty",[1]IQOO!$A$6,"ID Store",$C8),0)</f>
        <v>7</v>
      </c>
      <c r="P8" s="108">
        <f t="shared" si="3"/>
        <v>6.6666666666666666E-2</v>
      </c>
      <c r="Q8" s="108">
        <f t="shared" si="4"/>
        <v>0.23809523809523808</v>
      </c>
      <c r="R8" s="110">
        <f>IFERROR(GETPIVOTDATA("Sum of SRP",'[1]DEVICE &amp; VALUE'!$A$6,"ID Store",$C8),0)</f>
        <v>301395000</v>
      </c>
      <c r="S8" s="108">
        <f t="shared" si="5"/>
        <v>0.76109848484848486</v>
      </c>
      <c r="T8" s="111">
        <f t="shared" si="6"/>
        <v>-94605000</v>
      </c>
      <c r="U8" s="112">
        <f t="shared" si="7"/>
        <v>105</v>
      </c>
      <c r="V8" s="113">
        <f t="shared" si="8"/>
        <v>0.875</v>
      </c>
      <c r="W8" s="114">
        <f t="shared" si="9"/>
        <v>-15</v>
      </c>
      <c r="X8" s="114">
        <f t="shared" si="10"/>
        <v>25</v>
      </c>
      <c r="Y8" s="114">
        <f t="shared" si="11"/>
        <v>-95</v>
      </c>
      <c r="Z8" s="115">
        <f t="shared" si="12"/>
        <v>301395000</v>
      </c>
      <c r="AA8" s="115">
        <f t="shared" si="13"/>
        <v>-94605000</v>
      </c>
      <c r="AB8" s="116">
        <f t="shared" si="14"/>
        <v>0.76109848484848486</v>
      </c>
      <c r="AC8" s="117">
        <f t="shared" si="15"/>
        <v>0</v>
      </c>
      <c r="AD8" s="118">
        <f t="shared" si="16"/>
        <v>0</v>
      </c>
      <c r="AE8" s="103">
        <f>IFERROR(GETPIVOTDATA("Sum of Qty",'[1]DATA LAST MONTH IQOO'!$A$6,"ID Store",$C8),0)</f>
        <v>11</v>
      </c>
      <c r="AF8" s="119">
        <f>IFERROR(GETPIVOTDATA("Sum of Qty",[1]IQOO!$A$6,"ID Store",$C8),0)</f>
        <v>7</v>
      </c>
      <c r="AG8" s="106">
        <f t="shared" si="17"/>
        <v>-4</v>
      </c>
      <c r="AH8" s="120">
        <f t="shared" si="18"/>
        <v>-0.36363636363636365</v>
      </c>
      <c r="AI8" s="121">
        <f>IFERROR(GETPIVOTDATA("Sum of Qty",'[1]DATA LAST MONTH DEVICE'!$A$6,"ID Store",$C8),0)</f>
        <v>103</v>
      </c>
      <c r="AJ8" s="122">
        <f t="shared" si="19"/>
        <v>105</v>
      </c>
      <c r="AK8" s="106">
        <f t="shared" si="20"/>
        <v>2</v>
      </c>
      <c r="AL8" s="108">
        <f t="shared" si="21"/>
        <v>1.9417475728155338E-2</v>
      </c>
      <c r="AM8" s="107">
        <f>IFERROR(GETPIVOTDATA("Sum of Qty",'[1]Store 3mio+ last month'!$A$6,"ID Store",$C8),0)</f>
        <v>103</v>
      </c>
      <c r="AN8" s="106">
        <f t="shared" si="22"/>
        <v>105</v>
      </c>
      <c r="AO8" s="106">
        <f t="shared" si="23"/>
        <v>2</v>
      </c>
      <c r="AP8" s="108">
        <f t="shared" si="24"/>
        <v>1.9417475728155338E-2</v>
      </c>
      <c r="AQ8" s="107">
        <f>IFERROR(GETPIVOTDATA("Sum of Qty",'[1]DATA LAST MONTH DEVICE'!$A$6,"ID Store",$C8,"Segment Price","3mio&gt;"),0)</f>
        <v>25</v>
      </c>
      <c r="AR8" s="109">
        <f t="shared" si="25"/>
        <v>25</v>
      </c>
      <c r="AS8" s="109">
        <f t="shared" si="26"/>
        <v>0</v>
      </c>
      <c r="AT8" s="108">
        <f t="shared" si="27"/>
        <v>0</v>
      </c>
      <c r="AU8" s="123">
        <f>IFERROR(GETPIVOTDATA("Sum of SRP",'[1]DATA LAST MONTH DEVICE'!$A$6,"ID Store",$C8),0)</f>
        <v>337397000</v>
      </c>
      <c r="AV8" s="123">
        <f t="shared" si="28"/>
        <v>301395000</v>
      </c>
      <c r="AW8" s="123">
        <f t="shared" si="29"/>
        <v>-36002000</v>
      </c>
      <c r="AX8" s="108">
        <f t="shared" si="30"/>
        <v>-0.1067051574258218</v>
      </c>
      <c r="AY8" s="123">
        <f>IFERROR(VLOOKUP(C8,'[1]DATA SALES LAST MONTH'!A:E,5,0),0)</f>
        <v>3275699.0291262134</v>
      </c>
      <c r="AZ8" s="110">
        <f t="shared" si="31"/>
        <v>2870428.5714285714</v>
      </c>
      <c r="BA8" s="110">
        <f t="shared" si="32"/>
        <v>-405270.45769764204</v>
      </c>
      <c r="BB8" s="120">
        <f t="shared" si="33"/>
        <v>-0.12372029728437756</v>
      </c>
      <c r="BC8" s="103">
        <f>IFERROR(VLOOKUP(C8,'[1]TARGET THIS MONTH'!C:U,15,0),0)</f>
        <v>24</v>
      </c>
      <c r="BD8" s="124">
        <f>IFERROR(GETPIVOTDATA("Sum of Qty",[1]ACC!$A$5,"ID Store",$C8),0)</f>
        <v>20</v>
      </c>
      <c r="BE8" s="108">
        <f t="shared" si="34"/>
        <v>0.83333333333333337</v>
      </c>
      <c r="BF8" s="125">
        <f>IFERROR(VLOOKUP(C8,'[1]TARGET THIS MONTH'!C:U,16,0),0)</f>
        <v>1584000</v>
      </c>
      <c r="BG8" s="125">
        <f>IFERROR(GETPIVOTDATA("Sum of SRP",'[1]Insurance by Store'!$A$5,"ID Store",$C8,"Product Type","Qoala"),0)</f>
        <v>1431000</v>
      </c>
      <c r="BH8" s="108">
        <f t="shared" si="35"/>
        <v>0.90340909090909094</v>
      </c>
      <c r="BI8" s="125">
        <f>IFERROR(VLOOKUP(C8,'[1]TARGET THIS MONTH'!C:U,17,0),0)</f>
        <v>396000</v>
      </c>
      <c r="BJ8" s="125">
        <f>IFERROR(GETPIVOTDATA("Sum of SRP",'[1]Insurance by Store'!$A$5,"ID Store",$C8,"Product Type","Vivo Care"),0)</f>
        <v>0</v>
      </c>
      <c r="BK8" s="108">
        <f t="shared" si="36"/>
        <v>0</v>
      </c>
      <c r="BL8" s="106">
        <f>IFERROR(VLOOKUP(C8,'[1]TARGET THIS MONTH'!C:U,18,0),0)</f>
        <v>3.6</v>
      </c>
      <c r="BM8" s="107">
        <f>IFERROR(GETPIVOTDATA("Sum of Qty",'[1]Operator by Store'!$A$5,"ID Store",$C8,"Product Type","Indosat"),0)</f>
        <v>1</v>
      </c>
      <c r="BN8" s="108">
        <f t="shared" si="37"/>
        <v>0.27777777777777779</v>
      </c>
      <c r="BO8" s="106">
        <f>VLOOKUP(C8,'[1]TARGET THIS MONTH'!C:U,19,0)</f>
        <v>1.2</v>
      </c>
      <c r="BP8" s="107">
        <f>IFERROR(GETPIVOTDATA("Sum of Qty",'[1]Operator by Store'!$A$5,"ID Store",$C8,"Product Type","Telkomsel"),0)</f>
        <v>0</v>
      </c>
      <c r="BQ8" s="126">
        <f t="shared" si="38"/>
        <v>0</v>
      </c>
    </row>
    <row r="9" spans="1:69" x14ac:dyDescent="0.2">
      <c r="A9" s="97">
        <v>5</v>
      </c>
      <c r="B9" s="98" t="s">
        <v>40</v>
      </c>
      <c r="C9" s="99">
        <v>6010709</v>
      </c>
      <c r="D9" s="100" t="s">
        <v>48</v>
      </c>
      <c r="E9" s="101" t="s">
        <v>47</v>
      </c>
      <c r="F9" s="102">
        <v>7</v>
      </c>
      <c r="G9" s="103">
        <f>IFERROR(VLOOKUP(C9,'[1]TARGET THIS MONTH'!C:E,3,0),0)</f>
        <v>330</v>
      </c>
      <c r="H9" s="104">
        <f>IFERROR(VLOOKUP(C9,'[1]TARGET THIS MONTH'!C:M,11,0),0)</f>
        <v>1089000000</v>
      </c>
      <c r="I9" s="103">
        <f>IFERROR(GETPIVOTDATA("Sum of Qty",'[1]DEVICE &amp; VALUE'!$A$6,"ID Store",$C9),0)</f>
        <v>353</v>
      </c>
      <c r="J9" s="105">
        <f t="shared" si="0"/>
        <v>1.0696969696969696</v>
      </c>
      <c r="K9" s="106">
        <f t="shared" si="1"/>
        <v>23</v>
      </c>
      <c r="L9" s="107">
        <f>IFERROR(GETPIVOTDATA("Sum of Qty",[1]PF!$A$5,"ID Store",$C9),0)</f>
        <v>49</v>
      </c>
      <c r="M9" s="107">
        <f>IFERROR(GETPIVOTDATA("Sum of Qty",'[1]DEVICE &amp; VALUE'!$A$6,"ID Store",$C9,"Segment Price","3mio&gt;"),0)</f>
        <v>83</v>
      </c>
      <c r="N9" s="108">
        <f t="shared" si="2"/>
        <v>0.23512747875354106</v>
      </c>
      <c r="O9" s="109">
        <f>IFERROR(GETPIVOTDATA("Sum of Qty",[1]IQOO!$A$6,"ID Store",$C9),0)</f>
        <v>11</v>
      </c>
      <c r="P9" s="108">
        <f t="shared" si="3"/>
        <v>3.1161473087818695E-2</v>
      </c>
      <c r="Q9" s="108">
        <f t="shared" si="4"/>
        <v>0.23512747875354106</v>
      </c>
      <c r="R9" s="110">
        <f>IFERROR(GETPIVOTDATA("Sum of SRP",'[1]DEVICE &amp; VALUE'!$A$6,"ID Store",$C9),0)</f>
        <v>1057847000</v>
      </c>
      <c r="S9" s="108">
        <f t="shared" si="5"/>
        <v>0.9713930211202938</v>
      </c>
      <c r="T9" s="111">
        <f t="shared" si="6"/>
        <v>-31153000</v>
      </c>
      <c r="U9" s="112">
        <f t="shared" si="7"/>
        <v>353</v>
      </c>
      <c r="V9" s="113">
        <f t="shared" si="8"/>
        <v>1.0696969696969696</v>
      </c>
      <c r="W9" s="114">
        <f t="shared" si="9"/>
        <v>23</v>
      </c>
      <c r="X9" s="114">
        <f t="shared" si="10"/>
        <v>83</v>
      </c>
      <c r="Y9" s="114">
        <f t="shared" si="11"/>
        <v>-247</v>
      </c>
      <c r="Z9" s="115">
        <f t="shared" si="12"/>
        <v>1057846999.9999999</v>
      </c>
      <c r="AA9" s="115">
        <f t="shared" si="13"/>
        <v>-31153000.000000119</v>
      </c>
      <c r="AB9" s="116">
        <f t="shared" si="14"/>
        <v>0.97139302112029369</v>
      </c>
      <c r="AC9" s="117">
        <f t="shared" si="15"/>
        <v>0</v>
      </c>
      <c r="AD9" s="118">
        <f t="shared" si="16"/>
        <v>0</v>
      </c>
      <c r="AE9" s="103">
        <f>IFERROR(GETPIVOTDATA("Sum of Qty",'[1]DATA LAST MONTH IQOO'!$A$6,"ID Store",$C9),0)</f>
        <v>20</v>
      </c>
      <c r="AF9" s="119">
        <f>IFERROR(GETPIVOTDATA("Sum of Qty",[1]IQOO!$A$6,"ID Store",$C9),0)</f>
        <v>11</v>
      </c>
      <c r="AG9" s="106">
        <f t="shared" si="17"/>
        <v>-9</v>
      </c>
      <c r="AH9" s="120">
        <f t="shared" si="18"/>
        <v>-0.45</v>
      </c>
      <c r="AI9" s="121">
        <f>IFERROR(GETPIVOTDATA("Sum of Qty",'[1]DATA LAST MONTH DEVICE'!$A$6,"ID Store",$C9),0)</f>
        <v>295</v>
      </c>
      <c r="AJ9" s="122">
        <f t="shared" si="19"/>
        <v>353</v>
      </c>
      <c r="AK9" s="106">
        <f t="shared" si="20"/>
        <v>58</v>
      </c>
      <c r="AL9" s="108">
        <f t="shared" si="21"/>
        <v>0.19661016949152543</v>
      </c>
      <c r="AM9" s="107">
        <f>IFERROR(GETPIVOTDATA("Sum of Qty",'[1]Store 3mio+ last month'!$A$6,"ID Store",$C9),0)</f>
        <v>295</v>
      </c>
      <c r="AN9" s="106">
        <f t="shared" si="22"/>
        <v>353</v>
      </c>
      <c r="AO9" s="106">
        <f t="shared" si="23"/>
        <v>58</v>
      </c>
      <c r="AP9" s="108">
        <f t="shared" si="24"/>
        <v>0.19661016949152543</v>
      </c>
      <c r="AQ9" s="107">
        <f>IFERROR(GETPIVOTDATA("Sum of Qty",'[1]DATA LAST MONTH DEVICE'!$A$6,"ID Store",$C9,"Segment Price","3mio&gt;"),0)</f>
        <v>67</v>
      </c>
      <c r="AR9" s="109">
        <f t="shared" si="25"/>
        <v>83</v>
      </c>
      <c r="AS9" s="109">
        <f t="shared" si="26"/>
        <v>16</v>
      </c>
      <c r="AT9" s="108">
        <f t="shared" si="27"/>
        <v>0.23880597014925373</v>
      </c>
      <c r="AU9" s="123">
        <f>IFERROR(GETPIVOTDATA("Sum of SRP",'[1]DATA LAST MONTH DEVICE'!$A$6,"ID Store",$C9),0)</f>
        <v>933505000</v>
      </c>
      <c r="AV9" s="123">
        <f t="shared" si="28"/>
        <v>1057847000</v>
      </c>
      <c r="AW9" s="123">
        <f t="shared" si="29"/>
        <v>124342000</v>
      </c>
      <c r="AX9" s="108">
        <f t="shared" si="30"/>
        <v>0.13319907231348521</v>
      </c>
      <c r="AY9" s="123">
        <f>IFERROR(VLOOKUP(C9,'[1]DATA SALES LAST MONTH'!A:E,5,0),0)</f>
        <v>3164423.7288135593</v>
      </c>
      <c r="AZ9" s="110">
        <f t="shared" si="31"/>
        <v>2996733.7110481584</v>
      </c>
      <c r="BA9" s="110">
        <f t="shared" si="32"/>
        <v>-167690.01776540093</v>
      </c>
      <c r="BB9" s="120">
        <f t="shared" si="33"/>
        <v>-5.2992276678532277E-2</v>
      </c>
      <c r="BC9" s="103">
        <f>IFERROR(VLOOKUP(C9,'[1]TARGET THIS MONTH'!C:U,15,0),0)</f>
        <v>66</v>
      </c>
      <c r="BD9" s="124">
        <f>IFERROR(GETPIVOTDATA("Sum of Qty",[1]ACC!$A$5,"ID Store",$C9),0)</f>
        <v>98</v>
      </c>
      <c r="BE9" s="108">
        <f t="shared" si="34"/>
        <v>1.4848484848484849</v>
      </c>
      <c r="BF9" s="125">
        <f>IFERROR(VLOOKUP(C9,'[1]TARGET THIS MONTH'!C:U,16,0),0)</f>
        <v>4356000</v>
      </c>
      <c r="BG9" s="125">
        <f>IFERROR(GETPIVOTDATA("Sum of SRP",'[1]Insurance by Store'!$A$5,"ID Store",$C9,"Product Type","Qoala"),0)</f>
        <v>3816000</v>
      </c>
      <c r="BH9" s="108">
        <f t="shared" si="35"/>
        <v>0.87603305785123964</v>
      </c>
      <c r="BI9" s="125">
        <f>IFERROR(VLOOKUP(C9,'[1]TARGET THIS MONTH'!C:U,17,0),0)</f>
        <v>1089000</v>
      </c>
      <c r="BJ9" s="125">
        <f>IFERROR(GETPIVOTDATA("Sum of SRP",'[1]Insurance by Store'!$A$5,"ID Store",$C9,"Product Type","Vivo Care"),0)</f>
        <v>0</v>
      </c>
      <c r="BK9" s="108">
        <f t="shared" si="36"/>
        <v>0</v>
      </c>
      <c r="BL9" s="106">
        <f>IFERROR(VLOOKUP(C9,'[1]TARGET THIS MONTH'!C:U,18,0),0)</f>
        <v>9.9</v>
      </c>
      <c r="BM9" s="107">
        <f>IFERROR(GETPIVOTDATA("Sum of Qty",'[1]Operator by Store'!$A$5,"ID Store",$C9,"Product Type","Indosat"),0)</f>
        <v>3</v>
      </c>
      <c r="BN9" s="108">
        <f t="shared" si="37"/>
        <v>0.30303030303030304</v>
      </c>
      <c r="BO9" s="106">
        <f>VLOOKUP(C9,'[1]TARGET THIS MONTH'!C:U,19,0)</f>
        <v>3.3</v>
      </c>
      <c r="BP9" s="107">
        <f>IFERROR(GETPIVOTDATA("Sum of Qty",'[1]Operator by Store'!$A$5,"ID Store",$C9,"Product Type","Telkomsel"),0)</f>
        <v>0</v>
      </c>
      <c r="BQ9" s="126">
        <f t="shared" si="38"/>
        <v>0</v>
      </c>
    </row>
    <row r="10" spans="1:69" x14ac:dyDescent="0.2">
      <c r="A10" s="97">
        <v>6</v>
      </c>
      <c r="B10" s="98" t="s">
        <v>40</v>
      </c>
      <c r="C10" s="99">
        <v>6010710</v>
      </c>
      <c r="D10" s="100" t="s">
        <v>49</v>
      </c>
      <c r="E10" s="127" t="s">
        <v>47</v>
      </c>
      <c r="F10" s="102">
        <v>3</v>
      </c>
      <c r="G10" s="103">
        <f>IFERROR(VLOOKUP(C10,'[1]TARGET THIS MONTH'!C:E,3,0),0)</f>
        <v>120</v>
      </c>
      <c r="H10" s="104">
        <f>IFERROR(VLOOKUP(C10,'[1]TARGET THIS MONTH'!C:M,11,0),0)</f>
        <v>396000000</v>
      </c>
      <c r="I10" s="103">
        <f>IFERROR(GETPIVOTDATA("Sum of Qty",'[1]DEVICE &amp; VALUE'!$A$6,"ID Store",$C10),0)</f>
        <v>120</v>
      </c>
      <c r="J10" s="105">
        <f t="shared" si="0"/>
        <v>1</v>
      </c>
      <c r="K10" s="106">
        <f t="shared" si="1"/>
        <v>0</v>
      </c>
      <c r="L10" s="107">
        <f>IFERROR(GETPIVOTDATA("Sum of Qty",[1]PF!$A$5,"ID Store",$C10),0)</f>
        <v>19</v>
      </c>
      <c r="M10" s="107">
        <f>IFERROR(GETPIVOTDATA("Sum of Qty",'[1]DEVICE &amp; VALUE'!$A$6,"ID Store",$C10,"Segment Price","3mio&gt;"),0)</f>
        <v>40</v>
      </c>
      <c r="N10" s="108">
        <f t="shared" si="2"/>
        <v>0.33333333333333331</v>
      </c>
      <c r="O10" s="109">
        <f>IFERROR(GETPIVOTDATA("Sum of Qty",[1]IQOO!$A$6,"ID Store",$C10),0)</f>
        <v>7</v>
      </c>
      <c r="P10" s="108">
        <f t="shared" si="3"/>
        <v>5.8333333333333334E-2</v>
      </c>
      <c r="Q10" s="108">
        <f t="shared" si="4"/>
        <v>0.33333333333333331</v>
      </c>
      <c r="R10" s="110">
        <f>IFERROR(GETPIVOTDATA("Sum of SRP",'[1]DEVICE &amp; VALUE'!$A$6,"ID Store",$C10),0)</f>
        <v>499580000</v>
      </c>
      <c r="S10" s="108">
        <f t="shared" si="5"/>
        <v>1.2615656565656566</v>
      </c>
      <c r="T10" s="111">
        <f t="shared" si="6"/>
        <v>103580000</v>
      </c>
      <c r="U10" s="112">
        <f t="shared" si="7"/>
        <v>120</v>
      </c>
      <c r="V10" s="113">
        <f t="shared" si="8"/>
        <v>1</v>
      </c>
      <c r="W10" s="114">
        <f t="shared" si="9"/>
        <v>0</v>
      </c>
      <c r="X10" s="114">
        <f t="shared" si="10"/>
        <v>40</v>
      </c>
      <c r="Y10" s="114">
        <f t="shared" si="11"/>
        <v>-80</v>
      </c>
      <c r="Z10" s="115">
        <f t="shared" si="12"/>
        <v>499580000</v>
      </c>
      <c r="AA10" s="115">
        <f t="shared" si="13"/>
        <v>103580000</v>
      </c>
      <c r="AB10" s="116">
        <f t="shared" si="14"/>
        <v>1.2615656565656566</v>
      </c>
      <c r="AC10" s="117">
        <f t="shared" si="15"/>
        <v>0</v>
      </c>
      <c r="AD10" s="118">
        <f t="shared" si="16"/>
        <v>0</v>
      </c>
      <c r="AE10" s="103">
        <f>IFERROR(GETPIVOTDATA("Sum of Qty",'[1]DATA LAST MONTH IQOO'!$A$6,"ID Store",$C10),0)</f>
        <v>7</v>
      </c>
      <c r="AF10" s="119">
        <f>IFERROR(GETPIVOTDATA("Sum of Qty",[1]IQOO!$A$6,"ID Store",$C10),0)</f>
        <v>7</v>
      </c>
      <c r="AG10" s="106">
        <f t="shared" si="17"/>
        <v>0</v>
      </c>
      <c r="AH10" s="120">
        <f t="shared" si="18"/>
        <v>0</v>
      </c>
      <c r="AI10" s="121">
        <f>IFERROR(GETPIVOTDATA("Sum of Qty",'[1]DATA LAST MONTH DEVICE'!$A$6,"ID Store",$C10),0)</f>
        <v>90</v>
      </c>
      <c r="AJ10" s="122">
        <f t="shared" si="19"/>
        <v>120</v>
      </c>
      <c r="AK10" s="106">
        <f t="shared" si="20"/>
        <v>30</v>
      </c>
      <c r="AL10" s="108">
        <f t="shared" si="21"/>
        <v>0.33333333333333331</v>
      </c>
      <c r="AM10" s="107">
        <f>IFERROR(GETPIVOTDATA("Sum of Qty",'[1]Store 3mio+ last month'!$A$6,"ID Store",$C10),0)</f>
        <v>90</v>
      </c>
      <c r="AN10" s="106">
        <f t="shared" si="22"/>
        <v>120</v>
      </c>
      <c r="AO10" s="106">
        <f t="shared" si="23"/>
        <v>30</v>
      </c>
      <c r="AP10" s="108">
        <f t="shared" si="24"/>
        <v>0.33333333333333331</v>
      </c>
      <c r="AQ10" s="107">
        <f>IFERROR(GETPIVOTDATA("Sum of Qty",'[1]DATA LAST MONTH DEVICE'!$A$6,"ID Store",$C10,"Segment Price","3mio&gt;"),0)</f>
        <v>26</v>
      </c>
      <c r="AR10" s="109">
        <f t="shared" si="25"/>
        <v>40</v>
      </c>
      <c r="AS10" s="109">
        <f t="shared" si="26"/>
        <v>14</v>
      </c>
      <c r="AT10" s="108">
        <f t="shared" si="27"/>
        <v>0.53846153846153844</v>
      </c>
      <c r="AU10" s="123">
        <f>IFERROR(GETPIVOTDATA("Sum of SRP",'[1]DATA LAST MONTH DEVICE'!$A$6,"ID Store",$C10),0)</f>
        <v>296710000</v>
      </c>
      <c r="AV10" s="123">
        <f t="shared" si="28"/>
        <v>499580000</v>
      </c>
      <c r="AW10" s="123">
        <f t="shared" si="29"/>
        <v>202870000</v>
      </c>
      <c r="AX10" s="108">
        <f t="shared" si="30"/>
        <v>0.6837315897677867</v>
      </c>
      <c r="AY10" s="123">
        <f>IFERROR(VLOOKUP(C10,'[1]DATA SALES LAST MONTH'!A:E,5,0),0)</f>
        <v>3296777.777777778</v>
      </c>
      <c r="AZ10" s="110">
        <f t="shared" si="31"/>
        <v>4163166.6666666665</v>
      </c>
      <c r="BA10" s="110">
        <f t="shared" si="32"/>
        <v>866388.88888888853</v>
      </c>
      <c r="BB10" s="120">
        <f t="shared" si="33"/>
        <v>0.26279869232583991</v>
      </c>
      <c r="BC10" s="103">
        <f>IFERROR(VLOOKUP(C10,'[1]TARGET THIS MONTH'!C:U,15,0),0)</f>
        <v>24</v>
      </c>
      <c r="BD10" s="124">
        <f>IFERROR(GETPIVOTDATA("Sum of Qty",[1]ACC!$A$5,"ID Store",$C10),0)</f>
        <v>34</v>
      </c>
      <c r="BE10" s="108">
        <f t="shared" si="34"/>
        <v>1.4166666666666667</v>
      </c>
      <c r="BF10" s="125">
        <f>IFERROR(VLOOKUP(C10,'[1]TARGET THIS MONTH'!C:U,16,0),0)</f>
        <v>1584000</v>
      </c>
      <c r="BG10" s="125">
        <f>IFERROR(GETPIVOTDATA("Sum of SRP",'[1]Insurance by Store'!$A$5,"ID Store",$C10,"Product Type","Qoala"),0)</f>
        <v>1272000</v>
      </c>
      <c r="BH10" s="108">
        <f t="shared" si="35"/>
        <v>0.80303030303030298</v>
      </c>
      <c r="BI10" s="125">
        <f>IFERROR(VLOOKUP(C10,'[1]TARGET THIS MONTH'!C:U,17,0),0)</f>
        <v>396000</v>
      </c>
      <c r="BJ10" s="125">
        <f>IFERROR(GETPIVOTDATA("Sum of SRP",'[1]Insurance by Store'!$A$5,"ID Store",$C10,"Product Type","Vivo Care"),0)</f>
        <v>0</v>
      </c>
      <c r="BK10" s="108">
        <f t="shared" si="36"/>
        <v>0</v>
      </c>
      <c r="BL10" s="106">
        <f>IFERROR(VLOOKUP(C10,'[1]TARGET THIS MONTH'!C:U,18,0),0)</f>
        <v>3.6</v>
      </c>
      <c r="BM10" s="107">
        <f>IFERROR(GETPIVOTDATA("Sum of Qty",'[1]Operator by Store'!$A$5,"ID Store",$C10,"Product Type","Indosat"),0)</f>
        <v>1</v>
      </c>
      <c r="BN10" s="108">
        <f t="shared" si="37"/>
        <v>0.27777777777777779</v>
      </c>
      <c r="BO10" s="106">
        <f>VLOOKUP(C10,'[1]TARGET THIS MONTH'!C:U,19,0)</f>
        <v>1.2</v>
      </c>
      <c r="BP10" s="107">
        <f>IFERROR(GETPIVOTDATA("Sum of Qty",'[1]Operator by Store'!$A$5,"ID Store",$C10,"Product Type","Telkomsel"),0)</f>
        <v>0</v>
      </c>
      <c r="BQ10" s="126">
        <f t="shared" si="38"/>
        <v>0</v>
      </c>
    </row>
    <row r="11" spans="1:69" x14ac:dyDescent="0.2">
      <c r="A11" s="97">
        <v>7</v>
      </c>
      <c r="B11" s="98" t="s">
        <v>40</v>
      </c>
      <c r="C11" s="99">
        <v>6020711</v>
      </c>
      <c r="D11" s="100" t="s">
        <v>50</v>
      </c>
      <c r="E11" s="128" t="s">
        <v>51</v>
      </c>
      <c r="F11" s="102">
        <v>3</v>
      </c>
      <c r="G11" s="103">
        <f>IFERROR(VLOOKUP(C11,'[1]TARGET THIS MONTH'!C:E,3,0),0)</f>
        <v>120</v>
      </c>
      <c r="H11" s="104">
        <f>IFERROR(VLOOKUP(C11,'[1]TARGET THIS MONTH'!C:M,11,0),0)</f>
        <v>840000000</v>
      </c>
      <c r="I11" s="103">
        <f>IFERROR(GETPIVOTDATA("Sum of Qty",'[1]DEVICE &amp; VALUE'!$A$6,"ID Store",$C11),0)</f>
        <v>111</v>
      </c>
      <c r="J11" s="105">
        <f t="shared" si="0"/>
        <v>0.92500000000000004</v>
      </c>
      <c r="K11" s="106">
        <f t="shared" si="1"/>
        <v>-9</v>
      </c>
      <c r="L11" s="107">
        <f>IFERROR(GETPIVOTDATA("Sum of Qty",[1]PF!$A$5,"ID Store",$C11),0)</f>
        <v>11</v>
      </c>
      <c r="M11" s="107">
        <f>IFERROR(GETPIVOTDATA("Sum of Qty",'[1]DEVICE &amp; VALUE'!$A$6,"ID Store",$C11,"Segment Price","3mio&gt;"),0)</f>
        <v>67</v>
      </c>
      <c r="N11" s="108">
        <f t="shared" si="2"/>
        <v>0.60360360360360366</v>
      </c>
      <c r="O11" s="109">
        <f>IFERROR(GETPIVOTDATA("Sum of Qty",[1]IQOO!$A$6,"ID Store",$C11),0)</f>
        <v>11</v>
      </c>
      <c r="P11" s="108">
        <f t="shared" si="3"/>
        <v>9.90990990990991E-2</v>
      </c>
      <c r="Q11" s="108">
        <f t="shared" si="4"/>
        <v>0.60360360360360366</v>
      </c>
      <c r="R11" s="110">
        <f>IFERROR(GETPIVOTDATA("Sum of SRP",'[1]DEVICE &amp; VALUE'!$A$6,"ID Store",$C11),0)</f>
        <v>650689000</v>
      </c>
      <c r="S11" s="108">
        <f t="shared" si="5"/>
        <v>0.77462976190476196</v>
      </c>
      <c r="T11" s="111">
        <f t="shared" si="6"/>
        <v>-189311000</v>
      </c>
      <c r="U11" s="112">
        <f t="shared" si="7"/>
        <v>111</v>
      </c>
      <c r="V11" s="113">
        <f t="shared" si="8"/>
        <v>0.92500000000000004</v>
      </c>
      <c r="W11" s="114">
        <f t="shared" si="9"/>
        <v>-9</v>
      </c>
      <c r="X11" s="114">
        <f t="shared" si="10"/>
        <v>67</v>
      </c>
      <c r="Y11" s="114">
        <f t="shared" si="11"/>
        <v>-53</v>
      </c>
      <c r="Z11" s="115">
        <f t="shared" si="12"/>
        <v>650689000</v>
      </c>
      <c r="AA11" s="115">
        <f t="shared" si="13"/>
        <v>-189311000</v>
      </c>
      <c r="AB11" s="116">
        <f t="shared" si="14"/>
        <v>0.77462976190476196</v>
      </c>
      <c r="AC11" s="117">
        <f t="shared" si="15"/>
        <v>0</v>
      </c>
      <c r="AD11" s="118">
        <f t="shared" si="16"/>
        <v>0</v>
      </c>
      <c r="AE11" s="103">
        <f>IFERROR(GETPIVOTDATA("Sum of Qty",'[1]DATA LAST MONTH IQOO'!$A$6,"ID Store",$C11),0)</f>
        <v>16</v>
      </c>
      <c r="AF11" s="119">
        <f>IFERROR(GETPIVOTDATA("Sum of Qty",[1]IQOO!$A$6,"ID Store",$C11),0)</f>
        <v>11</v>
      </c>
      <c r="AG11" s="106">
        <f t="shared" si="17"/>
        <v>-5</v>
      </c>
      <c r="AH11" s="120">
        <f t="shared" si="18"/>
        <v>-0.3125</v>
      </c>
      <c r="AI11" s="121">
        <f>IFERROR(GETPIVOTDATA("Sum of Qty",'[1]DATA LAST MONTH DEVICE'!$A$6,"ID Store",$C11),0)</f>
        <v>107</v>
      </c>
      <c r="AJ11" s="122">
        <f t="shared" si="19"/>
        <v>111</v>
      </c>
      <c r="AK11" s="106">
        <f t="shared" si="20"/>
        <v>4</v>
      </c>
      <c r="AL11" s="108">
        <f t="shared" si="21"/>
        <v>3.7383177570093455E-2</v>
      </c>
      <c r="AM11" s="107">
        <f>IFERROR(GETPIVOTDATA("Sum of Qty",'[1]Store 3mio+ last month'!$A$6,"ID Store",$C11),0)</f>
        <v>107</v>
      </c>
      <c r="AN11" s="106">
        <f t="shared" si="22"/>
        <v>111</v>
      </c>
      <c r="AO11" s="106">
        <f t="shared" si="23"/>
        <v>4</v>
      </c>
      <c r="AP11" s="108">
        <f t="shared" si="24"/>
        <v>3.7383177570093455E-2</v>
      </c>
      <c r="AQ11" s="107">
        <f>IFERROR(GETPIVOTDATA("Sum of Qty",'[1]DATA LAST MONTH DEVICE'!$A$6,"ID Store",$C11,"Segment Price","3mio&gt;"),0)</f>
        <v>66</v>
      </c>
      <c r="AR11" s="109">
        <f t="shared" si="25"/>
        <v>67</v>
      </c>
      <c r="AS11" s="109">
        <f t="shared" si="26"/>
        <v>1</v>
      </c>
      <c r="AT11" s="108">
        <f t="shared" si="27"/>
        <v>1.5151515151515152E-2</v>
      </c>
      <c r="AU11" s="123">
        <f>IFERROR(GETPIVOTDATA("Sum of SRP",'[1]DATA LAST MONTH DEVICE'!$A$6,"ID Store",$C11),0)</f>
        <v>786093000</v>
      </c>
      <c r="AV11" s="123">
        <f t="shared" si="28"/>
        <v>650689000</v>
      </c>
      <c r="AW11" s="123">
        <f t="shared" si="29"/>
        <v>-135404000</v>
      </c>
      <c r="AX11" s="108">
        <f t="shared" si="30"/>
        <v>-0.17224933945474644</v>
      </c>
      <c r="AY11" s="123">
        <f>IFERROR(VLOOKUP(C11,'[1]DATA SALES LAST MONTH'!A:E,5,0),0)</f>
        <v>7346663.5514018694</v>
      </c>
      <c r="AZ11" s="110">
        <f t="shared" si="31"/>
        <v>5862063.0630630627</v>
      </c>
      <c r="BA11" s="110">
        <f t="shared" si="32"/>
        <v>-1484600.4883388067</v>
      </c>
      <c r="BB11" s="120">
        <f t="shared" si="33"/>
        <v>-0.20207819208700792</v>
      </c>
      <c r="BC11" s="103">
        <f>IFERROR(VLOOKUP(C11,'[1]TARGET THIS MONTH'!C:U,15,0),0)</f>
        <v>24</v>
      </c>
      <c r="BD11" s="124">
        <f>IFERROR(GETPIVOTDATA("Sum of Qty",[1]ACC!$A$5,"ID Store",$C11),0)</f>
        <v>22</v>
      </c>
      <c r="BE11" s="108">
        <f t="shared" si="34"/>
        <v>0.91666666666666663</v>
      </c>
      <c r="BF11" s="125">
        <f>IFERROR(VLOOKUP(C11,'[1]TARGET THIS MONTH'!C:U,16,0),0)</f>
        <v>3360000</v>
      </c>
      <c r="BG11" s="125">
        <f>IFERROR(GETPIVOTDATA("Sum of SRP",'[1]Insurance by Store'!$A$5,"ID Store",$C11,"Product Type","Qoala"),0)</f>
        <v>3618000</v>
      </c>
      <c r="BH11" s="108">
        <f t="shared" si="35"/>
        <v>1.0767857142857142</v>
      </c>
      <c r="BI11" s="125">
        <f>IFERROR(VLOOKUP(C11,'[1]TARGET THIS MONTH'!C:U,17,0),0)</f>
        <v>840000</v>
      </c>
      <c r="BJ11" s="125">
        <f>IFERROR(GETPIVOTDATA("Sum of SRP",'[1]Insurance by Store'!$A$5,"ID Store",$C11,"Product Type","Vivo Care"),0)</f>
        <v>1000000</v>
      </c>
      <c r="BK11" s="108">
        <f t="shared" si="36"/>
        <v>1.1904761904761905</v>
      </c>
      <c r="BL11" s="106">
        <f>IFERROR(VLOOKUP(C11,'[1]TARGET THIS MONTH'!C:U,18,0),0)</f>
        <v>3.6</v>
      </c>
      <c r="BM11" s="107">
        <f>IFERROR(GETPIVOTDATA("Sum of Qty",'[1]Operator by Store'!$A$5,"ID Store",$C11,"Product Type","Indosat"),0)</f>
        <v>0</v>
      </c>
      <c r="BN11" s="108">
        <f t="shared" si="37"/>
        <v>0</v>
      </c>
      <c r="BO11" s="106">
        <f>VLOOKUP(C11,'[1]TARGET THIS MONTH'!C:U,19,0)</f>
        <v>1.2</v>
      </c>
      <c r="BP11" s="107">
        <f>IFERROR(GETPIVOTDATA("Sum of Qty",'[1]Operator by Store'!$A$5,"ID Store",$C11,"Product Type","Telkomsel"),0)</f>
        <v>0</v>
      </c>
      <c r="BQ11" s="126">
        <f t="shared" si="38"/>
        <v>0</v>
      </c>
    </row>
    <row r="12" spans="1:69" x14ac:dyDescent="0.2">
      <c r="A12" s="97">
        <v>8</v>
      </c>
      <c r="B12" s="98" t="s">
        <v>40</v>
      </c>
      <c r="C12" s="99">
        <v>6010711</v>
      </c>
      <c r="D12" s="100" t="s">
        <v>52</v>
      </c>
      <c r="E12" s="127" t="s">
        <v>53</v>
      </c>
      <c r="F12" s="102">
        <v>3</v>
      </c>
      <c r="G12" s="103">
        <f>IFERROR(VLOOKUP(C12,'[1]TARGET THIS MONTH'!C:E,3,0),0)</f>
        <v>50</v>
      </c>
      <c r="H12" s="104">
        <f>IFERROR(VLOOKUP(C12,'[1]TARGET THIS MONTH'!C:M,11,0),0)</f>
        <v>365000000</v>
      </c>
      <c r="I12" s="103">
        <f>IFERROR(GETPIVOTDATA("Sum of Qty",'[1]DEVICE &amp; VALUE'!$A$6,"ID Store",$C12),0)</f>
        <v>38</v>
      </c>
      <c r="J12" s="105">
        <f t="shared" si="0"/>
        <v>0.76</v>
      </c>
      <c r="K12" s="106">
        <f t="shared" si="1"/>
        <v>-12</v>
      </c>
      <c r="L12" s="107">
        <f>IFERROR(GETPIVOTDATA("Sum of Qty",[1]PF!$A$5,"ID Store",$C12),0)</f>
        <v>7</v>
      </c>
      <c r="M12" s="107">
        <f>IFERROR(GETPIVOTDATA("Sum of Qty",'[1]DEVICE &amp; VALUE'!$A$6,"ID Store",$C12,"Segment Price","3mio&gt;"),0)</f>
        <v>24</v>
      </c>
      <c r="N12" s="108">
        <f t="shared" si="2"/>
        <v>0.63157894736842102</v>
      </c>
      <c r="O12" s="109">
        <f>IFERROR(GETPIVOTDATA("Sum of Qty",[1]IQOO!$A$6,"ID Store",$C12),0)</f>
        <v>3</v>
      </c>
      <c r="P12" s="108">
        <f t="shared" si="3"/>
        <v>7.8947368421052627E-2</v>
      </c>
      <c r="Q12" s="108">
        <f t="shared" si="4"/>
        <v>0.63157894736842102</v>
      </c>
      <c r="R12" s="110">
        <f>IFERROR(GETPIVOTDATA("Sum of SRP",'[1]DEVICE &amp; VALUE'!$A$6,"ID Store",$C12),0)</f>
        <v>315162000</v>
      </c>
      <c r="S12" s="108">
        <f t="shared" si="5"/>
        <v>0.86345753424657534</v>
      </c>
      <c r="T12" s="111">
        <f t="shared" si="6"/>
        <v>-49838000</v>
      </c>
      <c r="U12" s="112">
        <f t="shared" si="7"/>
        <v>38</v>
      </c>
      <c r="V12" s="113">
        <f t="shared" si="8"/>
        <v>0.76</v>
      </c>
      <c r="W12" s="114">
        <f t="shared" si="9"/>
        <v>-12</v>
      </c>
      <c r="X12" s="114">
        <f t="shared" si="10"/>
        <v>24</v>
      </c>
      <c r="Y12" s="114">
        <f t="shared" si="11"/>
        <v>-26</v>
      </c>
      <c r="Z12" s="115">
        <f t="shared" si="12"/>
        <v>315162000</v>
      </c>
      <c r="AA12" s="115">
        <f t="shared" si="13"/>
        <v>-49838000</v>
      </c>
      <c r="AB12" s="116">
        <f t="shared" si="14"/>
        <v>0.86345753424657534</v>
      </c>
      <c r="AC12" s="117">
        <f t="shared" si="15"/>
        <v>0</v>
      </c>
      <c r="AD12" s="118">
        <f t="shared" si="16"/>
        <v>0</v>
      </c>
      <c r="AE12" s="103">
        <f>IFERROR(GETPIVOTDATA("Sum of Qty",'[1]DATA LAST MONTH IQOO'!$A$6,"ID Store",$C12),0)</f>
        <v>13</v>
      </c>
      <c r="AF12" s="119">
        <f>IFERROR(GETPIVOTDATA("Sum of Qty",[1]IQOO!$A$6,"ID Store",$C12),0)</f>
        <v>3</v>
      </c>
      <c r="AG12" s="106">
        <f t="shared" si="17"/>
        <v>-10</v>
      </c>
      <c r="AH12" s="120">
        <f t="shared" si="18"/>
        <v>-0.76923076923076927</v>
      </c>
      <c r="AI12" s="121">
        <f>IFERROR(GETPIVOTDATA("Sum of Qty",'[1]DATA LAST MONTH DEVICE'!$A$6,"ID Store",$C12),0)</f>
        <v>54</v>
      </c>
      <c r="AJ12" s="122">
        <f t="shared" si="19"/>
        <v>38</v>
      </c>
      <c r="AK12" s="106">
        <f t="shared" si="20"/>
        <v>-16</v>
      </c>
      <c r="AL12" s="108">
        <f t="shared" si="21"/>
        <v>-0.29629629629629628</v>
      </c>
      <c r="AM12" s="107">
        <f>IFERROR(GETPIVOTDATA("Sum of Qty",'[1]Store 3mio+ last month'!$A$6,"ID Store",$C12),0)</f>
        <v>54</v>
      </c>
      <c r="AN12" s="106">
        <f t="shared" si="22"/>
        <v>38</v>
      </c>
      <c r="AO12" s="106">
        <f t="shared" si="23"/>
        <v>-16</v>
      </c>
      <c r="AP12" s="108">
        <f t="shared" si="24"/>
        <v>-0.29629629629629628</v>
      </c>
      <c r="AQ12" s="107">
        <f>IFERROR(GETPIVOTDATA("Sum of Qty",'[1]DATA LAST MONTH DEVICE'!$A$6,"ID Store",$C12,"Segment Price","3mio&gt;"),0)</f>
        <v>40</v>
      </c>
      <c r="AR12" s="109">
        <f t="shared" si="25"/>
        <v>24</v>
      </c>
      <c r="AS12" s="109">
        <f t="shared" si="26"/>
        <v>-16</v>
      </c>
      <c r="AT12" s="108">
        <f t="shared" si="27"/>
        <v>-0.4</v>
      </c>
      <c r="AU12" s="123">
        <f>IFERROR(GETPIVOTDATA("Sum of SRP",'[1]DATA LAST MONTH DEVICE'!$A$6,"ID Store",$C12),0)</f>
        <v>490946000</v>
      </c>
      <c r="AV12" s="123">
        <f t="shared" si="28"/>
        <v>315162000</v>
      </c>
      <c r="AW12" s="123">
        <f t="shared" si="29"/>
        <v>-175784000</v>
      </c>
      <c r="AX12" s="108">
        <f t="shared" si="30"/>
        <v>-0.35805159834279127</v>
      </c>
      <c r="AY12" s="123">
        <f>IFERROR(VLOOKUP(C12,'[1]DATA SALES LAST MONTH'!A:E,5,0),0)</f>
        <v>9091592.5925925933</v>
      </c>
      <c r="AZ12" s="110">
        <f t="shared" si="31"/>
        <v>8293736.8421052629</v>
      </c>
      <c r="BA12" s="110">
        <f t="shared" si="32"/>
        <v>-797855.75048733037</v>
      </c>
      <c r="BB12" s="120">
        <f t="shared" si="33"/>
        <v>-8.7757534487124519E-2</v>
      </c>
      <c r="BC12" s="103">
        <f>IFERROR(VLOOKUP(C12,'[1]TARGET THIS MONTH'!C:U,15,0),0)</f>
        <v>10</v>
      </c>
      <c r="BD12" s="124">
        <f>IFERROR(GETPIVOTDATA("Sum of Qty",[1]ACC!$A$5,"ID Store",$C12),0)</f>
        <v>27</v>
      </c>
      <c r="BE12" s="108">
        <f t="shared" si="34"/>
        <v>2.7</v>
      </c>
      <c r="BF12" s="125">
        <f>IFERROR(VLOOKUP(C12,'[1]TARGET THIS MONTH'!C:U,16,0),0)</f>
        <v>1460000</v>
      </c>
      <c r="BG12" s="125">
        <f>IFERROR(GETPIVOTDATA("Sum of SRP",'[1]Insurance by Store'!$A$5,"ID Store",$C12,"Product Type","Qoala"),0)</f>
        <v>987000</v>
      </c>
      <c r="BH12" s="108">
        <f t="shared" si="35"/>
        <v>0.67602739726027394</v>
      </c>
      <c r="BI12" s="125">
        <f>IFERROR(VLOOKUP(C12,'[1]TARGET THIS MONTH'!C:U,17,0),0)</f>
        <v>365000</v>
      </c>
      <c r="BJ12" s="125">
        <f>IFERROR(GETPIVOTDATA("Sum of SRP",'[1]Insurance by Store'!$A$5,"ID Store",$C12,"Product Type","Vivo Care"),0)</f>
        <v>0</v>
      </c>
      <c r="BK12" s="108">
        <f t="shared" si="36"/>
        <v>0</v>
      </c>
      <c r="BL12" s="106">
        <f>IFERROR(VLOOKUP(C12,'[1]TARGET THIS MONTH'!C:U,18,0),0)</f>
        <v>1.5</v>
      </c>
      <c r="BM12" s="107">
        <f>IFERROR(GETPIVOTDATA("Sum of Qty",'[1]Operator by Store'!$A$5,"ID Store",$C12,"Product Type","Indosat"),0)</f>
        <v>0</v>
      </c>
      <c r="BN12" s="108">
        <f t="shared" si="37"/>
        <v>0</v>
      </c>
      <c r="BO12" s="106">
        <f>VLOOKUP(C12,'[1]TARGET THIS MONTH'!C:U,19,0)</f>
        <v>0.5</v>
      </c>
      <c r="BP12" s="107">
        <f>IFERROR(GETPIVOTDATA("Sum of Qty",'[1]Operator by Store'!$A$5,"ID Store",$C12,"Product Type","Telkomsel"),0)</f>
        <v>0</v>
      </c>
      <c r="BQ12" s="126">
        <f t="shared" si="38"/>
        <v>0</v>
      </c>
    </row>
    <row r="13" spans="1:69" x14ac:dyDescent="0.2">
      <c r="A13" s="97">
        <v>9</v>
      </c>
      <c r="B13" s="98" t="s">
        <v>40</v>
      </c>
      <c r="C13" s="99">
        <v>6020706</v>
      </c>
      <c r="D13" s="100" t="s">
        <v>54</v>
      </c>
      <c r="E13" s="127" t="s">
        <v>55</v>
      </c>
      <c r="F13" s="102">
        <v>3</v>
      </c>
      <c r="G13" s="103">
        <f>IFERROR(VLOOKUP(C13,'[1]TARGET THIS MONTH'!C:E,3,0),0)</f>
        <v>110</v>
      </c>
      <c r="H13" s="104">
        <f>IFERROR(VLOOKUP(C13,'[1]TARGET THIS MONTH'!C:M,11,0),0)</f>
        <v>429000000</v>
      </c>
      <c r="I13" s="103">
        <f>IFERROR(GETPIVOTDATA("Sum of Qty",'[1]DEVICE &amp; VALUE'!$A$6,"ID Store",$C13),0)</f>
        <v>108</v>
      </c>
      <c r="J13" s="105">
        <f t="shared" si="0"/>
        <v>0.98181818181818181</v>
      </c>
      <c r="K13" s="106">
        <f t="shared" si="1"/>
        <v>-2</v>
      </c>
      <c r="L13" s="107">
        <f>IFERROR(GETPIVOTDATA("Sum of Qty",[1]PF!$A$5,"ID Store",$C13),0)</f>
        <v>27</v>
      </c>
      <c r="M13" s="107">
        <f>IFERROR(GETPIVOTDATA("Sum of Qty",'[1]DEVICE &amp; VALUE'!$A$6,"ID Store",$C13,"Segment Price","3mio&gt;"),0)</f>
        <v>59</v>
      </c>
      <c r="N13" s="108">
        <f t="shared" si="2"/>
        <v>0.54629629629629628</v>
      </c>
      <c r="O13" s="109">
        <f>IFERROR(GETPIVOTDATA("Sum of Qty",[1]IQOO!$A$6,"ID Store",$C13),0)</f>
        <v>13</v>
      </c>
      <c r="P13" s="108">
        <f t="shared" si="3"/>
        <v>0.12037037037037036</v>
      </c>
      <c r="Q13" s="108">
        <f t="shared" si="4"/>
        <v>0.54629629629629628</v>
      </c>
      <c r="R13" s="110">
        <f>IFERROR(GETPIVOTDATA("Sum of SRP",'[1]DEVICE &amp; VALUE'!$A$6,"ID Store",$C13),0)</f>
        <v>491192000</v>
      </c>
      <c r="S13" s="108">
        <f t="shared" si="5"/>
        <v>1.144969696969697</v>
      </c>
      <c r="T13" s="111">
        <f t="shared" si="6"/>
        <v>62192000</v>
      </c>
      <c r="U13" s="112">
        <f t="shared" si="7"/>
        <v>108</v>
      </c>
      <c r="V13" s="113">
        <f t="shared" si="8"/>
        <v>0.98181818181818181</v>
      </c>
      <c r="W13" s="114">
        <f t="shared" si="9"/>
        <v>-2</v>
      </c>
      <c r="X13" s="114">
        <f t="shared" si="10"/>
        <v>59</v>
      </c>
      <c r="Y13" s="114">
        <f t="shared" si="11"/>
        <v>-51</v>
      </c>
      <c r="Z13" s="115">
        <f t="shared" si="12"/>
        <v>491192000</v>
      </c>
      <c r="AA13" s="115">
        <f t="shared" si="13"/>
        <v>62192000</v>
      </c>
      <c r="AB13" s="116">
        <f t="shared" si="14"/>
        <v>1.144969696969697</v>
      </c>
      <c r="AC13" s="117">
        <f t="shared" si="15"/>
        <v>0</v>
      </c>
      <c r="AD13" s="118">
        <f t="shared" si="16"/>
        <v>0</v>
      </c>
      <c r="AE13" s="103">
        <f>IFERROR(GETPIVOTDATA("Sum of Qty",'[1]DATA LAST MONTH IQOO'!$A$6,"ID Store",$C13),0)</f>
        <v>21</v>
      </c>
      <c r="AF13" s="119">
        <f>IFERROR(GETPIVOTDATA("Sum of Qty",[1]IQOO!$A$6,"ID Store",$C13),0)</f>
        <v>13</v>
      </c>
      <c r="AG13" s="106">
        <f t="shared" si="17"/>
        <v>-8</v>
      </c>
      <c r="AH13" s="120">
        <f t="shared" si="18"/>
        <v>-0.38095238095238093</v>
      </c>
      <c r="AI13" s="121">
        <f>IFERROR(GETPIVOTDATA("Sum of Qty",'[1]DATA LAST MONTH DEVICE'!$A$6,"ID Store",$C13),0)</f>
        <v>109</v>
      </c>
      <c r="AJ13" s="122">
        <f t="shared" si="19"/>
        <v>108</v>
      </c>
      <c r="AK13" s="106">
        <f t="shared" si="20"/>
        <v>-1</v>
      </c>
      <c r="AL13" s="108">
        <f t="shared" si="21"/>
        <v>-9.1743119266055051E-3</v>
      </c>
      <c r="AM13" s="107">
        <f>IFERROR(GETPIVOTDATA("Sum of Qty",'[1]Store 3mio+ last month'!$A$6,"ID Store",$C13),0)</f>
        <v>109</v>
      </c>
      <c r="AN13" s="106">
        <f t="shared" si="22"/>
        <v>108</v>
      </c>
      <c r="AO13" s="106">
        <f t="shared" si="23"/>
        <v>-1</v>
      </c>
      <c r="AP13" s="108">
        <f t="shared" si="24"/>
        <v>-9.1743119266055051E-3</v>
      </c>
      <c r="AQ13" s="107">
        <f>IFERROR(GETPIVOTDATA("Sum of Qty",'[1]DATA LAST MONTH DEVICE'!$A$6,"ID Store",$C13,"Segment Price","3mio&gt;"),0)</f>
        <v>52</v>
      </c>
      <c r="AR13" s="109">
        <f t="shared" si="25"/>
        <v>59</v>
      </c>
      <c r="AS13" s="109">
        <f t="shared" si="26"/>
        <v>7</v>
      </c>
      <c r="AT13" s="108">
        <f t="shared" si="27"/>
        <v>0.13461538461538461</v>
      </c>
      <c r="AU13" s="123">
        <f>IFERROR(GETPIVOTDATA("Sum of SRP",'[1]DATA LAST MONTH DEVICE'!$A$6,"ID Store",$C13),0)</f>
        <v>454591000</v>
      </c>
      <c r="AV13" s="123">
        <f t="shared" si="28"/>
        <v>491192000</v>
      </c>
      <c r="AW13" s="123">
        <f t="shared" si="29"/>
        <v>36601000</v>
      </c>
      <c r="AX13" s="108">
        <f t="shared" si="30"/>
        <v>8.051413248392511E-2</v>
      </c>
      <c r="AY13" s="123">
        <f>IFERROR(VLOOKUP(C13,'[1]DATA SALES LAST MONTH'!A:E,5,0),0)</f>
        <v>4170559.6330275228</v>
      </c>
      <c r="AZ13" s="110">
        <f t="shared" si="31"/>
        <v>4548074.0740740737</v>
      </c>
      <c r="BA13" s="110">
        <f t="shared" si="32"/>
        <v>377514.44104655087</v>
      </c>
      <c r="BB13" s="120">
        <f t="shared" si="33"/>
        <v>9.0518892969887313E-2</v>
      </c>
      <c r="BC13" s="103">
        <f>IFERROR(VLOOKUP(C13,'[1]TARGET THIS MONTH'!C:U,15,0),0)</f>
        <v>22</v>
      </c>
      <c r="BD13" s="124">
        <f>IFERROR(GETPIVOTDATA("Sum of Qty",[1]ACC!$A$5,"ID Store",$C13),0)</f>
        <v>14</v>
      </c>
      <c r="BE13" s="108">
        <f t="shared" si="34"/>
        <v>0.63636363636363635</v>
      </c>
      <c r="BF13" s="125">
        <f>IFERROR(VLOOKUP(C13,'[1]TARGET THIS MONTH'!C:U,16,0),0)</f>
        <v>1716000</v>
      </c>
      <c r="BG13" s="125">
        <f>IFERROR(GETPIVOTDATA("Sum of SRP",'[1]Insurance by Store'!$A$5,"ID Store",$C13,"Product Type","Qoala"),0)</f>
        <v>477000</v>
      </c>
      <c r="BH13" s="108">
        <f t="shared" si="35"/>
        <v>0.27797202797202797</v>
      </c>
      <c r="BI13" s="125">
        <f>IFERROR(VLOOKUP(C13,'[1]TARGET THIS MONTH'!C:U,17,0),0)</f>
        <v>429000</v>
      </c>
      <c r="BJ13" s="125">
        <f>IFERROR(GETPIVOTDATA("Sum of SRP",'[1]Insurance by Store'!$A$5,"ID Store",$C13,"Product Type","Vivo Care"),0)</f>
        <v>0</v>
      </c>
      <c r="BK13" s="108">
        <f t="shared" si="36"/>
        <v>0</v>
      </c>
      <c r="BL13" s="106">
        <f>IFERROR(VLOOKUP(C13,'[1]TARGET THIS MONTH'!C:U,18,0),0)</f>
        <v>3.3</v>
      </c>
      <c r="BM13" s="107">
        <f>IFERROR(GETPIVOTDATA("Sum of Qty",'[1]Operator by Store'!$A$5,"ID Store",$C13,"Product Type","Indosat"),0)</f>
        <v>0</v>
      </c>
      <c r="BN13" s="108">
        <f t="shared" si="37"/>
        <v>0</v>
      </c>
      <c r="BO13" s="106">
        <f>VLOOKUP(C13,'[1]TARGET THIS MONTH'!C:U,19,0)</f>
        <v>1.1000000000000001</v>
      </c>
      <c r="BP13" s="107">
        <f>IFERROR(GETPIVOTDATA("Sum of Qty",'[1]Operator by Store'!$A$5,"ID Store",$C13,"Product Type","Telkomsel"),0)</f>
        <v>0</v>
      </c>
      <c r="BQ13" s="126">
        <f t="shared" si="38"/>
        <v>0</v>
      </c>
    </row>
    <row r="14" spans="1:69" x14ac:dyDescent="0.2">
      <c r="A14" s="97">
        <v>10</v>
      </c>
      <c r="B14" s="98" t="s">
        <v>40</v>
      </c>
      <c r="C14" s="99">
        <v>6020704</v>
      </c>
      <c r="D14" s="100" t="s">
        <v>56</v>
      </c>
      <c r="E14" s="127" t="s">
        <v>55</v>
      </c>
      <c r="F14" s="102">
        <v>3</v>
      </c>
      <c r="G14" s="103">
        <f>IFERROR(VLOOKUP(C14,'[1]TARGET THIS MONTH'!C:E,3,0),0)</f>
        <v>60</v>
      </c>
      <c r="H14" s="104">
        <f>IFERROR(VLOOKUP(C14,'[1]TARGET THIS MONTH'!C:M,11,0),0)</f>
        <v>234000000</v>
      </c>
      <c r="I14" s="103">
        <f>IFERROR(GETPIVOTDATA("Sum of Qty",'[1]DEVICE &amp; VALUE'!$A$6,"ID Store",$C14),0)</f>
        <v>54</v>
      </c>
      <c r="J14" s="105">
        <f t="shared" si="0"/>
        <v>0.9</v>
      </c>
      <c r="K14" s="106">
        <f t="shared" si="1"/>
        <v>-6</v>
      </c>
      <c r="L14" s="107">
        <f>IFERROR(GETPIVOTDATA("Sum of Qty",[1]PF!$A$5,"ID Store",$C14),0)</f>
        <v>15</v>
      </c>
      <c r="M14" s="107">
        <f>IFERROR(GETPIVOTDATA("Sum of Qty",'[1]DEVICE &amp; VALUE'!$A$6,"ID Store",$C14,"Segment Price","3mio&gt;"),0)</f>
        <v>23</v>
      </c>
      <c r="N14" s="108">
        <f t="shared" si="2"/>
        <v>0.42592592592592593</v>
      </c>
      <c r="O14" s="109">
        <f>IFERROR(GETPIVOTDATA("Sum of Qty",[1]IQOO!$A$6,"ID Store",$C14),0)</f>
        <v>3</v>
      </c>
      <c r="P14" s="108">
        <f t="shared" si="3"/>
        <v>5.5555555555555552E-2</v>
      </c>
      <c r="Q14" s="108">
        <f t="shared" si="4"/>
        <v>0.42592592592592593</v>
      </c>
      <c r="R14" s="110">
        <f>IFERROR(GETPIVOTDATA("Sum of SRP",'[1]DEVICE &amp; VALUE'!$A$6,"ID Store",$C14),0)</f>
        <v>207746000</v>
      </c>
      <c r="S14" s="108">
        <f t="shared" si="5"/>
        <v>0.88780341880341884</v>
      </c>
      <c r="T14" s="111">
        <f t="shared" si="6"/>
        <v>-26254000</v>
      </c>
      <c r="U14" s="112">
        <f t="shared" si="7"/>
        <v>54</v>
      </c>
      <c r="V14" s="113">
        <f t="shared" si="8"/>
        <v>0.9</v>
      </c>
      <c r="W14" s="114">
        <f t="shared" si="9"/>
        <v>-6</v>
      </c>
      <c r="X14" s="114">
        <f t="shared" si="10"/>
        <v>23</v>
      </c>
      <c r="Y14" s="114">
        <f t="shared" si="11"/>
        <v>-37</v>
      </c>
      <c r="Z14" s="115">
        <f t="shared" si="12"/>
        <v>207746000</v>
      </c>
      <c r="AA14" s="115">
        <f t="shared" si="13"/>
        <v>-26254000</v>
      </c>
      <c r="AB14" s="116">
        <f t="shared" si="14"/>
        <v>0.88780341880341884</v>
      </c>
      <c r="AC14" s="117">
        <f t="shared" si="15"/>
        <v>0</v>
      </c>
      <c r="AD14" s="118">
        <f t="shared" si="16"/>
        <v>0</v>
      </c>
      <c r="AE14" s="103">
        <f>IFERROR(GETPIVOTDATA("Sum of Qty",'[1]DATA LAST MONTH IQOO'!$A$6,"ID Store",$C14),0)</f>
        <v>5</v>
      </c>
      <c r="AF14" s="119">
        <f>IFERROR(GETPIVOTDATA("Sum of Qty",[1]IQOO!$A$6,"ID Store",$C14),0)</f>
        <v>3</v>
      </c>
      <c r="AG14" s="106">
        <f t="shared" si="17"/>
        <v>-2</v>
      </c>
      <c r="AH14" s="120">
        <f t="shared" si="18"/>
        <v>-0.4</v>
      </c>
      <c r="AI14" s="121">
        <f>IFERROR(GETPIVOTDATA("Sum of Qty",'[1]DATA LAST MONTH DEVICE'!$A$6,"ID Store",$C14),0)</f>
        <v>41</v>
      </c>
      <c r="AJ14" s="122">
        <f t="shared" si="19"/>
        <v>54</v>
      </c>
      <c r="AK14" s="106">
        <f t="shared" si="20"/>
        <v>13</v>
      </c>
      <c r="AL14" s="108">
        <f t="shared" si="21"/>
        <v>0.31707317073170732</v>
      </c>
      <c r="AM14" s="107">
        <f>IFERROR(GETPIVOTDATA("Sum of Qty",'[1]Store 3mio+ last month'!$A$6,"ID Store",$C14),0)</f>
        <v>41</v>
      </c>
      <c r="AN14" s="106">
        <f t="shared" si="22"/>
        <v>54</v>
      </c>
      <c r="AO14" s="106">
        <f t="shared" si="23"/>
        <v>13</v>
      </c>
      <c r="AP14" s="108">
        <f t="shared" si="24"/>
        <v>0.31707317073170732</v>
      </c>
      <c r="AQ14" s="107">
        <f>IFERROR(GETPIVOTDATA("Sum of Qty",'[1]DATA LAST MONTH DEVICE'!$A$6,"ID Store",$C14,"Segment Price","3mio&gt;"),0)</f>
        <v>13</v>
      </c>
      <c r="AR14" s="109">
        <f t="shared" si="25"/>
        <v>23</v>
      </c>
      <c r="AS14" s="109">
        <f t="shared" si="26"/>
        <v>10</v>
      </c>
      <c r="AT14" s="108">
        <f t="shared" si="27"/>
        <v>0.76923076923076927</v>
      </c>
      <c r="AU14" s="123">
        <f>IFERROR(GETPIVOTDATA("Sum of SRP",'[1]DATA LAST MONTH DEVICE'!$A$6,"ID Store",$C14),0)</f>
        <v>140859000</v>
      </c>
      <c r="AV14" s="123">
        <f t="shared" si="28"/>
        <v>207746000</v>
      </c>
      <c r="AW14" s="123">
        <f t="shared" si="29"/>
        <v>66887000</v>
      </c>
      <c r="AX14" s="108">
        <f t="shared" si="30"/>
        <v>0.47485073726208477</v>
      </c>
      <c r="AY14" s="123">
        <f>IFERROR(VLOOKUP(C14,'[1]DATA SALES LAST MONTH'!A:E,5,0),0)</f>
        <v>3435585.3658536584</v>
      </c>
      <c r="AZ14" s="110">
        <f t="shared" si="31"/>
        <v>3847148.1481481483</v>
      </c>
      <c r="BA14" s="110">
        <f t="shared" si="32"/>
        <v>411562.78229448991</v>
      </c>
      <c r="BB14" s="120">
        <f t="shared" si="33"/>
        <v>0.11979407829158298</v>
      </c>
      <c r="BC14" s="103">
        <f>IFERROR(VLOOKUP(C14,'[1]TARGET THIS MONTH'!C:U,15,0),0)</f>
        <v>12</v>
      </c>
      <c r="BD14" s="124">
        <f>IFERROR(GETPIVOTDATA("Sum of Qty",[1]ACC!$A$5,"ID Store",$C14),0)</f>
        <v>10</v>
      </c>
      <c r="BE14" s="108">
        <f t="shared" si="34"/>
        <v>0.83333333333333337</v>
      </c>
      <c r="BF14" s="125">
        <f>IFERROR(VLOOKUP(C14,'[1]TARGET THIS MONTH'!C:U,16,0),0)</f>
        <v>936000</v>
      </c>
      <c r="BG14" s="125">
        <f>IFERROR(GETPIVOTDATA("Sum of SRP",'[1]Insurance by Store'!$A$5,"ID Store",$C14,"Product Type","Qoala"),0)</f>
        <v>477000</v>
      </c>
      <c r="BH14" s="108">
        <f t="shared" si="35"/>
        <v>0.50961538461538458</v>
      </c>
      <c r="BI14" s="125">
        <f>IFERROR(VLOOKUP(C14,'[1]TARGET THIS MONTH'!C:U,17,0),0)</f>
        <v>234000</v>
      </c>
      <c r="BJ14" s="125">
        <f>IFERROR(GETPIVOTDATA("Sum of SRP",'[1]Insurance by Store'!$A$5,"ID Store",$C14,"Product Type","Vivo Care"),0)</f>
        <v>0</v>
      </c>
      <c r="BK14" s="108">
        <f t="shared" si="36"/>
        <v>0</v>
      </c>
      <c r="BL14" s="106">
        <f>IFERROR(VLOOKUP(C14,'[1]TARGET THIS MONTH'!C:U,18,0),0)</f>
        <v>1.8</v>
      </c>
      <c r="BM14" s="107">
        <f>IFERROR(GETPIVOTDATA("Sum of Qty",'[1]Operator by Store'!$A$5,"ID Store",$C14,"Product Type","Indosat"),0)</f>
        <v>0</v>
      </c>
      <c r="BN14" s="108">
        <f t="shared" si="37"/>
        <v>0</v>
      </c>
      <c r="BO14" s="106">
        <f>VLOOKUP(C14,'[1]TARGET THIS MONTH'!C:U,19,0)</f>
        <v>0.6</v>
      </c>
      <c r="BP14" s="107">
        <f>IFERROR(GETPIVOTDATA("Sum of Qty",'[1]Operator by Store'!$A$5,"ID Store",$C14,"Product Type","Telkomsel"),0)</f>
        <v>0</v>
      </c>
      <c r="BQ14" s="126">
        <f t="shared" si="38"/>
        <v>0</v>
      </c>
    </row>
    <row r="15" spans="1:69" x14ac:dyDescent="0.2">
      <c r="A15" s="97">
        <v>11</v>
      </c>
      <c r="B15" s="98" t="s">
        <v>57</v>
      </c>
      <c r="C15" s="99">
        <v>6040701</v>
      </c>
      <c r="D15" s="100" t="s">
        <v>58</v>
      </c>
      <c r="E15" s="127" t="s">
        <v>59</v>
      </c>
      <c r="F15" s="102">
        <v>3</v>
      </c>
      <c r="G15" s="103">
        <f>IFERROR(VLOOKUP(C15,'[1]TARGET THIS MONTH'!C:E,3,0),0)</f>
        <v>60</v>
      </c>
      <c r="H15" s="104">
        <f>IFERROR(VLOOKUP(C15,'[1]TARGET THIS MONTH'!C:M,11,0),0)</f>
        <v>240000000</v>
      </c>
      <c r="I15" s="103">
        <f>IFERROR(GETPIVOTDATA("Sum of Qty",'[1]DEVICE &amp; VALUE'!$A$6,"ID Store",$C15),0)</f>
        <v>56</v>
      </c>
      <c r="J15" s="105">
        <f t="shared" si="0"/>
        <v>0.93333333333333335</v>
      </c>
      <c r="K15" s="106">
        <f t="shared" si="1"/>
        <v>-4</v>
      </c>
      <c r="L15" s="107">
        <f>IFERROR(GETPIVOTDATA("Sum of Qty",[1]PF!$A$5,"ID Store",$C15),0)</f>
        <v>17</v>
      </c>
      <c r="M15" s="107">
        <f>IFERROR(GETPIVOTDATA("Sum of Qty",'[1]DEVICE &amp; VALUE'!$A$6,"ID Store",$C15,"Segment Price","3mio&gt;"),0)</f>
        <v>34</v>
      </c>
      <c r="N15" s="108">
        <f t="shared" si="2"/>
        <v>0.6071428571428571</v>
      </c>
      <c r="O15" s="109">
        <f>IFERROR(GETPIVOTDATA("Sum of Qty",[1]IQOO!$A$6,"ID Store",$C15),0)</f>
        <v>6</v>
      </c>
      <c r="P15" s="108">
        <f t="shared" si="3"/>
        <v>0.10714285714285714</v>
      </c>
      <c r="Q15" s="108">
        <f t="shared" si="4"/>
        <v>0.6071428571428571</v>
      </c>
      <c r="R15" s="110">
        <f>IFERROR(GETPIVOTDATA("Sum of SRP",'[1]DEVICE &amp; VALUE'!$A$6,"ID Store",$C15),0)</f>
        <v>257644000</v>
      </c>
      <c r="S15" s="108">
        <f t="shared" si="5"/>
        <v>1.0735166666666667</v>
      </c>
      <c r="T15" s="111">
        <f t="shared" si="6"/>
        <v>17644000</v>
      </c>
      <c r="U15" s="112">
        <f t="shared" si="7"/>
        <v>56</v>
      </c>
      <c r="V15" s="113">
        <f t="shared" si="8"/>
        <v>0.93333333333333335</v>
      </c>
      <c r="W15" s="114">
        <f t="shared" si="9"/>
        <v>-4</v>
      </c>
      <c r="X15" s="114">
        <f t="shared" si="10"/>
        <v>34</v>
      </c>
      <c r="Y15" s="114">
        <f t="shared" si="11"/>
        <v>-26</v>
      </c>
      <c r="Z15" s="115">
        <f t="shared" si="12"/>
        <v>257644000.00000003</v>
      </c>
      <c r="AA15" s="115">
        <f t="shared" si="13"/>
        <v>17644000.00000003</v>
      </c>
      <c r="AB15" s="116">
        <f t="shared" si="14"/>
        <v>1.0735166666666669</v>
      </c>
      <c r="AC15" s="117">
        <f t="shared" si="15"/>
        <v>0</v>
      </c>
      <c r="AD15" s="118">
        <f t="shared" si="16"/>
        <v>0</v>
      </c>
      <c r="AE15" s="103">
        <f>IFERROR(GETPIVOTDATA("Sum of Qty",'[1]DATA LAST MONTH IQOO'!$A$6,"ID Store",$C15),0)</f>
        <v>6</v>
      </c>
      <c r="AF15" s="119">
        <f>IFERROR(GETPIVOTDATA("Sum of Qty",[1]IQOO!$A$6,"ID Store",$C15),0)</f>
        <v>6</v>
      </c>
      <c r="AG15" s="106">
        <f t="shared" si="17"/>
        <v>0</v>
      </c>
      <c r="AH15" s="120">
        <f t="shared" si="18"/>
        <v>0</v>
      </c>
      <c r="AI15" s="121">
        <f>IFERROR(GETPIVOTDATA("Sum of Qty",'[1]DATA LAST MONTH DEVICE'!$A$6,"ID Store",$C15),0)</f>
        <v>48</v>
      </c>
      <c r="AJ15" s="122">
        <f t="shared" si="19"/>
        <v>56</v>
      </c>
      <c r="AK15" s="106">
        <f t="shared" si="20"/>
        <v>8</v>
      </c>
      <c r="AL15" s="108">
        <f t="shared" si="21"/>
        <v>0.16666666666666666</v>
      </c>
      <c r="AM15" s="107">
        <f>IFERROR(GETPIVOTDATA("Sum of Qty",'[1]Store 3mio+ last month'!$A$6,"ID Store",$C15),0)</f>
        <v>48</v>
      </c>
      <c r="AN15" s="106">
        <f t="shared" si="22"/>
        <v>56</v>
      </c>
      <c r="AO15" s="106">
        <f t="shared" si="23"/>
        <v>8</v>
      </c>
      <c r="AP15" s="108">
        <f t="shared" si="24"/>
        <v>0.16666666666666666</v>
      </c>
      <c r="AQ15" s="107">
        <f>IFERROR(GETPIVOTDATA("Sum of Qty",'[1]DATA LAST MONTH DEVICE'!$A$6,"ID Store",$C15,"Segment Price","3mio&gt;"),0)</f>
        <v>21</v>
      </c>
      <c r="AR15" s="109">
        <f t="shared" si="25"/>
        <v>34</v>
      </c>
      <c r="AS15" s="109">
        <f t="shared" si="26"/>
        <v>13</v>
      </c>
      <c r="AT15" s="108">
        <f t="shared" si="27"/>
        <v>0.61904761904761907</v>
      </c>
      <c r="AU15" s="123">
        <f>IFERROR(GETPIVOTDATA("Sum of SRP",'[1]DATA LAST MONTH DEVICE'!$A$6,"ID Store",$C15),0)</f>
        <v>187652000</v>
      </c>
      <c r="AV15" s="123">
        <f t="shared" si="28"/>
        <v>257644000</v>
      </c>
      <c r="AW15" s="123">
        <f t="shared" si="29"/>
        <v>69992000</v>
      </c>
      <c r="AX15" s="108">
        <f t="shared" si="30"/>
        <v>0.37298829748683732</v>
      </c>
      <c r="AY15" s="123">
        <f>IFERROR(VLOOKUP(C15,'[1]DATA SALES LAST MONTH'!A:E,5,0),0)</f>
        <v>3909416.6666666665</v>
      </c>
      <c r="AZ15" s="110">
        <f t="shared" si="31"/>
        <v>4600785.7142857146</v>
      </c>
      <c r="BA15" s="110">
        <f t="shared" si="32"/>
        <v>691369.04761904804</v>
      </c>
      <c r="BB15" s="120">
        <f t="shared" si="33"/>
        <v>0.17684711213157497</v>
      </c>
      <c r="BC15" s="103">
        <f>IFERROR(VLOOKUP(C15,'[1]TARGET THIS MONTH'!C:U,15,0),0)</f>
        <v>12</v>
      </c>
      <c r="BD15" s="124">
        <f>IFERROR(GETPIVOTDATA("Sum of Qty",[1]ACC!$A$5,"ID Store",$C15),0)</f>
        <v>30</v>
      </c>
      <c r="BE15" s="108">
        <f t="shared" si="34"/>
        <v>2.5</v>
      </c>
      <c r="BF15" s="125">
        <f>IFERROR(VLOOKUP(C15,'[1]TARGET THIS MONTH'!C:U,16,0),0)</f>
        <v>960000</v>
      </c>
      <c r="BG15" s="125">
        <f>IFERROR(GETPIVOTDATA("Sum of SRP",'[1]Insurance by Store'!$A$5,"ID Store",$C15,"Product Type","Qoala"),0)</f>
        <v>1984000</v>
      </c>
      <c r="BH15" s="108">
        <f t="shared" si="35"/>
        <v>2.0666666666666669</v>
      </c>
      <c r="BI15" s="125">
        <f>IFERROR(VLOOKUP(C15,'[1]TARGET THIS MONTH'!C:U,17,0),0)</f>
        <v>240000</v>
      </c>
      <c r="BJ15" s="125">
        <f>IFERROR(GETPIVOTDATA("Sum of SRP",'[1]Insurance by Store'!$A$5,"ID Store",$C15,"Product Type","Vivo Care"),0)</f>
        <v>0</v>
      </c>
      <c r="BK15" s="108">
        <f t="shared" si="36"/>
        <v>0</v>
      </c>
      <c r="BL15" s="106">
        <f>IFERROR(VLOOKUP(C15,'[1]TARGET THIS MONTH'!C:U,18,0),0)</f>
        <v>1.8</v>
      </c>
      <c r="BM15" s="107">
        <f>IFERROR(GETPIVOTDATA("Sum of Qty",'[1]Operator by Store'!$A$5,"ID Store",$C15,"Product Type","Indosat"),0)</f>
        <v>0</v>
      </c>
      <c r="BN15" s="108">
        <f t="shared" si="37"/>
        <v>0</v>
      </c>
      <c r="BO15" s="106">
        <f>VLOOKUP(C15,'[1]TARGET THIS MONTH'!C:U,19,0)</f>
        <v>0.6</v>
      </c>
      <c r="BP15" s="107">
        <f>IFERROR(GETPIVOTDATA("Sum of Qty",'[1]Operator by Store'!$A$5,"ID Store",$C15,"Product Type","Telkomsel"),0)</f>
        <v>0</v>
      </c>
      <c r="BQ15" s="126">
        <f t="shared" si="38"/>
        <v>0</v>
      </c>
    </row>
    <row r="16" spans="1:69" x14ac:dyDescent="0.2">
      <c r="A16" s="97">
        <v>12</v>
      </c>
      <c r="B16" s="98" t="s">
        <v>57</v>
      </c>
      <c r="C16" s="99">
        <v>6080712</v>
      </c>
      <c r="D16" s="100" t="s">
        <v>60</v>
      </c>
      <c r="E16" s="127" t="s">
        <v>59</v>
      </c>
      <c r="F16" s="102">
        <v>3</v>
      </c>
      <c r="G16" s="103">
        <f>IFERROR(VLOOKUP(C16,'[1]TARGET THIS MONTH'!C:E,3,0),0)</f>
        <v>70</v>
      </c>
      <c r="H16" s="104">
        <f>IFERROR(VLOOKUP(C16,'[1]TARGET THIS MONTH'!C:M,11,0),0)</f>
        <v>280000000</v>
      </c>
      <c r="I16" s="103">
        <f>IFERROR(GETPIVOTDATA("Sum of Qty",'[1]DEVICE &amp; VALUE'!$A$6,"ID Store",$C16),0)</f>
        <v>65</v>
      </c>
      <c r="J16" s="105">
        <f t="shared" si="0"/>
        <v>0.9285714285714286</v>
      </c>
      <c r="K16" s="106">
        <f t="shared" si="1"/>
        <v>-5</v>
      </c>
      <c r="L16" s="107">
        <f>IFERROR(GETPIVOTDATA("Sum of Qty",[1]PF!$A$5,"ID Store",$C16),0)</f>
        <v>17</v>
      </c>
      <c r="M16" s="107">
        <f>IFERROR(GETPIVOTDATA("Sum of Qty",'[1]DEVICE &amp; VALUE'!$A$6,"ID Store",$C16,"Segment Price","3mio&gt;"),0)</f>
        <v>42</v>
      </c>
      <c r="N16" s="108">
        <f t="shared" si="2"/>
        <v>0.64615384615384619</v>
      </c>
      <c r="O16" s="109">
        <f>IFERROR(GETPIVOTDATA("Sum of Qty",[1]IQOO!$A$6,"ID Store",$C16),0)</f>
        <v>9</v>
      </c>
      <c r="P16" s="108">
        <f t="shared" si="3"/>
        <v>0.13846153846153847</v>
      </c>
      <c r="Q16" s="108">
        <f t="shared" si="4"/>
        <v>0.64615384615384619</v>
      </c>
      <c r="R16" s="110">
        <f>IFERROR(GETPIVOTDATA("Sum of SRP",'[1]DEVICE &amp; VALUE'!$A$6,"ID Store",$C16),0)</f>
        <v>377635000</v>
      </c>
      <c r="S16" s="108">
        <f t="shared" si="5"/>
        <v>1.3486964285714285</v>
      </c>
      <c r="T16" s="111">
        <f t="shared" si="6"/>
        <v>97635000</v>
      </c>
      <c r="U16" s="112">
        <f t="shared" si="7"/>
        <v>65</v>
      </c>
      <c r="V16" s="113">
        <f t="shared" si="8"/>
        <v>0.9285714285714286</v>
      </c>
      <c r="W16" s="114">
        <f t="shared" si="9"/>
        <v>-5</v>
      </c>
      <c r="X16" s="114">
        <f t="shared" si="10"/>
        <v>42</v>
      </c>
      <c r="Y16" s="114">
        <f t="shared" si="11"/>
        <v>-28</v>
      </c>
      <c r="Z16" s="115">
        <f t="shared" si="12"/>
        <v>377635000</v>
      </c>
      <c r="AA16" s="115">
        <f t="shared" si="13"/>
        <v>97635000</v>
      </c>
      <c r="AB16" s="116">
        <f t="shared" si="14"/>
        <v>1.3486964285714285</v>
      </c>
      <c r="AC16" s="117">
        <f t="shared" si="15"/>
        <v>0</v>
      </c>
      <c r="AD16" s="118">
        <f t="shared" si="16"/>
        <v>0</v>
      </c>
      <c r="AE16" s="103">
        <f>IFERROR(GETPIVOTDATA("Sum of Qty",'[1]DATA LAST MONTH IQOO'!$A$6,"ID Store",$C16),0)</f>
        <v>7</v>
      </c>
      <c r="AF16" s="119">
        <f>IFERROR(GETPIVOTDATA("Sum of Qty",[1]IQOO!$A$6,"ID Store",$C16),0)</f>
        <v>9</v>
      </c>
      <c r="AG16" s="106">
        <f t="shared" si="17"/>
        <v>2</v>
      </c>
      <c r="AH16" s="120">
        <f t="shared" si="18"/>
        <v>0.2857142857142857</v>
      </c>
      <c r="AI16" s="121">
        <f>IFERROR(GETPIVOTDATA("Sum of Qty",'[1]DATA LAST MONTH DEVICE'!$A$6,"ID Store",$C16),0)</f>
        <v>57</v>
      </c>
      <c r="AJ16" s="122">
        <f t="shared" si="19"/>
        <v>65</v>
      </c>
      <c r="AK16" s="106">
        <f t="shared" si="20"/>
        <v>8</v>
      </c>
      <c r="AL16" s="108">
        <f t="shared" si="21"/>
        <v>0.14035087719298245</v>
      </c>
      <c r="AM16" s="107">
        <f>IFERROR(GETPIVOTDATA("Sum of Qty",'[1]Store 3mio+ last month'!$A$6,"ID Store",$C16),0)</f>
        <v>57</v>
      </c>
      <c r="AN16" s="106">
        <f t="shared" si="22"/>
        <v>65</v>
      </c>
      <c r="AO16" s="106">
        <f t="shared" si="23"/>
        <v>8</v>
      </c>
      <c r="AP16" s="108">
        <f t="shared" si="24"/>
        <v>0.14035087719298245</v>
      </c>
      <c r="AQ16" s="107">
        <f>IFERROR(GETPIVOTDATA("Sum of Qty",'[1]DATA LAST MONTH DEVICE'!$A$6,"ID Store",$C16,"Segment Price","3mio&gt;"),0)</f>
        <v>32</v>
      </c>
      <c r="AR16" s="109">
        <f t="shared" si="25"/>
        <v>42</v>
      </c>
      <c r="AS16" s="109">
        <f t="shared" si="26"/>
        <v>10</v>
      </c>
      <c r="AT16" s="108">
        <f t="shared" si="27"/>
        <v>0.3125</v>
      </c>
      <c r="AU16" s="123">
        <f>IFERROR(GETPIVOTDATA("Sum of SRP",'[1]DATA LAST MONTH DEVICE'!$A$6,"ID Store",$C16),0)</f>
        <v>278943000</v>
      </c>
      <c r="AV16" s="123">
        <f t="shared" si="28"/>
        <v>377635000</v>
      </c>
      <c r="AW16" s="123">
        <f t="shared" si="29"/>
        <v>98692000</v>
      </c>
      <c r="AX16" s="108">
        <f t="shared" si="30"/>
        <v>0.35380705018588027</v>
      </c>
      <c r="AY16" s="123">
        <f>IFERROR(VLOOKUP(C16,'[1]DATA SALES LAST MONTH'!A:E,5,0),0)</f>
        <v>4893736.8421052629</v>
      </c>
      <c r="AZ16" s="110">
        <f t="shared" si="31"/>
        <v>5809769.230769231</v>
      </c>
      <c r="BA16" s="110">
        <f t="shared" si="32"/>
        <v>916032.38866396807</v>
      </c>
      <c r="BB16" s="120">
        <f t="shared" si="33"/>
        <v>0.18718464400915666</v>
      </c>
      <c r="BC16" s="103">
        <f>IFERROR(VLOOKUP(C16,'[1]TARGET THIS MONTH'!C:U,15,0),0)</f>
        <v>14</v>
      </c>
      <c r="BD16" s="124">
        <f>IFERROR(GETPIVOTDATA("Sum of Qty",[1]ACC!$A$5,"ID Store",$C16),0)</f>
        <v>12</v>
      </c>
      <c r="BE16" s="108">
        <f t="shared" si="34"/>
        <v>0.8571428571428571</v>
      </c>
      <c r="BF16" s="125">
        <f>IFERROR(VLOOKUP(C16,'[1]TARGET THIS MONTH'!C:U,16,0),0)</f>
        <v>1120000</v>
      </c>
      <c r="BG16" s="125">
        <f>IFERROR(GETPIVOTDATA("Sum of SRP",'[1]Insurance by Store'!$A$5,"ID Store",$C16,"Product Type","Qoala"),0)</f>
        <v>828000</v>
      </c>
      <c r="BH16" s="108">
        <f t="shared" si="35"/>
        <v>0.73928571428571432</v>
      </c>
      <c r="BI16" s="125">
        <f>IFERROR(VLOOKUP(C16,'[1]TARGET THIS MONTH'!C:U,17,0),0)</f>
        <v>280000</v>
      </c>
      <c r="BJ16" s="125">
        <f>IFERROR(GETPIVOTDATA("Sum of SRP",'[1]Insurance by Store'!$A$5,"ID Store",$C16,"Product Type","Vivo Care"),0)</f>
        <v>1000000</v>
      </c>
      <c r="BK16" s="108">
        <f t="shared" si="36"/>
        <v>3.5714285714285716</v>
      </c>
      <c r="BL16" s="106">
        <f>IFERROR(VLOOKUP(C16,'[1]TARGET THIS MONTH'!C:U,18,0),0)</f>
        <v>2.1</v>
      </c>
      <c r="BM16" s="107">
        <f>IFERROR(GETPIVOTDATA("Sum of Qty",'[1]Operator by Store'!$A$5,"ID Store",$C16,"Product Type","Indosat"),0)</f>
        <v>1</v>
      </c>
      <c r="BN16" s="108">
        <f t="shared" si="37"/>
        <v>0.47619047619047616</v>
      </c>
      <c r="BO16" s="106">
        <f>VLOOKUP(C16,'[1]TARGET THIS MONTH'!C:U,19,0)</f>
        <v>0.7</v>
      </c>
      <c r="BP16" s="107">
        <f>IFERROR(GETPIVOTDATA("Sum of Qty",'[1]Operator by Store'!$A$5,"ID Store",$C16,"Product Type","Telkomsel"),0)</f>
        <v>0</v>
      </c>
      <c r="BQ16" s="126">
        <f t="shared" si="38"/>
        <v>0</v>
      </c>
    </row>
    <row r="17" spans="1:69" x14ac:dyDescent="0.2">
      <c r="A17" s="97">
        <v>13</v>
      </c>
      <c r="B17" s="98" t="s">
        <v>57</v>
      </c>
      <c r="C17" s="99">
        <v>6040702</v>
      </c>
      <c r="D17" s="100" t="s">
        <v>61</v>
      </c>
      <c r="E17" s="127" t="s">
        <v>59</v>
      </c>
      <c r="F17" s="102">
        <v>2</v>
      </c>
      <c r="G17" s="103">
        <f>IFERROR(VLOOKUP(C17,'[1]TARGET THIS MONTH'!C:E,3,0),0)</f>
        <v>40</v>
      </c>
      <c r="H17" s="104">
        <f>IFERROR(VLOOKUP(C17,'[1]TARGET THIS MONTH'!C:M,11,0),0)</f>
        <v>280000000</v>
      </c>
      <c r="I17" s="103">
        <f>IFERROR(GETPIVOTDATA("Sum of Qty",'[1]DEVICE &amp; VALUE'!$A$6,"ID Store",$C17),0)</f>
        <v>28</v>
      </c>
      <c r="J17" s="105">
        <f t="shared" si="0"/>
        <v>0.7</v>
      </c>
      <c r="K17" s="106">
        <f t="shared" si="1"/>
        <v>-12</v>
      </c>
      <c r="L17" s="107">
        <f>IFERROR(GETPIVOTDATA("Sum of Qty",[1]PF!$A$5,"ID Store",$C17),0)</f>
        <v>3</v>
      </c>
      <c r="M17" s="107">
        <f>IFERROR(GETPIVOTDATA("Sum of Qty",'[1]DEVICE &amp; VALUE'!$A$6,"ID Store",$C17,"Segment Price","3mio&gt;"),0)</f>
        <v>20</v>
      </c>
      <c r="N17" s="108">
        <f t="shared" si="2"/>
        <v>0.7142857142857143</v>
      </c>
      <c r="O17" s="109">
        <f>IFERROR(GETPIVOTDATA("Sum of Qty",[1]IQOO!$A$6,"ID Store",$C17),0)</f>
        <v>9</v>
      </c>
      <c r="P17" s="108">
        <f t="shared" si="3"/>
        <v>0.32142857142857145</v>
      </c>
      <c r="Q17" s="108">
        <f t="shared" si="4"/>
        <v>0.7142857142857143</v>
      </c>
      <c r="R17" s="110">
        <f>IFERROR(GETPIVOTDATA("Sum of SRP",'[1]DEVICE &amp; VALUE'!$A$6,"ID Store",$C17),0)</f>
        <v>206872000</v>
      </c>
      <c r="S17" s="108">
        <f t="shared" si="5"/>
        <v>0.73882857142857139</v>
      </c>
      <c r="T17" s="111">
        <f t="shared" si="6"/>
        <v>-73128000</v>
      </c>
      <c r="U17" s="112">
        <f t="shared" si="7"/>
        <v>28</v>
      </c>
      <c r="V17" s="113">
        <f t="shared" si="8"/>
        <v>0.7</v>
      </c>
      <c r="W17" s="114">
        <f t="shared" si="9"/>
        <v>-12</v>
      </c>
      <c r="X17" s="114">
        <f t="shared" si="10"/>
        <v>20</v>
      </c>
      <c r="Y17" s="114">
        <f t="shared" si="11"/>
        <v>-20</v>
      </c>
      <c r="Z17" s="115">
        <f t="shared" si="12"/>
        <v>206872000</v>
      </c>
      <c r="AA17" s="115">
        <f t="shared" si="13"/>
        <v>-73128000</v>
      </c>
      <c r="AB17" s="116">
        <f t="shared" si="14"/>
        <v>0.73882857142857139</v>
      </c>
      <c r="AC17" s="117">
        <f t="shared" si="15"/>
        <v>0</v>
      </c>
      <c r="AD17" s="118">
        <f t="shared" si="16"/>
        <v>0</v>
      </c>
      <c r="AE17" s="103">
        <f>IFERROR(GETPIVOTDATA("Sum of Qty",'[1]DATA LAST MONTH IQOO'!$A$6,"ID Store",$C17),0)</f>
        <v>5</v>
      </c>
      <c r="AF17" s="119">
        <f>IFERROR(GETPIVOTDATA("Sum of Qty",[1]IQOO!$A$6,"ID Store",$C17),0)</f>
        <v>9</v>
      </c>
      <c r="AG17" s="106">
        <f t="shared" si="17"/>
        <v>4</v>
      </c>
      <c r="AH17" s="120">
        <f t="shared" si="18"/>
        <v>0.8</v>
      </c>
      <c r="AI17" s="121">
        <f>IFERROR(GETPIVOTDATA("Sum of Qty",'[1]DATA LAST MONTH DEVICE'!$A$6,"ID Store",$C17),0)</f>
        <v>21</v>
      </c>
      <c r="AJ17" s="122">
        <f t="shared" si="19"/>
        <v>28</v>
      </c>
      <c r="AK17" s="106">
        <f t="shared" si="20"/>
        <v>7</v>
      </c>
      <c r="AL17" s="108">
        <f t="shared" si="21"/>
        <v>0.33333333333333331</v>
      </c>
      <c r="AM17" s="107">
        <f>IFERROR(GETPIVOTDATA("Sum of Qty",'[1]Store 3mio+ last month'!$A$6,"ID Store",$C17),0)</f>
        <v>21</v>
      </c>
      <c r="AN17" s="106">
        <f t="shared" si="22"/>
        <v>28</v>
      </c>
      <c r="AO17" s="106">
        <f t="shared" si="23"/>
        <v>7</v>
      </c>
      <c r="AP17" s="108">
        <f t="shared" si="24"/>
        <v>0.33333333333333331</v>
      </c>
      <c r="AQ17" s="107">
        <f>IFERROR(GETPIVOTDATA("Sum of Qty",'[1]DATA LAST MONTH DEVICE'!$A$6,"ID Store",$C17,"Segment Price","3mio&gt;"),0)</f>
        <v>11</v>
      </c>
      <c r="AR17" s="109">
        <f t="shared" si="25"/>
        <v>20</v>
      </c>
      <c r="AS17" s="109">
        <f t="shared" si="26"/>
        <v>9</v>
      </c>
      <c r="AT17" s="108">
        <f t="shared" si="27"/>
        <v>0.81818181818181823</v>
      </c>
      <c r="AU17" s="123">
        <f>IFERROR(GETPIVOTDATA("Sum of SRP",'[1]DATA LAST MONTH DEVICE'!$A$6,"ID Store",$C17),0)</f>
        <v>125879000</v>
      </c>
      <c r="AV17" s="123">
        <f t="shared" si="28"/>
        <v>206872000</v>
      </c>
      <c r="AW17" s="123">
        <f t="shared" si="29"/>
        <v>80993000</v>
      </c>
      <c r="AX17" s="108">
        <f t="shared" si="30"/>
        <v>0.64341947425702462</v>
      </c>
      <c r="AY17" s="123">
        <f>IFERROR(VLOOKUP(C17,'[1]DATA SALES LAST MONTH'!A:E,5,0),0)</f>
        <v>5994238.0952380951</v>
      </c>
      <c r="AZ17" s="110">
        <f t="shared" si="31"/>
        <v>7388285.7142857146</v>
      </c>
      <c r="BA17" s="110">
        <f t="shared" si="32"/>
        <v>1394047.6190476194</v>
      </c>
      <c r="BB17" s="120">
        <f t="shared" si="33"/>
        <v>0.23256460569276852</v>
      </c>
      <c r="BC17" s="103">
        <f>IFERROR(VLOOKUP(C17,'[1]TARGET THIS MONTH'!C:U,15,0),0)</f>
        <v>8</v>
      </c>
      <c r="BD17" s="124">
        <f>IFERROR(GETPIVOTDATA("Sum of Qty",[1]ACC!$A$5,"ID Store",$C17),0)</f>
        <v>8</v>
      </c>
      <c r="BE17" s="108">
        <f t="shared" si="34"/>
        <v>1</v>
      </c>
      <c r="BF17" s="125">
        <f>IFERROR(VLOOKUP(C17,'[1]TARGET THIS MONTH'!C:U,16,0),0)</f>
        <v>1120000</v>
      </c>
      <c r="BG17" s="125">
        <f>IFERROR(GETPIVOTDATA("Sum of SRP",'[1]Insurance by Store'!$A$5,"ID Store",$C17,"Product Type","Qoala"),0)</f>
        <v>1815000</v>
      </c>
      <c r="BH17" s="108">
        <f t="shared" si="35"/>
        <v>1.6205357142857142</v>
      </c>
      <c r="BI17" s="125">
        <f>IFERROR(VLOOKUP(C17,'[1]TARGET THIS MONTH'!C:U,17,0),0)</f>
        <v>280000</v>
      </c>
      <c r="BJ17" s="125">
        <f>IFERROR(GETPIVOTDATA("Sum of SRP",'[1]Insurance by Store'!$A$5,"ID Store",$C17,"Product Type","Vivo Care"),0)</f>
        <v>0</v>
      </c>
      <c r="BK17" s="108">
        <f t="shared" si="36"/>
        <v>0</v>
      </c>
      <c r="BL17" s="106">
        <f>IFERROR(VLOOKUP(C17,'[1]TARGET THIS MONTH'!C:U,18,0),0)</f>
        <v>1.2</v>
      </c>
      <c r="BM17" s="107">
        <f>IFERROR(GETPIVOTDATA("Sum of Qty",'[1]Operator by Store'!$A$5,"ID Store",$C17,"Product Type","Indosat"),0)</f>
        <v>0</v>
      </c>
      <c r="BN17" s="108">
        <f t="shared" si="37"/>
        <v>0</v>
      </c>
      <c r="BO17" s="106">
        <f>VLOOKUP(C17,'[1]TARGET THIS MONTH'!C:U,19,0)</f>
        <v>0.4</v>
      </c>
      <c r="BP17" s="107">
        <f>IFERROR(GETPIVOTDATA("Sum of Qty",'[1]Operator by Store'!$A$5,"ID Store",$C17,"Product Type","Telkomsel"),0)</f>
        <v>0</v>
      </c>
      <c r="BQ17" s="126">
        <f t="shared" si="38"/>
        <v>0</v>
      </c>
    </row>
    <row r="18" spans="1:69" x14ac:dyDescent="0.2">
      <c r="A18" s="97">
        <v>14</v>
      </c>
      <c r="B18" s="98" t="s">
        <v>57</v>
      </c>
      <c r="C18" s="99">
        <v>6040703</v>
      </c>
      <c r="D18" s="100" t="s">
        <v>62</v>
      </c>
      <c r="E18" s="127" t="s">
        <v>59</v>
      </c>
      <c r="F18" s="102">
        <v>2</v>
      </c>
      <c r="G18" s="103">
        <f>IFERROR(VLOOKUP(C18,'[1]TARGET THIS MONTH'!C:E,3,0),0)</f>
        <v>40</v>
      </c>
      <c r="H18" s="104">
        <f>IFERROR(VLOOKUP(C18,'[1]TARGET THIS MONTH'!C:M,11,0),0)</f>
        <v>216000000</v>
      </c>
      <c r="I18" s="103">
        <f>IFERROR(GETPIVOTDATA("Sum of Qty",'[1]DEVICE &amp; VALUE'!$A$6,"ID Store",$C18),0)</f>
        <v>44</v>
      </c>
      <c r="J18" s="105">
        <f t="shared" si="0"/>
        <v>1.1000000000000001</v>
      </c>
      <c r="K18" s="106">
        <f t="shared" si="1"/>
        <v>4</v>
      </c>
      <c r="L18" s="107">
        <f>IFERROR(GETPIVOTDATA("Sum of Qty",[1]PF!$A$5,"ID Store",$C18),0)</f>
        <v>11</v>
      </c>
      <c r="M18" s="107">
        <f>IFERROR(GETPIVOTDATA("Sum of Qty",'[1]DEVICE &amp; VALUE'!$A$6,"ID Store",$C18,"Segment Price","3mio&gt;"),0)</f>
        <v>32</v>
      </c>
      <c r="N18" s="108">
        <f t="shared" si="2"/>
        <v>0.72727272727272729</v>
      </c>
      <c r="O18" s="109">
        <f>IFERROR(GETPIVOTDATA("Sum of Qty",[1]IQOO!$A$6,"ID Store",$C18),0)</f>
        <v>6</v>
      </c>
      <c r="P18" s="108">
        <f t="shared" si="3"/>
        <v>0.13636363636363635</v>
      </c>
      <c r="Q18" s="108">
        <f t="shared" si="4"/>
        <v>0.72727272727272729</v>
      </c>
      <c r="R18" s="110">
        <f>IFERROR(GETPIVOTDATA("Sum of SRP",'[1]DEVICE &amp; VALUE'!$A$6,"ID Store",$C18),0)</f>
        <v>265456000</v>
      </c>
      <c r="S18" s="108">
        <f t="shared" si="5"/>
        <v>1.228962962962963</v>
      </c>
      <c r="T18" s="111">
        <f t="shared" si="6"/>
        <v>49456000</v>
      </c>
      <c r="U18" s="112">
        <f t="shared" si="7"/>
        <v>44</v>
      </c>
      <c r="V18" s="113">
        <f t="shared" si="8"/>
        <v>1.1000000000000001</v>
      </c>
      <c r="W18" s="114">
        <f t="shared" si="9"/>
        <v>4</v>
      </c>
      <c r="X18" s="114">
        <f t="shared" si="10"/>
        <v>32</v>
      </c>
      <c r="Y18" s="114">
        <f t="shared" si="11"/>
        <v>-8</v>
      </c>
      <c r="Z18" s="115">
        <f t="shared" si="12"/>
        <v>265456000.00000003</v>
      </c>
      <c r="AA18" s="115">
        <f t="shared" si="13"/>
        <v>49456000.00000003</v>
      </c>
      <c r="AB18" s="116">
        <f t="shared" si="14"/>
        <v>1.228962962962963</v>
      </c>
      <c r="AC18" s="117">
        <f t="shared" si="15"/>
        <v>0</v>
      </c>
      <c r="AD18" s="118">
        <f t="shared" si="16"/>
        <v>0</v>
      </c>
      <c r="AE18" s="103">
        <f>IFERROR(GETPIVOTDATA("Sum of Qty",'[1]DATA LAST MONTH IQOO'!$A$6,"ID Store",$C18),0)</f>
        <v>5</v>
      </c>
      <c r="AF18" s="119">
        <f>IFERROR(GETPIVOTDATA("Sum of Qty",[1]IQOO!$A$6,"ID Store",$C18),0)</f>
        <v>6</v>
      </c>
      <c r="AG18" s="106">
        <f t="shared" si="17"/>
        <v>1</v>
      </c>
      <c r="AH18" s="120">
        <f t="shared" si="18"/>
        <v>0.2</v>
      </c>
      <c r="AI18" s="121">
        <f>IFERROR(GETPIVOTDATA("Sum of Qty",'[1]DATA LAST MONTH DEVICE'!$A$6,"ID Store",$C18),0)</f>
        <v>29</v>
      </c>
      <c r="AJ18" s="122">
        <f t="shared" si="19"/>
        <v>44</v>
      </c>
      <c r="AK18" s="106">
        <f t="shared" si="20"/>
        <v>15</v>
      </c>
      <c r="AL18" s="108">
        <f t="shared" si="21"/>
        <v>0.51724137931034486</v>
      </c>
      <c r="AM18" s="107">
        <f>IFERROR(GETPIVOTDATA("Sum of Qty",'[1]Store 3mio+ last month'!$A$6,"ID Store",$C18),0)</f>
        <v>29</v>
      </c>
      <c r="AN18" s="106">
        <f t="shared" si="22"/>
        <v>44</v>
      </c>
      <c r="AO18" s="106">
        <f t="shared" si="23"/>
        <v>15</v>
      </c>
      <c r="AP18" s="108">
        <f t="shared" si="24"/>
        <v>0.51724137931034486</v>
      </c>
      <c r="AQ18" s="107">
        <f>IFERROR(GETPIVOTDATA("Sum of Qty",'[1]DATA LAST MONTH DEVICE'!$A$6,"ID Store",$C18,"Segment Price","3mio&gt;"),0)</f>
        <v>21</v>
      </c>
      <c r="AR18" s="109">
        <f t="shared" si="25"/>
        <v>32</v>
      </c>
      <c r="AS18" s="109">
        <f t="shared" si="26"/>
        <v>11</v>
      </c>
      <c r="AT18" s="108">
        <f t="shared" si="27"/>
        <v>0.52380952380952384</v>
      </c>
      <c r="AU18" s="123">
        <f>IFERROR(GETPIVOTDATA("Sum of SRP",'[1]DATA LAST MONTH DEVICE'!$A$6,"ID Store",$C18),0)</f>
        <v>166171000</v>
      </c>
      <c r="AV18" s="123">
        <f t="shared" si="28"/>
        <v>265456000</v>
      </c>
      <c r="AW18" s="123">
        <f t="shared" si="29"/>
        <v>99285000</v>
      </c>
      <c r="AX18" s="108">
        <f t="shared" si="30"/>
        <v>0.59748692611827581</v>
      </c>
      <c r="AY18" s="123">
        <f>IFERROR(VLOOKUP(C18,'[1]DATA SALES LAST MONTH'!A:E,5,0),0)</f>
        <v>5730034.4827586208</v>
      </c>
      <c r="AZ18" s="110">
        <f t="shared" si="31"/>
        <v>6033090.9090909101</v>
      </c>
      <c r="BA18" s="110">
        <f t="shared" si="32"/>
        <v>303056.42633228935</v>
      </c>
      <c r="BB18" s="120">
        <f t="shared" si="33"/>
        <v>5.288911039613646E-2</v>
      </c>
      <c r="BC18" s="103">
        <f>IFERROR(VLOOKUP(C18,'[1]TARGET THIS MONTH'!C:U,15,0),0)</f>
        <v>8</v>
      </c>
      <c r="BD18" s="124">
        <f>IFERROR(GETPIVOTDATA("Sum of Qty",[1]ACC!$A$5,"ID Store",$C18),0)</f>
        <v>34</v>
      </c>
      <c r="BE18" s="108">
        <f t="shared" si="34"/>
        <v>4.25</v>
      </c>
      <c r="BF18" s="125">
        <f>IFERROR(VLOOKUP(C18,'[1]TARGET THIS MONTH'!C:U,16,0),0)</f>
        <v>864000</v>
      </c>
      <c r="BG18" s="125">
        <f>IFERROR(GETPIVOTDATA("Sum of SRP",'[1]Insurance by Store'!$A$5,"ID Store",$C18,"Product Type","Qoala"),0)</f>
        <v>1225000</v>
      </c>
      <c r="BH18" s="108">
        <f t="shared" si="35"/>
        <v>1.4178240740740742</v>
      </c>
      <c r="BI18" s="125">
        <f>IFERROR(VLOOKUP(C18,'[1]TARGET THIS MONTH'!C:U,17,0),0)</f>
        <v>216000</v>
      </c>
      <c r="BJ18" s="125">
        <f>IFERROR(GETPIVOTDATA("Sum of SRP",'[1]Insurance by Store'!$A$5,"ID Store",$C18,"Product Type","Vivo Care"),0)</f>
        <v>0</v>
      </c>
      <c r="BK18" s="108">
        <f t="shared" si="36"/>
        <v>0</v>
      </c>
      <c r="BL18" s="106">
        <f>IFERROR(VLOOKUP(C18,'[1]TARGET THIS MONTH'!C:U,18,0),0)</f>
        <v>1.2</v>
      </c>
      <c r="BM18" s="107">
        <f>IFERROR(GETPIVOTDATA("Sum of Qty",'[1]Operator by Store'!$A$5,"ID Store",$C18,"Product Type","Indosat"),0)</f>
        <v>1</v>
      </c>
      <c r="BN18" s="108">
        <f t="shared" si="37"/>
        <v>0.83333333333333337</v>
      </c>
      <c r="BO18" s="106">
        <f>VLOOKUP(C18,'[1]TARGET THIS MONTH'!C:U,19,0)</f>
        <v>0.4</v>
      </c>
      <c r="BP18" s="107">
        <f>IFERROR(GETPIVOTDATA("Sum of Qty",'[1]Operator by Store'!$A$5,"ID Store",$C18,"Product Type","Telkomsel"),0)</f>
        <v>0</v>
      </c>
      <c r="BQ18" s="126">
        <f t="shared" si="38"/>
        <v>0</v>
      </c>
    </row>
    <row r="19" spans="1:69" x14ac:dyDescent="0.2">
      <c r="A19" s="97">
        <v>15</v>
      </c>
      <c r="B19" s="98" t="s">
        <v>63</v>
      </c>
      <c r="C19" s="99">
        <v>6050701</v>
      </c>
      <c r="D19" s="100" t="s">
        <v>64</v>
      </c>
      <c r="E19" s="127" t="s">
        <v>65</v>
      </c>
      <c r="F19" s="102">
        <v>2</v>
      </c>
      <c r="G19" s="103">
        <f>IFERROR(VLOOKUP(C19,'[1]TARGET THIS MONTH'!C:E,3,0),0)</f>
        <v>60</v>
      </c>
      <c r="H19" s="104">
        <f>IFERROR(VLOOKUP(C19,'[1]TARGET THIS MONTH'!C:M,11,0),0)</f>
        <v>342000000</v>
      </c>
      <c r="I19" s="103">
        <f>IFERROR(GETPIVOTDATA("Sum of Qty",'[1]DEVICE &amp; VALUE'!$A$6,"ID Store",$C19),0)</f>
        <v>54</v>
      </c>
      <c r="J19" s="105">
        <f t="shared" si="0"/>
        <v>0.9</v>
      </c>
      <c r="K19" s="106">
        <f t="shared" si="1"/>
        <v>-6</v>
      </c>
      <c r="L19" s="107">
        <f>IFERROR(GETPIVOTDATA("Sum of Qty",[1]PF!$A$5,"ID Store",$C19),0)</f>
        <v>13</v>
      </c>
      <c r="M19" s="107">
        <f>IFERROR(GETPIVOTDATA("Sum of Qty",'[1]DEVICE &amp; VALUE'!$A$6,"ID Store",$C19,"Segment Price","3mio&gt;"),0)</f>
        <v>38</v>
      </c>
      <c r="N19" s="108">
        <f t="shared" si="2"/>
        <v>0.70370370370370372</v>
      </c>
      <c r="O19" s="109">
        <f>IFERROR(GETPIVOTDATA("Sum of Qty",[1]IQOO!$A$6,"ID Store",$C19),0)</f>
        <v>11</v>
      </c>
      <c r="P19" s="108">
        <f t="shared" si="3"/>
        <v>0.20370370370370369</v>
      </c>
      <c r="Q19" s="108">
        <f t="shared" si="4"/>
        <v>0.70370370370370372</v>
      </c>
      <c r="R19" s="110">
        <f>IFERROR(GETPIVOTDATA("Sum of SRP",'[1]DEVICE &amp; VALUE'!$A$6,"ID Store",$C19),0)</f>
        <v>325546000</v>
      </c>
      <c r="S19" s="108">
        <f t="shared" si="5"/>
        <v>0.9518888888888889</v>
      </c>
      <c r="T19" s="111">
        <f t="shared" si="6"/>
        <v>-16454000</v>
      </c>
      <c r="U19" s="112">
        <f t="shared" si="7"/>
        <v>54</v>
      </c>
      <c r="V19" s="113">
        <f t="shared" si="8"/>
        <v>0.9</v>
      </c>
      <c r="W19" s="114">
        <f t="shared" si="9"/>
        <v>-6</v>
      </c>
      <c r="X19" s="114">
        <f t="shared" si="10"/>
        <v>38</v>
      </c>
      <c r="Y19" s="114">
        <f t="shared" si="11"/>
        <v>-22</v>
      </c>
      <c r="Z19" s="115">
        <f t="shared" si="12"/>
        <v>325546000</v>
      </c>
      <c r="AA19" s="115">
        <f t="shared" si="13"/>
        <v>-16454000</v>
      </c>
      <c r="AB19" s="116">
        <f t="shared" si="14"/>
        <v>0.9518888888888889</v>
      </c>
      <c r="AC19" s="117">
        <f t="shared" si="15"/>
        <v>0</v>
      </c>
      <c r="AD19" s="118">
        <f t="shared" si="16"/>
        <v>0</v>
      </c>
      <c r="AE19" s="103">
        <f>IFERROR(GETPIVOTDATA("Sum of Qty",'[1]DATA LAST MONTH IQOO'!$A$6,"ID Store",$C19),0)</f>
        <v>16</v>
      </c>
      <c r="AF19" s="119">
        <f>IFERROR(GETPIVOTDATA("Sum of Qty",[1]IQOO!$A$6,"ID Store",$C19),0)</f>
        <v>11</v>
      </c>
      <c r="AG19" s="106">
        <f t="shared" si="17"/>
        <v>-5</v>
      </c>
      <c r="AH19" s="120">
        <f t="shared" si="18"/>
        <v>-0.3125</v>
      </c>
      <c r="AI19" s="121">
        <f>IFERROR(GETPIVOTDATA("Sum of Qty",'[1]DATA LAST MONTH DEVICE'!$A$6,"ID Store",$C19),0)</f>
        <v>61</v>
      </c>
      <c r="AJ19" s="122">
        <f t="shared" si="19"/>
        <v>54</v>
      </c>
      <c r="AK19" s="106">
        <f t="shared" si="20"/>
        <v>-7</v>
      </c>
      <c r="AL19" s="108">
        <f t="shared" si="21"/>
        <v>-0.11475409836065574</v>
      </c>
      <c r="AM19" s="107">
        <f>IFERROR(GETPIVOTDATA("Sum of Qty",'[1]Store 3mio+ last month'!$A$6,"ID Store",$C19),0)</f>
        <v>61</v>
      </c>
      <c r="AN19" s="106">
        <f t="shared" si="22"/>
        <v>54</v>
      </c>
      <c r="AO19" s="106">
        <f t="shared" si="23"/>
        <v>-7</v>
      </c>
      <c r="AP19" s="108">
        <f t="shared" si="24"/>
        <v>-0.11475409836065574</v>
      </c>
      <c r="AQ19" s="107">
        <f>IFERROR(GETPIVOTDATA("Sum of Qty",'[1]DATA LAST MONTH DEVICE'!$A$6,"ID Store",$C19,"Segment Price","3mio&gt;"),0)</f>
        <v>36</v>
      </c>
      <c r="AR19" s="109">
        <f t="shared" si="25"/>
        <v>38</v>
      </c>
      <c r="AS19" s="109">
        <f t="shared" si="26"/>
        <v>2</v>
      </c>
      <c r="AT19" s="108">
        <f t="shared" si="27"/>
        <v>5.5555555555555552E-2</v>
      </c>
      <c r="AU19" s="123">
        <f>IFERROR(GETPIVOTDATA("Sum of SRP",'[1]DATA LAST MONTH DEVICE'!$A$6,"ID Store",$C19),0)</f>
        <v>319839000</v>
      </c>
      <c r="AV19" s="123">
        <f t="shared" si="28"/>
        <v>325546000</v>
      </c>
      <c r="AW19" s="123">
        <f t="shared" si="29"/>
        <v>5707000</v>
      </c>
      <c r="AX19" s="108">
        <f t="shared" si="30"/>
        <v>1.7843352436694711E-2</v>
      </c>
      <c r="AY19" s="123">
        <f>IFERROR(VLOOKUP(C19,'[1]DATA SALES LAST MONTH'!A:E,5,0),0)</f>
        <v>5243262.2950819675</v>
      </c>
      <c r="AZ19" s="110">
        <f t="shared" si="31"/>
        <v>6028629.6296296297</v>
      </c>
      <c r="BA19" s="110">
        <f t="shared" si="32"/>
        <v>785367.33454766218</v>
      </c>
      <c r="BB19" s="120">
        <f t="shared" si="33"/>
        <v>0.14978600923404398</v>
      </c>
      <c r="BC19" s="103">
        <f>IFERROR(VLOOKUP(C19,'[1]TARGET THIS MONTH'!C:U,15,0),0)</f>
        <v>12</v>
      </c>
      <c r="BD19" s="124">
        <f>IFERROR(GETPIVOTDATA("Sum of Qty",[1]ACC!$A$5,"ID Store",$C19),0)</f>
        <v>6</v>
      </c>
      <c r="BE19" s="108">
        <f t="shared" si="34"/>
        <v>0.5</v>
      </c>
      <c r="BF19" s="125">
        <f>IFERROR(VLOOKUP(C19,'[1]TARGET THIS MONTH'!C:U,16,0),0)</f>
        <v>1368000</v>
      </c>
      <c r="BG19" s="125">
        <f>IFERROR(GETPIVOTDATA("Sum of SRP",'[1]Insurance by Store'!$A$5,"ID Store",$C19,"Product Type","Qoala"),0)</f>
        <v>488000</v>
      </c>
      <c r="BH19" s="108">
        <f t="shared" si="35"/>
        <v>0.35672514619883039</v>
      </c>
      <c r="BI19" s="125">
        <f>IFERROR(VLOOKUP(C19,'[1]TARGET THIS MONTH'!C:U,17,0),0)</f>
        <v>342000</v>
      </c>
      <c r="BJ19" s="125">
        <f>IFERROR(GETPIVOTDATA("Sum of SRP",'[1]Insurance by Store'!$A$5,"ID Store",$C19,"Product Type","Vivo Care"),0)</f>
        <v>0</v>
      </c>
      <c r="BK19" s="108">
        <f t="shared" si="36"/>
        <v>0</v>
      </c>
      <c r="BL19" s="106">
        <f>IFERROR(VLOOKUP(C19,'[1]TARGET THIS MONTH'!C:U,18,0),0)</f>
        <v>1.8</v>
      </c>
      <c r="BM19" s="107">
        <f>IFERROR(GETPIVOTDATA("Sum of Qty",'[1]Operator by Store'!$A$5,"ID Store",$C19,"Product Type","Indosat"),0)</f>
        <v>0</v>
      </c>
      <c r="BN19" s="108">
        <f t="shared" si="37"/>
        <v>0</v>
      </c>
      <c r="BO19" s="106">
        <f>VLOOKUP(C19,'[1]TARGET THIS MONTH'!C:U,19,0)</f>
        <v>0.6</v>
      </c>
      <c r="BP19" s="107">
        <f>IFERROR(GETPIVOTDATA("Sum of Qty",'[1]Operator by Store'!$A$5,"ID Store",$C19,"Product Type","Telkomsel"),0)</f>
        <v>0</v>
      </c>
      <c r="BQ19" s="126">
        <f t="shared" si="38"/>
        <v>0</v>
      </c>
    </row>
    <row r="20" spans="1:69" x14ac:dyDescent="0.2">
      <c r="A20" s="97">
        <v>16</v>
      </c>
      <c r="B20" s="98" t="s">
        <v>63</v>
      </c>
      <c r="C20" s="99">
        <v>6220701</v>
      </c>
      <c r="D20" s="100" t="s">
        <v>66</v>
      </c>
      <c r="E20" s="127" t="s">
        <v>65</v>
      </c>
      <c r="F20" s="102">
        <v>2</v>
      </c>
      <c r="G20" s="103">
        <f>IFERROR(VLOOKUP(C20,'[1]TARGET THIS MONTH'!C:E,3,0),0)</f>
        <v>80</v>
      </c>
      <c r="H20" s="104">
        <f>IFERROR(VLOOKUP(C20,'[1]TARGET THIS MONTH'!C:M,11,0),0)</f>
        <v>456000000</v>
      </c>
      <c r="I20" s="103">
        <f>IFERROR(GETPIVOTDATA("Sum of Qty",'[1]DEVICE &amp; VALUE'!$A$6,"ID Store",$C20),0)</f>
        <v>64</v>
      </c>
      <c r="J20" s="105">
        <f t="shared" si="0"/>
        <v>0.8</v>
      </c>
      <c r="K20" s="106">
        <f t="shared" si="1"/>
        <v>-16</v>
      </c>
      <c r="L20" s="107">
        <f>IFERROR(GETPIVOTDATA("Sum of Qty",[1]PF!$A$5,"ID Store",$C20),0)</f>
        <v>11</v>
      </c>
      <c r="M20" s="107">
        <f>IFERROR(GETPIVOTDATA("Sum of Qty",'[1]DEVICE &amp; VALUE'!$A$6,"ID Store",$C20,"Segment Price","3mio&gt;"),0)</f>
        <v>38</v>
      </c>
      <c r="N20" s="108">
        <f t="shared" si="2"/>
        <v>0.59375</v>
      </c>
      <c r="O20" s="109">
        <f>IFERROR(GETPIVOTDATA("Sum of Qty",[1]IQOO!$A$6,"ID Store",$C20),0)</f>
        <v>9</v>
      </c>
      <c r="P20" s="108">
        <f t="shared" si="3"/>
        <v>0.140625</v>
      </c>
      <c r="Q20" s="108">
        <f t="shared" si="4"/>
        <v>0.59375</v>
      </c>
      <c r="R20" s="110">
        <f>IFERROR(GETPIVOTDATA("Sum of SRP",'[1]DEVICE &amp; VALUE'!$A$6,"ID Store",$C20),0)</f>
        <v>360336000</v>
      </c>
      <c r="S20" s="108">
        <f t="shared" si="5"/>
        <v>0.79021052631578947</v>
      </c>
      <c r="T20" s="111">
        <f t="shared" si="6"/>
        <v>-95664000</v>
      </c>
      <c r="U20" s="112">
        <f t="shared" si="7"/>
        <v>64</v>
      </c>
      <c r="V20" s="113">
        <f t="shared" si="8"/>
        <v>0.8</v>
      </c>
      <c r="W20" s="114">
        <f t="shared" si="9"/>
        <v>-16</v>
      </c>
      <c r="X20" s="114">
        <f t="shared" si="10"/>
        <v>38</v>
      </c>
      <c r="Y20" s="114">
        <f t="shared" si="11"/>
        <v>-42</v>
      </c>
      <c r="Z20" s="115">
        <f t="shared" si="12"/>
        <v>360336000</v>
      </c>
      <c r="AA20" s="115">
        <f t="shared" si="13"/>
        <v>-95664000</v>
      </c>
      <c r="AB20" s="116">
        <f t="shared" si="14"/>
        <v>0.79021052631578947</v>
      </c>
      <c r="AC20" s="117">
        <f t="shared" si="15"/>
        <v>0</v>
      </c>
      <c r="AD20" s="118">
        <f t="shared" si="16"/>
        <v>0</v>
      </c>
      <c r="AE20" s="103">
        <f>IFERROR(GETPIVOTDATA("Sum of Qty",'[1]DATA LAST MONTH IQOO'!$A$6,"ID Store",$C20),0)</f>
        <v>18</v>
      </c>
      <c r="AF20" s="119">
        <f>IFERROR(GETPIVOTDATA("Sum of Qty",[1]IQOO!$A$6,"ID Store",$C20),0)</f>
        <v>9</v>
      </c>
      <c r="AG20" s="106">
        <f t="shared" si="17"/>
        <v>-9</v>
      </c>
      <c r="AH20" s="120">
        <f t="shared" si="18"/>
        <v>-0.5</v>
      </c>
      <c r="AI20" s="121">
        <f>IFERROR(GETPIVOTDATA("Sum of Qty",'[1]DATA LAST MONTH DEVICE'!$A$6,"ID Store",$C20),0)</f>
        <v>78</v>
      </c>
      <c r="AJ20" s="122">
        <f t="shared" si="19"/>
        <v>64</v>
      </c>
      <c r="AK20" s="106">
        <f t="shared" si="20"/>
        <v>-14</v>
      </c>
      <c r="AL20" s="108">
        <f t="shared" si="21"/>
        <v>-0.17948717948717949</v>
      </c>
      <c r="AM20" s="107">
        <f>IFERROR(GETPIVOTDATA("Sum of Qty",'[1]Store 3mio+ last month'!$A$6,"ID Store",$C20),0)</f>
        <v>78</v>
      </c>
      <c r="AN20" s="106">
        <f t="shared" si="22"/>
        <v>64</v>
      </c>
      <c r="AO20" s="106">
        <f t="shared" si="23"/>
        <v>-14</v>
      </c>
      <c r="AP20" s="108">
        <f t="shared" si="24"/>
        <v>-0.17948717948717949</v>
      </c>
      <c r="AQ20" s="107">
        <f>IFERROR(GETPIVOTDATA("Sum of Qty",'[1]DATA LAST MONTH DEVICE'!$A$6,"ID Store",$C20,"Segment Price","3mio&gt;"),0)</f>
        <v>54</v>
      </c>
      <c r="AR20" s="109">
        <f t="shared" si="25"/>
        <v>38</v>
      </c>
      <c r="AS20" s="109">
        <f t="shared" si="26"/>
        <v>-16</v>
      </c>
      <c r="AT20" s="108">
        <f t="shared" si="27"/>
        <v>-0.29629629629629628</v>
      </c>
      <c r="AU20" s="123">
        <f>IFERROR(GETPIVOTDATA("Sum of SRP",'[1]DATA LAST MONTH DEVICE'!$A$6,"ID Store",$C20),0)</f>
        <v>452022000</v>
      </c>
      <c r="AV20" s="123">
        <f t="shared" si="28"/>
        <v>360336000</v>
      </c>
      <c r="AW20" s="123">
        <f t="shared" si="29"/>
        <v>-91686000</v>
      </c>
      <c r="AX20" s="108">
        <f t="shared" si="30"/>
        <v>-0.20283526023069673</v>
      </c>
      <c r="AY20" s="123">
        <f>IFERROR(VLOOKUP(C20,'[1]DATA SALES LAST MONTH'!A:E,5,0),0)</f>
        <v>5795153.846153846</v>
      </c>
      <c r="AZ20" s="110">
        <f t="shared" si="31"/>
        <v>5630250</v>
      </c>
      <c r="BA20" s="110">
        <f t="shared" si="32"/>
        <v>-164903.84615384601</v>
      </c>
      <c r="BB20" s="120">
        <f t="shared" si="33"/>
        <v>-2.8455473406161624E-2</v>
      </c>
      <c r="BC20" s="103">
        <f>IFERROR(VLOOKUP(C20,'[1]TARGET THIS MONTH'!C:U,15,0),0)</f>
        <v>16</v>
      </c>
      <c r="BD20" s="124">
        <f>IFERROR(GETPIVOTDATA("Sum of Qty",[1]ACC!$A$5,"ID Store",$C20),0)</f>
        <v>9</v>
      </c>
      <c r="BE20" s="108">
        <f t="shared" si="34"/>
        <v>0.5625</v>
      </c>
      <c r="BF20" s="125">
        <f>IFERROR(VLOOKUP(C20,'[1]TARGET THIS MONTH'!C:U,16,0),0)</f>
        <v>1824000</v>
      </c>
      <c r="BG20" s="125">
        <f>IFERROR(GETPIVOTDATA("Sum of SRP",'[1]Insurance by Store'!$A$5,"ID Store",$C20,"Product Type","Qoala"),0)</f>
        <v>2956000</v>
      </c>
      <c r="BH20" s="108">
        <f t="shared" si="35"/>
        <v>1.6206140350877194</v>
      </c>
      <c r="BI20" s="125">
        <f>IFERROR(VLOOKUP(C20,'[1]TARGET THIS MONTH'!C:U,17,0),0)</f>
        <v>456000</v>
      </c>
      <c r="BJ20" s="125">
        <f>IFERROR(GETPIVOTDATA("Sum of SRP",'[1]Insurance by Store'!$A$5,"ID Store",$C20,"Product Type","Vivo Care"),0)</f>
        <v>0</v>
      </c>
      <c r="BK20" s="108">
        <f t="shared" si="36"/>
        <v>0</v>
      </c>
      <c r="BL20" s="106">
        <f>IFERROR(VLOOKUP(C20,'[1]TARGET THIS MONTH'!C:U,18,0),0)</f>
        <v>2.4</v>
      </c>
      <c r="BM20" s="107">
        <f>IFERROR(GETPIVOTDATA("Sum of Qty",'[1]Operator by Store'!$A$5,"ID Store",$C20,"Product Type","Indosat"),0)</f>
        <v>0</v>
      </c>
      <c r="BN20" s="108">
        <f t="shared" si="37"/>
        <v>0</v>
      </c>
      <c r="BO20" s="106">
        <f>VLOOKUP(C20,'[1]TARGET THIS MONTH'!C:U,19,0)</f>
        <v>0.8</v>
      </c>
      <c r="BP20" s="107">
        <f>IFERROR(GETPIVOTDATA("Sum of Qty",'[1]Operator by Store'!$A$5,"ID Store",$C20,"Product Type","Telkomsel"),0)</f>
        <v>0</v>
      </c>
      <c r="BQ20" s="126">
        <f t="shared" si="38"/>
        <v>0</v>
      </c>
    </row>
    <row r="21" spans="1:69" x14ac:dyDescent="0.2">
      <c r="A21" s="97">
        <v>17</v>
      </c>
      <c r="B21" s="98" t="s">
        <v>63</v>
      </c>
      <c r="C21" s="99">
        <v>6050705</v>
      </c>
      <c r="D21" s="100" t="s">
        <v>67</v>
      </c>
      <c r="E21" s="127" t="s">
        <v>65</v>
      </c>
      <c r="F21" s="102">
        <v>1</v>
      </c>
      <c r="G21" s="103">
        <f>IFERROR(VLOOKUP(C21,'[1]TARGET THIS MONTH'!C:E,3,0),0)</f>
        <v>20</v>
      </c>
      <c r="H21" s="104">
        <f>IFERROR(VLOOKUP(C21,'[1]TARGET THIS MONTH'!C:M,11,0),0)</f>
        <v>114000000</v>
      </c>
      <c r="I21" s="103">
        <f>IFERROR(GETPIVOTDATA("Sum of Qty",'[1]DEVICE &amp; VALUE'!$A$6,"ID Store",$C21),0)</f>
        <v>37</v>
      </c>
      <c r="J21" s="105">
        <f t="shared" si="0"/>
        <v>1.85</v>
      </c>
      <c r="K21" s="106">
        <f t="shared" si="1"/>
        <v>17</v>
      </c>
      <c r="L21" s="107">
        <f>IFERROR(GETPIVOTDATA("Sum of Qty",[1]PF!$A$5,"ID Store",$C21),0)</f>
        <v>6</v>
      </c>
      <c r="M21" s="107">
        <f>IFERROR(GETPIVOTDATA("Sum of Qty",'[1]DEVICE &amp; VALUE'!$A$6,"ID Store",$C21,"Segment Price","3mio&gt;"),0)</f>
        <v>18</v>
      </c>
      <c r="N21" s="108">
        <f t="shared" si="2"/>
        <v>0.48648648648648651</v>
      </c>
      <c r="O21" s="109">
        <f>IFERROR(GETPIVOTDATA("Sum of Qty",[1]IQOO!$A$6,"ID Store",$C21),0)</f>
        <v>2</v>
      </c>
      <c r="P21" s="108">
        <f t="shared" si="3"/>
        <v>5.4054054054054057E-2</v>
      </c>
      <c r="Q21" s="108">
        <f t="shared" si="4"/>
        <v>0.48648648648648651</v>
      </c>
      <c r="R21" s="110">
        <f>IFERROR(GETPIVOTDATA("Sum of SRP",'[1]DEVICE &amp; VALUE'!$A$6,"ID Store",$C21),0)</f>
        <v>157363000</v>
      </c>
      <c r="S21" s="108">
        <f t="shared" si="5"/>
        <v>1.3803771929824562</v>
      </c>
      <c r="T21" s="111">
        <f t="shared" si="6"/>
        <v>43363000</v>
      </c>
      <c r="U21" s="112">
        <f t="shared" si="7"/>
        <v>37</v>
      </c>
      <c r="V21" s="113">
        <f t="shared" si="8"/>
        <v>1.85</v>
      </c>
      <c r="W21" s="114">
        <f t="shared" si="9"/>
        <v>17</v>
      </c>
      <c r="X21" s="114">
        <f t="shared" si="10"/>
        <v>18</v>
      </c>
      <c r="Y21" s="114">
        <f t="shared" si="11"/>
        <v>-2</v>
      </c>
      <c r="Z21" s="115">
        <f t="shared" si="12"/>
        <v>157363000</v>
      </c>
      <c r="AA21" s="115">
        <f t="shared" si="13"/>
        <v>43363000</v>
      </c>
      <c r="AB21" s="116">
        <f t="shared" si="14"/>
        <v>1.3803771929824562</v>
      </c>
      <c r="AC21" s="117">
        <f t="shared" si="15"/>
        <v>0</v>
      </c>
      <c r="AD21" s="118">
        <f t="shared" si="16"/>
        <v>0</v>
      </c>
      <c r="AE21" s="103">
        <f>IFERROR(GETPIVOTDATA("Sum of Qty",'[1]DATA LAST MONTH IQOO'!$A$6,"ID Store",$C21),0)</f>
        <v>5</v>
      </c>
      <c r="AF21" s="119">
        <f>IFERROR(GETPIVOTDATA("Sum of Qty",[1]IQOO!$A$6,"ID Store",$C21),0)</f>
        <v>2</v>
      </c>
      <c r="AG21" s="106">
        <f t="shared" si="17"/>
        <v>-3</v>
      </c>
      <c r="AH21" s="120">
        <f t="shared" si="18"/>
        <v>-0.6</v>
      </c>
      <c r="AI21" s="121">
        <f>IFERROR(GETPIVOTDATA("Sum of Qty",'[1]DATA LAST MONTH DEVICE'!$A$6,"ID Store",$C21),0)</f>
        <v>18</v>
      </c>
      <c r="AJ21" s="122">
        <f t="shared" si="19"/>
        <v>37</v>
      </c>
      <c r="AK21" s="106">
        <f t="shared" si="20"/>
        <v>19</v>
      </c>
      <c r="AL21" s="108">
        <f t="shared" si="21"/>
        <v>1.0555555555555556</v>
      </c>
      <c r="AM21" s="107">
        <f>IFERROR(GETPIVOTDATA("Sum of Qty",'[1]Store 3mio+ last month'!$A$6,"ID Store",$C21),0)</f>
        <v>18</v>
      </c>
      <c r="AN21" s="106">
        <f t="shared" si="22"/>
        <v>37</v>
      </c>
      <c r="AO21" s="106">
        <f t="shared" si="23"/>
        <v>19</v>
      </c>
      <c r="AP21" s="108">
        <f t="shared" si="24"/>
        <v>1.0555555555555556</v>
      </c>
      <c r="AQ21" s="107">
        <f>IFERROR(GETPIVOTDATA("Sum of Qty",'[1]DATA LAST MONTH DEVICE'!$A$6,"ID Store",$C21,"Segment Price","3mio&gt;"),0)</f>
        <v>13</v>
      </c>
      <c r="AR21" s="109">
        <f t="shared" si="25"/>
        <v>18</v>
      </c>
      <c r="AS21" s="109">
        <f t="shared" si="26"/>
        <v>5</v>
      </c>
      <c r="AT21" s="108">
        <f t="shared" si="27"/>
        <v>0.38461538461538464</v>
      </c>
      <c r="AU21" s="123">
        <f>IFERROR(GETPIVOTDATA("Sum of SRP",'[1]DATA LAST MONTH DEVICE'!$A$6,"ID Store",$C21),0)</f>
        <v>91882000</v>
      </c>
      <c r="AV21" s="123">
        <f t="shared" si="28"/>
        <v>157363000</v>
      </c>
      <c r="AW21" s="123">
        <f t="shared" si="29"/>
        <v>65481000</v>
      </c>
      <c r="AX21" s="108">
        <f t="shared" si="30"/>
        <v>0.71266406913214775</v>
      </c>
      <c r="AY21" s="123">
        <f>IFERROR(VLOOKUP(C21,'[1]DATA SALES LAST MONTH'!A:E,5,0),0)</f>
        <v>0</v>
      </c>
      <c r="AZ21" s="110">
        <f t="shared" si="31"/>
        <v>4253054.0540540544</v>
      </c>
      <c r="BA21" s="110">
        <f t="shared" si="32"/>
        <v>4253054.0540540544</v>
      </c>
      <c r="BB21" s="120">
        <f t="shared" si="33"/>
        <v>0</v>
      </c>
      <c r="BC21" s="103">
        <f>IFERROR(VLOOKUP(C21,'[1]TARGET THIS MONTH'!C:U,15,0),0)</f>
        <v>4</v>
      </c>
      <c r="BD21" s="124">
        <f>IFERROR(GETPIVOTDATA("Sum of Qty",[1]ACC!$A$5,"ID Store",$C21),0)</f>
        <v>7</v>
      </c>
      <c r="BE21" s="108">
        <f t="shared" si="34"/>
        <v>1.75</v>
      </c>
      <c r="BF21" s="125">
        <f>IFERROR(VLOOKUP(C21,'[1]TARGET THIS MONTH'!C:U,16,0),0)</f>
        <v>456000</v>
      </c>
      <c r="BG21" s="125">
        <f>IFERROR(GETPIVOTDATA("Sum of SRP",'[1]Insurance by Store'!$A$5,"ID Store",$C21,"Product Type","Qoala"),0)</f>
        <v>159000</v>
      </c>
      <c r="BH21" s="108">
        <f t="shared" si="35"/>
        <v>0.34868421052631576</v>
      </c>
      <c r="BI21" s="125">
        <f>IFERROR(VLOOKUP(C21,'[1]TARGET THIS MONTH'!C:U,17,0),0)</f>
        <v>114000</v>
      </c>
      <c r="BJ21" s="125">
        <f>IFERROR(GETPIVOTDATA("Sum of SRP",'[1]Insurance by Store'!$A$5,"ID Store",$C21,"Product Type","Vivo Care"),0)</f>
        <v>1000000</v>
      </c>
      <c r="BK21" s="108">
        <f t="shared" si="36"/>
        <v>8.7719298245614041</v>
      </c>
      <c r="BL21" s="106">
        <f>IFERROR(VLOOKUP(C21,'[1]TARGET THIS MONTH'!C:U,18,0),0)</f>
        <v>0</v>
      </c>
      <c r="BM21" s="107">
        <f>IFERROR(GETPIVOTDATA("Sum of Qty",'[1]Operator by Store'!$A$5,"ID Store",$C21,"Product Type","Indosat"),0)</f>
        <v>0</v>
      </c>
      <c r="BN21" s="108">
        <f t="shared" si="37"/>
        <v>0</v>
      </c>
      <c r="BO21" s="106">
        <f>VLOOKUP(C21,'[1]TARGET THIS MONTH'!C:U,19,0)</f>
        <v>0</v>
      </c>
      <c r="BP21" s="107">
        <f>IFERROR(GETPIVOTDATA("Sum of Qty",'[1]Operator by Store'!$A$5,"ID Store",$C21,"Product Type","Telkomsel"),0)</f>
        <v>0</v>
      </c>
      <c r="BQ21" s="126">
        <f t="shared" si="38"/>
        <v>0</v>
      </c>
    </row>
    <row r="22" spans="1:69" x14ac:dyDescent="0.2">
      <c r="A22" s="97">
        <v>18</v>
      </c>
      <c r="B22" s="98" t="s">
        <v>63</v>
      </c>
      <c r="C22" s="99">
        <v>6050706</v>
      </c>
      <c r="D22" s="100" t="s">
        <v>68</v>
      </c>
      <c r="E22" s="127" t="s">
        <v>65</v>
      </c>
      <c r="F22" s="102">
        <v>0</v>
      </c>
      <c r="G22" s="103">
        <f>IFERROR(VLOOKUP(C22,'[1]TARGET THIS MONTH'!C:E,3,0),0)</f>
        <v>20</v>
      </c>
      <c r="H22" s="104">
        <f>IFERROR(VLOOKUP(C22,'[1]TARGET THIS MONTH'!C:M,11,0),0)</f>
        <v>80000000</v>
      </c>
      <c r="I22" s="103">
        <f>IFERROR(GETPIVOTDATA("Sum of Qty",'[1]DEVICE &amp; VALUE'!$A$6,"ID Store",$C22),0)</f>
        <v>8</v>
      </c>
      <c r="J22" s="105">
        <f t="shared" si="0"/>
        <v>0.4</v>
      </c>
      <c r="K22" s="106">
        <f t="shared" si="1"/>
        <v>-12</v>
      </c>
      <c r="L22" s="107">
        <f>IFERROR(GETPIVOTDATA("Sum of Qty",[1]PF!$A$5,"ID Store",$C22),0)</f>
        <v>4</v>
      </c>
      <c r="M22" s="107">
        <f>IFERROR(GETPIVOTDATA("Sum of Qty",'[1]DEVICE &amp; VALUE'!$A$6,"ID Store",$C22,"Segment Price","3mio&gt;"),0)</f>
        <v>7</v>
      </c>
      <c r="N22" s="108">
        <f t="shared" si="2"/>
        <v>0.875</v>
      </c>
      <c r="O22" s="109">
        <f>IFERROR(GETPIVOTDATA("Sum of Qty",[1]IQOO!$A$6,"ID Store",$C22),0)</f>
        <v>1</v>
      </c>
      <c r="P22" s="108">
        <f t="shared" si="3"/>
        <v>0.125</v>
      </c>
      <c r="Q22" s="108">
        <f t="shared" si="4"/>
        <v>0.875</v>
      </c>
      <c r="R22" s="110">
        <f>IFERROR(GETPIVOTDATA("Sum of SRP",'[1]DEVICE &amp; VALUE'!$A$6,"ID Store",$C22),0)</f>
        <v>41992000</v>
      </c>
      <c r="S22" s="108">
        <f t="shared" si="5"/>
        <v>0.52490000000000003</v>
      </c>
      <c r="T22" s="111">
        <f t="shared" si="6"/>
        <v>-38008000</v>
      </c>
      <c r="U22" s="112">
        <f t="shared" si="7"/>
        <v>8</v>
      </c>
      <c r="V22" s="113">
        <f t="shared" si="8"/>
        <v>0.4</v>
      </c>
      <c r="W22" s="114">
        <f t="shared" si="9"/>
        <v>-12</v>
      </c>
      <c r="X22" s="114">
        <f t="shared" si="10"/>
        <v>7</v>
      </c>
      <c r="Y22" s="114">
        <f t="shared" si="11"/>
        <v>-13</v>
      </c>
      <c r="Z22" s="115">
        <f t="shared" si="12"/>
        <v>41992000</v>
      </c>
      <c r="AA22" s="115">
        <f t="shared" si="13"/>
        <v>-38008000</v>
      </c>
      <c r="AB22" s="116">
        <f t="shared" si="14"/>
        <v>0.52490000000000003</v>
      </c>
      <c r="AC22" s="117">
        <f t="shared" si="15"/>
        <v>0</v>
      </c>
      <c r="AD22" s="118">
        <f t="shared" si="16"/>
        <v>0</v>
      </c>
      <c r="AE22" s="103">
        <f>IFERROR(GETPIVOTDATA("Sum of Qty",'[1]DATA LAST MONTH IQOO'!$A$6,"ID Store",$C22),0)</f>
        <v>0</v>
      </c>
      <c r="AF22" s="119">
        <f>IFERROR(GETPIVOTDATA("Sum of Qty",[1]IQOO!$A$6,"ID Store",$C22),0)</f>
        <v>1</v>
      </c>
      <c r="AG22" s="106">
        <f t="shared" si="17"/>
        <v>1</v>
      </c>
      <c r="AH22" s="120">
        <f t="shared" si="18"/>
        <v>0</v>
      </c>
      <c r="AI22" s="121">
        <f>IFERROR(GETPIVOTDATA("Sum of Qty",'[1]DATA LAST MONTH DEVICE'!$A$6,"ID Store",$C22),0)</f>
        <v>0</v>
      </c>
      <c r="AJ22" s="122">
        <f t="shared" si="19"/>
        <v>8</v>
      </c>
      <c r="AK22" s="106">
        <f t="shared" si="20"/>
        <v>8</v>
      </c>
      <c r="AL22" s="108">
        <f t="shared" si="21"/>
        <v>0</v>
      </c>
      <c r="AM22" s="107">
        <f>IFERROR(GETPIVOTDATA("Sum of Qty",'[1]Store 3mio+ last month'!$A$6,"ID Store",$C22),0)</f>
        <v>0</v>
      </c>
      <c r="AN22" s="106">
        <f t="shared" si="22"/>
        <v>8</v>
      </c>
      <c r="AO22" s="106">
        <f t="shared" si="23"/>
        <v>8</v>
      </c>
      <c r="AP22" s="108">
        <f t="shared" si="24"/>
        <v>0</v>
      </c>
      <c r="AQ22" s="107">
        <f>IFERROR(GETPIVOTDATA("Sum of Qty",'[1]DATA LAST MONTH DEVICE'!$A$6,"ID Store",$C22,"Segment Price","3mio&gt;"),0)</f>
        <v>0</v>
      </c>
      <c r="AR22" s="109">
        <f t="shared" si="25"/>
        <v>7</v>
      </c>
      <c r="AS22" s="109">
        <f t="shared" si="26"/>
        <v>7</v>
      </c>
      <c r="AT22" s="108">
        <f t="shared" si="27"/>
        <v>0</v>
      </c>
      <c r="AU22" s="123">
        <f>IFERROR(GETPIVOTDATA("Sum of SRP",'[1]DATA LAST MONTH DEVICE'!$A$6,"ID Store",$C22),0)</f>
        <v>0</v>
      </c>
      <c r="AV22" s="123">
        <f t="shared" si="28"/>
        <v>41992000</v>
      </c>
      <c r="AW22" s="123">
        <f t="shared" si="29"/>
        <v>41992000</v>
      </c>
      <c r="AX22" s="108">
        <f t="shared" si="30"/>
        <v>0</v>
      </c>
      <c r="AY22" s="123">
        <f>IFERROR(VLOOKUP(C22,'[1]DATA SALES LAST MONTH'!A:E,5,0),0)</f>
        <v>0</v>
      </c>
      <c r="AZ22" s="110">
        <f t="shared" si="31"/>
        <v>5249000</v>
      </c>
      <c r="BA22" s="110">
        <f t="shared" si="32"/>
        <v>5249000</v>
      </c>
      <c r="BB22" s="120">
        <f t="shared" si="33"/>
        <v>0</v>
      </c>
      <c r="BC22" s="103">
        <f>IFERROR(VLOOKUP(C22,'[1]TARGET THIS MONTH'!C:U,15,0),0)</f>
        <v>4</v>
      </c>
      <c r="BD22" s="124">
        <f>IFERROR(GETPIVOTDATA("Sum of Qty",[1]ACC!$A$5,"ID Store",$C22),0)</f>
        <v>0</v>
      </c>
      <c r="BE22" s="108">
        <f t="shared" si="34"/>
        <v>0</v>
      </c>
      <c r="BF22" s="125">
        <f>IFERROR(VLOOKUP(C22,'[1]TARGET THIS MONTH'!C:U,16,0),0)</f>
        <v>320000</v>
      </c>
      <c r="BG22" s="125">
        <f>IFERROR(GETPIVOTDATA("Sum of SRP",'[1]Insurance by Store'!$A$5,"ID Store",$C22,"Product Type","Qoala"),0)</f>
        <v>499000</v>
      </c>
      <c r="BH22" s="108">
        <f t="shared" si="35"/>
        <v>1.559375</v>
      </c>
      <c r="BI22" s="125">
        <f>IFERROR(VLOOKUP(C22,'[1]TARGET THIS MONTH'!C:U,17,0),0)</f>
        <v>80000</v>
      </c>
      <c r="BJ22" s="125">
        <f>IFERROR(GETPIVOTDATA("Sum of SRP",'[1]Insurance by Store'!$A$5,"ID Store",$C22,"Product Type","Vivo Care"),0)</f>
        <v>0</v>
      </c>
      <c r="BK22" s="108">
        <f t="shared" si="36"/>
        <v>0</v>
      </c>
      <c r="BL22" s="106">
        <f>IFERROR(VLOOKUP(C22,'[1]TARGET THIS MONTH'!C:U,18,0),0)</f>
        <v>0</v>
      </c>
      <c r="BM22" s="107">
        <f>IFERROR(GETPIVOTDATA("Sum of Qty",'[1]Operator by Store'!$A$5,"ID Store",$C22,"Product Type","Indosat"),0)</f>
        <v>0</v>
      </c>
      <c r="BN22" s="108">
        <f t="shared" si="37"/>
        <v>0</v>
      </c>
      <c r="BO22" s="106">
        <f>VLOOKUP(C22,'[1]TARGET THIS MONTH'!C:U,19,0)</f>
        <v>0</v>
      </c>
      <c r="BP22" s="107">
        <f>IFERROR(GETPIVOTDATA("Sum of Qty",'[1]Operator by Store'!$A$5,"ID Store",$C22,"Product Type","Telkomsel"),0)</f>
        <v>0</v>
      </c>
      <c r="BQ22" s="126">
        <f t="shared" si="38"/>
        <v>0</v>
      </c>
    </row>
    <row r="23" spans="1:69" x14ac:dyDescent="0.2">
      <c r="A23" s="97">
        <v>19</v>
      </c>
      <c r="B23" s="98" t="s">
        <v>69</v>
      </c>
      <c r="C23" s="99">
        <v>6180706</v>
      </c>
      <c r="D23" s="100" t="s">
        <v>70</v>
      </c>
      <c r="E23" s="127" t="s">
        <v>71</v>
      </c>
      <c r="F23" s="102">
        <v>3</v>
      </c>
      <c r="G23" s="103">
        <f>IFERROR(VLOOKUP(C23,'[1]TARGET THIS MONTH'!C:E,3,0),0)</f>
        <v>120</v>
      </c>
      <c r="H23" s="104">
        <f>IFERROR(VLOOKUP(C23,'[1]TARGET THIS MONTH'!C:M,11,0),0)</f>
        <v>612000000</v>
      </c>
      <c r="I23" s="103">
        <f>IFERROR(GETPIVOTDATA("Sum of Qty",'[1]DEVICE &amp; VALUE'!$A$6,"ID Store",$C23),0)</f>
        <v>129</v>
      </c>
      <c r="J23" s="105">
        <f t="shared" si="0"/>
        <v>1.075</v>
      </c>
      <c r="K23" s="106">
        <f t="shared" si="1"/>
        <v>9</v>
      </c>
      <c r="L23" s="107">
        <f>IFERROR(GETPIVOTDATA("Sum of Qty",[1]PF!$A$5,"ID Store",$C23),0)</f>
        <v>21</v>
      </c>
      <c r="M23" s="107">
        <f>IFERROR(GETPIVOTDATA("Sum of Qty",'[1]DEVICE &amp; VALUE'!$A$6,"ID Store",$C23,"Segment Price","3mio&gt;"),0)</f>
        <v>85</v>
      </c>
      <c r="N23" s="108">
        <f t="shared" si="2"/>
        <v>0.65891472868217049</v>
      </c>
      <c r="O23" s="109">
        <f>IFERROR(GETPIVOTDATA("Sum of Qty",[1]IQOO!$A$6,"ID Store",$C23),0)</f>
        <v>25</v>
      </c>
      <c r="P23" s="108">
        <f t="shared" si="3"/>
        <v>0.19379844961240311</v>
      </c>
      <c r="Q23" s="108">
        <f t="shared" si="4"/>
        <v>0.65891472868217049</v>
      </c>
      <c r="R23" s="110">
        <f>IFERROR(GETPIVOTDATA("Sum of SRP",'[1]DEVICE &amp; VALUE'!$A$6,"ID Store",$C23),0)</f>
        <v>678471000</v>
      </c>
      <c r="S23" s="108">
        <f t="shared" si="5"/>
        <v>1.1086127450980392</v>
      </c>
      <c r="T23" s="111">
        <f t="shared" si="6"/>
        <v>66471000</v>
      </c>
      <c r="U23" s="112">
        <f t="shared" si="7"/>
        <v>129</v>
      </c>
      <c r="V23" s="113">
        <f t="shared" si="8"/>
        <v>1.075</v>
      </c>
      <c r="W23" s="114">
        <f t="shared" si="9"/>
        <v>9</v>
      </c>
      <c r="X23" s="114">
        <f t="shared" si="10"/>
        <v>85</v>
      </c>
      <c r="Y23" s="114">
        <f t="shared" si="11"/>
        <v>-35</v>
      </c>
      <c r="Z23" s="115">
        <f t="shared" si="12"/>
        <v>678471000</v>
      </c>
      <c r="AA23" s="115">
        <f t="shared" si="13"/>
        <v>66471000</v>
      </c>
      <c r="AB23" s="116">
        <f t="shared" si="14"/>
        <v>1.1086127450980392</v>
      </c>
      <c r="AC23" s="117">
        <f t="shared" si="15"/>
        <v>0</v>
      </c>
      <c r="AD23" s="118">
        <f t="shared" si="16"/>
        <v>0</v>
      </c>
      <c r="AE23" s="103">
        <f>IFERROR(GETPIVOTDATA("Sum of Qty",'[1]DATA LAST MONTH IQOO'!$A$6,"ID Store",$C23),0)</f>
        <v>40</v>
      </c>
      <c r="AF23" s="119">
        <f>IFERROR(GETPIVOTDATA("Sum of Qty",[1]IQOO!$A$6,"ID Store",$C23),0)</f>
        <v>25</v>
      </c>
      <c r="AG23" s="106">
        <f t="shared" si="17"/>
        <v>-15</v>
      </c>
      <c r="AH23" s="120">
        <f t="shared" si="18"/>
        <v>-0.375</v>
      </c>
      <c r="AI23" s="121">
        <f>IFERROR(GETPIVOTDATA("Sum of Qty",'[1]DATA LAST MONTH DEVICE'!$A$6,"ID Store",$C23),0)</f>
        <v>132</v>
      </c>
      <c r="AJ23" s="122">
        <f t="shared" si="19"/>
        <v>129</v>
      </c>
      <c r="AK23" s="106">
        <f t="shared" si="20"/>
        <v>-3</v>
      </c>
      <c r="AL23" s="108">
        <f t="shared" si="21"/>
        <v>-2.2727272727272728E-2</v>
      </c>
      <c r="AM23" s="107">
        <f>IFERROR(GETPIVOTDATA("Sum of Qty",'[1]Store 3mio+ last month'!$A$6,"ID Store",$C23),0)</f>
        <v>132</v>
      </c>
      <c r="AN23" s="106">
        <f t="shared" si="22"/>
        <v>129</v>
      </c>
      <c r="AO23" s="106">
        <f t="shared" si="23"/>
        <v>-3</v>
      </c>
      <c r="AP23" s="108">
        <f t="shared" si="24"/>
        <v>-2.2727272727272728E-2</v>
      </c>
      <c r="AQ23" s="107">
        <f>IFERROR(GETPIVOTDATA("Sum of Qty",'[1]DATA LAST MONTH DEVICE'!$A$6,"ID Store",$C23,"Segment Price","3mio&gt;"),0)</f>
        <v>79</v>
      </c>
      <c r="AR23" s="109">
        <f t="shared" si="25"/>
        <v>85</v>
      </c>
      <c r="AS23" s="109">
        <f t="shared" si="26"/>
        <v>6</v>
      </c>
      <c r="AT23" s="108">
        <f t="shared" si="27"/>
        <v>7.5949367088607597E-2</v>
      </c>
      <c r="AU23" s="123">
        <f>IFERROR(GETPIVOTDATA("Sum of SRP",'[1]DATA LAST MONTH DEVICE'!$A$6,"ID Store",$C23),0)</f>
        <v>741568000</v>
      </c>
      <c r="AV23" s="123">
        <f t="shared" si="28"/>
        <v>678471000</v>
      </c>
      <c r="AW23" s="123">
        <f t="shared" si="29"/>
        <v>-63097000</v>
      </c>
      <c r="AX23" s="108">
        <f t="shared" si="30"/>
        <v>-8.5085926037800991E-2</v>
      </c>
      <c r="AY23" s="123">
        <f>IFERROR(VLOOKUP(C23,'[1]DATA SALES LAST MONTH'!A:E,5,0),0)</f>
        <v>5617939.3939393936</v>
      </c>
      <c r="AZ23" s="110">
        <f t="shared" si="31"/>
        <v>5259465.1162790693</v>
      </c>
      <c r="BA23" s="110">
        <f t="shared" si="32"/>
        <v>-358474.27766032424</v>
      </c>
      <c r="BB23" s="120">
        <f t="shared" si="33"/>
        <v>-6.3808854550308006E-2</v>
      </c>
      <c r="BC23" s="103">
        <f>IFERROR(VLOOKUP(C23,'[1]TARGET THIS MONTH'!C:U,15,0),0)</f>
        <v>24</v>
      </c>
      <c r="BD23" s="124">
        <f>IFERROR(GETPIVOTDATA("Sum of Qty",[1]ACC!$A$5,"ID Store",$C23),0)</f>
        <v>50</v>
      </c>
      <c r="BE23" s="108">
        <f t="shared" si="34"/>
        <v>2.0833333333333335</v>
      </c>
      <c r="BF23" s="125">
        <f>IFERROR(VLOOKUP(C23,'[1]TARGET THIS MONTH'!C:U,16,0),0)</f>
        <v>2448000</v>
      </c>
      <c r="BG23" s="125">
        <f>IFERROR(GETPIVOTDATA("Sum of SRP",'[1]Insurance by Store'!$A$5,"ID Store",$C23,"Product Type","Qoala"),0)</f>
        <v>1803000</v>
      </c>
      <c r="BH23" s="108">
        <f t="shared" si="35"/>
        <v>0.7365196078431373</v>
      </c>
      <c r="BI23" s="125">
        <f>IFERROR(VLOOKUP(C23,'[1]TARGET THIS MONTH'!C:U,17,0),0)</f>
        <v>612000</v>
      </c>
      <c r="BJ23" s="125">
        <f>IFERROR(GETPIVOTDATA("Sum of SRP",'[1]Insurance by Store'!$A$5,"ID Store",$C23,"Product Type","Vivo Care"),0)</f>
        <v>0</v>
      </c>
      <c r="BK23" s="108">
        <f t="shared" si="36"/>
        <v>0</v>
      </c>
      <c r="BL23" s="106">
        <f>IFERROR(VLOOKUP(C23,'[1]TARGET THIS MONTH'!C:U,18,0),0)</f>
        <v>3.6</v>
      </c>
      <c r="BM23" s="107">
        <f>IFERROR(GETPIVOTDATA("Sum of Qty",'[1]Operator by Store'!$A$5,"ID Store",$C23,"Product Type","Indosat"),0)</f>
        <v>1</v>
      </c>
      <c r="BN23" s="108">
        <f t="shared" si="37"/>
        <v>0.27777777777777779</v>
      </c>
      <c r="BO23" s="106">
        <f>VLOOKUP(C23,'[1]TARGET THIS MONTH'!C:U,19,0)</f>
        <v>1.2</v>
      </c>
      <c r="BP23" s="107">
        <f>IFERROR(GETPIVOTDATA("Sum of Qty",'[1]Operator by Store'!$A$5,"ID Store",$C23,"Product Type","Telkomsel"),0)</f>
        <v>0</v>
      </c>
      <c r="BQ23" s="126">
        <f t="shared" si="38"/>
        <v>0</v>
      </c>
    </row>
    <row r="24" spans="1:69" x14ac:dyDescent="0.2">
      <c r="A24" s="97">
        <v>20</v>
      </c>
      <c r="B24" s="98" t="s">
        <v>69</v>
      </c>
      <c r="C24" s="99">
        <v>6180707</v>
      </c>
      <c r="D24" s="100" t="s">
        <v>72</v>
      </c>
      <c r="E24" s="127" t="s">
        <v>71</v>
      </c>
      <c r="F24" s="102">
        <v>1</v>
      </c>
      <c r="G24" s="103">
        <f>IFERROR(VLOOKUP(C24,'[1]TARGET THIS MONTH'!C:E,3,0),0)</f>
        <v>25</v>
      </c>
      <c r="H24" s="104">
        <f>IFERROR(VLOOKUP(C24,'[1]TARGET THIS MONTH'!C:M,11,0),0)</f>
        <v>117500000</v>
      </c>
      <c r="I24" s="103">
        <f>IFERROR(GETPIVOTDATA("Sum of Qty",'[1]DEVICE &amp; VALUE'!$A$6,"ID Store",$C24),0)</f>
        <v>31</v>
      </c>
      <c r="J24" s="105">
        <f t="shared" si="0"/>
        <v>1.24</v>
      </c>
      <c r="K24" s="106">
        <f t="shared" si="1"/>
        <v>6</v>
      </c>
      <c r="L24" s="107">
        <f>IFERROR(GETPIVOTDATA("Sum of Qty",[1]PF!$A$5,"ID Store",$C24),0)</f>
        <v>6</v>
      </c>
      <c r="M24" s="107">
        <f>IFERROR(GETPIVOTDATA("Sum of Qty",'[1]DEVICE &amp; VALUE'!$A$6,"ID Store",$C24,"Segment Price","3mio&gt;"),0)</f>
        <v>17</v>
      </c>
      <c r="N24" s="108">
        <f t="shared" si="2"/>
        <v>0.54838709677419351</v>
      </c>
      <c r="O24" s="109">
        <f>IFERROR(GETPIVOTDATA("Sum of Qty",[1]IQOO!$A$6,"ID Store",$C24),0)</f>
        <v>3</v>
      </c>
      <c r="P24" s="108">
        <f t="shared" si="3"/>
        <v>9.6774193548387094E-2</v>
      </c>
      <c r="Q24" s="108">
        <f t="shared" si="4"/>
        <v>0.54838709677419351</v>
      </c>
      <c r="R24" s="110">
        <f>IFERROR(GETPIVOTDATA("Sum of SRP",'[1]DEVICE &amp; VALUE'!$A$6,"ID Store",$C24),0)</f>
        <v>165669000</v>
      </c>
      <c r="S24" s="108">
        <f t="shared" si="5"/>
        <v>1.4099489361702127</v>
      </c>
      <c r="T24" s="111">
        <f t="shared" si="6"/>
        <v>48169000</v>
      </c>
      <c r="U24" s="112">
        <f t="shared" si="7"/>
        <v>31.000000000000004</v>
      </c>
      <c r="V24" s="113">
        <f t="shared" si="8"/>
        <v>1.2400000000000002</v>
      </c>
      <c r="W24" s="114">
        <f t="shared" si="9"/>
        <v>6.0000000000000036</v>
      </c>
      <c r="X24" s="114">
        <f t="shared" si="10"/>
        <v>17</v>
      </c>
      <c r="Y24" s="114">
        <f t="shared" si="11"/>
        <v>-8</v>
      </c>
      <c r="Z24" s="115">
        <f t="shared" si="12"/>
        <v>165669000</v>
      </c>
      <c r="AA24" s="115">
        <f t="shared" si="13"/>
        <v>48169000</v>
      </c>
      <c r="AB24" s="116">
        <f t="shared" si="14"/>
        <v>1.4099489361702127</v>
      </c>
      <c r="AC24" s="117">
        <f t="shared" si="15"/>
        <v>0</v>
      </c>
      <c r="AD24" s="118">
        <f t="shared" si="16"/>
        <v>0</v>
      </c>
      <c r="AE24" s="103">
        <f>IFERROR(GETPIVOTDATA("Sum of Qty",'[1]DATA LAST MONTH IQOO'!$A$6,"ID Store",$C24),0)</f>
        <v>4</v>
      </c>
      <c r="AF24" s="119">
        <f>IFERROR(GETPIVOTDATA("Sum of Qty",[1]IQOO!$A$6,"ID Store",$C24),0)</f>
        <v>3</v>
      </c>
      <c r="AG24" s="106">
        <f t="shared" si="17"/>
        <v>-1</v>
      </c>
      <c r="AH24" s="120">
        <f t="shared" si="18"/>
        <v>-0.25</v>
      </c>
      <c r="AI24" s="121">
        <f>IFERROR(GETPIVOTDATA("Sum of Qty",'[1]DATA LAST MONTH DEVICE'!$A$6,"ID Store",$C24),0)</f>
        <v>28</v>
      </c>
      <c r="AJ24" s="122">
        <f t="shared" si="19"/>
        <v>31</v>
      </c>
      <c r="AK24" s="106">
        <f t="shared" si="20"/>
        <v>3</v>
      </c>
      <c r="AL24" s="108">
        <f t="shared" si="21"/>
        <v>0.10714285714285714</v>
      </c>
      <c r="AM24" s="107">
        <f>IFERROR(GETPIVOTDATA("Sum of Qty",'[1]Store 3mio+ last month'!$A$6,"ID Store",$C24),0)</f>
        <v>28</v>
      </c>
      <c r="AN24" s="106">
        <f t="shared" si="22"/>
        <v>31.000000000000004</v>
      </c>
      <c r="AO24" s="106">
        <f t="shared" si="23"/>
        <v>3.0000000000000036</v>
      </c>
      <c r="AP24" s="108">
        <f t="shared" si="24"/>
        <v>0.10714285714285728</v>
      </c>
      <c r="AQ24" s="107">
        <f>IFERROR(GETPIVOTDATA("Sum of Qty",'[1]DATA LAST MONTH DEVICE'!$A$6,"ID Store",$C24,"Segment Price","3mio&gt;"),0)</f>
        <v>13</v>
      </c>
      <c r="AR24" s="109">
        <f t="shared" si="25"/>
        <v>17</v>
      </c>
      <c r="AS24" s="109">
        <f t="shared" si="26"/>
        <v>4</v>
      </c>
      <c r="AT24" s="108">
        <f t="shared" si="27"/>
        <v>0.30769230769230771</v>
      </c>
      <c r="AU24" s="123">
        <f>IFERROR(GETPIVOTDATA("Sum of SRP",'[1]DATA LAST MONTH DEVICE'!$A$6,"ID Store",$C24),0)</f>
        <v>125772000</v>
      </c>
      <c r="AV24" s="123">
        <f t="shared" si="28"/>
        <v>165669000</v>
      </c>
      <c r="AW24" s="123">
        <f t="shared" si="29"/>
        <v>39897000</v>
      </c>
      <c r="AX24" s="108">
        <f t="shared" si="30"/>
        <v>0.31721686861940657</v>
      </c>
      <c r="AY24" s="123">
        <f>IFERROR(VLOOKUP(C24,'[1]DATA SALES LAST MONTH'!A:E,5,0),0)</f>
        <v>4491857.1428571427</v>
      </c>
      <c r="AZ24" s="110">
        <f t="shared" si="31"/>
        <v>5344161.2903225804</v>
      </c>
      <c r="BA24" s="110">
        <f t="shared" si="32"/>
        <v>852304.14746543765</v>
      </c>
      <c r="BB24" s="120">
        <f t="shared" si="33"/>
        <v>0.18974426843043168</v>
      </c>
      <c r="BC24" s="103">
        <f>IFERROR(VLOOKUP(C24,'[1]TARGET THIS MONTH'!C:U,15,0),0)</f>
        <v>5</v>
      </c>
      <c r="BD24" s="124">
        <f>IFERROR(GETPIVOTDATA("Sum of Qty",[1]ACC!$A$5,"ID Store",$C24),0)</f>
        <v>0</v>
      </c>
      <c r="BE24" s="108">
        <f t="shared" si="34"/>
        <v>0</v>
      </c>
      <c r="BF24" s="125">
        <f>IFERROR(VLOOKUP(C24,'[1]TARGET THIS MONTH'!C:U,16,0),0)</f>
        <v>100000</v>
      </c>
      <c r="BG24" s="125">
        <f>IFERROR(GETPIVOTDATA("Sum of SRP",'[1]Insurance by Store'!$A$5,"ID Store",$C24,"Product Type","Qoala"),0)</f>
        <v>0</v>
      </c>
      <c r="BH24" s="108">
        <f t="shared" si="35"/>
        <v>0</v>
      </c>
      <c r="BI24" s="125">
        <f>IFERROR(VLOOKUP(C24,'[1]TARGET THIS MONTH'!C:U,17,0),0)</f>
        <v>100000</v>
      </c>
      <c r="BJ24" s="125">
        <f>IFERROR(GETPIVOTDATA("Sum of SRP",'[1]Insurance by Store'!$A$5,"ID Store",$C24,"Product Type","Vivo Care"),0)</f>
        <v>0</v>
      </c>
      <c r="BK24" s="108">
        <f t="shared" si="36"/>
        <v>0</v>
      </c>
      <c r="BL24" s="106">
        <f>IFERROR(VLOOKUP(C24,'[1]TARGET THIS MONTH'!C:U,18,0),0)</f>
        <v>0.75</v>
      </c>
      <c r="BM24" s="107">
        <f>IFERROR(GETPIVOTDATA("Sum of Qty",'[1]Operator by Store'!$A$5,"ID Store",$C24,"Product Type","Indosat"),0)</f>
        <v>0</v>
      </c>
      <c r="BN24" s="108">
        <f t="shared" si="37"/>
        <v>0</v>
      </c>
      <c r="BO24" s="106">
        <f>VLOOKUP(C24,'[1]TARGET THIS MONTH'!C:U,19,0)</f>
        <v>0.25</v>
      </c>
      <c r="BP24" s="107">
        <f>IFERROR(GETPIVOTDATA("Sum of Qty",'[1]Operator by Store'!$A$5,"ID Store",$C24,"Product Type","Telkomsel"),0)</f>
        <v>0</v>
      </c>
      <c r="BQ24" s="126">
        <f t="shared" si="38"/>
        <v>0</v>
      </c>
    </row>
    <row r="25" spans="1:69" x14ac:dyDescent="0.2">
      <c r="A25" s="97">
        <v>21</v>
      </c>
      <c r="B25" s="98" t="s">
        <v>73</v>
      </c>
      <c r="C25" s="99">
        <v>6170707</v>
      </c>
      <c r="D25" s="100" t="s">
        <v>74</v>
      </c>
      <c r="E25" s="128" t="s">
        <v>75</v>
      </c>
      <c r="F25" s="102">
        <v>2</v>
      </c>
      <c r="G25" s="103">
        <f>IFERROR(VLOOKUP(C25,'[1]TARGET THIS MONTH'!C:E,3,0),0)</f>
        <v>80</v>
      </c>
      <c r="H25" s="104">
        <f>IFERROR(VLOOKUP(C25,'[1]TARGET THIS MONTH'!C:M,11,0),0)</f>
        <v>344000000</v>
      </c>
      <c r="I25" s="103">
        <f>IFERROR(GETPIVOTDATA("Sum of Qty",'[1]DEVICE &amp; VALUE'!$A$6,"ID Store",$C25),0)</f>
        <v>89</v>
      </c>
      <c r="J25" s="105">
        <f t="shared" si="0"/>
        <v>1.1125</v>
      </c>
      <c r="K25" s="106">
        <f t="shared" si="1"/>
        <v>9</v>
      </c>
      <c r="L25" s="107">
        <f>IFERROR(GETPIVOTDATA("Sum of Qty",[1]PF!$A$5,"ID Store",$C25),0)</f>
        <v>18</v>
      </c>
      <c r="M25" s="107">
        <f>IFERROR(GETPIVOTDATA("Sum of Qty",'[1]DEVICE &amp; VALUE'!$A$6,"ID Store",$C25,"Segment Price","3mio&gt;"),0)</f>
        <v>39</v>
      </c>
      <c r="N25" s="108">
        <f t="shared" si="2"/>
        <v>0.43820224719101125</v>
      </c>
      <c r="O25" s="109">
        <f>IFERROR(GETPIVOTDATA("Sum of Qty",[1]IQOO!$A$6,"ID Store",$C25),0)</f>
        <v>7</v>
      </c>
      <c r="P25" s="108">
        <f t="shared" si="3"/>
        <v>7.8651685393258425E-2</v>
      </c>
      <c r="Q25" s="108">
        <f t="shared" si="4"/>
        <v>0.43820224719101125</v>
      </c>
      <c r="R25" s="110">
        <f>IFERROR(GETPIVOTDATA("Sum of SRP",'[1]DEVICE &amp; VALUE'!$A$6,"ID Store",$C25),0)</f>
        <v>377511000</v>
      </c>
      <c r="S25" s="108">
        <f t="shared" si="5"/>
        <v>1.0974156976744187</v>
      </c>
      <c r="T25" s="111">
        <f t="shared" si="6"/>
        <v>33511000</v>
      </c>
      <c r="U25" s="112">
        <f t="shared" si="7"/>
        <v>89</v>
      </c>
      <c r="V25" s="113">
        <f t="shared" si="8"/>
        <v>1.1125</v>
      </c>
      <c r="W25" s="114">
        <f t="shared" si="9"/>
        <v>9</v>
      </c>
      <c r="X25" s="114">
        <f t="shared" si="10"/>
        <v>39</v>
      </c>
      <c r="Y25" s="114">
        <f t="shared" si="11"/>
        <v>-41</v>
      </c>
      <c r="Z25" s="115">
        <f t="shared" si="12"/>
        <v>377511000</v>
      </c>
      <c r="AA25" s="115">
        <f t="shared" si="13"/>
        <v>33511000</v>
      </c>
      <c r="AB25" s="116">
        <f t="shared" si="14"/>
        <v>1.0974156976744187</v>
      </c>
      <c r="AC25" s="117">
        <f t="shared" si="15"/>
        <v>0</v>
      </c>
      <c r="AD25" s="118">
        <f t="shared" si="16"/>
        <v>0</v>
      </c>
      <c r="AE25" s="103">
        <f>IFERROR(GETPIVOTDATA("Sum of Qty",'[1]DATA LAST MONTH IQOO'!$A$6,"ID Store",$C25),0)</f>
        <v>4</v>
      </c>
      <c r="AF25" s="119">
        <f>IFERROR(GETPIVOTDATA("Sum of Qty",[1]IQOO!$A$6,"ID Store",$C25),0)</f>
        <v>7</v>
      </c>
      <c r="AG25" s="106">
        <f t="shared" si="17"/>
        <v>3</v>
      </c>
      <c r="AH25" s="120">
        <f t="shared" si="18"/>
        <v>0.75</v>
      </c>
      <c r="AI25" s="121">
        <f>IFERROR(GETPIVOTDATA("Sum of Qty",'[1]DATA LAST MONTH DEVICE'!$A$6,"ID Store",$C25),0)</f>
        <v>63</v>
      </c>
      <c r="AJ25" s="122">
        <f t="shared" si="19"/>
        <v>89</v>
      </c>
      <c r="AK25" s="106">
        <f t="shared" si="20"/>
        <v>26</v>
      </c>
      <c r="AL25" s="108">
        <f t="shared" si="21"/>
        <v>0.41269841269841268</v>
      </c>
      <c r="AM25" s="107">
        <f>IFERROR(GETPIVOTDATA("Sum of Qty",'[1]Store 3mio+ last month'!$A$6,"ID Store",$C25),0)</f>
        <v>63</v>
      </c>
      <c r="AN25" s="106">
        <f t="shared" si="22"/>
        <v>89</v>
      </c>
      <c r="AO25" s="106">
        <f t="shared" si="23"/>
        <v>26</v>
      </c>
      <c r="AP25" s="108">
        <f t="shared" si="24"/>
        <v>0.41269841269841268</v>
      </c>
      <c r="AQ25" s="107">
        <f>IFERROR(GETPIVOTDATA("Sum of Qty",'[1]DATA LAST MONTH DEVICE'!$A$6,"ID Store",$C25,"Segment Price","3mio&gt;"),0)</f>
        <v>23</v>
      </c>
      <c r="AR25" s="109">
        <f t="shared" si="25"/>
        <v>39</v>
      </c>
      <c r="AS25" s="109">
        <f t="shared" si="26"/>
        <v>16</v>
      </c>
      <c r="AT25" s="108">
        <f t="shared" si="27"/>
        <v>0.69565217391304346</v>
      </c>
      <c r="AU25" s="123">
        <f>IFERROR(GETPIVOTDATA("Sum of SRP",'[1]DATA LAST MONTH DEVICE'!$A$6,"ID Store",$C25),0)</f>
        <v>250237000</v>
      </c>
      <c r="AV25" s="123">
        <f t="shared" si="28"/>
        <v>377511000</v>
      </c>
      <c r="AW25" s="123">
        <f t="shared" si="29"/>
        <v>127274000</v>
      </c>
      <c r="AX25" s="108">
        <f t="shared" si="30"/>
        <v>0.50861383408528715</v>
      </c>
      <c r="AY25" s="123">
        <f>IFERROR(VLOOKUP(C25,'[1]DATA SALES LAST MONTH'!A:E,5,0),0)</f>
        <v>3972015.8730158731</v>
      </c>
      <c r="AZ25" s="110">
        <f t="shared" si="31"/>
        <v>4241696.6292134831</v>
      </c>
      <c r="BA25" s="110">
        <f t="shared" si="32"/>
        <v>269680.75619760994</v>
      </c>
      <c r="BB25" s="120">
        <f t="shared" si="33"/>
        <v>6.7895185925540294E-2</v>
      </c>
      <c r="BC25" s="103">
        <f>IFERROR(VLOOKUP(C25,'[1]TARGET THIS MONTH'!C:U,15,0),0)</f>
        <v>16</v>
      </c>
      <c r="BD25" s="124">
        <f>IFERROR(GETPIVOTDATA("Sum of Qty",[1]ACC!$A$5,"ID Store",$C25),0)</f>
        <v>16</v>
      </c>
      <c r="BE25" s="108">
        <f t="shared" si="34"/>
        <v>1</v>
      </c>
      <c r="BF25" s="125">
        <f>IFERROR(VLOOKUP(C25,'[1]TARGET THIS MONTH'!C:U,16,0),0)</f>
        <v>1376000</v>
      </c>
      <c r="BG25" s="125">
        <f>IFERROR(GETPIVOTDATA("Sum of SRP",'[1]Insurance by Store'!$A$5,"ID Store",$C25,"Product Type","Qoala"),0)</f>
        <v>737000</v>
      </c>
      <c r="BH25" s="108">
        <f t="shared" si="35"/>
        <v>0.53561046511627908</v>
      </c>
      <c r="BI25" s="125">
        <f>IFERROR(VLOOKUP(C25,'[1]TARGET THIS MONTH'!C:U,17,0),0)</f>
        <v>344000</v>
      </c>
      <c r="BJ25" s="125">
        <f>IFERROR(GETPIVOTDATA("Sum of SRP",'[1]Insurance by Store'!$A$5,"ID Store",$C25,"Product Type","Vivo Care"),0)</f>
        <v>0</v>
      </c>
      <c r="BK25" s="108">
        <f t="shared" si="36"/>
        <v>0</v>
      </c>
      <c r="BL25" s="106">
        <f>IFERROR(VLOOKUP(C25,'[1]TARGET THIS MONTH'!C:U,18,0),0)</f>
        <v>2.4</v>
      </c>
      <c r="BM25" s="107">
        <f>IFERROR(GETPIVOTDATA("Sum of Qty",'[1]Operator by Store'!$A$5,"ID Store",$C25,"Product Type","Indosat"),0)</f>
        <v>0</v>
      </c>
      <c r="BN25" s="108">
        <f t="shared" si="37"/>
        <v>0</v>
      </c>
      <c r="BO25" s="106">
        <f>VLOOKUP(C25,'[1]TARGET THIS MONTH'!C:U,19,0)</f>
        <v>0.8</v>
      </c>
      <c r="BP25" s="107">
        <f>IFERROR(GETPIVOTDATA("Sum of Qty",'[1]Operator by Store'!$A$5,"ID Store",$C25,"Product Type","Telkomsel"),0)</f>
        <v>0</v>
      </c>
      <c r="BQ25" s="126">
        <f t="shared" si="38"/>
        <v>0</v>
      </c>
    </row>
    <row r="26" spans="1:69" x14ac:dyDescent="0.2">
      <c r="A26" s="97">
        <v>22</v>
      </c>
      <c r="B26" s="98" t="s">
        <v>73</v>
      </c>
      <c r="C26" s="99">
        <v>6240702</v>
      </c>
      <c r="D26" s="100" t="s">
        <v>76</v>
      </c>
      <c r="E26" s="128" t="s">
        <v>75</v>
      </c>
      <c r="F26" s="102">
        <v>3</v>
      </c>
      <c r="G26" s="103">
        <f>IFERROR(VLOOKUP(C26,'[1]TARGET THIS MONTH'!C:E,3,0),0)</f>
        <v>100</v>
      </c>
      <c r="H26" s="104">
        <f>IFERROR(VLOOKUP(C26,'[1]TARGET THIS MONTH'!C:M,11,0),0)</f>
        <v>430000000</v>
      </c>
      <c r="I26" s="103">
        <f>IFERROR(GETPIVOTDATA("Sum of Qty",'[1]DEVICE &amp; VALUE'!$A$6,"ID Store",$C26),0)</f>
        <v>105</v>
      </c>
      <c r="J26" s="105">
        <f t="shared" si="0"/>
        <v>1.05</v>
      </c>
      <c r="K26" s="106">
        <f t="shared" si="1"/>
        <v>5</v>
      </c>
      <c r="L26" s="107">
        <f>IFERROR(GETPIVOTDATA("Sum of Qty",[1]PF!$A$5,"ID Store",$C26),0)</f>
        <v>19</v>
      </c>
      <c r="M26" s="107">
        <f>IFERROR(GETPIVOTDATA("Sum of Qty",'[1]DEVICE &amp; VALUE'!$A$6,"ID Store",$C26,"Segment Price","3mio&gt;"),0)</f>
        <v>54</v>
      </c>
      <c r="N26" s="108">
        <f t="shared" si="2"/>
        <v>0.51428571428571423</v>
      </c>
      <c r="O26" s="109">
        <f>IFERROR(GETPIVOTDATA("Sum of Qty",[1]IQOO!$A$6,"ID Store",$C26),0)</f>
        <v>11</v>
      </c>
      <c r="P26" s="108">
        <f t="shared" si="3"/>
        <v>0.10476190476190476</v>
      </c>
      <c r="Q26" s="108">
        <f t="shared" si="4"/>
        <v>0.51428571428571423</v>
      </c>
      <c r="R26" s="110">
        <f>IFERROR(GETPIVOTDATA("Sum of SRP",'[1]DEVICE &amp; VALUE'!$A$6,"ID Store",$C26),0)</f>
        <v>475895000</v>
      </c>
      <c r="S26" s="108">
        <f t="shared" si="5"/>
        <v>1.1067325581395349</v>
      </c>
      <c r="T26" s="111">
        <f t="shared" si="6"/>
        <v>45895000</v>
      </c>
      <c r="U26" s="112">
        <f t="shared" si="7"/>
        <v>105</v>
      </c>
      <c r="V26" s="113">
        <f t="shared" si="8"/>
        <v>1.05</v>
      </c>
      <c r="W26" s="114">
        <f t="shared" si="9"/>
        <v>5</v>
      </c>
      <c r="X26" s="114">
        <f t="shared" si="10"/>
        <v>54</v>
      </c>
      <c r="Y26" s="114">
        <f t="shared" si="11"/>
        <v>-46</v>
      </c>
      <c r="Z26" s="115">
        <f t="shared" si="12"/>
        <v>475895000</v>
      </c>
      <c r="AA26" s="115">
        <f t="shared" si="13"/>
        <v>45895000</v>
      </c>
      <c r="AB26" s="116">
        <f t="shared" si="14"/>
        <v>1.1067325581395349</v>
      </c>
      <c r="AC26" s="117">
        <f t="shared" si="15"/>
        <v>0</v>
      </c>
      <c r="AD26" s="118">
        <f t="shared" si="16"/>
        <v>0</v>
      </c>
      <c r="AE26" s="103">
        <f>IFERROR(GETPIVOTDATA("Sum of Qty",'[1]DATA LAST MONTH IQOO'!$A$6,"ID Store",$C26),0)</f>
        <v>13</v>
      </c>
      <c r="AF26" s="119">
        <f>IFERROR(GETPIVOTDATA("Sum of Qty",[1]IQOO!$A$6,"ID Store",$C26),0)</f>
        <v>11</v>
      </c>
      <c r="AG26" s="106">
        <f t="shared" si="17"/>
        <v>-2</v>
      </c>
      <c r="AH26" s="120">
        <f t="shared" si="18"/>
        <v>-0.15384615384615385</v>
      </c>
      <c r="AI26" s="121">
        <f>IFERROR(GETPIVOTDATA("Sum of Qty",'[1]DATA LAST MONTH DEVICE'!$A$6,"ID Store",$C26),0)</f>
        <v>87</v>
      </c>
      <c r="AJ26" s="122">
        <f t="shared" si="19"/>
        <v>105</v>
      </c>
      <c r="AK26" s="106">
        <f t="shared" si="20"/>
        <v>18</v>
      </c>
      <c r="AL26" s="108">
        <f t="shared" si="21"/>
        <v>0.20689655172413793</v>
      </c>
      <c r="AM26" s="107">
        <f>IFERROR(GETPIVOTDATA("Sum of Qty",'[1]Store 3mio+ last month'!$A$6,"ID Store",$C26),0)</f>
        <v>87</v>
      </c>
      <c r="AN26" s="106">
        <f t="shared" si="22"/>
        <v>105</v>
      </c>
      <c r="AO26" s="106">
        <f t="shared" si="23"/>
        <v>18</v>
      </c>
      <c r="AP26" s="108">
        <f t="shared" si="24"/>
        <v>0.20689655172413793</v>
      </c>
      <c r="AQ26" s="107">
        <f>IFERROR(GETPIVOTDATA("Sum of Qty",'[1]DATA LAST MONTH DEVICE'!$A$6,"ID Store",$C26,"Segment Price","3mio&gt;"),0)</f>
        <v>44</v>
      </c>
      <c r="AR26" s="109">
        <f t="shared" si="25"/>
        <v>54</v>
      </c>
      <c r="AS26" s="109">
        <f t="shared" si="26"/>
        <v>10</v>
      </c>
      <c r="AT26" s="108">
        <f t="shared" si="27"/>
        <v>0.22727272727272727</v>
      </c>
      <c r="AU26" s="123">
        <f>IFERROR(GETPIVOTDATA("Sum of SRP",'[1]DATA LAST MONTH DEVICE'!$A$6,"ID Store",$C26),0)</f>
        <v>396913000</v>
      </c>
      <c r="AV26" s="123">
        <f t="shared" si="28"/>
        <v>475895000</v>
      </c>
      <c r="AW26" s="123">
        <f t="shared" si="29"/>
        <v>78982000</v>
      </c>
      <c r="AX26" s="108">
        <f t="shared" si="30"/>
        <v>0.19899071081068143</v>
      </c>
      <c r="AY26" s="123">
        <f>IFERROR(VLOOKUP(C26,'[1]DATA SALES LAST MONTH'!A:E,5,0),0)</f>
        <v>4562218.3908045981</v>
      </c>
      <c r="AZ26" s="110">
        <f t="shared" si="31"/>
        <v>4532333.333333333</v>
      </c>
      <c r="BA26" s="110">
        <f t="shared" si="32"/>
        <v>-29885.057471265085</v>
      </c>
      <c r="BB26" s="120">
        <f t="shared" si="33"/>
        <v>-6.5505538997212539E-3</v>
      </c>
      <c r="BC26" s="103">
        <f>IFERROR(VLOOKUP(C26,'[1]TARGET THIS MONTH'!C:U,15,0),0)</f>
        <v>20</v>
      </c>
      <c r="BD26" s="124">
        <f>IFERROR(GETPIVOTDATA("Sum of Qty",[1]ACC!$A$5,"ID Store",$C26),0)</f>
        <v>25</v>
      </c>
      <c r="BE26" s="108">
        <f t="shared" si="34"/>
        <v>1.25</v>
      </c>
      <c r="BF26" s="125">
        <f>IFERROR(VLOOKUP(C26,'[1]TARGET THIS MONTH'!C:U,16,0),0)</f>
        <v>1720000</v>
      </c>
      <c r="BG26" s="125">
        <f>IFERROR(GETPIVOTDATA("Sum of SRP",'[1]Insurance by Store'!$A$5,"ID Store",$C26,"Product Type","Qoala"),0)</f>
        <v>1952000</v>
      </c>
      <c r="BH26" s="108">
        <f t="shared" si="35"/>
        <v>1.1348837209302325</v>
      </c>
      <c r="BI26" s="125">
        <f>IFERROR(VLOOKUP(C26,'[1]TARGET THIS MONTH'!C:U,17,0),0)</f>
        <v>430000</v>
      </c>
      <c r="BJ26" s="125">
        <f>IFERROR(GETPIVOTDATA("Sum of SRP",'[1]Insurance by Store'!$A$5,"ID Store",$C26,"Product Type","Vivo Care"),0)</f>
        <v>1000000</v>
      </c>
      <c r="BK26" s="108">
        <f t="shared" si="36"/>
        <v>2.3255813953488373</v>
      </c>
      <c r="BL26" s="106">
        <f>IFERROR(VLOOKUP(C26,'[1]TARGET THIS MONTH'!C:U,18,0),0)</f>
        <v>3</v>
      </c>
      <c r="BM26" s="107">
        <f>IFERROR(GETPIVOTDATA("Sum of Qty",'[1]Operator by Store'!$A$5,"ID Store",$C26,"Product Type","Indosat"),0)</f>
        <v>0</v>
      </c>
      <c r="BN26" s="108">
        <f t="shared" si="37"/>
        <v>0</v>
      </c>
      <c r="BO26" s="106">
        <f>VLOOKUP(C26,'[1]TARGET THIS MONTH'!C:U,19,0)</f>
        <v>1</v>
      </c>
      <c r="BP26" s="107">
        <f>IFERROR(GETPIVOTDATA("Sum of Qty",'[1]Operator by Store'!$A$5,"ID Store",$C26,"Product Type","Telkomsel"),0)</f>
        <v>0</v>
      </c>
      <c r="BQ26" s="126">
        <f t="shared" si="38"/>
        <v>0</v>
      </c>
    </row>
    <row r="27" spans="1:69" x14ac:dyDescent="0.2">
      <c r="A27" s="97">
        <v>23</v>
      </c>
      <c r="B27" s="98" t="s">
        <v>73</v>
      </c>
      <c r="C27" s="99">
        <v>6240704</v>
      </c>
      <c r="D27" s="100" t="s">
        <v>77</v>
      </c>
      <c r="E27" s="128" t="s">
        <v>75</v>
      </c>
      <c r="F27" s="102">
        <v>2</v>
      </c>
      <c r="G27" s="103">
        <f>IFERROR(VLOOKUP(C27,'[1]TARGET THIS MONTH'!C:E,3,0),0)</f>
        <v>40</v>
      </c>
      <c r="H27" s="104">
        <f>IFERROR(VLOOKUP(C27,'[1]TARGET THIS MONTH'!C:M,11,0),0)</f>
        <v>172000000</v>
      </c>
      <c r="I27" s="103">
        <f>IFERROR(GETPIVOTDATA("Sum of Qty",'[1]DEVICE &amp; VALUE'!$A$6,"ID Store",$C27),0)</f>
        <v>21</v>
      </c>
      <c r="J27" s="105">
        <f t="shared" si="0"/>
        <v>0.52500000000000002</v>
      </c>
      <c r="K27" s="106">
        <f t="shared" si="1"/>
        <v>-19</v>
      </c>
      <c r="L27" s="107">
        <f>IFERROR(GETPIVOTDATA("Sum of Qty",[1]PF!$A$5,"ID Store",$C27),0)</f>
        <v>5</v>
      </c>
      <c r="M27" s="107">
        <f>IFERROR(GETPIVOTDATA("Sum of Qty",'[1]DEVICE &amp; VALUE'!$A$6,"ID Store",$C27,"Segment Price","3mio&gt;"),0)</f>
        <v>10</v>
      </c>
      <c r="N27" s="108">
        <f t="shared" si="2"/>
        <v>0.47619047619047616</v>
      </c>
      <c r="O27" s="109">
        <f>IFERROR(GETPIVOTDATA("Sum of Qty",[1]IQOO!$A$6,"ID Store",$C27),0)</f>
        <v>2</v>
      </c>
      <c r="P27" s="108">
        <f t="shared" si="3"/>
        <v>9.5238095238095233E-2</v>
      </c>
      <c r="Q27" s="108">
        <f t="shared" si="4"/>
        <v>0.47619047619047616</v>
      </c>
      <c r="R27" s="110">
        <f>IFERROR(GETPIVOTDATA("Sum of SRP",'[1]DEVICE &amp; VALUE'!$A$6,"ID Store",$C27),0)</f>
        <v>90879000</v>
      </c>
      <c r="S27" s="108">
        <f t="shared" si="5"/>
        <v>0.52836627906976741</v>
      </c>
      <c r="T27" s="111">
        <f t="shared" si="6"/>
        <v>-81121000</v>
      </c>
      <c r="U27" s="112">
        <f t="shared" si="7"/>
        <v>21</v>
      </c>
      <c r="V27" s="113">
        <f t="shared" si="8"/>
        <v>0.52500000000000002</v>
      </c>
      <c r="W27" s="114">
        <f t="shared" si="9"/>
        <v>-19</v>
      </c>
      <c r="X27" s="114">
        <f t="shared" si="10"/>
        <v>10</v>
      </c>
      <c r="Y27" s="114">
        <f t="shared" si="11"/>
        <v>-30</v>
      </c>
      <c r="Z27" s="115">
        <f t="shared" si="12"/>
        <v>90879000</v>
      </c>
      <c r="AA27" s="115">
        <f t="shared" si="13"/>
        <v>-81121000</v>
      </c>
      <c r="AB27" s="116">
        <f t="shared" si="14"/>
        <v>0.52836627906976741</v>
      </c>
      <c r="AC27" s="117">
        <f t="shared" si="15"/>
        <v>0</v>
      </c>
      <c r="AD27" s="118">
        <f t="shared" si="16"/>
        <v>0</v>
      </c>
      <c r="AE27" s="103">
        <f>IFERROR(GETPIVOTDATA("Sum of Qty",'[1]DATA LAST MONTH IQOO'!$A$6,"ID Store",$C27),0)</f>
        <v>2</v>
      </c>
      <c r="AF27" s="119">
        <f>IFERROR(GETPIVOTDATA("Sum of Qty",[1]IQOO!$A$6,"ID Store",$C27),0)</f>
        <v>2</v>
      </c>
      <c r="AG27" s="106">
        <f t="shared" si="17"/>
        <v>0</v>
      </c>
      <c r="AH27" s="120">
        <f t="shared" si="18"/>
        <v>0</v>
      </c>
      <c r="AI27" s="121">
        <f>IFERROR(GETPIVOTDATA("Sum of Qty",'[1]DATA LAST MONTH DEVICE'!$A$6,"ID Store",$C27),0)</f>
        <v>37</v>
      </c>
      <c r="AJ27" s="122">
        <f t="shared" si="19"/>
        <v>21</v>
      </c>
      <c r="AK27" s="106">
        <f t="shared" si="20"/>
        <v>-16</v>
      </c>
      <c r="AL27" s="108">
        <f t="shared" si="21"/>
        <v>-0.43243243243243246</v>
      </c>
      <c r="AM27" s="107">
        <f>IFERROR(GETPIVOTDATA("Sum of Qty",'[1]Store 3mio+ last month'!$A$6,"ID Store",$C27),0)</f>
        <v>37</v>
      </c>
      <c r="AN27" s="106">
        <f t="shared" si="22"/>
        <v>21</v>
      </c>
      <c r="AO27" s="106">
        <f t="shared" si="23"/>
        <v>-16</v>
      </c>
      <c r="AP27" s="108">
        <f t="shared" si="24"/>
        <v>-0.43243243243243246</v>
      </c>
      <c r="AQ27" s="107">
        <f>IFERROR(GETPIVOTDATA("Sum of Qty",'[1]DATA LAST MONTH DEVICE'!$A$6,"ID Store",$C27,"Segment Price","3mio&gt;"),0)</f>
        <v>15</v>
      </c>
      <c r="AR27" s="109">
        <f t="shared" si="25"/>
        <v>10</v>
      </c>
      <c r="AS27" s="109">
        <f t="shared" si="26"/>
        <v>-5</v>
      </c>
      <c r="AT27" s="108">
        <f t="shared" si="27"/>
        <v>-0.33333333333333331</v>
      </c>
      <c r="AU27" s="123">
        <f>IFERROR(GETPIVOTDATA("Sum of SRP",'[1]DATA LAST MONTH DEVICE'!$A$6,"ID Store",$C27),0)</f>
        <v>137463000</v>
      </c>
      <c r="AV27" s="123">
        <f t="shared" si="28"/>
        <v>90879000</v>
      </c>
      <c r="AW27" s="123">
        <f t="shared" si="29"/>
        <v>-46584000</v>
      </c>
      <c r="AX27" s="108">
        <f t="shared" si="30"/>
        <v>-0.33888391785425898</v>
      </c>
      <c r="AY27" s="123">
        <f>IFERROR(VLOOKUP(C27,'[1]DATA SALES LAST MONTH'!A:E,5,0),0)</f>
        <v>3715216.2162162163</v>
      </c>
      <c r="AZ27" s="110">
        <f t="shared" si="31"/>
        <v>4327571.4285714282</v>
      </c>
      <c r="BA27" s="110">
        <f t="shared" si="32"/>
        <v>612355.21235521184</v>
      </c>
      <c r="BB27" s="120">
        <f t="shared" si="33"/>
        <v>0.16482357330440073</v>
      </c>
      <c r="BC27" s="103">
        <f>IFERROR(VLOOKUP(C27,'[1]TARGET THIS MONTH'!C:U,15,0),0)</f>
        <v>8</v>
      </c>
      <c r="BD27" s="124">
        <f>IFERROR(GETPIVOTDATA("Sum of Qty",[1]ACC!$A$5,"ID Store",$C27),0)</f>
        <v>9</v>
      </c>
      <c r="BE27" s="108">
        <f t="shared" si="34"/>
        <v>1.125</v>
      </c>
      <c r="BF27" s="125">
        <f>IFERROR(VLOOKUP(C27,'[1]TARGET THIS MONTH'!C:U,16,0),0)</f>
        <v>350000</v>
      </c>
      <c r="BG27" s="125">
        <f>IFERROR(GETPIVOTDATA("Sum of SRP",'[1]Insurance by Store'!$A$5,"ID Store",$C27,"Product Type","Qoala"),0)</f>
        <v>159000</v>
      </c>
      <c r="BH27" s="108">
        <f t="shared" si="35"/>
        <v>0.45428571428571429</v>
      </c>
      <c r="BI27" s="125">
        <f>IFERROR(VLOOKUP(C27,'[1]TARGET THIS MONTH'!C:U,17,0),0)</f>
        <v>150000</v>
      </c>
      <c r="BJ27" s="125">
        <f>IFERROR(GETPIVOTDATA("Sum of SRP",'[1]Insurance by Store'!$A$5,"ID Store",$C27,"Product Type","Vivo Care"),0)</f>
        <v>0</v>
      </c>
      <c r="BK27" s="108">
        <f t="shared" si="36"/>
        <v>0</v>
      </c>
      <c r="BL27" s="106">
        <f>IFERROR(VLOOKUP(C27,'[1]TARGET THIS MONTH'!C:U,18,0),0)</f>
        <v>1.2</v>
      </c>
      <c r="BM27" s="107">
        <f>IFERROR(GETPIVOTDATA("Sum of Qty",'[1]Operator by Store'!$A$5,"ID Store",$C27,"Product Type","Indosat"),0)</f>
        <v>0</v>
      </c>
      <c r="BN27" s="108">
        <f t="shared" si="37"/>
        <v>0</v>
      </c>
      <c r="BO27" s="106">
        <f>VLOOKUP(C27,'[1]TARGET THIS MONTH'!C:U,19,0)</f>
        <v>0.4</v>
      </c>
      <c r="BP27" s="107">
        <f>IFERROR(GETPIVOTDATA("Sum of Qty",'[1]Operator by Store'!$A$5,"ID Store",$C27,"Product Type","Telkomsel"),0)</f>
        <v>0</v>
      </c>
      <c r="BQ27" s="126">
        <f t="shared" si="38"/>
        <v>0</v>
      </c>
    </row>
    <row r="28" spans="1:69" x14ac:dyDescent="0.2">
      <c r="A28" s="97">
        <v>24</v>
      </c>
      <c r="B28" s="98" t="s">
        <v>73</v>
      </c>
      <c r="C28" s="99">
        <v>6240701</v>
      </c>
      <c r="D28" s="100" t="s">
        <v>78</v>
      </c>
      <c r="E28" s="127" t="s">
        <v>79</v>
      </c>
      <c r="F28" s="102">
        <v>3</v>
      </c>
      <c r="G28" s="103">
        <f>IFERROR(VLOOKUP(C28,'[1]TARGET THIS MONTH'!C:E,3,0),0)</f>
        <v>90</v>
      </c>
      <c r="H28" s="104">
        <f>IFERROR(VLOOKUP(C28,'[1]TARGET THIS MONTH'!C:M,11,0),0)</f>
        <v>387000000</v>
      </c>
      <c r="I28" s="103">
        <f>IFERROR(GETPIVOTDATA("Sum of Qty",'[1]DEVICE &amp; VALUE'!$A$6,"ID Store",$C28),0)</f>
        <v>94</v>
      </c>
      <c r="J28" s="105">
        <f t="shared" si="0"/>
        <v>1.0444444444444445</v>
      </c>
      <c r="K28" s="106">
        <f t="shared" si="1"/>
        <v>4</v>
      </c>
      <c r="L28" s="107">
        <f>IFERROR(GETPIVOTDATA("Sum of Qty",[1]PF!$A$5,"ID Store",$C28),0)</f>
        <v>20</v>
      </c>
      <c r="M28" s="107">
        <f>IFERROR(GETPIVOTDATA("Sum of Qty",'[1]DEVICE &amp; VALUE'!$A$6,"ID Store",$C28,"Segment Price","3mio&gt;"),0)</f>
        <v>42</v>
      </c>
      <c r="N28" s="108">
        <f t="shared" si="2"/>
        <v>0.44680851063829785</v>
      </c>
      <c r="O28" s="109">
        <f>IFERROR(GETPIVOTDATA("Sum of Qty",[1]IQOO!$A$6,"ID Store",$C28),0)</f>
        <v>6</v>
      </c>
      <c r="P28" s="108">
        <f t="shared" si="3"/>
        <v>6.3829787234042548E-2</v>
      </c>
      <c r="Q28" s="108">
        <f t="shared" si="4"/>
        <v>0.44680851063829785</v>
      </c>
      <c r="R28" s="110">
        <f>IFERROR(GETPIVOTDATA("Sum of SRP",'[1]DEVICE &amp; VALUE'!$A$6,"ID Store",$C28),0)</f>
        <v>402706000</v>
      </c>
      <c r="S28" s="108">
        <f t="shared" si="5"/>
        <v>1.0405839793281653</v>
      </c>
      <c r="T28" s="111">
        <f t="shared" si="6"/>
        <v>15706000</v>
      </c>
      <c r="U28" s="112">
        <f t="shared" si="7"/>
        <v>94</v>
      </c>
      <c r="V28" s="113">
        <f t="shared" si="8"/>
        <v>1.0444444444444445</v>
      </c>
      <c r="W28" s="114">
        <f t="shared" si="9"/>
        <v>4</v>
      </c>
      <c r="X28" s="114">
        <f t="shared" si="10"/>
        <v>42</v>
      </c>
      <c r="Y28" s="114">
        <f t="shared" si="11"/>
        <v>-48</v>
      </c>
      <c r="Z28" s="115">
        <f t="shared" si="12"/>
        <v>402706000</v>
      </c>
      <c r="AA28" s="115">
        <f t="shared" si="13"/>
        <v>15706000</v>
      </c>
      <c r="AB28" s="116">
        <f t="shared" si="14"/>
        <v>1.0405839793281653</v>
      </c>
      <c r="AC28" s="117">
        <f t="shared" si="15"/>
        <v>0</v>
      </c>
      <c r="AD28" s="118">
        <f t="shared" si="16"/>
        <v>0</v>
      </c>
      <c r="AE28" s="103">
        <f>IFERROR(GETPIVOTDATA("Sum of Qty",'[1]DATA LAST MONTH IQOO'!$A$6,"ID Store",$C28),0)</f>
        <v>15</v>
      </c>
      <c r="AF28" s="119">
        <f>IFERROR(GETPIVOTDATA("Sum of Qty",[1]IQOO!$A$6,"ID Store",$C28),0)</f>
        <v>6</v>
      </c>
      <c r="AG28" s="106">
        <f t="shared" si="17"/>
        <v>-9</v>
      </c>
      <c r="AH28" s="120">
        <f t="shared" si="18"/>
        <v>-0.6</v>
      </c>
      <c r="AI28" s="121">
        <f>IFERROR(GETPIVOTDATA("Sum of Qty",'[1]DATA LAST MONTH DEVICE'!$A$6,"ID Store",$C28),0)</f>
        <v>94</v>
      </c>
      <c r="AJ28" s="122">
        <f t="shared" si="19"/>
        <v>94</v>
      </c>
      <c r="AK28" s="106">
        <f t="shared" si="20"/>
        <v>0</v>
      </c>
      <c r="AL28" s="108">
        <f t="shared" si="21"/>
        <v>0</v>
      </c>
      <c r="AM28" s="107">
        <f>IFERROR(GETPIVOTDATA("Sum of Qty",'[1]Store 3mio+ last month'!$A$6,"ID Store",$C28),0)</f>
        <v>94</v>
      </c>
      <c r="AN28" s="106">
        <f t="shared" si="22"/>
        <v>94</v>
      </c>
      <c r="AO28" s="106">
        <f t="shared" si="23"/>
        <v>0</v>
      </c>
      <c r="AP28" s="108">
        <f t="shared" si="24"/>
        <v>0</v>
      </c>
      <c r="AQ28" s="107">
        <f>IFERROR(GETPIVOTDATA("Sum of Qty",'[1]DATA LAST MONTH DEVICE'!$A$6,"ID Store",$C28,"Segment Price","3mio&gt;"),0)</f>
        <v>48</v>
      </c>
      <c r="AR28" s="109">
        <f t="shared" si="25"/>
        <v>42</v>
      </c>
      <c r="AS28" s="109">
        <f t="shared" si="26"/>
        <v>-6</v>
      </c>
      <c r="AT28" s="108">
        <f t="shared" si="27"/>
        <v>-0.125</v>
      </c>
      <c r="AU28" s="123">
        <f>IFERROR(GETPIVOTDATA("Sum of SRP",'[1]DATA LAST MONTH DEVICE'!$A$6,"ID Store",$C28),0)</f>
        <v>443806000</v>
      </c>
      <c r="AV28" s="123">
        <f t="shared" si="28"/>
        <v>402706000</v>
      </c>
      <c r="AW28" s="123">
        <f t="shared" si="29"/>
        <v>-41100000</v>
      </c>
      <c r="AX28" s="108">
        <f t="shared" si="30"/>
        <v>-9.2608031437159483E-2</v>
      </c>
      <c r="AY28" s="123">
        <f>IFERROR(VLOOKUP(C28,'[1]DATA SALES LAST MONTH'!A:E,5,0),0)</f>
        <v>4721340.4255319145</v>
      </c>
      <c r="AZ28" s="110">
        <f t="shared" si="31"/>
        <v>4284106.3829787234</v>
      </c>
      <c r="BA28" s="110">
        <f t="shared" si="32"/>
        <v>-437234.04255319107</v>
      </c>
      <c r="BB28" s="120">
        <f t="shared" si="33"/>
        <v>-9.2608031437159399E-2</v>
      </c>
      <c r="BC28" s="103">
        <f>IFERROR(VLOOKUP(C28,'[1]TARGET THIS MONTH'!C:U,15,0),0)</f>
        <v>18</v>
      </c>
      <c r="BD28" s="124">
        <f>IFERROR(GETPIVOTDATA("Sum of Qty",[1]ACC!$A$5,"ID Store",$C28),0)</f>
        <v>7</v>
      </c>
      <c r="BE28" s="108">
        <f t="shared" si="34"/>
        <v>0.3888888888888889</v>
      </c>
      <c r="BF28" s="125">
        <f>IFERROR(VLOOKUP(C28,'[1]TARGET THIS MONTH'!C:U,16,0),0)</f>
        <v>1548000</v>
      </c>
      <c r="BG28" s="125">
        <f>IFERROR(GETPIVOTDATA("Sum of SRP",'[1]Insurance by Store'!$A$5,"ID Store",$C28,"Product Type","Qoala"),0)</f>
        <v>1395000</v>
      </c>
      <c r="BH28" s="108">
        <f t="shared" si="35"/>
        <v>0.90116279069767447</v>
      </c>
      <c r="BI28" s="125">
        <f>IFERROR(VLOOKUP(C28,'[1]TARGET THIS MONTH'!C:U,17,0),0)</f>
        <v>387000</v>
      </c>
      <c r="BJ28" s="125">
        <f>IFERROR(GETPIVOTDATA("Sum of SRP",'[1]Insurance by Store'!$A$5,"ID Store",$C28,"Product Type","Vivo Care"),0)</f>
        <v>1000000</v>
      </c>
      <c r="BK28" s="108">
        <f t="shared" si="36"/>
        <v>2.5839793281653747</v>
      </c>
      <c r="BL28" s="106">
        <f>IFERROR(VLOOKUP(C28,'[1]TARGET THIS MONTH'!C:U,18,0),0)</f>
        <v>2.7</v>
      </c>
      <c r="BM28" s="107">
        <f>IFERROR(GETPIVOTDATA("Sum of Qty",'[1]Operator by Store'!$A$5,"ID Store",$C28,"Product Type","Indosat"),0)</f>
        <v>0</v>
      </c>
      <c r="BN28" s="108">
        <f t="shared" si="37"/>
        <v>0</v>
      </c>
      <c r="BO28" s="106">
        <f>VLOOKUP(C28,'[1]TARGET THIS MONTH'!C:U,19,0)</f>
        <v>0.9</v>
      </c>
      <c r="BP28" s="107">
        <f>IFERROR(GETPIVOTDATA("Sum of Qty",'[1]Operator by Store'!$A$5,"ID Store",$C28,"Product Type","Telkomsel"),0)</f>
        <v>0</v>
      </c>
      <c r="BQ28" s="126">
        <f t="shared" si="38"/>
        <v>0</v>
      </c>
    </row>
    <row r="29" spans="1:69" x14ac:dyDescent="0.2">
      <c r="A29" s="97">
        <v>25</v>
      </c>
      <c r="B29" s="98" t="s">
        <v>73</v>
      </c>
      <c r="C29" s="99">
        <v>6170706</v>
      </c>
      <c r="D29" s="100" t="s">
        <v>80</v>
      </c>
      <c r="E29" s="127" t="s">
        <v>79</v>
      </c>
      <c r="F29" s="102">
        <v>3</v>
      </c>
      <c r="G29" s="103">
        <f>IFERROR(VLOOKUP(C29,'[1]TARGET THIS MONTH'!C:E,3,0),0)</f>
        <v>90</v>
      </c>
      <c r="H29" s="104">
        <f>IFERROR(VLOOKUP(C29,'[1]TARGET THIS MONTH'!C:M,11,0),0)</f>
        <v>387000000</v>
      </c>
      <c r="I29" s="103">
        <f>IFERROR(GETPIVOTDATA("Sum of Qty",'[1]DEVICE &amp; VALUE'!$A$6,"ID Store",$C29),0)</f>
        <v>94</v>
      </c>
      <c r="J29" s="105">
        <f t="shared" si="0"/>
        <v>1.0444444444444445</v>
      </c>
      <c r="K29" s="106">
        <f t="shared" si="1"/>
        <v>4</v>
      </c>
      <c r="L29" s="107">
        <f>IFERROR(GETPIVOTDATA("Sum of Qty",[1]PF!$A$5,"ID Store",$C29),0)</f>
        <v>15</v>
      </c>
      <c r="M29" s="107">
        <f>IFERROR(GETPIVOTDATA("Sum of Qty",'[1]DEVICE &amp; VALUE'!$A$6,"ID Store",$C29,"Segment Price","3mio&gt;"),0)</f>
        <v>42</v>
      </c>
      <c r="N29" s="108">
        <f t="shared" si="2"/>
        <v>0.44680851063829785</v>
      </c>
      <c r="O29" s="109">
        <f>IFERROR(GETPIVOTDATA("Sum of Qty",[1]IQOO!$A$6,"ID Store",$C29),0)</f>
        <v>6</v>
      </c>
      <c r="P29" s="108">
        <f t="shared" si="3"/>
        <v>6.3829787234042548E-2</v>
      </c>
      <c r="Q29" s="108">
        <f t="shared" si="4"/>
        <v>0.44680851063829785</v>
      </c>
      <c r="R29" s="110">
        <f>IFERROR(GETPIVOTDATA("Sum of SRP",'[1]DEVICE &amp; VALUE'!$A$6,"ID Store",$C29),0)</f>
        <v>414106000</v>
      </c>
      <c r="S29" s="108">
        <f t="shared" si="5"/>
        <v>1.0700413436692506</v>
      </c>
      <c r="T29" s="111">
        <f t="shared" si="6"/>
        <v>27106000</v>
      </c>
      <c r="U29" s="112">
        <f t="shared" si="7"/>
        <v>94</v>
      </c>
      <c r="V29" s="113">
        <f t="shared" si="8"/>
        <v>1.0444444444444445</v>
      </c>
      <c r="W29" s="114">
        <f t="shared" si="9"/>
        <v>4</v>
      </c>
      <c r="X29" s="114">
        <f t="shared" si="10"/>
        <v>42</v>
      </c>
      <c r="Y29" s="114">
        <f t="shared" si="11"/>
        <v>-48</v>
      </c>
      <c r="Z29" s="115">
        <f t="shared" si="12"/>
        <v>414106000</v>
      </c>
      <c r="AA29" s="115">
        <f t="shared" si="13"/>
        <v>27106000</v>
      </c>
      <c r="AB29" s="116">
        <f t="shared" si="14"/>
        <v>1.0700413436692506</v>
      </c>
      <c r="AC29" s="117">
        <f t="shared" si="15"/>
        <v>0</v>
      </c>
      <c r="AD29" s="118">
        <f t="shared" si="16"/>
        <v>0</v>
      </c>
      <c r="AE29" s="103">
        <f>IFERROR(GETPIVOTDATA("Sum of Qty",'[1]DATA LAST MONTH IQOO'!$A$6,"ID Store",$C29),0)</f>
        <v>12</v>
      </c>
      <c r="AF29" s="119">
        <f>IFERROR(GETPIVOTDATA("Sum of Qty",[1]IQOO!$A$6,"ID Store",$C29),0)</f>
        <v>6</v>
      </c>
      <c r="AG29" s="106">
        <f t="shared" si="17"/>
        <v>-6</v>
      </c>
      <c r="AH29" s="120">
        <f t="shared" si="18"/>
        <v>-0.5</v>
      </c>
      <c r="AI29" s="121">
        <f>IFERROR(GETPIVOTDATA("Sum of Qty",'[1]DATA LAST MONTH DEVICE'!$A$6,"ID Store",$C29),0)</f>
        <v>90</v>
      </c>
      <c r="AJ29" s="122">
        <f t="shared" si="19"/>
        <v>94</v>
      </c>
      <c r="AK29" s="106">
        <f t="shared" si="20"/>
        <v>4</v>
      </c>
      <c r="AL29" s="108">
        <f t="shared" si="21"/>
        <v>4.4444444444444446E-2</v>
      </c>
      <c r="AM29" s="107">
        <f>IFERROR(GETPIVOTDATA("Sum of Qty",'[1]Store 3mio+ last month'!$A$6,"ID Store",$C29),0)</f>
        <v>90</v>
      </c>
      <c r="AN29" s="106">
        <f t="shared" si="22"/>
        <v>94</v>
      </c>
      <c r="AO29" s="106">
        <f t="shared" si="23"/>
        <v>4</v>
      </c>
      <c r="AP29" s="108">
        <f t="shared" si="24"/>
        <v>4.4444444444444446E-2</v>
      </c>
      <c r="AQ29" s="107">
        <f>IFERROR(GETPIVOTDATA("Sum of Qty",'[1]DATA LAST MONTH DEVICE'!$A$6,"ID Store",$C29,"Segment Price","3mio&gt;"),0)</f>
        <v>37</v>
      </c>
      <c r="AR29" s="109">
        <f t="shared" si="25"/>
        <v>42</v>
      </c>
      <c r="AS29" s="109">
        <f t="shared" si="26"/>
        <v>5</v>
      </c>
      <c r="AT29" s="108">
        <f t="shared" si="27"/>
        <v>0.13513513513513514</v>
      </c>
      <c r="AU29" s="123">
        <f>IFERROR(GETPIVOTDATA("Sum of SRP",'[1]DATA LAST MONTH DEVICE'!$A$6,"ID Store",$C29),0)</f>
        <v>367310000</v>
      </c>
      <c r="AV29" s="123">
        <f t="shared" si="28"/>
        <v>414106000</v>
      </c>
      <c r="AW29" s="123">
        <f t="shared" si="29"/>
        <v>46796000</v>
      </c>
      <c r="AX29" s="108">
        <f t="shared" si="30"/>
        <v>0.12740192208216494</v>
      </c>
      <c r="AY29" s="123">
        <f>IFERROR(VLOOKUP(C29,'[1]DATA SALES LAST MONTH'!A:E,5,0),0)</f>
        <v>4081222.222222222</v>
      </c>
      <c r="AZ29" s="110">
        <f t="shared" si="31"/>
        <v>4405382.978723404</v>
      </c>
      <c r="BA29" s="110">
        <f t="shared" si="32"/>
        <v>324160.75650118198</v>
      </c>
      <c r="BB29" s="120">
        <f t="shared" si="33"/>
        <v>7.9427372206328117E-2</v>
      </c>
      <c r="BC29" s="103">
        <f>IFERROR(VLOOKUP(C29,'[1]TARGET THIS MONTH'!C:U,15,0),0)</f>
        <v>18</v>
      </c>
      <c r="BD29" s="124">
        <f>IFERROR(GETPIVOTDATA("Sum of Qty",[1]ACC!$A$5,"ID Store",$C29),0)</f>
        <v>10</v>
      </c>
      <c r="BE29" s="108">
        <f t="shared" si="34"/>
        <v>0.55555555555555558</v>
      </c>
      <c r="BF29" s="125">
        <f>IFERROR(VLOOKUP(C29,'[1]TARGET THIS MONTH'!C:U,16,0),0)</f>
        <v>1548000</v>
      </c>
      <c r="BG29" s="125">
        <f>IFERROR(GETPIVOTDATA("Sum of SRP",'[1]Insurance by Store'!$A$5,"ID Store",$C29,"Product Type","Qoala"),0)</f>
        <v>1804000</v>
      </c>
      <c r="BH29" s="108">
        <f t="shared" si="35"/>
        <v>1.1653746770025839</v>
      </c>
      <c r="BI29" s="125">
        <f>IFERROR(VLOOKUP(C29,'[1]TARGET THIS MONTH'!C:U,17,0),0)</f>
        <v>387000</v>
      </c>
      <c r="BJ29" s="125">
        <f>IFERROR(GETPIVOTDATA("Sum of SRP",'[1]Insurance by Store'!$A$5,"ID Store",$C29,"Product Type","Vivo Care"),0)</f>
        <v>0</v>
      </c>
      <c r="BK29" s="108">
        <f t="shared" si="36"/>
        <v>0</v>
      </c>
      <c r="BL29" s="106">
        <f>IFERROR(VLOOKUP(C29,'[1]TARGET THIS MONTH'!C:U,18,0),0)</f>
        <v>2.7</v>
      </c>
      <c r="BM29" s="107">
        <f>IFERROR(GETPIVOTDATA("Sum of Qty",'[1]Operator by Store'!$A$5,"ID Store",$C29,"Product Type","Indosat"),0)</f>
        <v>0</v>
      </c>
      <c r="BN29" s="108">
        <f t="shared" si="37"/>
        <v>0</v>
      </c>
      <c r="BO29" s="106">
        <f>VLOOKUP(C29,'[1]TARGET THIS MONTH'!C:U,19,0)</f>
        <v>0.9</v>
      </c>
      <c r="BP29" s="107">
        <f>IFERROR(GETPIVOTDATA("Sum of Qty",'[1]Operator by Store'!$A$5,"ID Store",$C29,"Product Type","Telkomsel"),0)</f>
        <v>0</v>
      </c>
      <c r="BQ29" s="126">
        <f t="shared" si="38"/>
        <v>0</v>
      </c>
    </row>
    <row r="30" spans="1:69" x14ac:dyDescent="0.2">
      <c r="A30" s="97">
        <v>26</v>
      </c>
      <c r="B30" s="98" t="s">
        <v>73</v>
      </c>
      <c r="C30" s="99">
        <v>6240703</v>
      </c>
      <c r="D30" s="100" t="s">
        <v>81</v>
      </c>
      <c r="E30" s="127" t="s">
        <v>79</v>
      </c>
      <c r="F30" s="102">
        <v>2</v>
      </c>
      <c r="G30" s="103">
        <f>IFERROR(VLOOKUP(C30,'[1]TARGET THIS MONTH'!C:E,3,0),0)</f>
        <v>90</v>
      </c>
      <c r="H30" s="104">
        <f>IFERROR(VLOOKUP(C30,'[1]TARGET THIS MONTH'!C:M,11,0),0)</f>
        <v>387000000</v>
      </c>
      <c r="I30" s="103">
        <f>IFERROR(GETPIVOTDATA("Sum of Qty",'[1]DEVICE &amp; VALUE'!$A$6,"ID Store",$C30),0)</f>
        <v>105</v>
      </c>
      <c r="J30" s="105">
        <f t="shared" si="0"/>
        <v>1.1666666666666667</v>
      </c>
      <c r="K30" s="106">
        <f t="shared" si="1"/>
        <v>15</v>
      </c>
      <c r="L30" s="107">
        <f>IFERROR(GETPIVOTDATA("Sum of Qty",[1]PF!$A$5,"ID Store",$C30),0)</f>
        <v>22</v>
      </c>
      <c r="M30" s="107">
        <f>IFERROR(GETPIVOTDATA("Sum of Qty",'[1]DEVICE &amp; VALUE'!$A$6,"ID Store",$C30,"Segment Price","3mio&gt;"),0)</f>
        <v>49</v>
      </c>
      <c r="N30" s="108">
        <f t="shared" si="2"/>
        <v>0.46666666666666667</v>
      </c>
      <c r="O30" s="109">
        <f>IFERROR(GETPIVOTDATA("Sum of Qty",[1]IQOO!$A$6,"ID Store",$C30),0)</f>
        <v>5</v>
      </c>
      <c r="P30" s="108">
        <f t="shared" si="3"/>
        <v>4.7619047619047616E-2</v>
      </c>
      <c r="Q30" s="108">
        <f t="shared" si="4"/>
        <v>0.46666666666666667</v>
      </c>
      <c r="R30" s="110">
        <f>IFERROR(GETPIVOTDATA("Sum of SRP",'[1]DEVICE &amp; VALUE'!$A$6,"ID Store",$C30),0)</f>
        <v>432595000</v>
      </c>
      <c r="S30" s="108">
        <f t="shared" si="5"/>
        <v>1.1178165374677003</v>
      </c>
      <c r="T30" s="111">
        <f t="shared" si="6"/>
        <v>45595000</v>
      </c>
      <c r="U30" s="112">
        <f t="shared" si="7"/>
        <v>105</v>
      </c>
      <c r="V30" s="113">
        <f t="shared" si="8"/>
        <v>1.1666666666666667</v>
      </c>
      <c r="W30" s="114">
        <f t="shared" si="9"/>
        <v>15</v>
      </c>
      <c r="X30" s="114">
        <f t="shared" si="10"/>
        <v>49</v>
      </c>
      <c r="Y30" s="114">
        <f t="shared" si="11"/>
        <v>-41</v>
      </c>
      <c r="Z30" s="115">
        <f t="shared" si="12"/>
        <v>432595000</v>
      </c>
      <c r="AA30" s="115">
        <f t="shared" si="13"/>
        <v>45595000</v>
      </c>
      <c r="AB30" s="116">
        <f t="shared" si="14"/>
        <v>1.1178165374677003</v>
      </c>
      <c r="AC30" s="117">
        <f t="shared" si="15"/>
        <v>0</v>
      </c>
      <c r="AD30" s="118">
        <f t="shared" si="16"/>
        <v>0</v>
      </c>
      <c r="AE30" s="103">
        <f>IFERROR(GETPIVOTDATA("Sum of Qty",'[1]DATA LAST MONTH IQOO'!$A$6,"ID Store",$C30),0)</f>
        <v>6</v>
      </c>
      <c r="AF30" s="119">
        <f>IFERROR(GETPIVOTDATA("Sum of Qty",[1]IQOO!$A$6,"ID Store",$C30),0)</f>
        <v>5</v>
      </c>
      <c r="AG30" s="106">
        <f t="shared" si="17"/>
        <v>-1</v>
      </c>
      <c r="AH30" s="120">
        <f t="shared" si="18"/>
        <v>-0.16666666666666666</v>
      </c>
      <c r="AI30" s="121">
        <f>IFERROR(GETPIVOTDATA("Sum of Qty",'[1]DATA LAST MONTH DEVICE'!$A$6,"ID Store",$C30),0)</f>
        <v>63</v>
      </c>
      <c r="AJ30" s="122">
        <f t="shared" si="19"/>
        <v>105</v>
      </c>
      <c r="AK30" s="106">
        <f t="shared" si="20"/>
        <v>42</v>
      </c>
      <c r="AL30" s="108">
        <f t="shared" si="21"/>
        <v>0.66666666666666663</v>
      </c>
      <c r="AM30" s="107">
        <f>IFERROR(GETPIVOTDATA("Sum of Qty",'[1]Store 3mio+ last month'!$A$6,"ID Store",$C30),0)</f>
        <v>63</v>
      </c>
      <c r="AN30" s="106">
        <f t="shared" si="22"/>
        <v>105</v>
      </c>
      <c r="AO30" s="106">
        <f t="shared" si="23"/>
        <v>42</v>
      </c>
      <c r="AP30" s="108">
        <f t="shared" si="24"/>
        <v>0.66666666666666663</v>
      </c>
      <c r="AQ30" s="107">
        <f>IFERROR(GETPIVOTDATA("Sum of Qty",'[1]DATA LAST MONTH DEVICE'!$A$6,"ID Store",$C30,"Segment Price","3mio&gt;"),0)</f>
        <v>30</v>
      </c>
      <c r="AR30" s="109">
        <f t="shared" si="25"/>
        <v>49</v>
      </c>
      <c r="AS30" s="109">
        <f t="shared" si="26"/>
        <v>19</v>
      </c>
      <c r="AT30" s="108">
        <f t="shared" si="27"/>
        <v>0.6333333333333333</v>
      </c>
      <c r="AU30" s="123">
        <f>IFERROR(GETPIVOTDATA("Sum of SRP",'[1]DATA LAST MONTH DEVICE'!$A$6,"ID Store",$C30),0)</f>
        <v>298937000</v>
      </c>
      <c r="AV30" s="123">
        <f t="shared" si="28"/>
        <v>432595000</v>
      </c>
      <c r="AW30" s="123">
        <f t="shared" si="29"/>
        <v>133658000</v>
      </c>
      <c r="AX30" s="108">
        <f t="shared" si="30"/>
        <v>0.44711092972766836</v>
      </c>
      <c r="AY30" s="123">
        <f>IFERROR(VLOOKUP(C30,'[1]DATA SALES LAST MONTH'!A:E,5,0),0)</f>
        <v>4745031.7460317463</v>
      </c>
      <c r="AZ30" s="110">
        <f t="shared" si="31"/>
        <v>4119952.3809523811</v>
      </c>
      <c r="BA30" s="110">
        <f t="shared" si="32"/>
        <v>-625079.36507936521</v>
      </c>
      <c r="BB30" s="120">
        <f t="shared" si="33"/>
        <v>-0.13173344216339899</v>
      </c>
      <c r="BC30" s="103">
        <f>IFERROR(VLOOKUP(C30,'[1]TARGET THIS MONTH'!C:U,15,0),0)</f>
        <v>18</v>
      </c>
      <c r="BD30" s="124">
        <f>IFERROR(GETPIVOTDATA("Sum of Qty",[1]ACC!$A$5,"ID Store",$C30),0)</f>
        <v>12</v>
      </c>
      <c r="BE30" s="108">
        <f t="shared" si="34"/>
        <v>0.66666666666666663</v>
      </c>
      <c r="BF30" s="125">
        <f>IFERROR(VLOOKUP(C30,'[1]TARGET THIS MONTH'!C:U,16,0),0)</f>
        <v>1548000</v>
      </c>
      <c r="BG30" s="125">
        <f>IFERROR(GETPIVOTDATA("Sum of SRP",'[1]Insurance by Store'!$A$5,"ID Store",$C30,"Product Type","Qoala"),0)</f>
        <v>2132000</v>
      </c>
      <c r="BH30" s="108">
        <f t="shared" si="35"/>
        <v>1.3772609819121446</v>
      </c>
      <c r="BI30" s="125">
        <f>IFERROR(VLOOKUP(C30,'[1]TARGET THIS MONTH'!C:U,17,0),0)</f>
        <v>387000</v>
      </c>
      <c r="BJ30" s="125">
        <f>IFERROR(GETPIVOTDATA("Sum of SRP",'[1]Insurance by Store'!$A$5,"ID Store",$C30,"Product Type","Vivo Care"),0)</f>
        <v>0</v>
      </c>
      <c r="BK30" s="108">
        <f t="shared" si="36"/>
        <v>0</v>
      </c>
      <c r="BL30" s="106">
        <f>IFERROR(VLOOKUP(C30,'[1]TARGET THIS MONTH'!C:U,18,0),0)</f>
        <v>2.7</v>
      </c>
      <c r="BM30" s="107">
        <f>IFERROR(GETPIVOTDATA("Sum of Qty",'[1]Operator by Store'!$A$5,"ID Store",$C30,"Product Type","Indosat"),0)</f>
        <v>0</v>
      </c>
      <c r="BN30" s="108">
        <f t="shared" si="37"/>
        <v>0</v>
      </c>
      <c r="BO30" s="106">
        <f>VLOOKUP(C30,'[1]TARGET THIS MONTH'!C:U,19,0)</f>
        <v>0.9</v>
      </c>
      <c r="BP30" s="107">
        <f>IFERROR(GETPIVOTDATA("Sum of Qty",'[1]Operator by Store'!$A$5,"ID Store",$C30,"Product Type","Telkomsel"),0)</f>
        <v>0</v>
      </c>
      <c r="BQ30" s="126">
        <f t="shared" si="38"/>
        <v>0</v>
      </c>
    </row>
    <row r="31" spans="1:69" x14ac:dyDescent="0.2">
      <c r="A31" s="97">
        <v>27</v>
      </c>
      <c r="B31" s="98" t="s">
        <v>73</v>
      </c>
      <c r="C31" s="99">
        <v>6170703</v>
      </c>
      <c r="D31" s="100" t="s">
        <v>82</v>
      </c>
      <c r="E31" s="128" t="s">
        <v>83</v>
      </c>
      <c r="F31" s="102">
        <v>2</v>
      </c>
      <c r="G31" s="103">
        <f>IFERROR(VLOOKUP(C31,'[1]TARGET THIS MONTH'!C:E,3,0),0)</f>
        <v>40</v>
      </c>
      <c r="H31" s="104">
        <f>IFERROR(VLOOKUP(C31,'[1]TARGET THIS MONTH'!C:M,11,0),0)</f>
        <v>172000000</v>
      </c>
      <c r="I31" s="103">
        <f>IFERROR(GETPIVOTDATA("Sum of Qty",'[1]DEVICE &amp; VALUE'!$A$6,"ID Store",$C31),0)</f>
        <v>30</v>
      </c>
      <c r="J31" s="105">
        <f t="shared" si="0"/>
        <v>0.75</v>
      </c>
      <c r="K31" s="106">
        <f t="shared" si="1"/>
        <v>-10</v>
      </c>
      <c r="L31" s="107">
        <f>IFERROR(GETPIVOTDATA("Sum of Qty",[1]PF!$A$5,"ID Store",$C31),0)</f>
        <v>2</v>
      </c>
      <c r="M31" s="107">
        <f>IFERROR(GETPIVOTDATA("Sum of Qty",'[1]DEVICE &amp; VALUE'!$A$6,"ID Store",$C31,"Segment Price","3mio&gt;"),0)</f>
        <v>20</v>
      </c>
      <c r="N31" s="108">
        <f t="shared" si="2"/>
        <v>0.66666666666666663</v>
      </c>
      <c r="O31" s="109">
        <f>IFERROR(GETPIVOTDATA("Sum of Qty",[1]IQOO!$A$6,"ID Store",$C31),0)</f>
        <v>6</v>
      </c>
      <c r="P31" s="108">
        <f t="shared" si="3"/>
        <v>0.2</v>
      </c>
      <c r="Q31" s="108">
        <f t="shared" si="4"/>
        <v>0.66666666666666663</v>
      </c>
      <c r="R31" s="110">
        <f>IFERROR(GETPIVOTDATA("Sum of SRP",'[1]DEVICE &amp; VALUE'!$A$6,"ID Store",$C31),0)</f>
        <v>178770000</v>
      </c>
      <c r="S31" s="108">
        <f t="shared" si="5"/>
        <v>1.0393604651162791</v>
      </c>
      <c r="T31" s="111">
        <f t="shared" si="6"/>
        <v>6770000</v>
      </c>
      <c r="U31" s="112">
        <f t="shared" si="7"/>
        <v>30</v>
      </c>
      <c r="V31" s="113">
        <f t="shared" si="8"/>
        <v>0.75</v>
      </c>
      <c r="W31" s="114">
        <f t="shared" si="9"/>
        <v>-10</v>
      </c>
      <c r="X31" s="114">
        <f t="shared" si="10"/>
        <v>20</v>
      </c>
      <c r="Y31" s="114">
        <f t="shared" si="11"/>
        <v>-20</v>
      </c>
      <c r="Z31" s="115">
        <f t="shared" si="12"/>
        <v>178770000</v>
      </c>
      <c r="AA31" s="115">
        <f t="shared" si="13"/>
        <v>6770000</v>
      </c>
      <c r="AB31" s="116">
        <f t="shared" si="14"/>
        <v>1.0393604651162791</v>
      </c>
      <c r="AC31" s="117">
        <f t="shared" si="15"/>
        <v>0</v>
      </c>
      <c r="AD31" s="118">
        <f t="shared" si="16"/>
        <v>0</v>
      </c>
      <c r="AE31" s="103">
        <f>IFERROR(GETPIVOTDATA("Sum of Qty",'[1]DATA LAST MONTH IQOO'!$A$6,"ID Store",$C31),0)</f>
        <v>7</v>
      </c>
      <c r="AF31" s="119">
        <f>IFERROR(GETPIVOTDATA("Sum of Qty",[1]IQOO!$A$6,"ID Store",$C31),0)</f>
        <v>6</v>
      </c>
      <c r="AG31" s="106">
        <f t="shared" si="17"/>
        <v>-1</v>
      </c>
      <c r="AH31" s="120">
        <f t="shared" si="18"/>
        <v>-0.14285714285714285</v>
      </c>
      <c r="AI31" s="121">
        <f>IFERROR(GETPIVOTDATA("Sum of Qty",'[1]DATA LAST MONTH DEVICE'!$A$6,"ID Store",$C31),0)</f>
        <v>20</v>
      </c>
      <c r="AJ31" s="122">
        <f t="shared" si="19"/>
        <v>30</v>
      </c>
      <c r="AK31" s="106">
        <f t="shared" si="20"/>
        <v>10</v>
      </c>
      <c r="AL31" s="108">
        <f t="shared" si="21"/>
        <v>0.5</v>
      </c>
      <c r="AM31" s="107">
        <f>IFERROR(GETPIVOTDATA("Sum of Qty",'[1]Store 3mio+ last month'!$A$6,"ID Store",$C31),0)</f>
        <v>20</v>
      </c>
      <c r="AN31" s="106">
        <f t="shared" si="22"/>
        <v>30</v>
      </c>
      <c r="AO31" s="106">
        <f t="shared" si="23"/>
        <v>10</v>
      </c>
      <c r="AP31" s="108">
        <f t="shared" si="24"/>
        <v>0.5</v>
      </c>
      <c r="AQ31" s="107">
        <f>IFERROR(GETPIVOTDATA("Sum of Qty",'[1]DATA LAST MONTH DEVICE'!$A$6,"ID Store",$C31,"Segment Price","3mio&gt;"),0)</f>
        <v>12</v>
      </c>
      <c r="AR31" s="109">
        <f t="shared" si="25"/>
        <v>20</v>
      </c>
      <c r="AS31" s="109">
        <f t="shared" si="26"/>
        <v>8</v>
      </c>
      <c r="AT31" s="108">
        <f t="shared" si="27"/>
        <v>0.66666666666666663</v>
      </c>
      <c r="AU31" s="123">
        <f>IFERROR(GETPIVOTDATA("Sum of SRP",'[1]DATA LAST MONTH DEVICE'!$A$6,"ID Store",$C31),0)</f>
        <v>86480000</v>
      </c>
      <c r="AV31" s="123">
        <f t="shared" si="28"/>
        <v>178770000</v>
      </c>
      <c r="AW31" s="123">
        <f t="shared" si="29"/>
        <v>92290000</v>
      </c>
      <c r="AX31" s="108">
        <f t="shared" si="30"/>
        <v>1.0671831637372804</v>
      </c>
      <c r="AY31" s="123">
        <f>IFERROR(VLOOKUP(C31,'[1]DATA SALES LAST MONTH'!A:E,5,0),0)</f>
        <v>4324000</v>
      </c>
      <c r="AZ31" s="110">
        <f t="shared" si="31"/>
        <v>5959000</v>
      </c>
      <c r="BA31" s="110">
        <f t="shared" si="32"/>
        <v>1635000</v>
      </c>
      <c r="BB31" s="120">
        <f t="shared" si="33"/>
        <v>0.37812210915818684</v>
      </c>
      <c r="BC31" s="103">
        <f>IFERROR(VLOOKUP(C31,'[1]TARGET THIS MONTH'!C:U,15,0),0)</f>
        <v>8</v>
      </c>
      <c r="BD31" s="124">
        <f>IFERROR(GETPIVOTDATA("Sum of Qty",[1]ACC!$A$5,"ID Store",$C31),0)</f>
        <v>1</v>
      </c>
      <c r="BE31" s="108">
        <f t="shared" si="34"/>
        <v>0.125</v>
      </c>
      <c r="BF31" s="125">
        <f>IFERROR(VLOOKUP(C31,'[1]TARGET THIS MONTH'!C:U,16,0),0)</f>
        <v>200000</v>
      </c>
      <c r="BG31" s="125">
        <f>IFERROR(GETPIVOTDATA("Sum of SRP",'[1]Insurance by Store'!$A$5,"ID Store",$C31,"Product Type","Qoala"),0)</f>
        <v>329000</v>
      </c>
      <c r="BH31" s="108">
        <f t="shared" si="35"/>
        <v>1.645</v>
      </c>
      <c r="BI31" s="125">
        <f>IFERROR(VLOOKUP(C31,'[1]TARGET THIS MONTH'!C:U,17,0),0)</f>
        <v>100000</v>
      </c>
      <c r="BJ31" s="125">
        <f>IFERROR(GETPIVOTDATA("Sum of SRP",'[1]Insurance by Store'!$A$5,"ID Store",$C31,"Product Type","Vivo Care"),0)</f>
        <v>0</v>
      </c>
      <c r="BK31" s="108">
        <f t="shared" si="36"/>
        <v>0</v>
      </c>
      <c r="BL31" s="106">
        <f>IFERROR(VLOOKUP(C31,'[1]TARGET THIS MONTH'!C:U,18,0),0)</f>
        <v>1.2</v>
      </c>
      <c r="BM31" s="107">
        <f>IFERROR(GETPIVOTDATA("Sum of Qty",'[1]Operator by Store'!$A$5,"ID Store",$C31,"Product Type","Indosat"),0)</f>
        <v>0</v>
      </c>
      <c r="BN31" s="108">
        <f t="shared" si="37"/>
        <v>0</v>
      </c>
      <c r="BO31" s="106">
        <f>VLOOKUP(C31,'[1]TARGET THIS MONTH'!C:U,19,0)</f>
        <v>0.4</v>
      </c>
      <c r="BP31" s="107">
        <f>IFERROR(GETPIVOTDATA("Sum of Qty",'[1]Operator by Store'!$A$5,"ID Store",$C31,"Product Type","Telkomsel"),0)</f>
        <v>0</v>
      </c>
      <c r="BQ31" s="126">
        <f t="shared" si="38"/>
        <v>0</v>
      </c>
    </row>
    <row r="32" spans="1:69" x14ac:dyDescent="0.2">
      <c r="A32" s="97">
        <v>28</v>
      </c>
      <c r="B32" s="98" t="s">
        <v>73</v>
      </c>
      <c r="C32" s="99">
        <v>6240705</v>
      </c>
      <c r="D32" s="100" t="s">
        <v>84</v>
      </c>
      <c r="E32" s="127" t="s">
        <v>85</v>
      </c>
      <c r="F32" s="102">
        <v>2</v>
      </c>
      <c r="G32" s="103">
        <f>IFERROR(VLOOKUP(C32,'[1]TARGET THIS MONTH'!C:E,3,0),0)</f>
        <v>40</v>
      </c>
      <c r="H32" s="104">
        <f>IFERROR(VLOOKUP(C32,'[1]TARGET THIS MONTH'!C:M,11,0),0)</f>
        <v>160000000</v>
      </c>
      <c r="I32" s="103">
        <f>IFERROR(GETPIVOTDATA("Sum of Qty",'[1]DEVICE &amp; VALUE'!$A$6,"ID Store",$C32),0)</f>
        <v>38</v>
      </c>
      <c r="J32" s="105">
        <f t="shared" si="0"/>
        <v>0.95</v>
      </c>
      <c r="K32" s="106">
        <f t="shared" si="1"/>
        <v>-2</v>
      </c>
      <c r="L32" s="107">
        <f>IFERROR(GETPIVOTDATA("Sum of Qty",[1]PF!$A$5,"ID Store",$C32),0)</f>
        <v>8</v>
      </c>
      <c r="M32" s="107">
        <f>IFERROR(GETPIVOTDATA("Sum of Qty",'[1]DEVICE &amp; VALUE'!$A$6,"ID Store",$C32,"Segment Price","3mio&gt;"),0)</f>
        <v>22</v>
      </c>
      <c r="N32" s="108">
        <f t="shared" si="2"/>
        <v>0.57894736842105265</v>
      </c>
      <c r="O32" s="109">
        <f>IFERROR(GETPIVOTDATA("Sum of Qty",[1]IQOO!$A$6,"ID Store",$C32),0)</f>
        <v>6</v>
      </c>
      <c r="P32" s="108">
        <f t="shared" si="3"/>
        <v>0.15789473684210525</v>
      </c>
      <c r="Q32" s="108">
        <f t="shared" si="4"/>
        <v>0.57894736842105265</v>
      </c>
      <c r="R32" s="110">
        <f>IFERROR(GETPIVOTDATA("Sum of SRP",'[1]DEVICE &amp; VALUE'!$A$6,"ID Store",$C32),0)</f>
        <v>180262000</v>
      </c>
      <c r="S32" s="108">
        <f t="shared" si="5"/>
        <v>1.1266375</v>
      </c>
      <c r="T32" s="111">
        <f t="shared" si="6"/>
        <v>20262000</v>
      </c>
      <c r="U32" s="112">
        <f t="shared" si="7"/>
        <v>38</v>
      </c>
      <c r="V32" s="113">
        <f t="shared" si="8"/>
        <v>0.95</v>
      </c>
      <c r="W32" s="114">
        <f t="shared" si="9"/>
        <v>-2</v>
      </c>
      <c r="X32" s="114">
        <f t="shared" si="10"/>
        <v>22</v>
      </c>
      <c r="Y32" s="114">
        <f t="shared" si="11"/>
        <v>-18</v>
      </c>
      <c r="Z32" s="115">
        <f t="shared" si="12"/>
        <v>180262000</v>
      </c>
      <c r="AA32" s="115">
        <f t="shared" si="13"/>
        <v>20262000</v>
      </c>
      <c r="AB32" s="116">
        <f t="shared" si="14"/>
        <v>1.1266375</v>
      </c>
      <c r="AC32" s="117">
        <f t="shared" si="15"/>
        <v>0</v>
      </c>
      <c r="AD32" s="118">
        <f t="shared" si="16"/>
        <v>0</v>
      </c>
      <c r="AE32" s="103">
        <f>IFERROR(GETPIVOTDATA("Sum of Qty",'[1]DATA LAST MONTH IQOO'!$A$6,"ID Store",$C32),0)</f>
        <v>7</v>
      </c>
      <c r="AF32" s="119">
        <f>IFERROR(GETPIVOTDATA("Sum of Qty",[1]IQOO!$A$6,"ID Store",$C32),0)</f>
        <v>6</v>
      </c>
      <c r="AG32" s="106">
        <f t="shared" si="17"/>
        <v>-1</v>
      </c>
      <c r="AH32" s="120">
        <f t="shared" si="18"/>
        <v>-0.14285714285714285</v>
      </c>
      <c r="AI32" s="121">
        <f>IFERROR(GETPIVOTDATA("Sum of Qty",'[1]DATA LAST MONTH DEVICE'!$A$6,"ID Store",$C32),0)</f>
        <v>31</v>
      </c>
      <c r="AJ32" s="122">
        <f t="shared" si="19"/>
        <v>38</v>
      </c>
      <c r="AK32" s="106">
        <f t="shared" si="20"/>
        <v>7</v>
      </c>
      <c r="AL32" s="108">
        <f t="shared" si="21"/>
        <v>0.22580645161290322</v>
      </c>
      <c r="AM32" s="107">
        <f>IFERROR(GETPIVOTDATA("Sum of Qty",'[1]Store 3mio+ last month'!$A$6,"ID Store",$C32),0)</f>
        <v>31</v>
      </c>
      <c r="AN32" s="106">
        <f t="shared" si="22"/>
        <v>38</v>
      </c>
      <c r="AO32" s="106">
        <f t="shared" si="23"/>
        <v>7</v>
      </c>
      <c r="AP32" s="108">
        <f t="shared" si="24"/>
        <v>0.22580645161290322</v>
      </c>
      <c r="AQ32" s="107">
        <f>IFERROR(GETPIVOTDATA("Sum of Qty",'[1]DATA LAST MONTH DEVICE'!$A$6,"ID Store",$C32,"Segment Price","3mio&gt;"),0)</f>
        <v>14</v>
      </c>
      <c r="AR32" s="109">
        <f t="shared" si="25"/>
        <v>22</v>
      </c>
      <c r="AS32" s="109">
        <f t="shared" si="26"/>
        <v>8</v>
      </c>
      <c r="AT32" s="108">
        <f t="shared" si="27"/>
        <v>0.5714285714285714</v>
      </c>
      <c r="AU32" s="123">
        <f>IFERROR(GETPIVOTDATA("Sum of SRP",'[1]DATA LAST MONTH DEVICE'!$A$6,"ID Store",$C32),0)</f>
        <v>151169000</v>
      </c>
      <c r="AV32" s="123">
        <f t="shared" si="28"/>
        <v>180262000</v>
      </c>
      <c r="AW32" s="123">
        <f t="shared" si="29"/>
        <v>29093000</v>
      </c>
      <c r="AX32" s="108">
        <f t="shared" si="30"/>
        <v>0.19245347921862285</v>
      </c>
      <c r="AY32" s="123">
        <f>IFERROR(VLOOKUP(C32,'[1]DATA SALES LAST MONTH'!A:E,5,0),0)</f>
        <v>4876419.3548387093</v>
      </c>
      <c r="AZ32" s="110">
        <f t="shared" si="31"/>
        <v>4743736.8421052629</v>
      </c>
      <c r="BA32" s="110">
        <f t="shared" si="32"/>
        <v>-132682.51273344643</v>
      </c>
      <c r="BB32" s="120">
        <f t="shared" si="33"/>
        <v>-2.7209003795333961E-2</v>
      </c>
      <c r="BC32" s="103">
        <f>IFERROR(VLOOKUP(C32,'[1]TARGET THIS MONTH'!C:U,15,0),0)</f>
        <v>8</v>
      </c>
      <c r="BD32" s="124">
        <f>IFERROR(GETPIVOTDATA("Sum of Qty",[1]ACC!$A$5,"ID Store",$C32),0)</f>
        <v>7</v>
      </c>
      <c r="BE32" s="108">
        <f t="shared" si="34"/>
        <v>0.875</v>
      </c>
      <c r="BF32" s="125">
        <f>IFERROR(VLOOKUP(C32,'[1]TARGET THIS MONTH'!C:U,16,0),0)</f>
        <v>100000</v>
      </c>
      <c r="BG32" s="125">
        <f>IFERROR(GETPIVOTDATA("Sum of SRP",'[1]Insurance by Store'!$A$5,"ID Store",$C32,"Product Type","Qoala"),0)</f>
        <v>0</v>
      </c>
      <c r="BH32" s="108">
        <f t="shared" si="35"/>
        <v>0</v>
      </c>
      <c r="BI32" s="125">
        <f>IFERROR(VLOOKUP(C32,'[1]TARGET THIS MONTH'!C:U,17,0),0)</f>
        <v>50000</v>
      </c>
      <c r="BJ32" s="125">
        <f>IFERROR(GETPIVOTDATA("Sum of SRP",'[1]Insurance by Store'!$A$5,"ID Store",$C32,"Product Type","Vivo Care"),0)</f>
        <v>0</v>
      </c>
      <c r="BK32" s="108">
        <f t="shared" si="36"/>
        <v>0</v>
      </c>
      <c r="BL32" s="106">
        <f>IFERROR(VLOOKUP(C32,'[1]TARGET THIS MONTH'!C:U,18,0),0)</f>
        <v>1.2</v>
      </c>
      <c r="BM32" s="107">
        <f>IFERROR(GETPIVOTDATA("Sum of Qty",'[1]Operator by Store'!$A$5,"ID Store",$C32,"Product Type","Indosat"),0)</f>
        <v>0</v>
      </c>
      <c r="BN32" s="108">
        <f t="shared" si="37"/>
        <v>0</v>
      </c>
      <c r="BO32" s="106">
        <f>VLOOKUP(C32,'[1]TARGET THIS MONTH'!C:U,19,0)</f>
        <v>0.4</v>
      </c>
      <c r="BP32" s="107">
        <f>IFERROR(GETPIVOTDATA("Sum of Qty",'[1]Operator by Store'!$A$5,"ID Store",$C32,"Product Type","Telkomsel"),0)</f>
        <v>0</v>
      </c>
      <c r="BQ32" s="126">
        <f t="shared" si="38"/>
        <v>0</v>
      </c>
    </row>
    <row r="33" spans="1:69" x14ac:dyDescent="0.2">
      <c r="A33" s="97">
        <v>29</v>
      </c>
      <c r="B33" s="98" t="s">
        <v>73</v>
      </c>
      <c r="C33" s="99">
        <v>6240709</v>
      </c>
      <c r="D33" s="100" t="s">
        <v>86</v>
      </c>
      <c r="E33" s="129" t="s">
        <v>87</v>
      </c>
      <c r="F33" s="102">
        <v>2</v>
      </c>
      <c r="G33" s="103">
        <f>IFERROR(VLOOKUP(C33,'[1]TARGET THIS MONTH'!C:E,3,0),0)</f>
        <v>30</v>
      </c>
      <c r="H33" s="104">
        <f>IFERROR(VLOOKUP(C33,'[1]TARGET THIS MONTH'!C:M,11,0),0)</f>
        <v>135000000</v>
      </c>
      <c r="I33" s="103">
        <f>IFERROR(GETPIVOTDATA("Sum of Qty",'[1]DEVICE &amp; VALUE'!$A$6,"ID Store",$C33),0)</f>
        <v>20</v>
      </c>
      <c r="J33" s="105">
        <f t="shared" si="0"/>
        <v>0.66666666666666663</v>
      </c>
      <c r="K33" s="106">
        <f t="shared" si="1"/>
        <v>-10</v>
      </c>
      <c r="L33" s="107">
        <f>IFERROR(GETPIVOTDATA("Sum of Qty",[1]PF!$A$5,"ID Store",$C33),0)</f>
        <v>3</v>
      </c>
      <c r="M33" s="107">
        <f>IFERROR(GETPIVOTDATA("Sum of Qty",'[1]DEVICE &amp; VALUE'!$A$6,"ID Store",$C33,"Segment Price","3mio&gt;"),0)</f>
        <v>14</v>
      </c>
      <c r="N33" s="108">
        <f t="shared" si="2"/>
        <v>0.7</v>
      </c>
      <c r="O33" s="109">
        <f>IFERROR(GETPIVOTDATA("Sum of Qty",[1]IQOO!$A$6,"ID Store",$C33),0)</f>
        <v>3</v>
      </c>
      <c r="P33" s="108">
        <f t="shared" si="3"/>
        <v>0.15</v>
      </c>
      <c r="Q33" s="108">
        <f t="shared" si="4"/>
        <v>0.7</v>
      </c>
      <c r="R33" s="110">
        <f>IFERROR(GETPIVOTDATA("Sum of SRP",'[1]DEVICE &amp; VALUE'!$A$6,"ID Store",$C33),0)</f>
        <v>115880000</v>
      </c>
      <c r="S33" s="108">
        <f t="shared" si="5"/>
        <v>0.85837037037037034</v>
      </c>
      <c r="T33" s="111">
        <f t="shared" si="6"/>
        <v>-19120000</v>
      </c>
      <c r="U33" s="112">
        <f t="shared" si="7"/>
        <v>20</v>
      </c>
      <c r="V33" s="113">
        <f t="shared" si="8"/>
        <v>0.66666666666666663</v>
      </c>
      <c r="W33" s="114">
        <f t="shared" si="9"/>
        <v>-10</v>
      </c>
      <c r="X33" s="114">
        <f t="shared" si="10"/>
        <v>14</v>
      </c>
      <c r="Y33" s="114">
        <f t="shared" si="11"/>
        <v>-16</v>
      </c>
      <c r="Z33" s="115">
        <f t="shared" si="12"/>
        <v>115880000</v>
      </c>
      <c r="AA33" s="115">
        <f t="shared" si="13"/>
        <v>-19120000</v>
      </c>
      <c r="AB33" s="116">
        <f t="shared" si="14"/>
        <v>0.85837037037037034</v>
      </c>
      <c r="AC33" s="117">
        <f t="shared" si="15"/>
        <v>0</v>
      </c>
      <c r="AD33" s="118">
        <f t="shared" si="16"/>
        <v>0</v>
      </c>
      <c r="AE33" s="103">
        <f>IFERROR(GETPIVOTDATA("Sum of Qty",'[1]DATA LAST MONTH IQOO'!$A$6,"ID Store",$C33),0)</f>
        <v>3</v>
      </c>
      <c r="AF33" s="119">
        <f>IFERROR(GETPIVOTDATA("Sum of Qty",[1]IQOO!$A$6,"ID Store",$C33),0)</f>
        <v>3</v>
      </c>
      <c r="AG33" s="106">
        <f t="shared" si="17"/>
        <v>0</v>
      </c>
      <c r="AH33" s="120">
        <f t="shared" si="18"/>
        <v>0</v>
      </c>
      <c r="AI33" s="121">
        <f>IFERROR(GETPIVOTDATA("Sum of Qty",'[1]DATA LAST MONTH DEVICE'!$A$6,"ID Store",$C33),0)</f>
        <v>20</v>
      </c>
      <c r="AJ33" s="122">
        <f t="shared" si="19"/>
        <v>20</v>
      </c>
      <c r="AK33" s="106">
        <f t="shared" si="20"/>
        <v>0</v>
      </c>
      <c r="AL33" s="108">
        <f t="shared" si="21"/>
        <v>0</v>
      </c>
      <c r="AM33" s="107">
        <f>IFERROR(GETPIVOTDATA("Sum of Qty",'[1]Store 3mio+ last month'!$A$6,"ID Store",$C33),0)</f>
        <v>20</v>
      </c>
      <c r="AN33" s="106">
        <f t="shared" si="22"/>
        <v>20</v>
      </c>
      <c r="AO33" s="106">
        <f t="shared" si="23"/>
        <v>0</v>
      </c>
      <c r="AP33" s="108">
        <f t="shared" si="24"/>
        <v>0</v>
      </c>
      <c r="AQ33" s="107">
        <f>IFERROR(GETPIVOTDATA("Sum of Qty",'[1]DATA LAST MONTH DEVICE'!$A$6,"ID Store",$C33,"Segment Price","3mio&gt;"),0)</f>
        <v>11</v>
      </c>
      <c r="AR33" s="109">
        <f t="shared" si="25"/>
        <v>14</v>
      </c>
      <c r="AS33" s="109">
        <f t="shared" si="26"/>
        <v>3</v>
      </c>
      <c r="AT33" s="108">
        <f t="shared" si="27"/>
        <v>0.27272727272727271</v>
      </c>
      <c r="AU33" s="123">
        <f>IFERROR(GETPIVOTDATA("Sum of SRP",'[1]DATA LAST MONTH DEVICE'!$A$6,"ID Store",$C33),0)</f>
        <v>96280000</v>
      </c>
      <c r="AV33" s="123">
        <f t="shared" si="28"/>
        <v>115880000</v>
      </c>
      <c r="AW33" s="123">
        <f t="shared" si="29"/>
        <v>19600000</v>
      </c>
      <c r="AX33" s="108">
        <f t="shared" si="30"/>
        <v>0.20357291233901123</v>
      </c>
      <c r="AY33" s="123">
        <f>IFERROR(VLOOKUP(C33,'[1]DATA SALES LAST MONTH'!A:E,5,0),0)</f>
        <v>4814000</v>
      </c>
      <c r="AZ33" s="110">
        <f t="shared" si="31"/>
        <v>5794000</v>
      </c>
      <c r="BA33" s="110">
        <f t="shared" si="32"/>
        <v>980000</v>
      </c>
      <c r="BB33" s="120">
        <f t="shared" si="33"/>
        <v>0.20357291233901123</v>
      </c>
      <c r="BC33" s="103">
        <f>IFERROR(VLOOKUP(C33,'[1]TARGET THIS MONTH'!C:U,15,0),0)</f>
        <v>6</v>
      </c>
      <c r="BD33" s="124">
        <f>IFERROR(GETPIVOTDATA("Sum of Qty",[1]ACC!$A$5,"ID Store",$C33),0)</f>
        <v>0</v>
      </c>
      <c r="BE33" s="108">
        <f t="shared" si="34"/>
        <v>0</v>
      </c>
      <c r="BF33" s="125">
        <f>IFERROR(VLOOKUP(C33,'[1]TARGET THIS MONTH'!C:U,16,0),0)</f>
        <v>540000</v>
      </c>
      <c r="BG33" s="125">
        <f>IFERROR(GETPIVOTDATA("Sum of SRP",'[1]Insurance by Store'!$A$5,"ID Store",$C33,"Product Type","Qoala"),0)</f>
        <v>828000</v>
      </c>
      <c r="BH33" s="108">
        <f t="shared" si="35"/>
        <v>1.5333333333333334</v>
      </c>
      <c r="BI33" s="125">
        <f>IFERROR(VLOOKUP(C33,'[1]TARGET THIS MONTH'!C:U,17,0),0)</f>
        <v>135000</v>
      </c>
      <c r="BJ33" s="125">
        <f>IFERROR(GETPIVOTDATA("Sum of SRP",'[1]Insurance by Store'!$A$5,"ID Store",$C33,"Product Type","Vivo Care"),0)</f>
        <v>0</v>
      </c>
      <c r="BK33" s="108">
        <f t="shared" si="36"/>
        <v>0</v>
      </c>
      <c r="BL33" s="106">
        <f>IFERROR(VLOOKUP(C33,'[1]TARGET THIS MONTH'!C:U,18,0),0)</f>
        <v>0.9</v>
      </c>
      <c r="BM33" s="107">
        <f>IFERROR(GETPIVOTDATA("Sum of Qty",'[1]Operator by Store'!$A$5,"ID Store",$C33,"Product Type","Indosat"),0)</f>
        <v>0</v>
      </c>
      <c r="BN33" s="108">
        <f t="shared" si="37"/>
        <v>0</v>
      </c>
      <c r="BO33" s="106">
        <f>VLOOKUP(C33,'[1]TARGET THIS MONTH'!C:U,19,0)</f>
        <v>0.3</v>
      </c>
      <c r="BP33" s="107">
        <f>IFERROR(GETPIVOTDATA("Sum of Qty",'[1]Operator by Store'!$A$5,"ID Store",$C33,"Product Type","Telkomsel"),0)</f>
        <v>0</v>
      </c>
      <c r="BQ33" s="126">
        <f t="shared" si="38"/>
        <v>0</v>
      </c>
    </row>
    <row r="34" spans="1:69" x14ac:dyDescent="0.2">
      <c r="A34" s="97">
        <v>30</v>
      </c>
      <c r="B34" s="98" t="s">
        <v>73</v>
      </c>
      <c r="C34" s="99">
        <v>6240708</v>
      </c>
      <c r="D34" s="100" t="s">
        <v>88</v>
      </c>
      <c r="E34" s="129" t="s">
        <v>87</v>
      </c>
      <c r="F34" s="102">
        <v>2</v>
      </c>
      <c r="G34" s="103">
        <f>IFERROR(VLOOKUP(C34,'[1]TARGET THIS MONTH'!C:E,3,0),0)</f>
        <v>30</v>
      </c>
      <c r="H34" s="104">
        <f>IFERROR(VLOOKUP(C34,'[1]TARGET THIS MONTH'!C:M,11,0),0)</f>
        <v>135000000</v>
      </c>
      <c r="I34" s="103">
        <f>IFERROR(GETPIVOTDATA("Sum of Qty",'[1]DEVICE &amp; VALUE'!$A$6,"ID Store",$C34),0)</f>
        <v>40</v>
      </c>
      <c r="J34" s="105">
        <f t="shared" si="0"/>
        <v>1.3333333333333333</v>
      </c>
      <c r="K34" s="106">
        <f t="shared" si="1"/>
        <v>10</v>
      </c>
      <c r="L34" s="107">
        <f>IFERROR(GETPIVOTDATA("Sum of Qty",[1]PF!$A$5,"ID Store",$C34),0)</f>
        <v>8</v>
      </c>
      <c r="M34" s="107">
        <f>IFERROR(GETPIVOTDATA("Sum of Qty",'[1]DEVICE &amp; VALUE'!$A$6,"ID Store",$C34,"Segment Price","3mio&gt;"),0)</f>
        <v>25</v>
      </c>
      <c r="N34" s="108">
        <f t="shared" si="2"/>
        <v>0.625</v>
      </c>
      <c r="O34" s="109">
        <f>IFERROR(GETPIVOTDATA("Sum of Qty",[1]IQOO!$A$6,"ID Store",$C34),0)</f>
        <v>3</v>
      </c>
      <c r="P34" s="108">
        <f t="shared" si="3"/>
        <v>7.4999999999999997E-2</v>
      </c>
      <c r="Q34" s="108">
        <f t="shared" si="4"/>
        <v>0.625</v>
      </c>
      <c r="R34" s="110">
        <f>IFERROR(GETPIVOTDATA("Sum of SRP",'[1]DEVICE &amp; VALUE'!$A$6,"ID Store",$C34),0)</f>
        <v>285760000</v>
      </c>
      <c r="S34" s="108">
        <f t="shared" si="5"/>
        <v>2.1167407407407408</v>
      </c>
      <c r="T34" s="111">
        <f t="shared" si="6"/>
        <v>150760000</v>
      </c>
      <c r="U34" s="112">
        <f t="shared" si="7"/>
        <v>40</v>
      </c>
      <c r="V34" s="113">
        <f t="shared" si="8"/>
        <v>1.3333333333333333</v>
      </c>
      <c r="W34" s="114">
        <f t="shared" si="9"/>
        <v>10</v>
      </c>
      <c r="X34" s="114">
        <f t="shared" si="10"/>
        <v>25</v>
      </c>
      <c r="Y34" s="114">
        <f t="shared" si="11"/>
        <v>-5</v>
      </c>
      <c r="Z34" s="115">
        <f t="shared" si="12"/>
        <v>285760000</v>
      </c>
      <c r="AA34" s="115">
        <f t="shared" si="13"/>
        <v>150760000</v>
      </c>
      <c r="AB34" s="116">
        <f t="shared" si="14"/>
        <v>2.1167407407407408</v>
      </c>
      <c r="AC34" s="117">
        <f t="shared" si="15"/>
        <v>0</v>
      </c>
      <c r="AD34" s="118">
        <f t="shared" si="16"/>
        <v>0</v>
      </c>
      <c r="AE34" s="103">
        <f>IFERROR(GETPIVOTDATA("Sum of Qty",'[1]DATA LAST MONTH IQOO'!$A$6,"ID Store",$C34),0)</f>
        <v>6</v>
      </c>
      <c r="AF34" s="119">
        <f>IFERROR(GETPIVOTDATA("Sum of Qty",[1]IQOO!$A$6,"ID Store",$C34),0)</f>
        <v>3</v>
      </c>
      <c r="AG34" s="106">
        <f t="shared" si="17"/>
        <v>-3</v>
      </c>
      <c r="AH34" s="120">
        <f t="shared" si="18"/>
        <v>-0.5</v>
      </c>
      <c r="AI34" s="121">
        <f>IFERROR(GETPIVOTDATA("Sum of Qty",'[1]DATA LAST MONTH DEVICE'!$A$6,"ID Store",$C34),0)</f>
        <v>26</v>
      </c>
      <c r="AJ34" s="122">
        <f t="shared" si="19"/>
        <v>40</v>
      </c>
      <c r="AK34" s="106">
        <f t="shared" si="20"/>
        <v>14</v>
      </c>
      <c r="AL34" s="108">
        <f t="shared" si="21"/>
        <v>0.53846153846153844</v>
      </c>
      <c r="AM34" s="107">
        <f>IFERROR(GETPIVOTDATA("Sum of Qty",'[1]Store 3mio+ last month'!$A$6,"ID Store",$C34),0)</f>
        <v>26</v>
      </c>
      <c r="AN34" s="106">
        <f t="shared" si="22"/>
        <v>40</v>
      </c>
      <c r="AO34" s="106">
        <f t="shared" si="23"/>
        <v>14</v>
      </c>
      <c r="AP34" s="108">
        <f t="shared" si="24"/>
        <v>0.53846153846153844</v>
      </c>
      <c r="AQ34" s="107">
        <f>IFERROR(GETPIVOTDATA("Sum of Qty",'[1]DATA LAST MONTH DEVICE'!$A$6,"ID Store",$C34,"Segment Price","3mio&gt;"),0)</f>
        <v>13</v>
      </c>
      <c r="AR34" s="109">
        <f t="shared" si="25"/>
        <v>25</v>
      </c>
      <c r="AS34" s="109">
        <f t="shared" si="26"/>
        <v>12</v>
      </c>
      <c r="AT34" s="108">
        <f t="shared" si="27"/>
        <v>0.92307692307692313</v>
      </c>
      <c r="AU34" s="123">
        <f>IFERROR(GETPIVOTDATA("Sum of SRP",'[1]DATA LAST MONTH DEVICE'!$A$6,"ID Store",$C34),0)</f>
        <v>139374000</v>
      </c>
      <c r="AV34" s="123">
        <f t="shared" si="28"/>
        <v>285760000</v>
      </c>
      <c r="AW34" s="123">
        <f t="shared" si="29"/>
        <v>146386000</v>
      </c>
      <c r="AX34" s="108">
        <f t="shared" si="30"/>
        <v>1.0503106748747972</v>
      </c>
      <c r="AY34" s="123">
        <f>IFERROR(VLOOKUP(C34,'[1]DATA SALES LAST MONTH'!A:E,5,0),0)</f>
        <v>5360538.461538462</v>
      </c>
      <c r="AZ34" s="110">
        <f t="shared" si="31"/>
        <v>7144000</v>
      </c>
      <c r="BA34" s="110">
        <f t="shared" si="32"/>
        <v>1783461.538461538</v>
      </c>
      <c r="BB34" s="120">
        <f t="shared" si="33"/>
        <v>0.33270193866861814</v>
      </c>
      <c r="BC34" s="103">
        <f>IFERROR(VLOOKUP(C34,'[1]TARGET THIS MONTH'!C:U,15,0),0)</f>
        <v>6</v>
      </c>
      <c r="BD34" s="124">
        <f>IFERROR(GETPIVOTDATA("Sum of Qty",[1]ACC!$A$5,"ID Store",$C34),0)</f>
        <v>3</v>
      </c>
      <c r="BE34" s="108">
        <f t="shared" si="34"/>
        <v>0.5</v>
      </c>
      <c r="BF34" s="125">
        <f>IFERROR(VLOOKUP(C34,'[1]TARGET THIS MONTH'!C:U,16,0),0)</f>
        <v>540000</v>
      </c>
      <c r="BG34" s="125">
        <f>IFERROR(GETPIVOTDATA("Sum of SRP",'[1]Insurance by Store'!$A$5,"ID Store",$C34,"Product Type","Qoala"),0)</f>
        <v>5096000</v>
      </c>
      <c r="BH34" s="108">
        <f t="shared" si="35"/>
        <v>9.4370370370370367</v>
      </c>
      <c r="BI34" s="125">
        <f>IFERROR(VLOOKUP(C34,'[1]TARGET THIS MONTH'!C:U,17,0),0)</f>
        <v>135000</v>
      </c>
      <c r="BJ34" s="125">
        <f>IFERROR(GETPIVOTDATA("Sum of SRP",'[1]Insurance by Store'!$A$5,"ID Store",$C34,"Product Type","Vivo Care"),0)</f>
        <v>0</v>
      </c>
      <c r="BK34" s="108">
        <f t="shared" si="36"/>
        <v>0</v>
      </c>
      <c r="BL34" s="106">
        <f>IFERROR(VLOOKUP(C34,'[1]TARGET THIS MONTH'!C:U,18,0),0)</f>
        <v>0.9</v>
      </c>
      <c r="BM34" s="107">
        <f>IFERROR(GETPIVOTDATA("Sum of Qty",'[1]Operator by Store'!$A$5,"ID Store",$C34,"Product Type","Indosat"),0)</f>
        <v>0</v>
      </c>
      <c r="BN34" s="108">
        <f t="shared" si="37"/>
        <v>0</v>
      </c>
      <c r="BO34" s="106">
        <f>VLOOKUP(C34,'[1]TARGET THIS MONTH'!C:U,19,0)</f>
        <v>0.3</v>
      </c>
      <c r="BP34" s="107">
        <f>IFERROR(GETPIVOTDATA("Sum of Qty",'[1]Operator by Store'!$A$5,"ID Store",$C34,"Product Type","Telkomsel"),0)</f>
        <v>0</v>
      </c>
      <c r="BQ34" s="126">
        <f t="shared" si="38"/>
        <v>0</v>
      </c>
    </row>
    <row r="35" spans="1:69" x14ac:dyDescent="0.2">
      <c r="A35" s="97">
        <v>31</v>
      </c>
      <c r="B35" s="98" t="s">
        <v>73</v>
      </c>
      <c r="C35" s="99">
        <v>6240707</v>
      </c>
      <c r="D35" s="100" t="s">
        <v>89</v>
      </c>
      <c r="E35" s="127" t="s">
        <v>90</v>
      </c>
      <c r="F35" s="102">
        <v>2</v>
      </c>
      <c r="G35" s="103">
        <f>IFERROR(VLOOKUP(C35,'[1]TARGET THIS MONTH'!C:E,3,0),0)</f>
        <v>35</v>
      </c>
      <c r="H35" s="104">
        <f>IFERROR(VLOOKUP(C35,'[1]TARGET THIS MONTH'!C:M,11,0),0)</f>
        <v>192500000</v>
      </c>
      <c r="I35" s="103">
        <f>IFERROR(GETPIVOTDATA("Sum of Qty",'[1]DEVICE &amp; VALUE'!$A$6,"ID Store",$C35),0)</f>
        <v>20</v>
      </c>
      <c r="J35" s="105">
        <f t="shared" si="0"/>
        <v>0.5714285714285714</v>
      </c>
      <c r="K35" s="106">
        <f t="shared" si="1"/>
        <v>-15</v>
      </c>
      <c r="L35" s="107">
        <f>IFERROR(GETPIVOTDATA("Sum of Qty",[1]PF!$A$5,"ID Store",$C35),0)</f>
        <v>2</v>
      </c>
      <c r="M35" s="107">
        <f>IFERROR(GETPIVOTDATA("Sum of Qty",'[1]DEVICE &amp; VALUE'!$A$6,"ID Store",$C35,"Segment Price","3mio&gt;"),0)</f>
        <v>13</v>
      </c>
      <c r="N35" s="108">
        <f t="shared" si="2"/>
        <v>0.65</v>
      </c>
      <c r="O35" s="109">
        <f>IFERROR(GETPIVOTDATA("Sum of Qty",[1]IQOO!$A$6,"ID Store",$C35),0)</f>
        <v>5</v>
      </c>
      <c r="P35" s="108">
        <f t="shared" si="3"/>
        <v>0.25</v>
      </c>
      <c r="Q35" s="108">
        <f t="shared" si="4"/>
        <v>0.65</v>
      </c>
      <c r="R35" s="110">
        <f>IFERROR(GETPIVOTDATA("Sum of SRP",'[1]DEVICE &amp; VALUE'!$A$6,"ID Store",$C35),0)</f>
        <v>147880000</v>
      </c>
      <c r="S35" s="108">
        <f t="shared" si="5"/>
        <v>0.76820779220779223</v>
      </c>
      <c r="T35" s="111">
        <f t="shared" si="6"/>
        <v>-44620000</v>
      </c>
      <c r="U35" s="112">
        <f t="shared" si="7"/>
        <v>20</v>
      </c>
      <c r="V35" s="113">
        <f t="shared" si="8"/>
        <v>0.5714285714285714</v>
      </c>
      <c r="W35" s="114">
        <f t="shared" si="9"/>
        <v>-15</v>
      </c>
      <c r="X35" s="114">
        <f t="shared" si="10"/>
        <v>13</v>
      </c>
      <c r="Y35" s="114">
        <f t="shared" si="11"/>
        <v>-22</v>
      </c>
      <c r="Z35" s="115">
        <f t="shared" si="12"/>
        <v>147880000</v>
      </c>
      <c r="AA35" s="115">
        <f t="shared" si="13"/>
        <v>-44620000</v>
      </c>
      <c r="AB35" s="116">
        <f t="shared" si="14"/>
        <v>0.76820779220779223</v>
      </c>
      <c r="AC35" s="117">
        <f t="shared" si="15"/>
        <v>0</v>
      </c>
      <c r="AD35" s="118">
        <f t="shared" si="16"/>
        <v>0</v>
      </c>
      <c r="AE35" s="103">
        <f>IFERROR(GETPIVOTDATA("Sum of Qty",'[1]DATA LAST MONTH IQOO'!$A$6,"ID Store",$C35),0)</f>
        <v>7</v>
      </c>
      <c r="AF35" s="119">
        <f>IFERROR(GETPIVOTDATA("Sum of Qty",[1]IQOO!$A$6,"ID Store",$C35),0)</f>
        <v>5</v>
      </c>
      <c r="AG35" s="106">
        <f t="shared" si="17"/>
        <v>-2</v>
      </c>
      <c r="AH35" s="120">
        <f t="shared" si="18"/>
        <v>-0.2857142857142857</v>
      </c>
      <c r="AI35" s="121">
        <f>IFERROR(GETPIVOTDATA("Sum of Qty",'[1]DATA LAST MONTH DEVICE'!$A$6,"ID Store",$C35),0)</f>
        <v>30</v>
      </c>
      <c r="AJ35" s="122">
        <f t="shared" si="19"/>
        <v>20</v>
      </c>
      <c r="AK35" s="106">
        <f t="shared" si="20"/>
        <v>-10</v>
      </c>
      <c r="AL35" s="108">
        <f t="shared" si="21"/>
        <v>-0.33333333333333331</v>
      </c>
      <c r="AM35" s="107">
        <f>IFERROR(GETPIVOTDATA("Sum of Qty",'[1]Store 3mio+ last month'!$A$6,"ID Store",$C35),0)</f>
        <v>30</v>
      </c>
      <c r="AN35" s="106">
        <f t="shared" si="22"/>
        <v>20</v>
      </c>
      <c r="AO35" s="106">
        <f t="shared" si="23"/>
        <v>-10</v>
      </c>
      <c r="AP35" s="108">
        <f t="shared" si="24"/>
        <v>-0.33333333333333331</v>
      </c>
      <c r="AQ35" s="107">
        <f>IFERROR(GETPIVOTDATA("Sum of Qty",'[1]DATA LAST MONTH DEVICE'!$A$6,"ID Store",$C35,"Segment Price","3mio&gt;"),0)</f>
        <v>21</v>
      </c>
      <c r="AR35" s="109">
        <f t="shared" si="25"/>
        <v>13</v>
      </c>
      <c r="AS35" s="109">
        <f t="shared" si="26"/>
        <v>-8</v>
      </c>
      <c r="AT35" s="108">
        <f t="shared" si="27"/>
        <v>-0.38095238095238093</v>
      </c>
      <c r="AU35" s="123">
        <f>IFERROR(GETPIVOTDATA("Sum of SRP",'[1]DATA LAST MONTH DEVICE'!$A$6,"ID Store",$C35),0)</f>
        <v>212570000</v>
      </c>
      <c r="AV35" s="123">
        <f t="shared" si="28"/>
        <v>147880000</v>
      </c>
      <c r="AW35" s="123">
        <f t="shared" si="29"/>
        <v>-64690000</v>
      </c>
      <c r="AX35" s="108">
        <f t="shared" si="30"/>
        <v>-0.30432328174248485</v>
      </c>
      <c r="AY35" s="123">
        <f>IFERROR(VLOOKUP(C35,'[1]DATA SALES LAST MONTH'!A:E,5,0),0)</f>
        <v>7085666.666666667</v>
      </c>
      <c r="AZ35" s="110">
        <f t="shared" si="31"/>
        <v>7394000</v>
      </c>
      <c r="BA35" s="110">
        <f t="shared" si="32"/>
        <v>308333.33333333302</v>
      </c>
      <c r="BB35" s="120">
        <f t="shared" si="33"/>
        <v>4.3515077386272714E-2</v>
      </c>
      <c r="BC35" s="103">
        <f>IFERROR(VLOOKUP(C35,'[1]TARGET THIS MONTH'!C:U,15,0),0)</f>
        <v>7</v>
      </c>
      <c r="BD35" s="124">
        <f>IFERROR(GETPIVOTDATA("Sum of Qty",[1]ACC!$A$5,"ID Store",$C35),0)</f>
        <v>5</v>
      </c>
      <c r="BE35" s="108">
        <f t="shared" si="34"/>
        <v>0.7142857142857143</v>
      </c>
      <c r="BF35" s="125">
        <f>IFERROR(VLOOKUP(C35,'[1]TARGET THIS MONTH'!C:U,16,0),0)</f>
        <v>770000</v>
      </c>
      <c r="BG35" s="125">
        <f>IFERROR(GETPIVOTDATA("Sum of SRP",'[1]Insurance by Store'!$A$5,"ID Store",$C35,"Product Type","Qoala"),0)</f>
        <v>658000</v>
      </c>
      <c r="BH35" s="108">
        <f t="shared" si="35"/>
        <v>0.8545454545454545</v>
      </c>
      <c r="BI35" s="125">
        <f>IFERROR(VLOOKUP(C35,'[1]TARGET THIS MONTH'!C:U,17,0),0)</f>
        <v>192500</v>
      </c>
      <c r="BJ35" s="125">
        <f>IFERROR(GETPIVOTDATA("Sum of SRP",'[1]Insurance by Store'!$A$5,"ID Store",$C35,"Product Type","Vivo Care"),0)</f>
        <v>0</v>
      </c>
      <c r="BK35" s="108">
        <f t="shared" si="36"/>
        <v>0</v>
      </c>
      <c r="BL35" s="106">
        <f>IFERROR(VLOOKUP(C35,'[1]TARGET THIS MONTH'!C:U,18,0),0)</f>
        <v>1.05</v>
      </c>
      <c r="BM35" s="107">
        <f>IFERROR(GETPIVOTDATA("Sum of Qty",'[1]Operator by Store'!$A$5,"ID Store",$C35,"Product Type","Indosat"),0)</f>
        <v>0</v>
      </c>
      <c r="BN35" s="108">
        <f t="shared" si="37"/>
        <v>0</v>
      </c>
      <c r="BO35" s="106">
        <f>VLOOKUP(C35,'[1]TARGET THIS MONTH'!C:U,19,0)</f>
        <v>0.35</v>
      </c>
      <c r="BP35" s="107">
        <f>IFERROR(GETPIVOTDATA("Sum of Qty",'[1]Operator by Store'!$A$5,"ID Store",$C35,"Product Type","Telkomsel"),0)</f>
        <v>0</v>
      </c>
      <c r="BQ35" s="126">
        <f t="shared" si="38"/>
        <v>0</v>
      </c>
    </row>
    <row r="36" spans="1:69" x14ac:dyDescent="0.2">
      <c r="A36" s="97">
        <v>32</v>
      </c>
      <c r="B36" s="98" t="s">
        <v>73</v>
      </c>
      <c r="C36" s="99">
        <v>6240706</v>
      </c>
      <c r="D36" s="100" t="s">
        <v>91</v>
      </c>
      <c r="E36" s="127" t="s">
        <v>90</v>
      </c>
      <c r="F36" s="102">
        <v>2</v>
      </c>
      <c r="G36" s="103">
        <f>IFERROR(VLOOKUP(C36,'[1]TARGET THIS MONTH'!C:E,3,0),0)</f>
        <v>35</v>
      </c>
      <c r="H36" s="104">
        <f>IFERROR(VLOOKUP(C36,'[1]TARGET THIS MONTH'!C:M,11,0),0)</f>
        <v>192500000</v>
      </c>
      <c r="I36" s="103">
        <f>IFERROR(GETPIVOTDATA("Sum of Qty",'[1]DEVICE &amp; VALUE'!$A$6,"ID Store",$C36),0)</f>
        <v>30</v>
      </c>
      <c r="J36" s="105">
        <f t="shared" si="0"/>
        <v>0.8571428571428571</v>
      </c>
      <c r="K36" s="106">
        <f t="shared" si="1"/>
        <v>-5</v>
      </c>
      <c r="L36" s="107">
        <f>IFERROR(GETPIVOTDATA("Sum of Qty",[1]PF!$A$5,"ID Store",$C36),0)</f>
        <v>6</v>
      </c>
      <c r="M36" s="107">
        <f>IFERROR(GETPIVOTDATA("Sum of Qty",'[1]DEVICE &amp; VALUE'!$A$6,"ID Store",$C36,"Segment Price","3mio&gt;"),0)</f>
        <v>22</v>
      </c>
      <c r="N36" s="108">
        <f t="shared" si="2"/>
        <v>0.73333333333333328</v>
      </c>
      <c r="O36" s="109">
        <f>IFERROR(GETPIVOTDATA("Sum of Qty",[1]IQOO!$A$6,"ID Store",$C36),0)</f>
        <v>3</v>
      </c>
      <c r="P36" s="108">
        <f t="shared" si="3"/>
        <v>0.1</v>
      </c>
      <c r="Q36" s="108">
        <f t="shared" si="4"/>
        <v>0.73333333333333328</v>
      </c>
      <c r="R36" s="110">
        <f>IFERROR(GETPIVOTDATA("Sum of SRP",'[1]DEVICE &amp; VALUE'!$A$6,"ID Store",$C36),0)</f>
        <v>178670000</v>
      </c>
      <c r="S36" s="108">
        <f t="shared" si="5"/>
        <v>0.92815584415584418</v>
      </c>
      <c r="T36" s="111">
        <f t="shared" si="6"/>
        <v>-13830000</v>
      </c>
      <c r="U36" s="112">
        <f t="shared" si="7"/>
        <v>30</v>
      </c>
      <c r="V36" s="113">
        <f t="shared" si="8"/>
        <v>0.8571428571428571</v>
      </c>
      <c r="W36" s="114">
        <f t="shared" si="9"/>
        <v>-5</v>
      </c>
      <c r="X36" s="114">
        <f t="shared" si="10"/>
        <v>22</v>
      </c>
      <c r="Y36" s="114">
        <f t="shared" si="11"/>
        <v>-13</v>
      </c>
      <c r="Z36" s="115">
        <f t="shared" si="12"/>
        <v>178670000</v>
      </c>
      <c r="AA36" s="115">
        <f t="shared" si="13"/>
        <v>-13830000</v>
      </c>
      <c r="AB36" s="116">
        <f t="shared" si="14"/>
        <v>0.92815584415584418</v>
      </c>
      <c r="AC36" s="117">
        <f t="shared" si="15"/>
        <v>0</v>
      </c>
      <c r="AD36" s="118">
        <f t="shared" si="16"/>
        <v>0</v>
      </c>
      <c r="AE36" s="103">
        <f>IFERROR(GETPIVOTDATA("Sum of Qty",'[1]DATA LAST MONTH IQOO'!$A$6,"ID Store",$C36),0)</f>
        <v>5</v>
      </c>
      <c r="AF36" s="119">
        <f>IFERROR(GETPIVOTDATA("Sum of Qty",[1]IQOO!$A$6,"ID Store",$C36),0)</f>
        <v>3</v>
      </c>
      <c r="AG36" s="106">
        <f t="shared" si="17"/>
        <v>-2</v>
      </c>
      <c r="AH36" s="120">
        <f t="shared" si="18"/>
        <v>-0.4</v>
      </c>
      <c r="AI36" s="121">
        <f>IFERROR(GETPIVOTDATA("Sum of Qty",'[1]DATA LAST MONTH DEVICE'!$A$6,"ID Store",$C36),0)</f>
        <v>31</v>
      </c>
      <c r="AJ36" s="122">
        <f t="shared" si="19"/>
        <v>30</v>
      </c>
      <c r="AK36" s="106">
        <f t="shared" si="20"/>
        <v>-1</v>
      </c>
      <c r="AL36" s="108">
        <f t="shared" si="21"/>
        <v>-3.2258064516129031E-2</v>
      </c>
      <c r="AM36" s="107">
        <f>IFERROR(GETPIVOTDATA("Sum of Qty",'[1]Store 3mio+ last month'!$A$6,"ID Store",$C36),0)</f>
        <v>31</v>
      </c>
      <c r="AN36" s="106">
        <f t="shared" si="22"/>
        <v>30</v>
      </c>
      <c r="AO36" s="106">
        <f t="shared" si="23"/>
        <v>-1</v>
      </c>
      <c r="AP36" s="108">
        <f t="shared" si="24"/>
        <v>-3.2258064516129031E-2</v>
      </c>
      <c r="AQ36" s="107">
        <f>IFERROR(GETPIVOTDATA("Sum of Qty",'[1]DATA LAST MONTH DEVICE'!$A$6,"ID Store",$C36,"Segment Price","3mio&gt;"),0)</f>
        <v>22</v>
      </c>
      <c r="AR36" s="109">
        <f t="shared" si="25"/>
        <v>22</v>
      </c>
      <c r="AS36" s="109">
        <f t="shared" si="26"/>
        <v>0</v>
      </c>
      <c r="AT36" s="108">
        <f t="shared" si="27"/>
        <v>0</v>
      </c>
      <c r="AU36" s="123">
        <f>IFERROR(GETPIVOTDATA("Sum of SRP",'[1]DATA LAST MONTH DEVICE'!$A$6,"ID Store",$C36),0)</f>
        <v>165669000</v>
      </c>
      <c r="AV36" s="123">
        <f t="shared" si="28"/>
        <v>178670000</v>
      </c>
      <c r="AW36" s="123">
        <f t="shared" si="29"/>
        <v>13001000</v>
      </c>
      <c r="AX36" s="108">
        <f t="shared" si="30"/>
        <v>7.8475755874665751E-2</v>
      </c>
      <c r="AY36" s="123">
        <f>IFERROR(VLOOKUP(C36,'[1]DATA SALES LAST MONTH'!A:E,5,0),0)</f>
        <v>5344161.2903225804</v>
      </c>
      <c r="AZ36" s="110">
        <f t="shared" si="31"/>
        <v>5955666.666666667</v>
      </c>
      <c r="BA36" s="110">
        <f t="shared" si="32"/>
        <v>611505.3763440866</v>
      </c>
      <c r="BB36" s="120">
        <f t="shared" si="33"/>
        <v>0.11442494773715473</v>
      </c>
      <c r="BC36" s="103">
        <f>IFERROR(VLOOKUP(C36,'[1]TARGET THIS MONTH'!C:U,15,0),0)</f>
        <v>7</v>
      </c>
      <c r="BD36" s="124">
        <f>IFERROR(GETPIVOTDATA("Sum of Qty",[1]ACC!$A$5,"ID Store",$C36),0)</f>
        <v>6</v>
      </c>
      <c r="BE36" s="108">
        <f t="shared" si="34"/>
        <v>0.8571428571428571</v>
      </c>
      <c r="BF36" s="125">
        <f>IFERROR(VLOOKUP(C36,'[1]TARGET THIS MONTH'!C:U,16,0),0)</f>
        <v>770000</v>
      </c>
      <c r="BG36" s="125">
        <f>IFERROR(GETPIVOTDATA("Sum of SRP",'[1]Insurance by Store'!$A$5,"ID Store",$C36,"Product Type","Qoala"),0)</f>
        <v>1457000</v>
      </c>
      <c r="BH36" s="108">
        <f t="shared" si="35"/>
        <v>1.8922077922077922</v>
      </c>
      <c r="BI36" s="125">
        <f>IFERROR(VLOOKUP(C36,'[1]TARGET THIS MONTH'!C:U,17,0),0)</f>
        <v>192500</v>
      </c>
      <c r="BJ36" s="125">
        <f>IFERROR(GETPIVOTDATA("Sum of SRP",'[1]Insurance by Store'!$A$5,"ID Store",$C36,"Product Type","Vivo Care"),0)</f>
        <v>1000000</v>
      </c>
      <c r="BK36" s="108">
        <f t="shared" si="36"/>
        <v>5.1948051948051948</v>
      </c>
      <c r="BL36" s="106">
        <f>IFERROR(VLOOKUP(C36,'[1]TARGET THIS MONTH'!C:U,18,0),0)</f>
        <v>1.05</v>
      </c>
      <c r="BM36" s="107">
        <f>IFERROR(GETPIVOTDATA("Sum of Qty",'[1]Operator by Store'!$A$5,"ID Store",$C36,"Product Type","Indosat"),0)</f>
        <v>0</v>
      </c>
      <c r="BN36" s="108">
        <f t="shared" si="37"/>
        <v>0</v>
      </c>
      <c r="BO36" s="106">
        <f>VLOOKUP(C36,'[1]TARGET THIS MONTH'!C:U,19,0)</f>
        <v>0.35</v>
      </c>
      <c r="BP36" s="107">
        <f>IFERROR(GETPIVOTDATA("Sum of Qty",'[1]Operator by Store'!$A$5,"ID Store",$C36,"Product Type","Telkomsel"),0)</f>
        <v>0</v>
      </c>
      <c r="BQ36" s="126">
        <f t="shared" si="38"/>
        <v>0</v>
      </c>
    </row>
    <row r="37" spans="1:69" x14ac:dyDescent="0.2">
      <c r="A37" s="97">
        <v>33</v>
      </c>
      <c r="B37" s="98" t="s">
        <v>92</v>
      </c>
      <c r="C37" s="99">
        <v>6190701</v>
      </c>
      <c r="D37" s="100" t="s">
        <v>93</v>
      </c>
      <c r="E37" s="127" t="s">
        <v>94</v>
      </c>
      <c r="F37" s="102">
        <v>1</v>
      </c>
      <c r="G37" s="103">
        <f>IFERROR(VLOOKUP(C37,'[1]TARGET THIS MONTH'!C:E,3,0),0)</f>
        <v>40</v>
      </c>
      <c r="H37" s="104">
        <f>IFERROR(VLOOKUP(C37,'[1]TARGET THIS MONTH'!C:M,11,0),0)</f>
        <v>180000000</v>
      </c>
      <c r="I37" s="103">
        <f>IFERROR(GETPIVOTDATA("Sum of Qty",'[1]DEVICE &amp; VALUE'!$A$6,"ID Store",$C37),0)</f>
        <v>53</v>
      </c>
      <c r="J37" s="105">
        <f t="shared" si="0"/>
        <v>1.325</v>
      </c>
      <c r="K37" s="106">
        <f t="shared" si="1"/>
        <v>13</v>
      </c>
      <c r="L37" s="107">
        <f>IFERROR(GETPIVOTDATA("Sum of Qty",[1]PF!$A$5,"ID Store",$C37),0)</f>
        <v>5</v>
      </c>
      <c r="M37" s="107">
        <f>IFERROR(GETPIVOTDATA("Sum of Qty",'[1]DEVICE &amp; VALUE'!$A$6,"ID Store",$C37,"Segment Price","3mio&gt;"),0)</f>
        <v>23</v>
      </c>
      <c r="N37" s="108">
        <f t="shared" si="2"/>
        <v>0.43396226415094341</v>
      </c>
      <c r="O37" s="109">
        <f>IFERROR(GETPIVOTDATA("Sum of Qty",[1]IQOO!$A$6,"ID Store",$C37),0)</f>
        <v>6</v>
      </c>
      <c r="P37" s="108">
        <f t="shared" si="3"/>
        <v>0.11320754716981132</v>
      </c>
      <c r="Q37" s="108">
        <f t="shared" si="4"/>
        <v>0.43396226415094341</v>
      </c>
      <c r="R37" s="110">
        <f>IFERROR(GETPIVOTDATA("Sum of SRP",'[1]DEVICE &amp; VALUE'!$A$6,"ID Store",$C37),0)</f>
        <v>306847000</v>
      </c>
      <c r="S37" s="108">
        <f t="shared" si="5"/>
        <v>1.7047055555555555</v>
      </c>
      <c r="T37" s="111">
        <f t="shared" si="6"/>
        <v>126847000</v>
      </c>
      <c r="U37" s="112">
        <f t="shared" si="7"/>
        <v>53</v>
      </c>
      <c r="V37" s="113">
        <f t="shared" si="8"/>
        <v>1.325</v>
      </c>
      <c r="W37" s="114">
        <f t="shared" si="9"/>
        <v>13</v>
      </c>
      <c r="X37" s="114">
        <f t="shared" si="10"/>
        <v>23</v>
      </c>
      <c r="Y37" s="114">
        <f t="shared" si="11"/>
        <v>-17</v>
      </c>
      <c r="Z37" s="115">
        <f t="shared" si="12"/>
        <v>306847000</v>
      </c>
      <c r="AA37" s="115">
        <f t="shared" si="13"/>
        <v>126847000</v>
      </c>
      <c r="AB37" s="116">
        <f t="shared" si="14"/>
        <v>1.7047055555555555</v>
      </c>
      <c r="AC37" s="117">
        <f t="shared" si="15"/>
        <v>0</v>
      </c>
      <c r="AD37" s="118">
        <f t="shared" si="16"/>
        <v>0</v>
      </c>
      <c r="AE37" s="103">
        <f>IFERROR(GETPIVOTDATA("Sum of Qty",'[1]DATA LAST MONTH IQOO'!$A$6,"ID Store",$C37),0)</f>
        <v>3</v>
      </c>
      <c r="AF37" s="119">
        <f>IFERROR(GETPIVOTDATA("Sum of Qty",[1]IQOO!$A$6,"ID Store",$C37),0)</f>
        <v>6</v>
      </c>
      <c r="AG37" s="106">
        <f t="shared" si="17"/>
        <v>3</v>
      </c>
      <c r="AH37" s="120">
        <f t="shared" si="18"/>
        <v>1</v>
      </c>
      <c r="AI37" s="121">
        <f>IFERROR(GETPIVOTDATA("Sum of Qty",'[1]DATA LAST MONTH DEVICE'!$A$6,"ID Store",$C37),0)</f>
        <v>31</v>
      </c>
      <c r="AJ37" s="122">
        <f t="shared" si="19"/>
        <v>53</v>
      </c>
      <c r="AK37" s="106">
        <f t="shared" si="20"/>
        <v>22</v>
      </c>
      <c r="AL37" s="108">
        <f t="shared" si="21"/>
        <v>0.70967741935483875</v>
      </c>
      <c r="AM37" s="107">
        <f>IFERROR(GETPIVOTDATA("Sum of Qty",'[1]Store 3mio+ last month'!$A$6,"ID Store",$C37),0)</f>
        <v>31</v>
      </c>
      <c r="AN37" s="106">
        <f t="shared" si="22"/>
        <v>53</v>
      </c>
      <c r="AO37" s="106">
        <f t="shared" si="23"/>
        <v>22</v>
      </c>
      <c r="AP37" s="108">
        <f t="shared" si="24"/>
        <v>0.70967741935483875</v>
      </c>
      <c r="AQ37" s="107">
        <f>IFERROR(GETPIVOTDATA("Sum of Qty",'[1]DATA LAST MONTH DEVICE'!$A$6,"ID Store",$C37,"Segment Price","3mio&gt;"),0)</f>
        <v>11</v>
      </c>
      <c r="AR37" s="109">
        <f t="shared" si="25"/>
        <v>23</v>
      </c>
      <c r="AS37" s="109">
        <f t="shared" si="26"/>
        <v>12</v>
      </c>
      <c r="AT37" s="108">
        <f t="shared" si="27"/>
        <v>1.0909090909090908</v>
      </c>
      <c r="AU37" s="123">
        <f>IFERROR(GETPIVOTDATA("Sum of SRP",'[1]DATA LAST MONTH DEVICE'!$A$6,"ID Store",$C37),0)</f>
        <v>116569000</v>
      </c>
      <c r="AV37" s="123">
        <f t="shared" si="28"/>
        <v>306847000</v>
      </c>
      <c r="AW37" s="123">
        <f t="shared" si="29"/>
        <v>190278000</v>
      </c>
      <c r="AX37" s="108">
        <f t="shared" si="30"/>
        <v>1.6323207713886196</v>
      </c>
      <c r="AY37" s="123">
        <f>IFERROR(VLOOKUP(C37,'[1]DATA SALES LAST MONTH'!A:E,5,0),0)</f>
        <v>3760290.3225806453</v>
      </c>
      <c r="AZ37" s="110">
        <f t="shared" si="31"/>
        <v>5789566.0377358487</v>
      </c>
      <c r="BA37" s="110">
        <f t="shared" si="32"/>
        <v>2029275.7151552034</v>
      </c>
      <c r="BB37" s="120">
        <f t="shared" si="33"/>
        <v>0.53965931911409815</v>
      </c>
      <c r="BC37" s="103">
        <f>IFERROR(VLOOKUP(C37,'[1]TARGET THIS MONTH'!C:U,15,0),0)</f>
        <v>8</v>
      </c>
      <c r="BD37" s="124">
        <f>IFERROR(GETPIVOTDATA("Sum of Qty",[1]ACC!$A$5,"ID Store",$C37),0)</f>
        <v>3</v>
      </c>
      <c r="BE37" s="108">
        <f t="shared" si="34"/>
        <v>0.375</v>
      </c>
      <c r="BF37" s="125">
        <f>IFERROR(VLOOKUP(C37,'[1]TARGET THIS MONTH'!C:U,16,0),0)</f>
        <v>720000</v>
      </c>
      <c r="BG37" s="125">
        <f>IFERROR(GETPIVOTDATA("Sum of SRP",'[1]Insurance by Store'!$A$5,"ID Store",$C37,"Product Type","Qoala"),0)</f>
        <v>159000</v>
      </c>
      <c r="BH37" s="108">
        <f t="shared" si="35"/>
        <v>0.22083333333333333</v>
      </c>
      <c r="BI37" s="125">
        <f>IFERROR(VLOOKUP(C37,'[1]TARGET THIS MONTH'!C:U,17,0),0)</f>
        <v>180000</v>
      </c>
      <c r="BJ37" s="125">
        <f>IFERROR(GETPIVOTDATA("Sum of SRP",'[1]Insurance by Store'!$A$5,"ID Store",$C37,"Product Type","Vivo Care"),0)</f>
        <v>0</v>
      </c>
      <c r="BK37" s="108">
        <f t="shared" si="36"/>
        <v>0</v>
      </c>
      <c r="BL37" s="106">
        <f>IFERROR(VLOOKUP(C37,'[1]TARGET THIS MONTH'!C:U,18,0),0)</f>
        <v>1.2</v>
      </c>
      <c r="BM37" s="107">
        <f>IFERROR(GETPIVOTDATA("Sum of Qty",'[1]Operator by Store'!$A$5,"ID Store",$C37,"Product Type","Indosat"),0)</f>
        <v>1</v>
      </c>
      <c r="BN37" s="108">
        <f t="shared" si="37"/>
        <v>0.83333333333333337</v>
      </c>
      <c r="BO37" s="106">
        <f>VLOOKUP(C37,'[1]TARGET THIS MONTH'!C:U,19,0)</f>
        <v>0.4</v>
      </c>
      <c r="BP37" s="107">
        <f>IFERROR(GETPIVOTDATA("Sum of Qty",'[1]Operator by Store'!$A$5,"ID Store",$C37,"Product Type","Telkomsel"),0)</f>
        <v>0</v>
      </c>
      <c r="BQ37" s="126">
        <f t="shared" si="38"/>
        <v>0</v>
      </c>
    </row>
    <row r="38" spans="1:69" x14ac:dyDescent="0.2">
      <c r="A38" s="97">
        <v>34</v>
      </c>
      <c r="B38" s="98" t="s">
        <v>92</v>
      </c>
      <c r="C38" s="99">
        <v>6190706</v>
      </c>
      <c r="D38" s="100" t="s">
        <v>95</v>
      </c>
      <c r="E38" s="127" t="s">
        <v>94</v>
      </c>
      <c r="F38" s="102">
        <v>4</v>
      </c>
      <c r="G38" s="103">
        <f>IFERROR(VLOOKUP(C38,'[1]TARGET THIS MONTH'!C:E,3,0),0)</f>
        <v>125</v>
      </c>
      <c r="H38" s="104">
        <f>IFERROR(VLOOKUP(C38,'[1]TARGET THIS MONTH'!C:M,11,0),0)</f>
        <v>562500000</v>
      </c>
      <c r="I38" s="103">
        <f>IFERROR(GETPIVOTDATA("Sum of Qty",'[1]DEVICE &amp; VALUE'!$A$6,"ID Store",$C38),0)</f>
        <v>116</v>
      </c>
      <c r="J38" s="105">
        <f t="shared" si="0"/>
        <v>0.92800000000000005</v>
      </c>
      <c r="K38" s="106">
        <f t="shared" si="1"/>
        <v>-9</v>
      </c>
      <c r="L38" s="107">
        <f>IFERROR(GETPIVOTDATA("Sum of Qty",[1]PF!$A$5,"ID Store",$C38),0)</f>
        <v>24</v>
      </c>
      <c r="M38" s="107">
        <f>IFERROR(GETPIVOTDATA("Sum of Qty",'[1]DEVICE &amp; VALUE'!$A$6,"ID Store",$C38,"Segment Price","3mio&gt;"),0)</f>
        <v>51</v>
      </c>
      <c r="N38" s="108">
        <f t="shared" si="2"/>
        <v>0.43965517241379309</v>
      </c>
      <c r="O38" s="109">
        <f>IFERROR(GETPIVOTDATA("Sum of Qty",[1]IQOO!$A$6,"ID Store",$C38),0)</f>
        <v>4</v>
      </c>
      <c r="P38" s="108">
        <f t="shared" si="3"/>
        <v>3.4482758620689655E-2</v>
      </c>
      <c r="Q38" s="108">
        <f t="shared" si="4"/>
        <v>0.43965517241379309</v>
      </c>
      <c r="R38" s="110">
        <f>IFERROR(GETPIVOTDATA("Sum of SRP",'[1]DEVICE &amp; VALUE'!$A$6,"ID Store",$C38),0)</f>
        <v>449984000</v>
      </c>
      <c r="S38" s="108">
        <f t="shared" si="5"/>
        <v>0.79997155555555555</v>
      </c>
      <c r="T38" s="111">
        <f t="shared" si="6"/>
        <v>-112516000</v>
      </c>
      <c r="U38" s="112">
        <f t="shared" si="7"/>
        <v>116</v>
      </c>
      <c r="V38" s="113">
        <f t="shared" si="8"/>
        <v>0.92800000000000005</v>
      </c>
      <c r="W38" s="114">
        <f t="shared" si="9"/>
        <v>-9</v>
      </c>
      <c r="X38" s="114">
        <f t="shared" si="10"/>
        <v>51</v>
      </c>
      <c r="Y38" s="114">
        <f t="shared" si="11"/>
        <v>-74</v>
      </c>
      <c r="Z38" s="115">
        <f t="shared" si="12"/>
        <v>449984000</v>
      </c>
      <c r="AA38" s="115">
        <f t="shared" si="13"/>
        <v>-112516000</v>
      </c>
      <c r="AB38" s="116">
        <f t="shared" si="14"/>
        <v>0.79997155555555555</v>
      </c>
      <c r="AC38" s="117">
        <f t="shared" si="15"/>
        <v>0</v>
      </c>
      <c r="AD38" s="118">
        <f t="shared" si="16"/>
        <v>0</v>
      </c>
      <c r="AE38" s="103">
        <f>IFERROR(GETPIVOTDATA("Sum of Qty",'[1]DATA LAST MONTH IQOO'!$A$6,"ID Store",$C38),0)</f>
        <v>13</v>
      </c>
      <c r="AF38" s="119">
        <f>IFERROR(GETPIVOTDATA("Sum of Qty",[1]IQOO!$A$6,"ID Store",$C38),0)</f>
        <v>4</v>
      </c>
      <c r="AG38" s="106">
        <f t="shared" si="17"/>
        <v>-9</v>
      </c>
      <c r="AH38" s="120">
        <f t="shared" si="18"/>
        <v>-0.69230769230769229</v>
      </c>
      <c r="AI38" s="121">
        <f>IFERROR(GETPIVOTDATA("Sum of Qty",'[1]DATA LAST MONTH DEVICE'!$A$6,"ID Store",$C38),0)</f>
        <v>124</v>
      </c>
      <c r="AJ38" s="122">
        <f t="shared" si="19"/>
        <v>116</v>
      </c>
      <c r="AK38" s="106">
        <f t="shared" si="20"/>
        <v>-8</v>
      </c>
      <c r="AL38" s="108">
        <f t="shared" si="21"/>
        <v>-6.4516129032258063E-2</v>
      </c>
      <c r="AM38" s="107">
        <f>IFERROR(GETPIVOTDATA("Sum of Qty",'[1]Store 3mio+ last month'!$A$6,"ID Store",$C38),0)</f>
        <v>124</v>
      </c>
      <c r="AN38" s="106">
        <f t="shared" si="22"/>
        <v>116</v>
      </c>
      <c r="AO38" s="106">
        <f t="shared" si="23"/>
        <v>-8</v>
      </c>
      <c r="AP38" s="108">
        <f t="shared" si="24"/>
        <v>-6.4516129032258063E-2</v>
      </c>
      <c r="AQ38" s="107">
        <f>IFERROR(GETPIVOTDATA("Sum of Qty",'[1]DATA LAST MONTH DEVICE'!$A$6,"ID Store",$C38,"Segment Price","3mio&gt;"),0)</f>
        <v>47</v>
      </c>
      <c r="AR38" s="109">
        <f t="shared" si="25"/>
        <v>51</v>
      </c>
      <c r="AS38" s="109">
        <f t="shared" si="26"/>
        <v>4</v>
      </c>
      <c r="AT38" s="108">
        <f t="shared" si="27"/>
        <v>8.5106382978723402E-2</v>
      </c>
      <c r="AU38" s="123">
        <f>IFERROR(GETPIVOTDATA("Sum of SRP",'[1]DATA LAST MONTH DEVICE'!$A$6,"ID Store",$C38),0)</f>
        <v>540976000</v>
      </c>
      <c r="AV38" s="123">
        <f t="shared" si="28"/>
        <v>449984000</v>
      </c>
      <c r="AW38" s="123">
        <f t="shared" si="29"/>
        <v>-90992000</v>
      </c>
      <c r="AX38" s="108">
        <f t="shared" si="30"/>
        <v>-0.16819969832303097</v>
      </c>
      <c r="AY38" s="123">
        <f>IFERROR(VLOOKUP(C38,'[1]DATA SALES LAST MONTH'!A:E,5,0),0)</f>
        <v>4362709.6774193551</v>
      </c>
      <c r="AZ38" s="110">
        <f t="shared" si="31"/>
        <v>3879172.4137931033</v>
      </c>
      <c r="BA38" s="110">
        <f t="shared" si="32"/>
        <v>-483537.26362625184</v>
      </c>
      <c r="BB38" s="120">
        <f t="shared" si="33"/>
        <v>-0.11083416027634355</v>
      </c>
      <c r="BC38" s="103">
        <f>IFERROR(VLOOKUP(C38,'[1]TARGET THIS MONTH'!C:U,15,0),0)</f>
        <v>25</v>
      </c>
      <c r="BD38" s="124">
        <f>IFERROR(GETPIVOTDATA("Sum of Qty",[1]ACC!$A$5,"ID Store",$C38),0)</f>
        <v>15</v>
      </c>
      <c r="BE38" s="108">
        <f t="shared" si="34"/>
        <v>0.6</v>
      </c>
      <c r="BF38" s="125">
        <f>IFERROR(VLOOKUP(C38,'[1]TARGET THIS MONTH'!C:U,16,0),0)</f>
        <v>2250000</v>
      </c>
      <c r="BG38" s="125">
        <f>IFERROR(GETPIVOTDATA("Sum of SRP",'[1]Insurance by Store'!$A$5,"ID Store",$C38,"Product Type","Qoala"),0)</f>
        <v>1792000</v>
      </c>
      <c r="BH38" s="108">
        <f t="shared" si="35"/>
        <v>0.7964444444444444</v>
      </c>
      <c r="BI38" s="125">
        <f>IFERROR(VLOOKUP(C38,'[1]TARGET THIS MONTH'!C:U,17,0),0)</f>
        <v>562500</v>
      </c>
      <c r="BJ38" s="125">
        <f>IFERROR(GETPIVOTDATA("Sum of SRP",'[1]Insurance by Store'!$A$5,"ID Store",$C38,"Product Type","Vivo Care"),0)</f>
        <v>0</v>
      </c>
      <c r="BK38" s="108">
        <f t="shared" si="36"/>
        <v>0</v>
      </c>
      <c r="BL38" s="106">
        <f>IFERROR(VLOOKUP(C38,'[1]TARGET THIS MONTH'!C:U,18,0),0)</f>
        <v>3.75</v>
      </c>
      <c r="BM38" s="107">
        <f>IFERROR(GETPIVOTDATA("Sum of Qty",'[1]Operator by Store'!$A$5,"ID Store",$C38,"Product Type","Indosat"),0)</f>
        <v>2</v>
      </c>
      <c r="BN38" s="108">
        <f t="shared" si="37"/>
        <v>0.53333333333333333</v>
      </c>
      <c r="BO38" s="106">
        <f>VLOOKUP(C38,'[1]TARGET THIS MONTH'!C:U,19,0)</f>
        <v>1.25</v>
      </c>
      <c r="BP38" s="107">
        <f>IFERROR(GETPIVOTDATA("Sum of Qty",'[1]Operator by Store'!$A$5,"ID Store",$C38,"Product Type","Telkomsel"),0)</f>
        <v>0</v>
      </c>
      <c r="BQ38" s="126">
        <f t="shared" si="38"/>
        <v>0</v>
      </c>
    </row>
    <row r="39" spans="1:69" x14ac:dyDescent="0.2">
      <c r="A39" s="97">
        <v>35</v>
      </c>
      <c r="B39" s="98" t="s">
        <v>92</v>
      </c>
      <c r="C39" s="99">
        <v>6190705</v>
      </c>
      <c r="D39" s="100" t="s">
        <v>96</v>
      </c>
      <c r="E39" s="127" t="s">
        <v>94</v>
      </c>
      <c r="F39" s="102">
        <v>2</v>
      </c>
      <c r="G39" s="103">
        <f>IFERROR(VLOOKUP(C39,'[1]TARGET THIS MONTH'!C:E,3,0),0)</f>
        <v>60</v>
      </c>
      <c r="H39" s="104">
        <f>IFERROR(VLOOKUP(C39,'[1]TARGET THIS MONTH'!C:M,11,0),0)</f>
        <v>270000000</v>
      </c>
      <c r="I39" s="103">
        <f>IFERROR(GETPIVOTDATA("Sum of Qty",'[1]DEVICE &amp; VALUE'!$A$6,"ID Store",$C39),0)</f>
        <v>70</v>
      </c>
      <c r="J39" s="105">
        <f t="shared" si="0"/>
        <v>1.1666666666666667</v>
      </c>
      <c r="K39" s="106">
        <f t="shared" si="1"/>
        <v>10</v>
      </c>
      <c r="L39" s="107">
        <f>IFERROR(GETPIVOTDATA("Sum of Qty",[1]PF!$A$5,"ID Store",$C39),0)</f>
        <v>7</v>
      </c>
      <c r="M39" s="107">
        <f>IFERROR(GETPIVOTDATA("Sum of Qty",'[1]DEVICE &amp; VALUE'!$A$6,"ID Store",$C39,"Segment Price","3mio&gt;"),0)</f>
        <v>28</v>
      </c>
      <c r="N39" s="108">
        <f t="shared" si="2"/>
        <v>0.4</v>
      </c>
      <c r="O39" s="109">
        <f>IFERROR(GETPIVOTDATA("Sum of Qty",[1]IQOO!$A$6,"ID Store",$C39),0)</f>
        <v>5</v>
      </c>
      <c r="P39" s="108">
        <f t="shared" si="3"/>
        <v>7.1428571428571425E-2</v>
      </c>
      <c r="Q39" s="108">
        <f t="shared" si="4"/>
        <v>0.4</v>
      </c>
      <c r="R39" s="110">
        <f>IFERROR(GETPIVOTDATA("Sum of SRP",'[1]DEVICE &amp; VALUE'!$A$6,"ID Store",$C39),0)</f>
        <v>307130000</v>
      </c>
      <c r="S39" s="108">
        <f t="shared" si="5"/>
        <v>1.1375185185185186</v>
      </c>
      <c r="T39" s="111">
        <f t="shared" si="6"/>
        <v>37130000</v>
      </c>
      <c r="U39" s="112">
        <f t="shared" si="7"/>
        <v>70</v>
      </c>
      <c r="V39" s="113">
        <f t="shared" si="8"/>
        <v>1.1666666666666667</v>
      </c>
      <c r="W39" s="114">
        <f t="shared" si="9"/>
        <v>10</v>
      </c>
      <c r="X39" s="114">
        <f t="shared" si="10"/>
        <v>28</v>
      </c>
      <c r="Y39" s="114">
        <f t="shared" si="11"/>
        <v>-32</v>
      </c>
      <c r="Z39" s="115">
        <f t="shared" si="12"/>
        <v>307130000</v>
      </c>
      <c r="AA39" s="115">
        <f t="shared" si="13"/>
        <v>37130000</v>
      </c>
      <c r="AB39" s="116">
        <f t="shared" si="14"/>
        <v>1.1375185185185186</v>
      </c>
      <c r="AC39" s="117">
        <f t="shared" si="15"/>
        <v>0</v>
      </c>
      <c r="AD39" s="118">
        <f t="shared" si="16"/>
        <v>0</v>
      </c>
      <c r="AE39" s="103">
        <f>IFERROR(GETPIVOTDATA("Sum of Qty",'[1]DATA LAST MONTH IQOO'!$A$6,"ID Store",$C39),0)</f>
        <v>4</v>
      </c>
      <c r="AF39" s="119">
        <f>IFERROR(GETPIVOTDATA("Sum of Qty",[1]IQOO!$A$6,"ID Store",$C39),0)</f>
        <v>5</v>
      </c>
      <c r="AG39" s="106">
        <f t="shared" si="17"/>
        <v>1</v>
      </c>
      <c r="AH39" s="120">
        <f t="shared" si="18"/>
        <v>0.25</v>
      </c>
      <c r="AI39" s="121">
        <f>IFERROR(GETPIVOTDATA("Sum of Qty",'[1]DATA LAST MONTH DEVICE'!$A$6,"ID Store",$C39),0)</f>
        <v>53</v>
      </c>
      <c r="AJ39" s="122">
        <f t="shared" si="19"/>
        <v>70</v>
      </c>
      <c r="AK39" s="106">
        <f t="shared" si="20"/>
        <v>17</v>
      </c>
      <c r="AL39" s="108">
        <f t="shared" si="21"/>
        <v>0.32075471698113206</v>
      </c>
      <c r="AM39" s="107">
        <f>IFERROR(GETPIVOTDATA("Sum of Qty",'[1]Store 3mio+ last month'!$A$6,"ID Store",$C39),0)</f>
        <v>53</v>
      </c>
      <c r="AN39" s="106">
        <f t="shared" si="22"/>
        <v>70</v>
      </c>
      <c r="AO39" s="106">
        <f t="shared" si="23"/>
        <v>17</v>
      </c>
      <c r="AP39" s="108">
        <f t="shared" si="24"/>
        <v>0.32075471698113206</v>
      </c>
      <c r="AQ39" s="107">
        <f>IFERROR(GETPIVOTDATA("Sum of Qty",'[1]DATA LAST MONTH DEVICE'!$A$6,"ID Store",$C39,"Segment Price","3mio&gt;"),0)</f>
        <v>17</v>
      </c>
      <c r="AR39" s="109">
        <f t="shared" si="25"/>
        <v>28</v>
      </c>
      <c r="AS39" s="109">
        <f t="shared" si="26"/>
        <v>11</v>
      </c>
      <c r="AT39" s="108">
        <f t="shared" si="27"/>
        <v>0.6470588235294118</v>
      </c>
      <c r="AU39" s="123">
        <f>IFERROR(GETPIVOTDATA("Sum of SRP",'[1]DATA LAST MONTH DEVICE'!$A$6,"ID Store",$C39),0)</f>
        <v>183847000</v>
      </c>
      <c r="AV39" s="123">
        <f t="shared" si="28"/>
        <v>307130000</v>
      </c>
      <c r="AW39" s="123">
        <f t="shared" si="29"/>
        <v>123283000</v>
      </c>
      <c r="AX39" s="108">
        <f t="shared" si="30"/>
        <v>0.67057390112430448</v>
      </c>
      <c r="AY39" s="123">
        <f>IFERROR(VLOOKUP(C39,'[1]DATA SALES LAST MONTH'!A:E,5,0),0)</f>
        <v>3468811.3207547171</v>
      </c>
      <c r="AZ39" s="110">
        <f t="shared" si="31"/>
        <v>4387571.4285714282</v>
      </c>
      <c r="BA39" s="110">
        <f t="shared" si="32"/>
        <v>918760.10781671107</v>
      </c>
      <c r="BB39" s="120">
        <f t="shared" si="33"/>
        <v>0.26486309656554463</v>
      </c>
      <c r="BC39" s="103">
        <f>IFERROR(VLOOKUP(C39,'[1]TARGET THIS MONTH'!C:U,15,0),0)</f>
        <v>12</v>
      </c>
      <c r="BD39" s="124">
        <f>IFERROR(GETPIVOTDATA("Sum of Qty",[1]ACC!$A$5,"ID Store",$C39),0)</f>
        <v>5</v>
      </c>
      <c r="BE39" s="108">
        <f t="shared" si="34"/>
        <v>0.41666666666666669</v>
      </c>
      <c r="BF39" s="125">
        <f>IFERROR(VLOOKUP(C39,'[1]TARGET THIS MONTH'!C:U,16,0),0)</f>
        <v>1080000</v>
      </c>
      <c r="BG39" s="125">
        <f>IFERROR(GETPIVOTDATA("Sum of SRP",'[1]Insurance by Store'!$A$5,"ID Store",$C39,"Product Type","Qoala"),0)</f>
        <v>658000</v>
      </c>
      <c r="BH39" s="108">
        <f t="shared" si="35"/>
        <v>0.60925925925925928</v>
      </c>
      <c r="BI39" s="125">
        <f>IFERROR(VLOOKUP(C39,'[1]TARGET THIS MONTH'!C:U,17,0),0)</f>
        <v>270000</v>
      </c>
      <c r="BJ39" s="125">
        <f>IFERROR(GETPIVOTDATA("Sum of SRP",'[1]Insurance by Store'!$A$5,"ID Store",$C39,"Product Type","Vivo Care"),0)</f>
        <v>0</v>
      </c>
      <c r="BK39" s="108">
        <f t="shared" si="36"/>
        <v>0</v>
      </c>
      <c r="BL39" s="106">
        <f>IFERROR(VLOOKUP(C39,'[1]TARGET THIS MONTH'!C:U,18,0),0)</f>
        <v>1.8</v>
      </c>
      <c r="BM39" s="107">
        <f>IFERROR(GETPIVOTDATA("Sum of Qty",'[1]Operator by Store'!$A$5,"ID Store",$C39,"Product Type","Indosat"),0)</f>
        <v>8</v>
      </c>
      <c r="BN39" s="108">
        <f t="shared" si="37"/>
        <v>4.4444444444444446</v>
      </c>
      <c r="BO39" s="106">
        <f>VLOOKUP(C39,'[1]TARGET THIS MONTH'!C:U,19,0)</f>
        <v>0.6</v>
      </c>
      <c r="BP39" s="107">
        <f>IFERROR(GETPIVOTDATA("Sum of Qty",'[1]Operator by Store'!$A$5,"ID Store",$C39,"Product Type","Telkomsel"),0)</f>
        <v>0</v>
      </c>
      <c r="BQ39" s="126">
        <f t="shared" si="38"/>
        <v>0</v>
      </c>
    </row>
    <row r="40" spans="1:69" x14ac:dyDescent="0.2">
      <c r="A40" s="97">
        <v>36</v>
      </c>
      <c r="B40" s="98" t="s">
        <v>92</v>
      </c>
      <c r="C40" s="99">
        <v>6190704</v>
      </c>
      <c r="D40" s="100" t="s">
        <v>97</v>
      </c>
      <c r="E40" s="127" t="s">
        <v>98</v>
      </c>
      <c r="F40" s="102">
        <v>4</v>
      </c>
      <c r="G40" s="103">
        <f>IFERROR(VLOOKUP(C40,'[1]TARGET THIS MONTH'!C:E,3,0),0)</f>
        <v>130</v>
      </c>
      <c r="H40" s="104">
        <f>IFERROR(VLOOKUP(C40,'[1]TARGET THIS MONTH'!C:M,11,0),0)</f>
        <v>585000000</v>
      </c>
      <c r="I40" s="103">
        <f>IFERROR(GETPIVOTDATA("Sum of Qty",'[1]DEVICE &amp; VALUE'!$A$6,"ID Store",$C40),0)</f>
        <v>112</v>
      </c>
      <c r="J40" s="105">
        <f t="shared" si="0"/>
        <v>0.86153846153846159</v>
      </c>
      <c r="K40" s="106">
        <f t="shared" si="1"/>
        <v>-18</v>
      </c>
      <c r="L40" s="107">
        <f>IFERROR(GETPIVOTDATA("Sum of Qty",[1]PF!$A$5,"ID Store",$C40),0)</f>
        <v>16</v>
      </c>
      <c r="M40" s="107">
        <f>IFERROR(GETPIVOTDATA("Sum of Qty",'[1]DEVICE &amp; VALUE'!$A$6,"ID Store",$C40,"Segment Price","3mio&gt;"),0)</f>
        <v>44</v>
      </c>
      <c r="N40" s="108">
        <f t="shared" si="2"/>
        <v>0.39285714285714285</v>
      </c>
      <c r="O40" s="109">
        <f>IFERROR(GETPIVOTDATA("Sum of Qty",[1]IQOO!$A$6,"ID Store",$C40),0)</f>
        <v>8</v>
      </c>
      <c r="P40" s="108">
        <f t="shared" si="3"/>
        <v>7.1428571428571425E-2</v>
      </c>
      <c r="Q40" s="108">
        <f t="shared" si="4"/>
        <v>0.39285714285714285</v>
      </c>
      <c r="R40" s="110">
        <f>IFERROR(GETPIVOTDATA("Sum of SRP",'[1]DEVICE &amp; VALUE'!$A$6,"ID Store",$C40),0)</f>
        <v>433888000</v>
      </c>
      <c r="S40" s="108">
        <f t="shared" si="5"/>
        <v>0.74168888888888884</v>
      </c>
      <c r="T40" s="111">
        <f t="shared" si="6"/>
        <v>-151112000</v>
      </c>
      <c r="U40" s="112">
        <f t="shared" si="7"/>
        <v>112</v>
      </c>
      <c r="V40" s="113">
        <f t="shared" si="8"/>
        <v>0.86153846153846159</v>
      </c>
      <c r="W40" s="114">
        <f t="shared" si="9"/>
        <v>-18</v>
      </c>
      <c r="X40" s="114">
        <f t="shared" si="10"/>
        <v>44</v>
      </c>
      <c r="Y40" s="114">
        <f t="shared" si="11"/>
        <v>-86</v>
      </c>
      <c r="Z40" s="115">
        <f t="shared" si="12"/>
        <v>433888000</v>
      </c>
      <c r="AA40" s="115">
        <f t="shared" si="13"/>
        <v>-151112000</v>
      </c>
      <c r="AB40" s="116">
        <f t="shared" si="14"/>
        <v>0.74168888888888884</v>
      </c>
      <c r="AC40" s="117">
        <f t="shared" si="15"/>
        <v>0</v>
      </c>
      <c r="AD40" s="118">
        <f t="shared" si="16"/>
        <v>0</v>
      </c>
      <c r="AE40" s="103">
        <f>IFERROR(GETPIVOTDATA("Sum of Qty",'[1]DATA LAST MONTH IQOO'!$A$6,"ID Store",$C40),0)</f>
        <v>20</v>
      </c>
      <c r="AF40" s="119">
        <f>IFERROR(GETPIVOTDATA("Sum of Qty",[1]IQOO!$A$6,"ID Store",$C40),0)</f>
        <v>8</v>
      </c>
      <c r="AG40" s="106">
        <f t="shared" si="17"/>
        <v>-12</v>
      </c>
      <c r="AH40" s="120">
        <f t="shared" si="18"/>
        <v>-0.6</v>
      </c>
      <c r="AI40" s="121">
        <f>IFERROR(GETPIVOTDATA("Sum of Qty",'[1]DATA LAST MONTH DEVICE'!$A$6,"ID Store",$C40),0)</f>
        <v>114</v>
      </c>
      <c r="AJ40" s="122">
        <f t="shared" si="19"/>
        <v>112</v>
      </c>
      <c r="AK40" s="106">
        <f t="shared" si="20"/>
        <v>-2</v>
      </c>
      <c r="AL40" s="108">
        <f t="shared" si="21"/>
        <v>-1.7543859649122806E-2</v>
      </c>
      <c r="AM40" s="107">
        <f>IFERROR(GETPIVOTDATA("Sum of Qty",'[1]Store 3mio+ last month'!$A$6,"ID Store",$C40),0)</f>
        <v>114</v>
      </c>
      <c r="AN40" s="106">
        <f t="shared" si="22"/>
        <v>112</v>
      </c>
      <c r="AO40" s="106">
        <f t="shared" si="23"/>
        <v>-2</v>
      </c>
      <c r="AP40" s="108">
        <f t="shared" si="24"/>
        <v>-1.7543859649122806E-2</v>
      </c>
      <c r="AQ40" s="107">
        <f>IFERROR(GETPIVOTDATA("Sum of Qty",'[1]DATA LAST MONTH DEVICE'!$A$6,"ID Store",$C40,"Segment Price","3mio&gt;"),0)</f>
        <v>54</v>
      </c>
      <c r="AR40" s="109">
        <f t="shared" si="25"/>
        <v>44</v>
      </c>
      <c r="AS40" s="109">
        <f t="shared" si="26"/>
        <v>-10</v>
      </c>
      <c r="AT40" s="108">
        <f t="shared" si="27"/>
        <v>-0.18518518518518517</v>
      </c>
      <c r="AU40" s="123">
        <f>IFERROR(GETPIVOTDATA("Sum of SRP",'[1]DATA LAST MONTH DEVICE'!$A$6,"ID Store",$C40),0)</f>
        <v>535686000</v>
      </c>
      <c r="AV40" s="123">
        <f t="shared" si="28"/>
        <v>433888000</v>
      </c>
      <c r="AW40" s="123">
        <f t="shared" si="29"/>
        <v>-101798000</v>
      </c>
      <c r="AX40" s="108">
        <f t="shared" si="30"/>
        <v>-0.19003296707399484</v>
      </c>
      <c r="AY40" s="123">
        <f>IFERROR(VLOOKUP(C40,'[1]DATA SALES LAST MONTH'!A:E,5,0),0)</f>
        <v>4699000</v>
      </c>
      <c r="AZ40" s="110">
        <f t="shared" si="31"/>
        <v>3874000</v>
      </c>
      <c r="BA40" s="110">
        <f t="shared" si="32"/>
        <v>-825000</v>
      </c>
      <c r="BB40" s="120">
        <f t="shared" si="33"/>
        <v>-0.17556927005745904</v>
      </c>
      <c r="BC40" s="103">
        <f>IFERROR(VLOOKUP(C40,'[1]TARGET THIS MONTH'!C:U,15,0),0)</f>
        <v>26</v>
      </c>
      <c r="BD40" s="124">
        <f>IFERROR(GETPIVOTDATA("Sum of Qty",[1]ACC!$A$5,"ID Store",$C40),0)</f>
        <v>11</v>
      </c>
      <c r="BE40" s="108">
        <f t="shared" si="34"/>
        <v>0.42307692307692307</v>
      </c>
      <c r="BF40" s="125">
        <f>IFERROR(VLOOKUP(C40,'[1]TARGET THIS MONTH'!C:U,16,0),0)</f>
        <v>2340000</v>
      </c>
      <c r="BG40" s="125">
        <f>IFERROR(GETPIVOTDATA("Sum of SRP",'[1]Insurance by Store'!$A$5,"ID Store",$C40,"Product Type","Qoala"),0)</f>
        <v>636000</v>
      </c>
      <c r="BH40" s="108">
        <f t="shared" si="35"/>
        <v>0.27179487179487177</v>
      </c>
      <c r="BI40" s="125">
        <f>IFERROR(VLOOKUP(C40,'[1]TARGET THIS MONTH'!C:U,17,0),0)</f>
        <v>585000</v>
      </c>
      <c r="BJ40" s="125">
        <f>IFERROR(GETPIVOTDATA("Sum of SRP",'[1]Insurance by Store'!$A$5,"ID Store",$C40,"Product Type","Vivo Care"),0)</f>
        <v>0</v>
      </c>
      <c r="BK40" s="108">
        <f t="shared" si="36"/>
        <v>0</v>
      </c>
      <c r="BL40" s="106">
        <f>IFERROR(VLOOKUP(C40,'[1]TARGET THIS MONTH'!C:U,18,0),0)</f>
        <v>3.9</v>
      </c>
      <c r="BM40" s="107">
        <f>IFERROR(GETPIVOTDATA("Sum of Qty",'[1]Operator by Store'!$A$5,"ID Store",$C40,"Product Type","Indosat"),0)</f>
        <v>2</v>
      </c>
      <c r="BN40" s="108">
        <f t="shared" si="37"/>
        <v>0.51282051282051289</v>
      </c>
      <c r="BO40" s="106">
        <f>VLOOKUP(C40,'[1]TARGET THIS MONTH'!C:U,19,0)</f>
        <v>1.3</v>
      </c>
      <c r="BP40" s="107">
        <f>IFERROR(GETPIVOTDATA("Sum of Qty",'[1]Operator by Store'!$A$5,"ID Store",$C40,"Product Type","Telkomsel"),0)</f>
        <v>0</v>
      </c>
      <c r="BQ40" s="126">
        <f t="shared" si="38"/>
        <v>0</v>
      </c>
    </row>
    <row r="41" spans="1:69" x14ac:dyDescent="0.2">
      <c r="A41" s="97">
        <v>37</v>
      </c>
      <c r="B41" s="98" t="s">
        <v>92</v>
      </c>
      <c r="C41" s="99">
        <v>6190707</v>
      </c>
      <c r="D41" s="100" t="s">
        <v>99</v>
      </c>
      <c r="E41" s="127" t="s">
        <v>98</v>
      </c>
      <c r="F41" s="102">
        <v>4</v>
      </c>
      <c r="G41" s="103">
        <f>IFERROR(VLOOKUP(C41,'[1]TARGET THIS MONTH'!C:E,3,0),0)</f>
        <v>120</v>
      </c>
      <c r="H41" s="104">
        <f>IFERROR(VLOOKUP(C41,'[1]TARGET THIS MONTH'!C:M,11,0),0)</f>
        <v>540000000</v>
      </c>
      <c r="I41" s="103">
        <f>IFERROR(GETPIVOTDATA("Sum of Qty",'[1]DEVICE &amp; VALUE'!$A$6,"ID Store",$C41),0)</f>
        <v>142</v>
      </c>
      <c r="J41" s="105">
        <f t="shared" si="0"/>
        <v>1.1833333333333333</v>
      </c>
      <c r="K41" s="106">
        <f t="shared" si="1"/>
        <v>22</v>
      </c>
      <c r="L41" s="107">
        <f>IFERROR(GETPIVOTDATA("Sum of Qty",[1]PF!$A$5,"ID Store",$C41),0)</f>
        <v>18</v>
      </c>
      <c r="M41" s="107">
        <f>IFERROR(GETPIVOTDATA("Sum of Qty",'[1]DEVICE &amp; VALUE'!$A$6,"ID Store",$C41,"Segment Price","3mio&gt;"),0)</f>
        <v>66</v>
      </c>
      <c r="N41" s="108">
        <f t="shared" si="2"/>
        <v>0.46478873239436619</v>
      </c>
      <c r="O41" s="109">
        <f>IFERROR(GETPIVOTDATA("Sum of Qty",[1]IQOO!$A$6,"ID Store",$C41),0)</f>
        <v>11</v>
      </c>
      <c r="P41" s="108">
        <f t="shared" si="3"/>
        <v>7.746478873239436E-2</v>
      </c>
      <c r="Q41" s="108">
        <f t="shared" si="4"/>
        <v>0.46478873239436619</v>
      </c>
      <c r="R41" s="110">
        <f>IFERROR(GETPIVOTDATA("Sum of SRP",'[1]DEVICE &amp; VALUE'!$A$6,"ID Store",$C41),0)</f>
        <v>668658000</v>
      </c>
      <c r="S41" s="108">
        <f t="shared" si="5"/>
        <v>1.2382555555555557</v>
      </c>
      <c r="T41" s="111">
        <f t="shared" si="6"/>
        <v>128658000</v>
      </c>
      <c r="U41" s="112">
        <f t="shared" si="7"/>
        <v>142</v>
      </c>
      <c r="V41" s="113">
        <f t="shared" si="8"/>
        <v>1.1833333333333333</v>
      </c>
      <c r="W41" s="114">
        <f t="shared" si="9"/>
        <v>22</v>
      </c>
      <c r="X41" s="114">
        <f t="shared" si="10"/>
        <v>66</v>
      </c>
      <c r="Y41" s="114">
        <f t="shared" si="11"/>
        <v>-54</v>
      </c>
      <c r="Z41" s="115">
        <f t="shared" si="12"/>
        <v>668658000</v>
      </c>
      <c r="AA41" s="115">
        <f t="shared" si="13"/>
        <v>128658000</v>
      </c>
      <c r="AB41" s="116">
        <f t="shared" si="14"/>
        <v>1.2382555555555557</v>
      </c>
      <c r="AC41" s="117">
        <f t="shared" si="15"/>
        <v>0</v>
      </c>
      <c r="AD41" s="118">
        <f t="shared" si="16"/>
        <v>0</v>
      </c>
      <c r="AE41" s="103">
        <f>IFERROR(GETPIVOTDATA("Sum of Qty",'[1]DATA LAST MONTH IQOO'!$A$6,"ID Store",$C41),0)</f>
        <v>12</v>
      </c>
      <c r="AF41" s="119">
        <f>IFERROR(GETPIVOTDATA("Sum of Qty",[1]IQOO!$A$6,"ID Store",$C41),0)</f>
        <v>11</v>
      </c>
      <c r="AG41" s="106">
        <f t="shared" si="17"/>
        <v>-1</v>
      </c>
      <c r="AH41" s="120">
        <f t="shared" si="18"/>
        <v>-8.3333333333333329E-2</v>
      </c>
      <c r="AI41" s="121">
        <f>IFERROR(GETPIVOTDATA("Sum of Qty",'[1]DATA LAST MONTH DEVICE'!$A$6,"ID Store",$C41),0)</f>
        <v>118</v>
      </c>
      <c r="AJ41" s="122">
        <f t="shared" si="19"/>
        <v>142</v>
      </c>
      <c r="AK41" s="106">
        <f t="shared" si="20"/>
        <v>24</v>
      </c>
      <c r="AL41" s="108">
        <f t="shared" si="21"/>
        <v>0.20338983050847459</v>
      </c>
      <c r="AM41" s="107">
        <f>IFERROR(GETPIVOTDATA("Sum of Qty",'[1]Store 3mio+ last month'!$A$6,"ID Store",$C41),0)</f>
        <v>118</v>
      </c>
      <c r="AN41" s="106">
        <f t="shared" si="22"/>
        <v>142</v>
      </c>
      <c r="AO41" s="106">
        <f t="shared" si="23"/>
        <v>24</v>
      </c>
      <c r="AP41" s="108">
        <f t="shared" si="24"/>
        <v>0.20338983050847459</v>
      </c>
      <c r="AQ41" s="107">
        <f>IFERROR(GETPIVOTDATA("Sum of Qty",'[1]DATA LAST MONTH DEVICE'!$A$6,"ID Store",$C41,"Segment Price","3mio&gt;"),0)</f>
        <v>41</v>
      </c>
      <c r="AR41" s="109">
        <f t="shared" si="25"/>
        <v>66</v>
      </c>
      <c r="AS41" s="109">
        <f t="shared" si="26"/>
        <v>25</v>
      </c>
      <c r="AT41" s="108">
        <f t="shared" si="27"/>
        <v>0.6097560975609756</v>
      </c>
      <c r="AU41" s="123">
        <f>IFERROR(GETPIVOTDATA("Sum of SRP",'[1]DATA LAST MONTH DEVICE'!$A$6,"ID Store",$C41),0)</f>
        <v>482282000</v>
      </c>
      <c r="AV41" s="123">
        <f t="shared" si="28"/>
        <v>668658000</v>
      </c>
      <c r="AW41" s="123">
        <f t="shared" si="29"/>
        <v>186376000</v>
      </c>
      <c r="AX41" s="108">
        <f t="shared" si="30"/>
        <v>0.38644610414653668</v>
      </c>
      <c r="AY41" s="123">
        <f>IFERROR(VLOOKUP(C41,'[1]DATA SALES LAST MONTH'!A:E,5,0),0)</f>
        <v>4087135.5932203392</v>
      </c>
      <c r="AZ41" s="110">
        <f t="shared" si="31"/>
        <v>4708859.1549295774</v>
      </c>
      <c r="BA41" s="110">
        <f t="shared" si="32"/>
        <v>621723.56170923822</v>
      </c>
      <c r="BB41" s="120">
        <f t="shared" si="33"/>
        <v>0.15211718513585434</v>
      </c>
      <c r="BC41" s="103">
        <f>IFERROR(VLOOKUP(C41,'[1]TARGET THIS MONTH'!C:U,15,0),0)</f>
        <v>24</v>
      </c>
      <c r="BD41" s="124">
        <f>IFERROR(GETPIVOTDATA("Sum of Qty",[1]ACC!$A$5,"ID Store",$C41),0)</f>
        <v>16</v>
      </c>
      <c r="BE41" s="108">
        <f t="shared" si="34"/>
        <v>0.66666666666666663</v>
      </c>
      <c r="BF41" s="125">
        <f>IFERROR(VLOOKUP(C41,'[1]TARGET THIS MONTH'!C:U,16,0),0)</f>
        <v>2160000</v>
      </c>
      <c r="BG41" s="125">
        <f>IFERROR(GETPIVOTDATA("Sum of SRP",'[1]Insurance by Store'!$A$5,"ID Store",$C41,"Product Type","Qoala"),0)</f>
        <v>477000</v>
      </c>
      <c r="BH41" s="108">
        <f t="shared" si="35"/>
        <v>0.22083333333333333</v>
      </c>
      <c r="BI41" s="125">
        <f>IFERROR(VLOOKUP(C41,'[1]TARGET THIS MONTH'!C:U,17,0),0)</f>
        <v>540000</v>
      </c>
      <c r="BJ41" s="125">
        <f>IFERROR(GETPIVOTDATA("Sum of SRP",'[1]Insurance by Store'!$A$5,"ID Store",$C41,"Product Type","Vivo Care"),0)</f>
        <v>0</v>
      </c>
      <c r="BK41" s="108">
        <f t="shared" si="36"/>
        <v>0</v>
      </c>
      <c r="BL41" s="106">
        <f>IFERROR(VLOOKUP(C41,'[1]TARGET THIS MONTH'!C:U,18,0),0)</f>
        <v>3.6</v>
      </c>
      <c r="BM41" s="107">
        <f>IFERROR(GETPIVOTDATA("Sum of Qty",'[1]Operator by Store'!$A$5,"ID Store",$C41,"Product Type","Indosat"),0)</f>
        <v>5</v>
      </c>
      <c r="BN41" s="108">
        <f t="shared" si="37"/>
        <v>1.3888888888888888</v>
      </c>
      <c r="BO41" s="106">
        <f>VLOOKUP(C41,'[1]TARGET THIS MONTH'!C:U,19,0)</f>
        <v>1.2</v>
      </c>
      <c r="BP41" s="107">
        <f>IFERROR(GETPIVOTDATA("Sum of Qty",'[1]Operator by Store'!$A$5,"ID Store",$C41,"Product Type","Telkomsel"),0)</f>
        <v>0</v>
      </c>
      <c r="BQ41" s="126">
        <f t="shared" si="38"/>
        <v>0</v>
      </c>
    </row>
    <row r="42" spans="1:69" x14ac:dyDescent="0.2">
      <c r="A42" s="97">
        <v>38</v>
      </c>
      <c r="B42" s="98" t="s">
        <v>92</v>
      </c>
      <c r="C42" s="99">
        <v>6190708</v>
      </c>
      <c r="D42" s="100" t="s">
        <v>100</v>
      </c>
      <c r="E42" s="127" t="s">
        <v>98</v>
      </c>
      <c r="F42" s="102">
        <v>1</v>
      </c>
      <c r="G42" s="103">
        <f>IFERROR(VLOOKUP(C42,'[1]TARGET THIS MONTH'!C:E,3,0),0)</f>
        <v>10</v>
      </c>
      <c r="H42" s="104">
        <f>IFERROR(VLOOKUP(C42,'[1]TARGET THIS MONTH'!C:M,11,0),0)</f>
        <v>45000000</v>
      </c>
      <c r="I42" s="103">
        <f>IFERROR(GETPIVOTDATA("Sum of Qty",'[1]DEVICE &amp; VALUE'!$A$6,"ID Store",$C42),0)</f>
        <v>14</v>
      </c>
      <c r="J42" s="105">
        <f t="shared" si="0"/>
        <v>1.4</v>
      </c>
      <c r="K42" s="106">
        <f t="shared" si="1"/>
        <v>4</v>
      </c>
      <c r="L42" s="107">
        <f>IFERROR(GETPIVOTDATA("Sum of Qty",[1]PF!$A$5,"ID Store",$C42),0)</f>
        <v>1</v>
      </c>
      <c r="M42" s="107">
        <f>IFERROR(GETPIVOTDATA("Sum of Qty",'[1]DEVICE &amp; VALUE'!$A$6,"ID Store",$C42,"Segment Price","3mio&gt;"),0)</f>
        <v>7</v>
      </c>
      <c r="N42" s="108">
        <f t="shared" si="2"/>
        <v>0.5</v>
      </c>
      <c r="O42" s="109">
        <f>IFERROR(GETPIVOTDATA("Sum of Qty",[1]IQOO!$A$6,"ID Store",$C42),0)</f>
        <v>3</v>
      </c>
      <c r="P42" s="108">
        <f t="shared" si="3"/>
        <v>0.21428571428571427</v>
      </c>
      <c r="Q42" s="108">
        <f t="shared" si="4"/>
        <v>0.5</v>
      </c>
      <c r="R42" s="110">
        <f>IFERROR(GETPIVOTDATA("Sum of SRP",'[1]DEVICE &amp; VALUE'!$A$6,"ID Store",$C42),0)</f>
        <v>65686000</v>
      </c>
      <c r="S42" s="108">
        <f t="shared" si="5"/>
        <v>1.4596888888888888</v>
      </c>
      <c r="T42" s="111">
        <f t="shared" si="6"/>
        <v>20686000</v>
      </c>
      <c r="U42" s="112">
        <f t="shared" si="7"/>
        <v>14</v>
      </c>
      <c r="V42" s="113">
        <f t="shared" si="8"/>
        <v>1.4</v>
      </c>
      <c r="W42" s="114">
        <f t="shared" si="9"/>
        <v>4</v>
      </c>
      <c r="X42" s="114">
        <f t="shared" si="10"/>
        <v>7</v>
      </c>
      <c r="Y42" s="114">
        <f t="shared" si="11"/>
        <v>-3</v>
      </c>
      <c r="Z42" s="115">
        <f t="shared" si="12"/>
        <v>65686000.000000007</v>
      </c>
      <c r="AA42" s="115">
        <f t="shared" si="13"/>
        <v>20686000.000000007</v>
      </c>
      <c r="AB42" s="116">
        <f t="shared" si="14"/>
        <v>1.459688888888889</v>
      </c>
      <c r="AC42" s="117">
        <f t="shared" si="15"/>
        <v>0</v>
      </c>
      <c r="AD42" s="118">
        <f t="shared" si="16"/>
        <v>0</v>
      </c>
      <c r="AE42" s="103">
        <f>IFERROR(GETPIVOTDATA("Sum of Qty",'[1]DATA LAST MONTH IQOO'!$A$6,"ID Store",$C42),0)</f>
        <v>0</v>
      </c>
      <c r="AF42" s="119">
        <f>IFERROR(GETPIVOTDATA("Sum of Qty",[1]IQOO!$A$6,"ID Store",$C42),0)</f>
        <v>3</v>
      </c>
      <c r="AG42" s="106">
        <f t="shared" si="17"/>
        <v>3</v>
      </c>
      <c r="AH42" s="120">
        <f t="shared" si="18"/>
        <v>0</v>
      </c>
      <c r="AI42" s="121">
        <f>IFERROR(GETPIVOTDATA("Sum of Qty",'[1]DATA LAST MONTH DEVICE'!$A$6,"ID Store",$C42),0)</f>
        <v>0</v>
      </c>
      <c r="AJ42" s="122">
        <f t="shared" si="19"/>
        <v>14</v>
      </c>
      <c r="AK42" s="106">
        <f t="shared" si="20"/>
        <v>14</v>
      </c>
      <c r="AL42" s="108">
        <f t="shared" si="21"/>
        <v>0</v>
      </c>
      <c r="AM42" s="107">
        <f>IFERROR(GETPIVOTDATA("Sum of Qty",'[1]Store 3mio+ last month'!$A$6,"ID Store",$C42),0)</f>
        <v>0</v>
      </c>
      <c r="AN42" s="106">
        <f t="shared" si="22"/>
        <v>14</v>
      </c>
      <c r="AO42" s="106">
        <f t="shared" si="23"/>
        <v>14</v>
      </c>
      <c r="AP42" s="108">
        <f t="shared" si="24"/>
        <v>0</v>
      </c>
      <c r="AQ42" s="107">
        <f>IFERROR(GETPIVOTDATA("Sum of Qty",'[1]DATA LAST MONTH DEVICE'!$A$6,"ID Store",$C42,"Segment Price","3mio&gt;"),0)</f>
        <v>0</v>
      </c>
      <c r="AR42" s="109">
        <f t="shared" si="25"/>
        <v>7</v>
      </c>
      <c r="AS42" s="109">
        <f t="shared" si="26"/>
        <v>7</v>
      </c>
      <c r="AT42" s="108">
        <f t="shared" si="27"/>
        <v>0</v>
      </c>
      <c r="AU42" s="123">
        <f>IFERROR(GETPIVOTDATA("Sum of SRP",'[1]DATA LAST MONTH DEVICE'!$A$6,"ID Store",$C42),0)</f>
        <v>0</v>
      </c>
      <c r="AV42" s="123">
        <f t="shared" si="28"/>
        <v>65686000</v>
      </c>
      <c r="AW42" s="123">
        <f t="shared" si="29"/>
        <v>65686000</v>
      </c>
      <c r="AX42" s="108">
        <f t="shared" si="30"/>
        <v>0</v>
      </c>
      <c r="AY42" s="123">
        <f>IFERROR(VLOOKUP(C42,'[1]DATA SALES LAST MONTH'!A:E,5,0),0)</f>
        <v>0</v>
      </c>
      <c r="AZ42" s="110">
        <f t="shared" si="31"/>
        <v>4691857.1428571437</v>
      </c>
      <c r="BA42" s="110">
        <f t="shared" si="32"/>
        <v>4691857.1428571437</v>
      </c>
      <c r="BB42" s="120">
        <f t="shared" si="33"/>
        <v>0</v>
      </c>
      <c r="BC42" s="103">
        <f>IFERROR(VLOOKUP(C42,'[1]TARGET THIS MONTH'!C:U,15,0),0)</f>
        <v>2</v>
      </c>
      <c r="BD42" s="124">
        <f>IFERROR(GETPIVOTDATA("Sum of Qty",[1]ACC!$A$5,"ID Store",$C42),0)</f>
        <v>1</v>
      </c>
      <c r="BE42" s="108">
        <f t="shared" si="34"/>
        <v>0.5</v>
      </c>
      <c r="BF42" s="125">
        <f>IFERROR(VLOOKUP(C42,'[1]TARGET THIS MONTH'!C:U,16,0),0)</f>
        <v>180000</v>
      </c>
      <c r="BG42" s="125">
        <f>IFERROR(GETPIVOTDATA("Sum of SRP",'[1]Insurance by Store'!$A$5,"ID Store",$C42,"Product Type","Qoala"),0)</f>
        <v>0</v>
      </c>
      <c r="BH42" s="108">
        <f t="shared" si="35"/>
        <v>0</v>
      </c>
      <c r="BI42" s="125">
        <f>IFERROR(VLOOKUP(C42,'[1]TARGET THIS MONTH'!C:U,17,0),0)</f>
        <v>45000</v>
      </c>
      <c r="BJ42" s="125">
        <f>IFERROR(GETPIVOTDATA("Sum of SRP",'[1]Insurance by Store'!$A$5,"ID Store",$C42,"Product Type","Vivo Care"),0)</f>
        <v>0</v>
      </c>
      <c r="BK42" s="108">
        <f t="shared" si="36"/>
        <v>0</v>
      </c>
      <c r="BL42" s="106">
        <f>IFERROR(VLOOKUP(C42,'[1]TARGET THIS MONTH'!C:U,18,0),0)</f>
        <v>0.3</v>
      </c>
      <c r="BM42" s="107">
        <f>IFERROR(GETPIVOTDATA("Sum of Qty",'[1]Operator by Store'!$A$5,"ID Store",$C42,"Product Type","Indosat"),0)</f>
        <v>1</v>
      </c>
      <c r="BN42" s="108">
        <f t="shared" si="37"/>
        <v>3.3333333333333335</v>
      </c>
      <c r="BO42" s="106">
        <f>VLOOKUP(C42,'[1]TARGET THIS MONTH'!C:U,19,0)</f>
        <v>0.1</v>
      </c>
      <c r="BP42" s="107">
        <f>IFERROR(GETPIVOTDATA("Sum of Qty",'[1]Operator by Store'!$A$5,"ID Store",$C42,"Product Type","Telkomsel"),0)</f>
        <v>0</v>
      </c>
      <c r="BQ42" s="126">
        <f t="shared" si="38"/>
        <v>0</v>
      </c>
    </row>
    <row r="43" spans="1:69" x14ac:dyDescent="0.2">
      <c r="A43" s="97">
        <v>39</v>
      </c>
      <c r="B43" s="98" t="s">
        <v>101</v>
      </c>
      <c r="C43" s="99">
        <v>6150702</v>
      </c>
      <c r="D43" s="100" t="s">
        <v>102</v>
      </c>
      <c r="E43" s="127" t="s">
        <v>103</v>
      </c>
      <c r="F43" s="102">
        <v>2</v>
      </c>
      <c r="G43" s="103">
        <f>IFERROR(VLOOKUP(C43,'[1]TARGET THIS MONTH'!C:E,3,0),0)</f>
        <v>10</v>
      </c>
      <c r="H43" s="104">
        <f>IFERROR(VLOOKUP(C43,'[1]TARGET THIS MONTH'!C:M,11,0),0)</f>
        <v>40000000</v>
      </c>
      <c r="I43" s="103">
        <f>IFERROR(GETPIVOTDATA("Sum of Qty",'[1]DEVICE &amp; VALUE'!$A$6,"ID Store",$C43),0)</f>
        <v>8</v>
      </c>
      <c r="J43" s="105">
        <f t="shared" si="0"/>
        <v>0.8</v>
      </c>
      <c r="K43" s="106">
        <f t="shared" si="1"/>
        <v>-2</v>
      </c>
      <c r="L43" s="107">
        <f>IFERROR(GETPIVOTDATA("Sum of Qty",[1]PF!$A$5,"ID Store",$C43),0)</f>
        <v>0</v>
      </c>
      <c r="M43" s="107">
        <f>IFERROR(GETPIVOTDATA("Sum of Qty",'[1]DEVICE &amp; VALUE'!$A$6,"ID Store",$C43,"Segment Price","3mio&gt;"),0)</f>
        <v>3</v>
      </c>
      <c r="N43" s="108">
        <f t="shared" si="2"/>
        <v>0.375</v>
      </c>
      <c r="O43" s="109">
        <f>IFERROR(GETPIVOTDATA("Sum of Qty",[1]IQOO!$A$6,"ID Store",$C43),0)</f>
        <v>2</v>
      </c>
      <c r="P43" s="108">
        <f t="shared" si="3"/>
        <v>0.25</v>
      </c>
      <c r="Q43" s="108">
        <f t="shared" si="4"/>
        <v>0.375</v>
      </c>
      <c r="R43" s="110">
        <f>IFERROR(GETPIVOTDATA("Sum of SRP",'[1]DEVICE &amp; VALUE'!$A$6,"ID Store",$C43),0)</f>
        <v>31892000</v>
      </c>
      <c r="S43" s="108">
        <f t="shared" si="5"/>
        <v>0.79730000000000001</v>
      </c>
      <c r="T43" s="111">
        <f t="shared" si="6"/>
        <v>-8108000</v>
      </c>
      <c r="U43" s="112">
        <f t="shared" si="7"/>
        <v>8</v>
      </c>
      <c r="V43" s="113">
        <f t="shared" si="8"/>
        <v>0.8</v>
      </c>
      <c r="W43" s="114">
        <f t="shared" si="9"/>
        <v>-2</v>
      </c>
      <c r="X43" s="114">
        <f t="shared" si="10"/>
        <v>3</v>
      </c>
      <c r="Y43" s="114">
        <f t="shared" si="11"/>
        <v>-7</v>
      </c>
      <c r="Z43" s="115">
        <f t="shared" si="12"/>
        <v>31892000.000000004</v>
      </c>
      <c r="AA43" s="115">
        <f t="shared" si="13"/>
        <v>-8107999.9999999963</v>
      </c>
      <c r="AB43" s="116">
        <f t="shared" si="14"/>
        <v>0.79730000000000012</v>
      </c>
      <c r="AC43" s="117">
        <f t="shared" si="15"/>
        <v>0</v>
      </c>
      <c r="AD43" s="118">
        <f t="shared" si="16"/>
        <v>0</v>
      </c>
      <c r="AE43" s="103">
        <f>IFERROR(GETPIVOTDATA("Sum of Qty",'[1]DATA LAST MONTH IQOO'!$A$6,"ID Store",$C43),0)</f>
        <v>0</v>
      </c>
      <c r="AF43" s="119">
        <f>IFERROR(GETPIVOTDATA("Sum of Qty",[1]IQOO!$A$6,"ID Store",$C43),0)</f>
        <v>2</v>
      </c>
      <c r="AG43" s="106">
        <f t="shared" si="17"/>
        <v>2</v>
      </c>
      <c r="AH43" s="120">
        <f t="shared" si="18"/>
        <v>0</v>
      </c>
      <c r="AI43" s="121">
        <f>IFERROR(GETPIVOTDATA("Sum of Qty",'[1]DATA LAST MONTH DEVICE'!$A$6,"ID Store",$C43),0)</f>
        <v>0</v>
      </c>
      <c r="AJ43" s="122">
        <f t="shared" si="19"/>
        <v>8</v>
      </c>
      <c r="AK43" s="106">
        <f t="shared" si="20"/>
        <v>8</v>
      </c>
      <c r="AL43" s="108">
        <f t="shared" si="21"/>
        <v>0</v>
      </c>
      <c r="AM43" s="107">
        <f>IFERROR(GETPIVOTDATA("Sum of Qty",'[1]Store 3mio+ last month'!$A$6,"ID Store",$C43),0)</f>
        <v>0</v>
      </c>
      <c r="AN43" s="106">
        <f t="shared" si="22"/>
        <v>8</v>
      </c>
      <c r="AO43" s="106">
        <f t="shared" si="23"/>
        <v>8</v>
      </c>
      <c r="AP43" s="108">
        <f t="shared" si="24"/>
        <v>0</v>
      </c>
      <c r="AQ43" s="107">
        <f>IFERROR(GETPIVOTDATA("Sum of Qty",'[1]DATA LAST MONTH DEVICE'!$A$6,"ID Store",$C43,"Segment Price","3mio&gt;"),0)</f>
        <v>0</v>
      </c>
      <c r="AR43" s="109">
        <f t="shared" si="25"/>
        <v>3</v>
      </c>
      <c r="AS43" s="109">
        <f t="shared" si="26"/>
        <v>3</v>
      </c>
      <c r="AT43" s="108">
        <f t="shared" si="27"/>
        <v>0</v>
      </c>
      <c r="AU43" s="123">
        <f>IFERROR(GETPIVOTDATA("Sum of SRP",'[1]DATA LAST MONTH DEVICE'!$A$6,"ID Store",$C43),0)</f>
        <v>0</v>
      </c>
      <c r="AV43" s="123">
        <f t="shared" si="28"/>
        <v>31892000</v>
      </c>
      <c r="AW43" s="123">
        <f t="shared" si="29"/>
        <v>31892000</v>
      </c>
      <c r="AX43" s="108">
        <f t="shared" si="30"/>
        <v>0</v>
      </c>
      <c r="AY43" s="123">
        <f>IFERROR(VLOOKUP(C43,'[1]DATA SALES LAST MONTH'!A:E,5,0),0)</f>
        <v>0</v>
      </c>
      <c r="AZ43" s="110">
        <f t="shared" si="31"/>
        <v>3986500.0000000005</v>
      </c>
      <c r="BA43" s="110">
        <f t="shared" si="32"/>
        <v>3986500.0000000005</v>
      </c>
      <c r="BB43" s="120">
        <f t="shared" si="33"/>
        <v>0</v>
      </c>
      <c r="BC43" s="103">
        <f>IFERROR(VLOOKUP(C43,'[1]TARGET THIS MONTH'!C:U,15,0),0)</f>
        <v>2</v>
      </c>
      <c r="BD43" s="124">
        <f>IFERROR(GETPIVOTDATA("Sum of Qty",[1]ACC!$A$5,"ID Store",$C43),0)</f>
        <v>0</v>
      </c>
      <c r="BE43" s="108">
        <f t="shared" si="34"/>
        <v>0</v>
      </c>
      <c r="BF43" s="125">
        <f>IFERROR(VLOOKUP(C43,'[1]TARGET THIS MONTH'!C:U,16,0),0)</f>
        <v>160000</v>
      </c>
      <c r="BG43" s="125">
        <f>IFERROR(GETPIVOTDATA("Sum of SRP",'[1]Insurance by Store'!$A$5,"ID Store",$C43,"Product Type","Qoala"),0)</f>
        <v>0</v>
      </c>
      <c r="BH43" s="108">
        <f t="shared" si="35"/>
        <v>0</v>
      </c>
      <c r="BI43" s="125">
        <f>IFERROR(VLOOKUP(C43,'[1]TARGET THIS MONTH'!C:U,17,0),0)</f>
        <v>40000</v>
      </c>
      <c r="BJ43" s="125">
        <f>IFERROR(GETPIVOTDATA("Sum of SRP",'[1]Insurance by Store'!$A$5,"ID Store",$C43,"Product Type","Vivo Care"),0)</f>
        <v>0</v>
      </c>
      <c r="BK43" s="108">
        <f t="shared" si="36"/>
        <v>0</v>
      </c>
      <c r="BL43" s="106">
        <f>IFERROR(VLOOKUP(C43,'[1]TARGET THIS MONTH'!C:U,18,0),0)</f>
        <v>0.3</v>
      </c>
      <c r="BM43" s="107">
        <f>IFERROR(GETPIVOTDATA("Sum of Qty",'[1]Operator by Store'!$A$5,"ID Store",$C43,"Product Type","Indosat"),0)</f>
        <v>0</v>
      </c>
      <c r="BN43" s="108">
        <f t="shared" si="37"/>
        <v>0</v>
      </c>
      <c r="BO43" s="106">
        <f>VLOOKUP(C43,'[1]TARGET THIS MONTH'!C:U,19,0)</f>
        <v>0.1</v>
      </c>
      <c r="BP43" s="107">
        <f>IFERROR(GETPIVOTDATA("Sum of Qty",'[1]Operator by Store'!$A$5,"ID Store",$C43,"Product Type","Telkomsel"),0)</f>
        <v>0</v>
      </c>
      <c r="BQ43" s="126">
        <f t="shared" si="38"/>
        <v>0</v>
      </c>
    </row>
    <row r="44" spans="1:69" x14ac:dyDescent="0.2">
      <c r="A44" s="97">
        <v>40</v>
      </c>
      <c r="B44" s="98" t="s">
        <v>104</v>
      </c>
      <c r="C44" s="99">
        <v>6130702</v>
      </c>
      <c r="D44" s="100" t="s">
        <v>105</v>
      </c>
      <c r="E44" s="127" t="s">
        <v>106</v>
      </c>
      <c r="F44" s="102">
        <v>3</v>
      </c>
      <c r="G44" s="103">
        <f>IFERROR(VLOOKUP(C44,'[1]TARGET THIS MONTH'!C:E,3,0),0)</f>
        <v>60</v>
      </c>
      <c r="H44" s="104">
        <f>IFERROR(VLOOKUP(C44,'[1]TARGET THIS MONTH'!C:M,11,0),0)</f>
        <v>300000000</v>
      </c>
      <c r="I44" s="103">
        <f>IFERROR(GETPIVOTDATA("Sum of Qty",'[1]DEVICE &amp; VALUE'!$A$6,"ID Store",$C44),0)</f>
        <v>50</v>
      </c>
      <c r="J44" s="105">
        <f t="shared" si="0"/>
        <v>0.83333333333333337</v>
      </c>
      <c r="K44" s="106">
        <f t="shared" si="1"/>
        <v>-10</v>
      </c>
      <c r="L44" s="107">
        <f>IFERROR(GETPIVOTDATA("Sum of Qty",[1]PF!$A$5,"ID Store",$C44),0)</f>
        <v>10</v>
      </c>
      <c r="M44" s="107">
        <f>IFERROR(GETPIVOTDATA("Sum of Qty",'[1]DEVICE &amp; VALUE'!$A$6,"ID Store",$C44,"Segment Price","3mio&gt;"),0)</f>
        <v>31</v>
      </c>
      <c r="N44" s="108">
        <f t="shared" si="2"/>
        <v>0.62</v>
      </c>
      <c r="O44" s="109">
        <f>IFERROR(GETPIVOTDATA("Sum of Qty",[1]IQOO!$A$6,"ID Store",$C44),0)</f>
        <v>11</v>
      </c>
      <c r="P44" s="108">
        <f t="shared" si="3"/>
        <v>0.22</v>
      </c>
      <c r="Q44" s="108">
        <f t="shared" si="4"/>
        <v>0.62</v>
      </c>
      <c r="R44" s="110">
        <f>IFERROR(GETPIVOTDATA("Sum of SRP",'[1]DEVICE &amp; VALUE'!$A$6,"ID Store",$C44),0)</f>
        <v>273750000</v>
      </c>
      <c r="S44" s="108">
        <f t="shared" si="5"/>
        <v>0.91249999999999998</v>
      </c>
      <c r="T44" s="111">
        <f t="shared" si="6"/>
        <v>-26250000</v>
      </c>
      <c r="U44" s="112">
        <f t="shared" si="7"/>
        <v>50</v>
      </c>
      <c r="V44" s="113">
        <f t="shared" si="8"/>
        <v>0.83333333333333337</v>
      </c>
      <c r="W44" s="114">
        <f t="shared" si="9"/>
        <v>-10</v>
      </c>
      <c r="X44" s="114">
        <f t="shared" si="10"/>
        <v>31.000000000000004</v>
      </c>
      <c r="Y44" s="114">
        <f t="shared" si="11"/>
        <v>-28.999999999999996</v>
      </c>
      <c r="Z44" s="115">
        <f t="shared" si="12"/>
        <v>273750000</v>
      </c>
      <c r="AA44" s="115">
        <f t="shared" si="13"/>
        <v>-26250000</v>
      </c>
      <c r="AB44" s="116">
        <f t="shared" si="14"/>
        <v>0.91249999999999998</v>
      </c>
      <c r="AC44" s="117">
        <f t="shared" si="15"/>
        <v>0</v>
      </c>
      <c r="AD44" s="118">
        <f t="shared" si="16"/>
        <v>0</v>
      </c>
      <c r="AE44" s="103">
        <f>IFERROR(GETPIVOTDATA("Sum of Qty",'[1]DATA LAST MONTH IQOO'!$A$6,"ID Store",$C44),0)</f>
        <v>18</v>
      </c>
      <c r="AF44" s="119">
        <f>IFERROR(GETPIVOTDATA("Sum of Qty",[1]IQOO!$A$6,"ID Store",$C44),0)</f>
        <v>11</v>
      </c>
      <c r="AG44" s="106">
        <f t="shared" si="17"/>
        <v>-7</v>
      </c>
      <c r="AH44" s="120">
        <f t="shared" si="18"/>
        <v>-0.3888888888888889</v>
      </c>
      <c r="AI44" s="121">
        <f>IFERROR(GETPIVOTDATA("Sum of Qty",'[1]DATA LAST MONTH DEVICE'!$A$6,"ID Store",$C44),0)</f>
        <v>70</v>
      </c>
      <c r="AJ44" s="122">
        <f t="shared" si="19"/>
        <v>50</v>
      </c>
      <c r="AK44" s="106">
        <f t="shared" si="20"/>
        <v>-20</v>
      </c>
      <c r="AL44" s="108">
        <f t="shared" si="21"/>
        <v>-0.2857142857142857</v>
      </c>
      <c r="AM44" s="107">
        <f>IFERROR(GETPIVOTDATA("Sum of Qty",'[1]Store 3mio+ last month'!$A$6,"ID Store",$C44),0)</f>
        <v>70</v>
      </c>
      <c r="AN44" s="106">
        <f t="shared" si="22"/>
        <v>50</v>
      </c>
      <c r="AO44" s="106">
        <f t="shared" si="23"/>
        <v>-20</v>
      </c>
      <c r="AP44" s="108">
        <f t="shared" si="24"/>
        <v>-0.2857142857142857</v>
      </c>
      <c r="AQ44" s="107">
        <f>IFERROR(GETPIVOTDATA("Sum of Qty",'[1]DATA LAST MONTH DEVICE'!$A$6,"ID Store",$C44,"Segment Price","3mio&gt;"),0)</f>
        <v>41</v>
      </c>
      <c r="AR44" s="109">
        <f t="shared" si="25"/>
        <v>31</v>
      </c>
      <c r="AS44" s="109">
        <f t="shared" si="26"/>
        <v>-10</v>
      </c>
      <c r="AT44" s="108">
        <f t="shared" si="27"/>
        <v>-0.24390243902439024</v>
      </c>
      <c r="AU44" s="123">
        <f>IFERROR(GETPIVOTDATA("Sum of SRP",'[1]DATA LAST MONTH DEVICE'!$A$6,"ID Store",$C44),0)</f>
        <v>369330000</v>
      </c>
      <c r="AV44" s="123">
        <f t="shared" si="28"/>
        <v>273750000</v>
      </c>
      <c r="AW44" s="123">
        <f t="shared" si="29"/>
        <v>-95580000</v>
      </c>
      <c r="AX44" s="108">
        <f t="shared" si="30"/>
        <v>-0.25879294939485015</v>
      </c>
      <c r="AY44" s="123">
        <f>IFERROR(VLOOKUP(C44,'[1]DATA SALES LAST MONTH'!A:E,5,0),0)</f>
        <v>5276142.8571428573</v>
      </c>
      <c r="AZ44" s="110">
        <f t="shared" si="31"/>
        <v>5475000</v>
      </c>
      <c r="BA44" s="110">
        <f t="shared" si="32"/>
        <v>198857.14285714272</v>
      </c>
      <c r="BB44" s="120">
        <f t="shared" si="33"/>
        <v>3.7689870847209789E-2</v>
      </c>
      <c r="BC44" s="103">
        <f>IFERROR(VLOOKUP(C44,'[1]TARGET THIS MONTH'!C:U,15,0),0)</f>
        <v>12</v>
      </c>
      <c r="BD44" s="124">
        <f>IFERROR(GETPIVOTDATA("Sum of Qty",[1]ACC!$A$5,"ID Store",$C44),0)</f>
        <v>14</v>
      </c>
      <c r="BE44" s="108">
        <f t="shared" si="34"/>
        <v>1.1666666666666667</v>
      </c>
      <c r="BF44" s="125">
        <f>IFERROR(VLOOKUP(C44,'[1]TARGET THIS MONTH'!C:U,16,0),0)</f>
        <v>1200000</v>
      </c>
      <c r="BG44" s="125">
        <f>IFERROR(GETPIVOTDATA("Sum of SRP",'[1]Insurance by Store'!$A$5,"ID Store",$C44,"Product Type","Qoala"),0)</f>
        <v>1236000</v>
      </c>
      <c r="BH44" s="108">
        <f t="shared" si="35"/>
        <v>1.03</v>
      </c>
      <c r="BI44" s="125">
        <f>IFERROR(VLOOKUP(C44,'[1]TARGET THIS MONTH'!C:U,17,0),0)</f>
        <v>300000</v>
      </c>
      <c r="BJ44" s="125">
        <f>IFERROR(GETPIVOTDATA("Sum of SRP",'[1]Insurance by Store'!$A$5,"ID Store",$C44,"Product Type","Vivo Care"),0)</f>
        <v>1000000</v>
      </c>
      <c r="BK44" s="108">
        <f t="shared" si="36"/>
        <v>3.3333333333333335</v>
      </c>
      <c r="BL44" s="106">
        <f>IFERROR(VLOOKUP(C44,'[1]TARGET THIS MONTH'!C:U,18,0),0)</f>
        <v>1.8</v>
      </c>
      <c r="BM44" s="107">
        <f>IFERROR(GETPIVOTDATA("Sum of Qty",'[1]Operator by Store'!$A$5,"ID Store",$C44,"Product Type","Indosat"),0)</f>
        <v>0</v>
      </c>
      <c r="BN44" s="108">
        <f t="shared" si="37"/>
        <v>0</v>
      </c>
      <c r="BO44" s="106">
        <f>VLOOKUP(C44,'[1]TARGET THIS MONTH'!C:U,19,0)</f>
        <v>0.6</v>
      </c>
      <c r="BP44" s="107">
        <f>IFERROR(GETPIVOTDATA("Sum of Qty",'[1]Operator by Store'!$A$5,"ID Store",$C44,"Product Type","Telkomsel"),0)</f>
        <v>0</v>
      </c>
      <c r="BQ44" s="126">
        <f t="shared" si="38"/>
        <v>0</v>
      </c>
    </row>
    <row r="45" spans="1:69" x14ac:dyDescent="0.2">
      <c r="A45" s="97">
        <v>41</v>
      </c>
      <c r="B45" s="98" t="s">
        <v>107</v>
      </c>
      <c r="C45" s="99">
        <v>6100702</v>
      </c>
      <c r="D45" s="100" t="s">
        <v>108</v>
      </c>
      <c r="E45" s="128" t="s">
        <v>109</v>
      </c>
      <c r="F45" s="102">
        <v>1</v>
      </c>
      <c r="G45" s="103">
        <f>IFERROR(VLOOKUP(C45,'[1]TARGET THIS MONTH'!C:E,3,0),0)</f>
        <v>60</v>
      </c>
      <c r="H45" s="104">
        <f>IFERROR(VLOOKUP(C45,'[1]TARGET THIS MONTH'!C:M,11,0),0)</f>
        <v>420000000</v>
      </c>
      <c r="I45" s="103">
        <f>IFERROR(GETPIVOTDATA("Sum of Qty",'[1]DEVICE &amp; VALUE'!$A$6,"ID Store",$C45),0)</f>
        <v>49</v>
      </c>
      <c r="J45" s="105">
        <f t="shared" si="0"/>
        <v>0.81666666666666665</v>
      </c>
      <c r="K45" s="106">
        <f t="shared" si="1"/>
        <v>-11</v>
      </c>
      <c r="L45" s="107">
        <f>IFERROR(GETPIVOTDATA("Sum of Qty",[1]PF!$A$5,"ID Store",$C45),0)</f>
        <v>8</v>
      </c>
      <c r="M45" s="107">
        <f>IFERROR(GETPIVOTDATA("Sum of Qty",'[1]DEVICE &amp; VALUE'!$A$6,"ID Store",$C45,"Segment Price","3mio&gt;"),0)</f>
        <v>36</v>
      </c>
      <c r="N45" s="108">
        <f t="shared" si="2"/>
        <v>0.73469387755102045</v>
      </c>
      <c r="O45" s="109">
        <f>IFERROR(GETPIVOTDATA("Sum of Qty",[1]IQOO!$A$6,"ID Store",$C45),0)</f>
        <v>8</v>
      </c>
      <c r="P45" s="108">
        <f t="shared" si="3"/>
        <v>0.16326530612244897</v>
      </c>
      <c r="Q45" s="108">
        <f t="shared" si="4"/>
        <v>0.73469387755102045</v>
      </c>
      <c r="R45" s="110">
        <f>IFERROR(GETPIVOTDATA("Sum of SRP",'[1]DEVICE &amp; VALUE'!$A$6,"ID Store",$C45),0)</f>
        <v>360151000</v>
      </c>
      <c r="S45" s="108">
        <f t="shared" si="5"/>
        <v>0.85750238095238096</v>
      </c>
      <c r="T45" s="111">
        <f t="shared" si="6"/>
        <v>-59849000</v>
      </c>
      <c r="U45" s="112">
        <f t="shared" si="7"/>
        <v>49</v>
      </c>
      <c r="V45" s="113">
        <f t="shared" si="8"/>
        <v>0.81666666666666665</v>
      </c>
      <c r="W45" s="114">
        <f t="shared" si="9"/>
        <v>-11</v>
      </c>
      <c r="X45" s="114">
        <f t="shared" si="10"/>
        <v>36</v>
      </c>
      <c r="Y45" s="114">
        <f t="shared" si="11"/>
        <v>-24</v>
      </c>
      <c r="Z45" s="115">
        <f t="shared" si="12"/>
        <v>360151000</v>
      </c>
      <c r="AA45" s="115">
        <f t="shared" si="13"/>
        <v>-59849000</v>
      </c>
      <c r="AB45" s="116">
        <f t="shared" si="14"/>
        <v>0.85750238095238096</v>
      </c>
      <c r="AC45" s="117">
        <f t="shared" si="15"/>
        <v>0</v>
      </c>
      <c r="AD45" s="118">
        <f t="shared" si="16"/>
        <v>0</v>
      </c>
      <c r="AE45" s="103">
        <f>IFERROR(GETPIVOTDATA("Sum of Qty",'[1]DATA LAST MONTH IQOO'!$A$6,"ID Store",$C45),0)</f>
        <v>18</v>
      </c>
      <c r="AF45" s="119">
        <f>IFERROR(GETPIVOTDATA("Sum of Qty",[1]IQOO!$A$6,"ID Store",$C45),0)</f>
        <v>8</v>
      </c>
      <c r="AG45" s="106">
        <f t="shared" si="17"/>
        <v>-10</v>
      </c>
      <c r="AH45" s="120">
        <f t="shared" si="18"/>
        <v>-0.55555555555555558</v>
      </c>
      <c r="AI45" s="121">
        <f>IFERROR(GETPIVOTDATA("Sum of Qty",'[1]DATA LAST MONTH DEVICE'!$A$6,"ID Store",$C45),0)</f>
        <v>47</v>
      </c>
      <c r="AJ45" s="122">
        <f t="shared" si="19"/>
        <v>49</v>
      </c>
      <c r="AK45" s="106">
        <f t="shared" si="20"/>
        <v>2</v>
      </c>
      <c r="AL45" s="108">
        <f t="shared" si="21"/>
        <v>4.2553191489361701E-2</v>
      </c>
      <c r="AM45" s="107">
        <f>IFERROR(GETPIVOTDATA("Sum of Qty",'[1]Store 3mio+ last month'!$A$6,"ID Store",$C45),0)</f>
        <v>47</v>
      </c>
      <c r="AN45" s="106">
        <f t="shared" si="22"/>
        <v>49</v>
      </c>
      <c r="AO45" s="106">
        <f t="shared" si="23"/>
        <v>2</v>
      </c>
      <c r="AP45" s="108">
        <f t="shared" si="24"/>
        <v>4.2553191489361701E-2</v>
      </c>
      <c r="AQ45" s="107">
        <f>IFERROR(GETPIVOTDATA("Sum of Qty",'[1]DATA LAST MONTH DEVICE'!$A$6,"ID Store",$C45,"Segment Price","3mio&gt;"),0)</f>
        <v>39</v>
      </c>
      <c r="AR45" s="109">
        <f t="shared" si="25"/>
        <v>36</v>
      </c>
      <c r="AS45" s="109">
        <f t="shared" si="26"/>
        <v>-3</v>
      </c>
      <c r="AT45" s="108">
        <f t="shared" si="27"/>
        <v>-7.6923076923076927E-2</v>
      </c>
      <c r="AU45" s="123">
        <f>IFERROR(GETPIVOTDATA("Sum of SRP",'[1]DATA LAST MONTH DEVICE'!$A$6,"ID Store",$C45),0)</f>
        <v>387653000</v>
      </c>
      <c r="AV45" s="123">
        <f t="shared" si="28"/>
        <v>360151000</v>
      </c>
      <c r="AW45" s="123">
        <f t="shared" si="29"/>
        <v>-27502000</v>
      </c>
      <c r="AX45" s="108">
        <f t="shared" si="30"/>
        <v>-7.0944891436413499E-2</v>
      </c>
      <c r="AY45" s="123">
        <f>IFERROR(VLOOKUP(C45,'[1]DATA SALES LAST MONTH'!A:E,5,0),0)</f>
        <v>8247936.1702127662</v>
      </c>
      <c r="AZ45" s="110">
        <f t="shared" si="31"/>
        <v>7350020.4081632653</v>
      </c>
      <c r="BA45" s="110">
        <f t="shared" si="32"/>
        <v>-897915.76204950083</v>
      </c>
      <c r="BB45" s="120">
        <f t="shared" si="33"/>
        <v>-0.10886550811247826</v>
      </c>
      <c r="BC45" s="103">
        <f>IFERROR(VLOOKUP(C45,'[1]TARGET THIS MONTH'!C:U,15,0),0)</f>
        <v>12</v>
      </c>
      <c r="BD45" s="124">
        <f>IFERROR(GETPIVOTDATA("Sum of Qty",[1]ACC!$A$5,"ID Store",$C45),0)</f>
        <v>4</v>
      </c>
      <c r="BE45" s="108">
        <f t="shared" si="34"/>
        <v>0.33333333333333331</v>
      </c>
      <c r="BF45" s="125">
        <f>IFERROR(VLOOKUP(C45,'[1]TARGET THIS MONTH'!C:U,16,0),0)</f>
        <v>1680000</v>
      </c>
      <c r="BG45" s="125">
        <f>IFERROR(GETPIVOTDATA("Sum of SRP",'[1]Insurance by Store'!$A$5,"ID Store",$C45,"Product Type","Qoala"),0)</f>
        <v>636000</v>
      </c>
      <c r="BH45" s="108">
        <f t="shared" si="35"/>
        <v>0.37857142857142856</v>
      </c>
      <c r="BI45" s="125">
        <f>IFERROR(VLOOKUP(C45,'[1]TARGET THIS MONTH'!C:U,17,0),0)</f>
        <v>420000</v>
      </c>
      <c r="BJ45" s="125">
        <f>IFERROR(GETPIVOTDATA("Sum of SRP",'[1]Insurance by Store'!$A$5,"ID Store",$C45,"Product Type","Vivo Care"),0)</f>
        <v>0</v>
      </c>
      <c r="BK45" s="108">
        <f t="shared" si="36"/>
        <v>0</v>
      </c>
      <c r="BL45" s="106">
        <f>IFERROR(VLOOKUP(C45,'[1]TARGET THIS MONTH'!C:U,18,0),0)</f>
        <v>1.8</v>
      </c>
      <c r="BM45" s="107">
        <f>IFERROR(GETPIVOTDATA("Sum of Qty",'[1]Operator by Store'!$A$5,"ID Store",$C45,"Product Type","Indosat"),0)</f>
        <v>0</v>
      </c>
      <c r="BN45" s="108">
        <f t="shared" si="37"/>
        <v>0</v>
      </c>
      <c r="BO45" s="106">
        <f>VLOOKUP(C45,'[1]TARGET THIS MONTH'!C:U,19,0)</f>
        <v>0.6</v>
      </c>
      <c r="BP45" s="107">
        <f>IFERROR(GETPIVOTDATA("Sum of Qty",'[1]Operator by Store'!$A$5,"ID Store",$C45,"Product Type","Telkomsel"),0)</f>
        <v>0</v>
      </c>
      <c r="BQ45" s="126">
        <f t="shared" si="38"/>
        <v>0</v>
      </c>
    </row>
    <row r="46" spans="1:69" x14ac:dyDescent="0.2">
      <c r="A46" s="97">
        <v>42</v>
      </c>
      <c r="B46" s="98" t="s">
        <v>107</v>
      </c>
      <c r="C46" s="99">
        <v>6140706</v>
      </c>
      <c r="D46" s="100" t="s">
        <v>110</v>
      </c>
      <c r="E46" s="127" t="s">
        <v>111</v>
      </c>
      <c r="F46" s="102">
        <v>2</v>
      </c>
      <c r="G46" s="103">
        <f>IFERROR(VLOOKUP(C46,'[1]TARGET THIS MONTH'!C:E,3,0),0)</f>
        <v>20</v>
      </c>
      <c r="H46" s="104">
        <f>IFERROR(VLOOKUP(C46,'[1]TARGET THIS MONTH'!C:M,11,0),0)</f>
        <v>140000000</v>
      </c>
      <c r="I46" s="103">
        <f>IFERROR(GETPIVOTDATA("Sum of Qty",'[1]DEVICE &amp; VALUE'!$A$6,"ID Store",$C46),0)</f>
        <v>29</v>
      </c>
      <c r="J46" s="105">
        <f t="shared" si="0"/>
        <v>1.45</v>
      </c>
      <c r="K46" s="106">
        <f t="shared" si="1"/>
        <v>9</v>
      </c>
      <c r="L46" s="107">
        <f>IFERROR(GETPIVOTDATA("Sum of Qty",[1]PF!$A$5,"ID Store",$C46),0)</f>
        <v>3</v>
      </c>
      <c r="M46" s="107">
        <f>IFERROR(GETPIVOTDATA("Sum of Qty",'[1]DEVICE &amp; VALUE'!$A$6,"ID Store",$C46,"Segment Price","3mio&gt;"),0)</f>
        <v>23</v>
      </c>
      <c r="N46" s="108">
        <f t="shared" si="2"/>
        <v>0.7931034482758621</v>
      </c>
      <c r="O46" s="109">
        <f>IFERROR(GETPIVOTDATA("Sum of Qty",[1]IQOO!$A$6,"ID Store",$C46),0)</f>
        <v>6</v>
      </c>
      <c r="P46" s="108">
        <f t="shared" si="3"/>
        <v>0.20689655172413793</v>
      </c>
      <c r="Q46" s="108">
        <f t="shared" si="4"/>
        <v>0.7931034482758621</v>
      </c>
      <c r="R46" s="110">
        <f>IFERROR(GETPIVOTDATA("Sum of SRP",'[1]DEVICE &amp; VALUE'!$A$6,"ID Store",$C46),0)</f>
        <v>246571000</v>
      </c>
      <c r="S46" s="108">
        <f t="shared" si="5"/>
        <v>1.7612214285714285</v>
      </c>
      <c r="T46" s="111">
        <f t="shared" si="6"/>
        <v>106571000</v>
      </c>
      <c r="U46" s="112">
        <f t="shared" si="7"/>
        <v>29</v>
      </c>
      <c r="V46" s="113">
        <f t="shared" si="8"/>
        <v>1.45</v>
      </c>
      <c r="W46" s="114">
        <f t="shared" si="9"/>
        <v>9</v>
      </c>
      <c r="X46" s="114">
        <f t="shared" si="10"/>
        <v>23</v>
      </c>
      <c r="Y46" s="114">
        <f t="shared" si="11"/>
        <v>3</v>
      </c>
      <c r="Z46" s="115">
        <f t="shared" si="12"/>
        <v>246571000</v>
      </c>
      <c r="AA46" s="115">
        <f t="shared" si="13"/>
        <v>106571000</v>
      </c>
      <c r="AB46" s="116">
        <f t="shared" si="14"/>
        <v>1.7612214285714285</v>
      </c>
      <c r="AC46" s="117">
        <f t="shared" si="15"/>
        <v>0</v>
      </c>
      <c r="AD46" s="118">
        <f t="shared" si="16"/>
        <v>0</v>
      </c>
      <c r="AE46" s="103">
        <f>IFERROR(GETPIVOTDATA("Sum of Qty",'[1]DATA LAST MONTH IQOO'!$A$6,"ID Store",$C46),0)</f>
        <v>9</v>
      </c>
      <c r="AF46" s="119">
        <f>IFERROR(GETPIVOTDATA("Sum of Qty",[1]IQOO!$A$6,"ID Store",$C46),0)</f>
        <v>6</v>
      </c>
      <c r="AG46" s="106">
        <f t="shared" si="17"/>
        <v>-3</v>
      </c>
      <c r="AH46" s="120">
        <f t="shared" si="18"/>
        <v>-0.33333333333333331</v>
      </c>
      <c r="AI46" s="121">
        <f>IFERROR(GETPIVOTDATA("Sum of Qty",'[1]DATA LAST MONTH DEVICE'!$A$6,"ID Store",$C46),0)</f>
        <v>21</v>
      </c>
      <c r="AJ46" s="122">
        <f t="shared" si="19"/>
        <v>29</v>
      </c>
      <c r="AK46" s="106">
        <f t="shared" si="20"/>
        <v>8</v>
      </c>
      <c r="AL46" s="108">
        <f t="shared" si="21"/>
        <v>0.38095238095238093</v>
      </c>
      <c r="AM46" s="107">
        <f>IFERROR(GETPIVOTDATA("Sum of Qty",'[1]Store 3mio+ last month'!$A$6,"ID Store",$C46),0)</f>
        <v>21</v>
      </c>
      <c r="AN46" s="106">
        <f t="shared" si="22"/>
        <v>29</v>
      </c>
      <c r="AO46" s="106">
        <f t="shared" si="23"/>
        <v>8</v>
      </c>
      <c r="AP46" s="108">
        <f t="shared" si="24"/>
        <v>0.38095238095238093</v>
      </c>
      <c r="AQ46" s="107">
        <f>IFERROR(GETPIVOTDATA("Sum of Qty",'[1]DATA LAST MONTH DEVICE'!$A$6,"ID Store",$C46,"Segment Price","3mio&gt;"),0)</f>
        <v>19</v>
      </c>
      <c r="AR46" s="109">
        <f t="shared" si="25"/>
        <v>23</v>
      </c>
      <c r="AS46" s="109">
        <f t="shared" si="26"/>
        <v>4</v>
      </c>
      <c r="AT46" s="108">
        <f t="shared" si="27"/>
        <v>0.21052631578947367</v>
      </c>
      <c r="AU46" s="123">
        <f>IFERROR(GETPIVOTDATA("Sum of SRP",'[1]DATA LAST MONTH DEVICE'!$A$6,"ID Store",$C46),0)</f>
        <v>222079000</v>
      </c>
      <c r="AV46" s="123">
        <f t="shared" si="28"/>
        <v>246571000</v>
      </c>
      <c r="AW46" s="123">
        <f t="shared" si="29"/>
        <v>24492000</v>
      </c>
      <c r="AX46" s="108">
        <f t="shared" si="30"/>
        <v>0.11028507873324357</v>
      </c>
      <c r="AY46" s="123">
        <f>IFERROR(VLOOKUP(C46,'[1]DATA SALES LAST MONTH'!A:E,5,0),0)</f>
        <v>0</v>
      </c>
      <c r="AZ46" s="110">
        <f t="shared" si="31"/>
        <v>8502448.2758620698</v>
      </c>
      <c r="BA46" s="110">
        <f t="shared" si="32"/>
        <v>8502448.2758620698</v>
      </c>
      <c r="BB46" s="120">
        <f t="shared" si="33"/>
        <v>0</v>
      </c>
      <c r="BC46" s="103">
        <f>IFERROR(VLOOKUP(C46,'[1]TARGET THIS MONTH'!C:U,15,0),0)</f>
        <v>4</v>
      </c>
      <c r="BD46" s="124">
        <f>IFERROR(GETPIVOTDATA("Sum of Qty",[1]ACC!$A$5,"ID Store",$C46),0)</f>
        <v>7</v>
      </c>
      <c r="BE46" s="108">
        <f t="shared" si="34"/>
        <v>1.75</v>
      </c>
      <c r="BF46" s="125">
        <f>IFERROR(VLOOKUP(C46,'[1]TARGET THIS MONTH'!C:U,16,0),0)</f>
        <v>560000</v>
      </c>
      <c r="BG46" s="125">
        <f>IFERROR(GETPIVOTDATA("Sum of SRP",'[1]Insurance by Store'!$A$5,"ID Store",$C46,"Product Type","Qoala"),0)</f>
        <v>0</v>
      </c>
      <c r="BH46" s="108">
        <f t="shared" si="35"/>
        <v>0</v>
      </c>
      <c r="BI46" s="125">
        <f>IFERROR(VLOOKUP(C46,'[1]TARGET THIS MONTH'!C:U,17,0),0)</f>
        <v>140000</v>
      </c>
      <c r="BJ46" s="125">
        <f>IFERROR(GETPIVOTDATA("Sum of SRP",'[1]Insurance by Store'!$A$5,"ID Store",$C46,"Product Type","Vivo Care"),0)</f>
        <v>0</v>
      </c>
      <c r="BK46" s="108">
        <f t="shared" si="36"/>
        <v>0</v>
      </c>
      <c r="BL46" s="106">
        <f>IFERROR(VLOOKUP(C46,'[1]TARGET THIS MONTH'!C:U,18,0),0)</f>
        <v>0.6</v>
      </c>
      <c r="BM46" s="107">
        <f>IFERROR(GETPIVOTDATA("Sum of Qty",'[1]Operator by Store'!$A$5,"ID Store",$C46,"Product Type","Indosat"),0)</f>
        <v>0</v>
      </c>
      <c r="BN46" s="108">
        <f t="shared" si="37"/>
        <v>0</v>
      </c>
      <c r="BO46" s="106">
        <f>VLOOKUP(C46,'[1]TARGET THIS MONTH'!C:U,19,0)</f>
        <v>0.2</v>
      </c>
      <c r="BP46" s="107">
        <f>IFERROR(GETPIVOTDATA("Sum of Qty",'[1]Operator by Store'!$A$5,"ID Store",$C46,"Product Type","Telkomsel"),0)</f>
        <v>0</v>
      </c>
      <c r="BQ46" s="126">
        <f t="shared" si="38"/>
        <v>0</v>
      </c>
    </row>
    <row r="47" spans="1:69" ht="16" thickBot="1" x14ac:dyDescent="0.25">
      <c r="A47" s="130">
        <v>43</v>
      </c>
      <c r="B47" s="131" t="s">
        <v>107</v>
      </c>
      <c r="C47" s="132">
        <v>6140705</v>
      </c>
      <c r="D47" s="133" t="s">
        <v>112</v>
      </c>
      <c r="E47" s="134" t="s">
        <v>113</v>
      </c>
      <c r="F47" s="135">
        <v>3</v>
      </c>
      <c r="G47" s="136">
        <f>IFERROR(VLOOKUP(C47,'[1]TARGET THIS MONTH'!C:E,3,0),0)</f>
        <v>60</v>
      </c>
      <c r="H47" s="137">
        <f>IFERROR(VLOOKUP(C47,'[1]TARGET THIS MONTH'!C:M,11,0),0)</f>
        <v>420000000</v>
      </c>
      <c r="I47" s="136">
        <f>IFERROR(GETPIVOTDATA("Sum of Qty",'[1]DEVICE &amp; VALUE'!$A$6,"ID Store",$C47),0)</f>
        <v>58</v>
      </c>
      <c r="J47" s="138">
        <f t="shared" si="0"/>
        <v>0.96666666666666667</v>
      </c>
      <c r="K47" s="139">
        <f t="shared" si="1"/>
        <v>-2</v>
      </c>
      <c r="L47" s="140">
        <f>IFERROR(GETPIVOTDATA("Sum of Qty",[1]PF!$A$5,"ID Store",$C47),0)</f>
        <v>7</v>
      </c>
      <c r="M47" s="140">
        <f>IFERROR(GETPIVOTDATA("Sum of Qty",'[1]DEVICE &amp; VALUE'!$A$6,"ID Store",$C47,"Segment Price","3mio&gt;"),0)</f>
        <v>46</v>
      </c>
      <c r="N47" s="141">
        <f t="shared" si="2"/>
        <v>0.7931034482758621</v>
      </c>
      <c r="O47" s="142">
        <f>IFERROR(GETPIVOTDATA("Sum of Qty",[1]IQOO!$A$6,"ID Store",$C47),0)</f>
        <v>15</v>
      </c>
      <c r="P47" s="141">
        <f t="shared" si="3"/>
        <v>0.25862068965517243</v>
      </c>
      <c r="Q47" s="141">
        <f t="shared" si="4"/>
        <v>0.7931034482758621</v>
      </c>
      <c r="R47" s="143">
        <f>IFERROR(GETPIVOTDATA("Sum of SRP",'[1]DEVICE &amp; VALUE'!$A$6,"ID Store",$C47),0)</f>
        <v>439542000</v>
      </c>
      <c r="S47" s="141">
        <f t="shared" si="5"/>
        <v>1.0465285714285715</v>
      </c>
      <c r="T47" s="144">
        <f t="shared" si="6"/>
        <v>19542000</v>
      </c>
      <c r="U47" s="145">
        <f t="shared" si="7"/>
        <v>58</v>
      </c>
      <c r="V47" s="146">
        <f t="shared" si="8"/>
        <v>0.96666666666666667</v>
      </c>
      <c r="W47" s="147">
        <f t="shared" si="9"/>
        <v>-2</v>
      </c>
      <c r="X47" s="147">
        <f t="shared" si="10"/>
        <v>46</v>
      </c>
      <c r="Y47" s="147">
        <f t="shared" si="11"/>
        <v>-14</v>
      </c>
      <c r="Z47" s="148">
        <f t="shared" si="12"/>
        <v>439542000</v>
      </c>
      <c r="AA47" s="148">
        <f t="shared" si="13"/>
        <v>19542000</v>
      </c>
      <c r="AB47" s="149">
        <f t="shared" si="14"/>
        <v>1.0465285714285715</v>
      </c>
      <c r="AC47" s="150">
        <f t="shared" si="15"/>
        <v>0</v>
      </c>
      <c r="AD47" s="151">
        <f t="shared" si="16"/>
        <v>0</v>
      </c>
      <c r="AE47" s="136">
        <f>IFERROR(GETPIVOTDATA("Sum of Qty",'[1]DATA LAST MONTH IQOO'!$A$6,"ID Store",$C47),0)</f>
        <v>27</v>
      </c>
      <c r="AF47" s="152">
        <f>IFERROR(GETPIVOTDATA("Sum of Qty",[1]IQOO!$A$6,"ID Store",$C47),0)</f>
        <v>15</v>
      </c>
      <c r="AG47" s="139">
        <f t="shared" si="17"/>
        <v>-12</v>
      </c>
      <c r="AH47" s="153">
        <f t="shared" si="18"/>
        <v>-0.44444444444444442</v>
      </c>
      <c r="AI47" s="154">
        <f>IFERROR(GETPIVOTDATA("Sum of Qty",'[1]DATA LAST MONTH DEVICE'!$A$6,"ID Store",$C47),0)</f>
        <v>56</v>
      </c>
      <c r="AJ47" s="155">
        <f t="shared" si="19"/>
        <v>58</v>
      </c>
      <c r="AK47" s="139">
        <f t="shared" si="20"/>
        <v>2</v>
      </c>
      <c r="AL47" s="141">
        <f t="shared" si="21"/>
        <v>3.5714285714285712E-2</v>
      </c>
      <c r="AM47" s="140">
        <f>IFERROR(GETPIVOTDATA("Sum of Qty",'[1]Store 3mio+ last month'!$A$6,"ID Store",$C47),0)</f>
        <v>56</v>
      </c>
      <c r="AN47" s="139">
        <f t="shared" si="22"/>
        <v>58</v>
      </c>
      <c r="AO47" s="139">
        <f t="shared" si="23"/>
        <v>2</v>
      </c>
      <c r="AP47" s="141">
        <f t="shared" si="24"/>
        <v>3.5714285714285712E-2</v>
      </c>
      <c r="AQ47" s="140">
        <f>IFERROR(GETPIVOTDATA("Sum of Qty",'[1]DATA LAST MONTH DEVICE'!$A$6,"ID Store",$C47,"Segment Price","3mio&gt;"),0)</f>
        <v>45</v>
      </c>
      <c r="AR47" s="142">
        <f t="shared" si="25"/>
        <v>46</v>
      </c>
      <c r="AS47" s="142">
        <f t="shared" si="26"/>
        <v>1</v>
      </c>
      <c r="AT47" s="141">
        <f t="shared" si="27"/>
        <v>2.2222222222222223E-2</v>
      </c>
      <c r="AU47" s="156">
        <f>IFERROR(GETPIVOTDATA("Sum of SRP",'[1]DATA LAST MONTH DEVICE'!$A$6,"ID Store",$C47),0)</f>
        <v>500244000</v>
      </c>
      <c r="AV47" s="156">
        <f t="shared" si="28"/>
        <v>439542000</v>
      </c>
      <c r="AW47" s="156">
        <f t="shared" si="29"/>
        <v>-60702000</v>
      </c>
      <c r="AX47" s="141">
        <f t="shared" si="30"/>
        <v>-0.12134478374553218</v>
      </c>
      <c r="AY47" s="156">
        <f>IFERROR(VLOOKUP(C47,'[1]DATA SALES LAST MONTH'!A:E,5,0),0)</f>
        <v>8932928.5714285709</v>
      </c>
      <c r="AZ47" s="143">
        <f t="shared" si="31"/>
        <v>7578310.3448275859</v>
      </c>
      <c r="BA47" s="143">
        <f t="shared" si="32"/>
        <v>-1354618.226600985</v>
      </c>
      <c r="BB47" s="153">
        <f t="shared" si="33"/>
        <v>-0.15164323947844485</v>
      </c>
      <c r="BC47" s="136">
        <f>IFERROR(VLOOKUP(C47,'[1]TARGET THIS MONTH'!C:U,15,0),0)</f>
        <v>12</v>
      </c>
      <c r="BD47" s="157">
        <f>IFERROR(GETPIVOTDATA("Sum of Qty",[1]ACC!$A$5,"ID Store",$C47),0)</f>
        <v>5</v>
      </c>
      <c r="BE47" s="141">
        <f t="shared" si="34"/>
        <v>0.41666666666666669</v>
      </c>
      <c r="BF47" s="158">
        <f>IFERROR(VLOOKUP(C47,'[1]TARGET THIS MONTH'!C:U,16,0),0)</f>
        <v>1680000</v>
      </c>
      <c r="BG47" s="158">
        <f>IFERROR(GETPIVOTDATA("Sum of SRP",'[1]Insurance by Store'!$A$5,"ID Store",$C47,"Product Type","Qoala"),0)</f>
        <v>0</v>
      </c>
      <c r="BH47" s="141">
        <f t="shared" si="35"/>
        <v>0</v>
      </c>
      <c r="BI47" s="158">
        <f>IFERROR(VLOOKUP(C47,'[1]TARGET THIS MONTH'!C:U,17,0),0)</f>
        <v>420000</v>
      </c>
      <c r="BJ47" s="158">
        <f>IFERROR(GETPIVOTDATA("Sum of SRP",'[1]Insurance by Store'!$A$5,"ID Store",$C47,"Product Type","Vivo Care"),0)</f>
        <v>0</v>
      </c>
      <c r="BK47" s="141">
        <f t="shared" si="36"/>
        <v>0</v>
      </c>
      <c r="BL47" s="139">
        <f>IFERROR(VLOOKUP(C47,'[1]TARGET THIS MONTH'!C:U,18,0),0)</f>
        <v>1.8</v>
      </c>
      <c r="BM47" s="140">
        <f>IFERROR(GETPIVOTDATA("Sum of Qty",'[1]Operator by Store'!$A$5,"ID Store",$C47,"Product Type","Indosat"),0)</f>
        <v>0</v>
      </c>
      <c r="BN47" s="141">
        <f t="shared" si="37"/>
        <v>0</v>
      </c>
      <c r="BO47" s="139">
        <f>VLOOKUP(C47,'[1]TARGET THIS MONTH'!C:U,19,0)</f>
        <v>0.6</v>
      </c>
      <c r="BP47" s="140">
        <f>IFERROR(GETPIVOTDATA("Sum of Qty",'[1]Operator by Store'!$A$5,"ID Store",$C47,"Product Type","Telkomsel"),0)</f>
        <v>0</v>
      </c>
      <c r="BQ47" s="159">
        <f t="shared" si="38"/>
        <v>0</v>
      </c>
    </row>
    <row r="48" spans="1:69" ht="16" thickBot="1" x14ac:dyDescent="0.2">
      <c r="A48" s="160" t="s">
        <v>114</v>
      </c>
      <c r="B48" s="161"/>
      <c r="C48" s="161"/>
      <c r="D48" s="161"/>
      <c r="E48" s="161"/>
      <c r="F48" s="162">
        <f>SUM(F5:F47)</f>
        <v>114</v>
      </c>
      <c r="G48" s="163">
        <f>SUM(G5:G47)</f>
        <v>3500</v>
      </c>
      <c r="H48" s="164">
        <f>SUM(H5:H47)</f>
        <v>15927000000</v>
      </c>
      <c r="I48" s="163">
        <f>SUM(I5:I47)</f>
        <v>3442</v>
      </c>
      <c r="J48" s="165">
        <f t="shared" si="0"/>
        <v>0.98342857142857143</v>
      </c>
      <c r="K48" s="166">
        <f t="shared" si="1"/>
        <v>-58</v>
      </c>
      <c r="L48" s="167">
        <f>SUM(L5:L47)</f>
        <v>594</v>
      </c>
      <c r="M48" s="167">
        <f>SUM(M5:M47)</f>
        <v>1636</v>
      </c>
      <c r="N48" s="168">
        <f>M48/I48</f>
        <v>0.47530505520046484</v>
      </c>
      <c r="O48" s="166">
        <f>SUM(O5:O47)</f>
        <v>317</v>
      </c>
      <c r="P48" s="168">
        <f>O48/I48</f>
        <v>9.2097617664148756E-2</v>
      </c>
      <c r="Q48" s="168">
        <f>M48/I48</f>
        <v>0.47530505520046484</v>
      </c>
      <c r="R48" s="169">
        <f>SUM(R5:R47)</f>
        <v>16083058000</v>
      </c>
      <c r="S48" s="168">
        <f>R48/H48</f>
        <v>1.0097983298800779</v>
      </c>
      <c r="T48" s="170">
        <f t="shared" si="6"/>
        <v>156058000</v>
      </c>
      <c r="U48" s="171">
        <f>SUM(U5:U47)</f>
        <v>3442</v>
      </c>
      <c r="V48" s="165">
        <f>U48/G48</f>
        <v>0.98342857142857143</v>
      </c>
      <c r="W48" s="166">
        <f t="shared" si="9"/>
        <v>-58</v>
      </c>
      <c r="X48" s="166">
        <f>SUM(X5:X47)</f>
        <v>1636</v>
      </c>
      <c r="Y48" s="166">
        <f t="shared" si="11"/>
        <v>-1864</v>
      </c>
      <c r="Z48" s="169">
        <f>SUM(Z5:Z47)</f>
        <v>16083058000</v>
      </c>
      <c r="AA48" s="169">
        <f t="shared" si="13"/>
        <v>156058000</v>
      </c>
      <c r="AB48" s="172">
        <f>Z48/H48</f>
        <v>1.0097983298800779</v>
      </c>
      <c r="AC48" s="173">
        <f>SUM(AC5:AC47)</f>
        <v>0</v>
      </c>
      <c r="AD48" s="164">
        <f>SUM(AD5:AD47)</f>
        <v>0</v>
      </c>
      <c r="AE48" s="163">
        <f>SUM(AE5:AE47)</f>
        <v>481</v>
      </c>
      <c r="AF48" s="174">
        <f>SUM(AF5:AF47)</f>
        <v>317</v>
      </c>
      <c r="AG48" s="166">
        <f t="shared" si="17"/>
        <v>-164</v>
      </c>
      <c r="AH48" s="172">
        <f>AG48/AE48</f>
        <v>-0.34095634095634098</v>
      </c>
      <c r="AI48" s="175">
        <f>SUM(AI5:AI47)</f>
        <v>3166</v>
      </c>
      <c r="AJ48" s="174">
        <f>SUM(AJ5:AJ47)</f>
        <v>3442</v>
      </c>
      <c r="AK48" s="166">
        <f t="shared" si="20"/>
        <v>276</v>
      </c>
      <c r="AL48" s="168">
        <f>AK48/AI48</f>
        <v>8.7176247631080228E-2</v>
      </c>
      <c r="AM48" s="167">
        <f>SUM(AM5:AM47)</f>
        <v>3166</v>
      </c>
      <c r="AN48" s="166">
        <f>SUM(AN5:AN47)</f>
        <v>3442</v>
      </c>
      <c r="AO48" s="166">
        <f t="shared" si="23"/>
        <v>276</v>
      </c>
      <c r="AP48" s="168">
        <f>AO48/AM48</f>
        <v>8.7176247631080228E-2</v>
      </c>
      <c r="AQ48" s="167">
        <f>SUM(AQ5:AQ47)</f>
        <v>1431</v>
      </c>
      <c r="AR48" s="166">
        <f>SUM(AR5:AR47)</f>
        <v>1636</v>
      </c>
      <c r="AS48" s="166">
        <f t="shared" si="26"/>
        <v>205</v>
      </c>
      <c r="AT48" s="168">
        <f>AS48/AQ48</f>
        <v>0.143256464011181</v>
      </c>
      <c r="AU48" s="169">
        <f>SUM(AU5:AU47)</f>
        <v>14942734000</v>
      </c>
      <c r="AV48" s="169">
        <f>SUM(AV5:AV47)</f>
        <v>16083058000</v>
      </c>
      <c r="AW48" s="169">
        <f t="shared" si="29"/>
        <v>1140324000</v>
      </c>
      <c r="AX48" s="168">
        <f>AW48/AU48</f>
        <v>7.6312942464210359E-2</v>
      </c>
      <c r="AY48" s="169">
        <f>AU48/AI48</f>
        <v>4719751.7372078337</v>
      </c>
      <c r="AZ48" s="169">
        <f>Z48/U48</f>
        <v>4672590.9355026148</v>
      </c>
      <c r="BA48" s="169">
        <f t="shared" si="32"/>
        <v>-47160.801705218852</v>
      </c>
      <c r="BB48" s="172">
        <f>BA48/AY48</f>
        <v>-9.9922208478530686E-3</v>
      </c>
      <c r="BC48" s="163">
        <f>SUM(BC5:BC47)</f>
        <v>700</v>
      </c>
      <c r="BD48" s="176">
        <f>SUM(BD5:BD47)</f>
        <v>724</v>
      </c>
      <c r="BE48" s="168">
        <f>BD48/BC48</f>
        <v>1.0342857142857143</v>
      </c>
      <c r="BF48" s="169">
        <f>SUM(BF5:BF47)</f>
        <v>61972000</v>
      </c>
      <c r="BG48" s="169">
        <f>SUM(BG5:BG47)</f>
        <v>57970000</v>
      </c>
      <c r="BH48" s="168">
        <f>BG48/BF48</f>
        <v>0.93542244884786674</v>
      </c>
      <c r="BI48" s="169">
        <f>SUM(BI5:BI47)</f>
        <v>15705500</v>
      </c>
      <c r="BJ48" s="169">
        <f>SUM(BJ5:BJ47)</f>
        <v>9000000</v>
      </c>
      <c r="BK48" s="168">
        <f>BJ48/BI48</f>
        <v>0.57304765846359551</v>
      </c>
      <c r="BL48" s="166">
        <f>SUM(BL5:BL47)</f>
        <v>103.8</v>
      </c>
      <c r="BM48" s="167">
        <f>SUM(BM5:BM47)</f>
        <v>32</v>
      </c>
      <c r="BN48" s="168">
        <f>BM48/BL48</f>
        <v>0.30828516377649329</v>
      </c>
      <c r="BO48" s="166">
        <f>SUM(BO5:BO47)</f>
        <v>34.600000000000009</v>
      </c>
      <c r="BP48" s="167">
        <f>SUM(BP5:BP47)</f>
        <v>0</v>
      </c>
      <c r="BQ48" s="177">
        <f>BP48/BO48</f>
        <v>0</v>
      </c>
    </row>
    <row r="49" spans="1:69" ht="15" hidden="1" customHeight="1" x14ac:dyDescent="0.1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</row>
    <row r="50" spans="1:69" ht="18" customHeight="1" x14ac:dyDescent="0.15">
      <c r="I50" s="179"/>
      <c r="K50" s="181"/>
      <c r="L50" s="181"/>
      <c r="M50" s="181"/>
      <c r="BC50" s="182"/>
      <c r="BD50" s="182"/>
    </row>
    <row r="53" spans="1:69" x14ac:dyDescent="0.15">
      <c r="J53" s="180">
        <f>5/156</f>
        <v>3.2051282051282048E-2</v>
      </c>
      <c r="L53" s="180">
        <f>5/134</f>
        <v>3.7313432835820892E-2</v>
      </c>
    </row>
  </sheetData>
  <mergeCells count="40">
    <mergeCell ref="BN3:BN4"/>
    <mergeCell ref="BO3:BO4"/>
    <mergeCell ref="BP3:BP4"/>
    <mergeCell ref="BQ3:BQ4"/>
    <mergeCell ref="A48:E48"/>
    <mergeCell ref="BH3:BH4"/>
    <mergeCell ref="BI3:BI4"/>
    <mergeCell ref="BJ3:BJ4"/>
    <mergeCell ref="BK3:BK4"/>
    <mergeCell ref="BL3:BL4"/>
    <mergeCell ref="BM3:BM4"/>
    <mergeCell ref="AY3:BB3"/>
    <mergeCell ref="BC3:BC4"/>
    <mergeCell ref="BD3:BD4"/>
    <mergeCell ref="BE3:BE4"/>
    <mergeCell ref="BF3:BF4"/>
    <mergeCell ref="BG3:BG4"/>
    <mergeCell ref="E3:E4"/>
    <mergeCell ref="F3:F4"/>
    <mergeCell ref="AI3:AL3"/>
    <mergeCell ref="AM3:AP3"/>
    <mergeCell ref="AQ3:AT3"/>
    <mergeCell ref="AU3:AX3"/>
    <mergeCell ref="AI1:BB2"/>
    <mergeCell ref="BC1:BQ1"/>
    <mergeCell ref="BC2:BE2"/>
    <mergeCell ref="BF2:BH2"/>
    <mergeCell ref="BI2:BK2"/>
    <mergeCell ref="BL2:BN2"/>
    <mergeCell ref="BO2:BQ2"/>
    <mergeCell ref="A1:C2"/>
    <mergeCell ref="G1:H3"/>
    <mergeCell ref="I1:T3"/>
    <mergeCell ref="U1:AB3"/>
    <mergeCell ref="AC1:AD3"/>
    <mergeCell ref="AE1:AH3"/>
    <mergeCell ref="A3:A4"/>
    <mergeCell ref="B3:B4"/>
    <mergeCell ref="C3:C4"/>
    <mergeCell ref="D3:D4"/>
  </mergeCells>
  <conditionalFormatting sqref="A5 C5:D5 A7 A9 A11 A13 A15 A17 A19 A21:A23 A25 A27 A29 A31 A33 A35 A37 A39:A41 A43 A45 A47 A50:D50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ACHIEVEMENT STORE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2026-08-03T07:53:50Z</dcterms:created>
  <dcterms:modified xsi:type="dcterms:W3CDTF">2026-08-03T07:54:04Z</dcterms:modified>
</cp:coreProperties>
</file>